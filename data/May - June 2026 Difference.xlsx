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csix3aetsiqwjztiv3dt7gucm7h-my.sharepoint.com/personal/kris_fifthnutrisupply_net/Documents/Desktop/"/>
    </mc:Choice>
  </mc:AlternateContent>
  <xr:revisionPtr revIDLastSave="203" documentId="14_{39AF911F-3D49-4058-B02C-84FC35373EF8}" xr6:coauthVersionLast="47" xr6:coauthVersionMax="47" xr10:uidLastSave="{351725E6-E501-45F8-B1AF-74508ABBEF26}"/>
  <bookViews>
    <workbookView xWindow="-120" yWindow="-120" windowWidth="29040" windowHeight="15720" activeTab="5" xr2:uid="{00000000-000D-0000-FFFF-FFFF00000000}"/>
  </bookViews>
  <sheets>
    <sheet name="Micro Difference" sheetId="1" r:id="rId1"/>
    <sheet name="NB Difference" sheetId="2" r:id="rId2"/>
    <sheet name="DS Difference" sheetId="3" r:id="rId3"/>
    <sheet name="Sales Summary" sheetId="7" r:id="rId4"/>
    <sheet name="All Products" sheetId="4" state="hidden" r:id="rId5"/>
    <sheet name="CVR" sheetId="9" r:id="rId6"/>
    <sheet name="Sales &amp; Budget OOB" sheetId="5" state="hidden" r:id="rId7"/>
  </sheets>
  <definedNames>
    <definedName name="_xlnm._FilterDatabase" localSheetId="2" hidden="1">'DS Difference'!$A$2:$AE$2</definedName>
    <definedName name="_xlnm._FilterDatabase" localSheetId="0" hidden="1">'Micro Difference'!$A$2:$AA$2</definedName>
    <definedName name="_xlnm._FilterDatabase" localSheetId="1" hidden="1">'NB Difference'!$A$2:$AD$165</definedName>
    <definedName name="_xlnm._FilterDatabase" localSheetId="6" hidden="1">'Sales &amp; Budget OOB'!$A$1:$M$640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30" i="7" l="1"/>
  <c r="AQ31" i="7"/>
  <c r="AQ32" i="7"/>
  <c r="AQ33" i="7"/>
  <c r="AQ23" i="7"/>
  <c r="AQ24" i="7"/>
  <c r="AQ25" i="7"/>
  <c r="AQ26" i="7"/>
  <c r="AQ12" i="7"/>
  <c r="AX12" i="7" s="1"/>
  <c r="AQ19" i="7"/>
  <c r="AQ5" i="7"/>
  <c r="AQ41" i="7"/>
  <c r="AQ40" i="7"/>
  <c r="F493" i="1"/>
  <c r="F151" i="3"/>
  <c r="AC154" i="3"/>
  <c r="AB154" i="3"/>
  <c r="AB151" i="3"/>
  <c r="T151" i="3"/>
  <c r="U151" i="3"/>
  <c r="U144" i="3"/>
  <c r="U145" i="3"/>
  <c r="U146" i="3"/>
  <c r="U147" i="3"/>
  <c r="U148" i="3"/>
  <c r="T144" i="3"/>
  <c r="T145" i="3"/>
  <c r="T146" i="3"/>
  <c r="T147" i="3"/>
  <c r="T148" i="3"/>
  <c r="Q151" i="3"/>
  <c r="O151" i="3"/>
  <c r="Q153" i="3" s="1"/>
  <c r="AC174" i="2"/>
  <c r="AC175" i="2"/>
  <c r="AC176" i="2"/>
  <c r="AC177" i="2"/>
  <c r="Q183" i="2"/>
  <c r="U181" i="2"/>
  <c r="T181" i="2"/>
  <c r="Q181" i="2"/>
  <c r="N181" i="2"/>
  <c r="T175" i="2"/>
  <c r="U175" i="2"/>
  <c r="T176" i="2"/>
  <c r="U176" i="2"/>
  <c r="T177" i="2"/>
  <c r="U177" i="2"/>
  <c r="T174" i="2"/>
  <c r="U174" i="2"/>
  <c r="J181" i="2"/>
  <c r="K175" i="2"/>
  <c r="K176" i="2"/>
  <c r="K177" i="2"/>
  <c r="J175" i="2"/>
  <c r="J176" i="2"/>
  <c r="J177" i="2"/>
  <c r="J3" i="2"/>
  <c r="X491" i="1"/>
  <c r="Y491" i="1" s="1"/>
  <c r="V484" i="1"/>
  <c r="V485" i="1"/>
  <c r="V486" i="1"/>
  <c r="V487" i="1"/>
  <c r="V488" i="1"/>
  <c r="U484" i="1"/>
  <c r="U485" i="1"/>
  <c r="U486" i="1"/>
  <c r="U487" i="1"/>
  <c r="U488" i="1"/>
  <c r="Q493" i="1"/>
  <c r="Q491" i="1"/>
  <c r="N151" i="3"/>
  <c r="J151" i="3"/>
  <c r="AC151" i="3"/>
  <c r="J3" i="3"/>
  <c r="C151" i="3"/>
  <c r="J144" i="3"/>
  <c r="K144" i="3"/>
  <c r="J145" i="3"/>
  <c r="K145" i="3"/>
  <c r="J146" i="3"/>
  <c r="K146" i="3"/>
  <c r="J147" i="3"/>
  <c r="K147" i="3"/>
  <c r="J148" i="3"/>
  <c r="K148" i="3"/>
  <c r="G144" i="3"/>
  <c r="G145" i="3"/>
  <c r="G146" i="3"/>
  <c r="G147" i="3"/>
  <c r="G148" i="3"/>
  <c r="F181" i="2"/>
  <c r="AB181" i="2"/>
  <c r="J174" i="2"/>
  <c r="K174" i="2"/>
  <c r="G174" i="2"/>
  <c r="G175" i="2"/>
  <c r="G176" i="2"/>
  <c r="G177" i="2"/>
  <c r="Y484" i="1"/>
  <c r="Y485" i="1"/>
  <c r="Y486" i="1"/>
  <c r="Y487" i="1"/>
  <c r="Y488" i="1"/>
  <c r="J491" i="1"/>
  <c r="J484" i="1"/>
  <c r="J485" i="1"/>
  <c r="J486" i="1"/>
  <c r="J487" i="1"/>
  <c r="J488" i="1"/>
  <c r="F491" i="1"/>
  <c r="G484" i="1"/>
  <c r="G485" i="1"/>
  <c r="G486" i="1"/>
  <c r="G487" i="1"/>
  <c r="G488" i="1"/>
  <c r="AX2" i="7"/>
  <c r="AX40" i="7"/>
  <c r="AP40" i="7"/>
  <c r="AP41" i="7"/>
  <c r="AP30" i="7"/>
  <c r="AP31" i="7"/>
  <c r="AP32" i="7"/>
  <c r="AP33" i="7"/>
  <c r="AP23" i="7"/>
  <c r="AP24" i="7"/>
  <c r="AP25" i="7"/>
  <c r="AP26" i="7"/>
  <c r="AP19" i="7"/>
  <c r="AP12" i="7"/>
  <c r="AP5" i="7"/>
  <c r="AA181" i="2"/>
  <c r="AD4" i="3"/>
  <c r="AD140" i="3"/>
  <c r="AD141" i="3"/>
  <c r="AD142" i="3"/>
  <c r="AD143" i="3"/>
  <c r="M491" i="1"/>
  <c r="C181" i="2"/>
  <c r="T166" i="2"/>
  <c r="U166" i="2"/>
  <c r="T167" i="2"/>
  <c r="U167" i="2"/>
  <c r="T168" i="2"/>
  <c r="U168" i="2"/>
  <c r="T169" i="2"/>
  <c r="U169" i="2"/>
  <c r="T170" i="2"/>
  <c r="U170" i="2"/>
  <c r="T171" i="2"/>
  <c r="U171" i="2"/>
  <c r="T172" i="2"/>
  <c r="U172" i="2"/>
  <c r="T173" i="2"/>
  <c r="U173" i="2"/>
  <c r="U474" i="1"/>
  <c r="V474" i="1"/>
  <c r="U475" i="1"/>
  <c r="V475" i="1"/>
  <c r="U476" i="1"/>
  <c r="V476" i="1"/>
  <c r="U477" i="1"/>
  <c r="V477" i="1"/>
  <c r="U478" i="1"/>
  <c r="V478" i="1"/>
  <c r="U479" i="1"/>
  <c r="V479" i="1"/>
  <c r="U480" i="1"/>
  <c r="V480" i="1"/>
  <c r="U481" i="1"/>
  <c r="V481" i="1"/>
  <c r="U482" i="1"/>
  <c r="V482" i="1"/>
  <c r="U483" i="1"/>
  <c r="V483" i="1"/>
  <c r="N491" i="1"/>
  <c r="T143" i="3"/>
  <c r="U143" i="3"/>
  <c r="T142" i="3"/>
  <c r="U142" i="3"/>
  <c r="T141" i="3"/>
  <c r="U141" i="3"/>
  <c r="T140" i="3"/>
  <c r="U140" i="3"/>
  <c r="J140" i="3"/>
  <c r="K140" i="3"/>
  <c r="J141" i="3"/>
  <c r="K141" i="3"/>
  <c r="J142" i="3"/>
  <c r="K142" i="3"/>
  <c r="J143" i="3"/>
  <c r="K143" i="3"/>
  <c r="G140" i="3"/>
  <c r="G141" i="3"/>
  <c r="G142" i="3"/>
  <c r="G143" i="3"/>
  <c r="AC166" i="2"/>
  <c r="AC167" i="2"/>
  <c r="AC168" i="2"/>
  <c r="AC169" i="2"/>
  <c r="AC170" i="2"/>
  <c r="AC171" i="2"/>
  <c r="AC172" i="2"/>
  <c r="AC17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G166" i="2"/>
  <c r="G167" i="2"/>
  <c r="G168" i="2"/>
  <c r="G169" i="2"/>
  <c r="G170" i="2"/>
  <c r="G171" i="2"/>
  <c r="G172" i="2"/>
  <c r="G173" i="2"/>
  <c r="U473" i="1"/>
  <c r="V473"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20" i="1"/>
  <c r="Y5" i="1"/>
  <c r="Y6" i="1"/>
  <c r="Y7" i="1"/>
  <c r="Y8" i="1"/>
  <c r="Y9" i="1"/>
  <c r="Y10" i="1"/>
  <c r="Y11" i="1"/>
  <c r="Y12" i="1"/>
  <c r="Y13" i="1"/>
  <c r="Y14" i="1"/>
  <c r="Y15" i="1"/>
  <c r="Y16" i="1"/>
  <c r="Y17" i="1"/>
  <c r="Y18" i="1"/>
  <c r="Y19" i="1"/>
  <c r="Y4" i="1"/>
  <c r="J474" i="1"/>
  <c r="K474" i="1"/>
  <c r="J475" i="1"/>
  <c r="K475" i="1"/>
  <c r="J476" i="1"/>
  <c r="K476" i="1"/>
  <c r="J477" i="1"/>
  <c r="K477" i="1"/>
  <c r="J478" i="1"/>
  <c r="K478" i="1"/>
  <c r="J479" i="1"/>
  <c r="K479" i="1"/>
  <c r="J480" i="1"/>
  <c r="K480" i="1"/>
  <c r="J481" i="1"/>
  <c r="K481" i="1"/>
  <c r="J482" i="1"/>
  <c r="K482" i="1"/>
  <c r="J483" i="1"/>
  <c r="K483" i="1"/>
  <c r="J473" i="1"/>
  <c r="K473" i="1"/>
  <c r="G473" i="1"/>
  <c r="G474" i="1"/>
  <c r="G475" i="1"/>
  <c r="G476" i="1"/>
  <c r="G477" i="1"/>
  <c r="G478" i="1"/>
  <c r="G479" i="1"/>
  <c r="G480" i="1"/>
  <c r="G481" i="1"/>
  <c r="G482" i="1"/>
  <c r="G483" i="1"/>
  <c r="AO40" i="7"/>
  <c r="AN40" i="7"/>
  <c r="AO30" i="7"/>
  <c r="AO31" i="7"/>
  <c r="AO32" i="7"/>
  <c r="AO33" i="7"/>
  <c r="AO23" i="7"/>
  <c r="AO24" i="7"/>
  <c r="AO25" i="7"/>
  <c r="AO26" i="7"/>
  <c r="AO19" i="7"/>
  <c r="AO12" i="7"/>
  <c r="AO5" i="7"/>
  <c r="T135" i="3"/>
  <c r="U135" i="3"/>
  <c r="T136" i="3"/>
  <c r="U136" i="3"/>
  <c r="T137" i="3"/>
  <c r="U137" i="3"/>
  <c r="T138" i="3"/>
  <c r="U138" i="3"/>
  <c r="T139" i="3"/>
  <c r="U139" i="3"/>
  <c r="M181" i="2"/>
  <c r="T140" i="2"/>
  <c r="U140" i="2"/>
  <c r="T137" i="2"/>
  <c r="U137" i="2"/>
  <c r="T128" i="2"/>
  <c r="U128" i="2"/>
  <c r="T127" i="2"/>
  <c r="U127" i="2"/>
  <c r="T126" i="2"/>
  <c r="U126" i="2"/>
  <c r="T164" i="2"/>
  <c r="U350" i="1"/>
  <c r="V350" i="1"/>
  <c r="U412" i="1"/>
  <c r="V412" i="1"/>
  <c r="U378" i="1"/>
  <c r="V378" i="1"/>
  <c r="U319" i="1"/>
  <c r="V319" i="1"/>
  <c r="U453" i="1"/>
  <c r="V453" i="1"/>
  <c r="U343" i="1"/>
  <c r="V343" i="1"/>
  <c r="U415" i="1"/>
  <c r="V415" i="1"/>
  <c r="U351" i="1"/>
  <c r="V351" i="1"/>
  <c r="U352" i="1"/>
  <c r="V352" i="1"/>
  <c r="U410" i="1"/>
  <c r="V410" i="1"/>
  <c r="U364" i="1"/>
  <c r="V364" i="1"/>
  <c r="U342" i="1"/>
  <c r="V342" i="1"/>
  <c r="U332" i="1"/>
  <c r="V332" i="1"/>
  <c r="U330" i="1"/>
  <c r="V330" i="1"/>
  <c r="U340" i="1"/>
  <c r="V340" i="1"/>
  <c r="U338" i="1"/>
  <c r="V338" i="1"/>
  <c r="U325" i="1"/>
  <c r="V325" i="1"/>
  <c r="U306" i="1"/>
  <c r="V306" i="1"/>
  <c r="U333" i="1"/>
  <c r="V333" i="1"/>
  <c r="U323" i="1"/>
  <c r="V323" i="1"/>
  <c r="U304" i="1"/>
  <c r="V304" i="1"/>
  <c r="U324" i="1"/>
  <c r="V324" i="1"/>
  <c r="U321" i="1"/>
  <c r="V321" i="1"/>
  <c r="U295" i="1"/>
  <c r="V295" i="1"/>
  <c r="U296" i="1"/>
  <c r="V296" i="1"/>
  <c r="U443" i="1"/>
  <c r="V443" i="1"/>
  <c r="U297" i="1"/>
  <c r="V297" i="1"/>
  <c r="U298" i="1"/>
  <c r="V298" i="1"/>
  <c r="U299" i="1"/>
  <c r="V299" i="1"/>
  <c r="U300" i="1"/>
  <c r="V300" i="1"/>
  <c r="U301" i="1"/>
  <c r="V301" i="1"/>
  <c r="U302" i="1"/>
  <c r="V302" i="1"/>
  <c r="AD135" i="3"/>
  <c r="AD136" i="3"/>
  <c r="AD137" i="3"/>
  <c r="AD138" i="3"/>
  <c r="AD139" i="3"/>
  <c r="T134" i="3"/>
  <c r="U134" i="3"/>
  <c r="AD134" i="3"/>
  <c r="J135" i="3"/>
  <c r="K135" i="3"/>
  <c r="J136" i="3"/>
  <c r="K136" i="3"/>
  <c r="J137" i="3"/>
  <c r="K137" i="3"/>
  <c r="J138" i="3"/>
  <c r="K138" i="3"/>
  <c r="J139" i="3"/>
  <c r="K139" i="3"/>
  <c r="J134" i="3"/>
  <c r="K134" i="3"/>
  <c r="G134" i="3"/>
  <c r="G135" i="3"/>
  <c r="G136" i="3"/>
  <c r="G137" i="3"/>
  <c r="G138" i="3"/>
  <c r="G139" i="3"/>
  <c r="U99" i="2"/>
  <c r="U163" i="2"/>
  <c r="U93" i="2"/>
  <c r="U34" i="2"/>
  <c r="U39" i="2"/>
  <c r="U45" i="2"/>
  <c r="U120" i="2"/>
  <c r="U17" i="2"/>
  <c r="U36" i="2"/>
  <c r="U16" i="2"/>
  <c r="U81" i="2"/>
  <c r="U157" i="2"/>
  <c r="U119" i="2"/>
  <c r="U27" i="2"/>
  <c r="U146" i="2"/>
  <c r="U145" i="2"/>
  <c r="U10" i="2"/>
  <c r="U75" i="2"/>
  <c r="U149" i="2"/>
  <c r="U55" i="2"/>
  <c r="U124" i="2"/>
  <c r="U74" i="2"/>
  <c r="U161" i="2"/>
  <c r="U142" i="2"/>
  <c r="U152" i="2"/>
  <c r="U88" i="2"/>
  <c r="U8" i="2"/>
  <c r="U129" i="2"/>
  <c r="U53" i="2"/>
  <c r="U94" i="2"/>
  <c r="U86" i="2"/>
  <c r="U21" i="2"/>
  <c r="U100" i="2"/>
  <c r="U83" i="2"/>
  <c r="U66" i="2"/>
  <c r="U64" i="2"/>
  <c r="U104" i="2"/>
  <c r="U105" i="2"/>
  <c r="U106" i="2"/>
  <c r="U107" i="2"/>
  <c r="U108" i="2"/>
  <c r="U109" i="2"/>
  <c r="U110" i="2"/>
  <c r="U111" i="2"/>
  <c r="U112" i="2"/>
  <c r="U113" i="2"/>
  <c r="U114" i="2"/>
  <c r="U115" i="2"/>
  <c r="U125" i="2"/>
  <c r="U133" i="2"/>
  <c r="U57" i="2"/>
  <c r="U84" i="2"/>
  <c r="U123" i="2"/>
  <c r="U61" i="2"/>
  <c r="U154" i="2"/>
  <c r="U62" i="2"/>
  <c r="U89" i="2"/>
  <c r="U131" i="2"/>
  <c r="U103" i="2"/>
  <c r="U136" i="2"/>
  <c r="U117" i="2"/>
  <c r="U159" i="2"/>
  <c r="U98" i="2"/>
  <c r="U87" i="2"/>
  <c r="U95" i="2"/>
  <c r="U132" i="2"/>
  <c r="U116" i="2"/>
  <c r="U135" i="2"/>
  <c r="U162" i="2"/>
  <c r="U73" i="2"/>
  <c r="U80" i="2"/>
  <c r="U91" i="2"/>
  <c r="U144" i="2"/>
  <c r="U78" i="2"/>
  <c r="U79" i="2"/>
  <c r="U54" i="2"/>
  <c r="U121" i="2"/>
  <c r="U97" i="2"/>
  <c r="U56" i="2"/>
  <c r="U122" i="2"/>
  <c r="U72" i="2"/>
  <c r="U82" i="2"/>
  <c r="U101" i="2"/>
  <c r="U65" i="2"/>
  <c r="U41" i="2"/>
  <c r="U35" i="2"/>
  <c r="U96" i="2"/>
  <c r="U63" i="2"/>
  <c r="U147" i="2"/>
  <c r="U134" i="2"/>
  <c r="U46" i="2"/>
  <c r="U67" i="2"/>
  <c r="U92" i="2"/>
  <c r="U12" i="2"/>
  <c r="U148" i="2"/>
  <c r="U70" i="2"/>
  <c r="U59" i="2"/>
  <c r="U51" i="2"/>
  <c r="U44" i="2"/>
  <c r="U138" i="2"/>
  <c r="U141" i="2"/>
  <c r="U26" i="2"/>
  <c r="U156" i="2"/>
  <c r="U69" i="2"/>
  <c r="U76" i="2"/>
  <c r="U139" i="2"/>
  <c r="U52" i="2"/>
  <c r="U60" i="2"/>
  <c r="U77" i="2"/>
  <c r="U37" i="2"/>
  <c r="U71" i="2"/>
  <c r="U158" i="2"/>
  <c r="U102" i="2"/>
  <c r="U43" i="2"/>
  <c r="U153" i="2"/>
  <c r="U25" i="2"/>
  <c r="U22" i="2"/>
  <c r="U85" i="2"/>
  <c r="U40" i="2"/>
  <c r="U58" i="2"/>
  <c r="U90" i="2"/>
  <c r="U30" i="2"/>
  <c r="U15" i="2"/>
  <c r="U24" i="2"/>
  <c r="U160" i="2"/>
  <c r="U118" i="2"/>
  <c r="U38" i="2"/>
  <c r="U47" i="2"/>
  <c r="U29" i="2"/>
  <c r="U28" i="2"/>
  <c r="U150" i="2"/>
  <c r="U155" i="2"/>
  <c r="U32" i="2"/>
  <c r="U31" i="2"/>
  <c r="U49" i="2"/>
  <c r="U23" i="2"/>
  <c r="U48" i="2"/>
  <c r="U13" i="2"/>
  <c r="U7" i="2"/>
  <c r="U130" i="2"/>
  <c r="U11" i="2"/>
  <c r="U14" i="2"/>
  <c r="U18" i="2"/>
  <c r="U9" i="2"/>
  <c r="U50" i="2"/>
  <c r="U42" i="2"/>
  <c r="U33" i="2"/>
  <c r="U143" i="2"/>
  <c r="U6" i="2"/>
  <c r="U5" i="2"/>
  <c r="U19" i="2"/>
  <c r="U20" i="2"/>
  <c r="U68" i="2"/>
  <c r="U3" i="2"/>
  <c r="U4" i="2"/>
  <c r="U151" i="2"/>
  <c r="U165" i="2"/>
  <c r="U164" i="2"/>
  <c r="V472" i="1"/>
  <c r="T99" i="2"/>
  <c r="T163" i="2"/>
  <c r="T93" i="2"/>
  <c r="T34" i="2"/>
  <c r="T39" i="2"/>
  <c r="T45" i="2"/>
  <c r="T120" i="2"/>
  <c r="T17" i="2"/>
  <c r="T36" i="2"/>
  <c r="T16" i="2"/>
  <c r="T81" i="2"/>
  <c r="T157" i="2"/>
  <c r="T119" i="2"/>
  <c r="T27" i="2"/>
  <c r="T146" i="2"/>
  <c r="T145" i="2"/>
  <c r="T10" i="2"/>
  <c r="T75" i="2"/>
  <c r="T149" i="2"/>
  <c r="T55" i="2"/>
  <c r="T124" i="2"/>
  <c r="T74" i="2"/>
  <c r="T161" i="2"/>
  <c r="T142" i="2"/>
  <c r="T152" i="2"/>
  <c r="T88" i="2"/>
  <c r="T8" i="2"/>
  <c r="T129" i="2"/>
  <c r="T53" i="2"/>
  <c r="T94" i="2"/>
  <c r="T86" i="2"/>
  <c r="T21" i="2"/>
  <c r="T100" i="2"/>
  <c r="T83" i="2"/>
  <c r="T66" i="2"/>
  <c r="T64" i="2"/>
  <c r="T104" i="2"/>
  <c r="T105" i="2"/>
  <c r="T106" i="2"/>
  <c r="T107" i="2"/>
  <c r="T108" i="2"/>
  <c r="T109" i="2"/>
  <c r="T110" i="2"/>
  <c r="T111" i="2"/>
  <c r="T112" i="2"/>
  <c r="T113" i="2"/>
  <c r="T114" i="2"/>
  <c r="T115" i="2"/>
  <c r="T125" i="2"/>
  <c r="T133" i="2"/>
  <c r="T57" i="2"/>
  <c r="T84" i="2"/>
  <c r="T123" i="2"/>
  <c r="T61" i="2"/>
  <c r="T154" i="2"/>
  <c r="T62" i="2"/>
  <c r="T89" i="2"/>
  <c r="T131" i="2"/>
  <c r="T103" i="2"/>
  <c r="T136" i="2"/>
  <c r="T117" i="2"/>
  <c r="T159" i="2"/>
  <c r="T98" i="2"/>
  <c r="T87" i="2"/>
  <c r="T95" i="2"/>
  <c r="T132" i="2"/>
  <c r="T116" i="2"/>
  <c r="T135" i="2"/>
  <c r="T162" i="2"/>
  <c r="T73" i="2"/>
  <c r="T80" i="2"/>
  <c r="T91" i="2"/>
  <c r="T144" i="2"/>
  <c r="T78" i="2"/>
  <c r="T79" i="2"/>
  <c r="T54" i="2"/>
  <c r="T121" i="2"/>
  <c r="T97" i="2"/>
  <c r="T56" i="2"/>
  <c r="T122" i="2"/>
  <c r="T72" i="2"/>
  <c r="T82" i="2"/>
  <c r="T101" i="2"/>
  <c r="T65" i="2"/>
  <c r="T41" i="2"/>
  <c r="T35" i="2"/>
  <c r="T96" i="2"/>
  <c r="T63" i="2"/>
  <c r="T147" i="2"/>
  <c r="T134" i="2"/>
  <c r="T46" i="2"/>
  <c r="T67" i="2"/>
  <c r="T92" i="2"/>
  <c r="T12" i="2"/>
  <c r="T148" i="2"/>
  <c r="T70" i="2"/>
  <c r="T59" i="2"/>
  <c r="T51" i="2"/>
  <c r="T44" i="2"/>
  <c r="T138" i="2"/>
  <c r="T141" i="2"/>
  <c r="T26" i="2"/>
  <c r="T156" i="2"/>
  <c r="T69" i="2"/>
  <c r="T76" i="2"/>
  <c r="T139" i="2"/>
  <c r="T52" i="2"/>
  <c r="T60" i="2"/>
  <c r="T77" i="2"/>
  <c r="T37" i="2"/>
  <c r="T71" i="2"/>
  <c r="T158" i="2"/>
  <c r="T102" i="2"/>
  <c r="T43" i="2"/>
  <c r="T153" i="2"/>
  <c r="T25" i="2"/>
  <c r="T22" i="2"/>
  <c r="T85" i="2"/>
  <c r="T40" i="2"/>
  <c r="T58" i="2"/>
  <c r="T90" i="2"/>
  <c r="T30" i="2"/>
  <c r="T15" i="2"/>
  <c r="T24" i="2"/>
  <c r="T160" i="2"/>
  <c r="T118" i="2"/>
  <c r="T38" i="2"/>
  <c r="T47" i="2"/>
  <c r="T29" i="2"/>
  <c r="T28" i="2"/>
  <c r="T150" i="2"/>
  <c r="T155" i="2"/>
  <c r="T32" i="2"/>
  <c r="T31" i="2"/>
  <c r="T49" i="2"/>
  <c r="T23" i="2"/>
  <c r="T48" i="2"/>
  <c r="T13" i="2"/>
  <c r="T7" i="2"/>
  <c r="T130" i="2"/>
  <c r="T11" i="2"/>
  <c r="T14" i="2"/>
  <c r="T18" i="2"/>
  <c r="T9" i="2"/>
  <c r="T50" i="2"/>
  <c r="T42" i="2"/>
  <c r="T33" i="2"/>
  <c r="T143" i="2"/>
  <c r="T6" i="2"/>
  <c r="T5" i="2"/>
  <c r="T19" i="2"/>
  <c r="T20" i="2"/>
  <c r="T68" i="2"/>
  <c r="T3" i="2"/>
  <c r="T4" i="2"/>
  <c r="T151" i="2"/>
  <c r="T165" i="2"/>
  <c r="G140" i="2"/>
  <c r="G137" i="2"/>
  <c r="G128" i="2"/>
  <c r="G127" i="2"/>
  <c r="G126" i="2"/>
  <c r="J412" i="1"/>
  <c r="K412" i="1"/>
  <c r="J378" i="1"/>
  <c r="K378" i="1"/>
  <c r="J319" i="1"/>
  <c r="K319" i="1"/>
  <c r="J453" i="1"/>
  <c r="K453" i="1"/>
  <c r="J343" i="1"/>
  <c r="K343" i="1"/>
  <c r="J415" i="1"/>
  <c r="K415" i="1"/>
  <c r="J351" i="1"/>
  <c r="K351" i="1"/>
  <c r="J352" i="1"/>
  <c r="K352" i="1"/>
  <c r="J410" i="1"/>
  <c r="K410" i="1"/>
  <c r="J364" i="1"/>
  <c r="K364" i="1"/>
  <c r="J342" i="1"/>
  <c r="K342" i="1"/>
  <c r="J332" i="1"/>
  <c r="K332" i="1"/>
  <c r="J330" i="1"/>
  <c r="K330" i="1"/>
  <c r="J340" i="1"/>
  <c r="K340" i="1"/>
  <c r="J338" i="1"/>
  <c r="K338" i="1"/>
  <c r="J325" i="1"/>
  <c r="K325" i="1"/>
  <c r="J306" i="1"/>
  <c r="K306" i="1"/>
  <c r="J333" i="1"/>
  <c r="K333" i="1"/>
  <c r="J323" i="1"/>
  <c r="K323" i="1"/>
  <c r="J304" i="1"/>
  <c r="K304" i="1"/>
  <c r="J324" i="1"/>
  <c r="K324" i="1"/>
  <c r="J321" i="1"/>
  <c r="K321" i="1"/>
  <c r="J295" i="1"/>
  <c r="K295" i="1"/>
  <c r="J296" i="1"/>
  <c r="K296" i="1"/>
  <c r="J443" i="1"/>
  <c r="K443" i="1"/>
  <c r="J297" i="1"/>
  <c r="K297" i="1"/>
  <c r="J298" i="1"/>
  <c r="K298" i="1"/>
  <c r="J299" i="1"/>
  <c r="K299" i="1"/>
  <c r="J300" i="1"/>
  <c r="K300" i="1"/>
  <c r="J301" i="1"/>
  <c r="K301" i="1"/>
  <c r="J302" i="1"/>
  <c r="K302" i="1"/>
  <c r="G412" i="1"/>
  <c r="G378" i="1"/>
  <c r="G319" i="1"/>
  <c r="G453" i="1"/>
  <c r="G343" i="1"/>
  <c r="G415" i="1"/>
  <c r="G351" i="1"/>
  <c r="G352" i="1"/>
  <c r="G410" i="1"/>
  <c r="G364" i="1"/>
  <c r="G342" i="1"/>
  <c r="G332" i="1"/>
  <c r="G330" i="1"/>
  <c r="G340" i="1"/>
  <c r="G338" i="1"/>
  <c r="G325" i="1"/>
  <c r="G306" i="1"/>
  <c r="G333" i="1"/>
  <c r="G323" i="1"/>
  <c r="G304" i="1"/>
  <c r="G324" i="1"/>
  <c r="G321" i="1"/>
  <c r="G295" i="1"/>
  <c r="G296" i="1"/>
  <c r="G443" i="1"/>
  <c r="G297" i="1"/>
  <c r="G298" i="1"/>
  <c r="G299" i="1"/>
  <c r="G300" i="1"/>
  <c r="G301" i="1"/>
  <c r="G302" i="1"/>
  <c r="J350" i="1"/>
  <c r="K350" i="1"/>
  <c r="G350" i="1"/>
  <c r="V64" i="1"/>
  <c r="U64" i="1"/>
  <c r="J64" i="1"/>
  <c r="K64" i="1"/>
  <c r="G64" i="1"/>
  <c r="AX19" i="7"/>
  <c r="AX11" i="7"/>
  <c r="AX10" i="7"/>
  <c r="AX9" i="7"/>
  <c r="AX3" i="7"/>
  <c r="AX4" i="7"/>
  <c r="AN30" i="7"/>
  <c r="AN31" i="7"/>
  <c r="AN32" i="7"/>
  <c r="AN23" i="7"/>
  <c r="AN24" i="7"/>
  <c r="AN25" i="7"/>
  <c r="AN19" i="7"/>
  <c r="AN5" i="7"/>
  <c r="AN12" i="7"/>
  <c r="V130" i="1"/>
  <c r="U130" i="1"/>
  <c r="J451" i="1"/>
  <c r="J274" i="1"/>
  <c r="J224" i="1"/>
  <c r="J376" i="1"/>
  <c r="J448" i="1"/>
  <c r="J463" i="1"/>
  <c r="J467" i="1"/>
  <c r="J411" i="1"/>
  <c r="J426" i="1"/>
  <c r="J458" i="1"/>
  <c r="J468" i="1"/>
  <c r="J456" i="1"/>
  <c r="J469" i="1"/>
  <c r="J454" i="1"/>
  <c r="J452" i="1"/>
  <c r="J391" i="1"/>
  <c r="J407" i="1"/>
  <c r="J367" i="1"/>
  <c r="J446" i="1"/>
  <c r="J369" i="1"/>
  <c r="J389" i="1"/>
  <c r="J432" i="1"/>
  <c r="J403" i="1"/>
  <c r="J405" i="1"/>
  <c r="J434" i="1"/>
  <c r="J130" i="1"/>
  <c r="K130" i="1"/>
  <c r="G130" i="1"/>
  <c r="U274" i="1"/>
  <c r="V274" i="1"/>
  <c r="U224" i="1"/>
  <c r="V224" i="1"/>
  <c r="U376" i="1"/>
  <c r="V376" i="1"/>
  <c r="U448" i="1"/>
  <c r="V448" i="1"/>
  <c r="U463" i="1"/>
  <c r="V463" i="1"/>
  <c r="U467" i="1"/>
  <c r="V467" i="1"/>
  <c r="U411" i="1"/>
  <c r="V411" i="1"/>
  <c r="U426" i="1"/>
  <c r="V426" i="1"/>
  <c r="U458" i="1"/>
  <c r="V458" i="1"/>
  <c r="U468" i="1"/>
  <c r="V468" i="1"/>
  <c r="U456" i="1"/>
  <c r="V456" i="1"/>
  <c r="U469" i="1"/>
  <c r="V469" i="1"/>
  <c r="U454" i="1"/>
  <c r="V454" i="1"/>
  <c r="U452" i="1"/>
  <c r="V452" i="1"/>
  <c r="U391" i="1"/>
  <c r="V391" i="1"/>
  <c r="U407" i="1"/>
  <c r="V407" i="1"/>
  <c r="U367" i="1"/>
  <c r="V367" i="1"/>
  <c r="U446" i="1"/>
  <c r="V446" i="1"/>
  <c r="U369" i="1"/>
  <c r="V369" i="1"/>
  <c r="U389" i="1"/>
  <c r="V389" i="1"/>
  <c r="U432" i="1"/>
  <c r="V432" i="1"/>
  <c r="U403" i="1"/>
  <c r="V403" i="1"/>
  <c r="U405" i="1"/>
  <c r="V405" i="1"/>
  <c r="U434" i="1"/>
  <c r="V434" i="1"/>
  <c r="U451" i="1"/>
  <c r="V451" i="1"/>
  <c r="K274" i="1"/>
  <c r="K224" i="1"/>
  <c r="K376" i="1"/>
  <c r="K448" i="1"/>
  <c r="K463" i="1"/>
  <c r="K467" i="1"/>
  <c r="K411" i="1"/>
  <c r="K426" i="1"/>
  <c r="K458" i="1"/>
  <c r="K468" i="1"/>
  <c r="K456" i="1"/>
  <c r="K469" i="1"/>
  <c r="K454" i="1"/>
  <c r="K452" i="1"/>
  <c r="K391" i="1"/>
  <c r="K407" i="1"/>
  <c r="K367" i="1"/>
  <c r="K446" i="1"/>
  <c r="K369" i="1"/>
  <c r="K389" i="1"/>
  <c r="K432" i="1"/>
  <c r="K403" i="1"/>
  <c r="K405" i="1"/>
  <c r="K434" i="1"/>
  <c r="K451" i="1"/>
  <c r="T29" i="3"/>
  <c r="U29" i="3"/>
  <c r="T24" i="3"/>
  <c r="U24" i="3"/>
  <c r="T25" i="3"/>
  <c r="U25" i="3"/>
  <c r="T36" i="3"/>
  <c r="U36" i="3"/>
  <c r="AD29" i="3"/>
  <c r="AD24" i="3"/>
  <c r="AD25" i="3"/>
  <c r="AD36" i="3"/>
  <c r="J36" i="3"/>
  <c r="K36" i="3"/>
  <c r="J25" i="3"/>
  <c r="K25" i="3"/>
  <c r="J24" i="3"/>
  <c r="K24" i="3"/>
  <c r="J29" i="3"/>
  <c r="K29" i="3"/>
  <c r="G29" i="3"/>
  <c r="G24" i="3"/>
  <c r="G25" i="3"/>
  <c r="G36" i="3"/>
  <c r="G158" i="2"/>
  <c r="G133" i="2"/>
  <c r="G159" i="2"/>
  <c r="G450" i="1"/>
  <c r="G451" i="1"/>
  <c r="G274" i="1"/>
  <c r="G224" i="1"/>
  <c r="G376" i="1"/>
  <c r="G448" i="1"/>
  <c r="G463" i="1"/>
  <c r="G467" i="1"/>
  <c r="G411" i="1"/>
  <c r="G426" i="1"/>
  <c r="G458" i="1"/>
  <c r="G468" i="1"/>
  <c r="G456" i="1"/>
  <c r="G469" i="1"/>
  <c r="G454" i="1"/>
  <c r="G452" i="1"/>
  <c r="G391" i="1"/>
  <c r="G407" i="1"/>
  <c r="G367" i="1"/>
  <c r="G446" i="1"/>
  <c r="G369" i="1"/>
  <c r="G389" i="1"/>
  <c r="G432" i="1"/>
  <c r="G403" i="1"/>
  <c r="G405" i="1"/>
  <c r="G434" i="1"/>
  <c r="J450" i="1"/>
  <c r="K450" i="1"/>
  <c r="AM40" i="7"/>
  <c r="AM41" i="7" s="1"/>
  <c r="AM30" i="7"/>
  <c r="AM31" i="7"/>
  <c r="AM32" i="7"/>
  <c r="AM23" i="7"/>
  <c r="AM24" i="7"/>
  <c r="AM25" i="7"/>
  <c r="AM19" i="7"/>
  <c r="AM33" i="7" s="1"/>
  <c r="AM12" i="7"/>
  <c r="AM5" i="7"/>
  <c r="G141" i="2"/>
  <c r="AD76" i="3"/>
  <c r="AD48" i="3"/>
  <c r="AD86" i="3"/>
  <c r="AD51" i="3"/>
  <c r="T48" i="3"/>
  <c r="U48" i="3"/>
  <c r="T86" i="3"/>
  <c r="U86" i="3"/>
  <c r="T51" i="3"/>
  <c r="U51" i="3"/>
  <c r="K86" i="3"/>
  <c r="K48" i="3"/>
  <c r="K76" i="3"/>
  <c r="J86" i="3"/>
  <c r="J48" i="3"/>
  <c r="J76" i="3"/>
  <c r="J51" i="3"/>
  <c r="K51" i="3"/>
  <c r="G51" i="3"/>
  <c r="G86" i="3"/>
  <c r="G48" i="3"/>
  <c r="G76" i="3"/>
  <c r="G108" i="2"/>
  <c r="G109" i="2"/>
  <c r="G110" i="2"/>
  <c r="G111" i="2"/>
  <c r="G112" i="2"/>
  <c r="G113" i="2"/>
  <c r="G114" i="2"/>
  <c r="G115" i="2"/>
  <c r="V345" i="1"/>
  <c r="V279" i="1"/>
  <c r="V390" i="1"/>
  <c r="V320" i="1"/>
  <c r="V400" i="1"/>
  <c r="V402" i="1"/>
  <c r="V361" i="1"/>
  <c r="V413" i="1"/>
  <c r="V418" i="1"/>
  <c r="V288" i="1"/>
  <c r="V271" i="1"/>
  <c r="V89" i="1"/>
  <c r="V372" i="1"/>
  <c r="V374" i="1"/>
  <c r="V428" i="1"/>
  <c r="V314" i="1"/>
  <c r="V429" i="1"/>
  <c r="V337" i="1"/>
  <c r="V339" i="1"/>
  <c r="V436" i="1"/>
  <c r="U279" i="1"/>
  <c r="U390" i="1"/>
  <c r="U320" i="1"/>
  <c r="U400" i="1"/>
  <c r="U402" i="1"/>
  <c r="U361" i="1"/>
  <c r="U413" i="1"/>
  <c r="U418" i="1"/>
  <c r="U288" i="1"/>
  <c r="U271" i="1"/>
  <c r="U89" i="1"/>
  <c r="U372" i="1"/>
  <c r="U374" i="1"/>
  <c r="U428" i="1"/>
  <c r="U314" i="1"/>
  <c r="U429" i="1"/>
  <c r="U337" i="1"/>
  <c r="U339" i="1"/>
  <c r="U436" i="1"/>
  <c r="U345" i="1"/>
  <c r="U280" i="1"/>
  <c r="V280" i="1"/>
  <c r="J280" i="1"/>
  <c r="K280" i="1"/>
  <c r="J345" i="1"/>
  <c r="K345" i="1"/>
  <c r="J279" i="1"/>
  <c r="K279" i="1"/>
  <c r="J390" i="1"/>
  <c r="K390" i="1"/>
  <c r="J320" i="1"/>
  <c r="K320" i="1"/>
  <c r="J400" i="1"/>
  <c r="K400" i="1"/>
  <c r="J402" i="1"/>
  <c r="K402" i="1"/>
  <c r="J361" i="1"/>
  <c r="K361" i="1"/>
  <c r="J413" i="1"/>
  <c r="K413" i="1"/>
  <c r="J418" i="1"/>
  <c r="K418" i="1"/>
  <c r="J288" i="1"/>
  <c r="K288" i="1"/>
  <c r="J271" i="1"/>
  <c r="K271" i="1"/>
  <c r="J89" i="1"/>
  <c r="K89" i="1"/>
  <c r="J372" i="1"/>
  <c r="K372" i="1"/>
  <c r="J374" i="1"/>
  <c r="K374" i="1"/>
  <c r="J428" i="1"/>
  <c r="K428" i="1"/>
  <c r="J314" i="1"/>
  <c r="K314" i="1"/>
  <c r="J429" i="1"/>
  <c r="K429" i="1"/>
  <c r="J337" i="1"/>
  <c r="K337" i="1"/>
  <c r="J339" i="1"/>
  <c r="K339" i="1"/>
  <c r="J436" i="1"/>
  <c r="K436" i="1"/>
  <c r="G178" i="1"/>
  <c r="G188" i="1"/>
  <c r="G183" i="1"/>
  <c r="G270" i="1"/>
  <c r="G284" i="1"/>
  <c r="G122" i="1"/>
  <c r="G385" i="1"/>
  <c r="G223" i="1"/>
  <c r="G459" i="1"/>
  <c r="G228" i="1"/>
  <c r="G158" i="1"/>
  <c r="G280" i="1"/>
  <c r="G345" i="1"/>
  <c r="G279" i="1"/>
  <c r="G390" i="1"/>
  <c r="G320" i="1"/>
  <c r="G400" i="1"/>
  <c r="G402" i="1"/>
  <c r="G361" i="1"/>
  <c r="G413" i="1"/>
  <c r="G418" i="1"/>
  <c r="G288" i="1"/>
  <c r="G271" i="1"/>
  <c r="G89" i="1"/>
  <c r="G372" i="1"/>
  <c r="G374" i="1"/>
  <c r="G428" i="1"/>
  <c r="G314" i="1"/>
  <c r="G429" i="1"/>
  <c r="G337" i="1"/>
  <c r="G339" i="1"/>
  <c r="G436" i="1"/>
  <c r="AL40" i="7"/>
  <c r="AL41" i="7" s="1"/>
  <c r="AL30" i="7"/>
  <c r="AL31" i="7"/>
  <c r="AL32" i="7"/>
  <c r="AL25" i="7"/>
  <c r="AL24" i="7"/>
  <c r="AL23" i="7"/>
  <c r="AK23" i="7"/>
  <c r="AL19" i="7"/>
  <c r="AL12" i="7"/>
  <c r="AL5" i="7"/>
  <c r="AX16" i="7"/>
  <c r="U470" i="1"/>
  <c r="V470" i="1"/>
  <c r="U38" i="1"/>
  <c r="V38" i="1"/>
  <c r="U466" i="1"/>
  <c r="V466" i="1"/>
  <c r="U13" i="1"/>
  <c r="V13" i="1"/>
  <c r="U111" i="1"/>
  <c r="V111" i="1"/>
  <c r="U266" i="1"/>
  <c r="V266" i="1"/>
  <c r="U417" i="1"/>
  <c r="V417" i="1"/>
  <c r="U116" i="1"/>
  <c r="V116" i="1"/>
  <c r="U221" i="1"/>
  <c r="V221" i="1"/>
  <c r="U47" i="1"/>
  <c r="V47" i="1"/>
  <c r="U471" i="1"/>
  <c r="V471" i="1"/>
  <c r="U79" i="1"/>
  <c r="V79" i="1"/>
  <c r="U268" i="1"/>
  <c r="V268" i="1"/>
  <c r="U148" i="1"/>
  <c r="V148" i="1"/>
  <c r="U335" i="1"/>
  <c r="V335" i="1"/>
  <c r="U460" i="1"/>
  <c r="V460" i="1"/>
  <c r="U163" i="1"/>
  <c r="V163" i="1"/>
  <c r="U199" i="1"/>
  <c r="V199" i="1"/>
  <c r="U55" i="1"/>
  <c r="V55" i="1"/>
  <c r="U59" i="1"/>
  <c r="V59" i="1"/>
  <c r="U398" i="1"/>
  <c r="V398" i="1"/>
  <c r="U414" i="1"/>
  <c r="V414" i="1"/>
  <c r="U251" i="1"/>
  <c r="V251" i="1"/>
  <c r="U292" i="1"/>
  <c r="V292" i="1"/>
  <c r="U22" i="1"/>
  <c r="V22" i="1"/>
  <c r="U76" i="1"/>
  <c r="V76" i="1"/>
  <c r="U77" i="1"/>
  <c r="V77" i="1"/>
  <c r="U242" i="1"/>
  <c r="V242" i="1"/>
  <c r="U142" i="1"/>
  <c r="V142" i="1"/>
  <c r="U123" i="1"/>
  <c r="V123" i="1"/>
  <c r="U386" i="1"/>
  <c r="V386" i="1"/>
  <c r="U334" i="1"/>
  <c r="V334" i="1"/>
  <c r="U261" i="1"/>
  <c r="V261" i="1"/>
  <c r="U74" i="1"/>
  <c r="V74" i="1"/>
  <c r="U397" i="1"/>
  <c r="V397" i="1"/>
  <c r="U353" i="1"/>
  <c r="V353" i="1"/>
  <c r="U213" i="1"/>
  <c r="V213" i="1"/>
  <c r="U167" i="1"/>
  <c r="V167" i="1"/>
  <c r="U422" i="1"/>
  <c r="V422" i="1"/>
  <c r="U216" i="1"/>
  <c r="V216" i="1"/>
  <c r="U187" i="1"/>
  <c r="V187" i="1"/>
  <c r="U227" i="1"/>
  <c r="V227" i="1"/>
  <c r="U416" i="1"/>
  <c r="V416" i="1"/>
  <c r="U381" i="1"/>
  <c r="V381" i="1"/>
  <c r="U198" i="1"/>
  <c r="V198" i="1"/>
  <c r="U46" i="1"/>
  <c r="V46" i="1"/>
  <c r="U355" i="1"/>
  <c r="V355" i="1"/>
  <c r="U140" i="1"/>
  <c r="V140" i="1"/>
  <c r="U309" i="1"/>
  <c r="V309" i="1"/>
  <c r="U54" i="1"/>
  <c r="V54" i="1"/>
  <c r="U12" i="1"/>
  <c r="V12" i="1"/>
  <c r="U202" i="1"/>
  <c r="V202" i="1"/>
  <c r="U29" i="1"/>
  <c r="V29" i="1"/>
  <c r="U44" i="1"/>
  <c r="V44" i="1"/>
  <c r="U283" i="1"/>
  <c r="V283" i="1"/>
  <c r="U134" i="1"/>
  <c r="V134" i="1"/>
  <c r="U329" i="1"/>
  <c r="V329" i="1"/>
  <c r="U83" i="1"/>
  <c r="V83" i="1"/>
  <c r="U30" i="1"/>
  <c r="V30" i="1"/>
  <c r="U157" i="1"/>
  <c r="V157" i="1"/>
  <c r="U424" i="1"/>
  <c r="V424" i="1"/>
  <c r="U438" i="1"/>
  <c r="V438" i="1"/>
  <c r="U34" i="1"/>
  <c r="V34" i="1"/>
  <c r="U97" i="1"/>
  <c r="V97" i="1"/>
  <c r="U154" i="1"/>
  <c r="V154" i="1"/>
  <c r="U68" i="1"/>
  <c r="V68" i="1"/>
  <c r="U235" i="1"/>
  <c r="V235" i="1"/>
  <c r="U419" i="1"/>
  <c r="V419" i="1"/>
  <c r="U99" i="1"/>
  <c r="V99" i="1"/>
  <c r="U346" i="1"/>
  <c r="V346" i="1"/>
  <c r="U150" i="1"/>
  <c r="V150" i="1"/>
  <c r="U357" i="1"/>
  <c r="V357" i="1"/>
  <c r="U218" i="1"/>
  <c r="V218" i="1"/>
  <c r="U98" i="1"/>
  <c r="V98" i="1"/>
  <c r="U175" i="1"/>
  <c r="V175" i="1"/>
  <c r="U118" i="1"/>
  <c r="V118" i="1"/>
  <c r="U153" i="1"/>
  <c r="V153" i="1"/>
  <c r="U260" i="1"/>
  <c r="V260" i="1"/>
  <c r="U316" i="1"/>
  <c r="V316" i="1"/>
  <c r="U430" i="1"/>
  <c r="V430" i="1"/>
  <c r="U383" i="1"/>
  <c r="V383" i="1"/>
  <c r="U176" i="1"/>
  <c r="V176" i="1"/>
  <c r="U151" i="1"/>
  <c r="V151" i="1"/>
  <c r="U126" i="1"/>
  <c r="V126" i="1"/>
  <c r="U399" i="1"/>
  <c r="V399" i="1"/>
  <c r="U232" i="1"/>
  <c r="V232" i="1"/>
  <c r="U356" i="1"/>
  <c r="V356" i="1"/>
  <c r="U39" i="1"/>
  <c r="V39" i="1"/>
  <c r="U80" i="1"/>
  <c r="V80" i="1"/>
  <c r="U189" i="1"/>
  <c r="V189" i="1"/>
  <c r="U52" i="1"/>
  <c r="V52" i="1"/>
  <c r="U108" i="1"/>
  <c r="V108" i="1"/>
  <c r="U275" i="1"/>
  <c r="V275" i="1"/>
  <c r="U327" i="1"/>
  <c r="V327" i="1"/>
  <c r="U81" i="1"/>
  <c r="V81" i="1"/>
  <c r="U258" i="1"/>
  <c r="V258" i="1"/>
  <c r="U93" i="1"/>
  <c r="V93" i="1"/>
  <c r="U247" i="1"/>
  <c r="V247" i="1"/>
  <c r="U132" i="1"/>
  <c r="V132" i="1"/>
  <c r="U239" i="1"/>
  <c r="V239" i="1"/>
  <c r="U238" i="1"/>
  <c r="V238" i="1"/>
  <c r="U265" i="1"/>
  <c r="V265" i="1"/>
  <c r="U208" i="1"/>
  <c r="V208" i="1"/>
  <c r="U455" i="1"/>
  <c r="V455" i="1"/>
  <c r="U19" i="1"/>
  <c r="V19" i="1"/>
  <c r="U294" i="1"/>
  <c r="V294" i="1"/>
  <c r="U48" i="1"/>
  <c r="V48" i="1"/>
  <c r="U177" i="1"/>
  <c r="V177" i="1"/>
  <c r="U229" i="1"/>
  <c r="V229" i="1"/>
  <c r="U205" i="1"/>
  <c r="V205" i="1"/>
  <c r="U41" i="1"/>
  <c r="V41" i="1"/>
  <c r="U303" i="1"/>
  <c r="V303" i="1"/>
  <c r="U277" i="1"/>
  <c r="V277" i="1"/>
  <c r="U310" i="1"/>
  <c r="V310" i="1"/>
  <c r="U204" i="1"/>
  <c r="V204" i="1"/>
  <c r="U70" i="1"/>
  <c r="V70" i="1"/>
  <c r="U86" i="1"/>
  <c r="V86" i="1"/>
  <c r="U236" i="1"/>
  <c r="V236" i="1"/>
  <c r="U195" i="1"/>
  <c r="V195" i="1"/>
  <c r="U18" i="1"/>
  <c r="V18" i="1"/>
  <c r="U169" i="1"/>
  <c r="V169" i="1"/>
  <c r="U90" i="1"/>
  <c r="V90" i="1"/>
  <c r="U84" i="1"/>
  <c r="V84" i="1"/>
  <c r="U368" i="1"/>
  <c r="V368" i="1"/>
  <c r="U149" i="1"/>
  <c r="V149" i="1"/>
  <c r="U193" i="1"/>
  <c r="V193" i="1"/>
  <c r="U61" i="1"/>
  <c r="V61" i="1"/>
  <c r="U273" i="1"/>
  <c r="V273" i="1"/>
  <c r="U66" i="1"/>
  <c r="V66" i="1"/>
  <c r="U15" i="1"/>
  <c r="V15" i="1"/>
  <c r="U11" i="1"/>
  <c r="V11" i="1"/>
  <c r="U160" i="1"/>
  <c r="V160" i="1"/>
  <c r="U50" i="1"/>
  <c r="V50" i="1"/>
  <c r="U159" i="1"/>
  <c r="V159" i="1"/>
  <c r="U253" i="1"/>
  <c r="V253" i="1"/>
  <c r="U331" i="1"/>
  <c r="V331" i="1"/>
  <c r="U431" i="1"/>
  <c r="V431" i="1"/>
  <c r="U209" i="1"/>
  <c r="V209" i="1"/>
  <c r="U144" i="1"/>
  <c r="V144" i="1"/>
  <c r="U101" i="1"/>
  <c r="V101" i="1"/>
  <c r="U45" i="1"/>
  <c r="V45" i="1"/>
  <c r="U396" i="1"/>
  <c r="V396" i="1"/>
  <c r="U358" i="1"/>
  <c r="V358" i="1"/>
  <c r="U174" i="1"/>
  <c r="V174" i="1"/>
  <c r="U244" i="1"/>
  <c r="V244" i="1"/>
  <c r="U317" i="1"/>
  <c r="V317" i="1"/>
  <c r="U373" i="1"/>
  <c r="V373" i="1"/>
  <c r="U210" i="1"/>
  <c r="V210" i="1"/>
  <c r="U240" i="1"/>
  <c r="V240" i="1"/>
  <c r="U444" i="1"/>
  <c r="V444" i="1"/>
  <c r="U191" i="1"/>
  <c r="V191" i="1"/>
  <c r="U341" i="1"/>
  <c r="V341" i="1"/>
  <c r="U137" i="1"/>
  <c r="V137" i="1"/>
  <c r="U94" i="1"/>
  <c r="V94" i="1"/>
  <c r="U155" i="1"/>
  <c r="V155" i="1"/>
  <c r="U375" i="1"/>
  <c r="V375" i="1"/>
  <c r="U9" i="1"/>
  <c r="V9" i="1"/>
  <c r="U264" i="1"/>
  <c r="V264" i="1"/>
  <c r="U406" i="1"/>
  <c r="V406" i="1"/>
  <c r="U186" i="1"/>
  <c r="V186" i="1"/>
  <c r="U135" i="1"/>
  <c r="V135" i="1"/>
  <c r="U233" i="1"/>
  <c r="V233" i="1"/>
  <c r="U311" i="1"/>
  <c r="V311" i="1"/>
  <c r="U272" i="1"/>
  <c r="V272" i="1"/>
  <c r="U181" i="1"/>
  <c r="V181" i="1"/>
  <c r="U354" i="1"/>
  <c r="V354" i="1"/>
  <c r="U379" i="1"/>
  <c r="V379" i="1"/>
  <c r="U421" i="1"/>
  <c r="V421" i="1"/>
  <c r="U200" i="1"/>
  <c r="V200" i="1"/>
  <c r="U359" i="1"/>
  <c r="V359" i="1"/>
  <c r="U256" i="1"/>
  <c r="V256" i="1"/>
  <c r="U100" i="1"/>
  <c r="V100" i="1"/>
  <c r="U282" i="1"/>
  <c r="V282" i="1"/>
  <c r="U78" i="1"/>
  <c r="V78" i="1"/>
  <c r="U173" i="1"/>
  <c r="V173" i="1"/>
  <c r="U344" i="1"/>
  <c r="V344" i="1"/>
  <c r="U290" i="1"/>
  <c r="V290" i="1"/>
  <c r="U87" i="1"/>
  <c r="V87" i="1"/>
  <c r="U106" i="1"/>
  <c r="V106" i="1"/>
  <c r="U305" i="1"/>
  <c r="V305" i="1"/>
  <c r="U237" i="1"/>
  <c r="V237" i="1"/>
  <c r="U109" i="1"/>
  <c r="V109" i="1"/>
  <c r="U384" i="1"/>
  <c r="V384" i="1"/>
  <c r="U184" i="1"/>
  <c r="V184" i="1"/>
  <c r="U257" i="1"/>
  <c r="V257" i="1"/>
  <c r="U365" i="1"/>
  <c r="V365" i="1"/>
  <c r="U447" i="1"/>
  <c r="V447" i="1"/>
  <c r="U370" i="1"/>
  <c r="V370" i="1"/>
  <c r="U96" i="1"/>
  <c r="V96" i="1"/>
  <c r="U435" i="1"/>
  <c r="V435" i="1"/>
  <c r="U103" i="1"/>
  <c r="V103" i="1"/>
  <c r="U190" i="1"/>
  <c r="V190" i="1"/>
  <c r="U248" i="1"/>
  <c r="V248" i="1"/>
  <c r="U267" i="1"/>
  <c r="V267" i="1"/>
  <c r="U231" i="1"/>
  <c r="V231" i="1"/>
  <c r="U250" i="1"/>
  <c r="V250" i="1"/>
  <c r="U394" i="1"/>
  <c r="V394" i="1"/>
  <c r="U215" i="1"/>
  <c r="V215" i="1"/>
  <c r="U206" i="1"/>
  <c r="V206" i="1"/>
  <c r="U439" i="1"/>
  <c r="V439" i="1"/>
  <c r="U214" i="1"/>
  <c r="V214" i="1"/>
  <c r="U423" i="1"/>
  <c r="V423" i="1"/>
  <c r="U182" i="1"/>
  <c r="V182" i="1"/>
  <c r="U133" i="1"/>
  <c r="V133" i="1"/>
  <c r="U161" i="1"/>
  <c r="V161" i="1"/>
  <c r="U138" i="1"/>
  <c r="V138" i="1"/>
  <c r="U318" i="1"/>
  <c r="V318" i="1"/>
  <c r="U349" i="1"/>
  <c r="V349" i="1"/>
  <c r="U245" i="1"/>
  <c r="V245" i="1"/>
  <c r="U308" i="1"/>
  <c r="V308" i="1"/>
  <c r="U28" i="1"/>
  <c r="V28" i="1"/>
  <c r="U362" i="1"/>
  <c r="V362" i="1"/>
  <c r="U171" i="1"/>
  <c r="V171" i="1"/>
  <c r="U401" i="1"/>
  <c r="V401" i="1"/>
  <c r="U363" i="1"/>
  <c r="V363" i="1"/>
  <c r="U20" i="1"/>
  <c r="V20" i="1"/>
  <c r="U110" i="1"/>
  <c r="V110" i="1"/>
  <c r="U322" i="1"/>
  <c r="V322" i="1"/>
  <c r="U371" i="1"/>
  <c r="V371" i="1"/>
  <c r="U172" i="1"/>
  <c r="V172" i="1"/>
  <c r="U217" i="1"/>
  <c r="V217" i="1"/>
  <c r="U347" i="1"/>
  <c r="V347" i="1"/>
  <c r="U129" i="1"/>
  <c r="V129" i="1"/>
  <c r="U49" i="1"/>
  <c r="V49" i="1"/>
  <c r="U234" i="1"/>
  <c r="V234" i="1"/>
  <c r="U124" i="1"/>
  <c r="V124" i="1"/>
  <c r="U23" i="1"/>
  <c r="V23" i="1"/>
  <c r="U360" i="1"/>
  <c r="V360" i="1"/>
  <c r="U164" i="1"/>
  <c r="V164" i="1"/>
  <c r="U388" i="1"/>
  <c r="V388" i="1"/>
  <c r="U382" i="1"/>
  <c r="V382" i="1"/>
  <c r="U464" i="1"/>
  <c r="V464" i="1"/>
  <c r="U243" i="1"/>
  <c r="V243" i="1"/>
  <c r="U63" i="1"/>
  <c r="V63" i="1"/>
  <c r="U125" i="1"/>
  <c r="V125" i="1"/>
  <c r="U180" i="1"/>
  <c r="V180" i="1"/>
  <c r="U117" i="1"/>
  <c r="V117" i="1"/>
  <c r="U165" i="1"/>
  <c r="V165" i="1"/>
  <c r="U276" i="1"/>
  <c r="V276" i="1"/>
  <c r="U315" i="1"/>
  <c r="V315" i="1"/>
  <c r="U107" i="1"/>
  <c r="V107" i="1"/>
  <c r="U281" i="1"/>
  <c r="V281" i="1"/>
  <c r="U60" i="1"/>
  <c r="V60" i="1"/>
  <c r="U254" i="1"/>
  <c r="V254" i="1"/>
  <c r="U143" i="1"/>
  <c r="V143" i="1"/>
  <c r="U222" i="1"/>
  <c r="V222" i="1"/>
  <c r="U170" i="1"/>
  <c r="V170" i="1"/>
  <c r="U441" i="1"/>
  <c r="V441" i="1"/>
  <c r="U168" i="1"/>
  <c r="V168" i="1"/>
  <c r="U220" i="1"/>
  <c r="V220" i="1"/>
  <c r="U326" i="1"/>
  <c r="V326" i="1"/>
  <c r="U241" i="1"/>
  <c r="V241" i="1"/>
  <c r="U166" i="1"/>
  <c r="V166" i="1"/>
  <c r="U102" i="1"/>
  <c r="V102" i="1"/>
  <c r="U36" i="1"/>
  <c r="V36" i="1"/>
  <c r="U121" i="1"/>
  <c r="V121" i="1"/>
  <c r="U196" i="1"/>
  <c r="V196" i="1"/>
  <c r="U230" i="1"/>
  <c r="V230" i="1"/>
  <c r="U43" i="1"/>
  <c r="V43" i="1"/>
  <c r="U404" i="1"/>
  <c r="V404" i="1"/>
  <c r="U293" i="1"/>
  <c r="V293" i="1"/>
  <c r="U246" i="1"/>
  <c r="V246" i="1"/>
  <c r="U259" i="1"/>
  <c r="V259" i="1"/>
  <c r="U211" i="1"/>
  <c r="V211" i="1"/>
  <c r="U58" i="1"/>
  <c r="V58" i="1"/>
  <c r="U307" i="1"/>
  <c r="V307" i="1"/>
  <c r="U192" i="1"/>
  <c r="V192" i="1"/>
  <c r="U104" i="1"/>
  <c r="V104" i="1"/>
  <c r="U287" i="1"/>
  <c r="V287" i="1"/>
  <c r="U226" i="1"/>
  <c r="V226" i="1"/>
  <c r="U201" i="1"/>
  <c r="V201" i="1"/>
  <c r="U91" i="1"/>
  <c r="V91" i="1"/>
  <c r="U445" i="1"/>
  <c r="V445" i="1"/>
  <c r="U225" i="1"/>
  <c r="V225" i="1"/>
  <c r="U392" i="1"/>
  <c r="V392" i="1"/>
  <c r="U255" i="1"/>
  <c r="V255" i="1"/>
  <c r="U425" i="1"/>
  <c r="V425" i="1"/>
  <c r="U32" i="1"/>
  <c r="V32" i="1"/>
  <c r="U462" i="1"/>
  <c r="V462" i="1"/>
  <c r="U262" i="1"/>
  <c r="V262" i="1"/>
  <c r="U115" i="1"/>
  <c r="V115" i="1"/>
  <c r="U289" i="1"/>
  <c r="V289" i="1"/>
  <c r="U252" i="1"/>
  <c r="V252" i="1"/>
  <c r="U194" i="1"/>
  <c r="V194" i="1"/>
  <c r="U24" i="1"/>
  <c r="V24" i="1"/>
  <c r="U278" i="1"/>
  <c r="V278" i="1"/>
  <c r="U219" i="1"/>
  <c r="V219" i="1"/>
  <c r="U95" i="1"/>
  <c r="V95" i="1"/>
  <c r="U312" i="1"/>
  <c r="V312" i="1"/>
  <c r="U26" i="1"/>
  <c r="V26" i="1"/>
  <c r="U92" i="1"/>
  <c r="V92" i="1"/>
  <c r="U269" i="1"/>
  <c r="V269" i="1"/>
  <c r="U147" i="1"/>
  <c r="V147" i="1"/>
  <c r="U313" i="1"/>
  <c r="V313" i="1"/>
  <c r="U139" i="1"/>
  <c r="V139" i="1"/>
  <c r="U31" i="1"/>
  <c r="V31" i="1"/>
  <c r="U162" i="1"/>
  <c r="V162" i="1"/>
  <c r="U67" i="1"/>
  <c r="V67" i="1"/>
  <c r="U328" i="1"/>
  <c r="V328" i="1"/>
  <c r="U131" i="1"/>
  <c r="V131" i="1"/>
  <c r="U291" i="1"/>
  <c r="V291" i="1"/>
  <c r="U141" i="1"/>
  <c r="V141" i="1"/>
  <c r="U433" i="1"/>
  <c r="V433" i="1"/>
  <c r="U65" i="1"/>
  <c r="V65" i="1"/>
  <c r="U75" i="1"/>
  <c r="V75" i="1"/>
  <c r="U37" i="1"/>
  <c r="V37" i="1"/>
  <c r="U366" i="1"/>
  <c r="V366" i="1"/>
  <c r="U136" i="1"/>
  <c r="V136" i="1"/>
  <c r="U212" i="1"/>
  <c r="V212" i="1"/>
  <c r="U203" i="1"/>
  <c r="V203" i="1"/>
  <c r="U395" i="1"/>
  <c r="V395" i="1"/>
  <c r="U17" i="1"/>
  <c r="V17" i="1"/>
  <c r="U152" i="1"/>
  <c r="V152" i="1"/>
  <c r="U62" i="1"/>
  <c r="V62" i="1"/>
  <c r="U72" i="1"/>
  <c r="V72" i="1"/>
  <c r="U409" i="1"/>
  <c r="V409" i="1"/>
  <c r="U128" i="1"/>
  <c r="V128" i="1"/>
  <c r="U112" i="1"/>
  <c r="V112" i="1"/>
  <c r="U207" i="1"/>
  <c r="V207" i="1"/>
  <c r="U69" i="1"/>
  <c r="V69" i="1"/>
  <c r="U120" i="1"/>
  <c r="V120" i="1"/>
  <c r="U408" i="1"/>
  <c r="V408" i="1"/>
  <c r="U336" i="1"/>
  <c r="V336" i="1"/>
  <c r="U263" i="1"/>
  <c r="V263" i="1"/>
  <c r="U449" i="1"/>
  <c r="V449" i="1"/>
  <c r="U56" i="1"/>
  <c r="V56" i="1"/>
  <c r="U35" i="1"/>
  <c r="V35" i="1"/>
  <c r="U179" i="1"/>
  <c r="V179" i="1"/>
  <c r="U457" i="1"/>
  <c r="V457" i="1"/>
  <c r="U197" i="1"/>
  <c r="V197" i="1"/>
  <c r="U53" i="1"/>
  <c r="V53" i="1"/>
  <c r="U286" i="1"/>
  <c r="V286" i="1"/>
  <c r="U146" i="1"/>
  <c r="V146" i="1"/>
  <c r="U185" i="1"/>
  <c r="V185" i="1"/>
  <c r="U420" i="1"/>
  <c r="V420" i="1"/>
  <c r="U285" i="1"/>
  <c r="V285" i="1"/>
  <c r="U380" i="1"/>
  <c r="V380" i="1"/>
  <c r="U127" i="1"/>
  <c r="V127" i="1"/>
  <c r="U42" i="1"/>
  <c r="V42" i="1"/>
  <c r="U6" i="1"/>
  <c r="V6" i="1"/>
  <c r="U156" i="1"/>
  <c r="V156" i="1"/>
  <c r="U27" i="1"/>
  <c r="V27" i="1"/>
  <c r="U40" i="1"/>
  <c r="V40" i="1"/>
  <c r="U465" i="1"/>
  <c r="V465" i="1"/>
  <c r="U25" i="1"/>
  <c r="V25" i="1"/>
  <c r="U249" i="1"/>
  <c r="V249" i="1"/>
  <c r="U442" i="1"/>
  <c r="V442" i="1"/>
  <c r="U51" i="1"/>
  <c r="V51" i="1"/>
  <c r="U7" i="1"/>
  <c r="V7" i="1"/>
  <c r="U427" i="1"/>
  <c r="V427" i="1"/>
  <c r="U105" i="1"/>
  <c r="V105" i="1"/>
  <c r="U73" i="1"/>
  <c r="V73" i="1"/>
  <c r="U377" i="1"/>
  <c r="V377" i="1"/>
  <c r="U114" i="1"/>
  <c r="V114" i="1"/>
  <c r="U71" i="1"/>
  <c r="V71" i="1"/>
  <c r="U57" i="1"/>
  <c r="V57" i="1"/>
  <c r="U33" i="1"/>
  <c r="V33" i="1"/>
  <c r="U14" i="1"/>
  <c r="V14" i="1"/>
  <c r="U5" i="1"/>
  <c r="V5" i="1"/>
  <c r="U119" i="1"/>
  <c r="V119" i="1"/>
  <c r="U387" i="1"/>
  <c r="V387" i="1"/>
  <c r="U21" i="1"/>
  <c r="V21" i="1"/>
  <c r="U113" i="1"/>
  <c r="V113" i="1"/>
  <c r="U85" i="1"/>
  <c r="V85" i="1"/>
  <c r="U437" i="1"/>
  <c r="V437" i="1"/>
  <c r="U8" i="1"/>
  <c r="V8" i="1"/>
  <c r="U82" i="1"/>
  <c r="V82" i="1"/>
  <c r="U393" i="1"/>
  <c r="V393" i="1"/>
  <c r="U461" i="1"/>
  <c r="V461" i="1"/>
  <c r="U3" i="1"/>
  <c r="V3" i="1"/>
  <c r="U178" i="1"/>
  <c r="V178" i="1"/>
  <c r="U188" i="1"/>
  <c r="V188" i="1"/>
  <c r="U183" i="1"/>
  <c r="V183" i="1"/>
  <c r="U270" i="1"/>
  <c r="V270" i="1"/>
  <c r="U284" i="1"/>
  <c r="V284" i="1"/>
  <c r="U122" i="1"/>
  <c r="V122" i="1"/>
  <c r="U385" i="1"/>
  <c r="V385" i="1"/>
  <c r="U223" i="1"/>
  <c r="V223" i="1"/>
  <c r="U459" i="1"/>
  <c r="V459" i="1"/>
  <c r="U228" i="1"/>
  <c r="V228" i="1"/>
  <c r="U158" i="1"/>
  <c r="V158" i="1"/>
  <c r="U440" i="1"/>
  <c r="V440" i="1"/>
  <c r="U16" i="1"/>
  <c r="V16" i="1"/>
  <c r="U348" i="1"/>
  <c r="V348" i="1"/>
  <c r="U4" i="1"/>
  <c r="V4" i="1"/>
  <c r="U10" i="1"/>
  <c r="V10" i="1"/>
  <c r="U472" i="1"/>
  <c r="U88" i="1"/>
  <c r="V88" i="1"/>
  <c r="T75" i="3"/>
  <c r="U75" i="3"/>
  <c r="T21" i="3"/>
  <c r="U21" i="3"/>
  <c r="T45" i="3"/>
  <c r="U45" i="3"/>
  <c r="T49" i="3"/>
  <c r="U49" i="3"/>
  <c r="T30" i="3"/>
  <c r="U30" i="3"/>
  <c r="T17" i="3"/>
  <c r="U17" i="3"/>
  <c r="T132" i="3"/>
  <c r="AD17" i="3"/>
  <c r="G17" i="3"/>
  <c r="G61" i="2"/>
  <c r="G123" i="2"/>
  <c r="J188" i="1"/>
  <c r="K188" i="1"/>
  <c r="J183" i="1"/>
  <c r="K183" i="1"/>
  <c r="J270" i="1"/>
  <c r="K270" i="1"/>
  <c r="J284" i="1"/>
  <c r="K284" i="1"/>
  <c r="J122" i="1"/>
  <c r="K122" i="1"/>
  <c r="J385" i="1"/>
  <c r="K385" i="1"/>
  <c r="J223" i="1"/>
  <c r="K223" i="1"/>
  <c r="J459" i="1"/>
  <c r="K459" i="1"/>
  <c r="J228" i="1"/>
  <c r="K228" i="1"/>
  <c r="J158" i="1"/>
  <c r="K158" i="1"/>
  <c r="J178" i="1"/>
  <c r="K178" i="1"/>
  <c r="D2" i="5"/>
  <c r="AK40" i="7"/>
  <c r="AK30" i="7"/>
  <c r="AK31" i="7"/>
  <c r="AK32" i="7"/>
  <c r="AK24" i="7"/>
  <c r="AK25" i="7"/>
  <c r="AJ23" i="7"/>
  <c r="AK19" i="7"/>
  <c r="AK12" i="7"/>
  <c r="AK5" i="7"/>
  <c r="AD21" i="3"/>
  <c r="AD45" i="3"/>
  <c r="AD49" i="3"/>
  <c r="AD30" i="3"/>
  <c r="AD47" i="3"/>
  <c r="T47" i="3"/>
  <c r="U47" i="3"/>
  <c r="G47" i="3"/>
  <c r="G21" i="3"/>
  <c r="G45" i="3"/>
  <c r="G49" i="3"/>
  <c r="G30" i="3"/>
  <c r="G45" i="2"/>
  <c r="G55" i="2"/>
  <c r="J440" i="1"/>
  <c r="K440" i="1"/>
  <c r="J10" i="1"/>
  <c r="K10" i="1"/>
  <c r="J150" i="1"/>
  <c r="K150" i="1"/>
  <c r="J98" i="1"/>
  <c r="K98" i="1"/>
  <c r="J221" i="1"/>
  <c r="K221" i="1"/>
  <c r="J242" i="1"/>
  <c r="K242" i="1"/>
  <c r="J266" i="1"/>
  <c r="K266" i="1"/>
  <c r="J16" i="1"/>
  <c r="K16" i="1"/>
  <c r="J118" i="1"/>
  <c r="K118" i="1"/>
  <c r="J466" i="1"/>
  <c r="K466" i="1"/>
  <c r="J422" i="1"/>
  <c r="K422" i="1"/>
  <c r="J275" i="1"/>
  <c r="K275" i="1"/>
  <c r="J292" i="1"/>
  <c r="K292" i="1"/>
  <c r="J417" i="1"/>
  <c r="K417" i="1"/>
  <c r="J116" i="1"/>
  <c r="K116" i="1"/>
  <c r="J142" i="1"/>
  <c r="K142" i="1"/>
  <c r="J260" i="1"/>
  <c r="K260" i="1"/>
  <c r="J356" i="1"/>
  <c r="K356" i="1"/>
  <c r="J175" i="1"/>
  <c r="K175" i="1"/>
  <c r="J239" i="1"/>
  <c r="K239" i="1"/>
  <c r="J44" i="1"/>
  <c r="K44" i="1"/>
  <c r="J247" i="1"/>
  <c r="K247" i="1"/>
  <c r="J238" i="1"/>
  <c r="K238" i="1"/>
  <c r="J265" i="1"/>
  <c r="K265" i="1"/>
  <c r="G163" i="1"/>
  <c r="G440" i="1"/>
  <c r="G10" i="1"/>
  <c r="G150" i="1"/>
  <c r="G98" i="1"/>
  <c r="G221" i="1"/>
  <c r="G242" i="1"/>
  <c r="G266" i="1"/>
  <c r="G16" i="1"/>
  <c r="G118" i="1"/>
  <c r="G466" i="1"/>
  <c r="G422" i="1"/>
  <c r="G275" i="1"/>
  <c r="G292" i="1"/>
  <c r="G417" i="1"/>
  <c r="G116" i="1"/>
  <c r="G142" i="1"/>
  <c r="G260" i="1"/>
  <c r="G356" i="1"/>
  <c r="G175" i="1"/>
  <c r="G239" i="1"/>
  <c r="G44" i="1"/>
  <c r="G247" i="1"/>
  <c r="G238" i="1"/>
  <c r="G265" i="1"/>
  <c r="J163" i="1"/>
  <c r="K163" i="1"/>
  <c r="AJ38" i="7"/>
  <c r="AJ40" i="7" s="1"/>
  <c r="AJ17" i="7"/>
  <c r="AJ19" i="7" s="1"/>
  <c r="AJ10" i="7"/>
  <c r="AJ12" i="7" s="1"/>
  <c r="AJ3" i="7"/>
  <c r="D211" i="5"/>
  <c r="K3" i="2"/>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62" i="5"/>
  <c r="H148" i="5"/>
  <c r="H149" i="5"/>
  <c r="H150" i="5"/>
  <c r="H151" i="5"/>
  <c r="H152" i="5"/>
  <c r="H153" i="5"/>
  <c r="H154" i="5"/>
  <c r="H155" i="5"/>
  <c r="H156" i="5"/>
  <c r="H157" i="5"/>
  <c r="H158" i="5"/>
  <c r="H159" i="5"/>
  <c r="H160" i="5"/>
  <c r="H161"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J558" i="5" s="1"/>
  <c r="H559" i="5"/>
  <c r="I559" i="5" s="1"/>
  <c r="H560" i="5"/>
  <c r="J560" i="5" s="1"/>
  <c r="H561" i="5"/>
  <c r="J561" i="5" s="1"/>
  <c r="H562" i="5"/>
  <c r="I562" i="5" s="1"/>
  <c r="H563" i="5"/>
  <c r="I563" i="5" s="1"/>
  <c r="H564" i="5"/>
  <c r="I564" i="5" s="1"/>
  <c r="H565" i="5"/>
  <c r="I565" i="5" s="1"/>
  <c r="H566" i="5"/>
  <c r="J566" i="5" s="1"/>
  <c r="H567" i="5"/>
  <c r="I567" i="5" s="1"/>
  <c r="H568" i="5"/>
  <c r="J568" i="5" s="1"/>
  <c r="H569" i="5"/>
  <c r="I569" i="5" s="1"/>
  <c r="H570" i="5"/>
  <c r="I570" i="5" s="1"/>
  <c r="H571" i="5"/>
  <c r="I571" i="5" s="1"/>
  <c r="H572" i="5"/>
  <c r="H573" i="5"/>
  <c r="I573" i="5" s="1"/>
  <c r="H574" i="5"/>
  <c r="J574" i="5" s="1"/>
  <c r="H575" i="5"/>
  <c r="I575" i="5" s="1"/>
  <c r="H576" i="5"/>
  <c r="J576" i="5" s="1"/>
  <c r="H577" i="5"/>
  <c r="J577" i="5" s="1"/>
  <c r="H578" i="5"/>
  <c r="I578" i="5" s="1"/>
  <c r="H579" i="5"/>
  <c r="J579" i="5" s="1"/>
  <c r="H580" i="5"/>
  <c r="H581" i="5"/>
  <c r="I581" i="5" s="1"/>
  <c r="H582" i="5"/>
  <c r="I582" i="5" s="1"/>
  <c r="H583" i="5"/>
  <c r="I583" i="5" s="1"/>
  <c r="H584" i="5"/>
  <c r="J584" i="5" s="1"/>
  <c r="H585" i="5"/>
  <c r="I585" i="5" s="1"/>
  <c r="H586" i="5"/>
  <c r="I586" i="5" s="1"/>
  <c r="H587" i="5"/>
  <c r="J587" i="5" s="1"/>
  <c r="H588" i="5"/>
  <c r="I588" i="5" s="1"/>
  <c r="H589" i="5"/>
  <c r="I589" i="5" s="1"/>
  <c r="H590" i="5"/>
  <c r="I590" i="5" s="1"/>
  <c r="H591" i="5"/>
  <c r="I591" i="5" s="1"/>
  <c r="H592" i="5"/>
  <c r="J592" i="5" s="1"/>
  <c r="H593" i="5"/>
  <c r="J593" i="5" s="1"/>
  <c r="H594" i="5"/>
  <c r="I594" i="5" s="1"/>
  <c r="H595" i="5"/>
  <c r="I595" i="5" s="1"/>
  <c r="H596" i="5"/>
  <c r="I596" i="5" s="1"/>
  <c r="H597" i="5"/>
  <c r="I597" i="5" s="1"/>
  <c r="H598" i="5"/>
  <c r="I598" i="5" s="1"/>
  <c r="H599" i="5"/>
  <c r="I599" i="5" s="1"/>
  <c r="H600" i="5"/>
  <c r="J600" i="5" s="1"/>
  <c r="H601" i="5"/>
  <c r="I601" i="5" s="1"/>
  <c r="H602" i="5"/>
  <c r="I602" i="5" s="1"/>
  <c r="H603" i="5"/>
  <c r="J603" i="5" s="1"/>
  <c r="H604" i="5"/>
  <c r="I604" i="5" s="1"/>
  <c r="H605" i="5"/>
  <c r="I605" i="5" s="1"/>
  <c r="H606" i="5"/>
  <c r="I606" i="5" s="1"/>
  <c r="H607" i="5"/>
  <c r="I607" i="5" s="1"/>
  <c r="H608" i="5"/>
  <c r="J608" i="5" s="1"/>
  <c r="H609" i="5"/>
  <c r="J609" i="5" s="1"/>
  <c r="H610" i="5"/>
  <c r="I610" i="5" s="1"/>
  <c r="H611" i="5"/>
  <c r="I611" i="5" s="1"/>
  <c r="H612" i="5"/>
  <c r="I612" i="5" s="1"/>
  <c r="H613" i="5"/>
  <c r="I613" i="5" s="1"/>
  <c r="H614" i="5"/>
  <c r="I614" i="5" s="1"/>
  <c r="H615" i="5"/>
  <c r="H616" i="5"/>
  <c r="J616" i="5" s="1"/>
  <c r="H617" i="5"/>
  <c r="I617" i="5" s="1"/>
  <c r="H618" i="5"/>
  <c r="I618" i="5" s="1"/>
  <c r="H619" i="5"/>
  <c r="I619" i="5" s="1"/>
  <c r="H620" i="5"/>
  <c r="I620" i="5" s="1"/>
  <c r="H621" i="5"/>
  <c r="I621" i="5" s="1"/>
  <c r="H622" i="5"/>
  <c r="J622" i="5" s="1"/>
  <c r="H623" i="5"/>
  <c r="H624" i="5"/>
  <c r="J624" i="5" s="1"/>
  <c r="H625" i="5"/>
  <c r="J625" i="5" s="1"/>
  <c r="H626" i="5"/>
  <c r="I626" i="5" s="1"/>
  <c r="H627" i="5"/>
  <c r="I627" i="5" s="1"/>
  <c r="H628" i="5"/>
  <c r="I628" i="5" s="1"/>
  <c r="H629" i="5"/>
  <c r="I629" i="5" s="1"/>
  <c r="H630" i="5"/>
  <c r="J630" i="5" s="1"/>
  <c r="H631" i="5"/>
  <c r="I631" i="5" s="1"/>
  <c r="H632" i="5"/>
  <c r="J632" i="5" s="1"/>
  <c r="H633" i="5"/>
  <c r="J633" i="5" s="1"/>
  <c r="H634" i="5"/>
  <c r="I634" i="5" s="1"/>
  <c r="H635" i="5"/>
  <c r="I635" i="5" s="1"/>
  <c r="H636" i="5"/>
  <c r="I636" i="5" s="1"/>
  <c r="H637" i="5"/>
  <c r="I637" i="5" s="1"/>
  <c r="H638" i="5"/>
  <c r="J638" i="5" s="1"/>
  <c r="H639" i="5"/>
  <c r="I639" i="5" s="1"/>
  <c r="H640" i="5"/>
  <c r="J640" i="5" s="1"/>
  <c r="H2" i="5"/>
  <c r="I572" i="5"/>
  <c r="I580" i="5"/>
  <c r="J606" i="5"/>
  <c r="I615" i="5"/>
  <c r="I623"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557" i="5"/>
  <c r="D489"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62" i="5"/>
  <c r="D148" i="5"/>
  <c r="D149" i="5"/>
  <c r="D150" i="5"/>
  <c r="D151" i="5"/>
  <c r="D152" i="5"/>
  <c r="D153" i="5"/>
  <c r="D154" i="5"/>
  <c r="D155" i="5"/>
  <c r="D156" i="5"/>
  <c r="D157" i="5"/>
  <c r="D158" i="5"/>
  <c r="D159" i="5"/>
  <c r="D160" i="5"/>
  <c r="D161"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AJ30" i="7"/>
  <c r="AJ32" i="7"/>
  <c r="AJ24" i="7"/>
  <c r="AJ25" i="7"/>
  <c r="AI23" i="7"/>
  <c r="AX5" i="7" l="1"/>
  <c r="U491" i="1"/>
  <c r="F494" i="1"/>
  <c r="X494" i="1"/>
  <c r="F183" i="2"/>
  <c r="F153" i="3"/>
  <c r="AD151" i="3"/>
  <c r="AA184" i="2"/>
  <c r="AB184" i="2"/>
  <c r="AO41" i="7"/>
  <c r="W494" i="1"/>
  <c r="F154" i="3"/>
  <c r="F184" i="2"/>
  <c r="AN33" i="7"/>
  <c r="AN26" i="7"/>
  <c r="AN41" i="7"/>
  <c r="AM26" i="7"/>
  <c r="AL26" i="7"/>
  <c r="AL33" i="7"/>
  <c r="AK33" i="7"/>
  <c r="AK41" i="7"/>
  <c r="AK26" i="7"/>
  <c r="AJ31" i="7"/>
  <c r="V491" i="1"/>
  <c r="J21" i="3"/>
  <c r="J45" i="3"/>
  <c r="K30" i="3"/>
  <c r="K49" i="3"/>
  <c r="K47" i="3"/>
  <c r="K45" i="3"/>
  <c r="K17" i="3"/>
  <c r="J47" i="3"/>
  <c r="K21" i="3"/>
  <c r="J17" i="3"/>
  <c r="J30" i="3"/>
  <c r="J49" i="3"/>
  <c r="AJ33" i="7"/>
  <c r="AJ26" i="7"/>
  <c r="I638" i="5"/>
  <c r="J614" i="5"/>
  <c r="J590" i="5"/>
  <c r="I609" i="5"/>
  <c r="I622" i="5"/>
  <c r="I566" i="5"/>
  <c r="I561" i="5"/>
  <c r="I630" i="5"/>
  <c r="J598" i="5"/>
  <c r="I574" i="5"/>
  <c r="J585" i="5"/>
  <c r="I579" i="5"/>
  <c r="J619" i="5"/>
  <c r="I587" i="5"/>
  <c r="J627" i="5"/>
  <c r="I603" i="5"/>
  <c r="I593" i="5"/>
  <c r="J569" i="5"/>
  <c r="I633" i="5"/>
  <c r="I625" i="5"/>
  <c r="J601" i="5"/>
  <c r="J595" i="5"/>
  <c r="J571" i="5"/>
  <c r="J635" i="5"/>
  <c r="J617" i="5"/>
  <c r="J611" i="5"/>
  <c r="J582" i="5"/>
  <c r="I577" i="5"/>
  <c r="I558" i="5"/>
  <c r="I640" i="5"/>
  <c r="J637" i="5"/>
  <c r="I632" i="5"/>
  <c r="J629" i="5"/>
  <c r="I624" i="5"/>
  <c r="J621" i="5"/>
  <c r="I616" i="5"/>
  <c r="J613" i="5"/>
  <c r="I608" i="5"/>
  <c r="J605" i="5"/>
  <c r="I600" i="5"/>
  <c r="J597" i="5"/>
  <c r="I592" i="5"/>
  <c r="J589" i="5"/>
  <c r="I584" i="5"/>
  <c r="J581" i="5"/>
  <c r="I576" i="5"/>
  <c r="J573" i="5"/>
  <c r="I568" i="5"/>
  <c r="J565" i="5"/>
  <c r="I560" i="5"/>
  <c r="J634" i="5"/>
  <c r="J626" i="5"/>
  <c r="J618" i="5"/>
  <c r="J610" i="5"/>
  <c r="J602" i="5"/>
  <c r="J594" i="5"/>
  <c r="J586" i="5"/>
  <c r="J578" i="5"/>
  <c r="J570" i="5"/>
  <c r="J562" i="5"/>
  <c r="J639" i="5"/>
  <c r="J631" i="5"/>
  <c r="J623" i="5"/>
  <c r="J615" i="5"/>
  <c r="J607" i="5"/>
  <c r="J599" i="5"/>
  <c r="J591" i="5"/>
  <c r="J583" i="5"/>
  <c r="J575" i="5"/>
  <c r="J567" i="5"/>
  <c r="J559" i="5"/>
  <c r="J636" i="5"/>
  <c r="J628" i="5"/>
  <c r="J620" i="5"/>
  <c r="J612" i="5"/>
  <c r="J604" i="5"/>
  <c r="J596" i="5"/>
  <c r="J588" i="5"/>
  <c r="J580" i="5"/>
  <c r="J572" i="5"/>
  <c r="J564" i="5"/>
  <c r="J563" i="5"/>
  <c r="AI40" i="7"/>
  <c r="AI30" i="7"/>
  <c r="AI31" i="7"/>
  <c r="AI32" i="7"/>
  <c r="AI24" i="7"/>
  <c r="AI25" i="7"/>
  <c r="AH23" i="7"/>
  <c r="AI19" i="7"/>
  <c r="AI26" i="7" s="1"/>
  <c r="AI12" i="7"/>
  <c r="J4" i="3"/>
  <c r="K4" i="3"/>
  <c r="T4" i="3"/>
  <c r="U4" i="3"/>
  <c r="G4" i="3"/>
  <c r="G107" i="2"/>
  <c r="G104" i="2"/>
  <c r="G105" i="2"/>
  <c r="G106" i="2"/>
  <c r="K65" i="1"/>
  <c r="K222" i="1"/>
  <c r="K273" i="1"/>
  <c r="K252" i="1"/>
  <c r="K77" i="1"/>
  <c r="K444" i="1"/>
  <c r="K95" i="1"/>
  <c r="K154" i="1"/>
  <c r="K140" i="1"/>
  <c r="K143" i="1"/>
  <c r="K335" i="1"/>
  <c r="K261" i="1"/>
  <c r="K251" i="1"/>
  <c r="K334" i="1"/>
  <c r="K470" i="1"/>
  <c r="K13" i="1"/>
  <c r="K419" i="1"/>
  <c r="K200" i="1"/>
  <c r="K198" i="1"/>
  <c r="J65" i="1"/>
  <c r="J222" i="1"/>
  <c r="J273" i="1"/>
  <c r="J252" i="1"/>
  <c r="J77" i="1"/>
  <c r="J444" i="1"/>
  <c r="J95" i="1"/>
  <c r="J154" i="1"/>
  <c r="J140" i="1"/>
  <c r="J143" i="1"/>
  <c r="J335" i="1"/>
  <c r="J261" i="1"/>
  <c r="J251" i="1"/>
  <c r="J334" i="1"/>
  <c r="J470" i="1"/>
  <c r="J13" i="1"/>
  <c r="J419" i="1"/>
  <c r="J200" i="1"/>
  <c r="J198" i="1"/>
  <c r="G65" i="1"/>
  <c r="G222" i="1"/>
  <c r="G273" i="1"/>
  <c r="G252" i="1"/>
  <c r="G77" i="1"/>
  <c r="G444" i="1"/>
  <c r="G95" i="1"/>
  <c r="G154" i="1"/>
  <c r="G140" i="1"/>
  <c r="G143" i="1"/>
  <c r="G335" i="1"/>
  <c r="G261" i="1"/>
  <c r="G251" i="1"/>
  <c r="G334" i="1"/>
  <c r="G470" i="1"/>
  <c r="G13" i="1"/>
  <c r="G419" i="1"/>
  <c r="G200" i="1"/>
  <c r="G198" i="1"/>
  <c r="AH30" i="7"/>
  <c r="AH31" i="7"/>
  <c r="AH32" i="7"/>
  <c r="AH25" i="7"/>
  <c r="AG25" i="7"/>
  <c r="AH24" i="7"/>
  <c r="AG23" i="7"/>
  <c r="AX38" i="7"/>
  <c r="AX39" i="7"/>
  <c r="AX37" i="7"/>
  <c r="AH40" i="7"/>
  <c r="AX17" i="7"/>
  <c r="AX18" i="7"/>
  <c r="AH12" i="7"/>
  <c r="AH19" i="7"/>
  <c r="U10" i="3"/>
  <c r="U11" i="3"/>
  <c r="U13" i="3"/>
  <c r="U58" i="3"/>
  <c r="T10" i="3"/>
  <c r="T11" i="3"/>
  <c r="T13" i="3"/>
  <c r="T58" i="3"/>
  <c r="AD10" i="3"/>
  <c r="AD11" i="3"/>
  <c r="AD13" i="3"/>
  <c r="AD58" i="3"/>
  <c r="K10" i="3"/>
  <c r="K11" i="3"/>
  <c r="K13" i="3"/>
  <c r="K58" i="3"/>
  <c r="J10" i="3"/>
  <c r="J11" i="3"/>
  <c r="J13" i="3"/>
  <c r="J58" i="3"/>
  <c r="G13" i="3"/>
  <c r="G58" i="3"/>
  <c r="G41" i="2"/>
  <c r="G77" i="2"/>
  <c r="K287" i="1"/>
  <c r="K312" i="1"/>
  <c r="K156" i="1"/>
  <c r="K187" i="1"/>
  <c r="K305" i="1"/>
  <c r="K71" i="1"/>
  <c r="K177" i="1"/>
  <c r="K53" i="1"/>
  <c r="K58" i="1"/>
  <c r="J287" i="1"/>
  <c r="J312" i="1"/>
  <c r="J156" i="1"/>
  <c r="J187" i="1"/>
  <c r="J305" i="1"/>
  <c r="J71" i="1"/>
  <c r="J177" i="1"/>
  <c r="J53" i="1"/>
  <c r="J58" i="1"/>
  <c r="J317" i="1"/>
  <c r="K317" i="1"/>
  <c r="G317" i="1"/>
  <c r="G287" i="1"/>
  <c r="G312" i="1"/>
  <c r="G156" i="1"/>
  <c r="G187" i="1"/>
  <c r="G305" i="1"/>
  <c r="G71" i="1"/>
  <c r="G177" i="1"/>
  <c r="G53" i="1"/>
  <c r="G58" i="1"/>
  <c r="AG40" i="7"/>
  <c r="AG32" i="7"/>
  <c r="AG31" i="7"/>
  <c r="AG30" i="7"/>
  <c r="AG24" i="7"/>
  <c r="AG19" i="7"/>
  <c r="AG12" i="7"/>
  <c r="K394" i="1"/>
  <c r="K293" i="1"/>
  <c r="K117" i="1"/>
  <c r="K173" i="1"/>
  <c r="K42" i="1"/>
  <c r="K313" i="1"/>
  <c r="K179" i="1"/>
  <c r="K20" i="1"/>
  <c r="K129" i="1"/>
  <c r="K23" i="1"/>
  <c r="K104" i="1"/>
  <c r="K112" i="1"/>
  <c r="K289" i="1"/>
  <c r="K59" i="1"/>
  <c r="K225" i="1"/>
  <c r="K240" i="1"/>
  <c r="K93" i="1"/>
  <c r="K147" i="1"/>
  <c r="K380" i="1"/>
  <c r="J394" i="1"/>
  <c r="J293" i="1"/>
  <c r="J117" i="1"/>
  <c r="J173" i="1"/>
  <c r="J42" i="1"/>
  <c r="J313" i="1"/>
  <c r="J179" i="1"/>
  <c r="J20" i="1"/>
  <c r="J129" i="1"/>
  <c r="J23" i="1"/>
  <c r="J104" i="1"/>
  <c r="J112" i="1"/>
  <c r="J289" i="1"/>
  <c r="J59" i="1"/>
  <c r="J225" i="1"/>
  <c r="J240" i="1"/>
  <c r="J93" i="1"/>
  <c r="J147" i="1"/>
  <c r="J380" i="1"/>
  <c r="J291" i="1"/>
  <c r="K291" i="1"/>
  <c r="G11" i="3"/>
  <c r="G10" i="3"/>
  <c r="G54" i="2"/>
  <c r="G39" i="2"/>
  <c r="G142" i="2"/>
  <c r="G291" i="1"/>
  <c r="G394" i="1"/>
  <c r="G293" i="1"/>
  <c r="G117" i="1"/>
  <c r="G173" i="1"/>
  <c r="G42" i="1"/>
  <c r="G313" i="1"/>
  <c r="G179" i="1"/>
  <c r="G20" i="1"/>
  <c r="G129" i="1"/>
  <c r="G23" i="1"/>
  <c r="G104" i="1"/>
  <c r="G112" i="1"/>
  <c r="G289" i="1"/>
  <c r="G59" i="1"/>
  <c r="G225" i="1"/>
  <c r="G240" i="1"/>
  <c r="G93" i="1"/>
  <c r="G147" i="1"/>
  <c r="G380" i="1"/>
  <c r="AF19" i="7"/>
  <c r="AF12" i="7"/>
  <c r="AF40" i="7"/>
  <c r="AF32" i="7"/>
  <c r="AF31" i="7"/>
  <c r="AF30" i="7"/>
  <c r="AF25" i="7"/>
  <c r="AF24" i="7"/>
  <c r="AF23" i="7"/>
  <c r="AD75" i="3"/>
  <c r="J75" i="3"/>
  <c r="K75" i="3"/>
  <c r="G75" i="3"/>
  <c r="K256" i="1"/>
  <c r="K17" i="1"/>
  <c r="K423" i="1"/>
  <c r="K278" i="1"/>
  <c r="K212" i="1"/>
  <c r="K124" i="1"/>
  <c r="K379" i="1"/>
  <c r="K245" i="1"/>
  <c r="K141" i="1"/>
  <c r="K460" i="1"/>
  <c r="K408" i="1"/>
  <c r="K465" i="1"/>
  <c r="K135" i="1"/>
  <c r="K155" i="1"/>
  <c r="K66" i="1"/>
  <c r="K424" i="1"/>
  <c r="K196" i="1"/>
  <c r="K286" i="1"/>
  <c r="K88" i="1"/>
  <c r="K39" i="1"/>
  <c r="K152" i="1"/>
  <c r="K197" i="1"/>
  <c r="J256" i="1"/>
  <c r="J17" i="1"/>
  <c r="J423" i="1"/>
  <c r="J278" i="1"/>
  <c r="J212" i="1"/>
  <c r="J124" i="1"/>
  <c r="J379" i="1"/>
  <c r="J245" i="1"/>
  <c r="J141" i="1"/>
  <c r="J460" i="1"/>
  <c r="J408" i="1"/>
  <c r="J465" i="1"/>
  <c r="J135" i="1"/>
  <c r="J155" i="1"/>
  <c r="J66" i="1"/>
  <c r="J424" i="1"/>
  <c r="J196" i="1"/>
  <c r="J286" i="1"/>
  <c r="J88" i="1"/>
  <c r="J39" i="1"/>
  <c r="J152" i="1"/>
  <c r="J197" i="1"/>
  <c r="J462" i="1"/>
  <c r="K462" i="1"/>
  <c r="G462" i="1"/>
  <c r="G256" i="1"/>
  <c r="G17" i="1"/>
  <c r="G423" i="1"/>
  <c r="G278" i="1"/>
  <c r="G212" i="1"/>
  <c r="G124" i="1"/>
  <c r="G379" i="1"/>
  <c r="G245" i="1"/>
  <c r="G141" i="1"/>
  <c r="G460" i="1"/>
  <c r="G408" i="1"/>
  <c r="G465" i="1"/>
  <c r="G135" i="1"/>
  <c r="G155" i="1"/>
  <c r="G66" i="1"/>
  <c r="G424" i="1"/>
  <c r="G196" i="1"/>
  <c r="G286" i="1"/>
  <c r="G88" i="1"/>
  <c r="G39" i="1"/>
  <c r="G152" i="1"/>
  <c r="G197" i="1"/>
  <c r="AE25" i="7"/>
  <c r="J131" i="3"/>
  <c r="J132" i="3"/>
  <c r="J121" i="3"/>
  <c r="J40" i="3"/>
  <c r="J113" i="3"/>
  <c r="J20" i="3"/>
  <c r="J6" i="3"/>
  <c r="J128" i="3"/>
  <c r="J57" i="3"/>
  <c r="J99" i="3"/>
  <c r="J126" i="3"/>
  <c r="J125" i="3"/>
  <c r="J103" i="3"/>
  <c r="J124" i="3"/>
  <c r="J130" i="3"/>
  <c r="J56" i="3"/>
  <c r="J97" i="3"/>
  <c r="J100" i="3"/>
  <c r="J67" i="3"/>
  <c r="J119" i="3"/>
  <c r="J105" i="3"/>
  <c r="J61" i="3"/>
  <c r="J66" i="3"/>
  <c r="J15" i="3"/>
  <c r="J109" i="3"/>
  <c r="J43" i="3"/>
  <c r="J87" i="3"/>
  <c r="J83" i="3"/>
  <c r="J116" i="3"/>
  <c r="J92" i="3"/>
  <c r="J64" i="3"/>
  <c r="J77" i="3"/>
  <c r="J108" i="3"/>
  <c r="J89" i="3"/>
  <c r="J111" i="3"/>
  <c r="J91" i="3"/>
  <c r="J39" i="3"/>
  <c r="J60" i="3"/>
  <c r="J62" i="3"/>
  <c r="J14" i="3"/>
  <c r="J81" i="3"/>
  <c r="J104" i="3"/>
  <c r="J118" i="3"/>
  <c r="J59" i="3"/>
  <c r="J90" i="3"/>
  <c r="J70" i="3"/>
  <c r="J32" i="3"/>
  <c r="J115" i="3"/>
  <c r="J38" i="3"/>
  <c r="J102" i="3"/>
  <c r="J65" i="3"/>
  <c r="J31" i="3"/>
  <c r="J96" i="3"/>
  <c r="J110" i="3"/>
  <c r="J122" i="3"/>
  <c r="J129" i="3"/>
  <c r="J80" i="3"/>
  <c r="J37" i="3"/>
  <c r="J68" i="3"/>
  <c r="J127" i="3"/>
  <c r="J42" i="3"/>
  <c r="J98" i="3"/>
  <c r="J33" i="3"/>
  <c r="J85" i="3"/>
  <c r="J16" i="3"/>
  <c r="J23" i="3"/>
  <c r="J71" i="3"/>
  <c r="J35" i="3"/>
  <c r="J27" i="3"/>
  <c r="J26" i="3"/>
  <c r="J22" i="3"/>
  <c r="J44" i="3"/>
  <c r="J107" i="3"/>
  <c r="J72" i="3"/>
  <c r="J19" i="3"/>
  <c r="J12" i="3"/>
  <c r="J117" i="3"/>
  <c r="J18" i="3"/>
  <c r="J41" i="3"/>
  <c r="J54" i="3"/>
  <c r="J5" i="3"/>
  <c r="J93" i="3"/>
  <c r="J112" i="3"/>
  <c r="J114" i="3"/>
  <c r="J133" i="3"/>
  <c r="J78" i="3"/>
  <c r="J79" i="3"/>
  <c r="J50" i="3"/>
  <c r="J34" i="3"/>
  <c r="J88" i="3"/>
  <c r="J120" i="3"/>
  <c r="J73" i="3"/>
  <c r="J123" i="3"/>
  <c r="J52" i="3"/>
  <c r="J101" i="3"/>
  <c r="J95" i="3"/>
  <c r="J63" i="3"/>
  <c r="J74" i="3"/>
  <c r="J28" i="3"/>
  <c r="J94" i="3"/>
  <c r="J9" i="3"/>
  <c r="J55" i="3"/>
  <c r="J82" i="3"/>
  <c r="J69" i="3"/>
  <c r="J8" i="3"/>
  <c r="J106" i="3"/>
  <c r="J7" i="3"/>
  <c r="J46" i="3"/>
  <c r="J53" i="3"/>
  <c r="J84" i="3"/>
  <c r="J3" i="1"/>
  <c r="J145" i="1"/>
  <c r="J14" i="1"/>
  <c r="J461" i="1"/>
  <c r="J25" i="1"/>
  <c r="J52" i="1"/>
  <c r="J472" i="1"/>
  <c r="J439" i="1"/>
  <c r="J47" i="1"/>
  <c r="J437" i="1"/>
  <c r="J99" i="1"/>
  <c r="J445" i="1"/>
  <c r="J26" i="1"/>
  <c r="J438" i="1"/>
  <c r="J34" i="1"/>
  <c r="J387" i="1"/>
  <c r="J22" i="1"/>
  <c r="J153" i="1"/>
  <c r="J125" i="1"/>
  <c r="J31" i="1"/>
  <c r="J35" i="1"/>
  <c r="J21" i="1"/>
  <c r="J414" i="1"/>
  <c r="J254" i="1"/>
  <c r="J262" i="1"/>
  <c r="J354" i="1"/>
  <c r="J192" i="1"/>
  <c r="J12" i="1"/>
  <c r="J50" i="1"/>
  <c r="J28" i="1"/>
  <c r="J82" i="1"/>
  <c r="J29" i="1"/>
  <c r="J36" i="1"/>
  <c r="J27" i="1"/>
  <c r="J90" i="1"/>
  <c r="J392" i="1"/>
  <c r="J8" i="1"/>
  <c r="J100" i="1"/>
  <c r="J406" i="1"/>
  <c r="J32" i="1"/>
  <c r="J218" i="1"/>
  <c r="J126" i="1"/>
  <c r="J121" i="1"/>
  <c r="J33" i="1"/>
  <c r="J38" i="1"/>
  <c r="J55" i="1"/>
  <c r="J6" i="1"/>
  <c r="J184" i="1"/>
  <c r="J134" i="1"/>
  <c r="J83" i="1"/>
  <c r="J309" i="1"/>
  <c r="J363" i="1"/>
  <c r="J170" i="1"/>
  <c r="J399" i="1"/>
  <c r="J168" i="1"/>
  <c r="J395" i="1"/>
  <c r="J326" i="1"/>
  <c r="J160" i="1"/>
  <c r="J191" i="1"/>
  <c r="J165" i="1"/>
  <c r="J133" i="1"/>
  <c r="J51" i="1"/>
  <c r="J377" i="1"/>
  <c r="J362" i="1"/>
  <c r="J257" i="1"/>
  <c r="J201" i="1"/>
  <c r="J159" i="1"/>
  <c r="J193" i="1"/>
  <c r="J136" i="1"/>
  <c r="J311" i="1"/>
  <c r="J307" i="1"/>
  <c r="J336" i="1"/>
  <c r="J318" i="1"/>
  <c r="J208" i="1"/>
  <c r="J78" i="1"/>
  <c r="J43" i="1"/>
  <c r="J180" i="1"/>
  <c r="J30" i="1"/>
  <c r="J15" i="1"/>
  <c r="J80" i="1"/>
  <c r="J96" i="1"/>
  <c r="J199" i="1"/>
  <c r="J255" i="1"/>
  <c r="J176" i="1"/>
  <c r="J347" i="1"/>
  <c r="J210" i="1"/>
  <c r="J409" i="1"/>
  <c r="J211" i="1"/>
  <c r="J94" i="1"/>
  <c r="J253" i="1"/>
  <c r="J137" i="1"/>
  <c r="J48" i="1"/>
  <c r="J219" i="1"/>
  <c r="J171" i="1"/>
  <c r="J87" i="1"/>
  <c r="J7" i="1"/>
  <c r="J235" i="1"/>
  <c r="J435" i="1"/>
  <c r="J60" i="1"/>
  <c r="J322" i="1"/>
  <c r="J344" i="1"/>
  <c r="J341" i="1"/>
  <c r="J166" i="1"/>
  <c r="J264" i="1"/>
  <c r="J355" i="1"/>
  <c r="J455" i="1"/>
  <c r="J360" i="1"/>
  <c r="J329" i="1"/>
  <c r="J172" i="1"/>
  <c r="J119" i="1"/>
  <c r="J370" i="1"/>
  <c r="J375" i="1"/>
  <c r="J174" i="1"/>
  <c r="J204" i="1"/>
  <c r="J113" i="1"/>
  <c r="J195" i="1"/>
  <c r="J327" i="1"/>
  <c r="J164" i="1"/>
  <c r="J441" i="1"/>
  <c r="J194" i="1"/>
  <c r="J248" i="1"/>
  <c r="J371" i="1"/>
  <c r="J357" i="1"/>
  <c r="J106" i="1"/>
  <c r="J81" i="1"/>
  <c r="J285" i="1"/>
  <c r="J464" i="1"/>
  <c r="J231" i="1"/>
  <c r="J267" i="1"/>
  <c r="J232" i="1"/>
  <c r="J128" i="1"/>
  <c r="J234" i="1"/>
  <c r="J358" i="1"/>
  <c r="J281" i="1"/>
  <c r="J316" i="1"/>
  <c r="J244" i="1"/>
  <c r="J365" i="1"/>
  <c r="J91" i="1"/>
  <c r="J243" i="1"/>
  <c r="J215" i="1"/>
  <c r="J268" i="1"/>
  <c r="J41" i="1"/>
  <c r="J111" i="1"/>
  <c r="J110" i="1"/>
  <c r="J40" i="1"/>
  <c r="J182" i="1"/>
  <c r="J277" i="1"/>
  <c r="J246" i="1"/>
  <c r="J331" i="1"/>
  <c r="J109" i="1"/>
  <c r="J430" i="1"/>
  <c r="J205" i="1"/>
  <c r="J139" i="1"/>
  <c r="J368" i="1"/>
  <c r="J425" i="1"/>
  <c r="J236" i="1"/>
  <c r="J382" i="1"/>
  <c r="J276" i="1"/>
  <c r="J86" i="1"/>
  <c r="J283" i="1"/>
  <c r="J229" i="1"/>
  <c r="J315" i="1"/>
  <c r="J85" i="1"/>
  <c r="J416" i="1"/>
  <c r="J75" i="1"/>
  <c r="J45" i="1"/>
  <c r="J250" i="1"/>
  <c r="J123" i="1"/>
  <c r="J186" i="1"/>
  <c r="J290" i="1"/>
  <c r="J396" i="1"/>
  <c r="J103" i="1"/>
  <c r="J181" i="1"/>
  <c r="J151" i="1"/>
  <c r="J206" i="1"/>
  <c r="J421" i="1"/>
  <c r="J349" i="1"/>
  <c r="J61" i="1"/>
  <c r="J384" i="1"/>
  <c r="J294" i="1"/>
  <c r="J37" i="1"/>
  <c r="J213" i="1"/>
  <c r="J114" i="1"/>
  <c r="J237" i="1"/>
  <c r="J190" i="1"/>
  <c r="J263" i="1"/>
  <c r="J386" i="1"/>
  <c r="J398" i="1"/>
  <c r="J70" i="1"/>
  <c r="J84" i="1"/>
  <c r="J303" i="1"/>
  <c r="J381" i="1"/>
  <c r="J54" i="1"/>
  <c r="J310" i="1"/>
  <c r="J249" i="1"/>
  <c r="J169" i="1"/>
  <c r="J272" i="1"/>
  <c r="J241" i="1"/>
  <c r="J383" i="1"/>
  <c r="J226" i="1"/>
  <c r="J92" i="1"/>
  <c r="J131" i="1"/>
  <c r="J101" i="1"/>
  <c r="J388" i="1"/>
  <c r="J74" i="1"/>
  <c r="J161" i="1"/>
  <c r="J233" i="1"/>
  <c r="J202" i="1"/>
  <c r="J308" i="1"/>
  <c r="J282" i="1"/>
  <c r="J63" i="1"/>
  <c r="J227" i="1"/>
  <c r="J258" i="1"/>
  <c r="J18" i="1"/>
  <c r="J120" i="1"/>
  <c r="J73" i="1"/>
  <c r="J431" i="1"/>
  <c r="J144" i="1"/>
  <c r="J149" i="1"/>
  <c r="J359" i="1"/>
  <c r="J148" i="1"/>
  <c r="J346" i="1"/>
  <c r="J203" i="1"/>
  <c r="J420" i="1"/>
  <c r="J185" i="1"/>
  <c r="J471" i="1"/>
  <c r="J217" i="1"/>
  <c r="J328" i="1"/>
  <c r="J79" i="1"/>
  <c r="J353" i="1"/>
  <c r="J442" i="1"/>
  <c r="J69" i="1"/>
  <c r="J68" i="1"/>
  <c r="J447" i="1"/>
  <c r="J46" i="1"/>
  <c r="J433" i="1"/>
  <c r="J397" i="1"/>
  <c r="J157" i="1"/>
  <c r="J427" i="1"/>
  <c r="J457" i="1"/>
  <c r="J138" i="1"/>
  <c r="J108" i="1"/>
  <c r="J214" i="1"/>
  <c r="J207" i="1"/>
  <c r="J105" i="1"/>
  <c r="J401" i="1"/>
  <c r="J189" i="1"/>
  <c r="J216" i="1"/>
  <c r="J404" i="1"/>
  <c r="J373" i="1"/>
  <c r="J11" i="1"/>
  <c r="J132" i="1"/>
  <c r="J230" i="1"/>
  <c r="J449" i="1"/>
  <c r="J24" i="1"/>
  <c r="J127" i="1"/>
  <c r="J220" i="1"/>
  <c r="J209" i="1"/>
  <c r="J5" i="1"/>
  <c r="J146" i="1"/>
  <c r="J259" i="1"/>
  <c r="J56" i="1"/>
  <c r="J76" i="1"/>
  <c r="J115" i="1"/>
  <c r="J269" i="1"/>
  <c r="J62" i="1"/>
  <c r="J97" i="1"/>
  <c r="J366" i="1"/>
  <c r="J107" i="1"/>
  <c r="J102" i="1"/>
  <c r="J67" i="1"/>
  <c r="J167" i="1"/>
  <c r="J49" i="1"/>
  <c r="J19" i="1"/>
  <c r="J162" i="1"/>
  <c r="J72" i="1"/>
  <c r="J9" i="1"/>
  <c r="J57" i="1"/>
  <c r="J348" i="1"/>
  <c r="J393" i="1"/>
  <c r="J4" i="1"/>
  <c r="I54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3" i="5"/>
  <c r="I544" i="5"/>
  <c r="I545" i="5"/>
  <c r="I546" i="5"/>
  <c r="I547" i="5"/>
  <c r="I548" i="5"/>
  <c r="I549" i="5"/>
  <c r="I550" i="5"/>
  <c r="I551" i="5"/>
  <c r="I552" i="5"/>
  <c r="I553" i="5"/>
  <c r="I554" i="5"/>
  <c r="I555" i="5"/>
  <c r="I556" i="5"/>
  <c r="I557" i="5"/>
  <c r="AE40" i="7"/>
  <c r="K8" i="3"/>
  <c r="K106" i="3"/>
  <c r="K7" i="3"/>
  <c r="K46" i="3"/>
  <c r="K3" i="3"/>
  <c r="K53" i="3"/>
  <c r="AD8" i="3"/>
  <c r="AD106" i="3"/>
  <c r="AD7" i="3"/>
  <c r="AD46" i="3"/>
  <c r="AD3" i="3"/>
  <c r="AD53" i="3"/>
  <c r="K49" i="1"/>
  <c r="K24" i="1"/>
  <c r="K67" i="1"/>
  <c r="K76" i="1"/>
  <c r="K404" i="1"/>
  <c r="K73" i="1"/>
  <c r="K79" i="1"/>
  <c r="K203" i="1"/>
  <c r="K373" i="1"/>
  <c r="K120" i="1"/>
  <c r="K294" i="1"/>
  <c r="K396" i="1"/>
  <c r="K263" i="1"/>
  <c r="K349" i="1"/>
  <c r="AE32" i="7"/>
  <c r="AE31" i="7"/>
  <c r="AE30" i="7"/>
  <c r="AE24" i="7"/>
  <c r="AE23" i="7"/>
  <c r="AE19" i="7"/>
  <c r="AE12" i="7"/>
  <c r="U69" i="3"/>
  <c r="U8" i="3"/>
  <c r="U106" i="3"/>
  <c r="U7" i="3"/>
  <c r="U46" i="3"/>
  <c r="U3" i="3"/>
  <c r="U53" i="3"/>
  <c r="T8" i="3"/>
  <c r="T106" i="3"/>
  <c r="T7" i="3"/>
  <c r="T46" i="3"/>
  <c r="T3" i="3"/>
  <c r="T53" i="3"/>
  <c r="G8" i="3"/>
  <c r="G106" i="3"/>
  <c r="G7" i="3"/>
  <c r="G46" i="3"/>
  <c r="G3" i="3"/>
  <c r="G53" i="3"/>
  <c r="G23" i="2"/>
  <c r="G99" i="2"/>
  <c r="G3" i="2"/>
  <c r="G49" i="1"/>
  <c r="G24" i="1"/>
  <c r="G67" i="1"/>
  <c r="G76" i="1"/>
  <c r="G404" i="1"/>
  <c r="G73" i="1"/>
  <c r="G79" i="1"/>
  <c r="G203" i="1"/>
  <c r="G373" i="1"/>
  <c r="G120" i="1"/>
  <c r="G294" i="1"/>
  <c r="G396" i="1"/>
  <c r="G263" i="1"/>
  <c r="G349" i="1"/>
  <c r="I362" i="5"/>
  <c r="G127" i="1"/>
  <c r="AD40" i="7"/>
  <c r="AD30" i="7"/>
  <c r="AD23" i="7"/>
  <c r="AD19" i="7"/>
  <c r="AD32" i="7"/>
  <c r="AD31" i="7"/>
  <c r="AD25" i="7"/>
  <c r="AD24" i="7"/>
  <c r="AD12" i="7"/>
  <c r="U9" i="3"/>
  <c r="U54" i="3"/>
  <c r="T9" i="3"/>
  <c r="T54" i="3"/>
  <c r="AD54" i="3"/>
  <c r="AD9" i="3"/>
  <c r="G9" i="3"/>
  <c r="G54" i="3"/>
  <c r="K54" i="3"/>
  <c r="K9" i="3"/>
  <c r="G9" i="2"/>
  <c r="G74" i="2"/>
  <c r="K254" i="1"/>
  <c r="K209" i="1"/>
  <c r="K57" i="1"/>
  <c r="K115" i="1"/>
  <c r="K9" i="1"/>
  <c r="K366" i="1"/>
  <c r="K162" i="1"/>
  <c r="K207" i="1"/>
  <c r="K269" i="1"/>
  <c r="K328" i="1"/>
  <c r="K132" i="1"/>
  <c r="G217" i="1"/>
  <c r="G209" i="1"/>
  <c r="G57" i="1"/>
  <c r="G115" i="1"/>
  <c r="G9" i="1"/>
  <c r="G366" i="1"/>
  <c r="G162" i="1"/>
  <c r="G207" i="1"/>
  <c r="G269" i="1"/>
  <c r="G328" i="1"/>
  <c r="G132" i="1"/>
  <c r="G254" i="1"/>
  <c r="K217" i="1"/>
  <c r="G99" i="1"/>
  <c r="G25" i="1"/>
  <c r="AC40" i="7"/>
  <c r="AB40" i="7"/>
  <c r="AC12" i="7"/>
  <c r="AC19" i="7"/>
  <c r="AC23" i="7"/>
  <c r="AC24" i="7"/>
  <c r="AC25" i="7"/>
  <c r="AC30" i="7"/>
  <c r="AC31" i="7"/>
  <c r="AC32" i="7"/>
  <c r="AD69" i="3"/>
  <c r="T69" i="3"/>
  <c r="K69" i="3"/>
  <c r="G69" i="3"/>
  <c r="G116" i="2"/>
  <c r="K358" i="1"/>
  <c r="K283" i="1"/>
  <c r="K131" i="1"/>
  <c r="K139" i="1"/>
  <c r="K133" i="1"/>
  <c r="K4" i="1"/>
  <c r="K148" i="1"/>
  <c r="K393" i="1"/>
  <c r="K82" i="1"/>
  <c r="K157" i="1"/>
  <c r="K272" i="1"/>
  <c r="K381" i="1"/>
  <c r="K62" i="1"/>
  <c r="K189" i="1"/>
  <c r="K216" i="1"/>
  <c r="K167" i="1"/>
  <c r="K220" i="1"/>
  <c r="K259" i="1"/>
  <c r="K114" i="1"/>
  <c r="K127" i="1"/>
  <c r="G358" i="1"/>
  <c r="G283" i="1"/>
  <c r="G131" i="1"/>
  <c r="G139" i="1"/>
  <c r="G133" i="1"/>
  <c r="G4" i="1"/>
  <c r="G148" i="1"/>
  <c r="G393" i="1"/>
  <c r="G82" i="1"/>
  <c r="G157" i="1"/>
  <c r="G272" i="1"/>
  <c r="G381" i="1"/>
  <c r="G62" i="1"/>
  <c r="G189" i="1"/>
  <c r="G216" i="1"/>
  <c r="G167" i="1"/>
  <c r="G220" i="1"/>
  <c r="G259" i="1"/>
  <c r="G114" i="1"/>
  <c r="AI41" i="7" l="1"/>
  <c r="AH33" i="7"/>
  <c r="AI33" i="7"/>
  <c r="AG41" i="7"/>
  <c r="AH41" i="7"/>
  <c r="AJ41" i="7"/>
  <c r="AH26" i="7"/>
  <c r="AF41" i="7"/>
  <c r="AD26" i="7"/>
  <c r="AG26" i="7"/>
  <c r="AG33" i="7"/>
  <c r="J505" i="5"/>
  <c r="J425" i="5"/>
  <c r="J517" i="5"/>
  <c r="J537" i="5"/>
  <c r="J453" i="5"/>
  <c r="J521" i="5"/>
  <c r="J441" i="5"/>
  <c r="J489" i="5"/>
  <c r="J409" i="5"/>
  <c r="J421" i="5"/>
  <c r="J485" i="5"/>
  <c r="J393" i="5"/>
  <c r="J473" i="5"/>
  <c r="J389" i="5"/>
  <c r="J549" i="5"/>
  <c r="J457" i="5"/>
  <c r="J377" i="5"/>
  <c r="AF26" i="7"/>
  <c r="AF33" i="7"/>
  <c r="J542" i="5"/>
  <c r="J513" i="5"/>
  <c r="J481" i="5"/>
  <c r="J449" i="5"/>
  <c r="J417" i="5"/>
  <c r="J385" i="5"/>
  <c r="J541" i="5"/>
  <c r="J509" i="5"/>
  <c r="J477" i="5"/>
  <c r="J445" i="5"/>
  <c r="J413" i="5"/>
  <c r="J381" i="5"/>
  <c r="J545" i="5"/>
  <c r="J533" i="5"/>
  <c r="J501" i="5"/>
  <c r="J469" i="5"/>
  <c r="J437" i="5"/>
  <c r="J405" i="5"/>
  <c r="J373" i="5"/>
  <c r="J529" i="5"/>
  <c r="J497" i="5"/>
  <c r="J465" i="5"/>
  <c r="J433" i="5"/>
  <c r="J401" i="5"/>
  <c r="J369" i="5"/>
  <c r="J553" i="5"/>
  <c r="J525" i="5"/>
  <c r="J493" i="5"/>
  <c r="J461" i="5"/>
  <c r="J429" i="5"/>
  <c r="J397" i="5"/>
  <c r="J365" i="5"/>
  <c r="J556" i="5"/>
  <c r="J552" i="5"/>
  <c r="J548" i="5"/>
  <c r="J544" i="5"/>
  <c r="J540" i="5"/>
  <c r="J536" i="5"/>
  <c r="J532" i="5"/>
  <c r="J528" i="5"/>
  <c r="J524" i="5"/>
  <c r="J520" i="5"/>
  <c r="J516" i="5"/>
  <c r="J512" i="5"/>
  <c r="J508" i="5"/>
  <c r="J504" i="5"/>
  <c r="J500" i="5"/>
  <c r="J496" i="5"/>
  <c r="J492" i="5"/>
  <c r="J488" i="5"/>
  <c r="J484" i="5"/>
  <c r="J480" i="5"/>
  <c r="J476" i="5"/>
  <c r="J472" i="5"/>
  <c r="J468" i="5"/>
  <c r="J464" i="5"/>
  <c r="J460" i="5"/>
  <c r="J456" i="5"/>
  <c r="J452" i="5"/>
  <c r="J448" i="5"/>
  <c r="J444" i="5"/>
  <c r="J440" i="5"/>
  <c r="J436" i="5"/>
  <c r="J432" i="5"/>
  <c r="J428" i="5"/>
  <c r="J424" i="5"/>
  <c r="J420" i="5"/>
  <c r="J416" i="5"/>
  <c r="J412" i="5"/>
  <c r="J408" i="5"/>
  <c r="J404" i="5"/>
  <c r="J400" i="5"/>
  <c r="J396" i="5"/>
  <c r="J392" i="5"/>
  <c r="J388" i="5"/>
  <c r="J384" i="5"/>
  <c r="J380" i="5"/>
  <c r="J376" i="5"/>
  <c r="J372" i="5"/>
  <c r="J368" i="5"/>
  <c r="J364" i="5"/>
  <c r="J555" i="5"/>
  <c r="J551" i="5"/>
  <c r="J547" i="5"/>
  <c r="J543" i="5"/>
  <c r="J539" i="5"/>
  <c r="J535" i="5"/>
  <c r="J531" i="5"/>
  <c r="J527" i="5"/>
  <c r="J523" i="5"/>
  <c r="J519" i="5"/>
  <c r="J515" i="5"/>
  <c r="J511" i="5"/>
  <c r="J507" i="5"/>
  <c r="J503" i="5"/>
  <c r="J499" i="5"/>
  <c r="J495" i="5"/>
  <c r="J491" i="5"/>
  <c r="J487" i="5"/>
  <c r="J483" i="5"/>
  <c r="J479" i="5"/>
  <c r="J475" i="5"/>
  <c r="J471" i="5"/>
  <c r="J467" i="5"/>
  <c r="J463" i="5"/>
  <c r="J459" i="5"/>
  <c r="J455" i="5"/>
  <c r="J451" i="5"/>
  <c r="J447" i="5"/>
  <c r="J443" i="5"/>
  <c r="J439" i="5"/>
  <c r="J435" i="5"/>
  <c r="J431" i="5"/>
  <c r="J427" i="5"/>
  <c r="J423" i="5"/>
  <c r="J419" i="5"/>
  <c r="J415" i="5"/>
  <c r="J411" i="5"/>
  <c r="J407" i="5"/>
  <c r="J403" i="5"/>
  <c r="J399" i="5"/>
  <c r="J395" i="5"/>
  <c r="J391" i="5"/>
  <c r="J387" i="5"/>
  <c r="J383" i="5"/>
  <c r="J379" i="5"/>
  <c r="J375" i="5"/>
  <c r="J371" i="5"/>
  <c r="J367" i="5"/>
  <c r="J363" i="5"/>
  <c r="J554" i="5"/>
  <c r="J550" i="5"/>
  <c r="J546" i="5"/>
  <c r="J538" i="5"/>
  <c r="J534" i="5"/>
  <c r="J530" i="5"/>
  <c r="J526" i="5"/>
  <c r="J522" i="5"/>
  <c r="J518" i="5"/>
  <c r="J514" i="5"/>
  <c r="J510" i="5"/>
  <c r="J506" i="5"/>
  <c r="J502" i="5"/>
  <c r="J498" i="5"/>
  <c r="J494" i="5"/>
  <c r="J490" i="5"/>
  <c r="J486" i="5"/>
  <c r="J482" i="5"/>
  <c r="J478" i="5"/>
  <c r="J474" i="5"/>
  <c r="J470" i="5"/>
  <c r="J466" i="5"/>
  <c r="J462" i="5"/>
  <c r="J458" i="5"/>
  <c r="J454" i="5"/>
  <c r="J450" i="5"/>
  <c r="J446" i="5"/>
  <c r="J442" i="5"/>
  <c r="J438" i="5"/>
  <c r="J434" i="5"/>
  <c r="J430" i="5"/>
  <c r="J426" i="5"/>
  <c r="J422" i="5"/>
  <c r="J418" i="5"/>
  <c r="J414" i="5"/>
  <c r="J410" i="5"/>
  <c r="J406" i="5"/>
  <c r="J402" i="5"/>
  <c r="J398" i="5"/>
  <c r="J394" i="5"/>
  <c r="J390" i="5"/>
  <c r="J386" i="5"/>
  <c r="J382" i="5"/>
  <c r="J378" i="5"/>
  <c r="J374" i="5"/>
  <c r="J370" i="5"/>
  <c r="J366" i="5"/>
  <c r="J557" i="5"/>
  <c r="AE41" i="7"/>
  <c r="AD41" i="7"/>
  <c r="AE26" i="7"/>
  <c r="AE33" i="7"/>
  <c r="J362" i="5"/>
  <c r="AD33" i="7"/>
  <c r="AC26" i="7"/>
  <c r="AC33" i="7"/>
  <c r="AB30" i="7"/>
  <c r="AB23" i="7"/>
  <c r="AB12" i="7"/>
  <c r="AB19" i="7"/>
  <c r="AB24" i="7"/>
  <c r="AB25" i="7"/>
  <c r="AB31" i="7"/>
  <c r="AB32" i="7"/>
  <c r="AC41" i="7"/>
  <c r="K84" i="1"/>
  <c r="K97" i="1"/>
  <c r="K290" i="1"/>
  <c r="K277" i="1"/>
  <c r="K386" i="1"/>
  <c r="K357" i="1"/>
  <c r="K61" i="1"/>
  <c r="K146" i="1"/>
  <c r="K159" i="1"/>
  <c r="K185" i="1"/>
  <c r="K427" i="1"/>
  <c r="K30" i="1"/>
  <c r="K38" i="1"/>
  <c r="K303" i="1"/>
  <c r="K414" i="1"/>
  <c r="K246" i="1"/>
  <c r="K442" i="1"/>
  <c r="K74" i="1"/>
  <c r="K85" i="1"/>
  <c r="K128" i="1"/>
  <c r="K15" i="1"/>
  <c r="K47" i="1"/>
  <c r="K105" i="1"/>
  <c r="K471" i="1"/>
  <c r="K249" i="1"/>
  <c r="K52" i="1"/>
  <c r="K282" i="1"/>
  <c r="AD6" i="3"/>
  <c r="AD40" i="3"/>
  <c r="AD38" i="3"/>
  <c r="AD113" i="3"/>
  <c r="AD70" i="3"/>
  <c r="AD63" i="3"/>
  <c r="T6" i="3"/>
  <c r="U6" i="3"/>
  <c r="T40" i="3"/>
  <c r="U40" i="3"/>
  <c r="T38" i="3"/>
  <c r="U38" i="3"/>
  <c r="T113" i="3"/>
  <c r="U113" i="3"/>
  <c r="T70" i="3"/>
  <c r="U70" i="3"/>
  <c r="T63" i="3"/>
  <c r="U63" i="3"/>
  <c r="T62" i="3"/>
  <c r="K6" i="3"/>
  <c r="K40" i="3"/>
  <c r="K38" i="3"/>
  <c r="K113" i="3"/>
  <c r="K70" i="3"/>
  <c r="K63" i="3"/>
  <c r="G6" i="3"/>
  <c r="G40" i="3"/>
  <c r="G38" i="3"/>
  <c r="G113" i="3"/>
  <c r="G70" i="3"/>
  <c r="G63" i="3"/>
  <c r="G163" i="2"/>
  <c r="G118" i="2"/>
  <c r="G5" i="2"/>
  <c r="G152" i="2"/>
  <c r="G151" i="2"/>
  <c r="G44" i="2"/>
  <c r="G84" i="1"/>
  <c r="G97" i="1"/>
  <c r="G290" i="1"/>
  <c r="G277" i="1"/>
  <c r="G386" i="1"/>
  <c r="G357" i="1"/>
  <c r="G61" i="1"/>
  <c r="G146" i="1"/>
  <c r="G159" i="1"/>
  <c r="G185" i="1"/>
  <c r="G427" i="1"/>
  <c r="G30" i="1"/>
  <c r="G38" i="1"/>
  <c r="G303" i="1"/>
  <c r="G414" i="1"/>
  <c r="G246" i="1"/>
  <c r="G442" i="1"/>
  <c r="G74" i="1"/>
  <c r="G85" i="1"/>
  <c r="G128" i="1"/>
  <c r="G15" i="1"/>
  <c r="G47" i="1"/>
  <c r="G105" i="1"/>
  <c r="G471" i="1"/>
  <c r="G249" i="1"/>
  <c r="G52" i="1"/>
  <c r="G282" i="1"/>
  <c r="AA19" i="7"/>
  <c r="AA40" i="7"/>
  <c r="AA32" i="7"/>
  <c r="AA31" i="7"/>
  <c r="AA30" i="7"/>
  <c r="AA25" i="7"/>
  <c r="AA24" i="7"/>
  <c r="AA23" i="7"/>
  <c r="AA12" i="7"/>
  <c r="T131" i="3"/>
  <c r="Y40" i="7"/>
  <c r="G437" i="1"/>
  <c r="G21" i="1"/>
  <c r="AA425" i="9"/>
  <c r="N425" i="9"/>
  <c r="Z32" i="7"/>
  <c r="Z31" i="7"/>
  <c r="Z30" i="7"/>
  <c r="Z23" i="7"/>
  <c r="Z25" i="7"/>
  <c r="Z24" i="7"/>
  <c r="Z19" i="7"/>
  <c r="Z12" i="7"/>
  <c r="Z40" i="7"/>
  <c r="G4" i="2"/>
  <c r="G144" i="2"/>
  <c r="G122" i="2"/>
  <c r="G138" i="2"/>
  <c r="G42" i="2"/>
  <c r="G85" i="2"/>
  <c r="G146" i="2"/>
  <c r="G143" i="2"/>
  <c r="G60" i="2"/>
  <c r="G31" i="2"/>
  <c r="G72" i="2"/>
  <c r="G89" i="2"/>
  <c r="G84" i="2"/>
  <c r="G32" i="2"/>
  <c r="G91" i="2"/>
  <c r="G101" i="2"/>
  <c r="G14" i="2"/>
  <c r="G124" i="2"/>
  <c r="G94" i="2"/>
  <c r="G73" i="2"/>
  <c r="G132" i="2"/>
  <c r="G64" i="2"/>
  <c r="G147" i="2"/>
  <c r="G65" i="2"/>
  <c r="G66" i="2"/>
  <c r="G82" i="2"/>
  <c r="G119" i="2"/>
  <c r="G8" i="2"/>
  <c r="G139" i="2"/>
  <c r="G136" i="2"/>
  <c r="G134" i="2"/>
  <c r="G125" i="2"/>
  <c r="G80" i="2"/>
  <c r="G51" i="2"/>
  <c r="G79" i="2"/>
  <c r="G98" i="2"/>
  <c r="G95" i="2"/>
  <c r="G150" i="2"/>
  <c r="G93" i="2"/>
  <c r="G29" i="2"/>
  <c r="G67" i="2"/>
  <c r="G86" i="2"/>
  <c r="G34" i="2"/>
  <c r="G155" i="2"/>
  <c r="G145" i="2"/>
  <c r="G19" i="2"/>
  <c r="G59" i="2"/>
  <c r="G156" i="2"/>
  <c r="G69" i="2"/>
  <c r="G63" i="2"/>
  <c r="G88" i="2"/>
  <c r="G68" i="2"/>
  <c r="G24" i="2"/>
  <c r="G58" i="2"/>
  <c r="G135" i="2"/>
  <c r="G97" i="2"/>
  <c r="G36" i="2"/>
  <c r="G13" i="2"/>
  <c r="G75" i="2"/>
  <c r="G70" i="2"/>
  <c r="G148" i="2"/>
  <c r="G28" i="2"/>
  <c r="G121" i="2"/>
  <c r="G22" i="2"/>
  <c r="G12" i="2"/>
  <c r="G7" i="2"/>
  <c r="G6" i="2"/>
  <c r="G153" i="2"/>
  <c r="G76" i="2"/>
  <c r="G20" i="2"/>
  <c r="G47" i="2"/>
  <c r="G38" i="2"/>
  <c r="G48" i="2"/>
  <c r="G10" i="2"/>
  <c r="G27" i="2"/>
  <c r="G102" i="2"/>
  <c r="G25" i="2"/>
  <c r="G161" i="2"/>
  <c r="G15" i="2"/>
  <c r="Z425" i="9"/>
  <c r="M425" i="9"/>
  <c r="U5" i="3"/>
  <c r="U57" i="3"/>
  <c r="T5" i="3"/>
  <c r="T57" i="3"/>
  <c r="AD78" i="3"/>
  <c r="AD50" i="3"/>
  <c r="AD34" i="3"/>
  <c r="AD114" i="3"/>
  <c r="AD26" i="3"/>
  <c r="AD41" i="3"/>
  <c r="AD5" i="3"/>
  <c r="AD57" i="3"/>
  <c r="T41" i="3"/>
  <c r="U41" i="3"/>
  <c r="K41" i="3"/>
  <c r="K5" i="3"/>
  <c r="K57" i="3"/>
  <c r="G41" i="3"/>
  <c r="G5" i="3"/>
  <c r="G57" i="3"/>
  <c r="G103" i="2"/>
  <c r="G160" i="2"/>
  <c r="G46" i="2"/>
  <c r="K310" i="1"/>
  <c r="K236" i="1"/>
  <c r="K348" i="1"/>
  <c r="K55" i="1"/>
  <c r="K107" i="1"/>
  <c r="K346" i="1"/>
  <c r="K208" i="1"/>
  <c r="K377" i="1"/>
  <c r="K75" i="1"/>
  <c r="G83" i="1"/>
  <c r="G94" i="1"/>
  <c r="G72" i="1"/>
  <c r="G106" i="1"/>
  <c r="G50" i="1"/>
  <c r="G395" i="1"/>
  <c r="G108" i="1"/>
  <c r="G46" i="1"/>
  <c r="G151" i="1"/>
  <c r="L425" i="9"/>
  <c r="Y425" i="9"/>
  <c r="X425" i="9"/>
  <c r="W425" i="9"/>
  <c r="V425" i="9"/>
  <c r="U425" i="9"/>
  <c r="T425" i="9"/>
  <c r="S425" i="9"/>
  <c r="R425" i="9"/>
  <c r="Q425" i="9"/>
  <c r="P425" i="9"/>
  <c r="O425" i="9"/>
  <c r="K425" i="9"/>
  <c r="J425" i="9"/>
  <c r="I425" i="9"/>
  <c r="H425" i="9"/>
  <c r="G425" i="9"/>
  <c r="F425" i="9"/>
  <c r="E425" i="9"/>
  <c r="D425" i="9"/>
  <c r="C425" i="9"/>
  <c r="B425" i="9"/>
  <c r="Z41" i="7" l="1"/>
  <c r="AB41" i="7"/>
  <c r="AB26" i="7"/>
  <c r="AA41" i="7"/>
  <c r="AB33" i="7"/>
  <c r="I319" i="5"/>
  <c r="AA33" i="7"/>
  <c r="AA26" i="7"/>
  <c r="Z33" i="7"/>
  <c r="Z26" i="7"/>
  <c r="J319" i="5"/>
  <c r="U145" i="1"/>
  <c r="G164" i="2"/>
  <c r="G49" i="2"/>
  <c r="G43" i="2"/>
  <c r="G40" i="2"/>
  <c r="K316" i="1"/>
  <c r="K253" i="1"/>
  <c r="K368" i="1"/>
  <c r="K219" i="1"/>
  <c r="K399" i="1"/>
  <c r="K195" i="1"/>
  <c r="Y3" i="1"/>
  <c r="G19" i="1"/>
  <c r="G119" i="1"/>
  <c r="G191" i="1"/>
  <c r="G60" i="1"/>
  <c r="G107" i="1"/>
  <c r="U78" i="3"/>
  <c r="U50" i="3"/>
  <c r="U34" i="3"/>
  <c r="U114" i="3"/>
  <c r="U26" i="3"/>
  <c r="T78" i="3"/>
  <c r="T50" i="3"/>
  <c r="T34" i="3"/>
  <c r="T114" i="3"/>
  <c r="T26" i="3"/>
  <c r="G34" i="3"/>
  <c r="G114" i="3"/>
  <c r="G26" i="3"/>
  <c r="G50" i="3"/>
  <c r="G78" i="3"/>
  <c r="G92" i="2"/>
  <c r="G120" i="2"/>
  <c r="G83" i="2"/>
  <c r="K395" i="1"/>
  <c r="K100" i="1"/>
  <c r="K134" i="1"/>
  <c r="G416" i="1"/>
  <c r="G219" i="1"/>
  <c r="AD133" i="3"/>
  <c r="AD97" i="3"/>
  <c r="AD43" i="3"/>
  <c r="AD116" i="3"/>
  <c r="AD112" i="3"/>
  <c r="AD127" i="3"/>
  <c r="AD129" i="3"/>
  <c r="AD61" i="3"/>
  <c r="AD18" i="3"/>
  <c r="AD14" i="3"/>
  <c r="AD121" i="3"/>
  <c r="AD33" i="3"/>
  <c r="AD131" i="3"/>
  <c r="AD119" i="3"/>
  <c r="AD94" i="3"/>
  <c r="AD68" i="3"/>
  <c r="AD79" i="3"/>
  <c r="AD101" i="3"/>
  <c r="AD64" i="3"/>
  <c r="AD88" i="3"/>
  <c r="AD23" i="3"/>
  <c r="AD105" i="3"/>
  <c r="AD71" i="3"/>
  <c r="AD77" i="3"/>
  <c r="AD72" i="3"/>
  <c r="AD100" i="3"/>
  <c r="AD39" i="3"/>
  <c r="AD115" i="3"/>
  <c r="AD52" i="3"/>
  <c r="AD20" i="3"/>
  <c r="AD60" i="3"/>
  <c r="AD44" i="3"/>
  <c r="AD83" i="3"/>
  <c r="AD16" i="3"/>
  <c r="AD27" i="3"/>
  <c r="AD22" i="3"/>
  <c r="AD80" i="3"/>
  <c r="AD42" i="3"/>
  <c r="AD92" i="3"/>
  <c r="AD85" i="3"/>
  <c r="AD82" i="3"/>
  <c r="AD35" i="3"/>
  <c r="AD28" i="3"/>
  <c r="AD66" i="3"/>
  <c r="AD108" i="3"/>
  <c r="AD132" i="3"/>
  <c r="AD81" i="3"/>
  <c r="AD37" i="3"/>
  <c r="AD56" i="3"/>
  <c r="AD73" i="3"/>
  <c r="AD65" i="3"/>
  <c r="AD99" i="3"/>
  <c r="AD12" i="3"/>
  <c r="AD15" i="3"/>
  <c r="AD89" i="3"/>
  <c r="AD31" i="3"/>
  <c r="AD59" i="3"/>
  <c r="AD67" i="3"/>
  <c r="AD62" i="3"/>
  <c r="AD93" i="3"/>
  <c r="AD107" i="3"/>
  <c r="AD91" i="3"/>
  <c r="AD19" i="3"/>
  <c r="AD90" i="3"/>
  <c r="AD96" i="3"/>
  <c r="AD118" i="3"/>
  <c r="AD95" i="3"/>
  <c r="AD74" i="3"/>
  <c r="AD117" i="3"/>
  <c r="AD110" i="3"/>
  <c r="AD120" i="3"/>
  <c r="AD125" i="3"/>
  <c r="AD123" i="3"/>
  <c r="AD103" i="3"/>
  <c r="AD87" i="3"/>
  <c r="AD104" i="3"/>
  <c r="AD130" i="3"/>
  <c r="AD122" i="3"/>
  <c r="AD109" i="3"/>
  <c r="AD102" i="3"/>
  <c r="AD98" i="3"/>
  <c r="AD32" i="3"/>
  <c r="AD55" i="3"/>
  <c r="AD128" i="3"/>
  <c r="AD126" i="3"/>
  <c r="AD111" i="3"/>
  <c r="AD84" i="3"/>
  <c r="AD124" i="3"/>
  <c r="K3" i="1"/>
  <c r="V145" i="1"/>
  <c r="G17" i="2"/>
  <c r="G71" i="2"/>
  <c r="K455" i="1"/>
  <c r="K437" i="1"/>
  <c r="K447" i="1"/>
  <c r="K48" i="1"/>
  <c r="K194" i="1"/>
  <c r="G102" i="1"/>
  <c r="G384" i="1"/>
  <c r="G457" i="1"/>
  <c r="G397" i="1"/>
  <c r="U56" i="3"/>
  <c r="T77" i="3"/>
  <c r="T97" i="3"/>
  <c r="U97" i="3"/>
  <c r="U130" i="3"/>
  <c r="T130" i="3"/>
  <c r="U128" i="3"/>
  <c r="U129" i="3"/>
  <c r="U121" i="3"/>
  <c r="U32" i="3"/>
  <c r="U105" i="3"/>
  <c r="U33" i="3"/>
  <c r="U71" i="3"/>
  <c r="U88" i="3"/>
  <c r="U99" i="3"/>
  <c r="U85" i="3"/>
  <c r="U15" i="3"/>
  <c r="U55" i="3"/>
  <c r="U122" i="3"/>
  <c r="U91" i="3"/>
  <c r="U104" i="3"/>
  <c r="U119" i="3"/>
  <c r="U22" i="3"/>
  <c r="U96" i="3"/>
  <c r="U120" i="3"/>
  <c r="U115" i="3"/>
  <c r="U72" i="3"/>
  <c r="U65" i="3"/>
  <c r="U87" i="3"/>
  <c r="U98" i="3"/>
  <c r="U19" i="3"/>
  <c r="U27" i="3"/>
  <c r="U82" i="3"/>
  <c r="U95" i="3"/>
  <c r="U23" i="3"/>
  <c r="U35" i="3"/>
  <c r="U81" i="3"/>
  <c r="U42" i="3"/>
  <c r="U28" i="3"/>
  <c r="U107" i="3"/>
  <c r="U31" i="3"/>
  <c r="U123" i="3"/>
  <c r="U16" i="3"/>
  <c r="U83" i="3"/>
  <c r="U103" i="3"/>
  <c r="U92" i="3"/>
  <c r="U117" i="3"/>
  <c r="U90" i="3"/>
  <c r="U12" i="3"/>
  <c r="U110" i="3"/>
  <c r="U44" i="3"/>
  <c r="U43" i="3"/>
  <c r="U94" i="3"/>
  <c r="U118" i="3"/>
  <c r="U73" i="3"/>
  <c r="U108" i="3"/>
  <c r="U101" i="3"/>
  <c r="U133" i="3"/>
  <c r="U74" i="3"/>
  <c r="U60" i="3"/>
  <c r="U80" i="3"/>
  <c r="U37" i="3"/>
  <c r="U64" i="3"/>
  <c r="U100" i="3"/>
  <c r="U68" i="3"/>
  <c r="U18" i="3"/>
  <c r="U124" i="3"/>
  <c r="U93" i="3"/>
  <c r="U52" i="3"/>
  <c r="U20" i="3"/>
  <c r="U39" i="3"/>
  <c r="U126" i="3"/>
  <c r="U125" i="3"/>
  <c r="U127" i="3"/>
  <c r="U109" i="3"/>
  <c r="U102" i="3"/>
  <c r="U66" i="3"/>
  <c r="U79" i="3"/>
  <c r="U112" i="3"/>
  <c r="U14" i="3"/>
  <c r="U89" i="3"/>
  <c r="U77" i="3"/>
  <c r="U84" i="3"/>
  <c r="U111" i="3"/>
  <c r="U61" i="3"/>
  <c r="T56" i="3"/>
  <c r="T128" i="3"/>
  <c r="T129" i="3"/>
  <c r="T121" i="3"/>
  <c r="T32" i="3"/>
  <c r="T105" i="3"/>
  <c r="T33" i="3"/>
  <c r="T71" i="3"/>
  <c r="T88" i="3"/>
  <c r="T99" i="3"/>
  <c r="T85" i="3"/>
  <c r="T15" i="3"/>
  <c r="T55" i="3"/>
  <c r="T122" i="3"/>
  <c r="T91" i="3"/>
  <c r="T104" i="3"/>
  <c r="T119" i="3"/>
  <c r="T22" i="3"/>
  <c r="T96" i="3"/>
  <c r="T120" i="3"/>
  <c r="T115" i="3"/>
  <c r="T72" i="3"/>
  <c r="T65" i="3"/>
  <c r="T87" i="3"/>
  <c r="T98" i="3"/>
  <c r="T19" i="3"/>
  <c r="T27" i="3"/>
  <c r="T82" i="3"/>
  <c r="T95" i="3"/>
  <c r="T23" i="3"/>
  <c r="T35" i="3"/>
  <c r="T81" i="3"/>
  <c r="T42" i="3"/>
  <c r="T28" i="3"/>
  <c r="T107" i="3"/>
  <c r="T31" i="3"/>
  <c r="T123" i="3"/>
  <c r="T16" i="3"/>
  <c r="T83" i="3"/>
  <c r="T103" i="3"/>
  <c r="T92" i="3"/>
  <c r="T117" i="3"/>
  <c r="T90" i="3"/>
  <c r="T12" i="3"/>
  <c r="T110" i="3"/>
  <c r="T44" i="3"/>
  <c r="T43" i="3"/>
  <c r="T94" i="3"/>
  <c r="T118" i="3"/>
  <c r="T73" i="3"/>
  <c r="T108" i="3"/>
  <c r="T101" i="3"/>
  <c r="T133" i="3"/>
  <c r="T74" i="3"/>
  <c r="T60" i="3"/>
  <c r="T80" i="3"/>
  <c r="T37" i="3"/>
  <c r="T64" i="3"/>
  <c r="T100" i="3"/>
  <c r="T68" i="3"/>
  <c r="T18" i="3"/>
  <c r="T124" i="3"/>
  <c r="T93" i="3"/>
  <c r="T52" i="3"/>
  <c r="T20" i="3"/>
  <c r="T39" i="3"/>
  <c r="T126" i="3"/>
  <c r="T125" i="3"/>
  <c r="T127" i="3"/>
  <c r="T109" i="3"/>
  <c r="T102" i="3"/>
  <c r="T66" i="3"/>
  <c r="T79" i="3"/>
  <c r="T112" i="3"/>
  <c r="T14" i="3"/>
  <c r="T89" i="3"/>
  <c r="T84" i="3"/>
  <c r="T111" i="3"/>
  <c r="T61" i="3"/>
  <c r="K109" i="1"/>
  <c r="K170" i="1"/>
  <c r="K36" i="1"/>
  <c r="K257" i="1"/>
  <c r="K113" i="1"/>
  <c r="K12" i="1"/>
  <c r="K360" i="1"/>
  <c r="K353" i="1"/>
  <c r="G359" i="1"/>
  <c r="G264" i="1"/>
  <c r="G169" i="1"/>
  <c r="G69" i="1"/>
  <c r="G100" i="1"/>
  <c r="G134" i="1"/>
  <c r="G362" i="1"/>
  <c r="K26" i="3" l="1"/>
  <c r="K114" i="3"/>
  <c r="K34" i="3"/>
  <c r="K50" i="3"/>
  <c r="K78" i="3"/>
  <c r="G61" i="3"/>
  <c r="G97" i="3"/>
  <c r="G56" i="2"/>
  <c r="G126" i="1"/>
  <c r="G354" i="1"/>
  <c r="G132" i="3"/>
  <c r="K20" i="3"/>
  <c r="K67" i="3"/>
  <c r="K42" i="3"/>
  <c r="U132" i="3"/>
  <c r="G56" i="3"/>
  <c r="G128" i="3"/>
  <c r="K122" i="3"/>
  <c r="G129" i="3"/>
  <c r="K64" i="3"/>
  <c r="G121" i="3"/>
  <c r="K108" i="3"/>
  <c r="K94" i="3"/>
  <c r="G32" i="3"/>
  <c r="G105" i="3"/>
  <c r="K12" i="3"/>
  <c r="G33" i="3"/>
  <c r="K80" i="3"/>
  <c r="K119" i="3"/>
  <c r="G88" i="3"/>
  <c r="K123" i="3"/>
  <c r="G71" i="3"/>
  <c r="K124" i="3"/>
  <c r="G99" i="3"/>
  <c r="K82" i="3"/>
  <c r="G85" i="3"/>
  <c r="K81" i="3"/>
  <c r="G15" i="3"/>
  <c r="K16" i="3"/>
  <c r="G91" i="3"/>
  <c r="G122" i="3"/>
  <c r="K98" i="3"/>
  <c r="G104" i="3"/>
  <c r="K133" i="3"/>
  <c r="G119" i="3"/>
  <c r="G22" i="3"/>
  <c r="K15" i="3"/>
  <c r="G96" i="3"/>
  <c r="K120" i="3"/>
  <c r="G72" i="3"/>
  <c r="K99" i="3"/>
  <c r="G115" i="3"/>
  <c r="K90" i="3"/>
  <c r="K93" i="3"/>
  <c r="G65" i="3"/>
  <c r="G87" i="3"/>
  <c r="K129" i="3"/>
  <c r="K130" i="3"/>
  <c r="G98" i="3"/>
  <c r="K92" i="3"/>
  <c r="K110" i="3"/>
  <c r="G95" i="3"/>
  <c r="K35" i="3"/>
  <c r="G27" i="3"/>
  <c r="K68" i="3"/>
  <c r="K83" i="3"/>
  <c r="G82" i="3"/>
  <c r="K28" i="3"/>
  <c r="G35" i="3"/>
  <c r="K33" i="3"/>
  <c r="K126" i="3"/>
  <c r="G19" i="3"/>
  <c r="K37" i="3"/>
  <c r="G23" i="3"/>
  <c r="K127" i="3"/>
  <c r="G42" i="3"/>
  <c r="K101" i="3"/>
  <c r="G103" i="3"/>
  <c r="K125" i="3"/>
  <c r="G28" i="3"/>
  <c r="K31" i="3"/>
  <c r="G107" i="3"/>
  <c r="K19" i="3"/>
  <c r="G81" i="3"/>
  <c r="G123" i="3"/>
  <c r="K23" i="3"/>
  <c r="G31" i="3"/>
  <c r="K118" i="3"/>
  <c r="K112" i="3"/>
  <c r="K73" i="3"/>
  <c r="K66" i="3"/>
  <c r="G83" i="3"/>
  <c r="K87" i="3"/>
  <c r="K88" i="3"/>
  <c r="G92" i="3"/>
  <c r="K72" i="3"/>
  <c r="G117" i="3"/>
  <c r="K95" i="3"/>
  <c r="G90" i="3"/>
  <c r="K109" i="3"/>
  <c r="G12" i="3"/>
  <c r="K100" i="3"/>
  <c r="G44" i="3"/>
  <c r="G43" i="3"/>
  <c r="K56" i="3"/>
  <c r="G110" i="3"/>
  <c r="K32" i="3"/>
  <c r="G73" i="3"/>
  <c r="G108" i="3"/>
  <c r="K107" i="3"/>
  <c r="G94" i="3"/>
  <c r="K39" i="3"/>
  <c r="G118" i="3"/>
  <c r="K115" i="3"/>
  <c r="G101" i="3"/>
  <c r="K43" i="3"/>
  <c r="G133" i="3"/>
  <c r="K121" i="3"/>
  <c r="K79" i="3"/>
  <c r="G55" i="3"/>
  <c r="K65" i="3"/>
  <c r="G74" i="3"/>
  <c r="K105" i="3"/>
  <c r="K71" i="3"/>
  <c r="G60" i="3"/>
  <c r="K52" i="3"/>
  <c r="G80" i="3"/>
  <c r="K61" i="3"/>
  <c r="G100" i="3"/>
  <c r="K44" i="3"/>
  <c r="G64" i="3"/>
  <c r="K60" i="3"/>
  <c r="G124" i="3"/>
  <c r="K84" i="3"/>
  <c r="G37" i="3"/>
  <c r="G93" i="3"/>
  <c r="K117" i="3"/>
  <c r="G68" i="3"/>
  <c r="K111" i="3"/>
  <c r="G18" i="3"/>
  <c r="K103" i="3"/>
  <c r="G52" i="3"/>
  <c r="G20" i="3"/>
  <c r="K27" i="3"/>
  <c r="G126" i="3"/>
  <c r="K97" i="3"/>
  <c r="G39" i="3"/>
  <c r="K91" i="3"/>
  <c r="G109" i="3"/>
  <c r="K102" i="3"/>
  <c r="G125" i="3"/>
  <c r="K55" i="3"/>
  <c r="G127" i="3"/>
  <c r="K59" i="3"/>
  <c r="G16" i="3"/>
  <c r="K85" i="3"/>
  <c r="G66" i="3"/>
  <c r="K77" i="3"/>
  <c r="G102" i="3"/>
  <c r="K14" i="3"/>
  <c r="G112" i="3"/>
  <c r="K116" i="3"/>
  <c r="G79" i="3"/>
  <c r="K74" i="3"/>
  <c r="G14" i="3"/>
  <c r="G89" i="3"/>
  <c r="K22" i="3"/>
  <c r="G77" i="3"/>
  <c r="K96" i="3"/>
  <c r="G111" i="3"/>
  <c r="K62" i="3"/>
  <c r="G59" i="3"/>
  <c r="T59" i="3"/>
  <c r="U59" i="3"/>
  <c r="G116" i="3"/>
  <c r="K131" i="3"/>
  <c r="T116" i="3"/>
  <c r="U116" i="3"/>
  <c r="G84" i="3"/>
  <c r="K132" i="3"/>
  <c r="G67" i="3"/>
  <c r="K104" i="3"/>
  <c r="T67" i="3"/>
  <c r="U67" i="3"/>
  <c r="G62" i="3"/>
  <c r="U62" i="3"/>
  <c r="G120" i="3"/>
  <c r="K89" i="3"/>
  <c r="K128" i="3"/>
  <c r="G130" i="3"/>
  <c r="K18" i="3"/>
  <c r="G131" i="3"/>
  <c r="U131" i="3"/>
  <c r="I2" i="5"/>
  <c r="G18" i="2" l="1"/>
  <c r="G30" i="2"/>
  <c r="K329" i="1"/>
  <c r="K392" i="1"/>
  <c r="K29" i="1"/>
  <c r="K192" i="1"/>
  <c r="K359" i="1"/>
  <c r="K78" i="1"/>
  <c r="K438" i="1"/>
  <c r="K90" i="1"/>
  <c r="K102" i="1"/>
  <c r="K81" i="1"/>
  <c r="K25" i="1"/>
  <c r="K5" i="1"/>
  <c r="K40" i="1"/>
  <c r="K268" i="1"/>
  <c r="K145" i="1"/>
  <c r="K191" i="1"/>
  <c r="K6" i="1"/>
  <c r="K347" i="1"/>
  <c r="K31" i="1"/>
  <c r="K214" i="1"/>
  <c r="K248" i="1"/>
  <c r="K181" i="1"/>
  <c r="K96" i="1"/>
  <c r="K234" i="1"/>
  <c r="K241" i="1"/>
  <c r="K172" i="1"/>
  <c r="K63" i="1"/>
  <c r="K153" i="1"/>
  <c r="K457" i="1"/>
  <c r="K123" i="1"/>
  <c r="K106" i="1"/>
  <c r="K21" i="1"/>
  <c r="K375" i="1"/>
  <c r="K226" i="1"/>
  <c r="K250" i="1"/>
  <c r="K435" i="1"/>
  <c r="K213" i="1"/>
  <c r="K26" i="1"/>
  <c r="K190" i="1"/>
  <c r="K149" i="1"/>
  <c r="K151" i="1"/>
  <c r="K34" i="1"/>
  <c r="K344" i="1"/>
  <c r="K464" i="1"/>
  <c r="K331" i="1"/>
  <c r="K264" i="1"/>
  <c r="K430" i="1"/>
  <c r="K91" i="1"/>
  <c r="K111" i="1"/>
  <c r="K80" i="1"/>
  <c r="K94" i="1"/>
  <c r="K244" i="1"/>
  <c r="K14" i="1"/>
  <c r="K229" i="1"/>
  <c r="K108" i="1"/>
  <c r="K137" i="1"/>
  <c r="K370" i="1"/>
  <c r="K138" i="1"/>
  <c r="K161" i="1"/>
  <c r="K285" i="1"/>
  <c r="K235" i="1"/>
  <c r="K326" i="1"/>
  <c r="K184" i="1"/>
  <c r="K397" i="1"/>
  <c r="K315" i="1"/>
  <c r="K276" i="1"/>
  <c r="K201" i="1"/>
  <c r="K165" i="1"/>
  <c r="K11" i="1"/>
  <c r="K121" i="1"/>
  <c r="K41" i="1"/>
  <c r="K126" i="1"/>
  <c r="K401" i="1"/>
  <c r="K318" i="1"/>
  <c r="K60" i="1"/>
  <c r="K230" i="1"/>
  <c r="K168" i="1"/>
  <c r="K182" i="1"/>
  <c r="K33" i="1"/>
  <c r="K19" i="1"/>
  <c r="K46" i="1"/>
  <c r="K92" i="1"/>
  <c r="K72" i="1"/>
  <c r="K449" i="1"/>
  <c r="K119" i="1"/>
  <c r="K54" i="1"/>
  <c r="K231" i="1"/>
  <c r="K441" i="1"/>
  <c r="K206" i="1"/>
  <c r="K180" i="1"/>
  <c r="K258" i="1"/>
  <c r="K363" i="1"/>
  <c r="K307" i="1"/>
  <c r="K388" i="1"/>
  <c r="K267" i="1"/>
  <c r="K255" i="1"/>
  <c r="K28" i="1"/>
  <c r="K371" i="1"/>
  <c r="K281" i="1"/>
  <c r="K210" i="1"/>
  <c r="K68" i="1"/>
  <c r="K35" i="1"/>
  <c r="K211" i="1"/>
  <c r="K416" i="1"/>
  <c r="K341" i="1"/>
  <c r="K43" i="1"/>
  <c r="K355" i="1"/>
  <c r="K7" i="1"/>
  <c r="K309" i="1"/>
  <c r="K160" i="1"/>
  <c r="K186" i="1"/>
  <c r="K136" i="1"/>
  <c r="K204" i="1"/>
  <c r="K193" i="1"/>
  <c r="K461" i="1"/>
  <c r="K99" i="1"/>
  <c r="K237" i="1"/>
  <c r="K176" i="1"/>
  <c r="K308" i="1"/>
  <c r="K51" i="1"/>
  <c r="K327" i="1"/>
  <c r="K215" i="1"/>
  <c r="K70" i="1"/>
  <c r="K144" i="1"/>
  <c r="K103" i="1"/>
  <c r="K218" i="1"/>
  <c r="K37" i="1"/>
  <c r="K205" i="1"/>
  <c r="K322" i="1"/>
  <c r="K32" i="1"/>
  <c r="K365" i="1"/>
  <c r="K398" i="1"/>
  <c r="K406" i="1"/>
  <c r="K83" i="1"/>
  <c r="K110" i="1"/>
  <c r="K27" i="1"/>
  <c r="K86" i="1"/>
  <c r="K433" i="1"/>
  <c r="K382" i="1"/>
  <c r="K421" i="1"/>
  <c r="K383" i="1"/>
  <c r="K243" i="1"/>
  <c r="K202" i="1"/>
  <c r="K362" i="1"/>
  <c r="K166" i="1"/>
  <c r="K420" i="1"/>
  <c r="K69" i="1"/>
  <c r="K174" i="1"/>
  <c r="K384" i="1"/>
  <c r="K233" i="1"/>
  <c r="K50" i="1"/>
  <c r="K227" i="1"/>
  <c r="K445" i="1"/>
  <c r="K439" i="1"/>
  <c r="K164" i="1"/>
  <c r="K56" i="1"/>
  <c r="K101" i="1"/>
  <c r="K232" i="1"/>
  <c r="K125" i="1"/>
  <c r="K8" i="1"/>
  <c r="K311" i="1"/>
  <c r="K336" i="1"/>
  <c r="K199" i="1"/>
  <c r="K45" i="1"/>
  <c r="K262" i="1"/>
  <c r="K425" i="1"/>
  <c r="K171" i="1"/>
  <c r="K387" i="1"/>
  <c r="K354" i="1"/>
  <c r="K87" i="1"/>
  <c r="K431" i="1"/>
  <c r="K409" i="1"/>
  <c r="K472" i="1"/>
  <c r="K169" i="1"/>
  <c r="K22" i="1"/>
  <c r="G194" i="1"/>
  <c r="G137" i="1"/>
  <c r="G26" i="1"/>
  <c r="G184" i="1"/>
  <c r="G409" i="1"/>
  <c r="G232" i="1"/>
  <c r="G195" i="1"/>
  <c r="G235" i="1"/>
  <c r="G103" i="1"/>
  <c r="G420" i="1"/>
  <c r="I18" i="5"/>
  <c r="J80" i="5"/>
  <c r="G165" i="1"/>
  <c r="G208" i="1"/>
  <c r="G310" i="1"/>
  <c r="G326" i="1"/>
  <c r="I28" i="5"/>
  <c r="I29" i="5"/>
  <c r="J30" i="5"/>
  <c r="I36" i="5"/>
  <c r="J37" i="5"/>
  <c r="J38" i="5"/>
  <c r="J44" i="5"/>
  <c r="J45" i="5"/>
  <c r="J52" i="5"/>
  <c r="I53" i="5"/>
  <c r="J54" i="5"/>
  <c r="I61" i="5"/>
  <c r="J62" i="5"/>
  <c r="I67" i="5"/>
  <c r="J68" i="5"/>
  <c r="J69" i="5"/>
  <c r="J75" i="5"/>
  <c r="J76" i="5"/>
  <c r="J83" i="5"/>
  <c r="J88" i="5"/>
  <c r="I91" i="5"/>
  <c r="I92" i="5"/>
  <c r="J93" i="5"/>
  <c r="I99" i="5"/>
  <c r="J100" i="5"/>
  <c r="J101" i="5"/>
  <c r="J104" i="5"/>
  <c r="J107" i="5"/>
  <c r="J108" i="5"/>
  <c r="J112" i="5"/>
  <c r="I115" i="5"/>
  <c r="I116" i="5"/>
  <c r="J117" i="5"/>
  <c r="J120" i="5"/>
  <c r="I124" i="5"/>
  <c r="J125" i="5"/>
  <c r="J127" i="5"/>
  <c r="I131" i="5"/>
  <c r="J132" i="5"/>
  <c r="J138" i="5"/>
  <c r="I139" i="5"/>
  <c r="J143" i="5"/>
  <c r="J146" i="5"/>
  <c r="J149" i="5"/>
  <c r="I152" i="5"/>
  <c r="J153" i="5"/>
  <c r="J154" i="5"/>
  <c r="I160" i="5"/>
  <c r="J161" i="5"/>
  <c r="J163" i="5"/>
  <c r="I164" i="5"/>
  <c r="J165" i="5"/>
  <c r="J168" i="5"/>
  <c r="J169" i="5"/>
  <c r="J173" i="5"/>
  <c r="J175" i="5"/>
  <c r="I176" i="5"/>
  <c r="J177" i="5"/>
  <c r="J180" i="5"/>
  <c r="J181" i="5"/>
  <c r="I184" i="5"/>
  <c r="J185" i="5"/>
  <c r="J191" i="5"/>
  <c r="J192" i="5"/>
  <c r="J193" i="5"/>
  <c r="J196" i="5"/>
  <c r="J199" i="5"/>
  <c r="J200" i="5"/>
  <c r="J202" i="5"/>
  <c r="J206" i="5"/>
  <c r="J207" i="5"/>
  <c r="J209" i="5"/>
  <c r="J210" i="5"/>
  <c r="J213" i="5"/>
  <c r="I214" i="5"/>
  <c r="J217" i="5"/>
  <c r="J221" i="5"/>
  <c r="J222" i="5"/>
  <c r="J223" i="5"/>
  <c r="J226" i="5"/>
  <c r="J228" i="5"/>
  <c r="J230" i="5"/>
  <c r="J231" i="5"/>
  <c r="I235" i="5"/>
  <c r="J236" i="5"/>
  <c r="J238" i="5"/>
  <c r="J239" i="5"/>
  <c r="J242" i="5"/>
  <c r="I243" i="5"/>
  <c r="J246" i="5"/>
  <c r="J249" i="5"/>
  <c r="J252" i="5"/>
  <c r="J254" i="5"/>
  <c r="I255" i="5"/>
  <c r="J258" i="5"/>
  <c r="J260" i="5"/>
  <c r="I266" i="5"/>
  <c r="I267" i="5"/>
  <c r="I273" i="5"/>
  <c r="J278" i="5"/>
  <c r="J281" i="5"/>
  <c r="J284" i="5"/>
  <c r="I285" i="5"/>
  <c r="J288" i="5"/>
  <c r="I292" i="5"/>
  <c r="J295" i="5"/>
  <c r="J299" i="5"/>
  <c r="J308" i="5"/>
  <c r="J316" i="5"/>
  <c r="I317" i="5"/>
  <c r="J318" i="5"/>
  <c r="J321" i="5"/>
  <c r="I323" i="5"/>
  <c r="J324" i="5"/>
  <c r="J325" i="5"/>
  <c r="I327" i="5"/>
  <c r="J328" i="5"/>
  <c r="I331" i="5"/>
  <c r="I333" i="5"/>
  <c r="J334" i="5"/>
  <c r="J336" i="5"/>
  <c r="J337" i="5"/>
  <c r="J340" i="5"/>
  <c r="I341" i="5"/>
  <c r="J343" i="5"/>
  <c r="J345" i="5"/>
  <c r="I347" i="5"/>
  <c r="J349" i="5"/>
  <c r="I350" i="5"/>
  <c r="I352" i="5"/>
  <c r="J353" i="5"/>
  <c r="J354" i="5"/>
  <c r="I355" i="5"/>
  <c r="I356" i="5"/>
  <c r="J358" i="5"/>
  <c r="I359" i="5"/>
  <c r="J360" i="5"/>
  <c r="J361" i="5"/>
  <c r="J20" i="5"/>
  <c r="I4" i="5"/>
  <c r="I6" i="5"/>
  <c r="I10" i="5"/>
  <c r="J11" i="5"/>
  <c r="I12" i="5"/>
  <c r="I14" i="5"/>
  <c r="J3" i="5" l="1"/>
  <c r="I3" i="5"/>
  <c r="J269" i="5"/>
  <c r="J78" i="5"/>
  <c r="I55" i="5"/>
  <c r="I47" i="5"/>
  <c r="J302" i="5"/>
  <c r="J276" i="5"/>
  <c r="I257" i="5"/>
  <c r="J162" i="5"/>
  <c r="J141" i="5"/>
  <c r="I70" i="5"/>
  <c r="I39" i="5"/>
  <c r="J294" i="5"/>
  <c r="I262" i="5"/>
  <c r="J245" i="5"/>
  <c r="J216" i="5"/>
  <c r="J178" i="5"/>
  <c r="I287" i="5"/>
  <c r="I237" i="5"/>
  <c r="J155" i="5"/>
  <c r="J303" i="5"/>
  <c r="J63" i="5"/>
  <c r="J31" i="5"/>
  <c r="I307" i="5"/>
  <c r="J268" i="5"/>
  <c r="J251" i="5"/>
  <c r="I224" i="5"/>
  <c r="I208" i="5"/>
  <c r="I201" i="5"/>
  <c r="J186" i="5"/>
  <c r="I133" i="5"/>
  <c r="J126" i="5"/>
  <c r="J118" i="5"/>
  <c r="I110" i="5"/>
  <c r="I102" i="5"/>
  <c r="J94" i="5"/>
  <c r="J86" i="5"/>
  <c r="I17" i="5"/>
  <c r="I9" i="5"/>
  <c r="J25" i="5"/>
  <c r="I16" i="5"/>
  <c r="I8" i="5"/>
  <c r="I311" i="5"/>
  <c r="J18" i="5"/>
  <c r="I15" i="5"/>
  <c r="I7" i="5"/>
  <c r="J23" i="5"/>
  <c r="I74" i="5"/>
  <c r="I66" i="5"/>
  <c r="I59" i="5"/>
  <c r="I51" i="5"/>
  <c r="I43" i="5"/>
  <c r="I35" i="5"/>
  <c r="I27" i="5"/>
  <c r="J320" i="5"/>
  <c r="I315" i="5"/>
  <c r="J310" i="5"/>
  <c r="I298" i="5"/>
  <c r="J291" i="5"/>
  <c r="J283" i="5"/>
  <c r="I277" i="5"/>
  <c r="J272" i="5"/>
  <c r="I265" i="5"/>
  <c r="J253" i="5"/>
  <c r="I248" i="5"/>
  <c r="I220" i="5"/>
  <c r="I212" i="5"/>
  <c r="I198" i="5"/>
  <c r="I190" i="5"/>
  <c r="I167" i="5"/>
  <c r="I151" i="5"/>
  <c r="I137" i="5"/>
  <c r="I130" i="5"/>
  <c r="I106" i="5"/>
  <c r="I90" i="5"/>
  <c r="I65" i="5"/>
  <c r="I50" i="5"/>
  <c r="I42" i="5"/>
  <c r="I13" i="5"/>
  <c r="I5" i="5"/>
  <c r="I339" i="5"/>
  <c r="J335" i="5"/>
  <c r="J330" i="5"/>
  <c r="J314" i="5"/>
  <c r="J305" i="5"/>
  <c r="I297" i="5"/>
  <c r="J290" i="5"/>
  <c r="I282" i="5"/>
  <c r="J271" i="5"/>
  <c r="J264" i="5"/>
  <c r="I247" i="5"/>
  <c r="I233" i="5"/>
  <c r="I227" i="5"/>
  <c r="I204" i="5"/>
  <c r="I189" i="5"/>
  <c r="I174" i="5"/>
  <c r="I166" i="5"/>
  <c r="I144" i="5"/>
  <c r="I129" i="5"/>
  <c r="I113" i="5"/>
  <c r="I105" i="5"/>
  <c r="I81" i="5"/>
  <c r="J57" i="5"/>
  <c r="J49" i="5"/>
  <c r="J41" i="5"/>
  <c r="J2" i="5"/>
  <c r="J43" i="5"/>
  <c r="I320" i="5"/>
  <c r="I264" i="5"/>
  <c r="J282" i="5"/>
  <c r="J248" i="5"/>
  <c r="J113" i="5"/>
  <c r="I254" i="5"/>
  <c r="I143" i="5"/>
  <c r="J105" i="5"/>
  <c r="I314" i="5"/>
  <c r="I104" i="5"/>
  <c r="J102" i="5"/>
  <c r="I149" i="5"/>
  <c r="I305" i="5"/>
  <c r="I252" i="5"/>
  <c r="I94" i="5"/>
  <c r="J247" i="5"/>
  <c r="J90" i="5"/>
  <c r="I303" i="5"/>
  <c r="I226" i="5"/>
  <c r="I44" i="5"/>
  <c r="J66" i="5"/>
  <c r="I299" i="5"/>
  <c r="I210" i="5"/>
  <c r="J212" i="5"/>
  <c r="J65" i="5"/>
  <c r="I272" i="5"/>
  <c r="I209" i="5"/>
  <c r="J152" i="5"/>
  <c r="J55" i="5"/>
  <c r="I271" i="5"/>
  <c r="I196" i="5"/>
  <c r="J297" i="5"/>
  <c r="J144" i="5"/>
  <c r="I276" i="5"/>
  <c r="I155" i="5"/>
  <c r="J262" i="5"/>
  <c r="J164" i="5"/>
  <c r="I358" i="5"/>
  <c r="I216" i="5"/>
  <c r="I100" i="5"/>
  <c r="I52" i="5"/>
  <c r="J257" i="5"/>
  <c r="J224" i="5"/>
  <c r="J160" i="5"/>
  <c r="J350" i="5"/>
  <c r="J287" i="5"/>
  <c r="I268" i="5"/>
  <c r="I86" i="5"/>
  <c r="I291" i="5"/>
  <c r="I242" i="5"/>
  <c r="I138" i="5"/>
  <c r="I83" i="5"/>
  <c r="I23" i="5"/>
  <c r="J347" i="5"/>
  <c r="J323" i="5"/>
  <c r="J277" i="5"/>
  <c r="J201" i="5"/>
  <c r="J139" i="5"/>
  <c r="J39" i="5"/>
  <c r="J327" i="5"/>
  <c r="I249" i="5"/>
  <c r="I31" i="5"/>
  <c r="I353" i="5"/>
  <c r="I328" i="5"/>
  <c r="I283" i="5"/>
  <c r="I239" i="5"/>
  <c r="I191" i="5"/>
  <c r="I126" i="5"/>
  <c r="I78" i="5"/>
  <c r="J315" i="5"/>
  <c r="J137" i="5"/>
  <c r="J36" i="5"/>
  <c r="I340" i="5"/>
  <c r="I281" i="5"/>
  <c r="I260" i="5"/>
  <c r="I180" i="5"/>
  <c r="I118" i="5"/>
  <c r="I63" i="5"/>
  <c r="J311" i="5"/>
  <c r="J273" i="5"/>
  <c r="J235" i="5"/>
  <c r="J189" i="5"/>
  <c r="J74" i="5"/>
  <c r="J28" i="5"/>
  <c r="I318" i="5"/>
  <c r="J208" i="5"/>
  <c r="I349" i="5"/>
  <c r="I228" i="5"/>
  <c r="I175" i="5"/>
  <c r="I112" i="5"/>
  <c r="I57" i="5"/>
  <c r="J266" i="5"/>
  <c r="J167" i="5"/>
  <c r="J115" i="5"/>
  <c r="J67" i="5"/>
  <c r="J27" i="5"/>
  <c r="J332" i="5"/>
  <c r="I332" i="5"/>
  <c r="J306" i="5"/>
  <c r="I306" i="5"/>
  <c r="J275" i="5"/>
  <c r="I275" i="5"/>
  <c r="J244" i="5"/>
  <c r="I244" i="5"/>
  <c r="J215" i="5"/>
  <c r="I215" i="5"/>
  <c r="J77" i="5"/>
  <c r="I77" i="5"/>
  <c r="J46" i="5"/>
  <c r="I46" i="5"/>
  <c r="I322" i="5"/>
  <c r="J322" i="5"/>
  <c r="J300" i="5"/>
  <c r="I300" i="5"/>
  <c r="I279" i="5"/>
  <c r="J279" i="5"/>
  <c r="J292" i="5"/>
  <c r="J184" i="5"/>
  <c r="I19" i="5"/>
  <c r="J19" i="5"/>
  <c r="J225" i="5"/>
  <c r="I225" i="5"/>
  <c r="J195" i="5"/>
  <c r="I195" i="5"/>
  <c r="I187" i="5"/>
  <c r="J187" i="5"/>
  <c r="I179" i="5"/>
  <c r="J179" i="5"/>
  <c r="I172" i="5"/>
  <c r="J172" i="5"/>
  <c r="I156" i="5"/>
  <c r="J156" i="5"/>
  <c r="I148" i="5"/>
  <c r="J148" i="5"/>
  <c r="I142" i="5"/>
  <c r="J142" i="5"/>
  <c r="I134" i="5"/>
  <c r="J134" i="5"/>
  <c r="I127" i="5"/>
  <c r="I119" i="5"/>
  <c r="J119" i="5"/>
  <c r="I361" i="5"/>
  <c r="I337" i="5"/>
  <c r="I295" i="5"/>
  <c r="I246" i="5"/>
  <c r="I200" i="5"/>
  <c r="I163" i="5"/>
  <c r="I125" i="5"/>
  <c r="J214" i="5"/>
  <c r="J92" i="5"/>
  <c r="J301" i="5"/>
  <c r="I301" i="5"/>
  <c r="J261" i="5"/>
  <c r="I261" i="5"/>
  <c r="J85" i="5"/>
  <c r="I85" i="5"/>
  <c r="I24" i="5"/>
  <c r="J24" i="5"/>
  <c r="J229" i="5"/>
  <c r="I229" i="5"/>
  <c r="I84" i="5"/>
  <c r="J84" i="5"/>
  <c r="I26" i="5"/>
  <c r="J26" i="5"/>
  <c r="I194" i="5"/>
  <c r="J194" i="5"/>
  <c r="I171" i="5"/>
  <c r="J171" i="5"/>
  <c r="I360" i="5"/>
  <c r="I354" i="5"/>
  <c r="I336" i="5"/>
  <c r="I330" i="5"/>
  <c r="I321" i="5"/>
  <c r="I294" i="5"/>
  <c r="I253" i="5"/>
  <c r="I245" i="5"/>
  <c r="I230" i="5"/>
  <c r="I213" i="5"/>
  <c r="I199" i="5"/>
  <c r="I178" i="5"/>
  <c r="I161" i="5"/>
  <c r="I141" i="5"/>
  <c r="I120" i="5"/>
  <c r="I101" i="5"/>
  <c r="I80" i="5"/>
  <c r="I62" i="5"/>
  <c r="I41" i="5"/>
  <c r="I20" i="5"/>
  <c r="J359" i="5"/>
  <c r="J352" i="5"/>
  <c r="J339" i="5"/>
  <c r="J298" i="5"/>
  <c r="J265" i="5"/>
  <c r="J233" i="5"/>
  <c r="J190" i="5"/>
  <c r="J166" i="5"/>
  <c r="J116" i="5"/>
  <c r="J91" i="5"/>
  <c r="J42" i="5"/>
  <c r="J346" i="5"/>
  <c r="I346" i="5"/>
  <c r="J140" i="5"/>
  <c r="I140" i="5"/>
  <c r="J109" i="5"/>
  <c r="I109" i="5"/>
  <c r="J61" i="5"/>
  <c r="I183" i="5"/>
  <c r="J183" i="5"/>
  <c r="I123" i="5"/>
  <c r="J123" i="5"/>
  <c r="I60" i="5"/>
  <c r="J60" i="5"/>
  <c r="I345" i="5"/>
  <c r="I335" i="5"/>
  <c r="I325" i="5"/>
  <c r="I310" i="5"/>
  <c r="I302" i="5"/>
  <c r="I290" i="5"/>
  <c r="I278" i="5"/>
  <c r="I269" i="5"/>
  <c r="I251" i="5"/>
  <c r="I238" i="5"/>
  <c r="I223" i="5"/>
  <c r="I207" i="5"/>
  <c r="I192" i="5"/>
  <c r="I173" i="5"/>
  <c r="I153" i="5"/>
  <c r="I132" i="5"/>
  <c r="I93" i="5"/>
  <c r="I75" i="5"/>
  <c r="I54" i="5"/>
  <c r="J356" i="5"/>
  <c r="J341" i="5"/>
  <c r="J333" i="5"/>
  <c r="J307" i="5"/>
  <c r="J243" i="5"/>
  <c r="J227" i="5"/>
  <c r="J204" i="5"/>
  <c r="J131" i="5"/>
  <c r="J106" i="5"/>
  <c r="J81" i="5"/>
  <c r="J29" i="5"/>
  <c r="J342" i="5"/>
  <c r="I342" i="5"/>
  <c r="J286" i="5"/>
  <c r="I286" i="5"/>
  <c r="J256" i="5"/>
  <c r="I256" i="5"/>
  <c r="J170" i="5"/>
  <c r="I170" i="5"/>
  <c r="I38" i="5"/>
  <c r="I147" i="5"/>
  <c r="J147" i="5"/>
  <c r="I193" i="5"/>
  <c r="I154" i="5"/>
  <c r="I117" i="5"/>
  <c r="I76" i="5"/>
  <c r="I37" i="5"/>
  <c r="J22" i="5"/>
  <c r="I22" i="5"/>
  <c r="I241" i="5"/>
  <c r="J241" i="5"/>
  <c r="I234" i="5"/>
  <c r="J234" i="5"/>
  <c r="I205" i="5"/>
  <c r="J205" i="5"/>
  <c r="I182" i="5"/>
  <c r="J182" i="5"/>
  <c r="I159" i="5"/>
  <c r="J159" i="5"/>
  <c r="I145" i="5"/>
  <c r="J145" i="5"/>
  <c r="I122" i="5"/>
  <c r="J122" i="5"/>
  <c r="I114" i="5"/>
  <c r="J114" i="5"/>
  <c r="I98" i="5"/>
  <c r="J98" i="5"/>
  <c r="I82" i="5"/>
  <c r="J82" i="5"/>
  <c r="I334" i="5"/>
  <c r="I288" i="5"/>
  <c r="I222" i="5"/>
  <c r="I206" i="5"/>
  <c r="I169" i="5"/>
  <c r="I69" i="5"/>
  <c r="I30" i="5"/>
  <c r="J355" i="5"/>
  <c r="J176" i="5"/>
  <c r="J130" i="5"/>
  <c r="J53" i="5"/>
  <c r="J326" i="5"/>
  <c r="I326" i="5"/>
  <c r="J293" i="5"/>
  <c r="I293" i="5"/>
  <c r="J250" i="5"/>
  <c r="I250" i="5"/>
  <c r="I177" i="5"/>
  <c r="I21" i="5"/>
  <c r="J21" i="5"/>
  <c r="I240" i="5"/>
  <c r="J240" i="5"/>
  <c r="I219" i="5"/>
  <c r="J219" i="5"/>
  <c r="I211" i="5"/>
  <c r="J211" i="5"/>
  <c r="I197" i="5"/>
  <c r="J197" i="5"/>
  <c r="I181" i="5"/>
  <c r="I158" i="5"/>
  <c r="J158" i="5"/>
  <c r="I150" i="5"/>
  <c r="J150" i="5"/>
  <c r="I136" i="5"/>
  <c r="J136" i="5"/>
  <c r="I121" i="5"/>
  <c r="J121" i="5"/>
  <c r="I97" i="5"/>
  <c r="J97" i="5"/>
  <c r="I89" i="5"/>
  <c r="J89" i="5"/>
  <c r="I73" i="5"/>
  <c r="J73" i="5"/>
  <c r="I58" i="5"/>
  <c r="J58" i="5"/>
  <c r="I34" i="5"/>
  <c r="J34" i="5"/>
  <c r="I343" i="5"/>
  <c r="I316" i="5"/>
  <c r="I308" i="5"/>
  <c r="I258" i="5"/>
  <c r="I236" i="5"/>
  <c r="I221" i="5"/>
  <c r="I202" i="5"/>
  <c r="I186" i="5"/>
  <c r="I168" i="5"/>
  <c r="I162" i="5"/>
  <c r="I108" i="5"/>
  <c r="I88" i="5"/>
  <c r="I68" i="5"/>
  <c r="I49" i="5"/>
  <c r="J331" i="5"/>
  <c r="J317" i="5"/>
  <c r="J285" i="5"/>
  <c r="J255" i="5"/>
  <c r="J237" i="5"/>
  <c r="J151" i="5"/>
  <c r="J129" i="5"/>
  <c r="J357" i="5"/>
  <c r="I357" i="5"/>
  <c r="J312" i="5"/>
  <c r="I312" i="5"/>
  <c r="J280" i="5"/>
  <c r="I280" i="5"/>
  <c r="I274" i="5"/>
  <c r="J274" i="5"/>
  <c r="J351" i="5"/>
  <c r="I351" i="5"/>
  <c r="J348" i="5"/>
  <c r="I348" i="5"/>
  <c r="J344" i="5"/>
  <c r="I344" i="5"/>
  <c r="J338" i="5"/>
  <c r="I338" i="5"/>
  <c r="J329" i="5"/>
  <c r="I329" i="5"/>
  <c r="J313" i="5"/>
  <c r="I313" i="5"/>
  <c r="J309" i="5"/>
  <c r="I309" i="5"/>
  <c r="J304" i="5"/>
  <c r="I304" i="5"/>
  <c r="J296" i="5"/>
  <c r="I296" i="5"/>
  <c r="J289" i="5"/>
  <c r="I289" i="5"/>
  <c r="J270" i="5"/>
  <c r="I270" i="5"/>
  <c r="J263" i="5"/>
  <c r="I263" i="5"/>
  <c r="J259" i="5"/>
  <c r="I259" i="5"/>
  <c r="J232" i="5"/>
  <c r="I232" i="5"/>
  <c r="J218" i="5"/>
  <c r="I218" i="5"/>
  <c r="J203" i="5"/>
  <c r="I203" i="5"/>
  <c r="J188" i="5"/>
  <c r="I188" i="5"/>
  <c r="J157" i="5"/>
  <c r="I157" i="5"/>
  <c r="J135" i="5"/>
  <c r="I135" i="5"/>
  <c r="J128" i="5"/>
  <c r="I128" i="5"/>
  <c r="J96" i="5"/>
  <c r="I96" i="5"/>
  <c r="J72" i="5"/>
  <c r="I72" i="5"/>
  <c r="J64" i="5"/>
  <c r="I64" i="5"/>
  <c r="J33" i="5"/>
  <c r="I33" i="5"/>
  <c r="I324" i="5"/>
  <c r="I284" i="5"/>
  <c r="I231" i="5"/>
  <c r="I217" i="5"/>
  <c r="I185" i="5"/>
  <c r="I165" i="5"/>
  <c r="I146" i="5"/>
  <c r="I107" i="5"/>
  <c r="I45" i="5"/>
  <c r="I25" i="5"/>
  <c r="J267" i="5"/>
  <c r="J220" i="5"/>
  <c r="J198" i="5"/>
  <c r="J174" i="5"/>
  <c r="J124" i="5"/>
  <c r="J99" i="5"/>
  <c r="J50" i="5"/>
  <c r="J51" i="5"/>
  <c r="J110" i="5"/>
  <c r="J47" i="5"/>
  <c r="J35" i="5"/>
  <c r="I111" i="5"/>
  <c r="J111" i="5"/>
  <c r="I103" i="5"/>
  <c r="J103" i="5"/>
  <c r="I95" i="5"/>
  <c r="J95" i="5"/>
  <c r="I87" i="5"/>
  <c r="J87" i="5"/>
  <c r="I79" i="5"/>
  <c r="J79" i="5"/>
  <c r="I71" i="5"/>
  <c r="J71" i="5"/>
  <c r="I56" i="5"/>
  <c r="J56" i="5"/>
  <c r="I48" i="5"/>
  <c r="J48" i="5"/>
  <c r="I40" i="5"/>
  <c r="J40" i="5"/>
  <c r="I32" i="5"/>
  <c r="J32" i="5"/>
  <c r="J133" i="5"/>
  <c r="J70" i="5"/>
  <c r="J59" i="5"/>
  <c r="I11" i="5"/>
  <c r="J17" i="5"/>
  <c r="J13" i="5"/>
  <c r="J9" i="5"/>
  <c r="J5" i="5"/>
  <c r="J15" i="5"/>
  <c r="J7" i="5"/>
  <c r="J16" i="5"/>
  <c r="J14" i="5"/>
  <c r="J12" i="5"/>
  <c r="J10" i="5"/>
  <c r="J8" i="5"/>
  <c r="J6" i="5"/>
  <c r="J4" i="5"/>
  <c r="G81" i="2" l="1"/>
  <c r="G262" i="1"/>
  <c r="G14" i="1"/>
  <c r="G145" i="1"/>
  <c r="G21" i="2"/>
  <c r="G33" i="2"/>
  <c r="G129" i="2"/>
  <c r="G165" i="2"/>
  <c r="G117" i="2"/>
  <c r="G37" i="2"/>
  <c r="G11" i="2"/>
  <c r="G87" i="2"/>
  <c r="G157" i="2"/>
  <c r="G50" i="2"/>
  <c r="G130" i="2"/>
  <c r="G90" i="2"/>
  <c r="G16" i="2"/>
  <c r="G78" i="2"/>
  <c r="G162" i="2"/>
  <c r="G96" i="2"/>
  <c r="G149" i="2"/>
  <c r="G154" i="2"/>
  <c r="G100" i="2"/>
  <c r="G26" i="2"/>
  <c r="G131" i="2"/>
  <c r="G52" i="2"/>
  <c r="G53" i="2"/>
  <c r="G57" i="2"/>
  <c r="G62" i="2"/>
  <c r="G435" i="1"/>
  <c r="G398" i="1" l="1"/>
  <c r="G63" i="1"/>
  <c r="G193" i="1"/>
  <c r="G90" i="1"/>
  <c r="G7" i="1"/>
  <c r="G449" i="1"/>
  <c r="G121" i="1"/>
  <c r="G315" i="1"/>
  <c r="G174" i="1"/>
  <c r="G253" i="1"/>
  <c r="G160" i="1"/>
  <c r="G281" i="1"/>
  <c r="G206" i="1"/>
  <c r="G401" i="1"/>
  <c r="G233" i="1"/>
  <c r="G387" i="1"/>
  <c r="G347" i="1"/>
  <c r="G234" i="1"/>
  <c r="G250" i="1"/>
  <c r="G170" i="1"/>
  <c r="G41" i="1"/>
  <c r="G255" i="1"/>
  <c r="G341" i="1"/>
  <c r="G230" i="1"/>
  <c r="G236" i="1"/>
  <c r="G43" i="1"/>
  <c r="G336" i="1"/>
  <c r="G172" i="1"/>
  <c r="G311" i="1"/>
  <c r="G5" i="1"/>
  <c r="G267" i="1"/>
  <c r="G241" i="1"/>
  <c r="G27" i="1"/>
  <c r="G182" i="1"/>
  <c r="G199" i="1"/>
  <c r="G377" i="1"/>
  <c r="G244" i="1"/>
  <c r="G168" i="1"/>
  <c r="G248" i="1"/>
  <c r="G211" i="1"/>
  <c r="G455" i="1"/>
  <c r="G29" i="1"/>
  <c r="G110" i="1"/>
  <c r="G166" i="1"/>
  <c r="G399" i="1"/>
  <c r="G144" i="1"/>
  <c r="G227" i="1"/>
  <c r="G33" i="1"/>
  <c r="G8" i="1"/>
  <c r="G171" i="1"/>
  <c r="G231" i="1"/>
  <c r="G370" i="1"/>
  <c r="G192" i="1"/>
  <c r="G109" i="1"/>
  <c r="G164" i="1"/>
  <c r="G329" i="1"/>
  <c r="G229" i="1"/>
  <c r="G331" i="1"/>
  <c r="G6" i="1"/>
  <c r="G421" i="1"/>
  <c r="G360" i="1"/>
  <c r="G91" i="1"/>
  <c r="G205" i="1"/>
  <c r="G37" i="1"/>
  <c r="G54" i="1"/>
  <c r="G425" i="1"/>
  <c r="G125" i="1"/>
  <c r="G204" i="1"/>
  <c r="G123" i="1"/>
  <c r="G308" i="1"/>
  <c r="G80" i="1"/>
  <c r="G348" i="1"/>
  <c r="G92" i="1"/>
  <c r="G441" i="1"/>
  <c r="G214" i="1"/>
  <c r="G36" i="1"/>
  <c r="G382" i="1"/>
  <c r="G138" i="1"/>
  <c r="G243" i="1"/>
  <c r="G81" i="1"/>
  <c r="G375" i="1"/>
  <c r="G307" i="1"/>
  <c r="G285" i="1"/>
  <c r="G96" i="1"/>
  <c r="G318" i="1"/>
  <c r="G56" i="1"/>
  <c r="G136" i="1"/>
  <c r="G18" i="1"/>
  <c r="G392" i="1"/>
  <c r="G75" i="1"/>
  <c r="G22" i="1"/>
  <c r="G68" i="1"/>
  <c r="G276" i="1"/>
  <c r="G113" i="1"/>
  <c r="G316" i="1"/>
  <c r="G406" i="1"/>
  <c r="G176" i="1"/>
  <c r="G40" i="1"/>
  <c r="G346" i="1"/>
  <c r="G34" i="1"/>
  <c r="G3" i="1"/>
  <c r="G464" i="1"/>
  <c r="G51" i="1"/>
  <c r="G201" i="1"/>
  <c r="G190" i="1"/>
  <c r="G218" i="1"/>
  <c r="G226" i="1"/>
  <c r="G430" i="1"/>
  <c r="G48" i="1"/>
  <c r="G45" i="1"/>
  <c r="G309" i="1"/>
  <c r="G55" i="1"/>
  <c r="G149" i="1"/>
  <c r="G213" i="1"/>
  <c r="G353" i="1"/>
  <c r="G383" i="1"/>
  <c r="G35" i="1"/>
  <c r="G11" i="1"/>
  <c r="G268" i="1"/>
  <c r="G101" i="1"/>
  <c r="G31" i="1"/>
  <c r="G153" i="1"/>
  <c r="G445" i="1"/>
  <c r="G472" i="1"/>
  <c r="G461" i="1"/>
  <c r="G439" i="1"/>
  <c r="G447" i="1"/>
  <c r="G202" i="1"/>
  <c r="G87" i="1"/>
  <c r="G32" i="1"/>
  <c r="G344" i="1"/>
  <c r="G12" i="1"/>
  <c r="G86" i="1"/>
  <c r="G70" i="1"/>
  <c r="G237" i="1"/>
  <c r="G363" i="1"/>
  <c r="G431" i="1"/>
  <c r="G181" i="1"/>
  <c r="G327" i="1"/>
  <c r="G28" i="1"/>
  <c r="G257" i="1"/>
  <c r="G180" i="1"/>
  <c r="G388" i="1"/>
  <c r="G258" i="1"/>
  <c r="G161" i="1"/>
  <c r="G355" i="1"/>
  <c r="G111" i="1"/>
  <c r="G322" i="1"/>
  <c r="G438" i="1"/>
  <c r="G365" i="1"/>
  <c r="G78" i="1"/>
  <c r="G210" i="1"/>
  <c r="G186" i="1"/>
  <c r="G215" i="1"/>
  <c r="G371" i="1"/>
  <c r="G368" i="1"/>
  <c r="G433" i="1"/>
  <c r="G35" i="2" l="1"/>
  <c r="K18" i="1"/>
  <c r="AC181" i="2"/>
</calcChain>
</file>

<file path=xl/sharedStrings.xml><?xml version="1.0" encoding="utf-8"?>
<sst xmlns="http://schemas.openxmlformats.org/spreadsheetml/2006/main" count="5757" uniqueCount="1957">
  <si>
    <t>Spend</t>
  </si>
  <si>
    <t>Ad Sales</t>
  </si>
  <si>
    <t>Spend Difference</t>
  </si>
  <si>
    <t>Total Sales</t>
  </si>
  <si>
    <t>Title</t>
  </si>
  <si>
    <t>Row Labels</t>
  </si>
  <si>
    <t>Sum of Units Ordered</t>
  </si>
  <si>
    <t>Consistency</t>
  </si>
  <si>
    <t>Diff %</t>
  </si>
  <si>
    <t>FEB</t>
  </si>
  <si>
    <t>MAR</t>
  </si>
  <si>
    <t>Diff</t>
  </si>
  <si>
    <t>CL</t>
  </si>
  <si>
    <t>JC</t>
  </si>
  <si>
    <t>Pumpkin Seed Oil with Saw Palmetto, 3,000mg Per Serving, 300 Softgels | Cold Pressed, Pure Virgin Oil, Herbal Supplement | Supports Urinary, Bladder &amp; Prostate Health | Non-GMO</t>
  </si>
  <si>
    <t>B01BHF3KRG</t>
  </si>
  <si>
    <t>Micro Ingredients Oil of Oregano Softgels 6000mg Per Serving, 300 Count | with Black Seed Oil, 4X Strength Carvacrol &amp; Thymoquinone | Plant Based, Non-GMO | Antioxidant &amp; Immune Support</t>
  </si>
  <si>
    <t>B0BXYKQBDC</t>
  </si>
  <si>
    <t>Micro Ingredients Odorless Garlic 7500mg Per Servings, 300 Softgels | 2 Years Aged Garlic Extract, Grown Allium Sativum Bulb | Potent Antioxidant Supplement, Immune Support, and Heart Health</t>
  </si>
  <si>
    <t>B0812DJRSK</t>
  </si>
  <si>
    <t>Micro Ingredients Vitamin D3 5000 IU with K2 100 mcg, 300 Soft-Gels | K2 MK-7 with D3 Vitamin Supplement, 2 in 1 Support Immune, Heart, Joint, Teeth &amp; Bone Health - Easy to Swallow</t>
  </si>
  <si>
    <t>B07RX4P4RL</t>
  </si>
  <si>
    <t xml:space="preserve">Organic Ceylon Cinnamon Powder 8oz </t>
  </si>
  <si>
    <t>B0FGF3F9H4</t>
  </si>
  <si>
    <t>Liposomal NAD+ Ultimate 1000mg</t>
  </si>
  <si>
    <t>B0F8FZSPTY</t>
  </si>
  <si>
    <t xml:space="preserve">Organic Beet Root Powder 2lb </t>
  </si>
  <si>
    <t>B0FH1HDTF1</t>
  </si>
  <si>
    <t xml:space="preserve">Turmeric Curcumin 3000mg with MCT Oil </t>
  </si>
  <si>
    <t>B0DK66NCWL</t>
  </si>
  <si>
    <t>Micro Ingredients Organic Spirulina Supplement, 3000MG Per Serving, 720 Tablets (4 Month Supply), No Filler &amp; Non-GMO, Rich in Vegan Protein, Vitamins &amp; Prebiotics, Premium Spirulina Pills Organic</t>
  </si>
  <si>
    <t>B01DPW5DC4</t>
  </si>
  <si>
    <t xml:space="preserve">Organic Instant Mushroom Coffee 14oz </t>
  </si>
  <si>
    <t>B0CWN8C5KR</t>
  </si>
  <si>
    <t>Organic Pumpkin Seeds 4lb</t>
  </si>
  <si>
    <t>B0CLFY72DS</t>
  </si>
  <si>
    <t>Organic Goji Berries 2lbs, Large Whole Sun-Dried Berries | Sulfate Free, Natural Antioxidant | Raw Superfood Berry for Energy, Eye, &amp; Immune Health | Non-GMO</t>
  </si>
  <si>
    <t>B0BXYB91BJ</t>
  </si>
  <si>
    <t>Mega Mushroom 10-in-1 with MCT Oil Softgels 240 count </t>
  </si>
  <si>
    <t>B0FJ3ZQ1C7</t>
  </si>
  <si>
    <t>Micro Ingredients Organic Coconut Milk Powder, 2 Pound (32 Ounce), Plant-Based Creamer, Perfect for Coffee, Tea and Smoothie, Non-GMO and Keto Friendly</t>
  </si>
  <si>
    <t>B07X37D16H</t>
  </si>
  <si>
    <t>Micro Ingredients 2 Pack Liver Detox, 480 Capsules</t>
  </si>
  <si>
    <t>B0FMBVXBNV</t>
  </si>
  <si>
    <t>Turmeric Ginger Peach Mango Flavor Gummies</t>
  </si>
  <si>
    <t>B0FXBQDB38</t>
  </si>
  <si>
    <t>Creatine Monohydrate Powder 500 Grams (1.1 LBS), 5000mg Per Serv, Micronized Creatine Powder, Unflavored, Pure, No Filler, Keto &amp; Vegan, Easy Dissolve Pre Workout Creatine for Women and Men</t>
  </si>
  <si>
    <t>B09TNMZBQ5</t>
  </si>
  <si>
    <t xml:space="preserve">Ceylon Cinnamon 600mg  300 count </t>
  </si>
  <si>
    <t>B0F5RHY51V</t>
  </si>
  <si>
    <t xml:space="preserve">Selenium 200mcg with coconut oil 500 count </t>
  </si>
  <si>
    <t>B0F3GKVDHY</t>
  </si>
  <si>
    <t xml:space="preserve">Organic Whole Psyllium Husks Powder 3lb </t>
  </si>
  <si>
    <t>B0DS6MHM6Z</t>
  </si>
  <si>
    <t xml:space="preserve">Vitamin E 400IU Softgels 300 count </t>
  </si>
  <si>
    <t>B0F3G6VH73</t>
  </si>
  <si>
    <t>Beef Gelatin Powder | Grass Fed, 2lbs | Unflavored Thickening Agent, Pasture Raised Source, Rich in Natural Protein | Great for Cooking &amp; Baking | Non-GMO</t>
  </si>
  <si>
    <t>B0C35DQQM9</t>
  </si>
  <si>
    <t>Indian Healing Clay Powder 2lb</t>
  </si>
  <si>
    <t>B0DDWH3NNX</t>
  </si>
  <si>
    <t xml:space="preserve">TUDCA 2000mg Complex capsules 240 count </t>
  </si>
  <si>
    <t>B0F4HH894D</t>
  </si>
  <si>
    <t>Sport Electrolytes Powder Watermelon Lime Flavor 2lb</t>
  </si>
  <si>
    <t>B0FGKXX19D</t>
  </si>
  <si>
    <t>Organic MCT Oil Powder with Prebiotic Fiber,1 Pound(16 Ounce), Fast Fuel for Body and Brain, C8 MCT Oil for Coffee Creamer, Delicious for Tea, Smoothie, Drink and Beverage, No GMOs, Keto Diet, Vegan</t>
  </si>
  <si>
    <t>B07T5X85N9</t>
  </si>
  <si>
    <t>MiracleMag Magnesium Supplement, 2lbs</t>
  </si>
  <si>
    <t>B0CVT7ZLLH</t>
  </si>
  <si>
    <t xml:space="preserve">Sport Electrolytes Powder Pineapple (Pina Colada) Flavor 2lb </t>
  </si>
  <si>
    <t>B0FGL1QZJF</t>
  </si>
  <si>
    <t>Omega 3 Fish Oil 4200mg 120 Softgels</t>
  </si>
  <si>
    <t>B0CS56P75L</t>
  </si>
  <si>
    <t>2pack Pumpkin Seed Oil with Saw Palmetto 150 Softgels</t>
  </si>
  <si>
    <t>B0G16663LP</t>
  </si>
  <si>
    <t xml:space="preserve">Milk Thistle 6000mg with Grape Seed Oil softgels 360 count </t>
  </si>
  <si>
    <t>B0F5S4X7L6</t>
  </si>
  <si>
    <t>DIM+ 400mg with Pumpkin Seed Oil Softgels 240 count </t>
  </si>
  <si>
    <t>B0FJ4FHNHZ</t>
  </si>
  <si>
    <t>Lutein &amp; Zeaxanthin 20mg Softgels, 400 Coun</t>
  </si>
  <si>
    <t>B0CVTTDTP9</t>
  </si>
  <si>
    <t>Pure Myo &amp; D-Chiro Inositol 2050mg caps</t>
  </si>
  <si>
    <t>B0F4HQ6C1C</t>
  </si>
  <si>
    <t xml:space="preserve">Supreme Omega-3 rTG Fish Oil 1300mg (700mg EPA + 500mg DHA) with Vitamin D3 1000IU Softgels 60 counts </t>
  </si>
  <si>
    <t>B0FN26WGH8</t>
  </si>
  <si>
    <t>Pure D-Mannose 1300mg with cranberry</t>
  </si>
  <si>
    <t>B0DLLMC7DS</t>
  </si>
  <si>
    <t>Liposomal Vitamin C 2500mg</t>
  </si>
  <si>
    <t>B0DW142NNT</t>
  </si>
  <si>
    <t>Fiber Gummies 6g with Probiotics Peach Cherry Flavor Gummies 120 count </t>
  </si>
  <si>
    <t>B0FKD3M8QQ</t>
  </si>
  <si>
    <t>Electrolyte Powder Strawberry &amp; Kiwi Flavor 2lb</t>
  </si>
  <si>
    <t>B0FGKJCC9X</t>
  </si>
  <si>
    <t xml:space="preserve">Instant Whey Protein Powder 2lb </t>
  </si>
  <si>
    <t>B0FJ4KZL8M</t>
  </si>
  <si>
    <t>Tart Cherry+ with Black Seed Oil Softgels 300 count </t>
  </si>
  <si>
    <t>B0FJ4DSJ36</t>
  </si>
  <si>
    <t>Apple Cider Vinegar Capsules</t>
  </si>
  <si>
    <t>B0DX4GZDW9</t>
  </si>
  <si>
    <t>Natural Astaxanthin 12mg, 90 Softgels, 3 Month Supply, Premium Astaxanthin Supplements (MicroAlgae), Supports Eye, Joint, Internal Circulation Health and Antioxidant, Easy to Swallow</t>
  </si>
  <si>
    <t>B08MWZQ4S6</t>
  </si>
  <si>
    <t xml:space="preserve">Organic Goji Berries 1lb </t>
  </si>
  <si>
    <t>B0FWHT357H</t>
  </si>
  <si>
    <t>Pure Magnesium Citrate 500mg with Vitamin C</t>
  </si>
  <si>
    <t>B0DLLJ7HTQ</t>
  </si>
  <si>
    <t>Folic Acid 1,000 mcg, 500 Coconut Oil Softgels (1mg) | Essential Prenatal Vitamins (Vitamin B9) | 1,667 mcg DFE | Third Party Tested, No Artificial Colors or Flavors | Non-GMO, Gluten Free</t>
  </si>
  <si>
    <t>B087F3WYNW</t>
  </si>
  <si>
    <t>Golden Monk Fruit Sweetener with Allulose, 2 lbs | No Erythritol, No Aftertaste, 1:1 Brown Sugar Substitute | Zero Calorie, Great for Drinks, Coffee, Tea, Cookies | Keto, Vegan, Non-GMO</t>
  </si>
  <si>
    <t>B0C9P7L7YJ</t>
  </si>
  <si>
    <t>Liposomal Glutathione Complex 3000mg vegetarian capsules 120 count</t>
  </si>
  <si>
    <t>B0FWHFRB31</t>
  </si>
  <si>
    <t>Xanthan Gum Powder 2lb - Premium Food Grade for Cooking, Keto Baking, Thickening Soups &amp; Sauces, Dressings, Vegan Friendly, Non-GMO, Gluten Free</t>
  </si>
  <si>
    <t>B0BXY6BMHQ</t>
  </si>
  <si>
    <t>Matcha Latte with Allulose 2lb </t>
  </si>
  <si>
    <t>B0FGFQD1Q8</t>
  </si>
  <si>
    <t>Vitamin B2 Riboflavin 400mg</t>
  </si>
  <si>
    <t>B0F5M2GGC3</t>
  </si>
  <si>
    <t>Beet Root 3000mg with grape seed &amp; CoQ10</t>
  </si>
  <si>
    <t>B0DK65FRV2</t>
  </si>
  <si>
    <t>Multi-Collagen Capsules</t>
  </si>
  <si>
    <t>B0D16FNPY5</t>
  </si>
  <si>
    <t>Lions Mane Capsules</t>
  </si>
  <si>
    <t>B0D68FCQVT</t>
  </si>
  <si>
    <t>Hair Vitamins Complex 240 capsules</t>
  </si>
  <si>
    <t>B0DLDXLQ4B</t>
  </si>
  <si>
    <t xml:space="preserve">Mega Omega-3 Krill &amp; Fish Oil 2000mg (350mg EPA + 230mg DHA) Complex Softgels 240 count </t>
  </si>
  <si>
    <t>B0F4HPY7D5</t>
  </si>
  <si>
    <t xml:space="preserve">Pure Vitamin C 2000mg vegetarian capsules 240 count </t>
  </si>
  <si>
    <t>B0F3GV9QWR</t>
  </si>
  <si>
    <t>Organic Mega 10 Mushroom Powder 5oz</t>
  </si>
  <si>
    <t>B0D2S5M4DK</t>
  </si>
  <si>
    <t>Hyaluronic Acid Serum Powder, High Molecular Weight, Cosmetics Grade, 30 Gram, Support Hydration and Moisture, Water Soluble (Within 2 Hours), Vegan Friendly</t>
  </si>
  <si>
    <t>B01DPW5C5W</t>
  </si>
  <si>
    <t xml:space="preserve">Organic Castor Oil 32 fl oz </t>
  </si>
  <si>
    <t>B0CVRWSVRY</t>
  </si>
  <si>
    <t>Red Yeast Rice 1200mg with CoQ10 100mg 240 Veggie Capsules</t>
  </si>
  <si>
    <t>B0F7NQ81NX</t>
  </si>
  <si>
    <t>Women’s Probiotics 40 strains 100 bullion CFU</t>
  </si>
  <si>
    <t>B0DW1K3367</t>
  </si>
  <si>
    <t xml:space="preserve">Organic Ceremonial Matcha Powder 100g </t>
  </si>
  <si>
    <t>B0F3GD9TWT</t>
  </si>
  <si>
    <t>Pure Magnesium Flakes, 6lbs | Great for Foot &amp; Body Bath Soaks | Natural Magnesium Chloride Minerals | Better Absorption Over Epsom Salt | Relaxation &amp; Skin Hydration Support</t>
  </si>
  <si>
    <t>B0C9PGM325</t>
  </si>
  <si>
    <t>Micro Ingredients Quercetin with Vitamin C and Zinc, 240 Capsules | Quercetin 500mg, Vitamin C 500mg, Zinc 50mg (Picolinate, Citrate, Glycinate, Gluconate) | Complete Immune Support Supplements</t>
  </si>
  <si>
    <t>B087Z8PSW6</t>
  </si>
  <si>
    <t>Pure Birch Xylitol Sweetener (Xylitol Sugar Crystal Powder), 6 Pounds (96 Ounce &amp; 680 Serving), Natural Sweetener, 1:1 Brown Sugar Substitute and Low Calorie, Best for Baking and Cooking, No After Taste, Keto Friendly and Product of USA</t>
  </si>
  <si>
    <t>B07T5WW8LF</t>
  </si>
  <si>
    <t>Organic Strawberry Freeze Dried Powder, 12 Ounce (56 Serving), Strawberry Powder for Baking, Best Super Foods for Smoothie &amp; Beverage Blend, Non-GMO, Vegan</t>
  </si>
  <si>
    <t>B07CXZBRZP</t>
  </si>
  <si>
    <t xml:space="preserve">Magnesium Taurate 2000mg capsules 240 count </t>
  </si>
  <si>
    <t>B0FWHW4HDL</t>
  </si>
  <si>
    <t>Micro Ingredients Organic Marshmallow Root Powder, 8 Ounce, Filler Free and Traditionally Used, Supports Digestive Gastrointestinal Health, Non-Irradiated and No GMOs, Vegan Friendly</t>
  </si>
  <si>
    <t>B074WLN3WN</t>
  </si>
  <si>
    <t>Electrolyte Powder 1lb</t>
  </si>
  <si>
    <t>B0CS4VV8MD</t>
  </si>
  <si>
    <t>Micro Ingredients Glycine Powder, 1KG (2.2 Pounds), Glycine 1000mg Per Serving, Supports Restful Sleep and Neurotransmitter, Water Soluble and Products of USA</t>
  </si>
  <si>
    <t>B01LBILPCG</t>
  </si>
  <si>
    <t>Organic Goji Powder, Freeze Dried Goji Berry Powder, 1 Pound (16 Ounce), Sulfate Free, Pure Goji Supplement, Natural Booster for Energy, Eye Health, and Super Immune Vitamin C for Antioxidant, Non-GMO</t>
  </si>
  <si>
    <t>B06XKJQVZ8</t>
  </si>
  <si>
    <t xml:space="preserve">Mega Mushroom with ashwagandha gummies raspberry and pomegranate flavor 120 count </t>
  </si>
  <si>
    <t>B0FGKJD22C</t>
  </si>
  <si>
    <t>Micro Ingredients Pure Vitamin C Crystal Powder (Water Soluble Vitamin C 1000mg Per Serving), 1 KG (2.2 Pounds), Immune Vitamins and Strong Antioxidant, Pure Ascorbic Acid Powder Supplement</t>
  </si>
  <si>
    <t>B01HFOJBG2</t>
  </si>
  <si>
    <t>Zinc Carnosine 75mg 10-in-1 vegetarian capsules 240 count</t>
  </si>
  <si>
    <t>B0FWJ1HC2H</t>
  </si>
  <si>
    <t>Mega Probiotics 40 strains 200 billion CFU</t>
  </si>
  <si>
    <t>B0DVN41167</t>
  </si>
  <si>
    <t xml:space="preserve">Organic Pumpkin Seed Protein Powder 2lb </t>
  </si>
  <si>
    <t>B0FWJGBPWM</t>
  </si>
  <si>
    <t>Glutathione reduced 1000mg</t>
  </si>
  <si>
    <t>B0DWD6PXP2</t>
  </si>
  <si>
    <t xml:space="preserve">CoQ10 400mg with MCT Oil Softgels 240 count </t>
  </si>
  <si>
    <t>B0F3FXTP4V</t>
  </si>
  <si>
    <t xml:space="preserve">Krill Oil 1000mg Softgels 150 count </t>
  </si>
  <si>
    <t>B0FGFNMVJ3</t>
  </si>
  <si>
    <t>Micro Ingredients Organic Chlorella Powder, 10 Ounce, Broken Cell Wall, Rich in Vegan Proteins &amp; Vitamins, Raw, Bulk Premium Chlorella Supplement, Vegan Friendly, Non-Irradiation</t>
  </si>
  <si>
    <t>B01L2TGOEI</t>
  </si>
  <si>
    <t>Saffron+ Advanced Supplements, 60 Veggie Capsules</t>
  </si>
  <si>
    <t>B0F8Y3HBLS</t>
  </si>
  <si>
    <t>Vitamin D3 2000IU with coconut oil softgels</t>
  </si>
  <si>
    <t>B0DS6L2MFW</t>
  </si>
  <si>
    <t>Organic Bamboo Fiber Powder, 2lbs</t>
  </si>
  <si>
    <t>B0CVTJKVFQ</t>
  </si>
  <si>
    <t>Sustainably US Grown, Organic Saw Palmetto Powder, 4 Ounce, with Active Fatty Acid, Pure Saw Palmetto Prostate &amp; Hair Growth Supplement, Healthy Urination Frequency &amp; Hair Loss Blocker Supplement</t>
  </si>
  <si>
    <t>B07WLMT9FS</t>
  </si>
  <si>
    <t>Organic French Chicory Root, 2lbs | Roasted Chicory Granule for Chicory Coffee | Brews like Regular Coffee | Caffeine Free Coffee Substitute | Rich in Prebiotic Fiber | Non-GMO</t>
  </si>
  <si>
    <t>B0CG7VSS1Z</t>
  </si>
  <si>
    <t>Organic Chlorella Tablets, 500mg Per Tablet, 720 Tabs (360 Grams), 4 Months Supply, Broken Cell Wall, Rich in Vegan Protein &amp; Vitamins, No Filler, No Additives &amp; Non-GMO | Pure Green Algae Superfood</t>
  </si>
  <si>
    <t>B01FMWFG86</t>
  </si>
  <si>
    <t>Micro Ingredients Water Soluble COQ10 Supplement (COQ10 200mg Per Serving in Powder Form), 50 Grams (8 Months Supply), Extra Absorption, Support Heart Health and Energy Production, Vegan Friendly</t>
  </si>
  <si>
    <t>B07RH9L848</t>
  </si>
  <si>
    <t>Micro Ingredients Pantothenic Acid Vitamin B5 Supplement, Vitamin B5 500mg Per Count, 365 Capsules (1 Year Supply), B-Complex Vitamin, Support Energy Production and Nervous System, Non-GMO</t>
  </si>
  <si>
    <t>B08MX59VV3</t>
  </si>
  <si>
    <t xml:space="preserve">Maca Root Complex 5000mg </t>
  </si>
  <si>
    <t>B0DW1M7VQK</t>
  </si>
  <si>
    <t>Organic Celery Juice Powder, 20 Ounce (1.25 Pound), 71 Serving, Celery Detox and Cold Pressed, Boosts Immune System, Energy and Supports Gut Health, Rich in Immune Vitamin C and Minerals, Vegan</t>
  </si>
  <si>
    <t>B0846SDQZG</t>
  </si>
  <si>
    <t>L-Arginine 1000mg with MCT Oil softgels 300 count </t>
  </si>
  <si>
    <t>B0FJ3P7PJ4</t>
  </si>
  <si>
    <t>Micro Ingredients Organic Ashwagandha Root Powder | 2 Pound, No Filler, No Additives, Highly Purified | Active Withanolides, Adaptogenic Ayurvedic Herbal Supplements, No GMO, Gluten Free, India Origin</t>
  </si>
  <si>
    <t>B01N3U3WO4</t>
  </si>
  <si>
    <t>KSM-66 Ashwagandha Gummies</t>
  </si>
  <si>
    <t>B0F3B3Y86P</t>
  </si>
  <si>
    <t xml:space="preserve">NMN 200mg vegetarian capsules 120 count </t>
  </si>
  <si>
    <t>B0FV26F161</t>
  </si>
  <si>
    <t>Glutathione Supplement, Pure Glutathione Reduced Powder with Inositol, 5 Ounce (9 Months Supply), 2 in 1 Formula, Powerful Ingredients for Antioxidants, Supports Liver Function, Vegan</t>
  </si>
  <si>
    <t>B0812D49XG</t>
  </si>
  <si>
    <t>Beef Gelatin Powder 1lb</t>
  </si>
  <si>
    <t>B0FGFNMT45</t>
  </si>
  <si>
    <t>Kids Magnesium Calm Gummies</t>
  </si>
  <si>
    <t>B0FGKW135S</t>
  </si>
  <si>
    <t>Micro Ingredients Organic Spirulina Powder, 16 Ounce, Raw Spirulina (Arthrospira Platensis), The Richest Sources of 70% Vegan Protein, Containers Minerals, Vitamins, Non-GMO &amp; Non-Irradiation</t>
  </si>
  <si>
    <t>B01DPW5FWW</t>
  </si>
  <si>
    <t>Multi-Collagen Powder Chocolate Flavor 2lb</t>
  </si>
  <si>
    <t>B0D68JXS1L</t>
  </si>
  <si>
    <t>Micro Ingredients Organic European Black Elderberry Juice Powder, 4 Ounce, Cold Pressed, Flash Pasteurized for Safety, Supports Immune System, Energy and Vascular Health, No GMOs, Vegan Friendly</t>
  </si>
  <si>
    <t>B07QTCDMBW</t>
  </si>
  <si>
    <t xml:space="preserve">Sunflower Lecithin 2400mg softgels 240 count </t>
  </si>
  <si>
    <t>B0FWJ2DKD9</t>
  </si>
  <si>
    <t>Micro Ingredients Full Spectrum Vitamin K2 MK-4 + MK-7 Supplement, 150 mcg, 300 Coconut Oil Softgles | Easily Absorbed, Active Menaquinone Complex | Immune, Joint, &amp; Heart Support | Non-GMO</t>
  </si>
  <si>
    <t>B087DZKHVW</t>
  </si>
  <si>
    <t>Monk Fruit Sweetener with Erythritol Granules, 4 Pounds, No After Taste, 1:1 White Sugar Substitute, Keto Diet Friendly, Zero Calorie, Natural Sweetener for Drinks, Coffee, Tea, Cookies, No-GMO, Vegan</t>
  </si>
  <si>
    <t>B07X4BL4GC</t>
  </si>
  <si>
    <t xml:space="preserve">Hyaluronic Acid Serum 4fl oz (118 mL) </t>
  </si>
  <si>
    <t>B0F3GF9G1H</t>
  </si>
  <si>
    <t>Organic Spirulina Powder 2lb</t>
  </si>
  <si>
    <t>B0F3G992L6</t>
  </si>
  <si>
    <t>Blood Booster 60 Capsules</t>
  </si>
  <si>
    <t>B0F8XQDMXS</t>
  </si>
  <si>
    <t xml:space="preserve">Organic Butterfly Pea Flowers, 8oz </t>
  </si>
  <si>
    <t>B0CLFQJ9V2</t>
  </si>
  <si>
    <t>Pure Lavender Essential Oil 8 floz (237mL)</t>
  </si>
  <si>
    <t>B0FGFPHB55</t>
  </si>
  <si>
    <t>Organic Whole Yellow Mustard Seed, 4lbs</t>
  </si>
  <si>
    <t>B0CLFJ81NC</t>
  </si>
  <si>
    <t>Organic Schisandra Extract Powder, 8 Ounce, Traditional Adaptogen and Filler Free, Pure Schisandra Supplement, Supports Liver Detox and Cognitive Health, No GMOs</t>
  </si>
  <si>
    <t>B07GF4QLJJ</t>
  </si>
  <si>
    <t>Pure L Citrulline Malate 2:1 Powder, 500 Grams, Filler Free, Vegan Citrulline Supplement and Citrulline Nitrate, Supports Muscle Performance, Endurance and Strength, Unflavored, Dissolve Easily</t>
  </si>
  <si>
    <t>B01HFOBO7Q</t>
  </si>
  <si>
    <t>2pack Pumpkin Seed Oil with Saw Palmetto 300 Softgels</t>
  </si>
  <si>
    <t>B0G1641C8X</t>
  </si>
  <si>
    <t xml:space="preserve">NAC+NAD with MCT Oil softgels </t>
  </si>
  <si>
    <t>B0DK65J8YX</t>
  </si>
  <si>
    <t>Omega-3 Fish Oil for dogs 16 fl oz</t>
  </si>
  <si>
    <t>B0F7NSB3DF</t>
  </si>
  <si>
    <t>Micro Ingredients Organic Tart Cherry Powder, 4 Ounce, Sustainably US Grown, Uric Acid Cleanse, Antioxidant and Flavonoids, Enhance Joint Health, Sleep Cycles &amp; Immune System</t>
  </si>
  <si>
    <t>B07G3KLNM7</t>
  </si>
  <si>
    <t>Omega-3 for Kids 240 Chewable Veggie Softgel</t>
  </si>
  <si>
    <t>B0F4HHCGGC</t>
  </si>
  <si>
    <t>Pure Quercetin Dihydrate Powder, Quercetin 500mg Per Serving, 100 Grams, Most Bioavailable Grade and Filler Free, Powerful Antioxidant Supports Energy, Immune System , No GMOs and Vegan</t>
  </si>
  <si>
    <t>B01DPW5IWY</t>
  </si>
  <si>
    <t>Psyllium Husk 500mg capsules 500 count</t>
  </si>
  <si>
    <t>B0DF425DGX</t>
  </si>
  <si>
    <t>NAC 600mg with NAD+ with coconut oil softgels 150 count</t>
  </si>
  <si>
    <t>B0F6J2MW5T</t>
  </si>
  <si>
    <t>Micro Ingredients Black Seed Oil 2000 mg with Vitamin D3 1000 IU, 240 Softgels | Cold Pressed - Nigella Sativa Pills from Egypt, Virgin Oil, Odorless, Non-GMO &amp; No Gluten</t>
  </si>
  <si>
    <t>B08TB8VX8P</t>
  </si>
  <si>
    <t>Magnesium Glycinate 400mg Gummies Grape Blueberry Flavor, 120 count</t>
  </si>
  <si>
    <t>B0F7NR5HSH</t>
  </si>
  <si>
    <t xml:space="preserve">Ginger Root with MCT Oil Softgels 360 count </t>
  </si>
  <si>
    <t>B0FWHBV8FF</t>
  </si>
  <si>
    <t>2 Pack of Pure USDA Organic Acerola Cherry Powder, Natural and Organic Vitamin C for Immune System, 8 Ounce, No GMO, No Gluten, Brazil Origin</t>
  </si>
  <si>
    <t>B01L2TGTK2</t>
  </si>
  <si>
    <t xml:space="preserve">Liposomal Vitamin C 1000mg 40 packets </t>
  </si>
  <si>
    <t>B0F3GDQTLS</t>
  </si>
  <si>
    <t>Micro Ingredients Sustainably US Grown, Organic Reishi Mushroom Powder, 8 Ounce, Pure Reishi Supplement 100:1 Extract (Reishi Mushroom)</t>
  </si>
  <si>
    <t>B01JNNAQVW</t>
  </si>
  <si>
    <t>Kids Methylated Multivitamins Orange Flavor Gummies 120 count</t>
  </si>
  <si>
    <t>B0FGKQ3X48</t>
  </si>
  <si>
    <t>Lions Mane+ with MCT Oil Softgels 240 count </t>
  </si>
  <si>
    <t>B0FJ46RC8P</t>
  </si>
  <si>
    <t xml:space="preserve">Resveratrol Complex 3000mg </t>
  </si>
  <si>
    <t>B0DVMN2XB5</t>
  </si>
  <si>
    <t>Organic Collagen Peptides Powder 12oz</t>
  </si>
  <si>
    <t>B0D3SH3DVW</t>
  </si>
  <si>
    <t>Colostrum 1000mg with Collagen &amp; Probiotics 240 capsules</t>
  </si>
  <si>
    <t>B0G2MZDRQL</t>
  </si>
  <si>
    <t xml:space="preserve">Pure KSM-66 Ashwagandha 1000mg vegetarian capsules 120 count </t>
  </si>
  <si>
    <t>B0F7NM5CXF</t>
  </si>
  <si>
    <t>Sustainably US Grown, Organic Freeze Dried Raspberry Juice Powder, 8 Ounce, Contains Immune Vitamin C for Immune System Booster, Rich in Raspberry Ketones, Fatty Acids, Minerals and Antioxidant, Vegan</t>
  </si>
  <si>
    <t>B07L466GW8</t>
  </si>
  <si>
    <t xml:space="preserve">Melatonin 10mg tablets strawberry flavor 400 count </t>
  </si>
  <si>
    <t>B0DX4D8Q84</t>
  </si>
  <si>
    <t>Organic Maca Root Powder, 2 Pound, Gelatinized for Better Absorption, Rich in Antioxidants, Help Energy, Stamina, Endurance, Strength and Immune System, No GMOs, Vegan Friendly and Peru Origin</t>
  </si>
  <si>
    <t>B01JNM6NTW</t>
  </si>
  <si>
    <t>Pure Methylated Multivitamin 240 count</t>
  </si>
  <si>
    <t>B0DLLG833V</t>
  </si>
  <si>
    <t>Micro Ingredients Organic Bamboo Extract Powder, 8 Ounce (1 Year Supply), Rich in Silica and Minerals, Supports Healthy Skin, Nail, Hair, Joints and Bones, Non-GMO and Vegan Friendly</t>
  </si>
  <si>
    <t>B07CXK6M1G</t>
  </si>
  <si>
    <t>Grape Seed Extract 36000mg with Resveratrol</t>
  </si>
  <si>
    <t>B0DX3W24CJ</t>
  </si>
  <si>
    <t>Pure Trans-Resveratrol Powder with Natural Vitamin E, 5 Ounce, 2 in 1 Formula, Micronized Powder for Better Absorption, Premium Resveratrol Supplement, Super Antioxidant, Vegan Friendly</t>
  </si>
  <si>
    <t>B0812F3JGG</t>
  </si>
  <si>
    <t>Omega-3 Fish Oil 3000mg (540mg EPA + 360mg DHA) Lemon Flavor 120 Softgels</t>
  </si>
  <si>
    <t>B0G5B844XM</t>
  </si>
  <si>
    <t>Micro Ingredients Raw Organic Ginkgo Biloba Powder, 8 Ounce (18 Months Supply), Filler Free, Supports Brain Function and Mental Alertness, No GMOs and Vegan Friendly</t>
  </si>
  <si>
    <t>B01L2TGUHO</t>
  </si>
  <si>
    <t>Magnesium Glycinate 800mg with MCT Oil 240 Softgels</t>
  </si>
  <si>
    <t>B0G5B6N2DQ</t>
  </si>
  <si>
    <t>NAD+ with resveratrol</t>
  </si>
  <si>
    <t>B0DS6NNCP9</t>
  </si>
  <si>
    <t>Micro Ingredients Sustainably US Grown, Organic Spinach Powder, 1 Pound, Freeze Dried from Whole Leaf, Rich in Beneficial Thylakoids and Chlorophyll, Contains Multivitamins, Non-GMO, Vegan Friendly</t>
  </si>
  <si>
    <t>B07WH4DXVX</t>
  </si>
  <si>
    <t>Men's Probiotics 40 strains 100 billion CFU 120 vegetarian capsules</t>
  </si>
  <si>
    <t>B0G2N243VD</t>
  </si>
  <si>
    <t>Organic Daily Prebiotic Dietary Fiber Supplement Powder, (Inulin Fiber from Chicory Root), 10 Ounce, Highly Promote Intestinal Colon, Gut Health and Digestive Function, Vegan Friendly</t>
  </si>
  <si>
    <t>B07P3GKXKK</t>
  </si>
  <si>
    <t>Maximum Strength Organic Pure Horny Goat Weed with Active Icariins for Men and Women, 100 Grams, Organic Epimedium Powder for Energy and Immune System Booster, Filler Free and Vegan Friendly</t>
  </si>
  <si>
    <t>B01L2TGSVM</t>
  </si>
  <si>
    <t>Organic Amla Powder (Amalaki) | 32oz, India Origin Gooseberry Powder | Rich in Vitamin C, Antioxidants, Supports Immune, Digestive &amp; Skin Health, Non-GMO, Vegan &amp; Keto Friendly</t>
  </si>
  <si>
    <t>B06XKYNFY1</t>
  </si>
  <si>
    <t>Micro Ingredients Organic Barley Grass Juice Powder, 10 Ounce, Cold Pressed, US Grown, Rich in Immune Vitamin, Fibers, Minerals, Antioxidants and Protein, Support Immune System and Digestion, Vegan</t>
  </si>
  <si>
    <t>B01MT7T5XX</t>
  </si>
  <si>
    <t>Taurine 1000mg with 400 MCT Oil Softgels</t>
  </si>
  <si>
    <t>B0G11T5RL2</t>
  </si>
  <si>
    <t>Advanced Electrolyte Complex with Multivitamins Capsules 240 count </t>
  </si>
  <si>
    <t>B0FWH7V17F</t>
  </si>
  <si>
    <t>Beet Root Complex 3000mg 300 capsules</t>
  </si>
  <si>
    <t>B0G2MX5LS7</t>
  </si>
  <si>
    <t>Supreme Omega-3 rTG Fish Oil 1300mg, 120 softgels</t>
  </si>
  <si>
    <t>B0FN669XZP</t>
  </si>
  <si>
    <t>Potassium Chloride Powder, 1 Kg (2.2 Pounds), Salt Substitute &amp; Electrolyte Powder, Pure Potassium Chloride Supplement, Essential Mineral, Filler Free and Dissolve Easily</t>
  </si>
  <si>
    <t>B07T1LZ4D2</t>
  </si>
  <si>
    <t>Pure Pine Pollen Powder, 6 Ounce, Wild Harvest an Broken Cell Wall, Supports Immune System Health, Boosts Energy, Antioxidant &amp; Androgenic, No GMOs, Vegan Friendly</t>
  </si>
  <si>
    <t>B079N44L9C</t>
  </si>
  <si>
    <t xml:space="preserve">Lithium Orotate 5mg vegetarian capsules 240 count </t>
  </si>
  <si>
    <t>B0FWHV2TRW</t>
  </si>
  <si>
    <t>Organic Barley Grass Powder, 16 Ounces | US Grown | Rich in Vitamins, Minerals, Fibers, &amp; Antioxidants | Superfood Greens Mix for Immune Health and Digestion Support | Non-GMO</t>
  </si>
  <si>
    <t>B01NCTM200</t>
  </si>
  <si>
    <t>Micro Ingredients Vitamin B12 5000mcg | Methyl B12 Active Form – 180 Chewable Tablets | Fast Dissolve, Natural Strawberry Flavor, Support Energy, Metabolism Health | Vegan, Non-GMO, &amp; No Gluten</t>
  </si>
  <si>
    <t>B08MX1ZWB4</t>
  </si>
  <si>
    <t>Pure L-Theanine Powder, 100 Grams (1 Year Supply), Filler Free, No GMOs and Vegan Friendly</t>
  </si>
  <si>
    <t>B01DPW5F5O</t>
  </si>
  <si>
    <t>Berberine 1000mg with MCT Oil, 120 Softgels</t>
  </si>
  <si>
    <t>B0GFGXGYZX</t>
  </si>
  <si>
    <t>Citrus Bergamot 1000mg with MCT Oil 240 Softgels</t>
  </si>
  <si>
    <t>B0G17R2KGK</t>
  </si>
  <si>
    <t xml:space="preserve">Krill Oil 2000mg Softgels 120 count </t>
  </si>
  <si>
    <t>B0FGFQKC2T</t>
  </si>
  <si>
    <t>Magnesium Citrate 400mg with Vitamin D3 1000IU &amp; B6, 240 Capsules | Elemental Mineral &amp; Vitamins Complex | Combats Constipation, Supports Muscle, Heart, &amp; Bone Health – Non-GMO</t>
  </si>
  <si>
    <t>B087F7DTR7</t>
  </si>
  <si>
    <t>Alpha GPC 600mg with MCT Oil Softgels 240 count</t>
  </si>
  <si>
    <t>B0G11GVYVX</t>
  </si>
  <si>
    <t>TMG (Trimethylglycine) 2000mg 240 capsules</t>
  </si>
  <si>
    <t>B0G2N4TH7Z</t>
  </si>
  <si>
    <t>Moringa Powder Organic (Moringa Oleifera Leaf Powder), 2 Pounds, Rich in Antioxidants and Immune Vitamin, Great Superfoods for Moringa Tea, Moringa Drink, Moringa Powder for Hair, India Grown, Vegan</t>
  </si>
  <si>
    <t>B01L2TGLTG</t>
  </si>
  <si>
    <t>Magnesium Malate 2000mg capsules 240 count </t>
  </si>
  <si>
    <t>B0FWJCNC61</t>
  </si>
  <si>
    <t>Glycine Powder 500g</t>
  </si>
  <si>
    <t>B0GDS3GVQB</t>
  </si>
  <si>
    <t>Black Seed Oil 3000mg with Oregano Oil 120 softgels</t>
  </si>
  <si>
    <t>B0GJTYTYDT</t>
  </si>
  <si>
    <t>Stevia Sweetener Powder with Plant-based Erythritol, 4 Pounds (64 Ounces) | Keto, 0 Calorie, Low Carb, 4:1 Sugar Substitute, Natural Sweetener, Bitterless, Reb-A Stevia Leaf Extract, Non-GMO, Vegan</t>
  </si>
  <si>
    <t>B09NQXJHYQ</t>
  </si>
  <si>
    <t>Methylated B Complex for Women 240 Capsules</t>
  </si>
  <si>
    <t>B0GDS8S34H</t>
  </si>
  <si>
    <t>Micro Ingredients Sustainably US Grown, Organic Wheat Grass Powder (100% Whole-Leaf), 16 Ounce, Rich in Immune Vitamins, Fibers and Minerals, Support Digestion Function, Vegan Friendly</t>
  </si>
  <si>
    <t>B01NH4ZI46</t>
  </si>
  <si>
    <t>Organic Broccoli Powder, 1 Pound, Freeze Dried, Contains Natural DIM (Diindolylmethane), and Rich in Fiber and Immune Vitamin C, Green Superfood for Smoothie &amp; Drinks, Vegan Friendly</t>
  </si>
  <si>
    <t>B07QQ3HTM5</t>
  </si>
  <si>
    <t>Organic He Shou Wu, Pure Fo Ti Extract Powder, 6 Ounce, Prepared Foti Steaming with Black Bean, Traditional Anti Aging Herb, Promotes Hair Health and Antioxidant, Filler Free and No GMOs</t>
  </si>
  <si>
    <t>B06XKV2PK3</t>
  </si>
  <si>
    <t>Micro Ingredients Riboflavin Vitamin B2, 400mg Per Serving, 180 Mini Tablets, Premium Vitamin B2 400mg Riboflavin Supplements, Easy to Swallow, Non-GMO</t>
  </si>
  <si>
    <t>B08C7BCJPM</t>
  </si>
  <si>
    <t xml:space="preserve">Organic Spirulina Chlorella Mixed Mini-Tablets 2500 count </t>
  </si>
  <si>
    <t>B0F3GG32FF</t>
  </si>
  <si>
    <t xml:space="preserve">Vitality Fiber Prebiotic Powder 1lb </t>
  </si>
  <si>
    <t>B0DK69WWNQ</t>
  </si>
  <si>
    <t>DHEA micronized 100mg 240 capsules</t>
  </si>
  <si>
    <t>B0G2MXW1B2</t>
  </si>
  <si>
    <t>Citric Acid 6 Pounds, Food Grade, Fine Granular Powder | 100% Pure, Concentrated Anhydrous Form | Natural Preservative + Great for Cooking, Cleaning, &amp; DIY Bath Bombs | Non-GMO</t>
  </si>
  <si>
    <t>B0BXYCL8KP</t>
  </si>
  <si>
    <t>Organic Chia Seeds 4lb</t>
  </si>
  <si>
    <t>B0F3GFTM5J</t>
  </si>
  <si>
    <t>Omega-3 Fish Oil 1200mg</t>
  </si>
  <si>
    <t>B0DGRNC1VW</t>
  </si>
  <si>
    <t>Oil of Oregano with black seed oil 450 softgels</t>
  </si>
  <si>
    <t>B0GJTTH8GZ</t>
  </si>
  <si>
    <t>Pure Organic Stevia Powder, 1lb</t>
  </si>
  <si>
    <t>B0D2LYMLJT</t>
  </si>
  <si>
    <t>Vegan Omega-7 Sea Buckthorn Oil 6000mg</t>
  </si>
  <si>
    <t>B0DS6MT295</t>
  </si>
  <si>
    <t>Probiotics for dogs 6 billion CFU Duck Flavor, 240 soft chews</t>
  </si>
  <si>
    <t>B0FJ4LWGC2</t>
  </si>
  <si>
    <t xml:space="preserve">HMB 1000mg with coconut oil softgels 240 count </t>
  </si>
  <si>
    <t>B0F5M5HXC3</t>
  </si>
  <si>
    <t>Electrolytes Grape Flavor, 1lb</t>
  </si>
  <si>
    <t>B0D74SV42T</t>
  </si>
  <si>
    <t>Sustainably US Grown, Organic Cranberry Juice Powder (Wild Cranberry Supplements Cold Pressed), 8 Ounce, Enhance Urinary Tract Cleanse &amp; Prostate Health, Water Soluble and Pet Friendly</t>
  </si>
  <si>
    <t>B07G3L5SX7</t>
  </si>
  <si>
    <t xml:space="preserve">5-HTP+ 300mg with Hemp Seed Oil Softgels 240 count </t>
  </si>
  <si>
    <t>B0FJ477YCV</t>
  </si>
  <si>
    <t>US Origin Potassium Citrate Powder, 1 KG (35 Ounce), Essential Electrolyte Supplement, Supports Mineral Balance, Heart Health and Immune System, Vegan Friendly</t>
  </si>
  <si>
    <t>B01KFALQ34</t>
  </si>
  <si>
    <t xml:space="preserve">Glutathione 500mg with Vitamin C vegetarian capsules 240 count </t>
  </si>
  <si>
    <t>B0FWGTM3ND</t>
  </si>
  <si>
    <t>Organic Whole Cinnamon Stick, 2lbs | 2 ¾” Stick Size | Raw Cinnamon Spice Flavor &amp; Aroma | Great for Tea, Desserts, or Cooking | Non-GMO, Vegan Friendly, Bulk Supply</t>
  </si>
  <si>
    <t>B0C9PGM2LW</t>
  </si>
  <si>
    <t>Rhodiola Rosea Complex 3000mg 240 vegetarian capsules</t>
  </si>
  <si>
    <t>B0G2N5K1F7</t>
  </si>
  <si>
    <t>Micro Ingredients Red Panax Ginseng 1200mg Per Serving, 200 Softgels | High Potency Korean Ginseng Extract with Active Ginsenosides, Non-GMO &amp; No Gluten</t>
  </si>
  <si>
    <t>B07S17DJS3</t>
  </si>
  <si>
    <t>Bovine Collagen Protein Powder, 1 Pound</t>
  </si>
  <si>
    <t>B0D16G8C8P</t>
  </si>
  <si>
    <t>Organic Dried Red Raspberry Leaf, 2lbs | Raw from Germany, Cut &amp; Sifted Whole Leaves | Makes Traditional Herbal Tea | Great for Refilling Tea Bags | Non-GMO, Vegan, Gluten Free</t>
  </si>
  <si>
    <t>B07YQBYZ75</t>
  </si>
  <si>
    <t>Pure Organic Stevia Powder, 4 Ounces, 706 Serving, Highest Grade Stevia Green Leaf Extract Reb-A, Reduced Bitter Aftertaste, 0 Calorie, Natural Sweetener, Sugar Alternative, Keto Friendly</t>
  </si>
  <si>
    <t>B01DPW5GRG</t>
  </si>
  <si>
    <t>Biotin 5000mcg with coconut oil</t>
  </si>
  <si>
    <t>B0DK64NZS8</t>
  </si>
  <si>
    <t>Bariatric Multivitamin with 45mg Iron 240 Veggie Capsules</t>
  </si>
  <si>
    <t>B0F6H61S1J</t>
  </si>
  <si>
    <t>Organic 10 in 1 Ground Mushroom Coffee Powder, 24 Ounce | Premium Arabica Coffee with Lion’s Mane, Chaga, Reishi, &amp; More | Smooth Medium Roast, Clean Energy, &amp; Immune Support</t>
  </si>
  <si>
    <t>B0C9PNDL22</t>
  </si>
  <si>
    <t>Magnesium Glycinate 350mg</t>
  </si>
  <si>
    <t>B0DWDHJZ4T</t>
  </si>
  <si>
    <t>Sustainably US Grown, Kale Powder Organic, 1 Pound (454 Servings), Freeze Dried, Most Nutrient-Dense Food on the Planet, Green Superfood for Kale Tea and Kale Drink, No GMOs and Vegan Friendly</t>
  </si>
  <si>
    <t>B07L46RH6P</t>
  </si>
  <si>
    <t xml:space="preserve">Sport Electrolytes Powder Passionfruit and Citrus Flavor 2lb </t>
  </si>
  <si>
    <t>B0FGL1SQML</t>
  </si>
  <si>
    <t>Fenugreek with Sunflower Lecithin 360 coconut oil softgels</t>
  </si>
  <si>
    <t>B0G17TB9PF</t>
  </si>
  <si>
    <t>2 Pack Micro Ingredients Organic Lemon Juice Powder, 10 Ounce, Rich in Natural Vitamin C (Immune Vitamins) for Immune System, Great Flavor for Drinks, Smoothie &amp; Beverages, Vegan</t>
  </si>
  <si>
    <t>B07XGDGNH9</t>
  </si>
  <si>
    <t>Melatonin Gummies 20mg</t>
  </si>
  <si>
    <t>B0F7NYGQ58</t>
  </si>
  <si>
    <t xml:space="preserve">Green Tea 9000mg capsules 300 count </t>
  </si>
  <si>
    <t>B0DVMFPFJ1</t>
  </si>
  <si>
    <t>CoQ10 100mg with MCT Oil</t>
  </si>
  <si>
    <t>B0DK69D35M</t>
  </si>
  <si>
    <t>Micro Ingredients Melatonin 20mg Tablets, 400 Counts, Natural Strawberry Flavor, Fast Dissolve | No Drug, Vegetarian Friendly, Non-GMO &amp; No Gluten</t>
  </si>
  <si>
    <t>B07RY554K5</t>
  </si>
  <si>
    <t>Sustainably US Grown, Organic Cordyceps Mushroom Extract Powder 100:1 | 6 Ounce, 30% Polysaccharides and Cordycepic Acid, From Fruit Body and Mycelium, Supports Energy &amp; Immune Health</t>
  </si>
  <si>
    <t>B074WL37DN</t>
  </si>
  <si>
    <t>Micro Ingredients Organic Chaga Mushroom Extract 100:1 Powder, 6 Ounce | Sustainably Maine Grown, Wild Harvest, Chaga Tea, Superfood for Beverage and Smoothie, Vegan Friendly</t>
  </si>
  <si>
    <t>B07CY1LGVZ</t>
  </si>
  <si>
    <t>Myo + D-Chiro Inositol Blend Powder 2lb</t>
  </si>
  <si>
    <t>B0F1QXFLBK</t>
  </si>
  <si>
    <t>Micro Ingredients Tongkat Ali Extract 200:1 (Longjack) Powder, 100 Grams, Grown in Indonesia, 100% Pure Eurycoma Longifolia Root Extract, Bitter Taste - No Filler, No Additive, Non-GMO</t>
  </si>
  <si>
    <t>B01L2TFQHY</t>
  </si>
  <si>
    <t>Micro Ingredients Organic Papaya Fruit Powder, 8 Ounce, Freeze Dried, Naturally Rich in Papaya Enzyme, Supports Antioxidant and Digestive Function, No GMOs &amp; Vegan Friendly</t>
  </si>
  <si>
    <t>B07NY5GKYG</t>
  </si>
  <si>
    <t>Pure Methylated B Complex with Vitamin C</t>
  </si>
  <si>
    <t>B0DLLHRVLY</t>
  </si>
  <si>
    <t>Brewers Yeast Powder for Lactation, 3lbs</t>
  </si>
  <si>
    <t>B0CLFRYPPT</t>
  </si>
  <si>
    <t>Double Strength Yohimbine Supplements for Men and Women, 10mg Per Serving, 300 Softgels, Yohimbine HCL with Virgin Sunflower Seed Oil for Better Absorption, Supports Energy Production, African Raw</t>
  </si>
  <si>
    <t>B08MX72C55</t>
  </si>
  <si>
    <t>Calm Powder 1lb</t>
  </si>
  <si>
    <t>B0FH5PPJVM</t>
  </si>
  <si>
    <t>Magnesium Glycinate Powder 12oz</t>
  </si>
  <si>
    <t>B0DG3QT3M2</t>
  </si>
  <si>
    <t>Organic Moringa Powder 1lb</t>
  </si>
  <si>
    <t>B0DW17X7XS</t>
  </si>
  <si>
    <t>Organic Dried Lavender Flowers, 2lbs | Raw from France, Extra Grade Loose Lavender Buds | Great for Herbal Tea or Culinary Baking | Rich in Antioxidants &amp; Essential Oil | Non-GMO</t>
  </si>
  <si>
    <t>B07YQCX5WR</t>
  </si>
  <si>
    <t>Micro Ingredients North American Grown, Pea Protein Powder, 5 Pounds | Plant Based, Unflavored | Complete Vegan Protein Source – 27g Serving | Rich in BCAAs &amp; EAAs | Non-GMO, Keto Friendly</t>
  </si>
  <si>
    <t>B0C35LNMRF</t>
  </si>
  <si>
    <t>Dog Multivitamin 25-in-1 Chicken Flavor, 240 soft chews</t>
  </si>
  <si>
    <t>B0FJ4838J3</t>
  </si>
  <si>
    <t>Pure D Ribose Powder, 1 KG (2.2 Pound and 200 Servings), Natural Simple Sugar, Dissolves Clear, Pharmaceutical Grade, Filler Free, No GMOs, No Gluten. and Water Soluble</t>
  </si>
  <si>
    <t>B01JNFGDUI</t>
  </si>
  <si>
    <t>Micro Ingredients Sustainably US Grown, Organic Slippery Elm Bark Powder, 1 Pound (645 Servings), Helps Soothe The Throat and Coughing, No Irradiated, No Contaminated, No GMOs, Pet Friendly</t>
  </si>
  <si>
    <t>B075VFCQBC</t>
  </si>
  <si>
    <t>Odorless Aged Garlic Extract 150 Softgels</t>
  </si>
  <si>
    <t>B0GJV59SRH</t>
  </si>
  <si>
    <t>Pure Methylated Multivitamin for Women</t>
  </si>
  <si>
    <t>B0F8FWJN2Q</t>
  </si>
  <si>
    <t>Turmeric Extract 95% Curcuminoids (Natural Turmeric Extract and Turmeric Supplements), 100 Grams, Rich in Antioxidants for Joint &amp; Immune Support, No GMOs, Vegan Friendly, India Origin</t>
  </si>
  <si>
    <t>B01JNPEPOE</t>
  </si>
  <si>
    <t>Moringa 6000mg capsules</t>
  </si>
  <si>
    <t>B0DDWPH39G</t>
  </si>
  <si>
    <t>Organic Matcha Green Tea Powder, 1 Pound (16 Ounce), Culinary Grade, First Harvest Authentic Japanese Origin, 100% Pure Matcha for Smoothies, Latte and Baking, Unflavored, Non-Irradiation</t>
  </si>
  <si>
    <t>B08PY3Q8XS</t>
  </si>
  <si>
    <t>Electrolyte tablets tubes 40 tablets</t>
  </si>
  <si>
    <t>B0DK68J877</t>
  </si>
  <si>
    <t>Micro Ingredients Organic Chlorella Powder, 20 Ounces | Broken Cell Wall for Complete Absorption | Raw Superfood Supplement, Rich in Protein &amp; Vitamins | Non-GMO, Vegan, Non-Irradiated</t>
  </si>
  <si>
    <t>B01NCTZSPF</t>
  </si>
  <si>
    <t>Organic Turmeric Powder 5lb</t>
  </si>
  <si>
    <t>B0DGYLR7W1</t>
  </si>
  <si>
    <t>Organic Ceylon Cinnamon Powder 1lb</t>
  </si>
  <si>
    <t>B0D2S665WK</t>
  </si>
  <si>
    <t>Magnesium Oxide 400mg</t>
  </si>
  <si>
    <t>B0DDWD83GF</t>
  </si>
  <si>
    <t>Organic Tomato Powder 2lb</t>
  </si>
  <si>
    <t>B0CLFZXMRB</t>
  </si>
  <si>
    <t>Organic Freeze-Dried Acai Powder 8oz, Sustainably Grown in Brazilian Amazon, 100% Pure Berry Pulp, Raw, Bulk, No Filler, No additives, Great for Acai Bowls, Yogurt, Smoothies, and More</t>
  </si>
  <si>
    <t>B09TG36LYR</t>
  </si>
  <si>
    <t>Micro Ingredients Organic Triphala Powder, 2 Pounds (Amla + Haritaki + Bibhitaki) | India Origin, Herbal Adaptogen Supplement, Supports Colon &amp; Immune Health | Vegan, No GMOS</t>
  </si>
  <si>
    <t>B01L2U1RHG</t>
  </si>
  <si>
    <t xml:space="preserve">Premium Vital Wheat Gluten Powder 6lb </t>
  </si>
  <si>
    <t>B0DK7WV3MS</t>
  </si>
  <si>
    <t>Organic Whole Rainbow Peppercorn Blend, 2lbs | Black, Green, Pink, &amp; White Fresh Peppercorns for Easy Grinder Refill | Multi Purpose Seasoning for Cooking or Baking | Non-GMO</t>
  </si>
  <si>
    <t>B0C9PGG2WV</t>
  </si>
  <si>
    <t>Mag Duo Magtein Jar 180g</t>
  </si>
  <si>
    <t>B0GHCR3PKT</t>
  </si>
  <si>
    <t xml:space="preserve">Organic Instant Coffee 1lb </t>
  </si>
  <si>
    <t>B0DGSDQ2XG</t>
  </si>
  <si>
    <t>Pure Tea Tree Essential Oil 8 floz (237mL) </t>
  </si>
  <si>
    <t>B0FGFJT3RY</t>
  </si>
  <si>
    <t>Triple Boron Complex 10mg with MCT Oil 360 Softgels</t>
  </si>
  <si>
    <t>B0GDS2LSPR</t>
  </si>
  <si>
    <t>Cranbery 400mg Vitamin C &amp; MCT 300 Softgel</t>
  </si>
  <si>
    <t>B0F5RKBCJJ</t>
  </si>
  <si>
    <t>Sustainably US Grown, Organic Shiitake Mushrooms Powder, 8 Ounce, Made from The Finest Dried Shiitake Mushroom, Stronger Umami Flavor Than Fresh Mushrooms, Great for Sauce, Soup and Pasta</t>
  </si>
  <si>
    <t>B08PXYB6RH</t>
  </si>
  <si>
    <t>Kids Omega-3 (200mg DHA) Lemon Flavor vegetarian softgels 240 count</t>
  </si>
  <si>
    <t>B0G31N7VWX</t>
  </si>
  <si>
    <t>Organic Sunflower Seeds (Kernels) 4lb</t>
  </si>
  <si>
    <t>B0CLFLQ8DJ</t>
  </si>
  <si>
    <t>Goat Milk Powder 1lb</t>
  </si>
  <si>
    <t>B0D2S64JP2</t>
  </si>
  <si>
    <t>Pure Saffron Extract 88.5mg</t>
  </si>
  <si>
    <t>B0DWDGKDMC</t>
  </si>
  <si>
    <t xml:space="preserve">Organic Butterfly Pea Powder 8oz </t>
  </si>
  <si>
    <t>B0D3ST21FG</t>
  </si>
  <si>
    <t>DHEA micronized 50mg capsules 240 count</t>
  </si>
  <si>
    <t>B0G2MY1HC4</t>
  </si>
  <si>
    <t>Vitamin D3 10,000IU Softgels 400 counts</t>
  </si>
  <si>
    <t>B0DK67ZTSP</t>
  </si>
  <si>
    <t xml:space="preserve">Saccharomyces boulardii 10 billion CFU with prebiotics vegetarian capsules 240 count </t>
  </si>
  <si>
    <t>B0G2N6RJYR</t>
  </si>
  <si>
    <t xml:space="preserve">Saw Palmetto 4800mg with Pumpkin Seed Oil softgels 240 count </t>
  </si>
  <si>
    <t>B0F5M6PZSY</t>
  </si>
  <si>
    <t>Shilajit 11-in-1 3000mg 240 Capsules</t>
  </si>
  <si>
    <t>B0G2N41RLF</t>
  </si>
  <si>
    <t>Vitamin D3K2 5000IU with sunflower seed oil 90 softgels</t>
  </si>
  <si>
    <t>B0GJTV15WF</t>
  </si>
  <si>
    <t>Micro Ingredients Maximum Strength Organic Korean Ginseng Root 200:1 Powder, 4 Ounce, Red Panax Ginseng Powder, Active Ginsenosides, Vegan Friendly</t>
  </si>
  <si>
    <t>B079MNQXLF</t>
  </si>
  <si>
    <t>Agar Agar Powder, 1lb | Vegan Substitute for Beef Gelatin, Unflavored Thickening Agent, Plant Based Red Algae | Great for Desserts or Baked Plates | Non-GMO, Sugar Free</t>
  </si>
  <si>
    <t>B0C35H321V</t>
  </si>
  <si>
    <t>NAC with NAD+ 1200mg vegetarian capsules 240 count</t>
  </si>
  <si>
    <t>B0G2N29LHV</t>
  </si>
  <si>
    <t>Micro Ingredients Maximum Strength Vitamin A 25000 IU | 500 Softgels with Coconut Oil for Better Absorption | Essential Vitamins for Vision, Growth, &amp; Reproduction | Non-GMO, Easy to Swallow</t>
  </si>
  <si>
    <t>B087DVF12V</t>
  </si>
  <si>
    <t>Magnesium Glycinate 400mg</t>
  </si>
  <si>
    <t>B0DGRNP1ZL</t>
  </si>
  <si>
    <t>Organic Arrowroot Powder, 5lbs | Food Grade, All Purpose Flour, Corn Starch Substitute</t>
  </si>
  <si>
    <t>B0CLFXD4XS</t>
  </si>
  <si>
    <t xml:space="preserve">2pack Multi-Collagen Complex Capsules 240 count </t>
  </si>
  <si>
    <t>B0F6ZJ1NXP</t>
  </si>
  <si>
    <t>Organic Turkey Tail Mushroom Powder (50:1 Extract), 8 Ounce | Sustainably US Grown, Freeze Dried with Active Polysaccharides, Supports Immune Response &amp; Cellular Level, Pet Friendly</t>
  </si>
  <si>
    <t>B07P2BWC78</t>
  </si>
  <si>
    <t>Berberine 3000mg vegetarian capsules 240 count</t>
  </si>
  <si>
    <t>B0DW192P2Z</t>
  </si>
  <si>
    <t>Instant Bovine Colostrum Powder 8oz</t>
  </si>
  <si>
    <t>B0D3SNSJ47</t>
  </si>
  <si>
    <t>Creatine Monohydrate Powder 1 kg (2.2 Lbs), 5000mg Per Serv, Micronized Creatine Powder, Unflavored, Pure, No Filler, Keto &amp; Vegan Friendly, Easy Dissolve Pre Workout Creatine for Women and Men</t>
  </si>
  <si>
    <t>B09YFHGK3F</t>
  </si>
  <si>
    <t xml:space="preserve">Pure Methylated Prenatal Vitamins for Women 240 Veggie Capsules </t>
  </si>
  <si>
    <t>B0F8FYNB8X</t>
  </si>
  <si>
    <t>Allulose Sweetener, 3 Pounds (48 Ounces), Zero Calorie, Plant Based Sugar Alternative, No After Taste, Best for Coffee, Drinks, Tea, Cooking and Baking, Keto Diet and Vegan Friendly</t>
  </si>
  <si>
    <t>B08PY5ZJTX</t>
  </si>
  <si>
    <t>Hyaluronic Acid Complex, 240 Vegetarian Capsules</t>
  </si>
  <si>
    <t>B0G2MWSJTY</t>
  </si>
  <si>
    <t xml:space="preserve">Oregano Oil with Black Seed Oil Drop 4 fl oz (118mL) </t>
  </si>
  <si>
    <t>B0DS6MGRHD</t>
  </si>
  <si>
    <t>GABA 750mg Complex with MCT Oil Softgels 300 count</t>
  </si>
  <si>
    <t>B0G17PT98Y</t>
  </si>
  <si>
    <t xml:space="preserve">Magnesium Glycinate Powder Lemon Flavor 12oz </t>
  </si>
  <si>
    <t>B0G163QK2Y</t>
  </si>
  <si>
    <t>Organic Dandelion Root Powder 8oz</t>
  </si>
  <si>
    <t>B0D2S4DZ7L</t>
  </si>
  <si>
    <t>Smoked Paprika Powder, 4lbs | Spanish Origin, Fine Ground, Oak Wood Smoked, Raw Sweet &amp; Spicy Flavor | Spice Rack Seasoning | Great for Chicken, Steak, or Vegetables | Additive Free, Non-GMO</t>
  </si>
  <si>
    <t>B0CLFZ81GG</t>
  </si>
  <si>
    <t>Magnesium Glycinate 400mg with Vitamin C - 200 Capsules, Elemental Magnesium 400mg Supplement, 100% Chelated, Support Healthy Muscle, Bones &amp; Mood</t>
  </si>
  <si>
    <t>B087F4HLJ3</t>
  </si>
  <si>
    <t>Marine Collagen Protein Powder, 1lb</t>
  </si>
  <si>
    <t>B0CVTQ4G5Z</t>
  </si>
  <si>
    <t>Vitamin D3K2 10,000IU with coconut oil 90 softgels</t>
  </si>
  <si>
    <t>B0GJV2XR1K</t>
  </si>
  <si>
    <t>Micro Ingredients Organic Pineapple Powder, 8 Ounce, Freeze Dried, Rich in Bromelain and Immune Vitamin C for Immune System Booster, Great Flavor for Drinks, Baking and Cooking, Non-GMO</t>
  </si>
  <si>
    <t>B07W9B5K1R</t>
  </si>
  <si>
    <t>Zinc Picolinate 100mg with MCT Oil Softgels 300 count </t>
  </si>
  <si>
    <t>B0G1CY7BXX</t>
  </si>
  <si>
    <t>L Tyrosine Supplement 500mg with Omega-3</t>
  </si>
  <si>
    <t>B0F5S28X8S</t>
  </si>
  <si>
    <t>Chlorophyll Complex 2000mg 240 Veg Caps</t>
  </si>
  <si>
    <t>B0DX44D7FF</t>
  </si>
  <si>
    <t xml:space="preserve">Pure Rosemary Essential Oil 8 floz (237mL) </t>
  </si>
  <si>
    <t>B0FGFWPT83</t>
  </si>
  <si>
    <t>Micro Ingredients Pure Bee Pollen Granules, 2lbs | Fresh Harvest, Natural Superfood, Raw Sweet Flavor | Rich in B Vitamins, Minerals, Protein, &amp; Antioxidants | Keto, Non-GMO</t>
  </si>
  <si>
    <t>B0BV3DFDK5</t>
  </si>
  <si>
    <t>Micro Ingredients Lutein &amp; Zeaxanthin 40mg Softgels, 240 Count, with Astaxanthin, Omega-3s, &amp; Phospholipids | Eye + Vision Health Vitamins | Third Party Tested, Non-GMO, Gluten Free</t>
  </si>
  <si>
    <t>B0812QPT4J</t>
  </si>
  <si>
    <t>Organic Garlic Powder, 3lbs | Culinary Grade | Freshly Harvested Raw Allium Sativum Bulb | Natural Herbal Spice | Great for Seasonings, Meats, or Vegetables | Non-GMO</t>
  </si>
  <si>
    <t>B0BXYB635P</t>
  </si>
  <si>
    <t>Sunflower Lecithin 1,600mg Per Serving, 300 Softgels</t>
  </si>
  <si>
    <t>B0CVTMQBGR</t>
  </si>
  <si>
    <t>Pure Vitamin E Oil 16fl oz (473mL)</t>
  </si>
  <si>
    <t>B0FGFY5FDY</t>
  </si>
  <si>
    <t>Organic Freeze-Dried Dragon Fruit Powder (Pink Pitaya/Pitahaya), 10 Ounce, Perfect for Shakes, Baking &amp; Smoothie, Non-GMO, No Gluten, Vegan Friendly</t>
  </si>
  <si>
    <t>B07P4M1YGN</t>
  </si>
  <si>
    <t>Pure Liposomal NAD+ 9000mg for women</t>
  </si>
  <si>
    <t>B0F8FP7F8T</t>
  </si>
  <si>
    <t>Astaxanthin 24mg with MCT Oil 90 Softgels</t>
  </si>
  <si>
    <t>B0GJTWR8M5</t>
  </si>
  <si>
    <t>Pure Green Coffee Bean Extract, 4 Ounce, Filler Free with Natural Caffeine, Green Coffee Bean Fat Burn Supplement with 50% Chlorogenic Acid, Supports Metabolism and Weight Management, Vegan Friendly</t>
  </si>
  <si>
    <t>B074WGLHFM</t>
  </si>
  <si>
    <t>Vegan omega 3</t>
  </si>
  <si>
    <t>B0D3T51D3C</t>
  </si>
  <si>
    <t>Tongkat Ali+ for men with MCT Oil Softgels 240 count </t>
  </si>
  <si>
    <t>B0FJ44M36M</t>
  </si>
  <si>
    <t>Pure Methylated Multivitamin for Men 240 Capsules</t>
  </si>
  <si>
    <t>B0F8FX9SXY</t>
  </si>
  <si>
    <t>Astaxanthin 6mg with MCT Oil 240 Softgels</t>
  </si>
  <si>
    <t>B0GFC6ZYVV</t>
  </si>
  <si>
    <t>Copper Glycinate 4mg with MCT Oil Softgels 500 count </t>
  </si>
  <si>
    <t>B0G111CDDT</t>
  </si>
  <si>
    <t>Micro Ingredients Sustainably US Grown, Organic Dandelion Root Tea Powder, Pure Dandelion Supplement, 1 Pound (16 Ounce, 1 Year Supply)</t>
  </si>
  <si>
    <t>B079MTDMK8</t>
  </si>
  <si>
    <t>Astaxanthin 24mg with MCT Oil 30 Softgels</t>
  </si>
  <si>
    <t>B0GJV1BGYB</t>
  </si>
  <si>
    <t>NMN Ultimate 10-in-1 Complex 1000mg 60 vegetarian capsules</t>
  </si>
  <si>
    <t>B0GMYP6686</t>
  </si>
  <si>
    <t>Pumpkin Seed Oil 3000mg with Saw Palmetto 75 Softgels</t>
  </si>
  <si>
    <t>B0GJV5F4GW</t>
  </si>
  <si>
    <t xml:space="preserve">Cod Liver Oil 2000mg </t>
  </si>
  <si>
    <t>B0D3T12XYP</t>
  </si>
  <si>
    <t>Triple Magnesium Complex (Glycinate + Malate + Taurate) 400mg capsules 300 count</t>
  </si>
  <si>
    <t>B0DLLHGKDM</t>
  </si>
  <si>
    <t>Vitamin D3 1,000 iu Plus K2 (MK-7) 25 mcg, 300 Virgin Coconut Oil Softgels</t>
  </si>
  <si>
    <t>B0CVTRSWQ1</t>
  </si>
  <si>
    <t>Creatine Monohydrate 5000mg Gummies Strawberry Raspberry Flavor, 120 count</t>
  </si>
  <si>
    <t>B0DS6KG42Q</t>
  </si>
  <si>
    <t xml:space="preserve">Sport Electrolytes Powder Berry Punch Flavor 2lb </t>
  </si>
  <si>
    <t>B0FGKCLXQ4</t>
  </si>
  <si>
    <t>Flaxseed Oil 1400mg Softgels, 300 Counts | w/ 700mg ALA Omega 3, Cold Pressed, Rich in Fatty Acids, Alpha Linolenic Acid, Support Heart Health &amp; Immune System | Non-GMO, No Gluten - 300 Servings</t>
  </si>
  <si>
    <t>B01DPW5TXW</t>
  </si>
  <si>
    <t>Organic Fortified Nutritional Yeast Flakes, 2LB | Rich in Vegan Protein, B Vitamins, &amp; Beta-Glucans | Keto Friendly, Dairy Free Cheese Substitute, Non-GMO, Gluten Free</t>
  </si>
  <si>
    <t>B0C35PK9GJ</t>
  </si>
  <si>
    <t xml:space="preserve">Pure Methylated Multivitamin 2pk </t>
  </si>
  <si>
    <t>B0FMBGZZM1</t>
  </si>
  <si>
    <t>Vitamin K Complex with coconut oil softgels</t>
  </si>
  <si>
    <t>B0C9PNMGR3</t>
  </si>
  <si>
    <t xml:space="preserve">Hyaluronic Acid Powder 50g </t>
  </si>
  <si>
    <t>B0F3BH66BZ</t>
  </si>
  <si>
    <t>Goat Milk Powder, 2lbs | Grass Fed Source, Australian Farm Derived, Unadulterated Formula, Easily Digested | Rich in Protein, Calcium, &amp; Probiotics | Non-GMO, Gluten Free, Pet Friendly</t>
  </si>
  <si>
    <t>B0BXYDSGC4</t>
  </si>
  <si>
    <t>Micro Ingredients Organic Camu Camu Powder, 12 oz | High Natural Vitamin C Level | Fresh Freeze-Dried Berries Source | Supports Energy and Immune Health | No GMOs, Vegan Friendly</t>
  </si>
  <si>
    <t>B01L2TGRFO</t>
  </si>
  <si>
    <t>Pure Potassium Magnesium with Vitamin C</t>
  </si>
  <si>
    <t>B0DLLLB5TL</t>
  </si>
  <si>
    <t>Organic Lion's Mane Powder 8oz</t>
  </si>
  <si>
    <t>B0D2S6H23L</t>
  </si>
  <si>
    <t>Testosterone+ Advanced 15-in-1 240 Softgels</t>
  </si>
  <si>
    <t>B0G1CWBDXB</t>
  </si>
  <si>
    <t>Organic Hibiscus Tea Bags, 200 Count | Caffeine Free, Loose Leaf Flower Source | Eco-Friendly Hemp Paper Bags | Great for Iced or Hot Brewed Tea | Non-GMO, No Sugar</t>
  </si>
  <si>
    <t>B0C35TKL3M</t>
  </si>
  <si>
    <t>Alpha Lipoic Acid (ALA) 600mg</t>
  </si>
  <si>
    <t>B0DVMNZ1HR</t>
  </si>
  <si>
    <t>Sustainably US Grown, Organic Sunflower Lecithin Powder, 1 Pound, Sustainable Farmed, Cold Pressed, Rich in Phosphatidyl Choline and Protein, Making Liposomal Vitamin C, Lactation Supplement, Non-GMO</t>
  </si>
  <si>
    <t>B01N02YNF5</t>
  </si>
  <si>
    <t>Organic Shredded Coconut Flakes, 4lbs</t>
  </si>
  <si>
    <t>B0CLFYHSV2</t>
  </si>
  <si>
    <t>Organic Kelp Powder Supplement, 2lbs | Sustainably US Grown, Raw Ascophyllum Nodosum Source | Rich in Iodine for Thyroid Support, Body Scrubs, &amp; Skin Care | Non-GMO, Vegan</t>
  </si>
  <si>
    <t>B01LFPNJ8S</t>
  </si>
  <si>
    <t>Oil of Oregano 300mg with black seed oil 75 softgels</t>
  </si>
  <si>
    <t>B0GJTXCYLY</t>
  </si>
  <si>
    <t>Creatine Monohydrate for Women with Collagen and Electrolyte, Lemon &amp; Raspberry Flavor 500g</t>
  </si>
  <si>
    <t>B0F1ZMG46T</t>
  </si>
  <si>
    <t>Magnesium Glycinate 1500mg</t>
  </si>
  <si>
    <t>B0DWCQGFWP</t>
  </si>
  <si>
    <t>Micro Ingredients Organic Beet Root Juice Powder, 1 Pound -Superfood Drink Mix | Non-GMO</t>
  </si>
  <si>
    <t>B01N32M7BR</t>
  </si>
  <si>
    <t>Micro Ingredients Ground Cayenne Pepper Powder Bulk, 6 Pounds - 60,000 Heat Units, Spicy and Filler Free, Garden Protection from Wildlife, No Gluten, No GMOs, Vegan Friendly</t>
  </si>
  <si>
    <t>B08TB8F5LL</t>
  </si>
  <si>
    <t>Micro Ingredients Biotin 10,000mcg w/Hyaluronic Acid 25mg | 360 Virgin Coconut Oil Softgels, Fast Release, One Year Supply, Supports Healthy Hair, Skin &amp; Nails, Non-GMO &amp; No Gluten</t>
  </si>
  <si>
    <t>B08MX3DD8G</t>
  </si>
  <si>
    <t>L-Arginine1600mg + L-Citrulline 800mg bisected tablets 240 count </t>
  </si>
  <si>
    <t>B0DWD26MMF</t>
  </si>
  <si>
    <t>Taurine Powder Supplement | 1 KG, 2000mg Per Serving | Unflavored | 100% Pure, Easily Absorbed Free Form | Essential Amino Acids for Exercise, Energy, &amp; Heart Support</t>
  </si>
  <si>
    <t>B0C88H675D</t>
  </si>
  <si>
    <t xml:space="preserve">Electrolyte Powder Grape Flavor 2lb </t>
  </si>
  <si>
    <t>B0D3T248FJ</t>
  </si>
  <si>
    <t>Multi Collagen Peptides Powder, 16 Oz - Hydrolyzed Protein Peptides | Type I,II,III,V,X with Hyaluronic Acid, Biotin 10,000mcg &amp; Vitamin C - Unflavored - Keto &amp; Paleo Friendly, Ez Mix in Drinks</t>
  </si>
  <si>
    <t>B0BKK4X56L</t>
  </si>
  <si>
    <t>Pure Acerola Cherry Powder Organic, Natural Organic Vitamin C for Immune System Booster, 8 Ounce, Best Superfoods for Beverage, Smoothie and Drinks, Vegan Friendly, Brazil Origin</t>
  </si>
  <si>
    <t>B06XC72G8G</t>
  </si>
  <si>
    <t xml:space="preserve">Ginkgo Ginseng Complex 5600mg </t>
  </si>
  <si>
    <t>B0DVMLWR97</t>
  </si>
  <si>
    <t xml:space="preserve">Grass-fed Beef Organ for Women 1200mg capsules 240 count </t>
  </si>
  <si>
    <t>B0FWHQ31W8</t>
  </si>
  <si>
    <t>North America Grown, Organic Pea Protein Powder, 1KG (2.2 Pounds), Plant-Based Vegan Protein Organic, Rich in Branched Chain Amino Acids, Flavonoids and Minerals, No GMOs &amp; Vegan Friendly</t>
  </si>
  <si>
    <t>B01DWUEQ7C</t>
  </si>
  <si>
    <t>Micro Ingredients Vitamin B3 Nicotinamide 1,000mg Per Serving, 400 Capsules | Flush Free Niacin, Essential B Vitamin Supplement | Skin Care Health &amp; Energy Support | Non-GMO, Gluten Free</t>
  </si>
  <si>
    <t>B08C9MWZD9</t>
  </si>
  <si>
    <t>Micro Ingredients Antarctic Krill Oil Supplement, 1000mg Per Serving, 300 Soft-Gels, Rich in Omega-3s EPA, DHA &amp; Natural Astaxanthin, Supports Immune System &amp; Brain Health, Easy to Swallow</t>
  </si>
  <si>
    <t>B01JNNAN4C</t>
  </si>
  <si>
    <t>Organic Inulin FOS Powder (Jerusalem Artichoke), 2.2 Pounds (35 Ounce), Quick Water Soluble, Prebiotic Intestinal Support for Colon and Gut Health, Natural Fibers for Smoothie &amp; Drinks, Vegan Friendly</t>
  </si>
  <si>
    <t>B074WKCPS4</t>
  </si>
  <si>
    <t>2 Pack Pure Turmeric Curcumin</t>
  </si>
  <si>
    <t>B0FBP4NMKK</t>
  </si>
  <si>
    <t>Chromium Picolinate 1000mcg with MCT Oil 500 count</t>
  </si>
  <si>
    <t>B0G1199NGW</t>
  </si>
  <si>
    <t xml:space="preserve">Multi Collagen Peptides Packets 40-count </t>
  </si>
  <si>
    <t>B0D3FQWRV4</t>
  </si>
  <si>
    <t>Golden Monk Fruit Sweetener with Erythritol, 4 Pounds - No After Taste - Brown Sugar Substitute, Keto Diet Friendly, Zero Calorie, Natural Sweetener for Drinks, Coffee, Tea, Cookies, No-GMO, Vegan</t>
  </si>
  <si>
    <t>B0BCN5XPBX</t>
  </si>
  <si>
    <t>Multi-Collagen Gummies 120 count</t>
  </si>
  <si>
    <t>B0DDWNGRKL</t>
  </si>
  <si>
    <t>DIM Active Supplement, DIM 300mg, 240 Veggie Capsules (8-Month Supply), 2 in 1 Formula, Estrogen Metabolism, Premium DIM-Plus Broccoli Extract Supplement With Black Pepper for Better Absorption</t>
  </si>
  <si>
    <t>B08MX153BT</t>
  </si>
  <si>
    <t xml:space="preserve">Glycine 2000mg 240 count </t>
  </si>
  <si>
    <t>B0DW1BXPMV</t>
  </si>
  <si>
    <t>Pure Allulose Sweetener Sachets 300 ct</t>
  </si>
  <si>
    <t>B0F7NBHZ52</t>
  </si>
  <si>
    <t xml:space="preserve">Vitamin B1 500mg with Benfotiamine with MCT Oil Softgels 240 counts </t>
  </si>
  <si>
    <t>B0F5M8Z61H</t>
  </si>
  <si>
    <t>Organic Black Seed Oil Bottle 16 fl oz (473mL)</t>
  </si>
  <si>
    <t>B0CVR6MX33</t>
  </si>
  <si>
    <t>Organic Ground Ginger Powder, 2 Pounds (32 Ounce), Great Flavor and Highly Aromatic, Fine Loose Powder for Better Mixing without Settling, Best for Cooking, Baking, Tea &amp; More, Product of India</t>
  </si>
  <si>
    <t>B08TBBBJK8</t>
  </si>
  <si>
    <t xml:space="preserve">Pure L-Lysine 2000mg </t>
  </si>
  <si>
    <t>B0DVM9M4DS</t>
  </si>
  <si>
    <t>Astaxanthin 6mg with MCT Oil 120 Softgels</t>
  </si>
  <si>
    <t>B0GFCNK99S</t>
  </si>
  <si>
    <t>Omega-3 Fish Oil 1000mg 300 count</t>
  </si>
  <si>
    <t>B0DK69SLY9</t>
  </si>
  <si>
    <t>Calcium 1200mg with Vitamin D3K2 1000IU</t>
  </si>
  <si>
    <t>B0DDWNT45S</t>
  </si>
  <si>
    <t xml:space="preserve">Glucosamine Chondroitin 4000mg </t>
  </si>
  <si>
    <t>B0DK683WHV</t>
  </si>
  <si>
    <t>Micro Ingredients Evening Primrose Oil 1300mg Perserving, 240 Softgels | Enhanced with 40mg Black Cohosh Extract, Cold Pressed – 10% Active GLA, Non-GMO, No Gluten, Easy to Swallow</t>
  </si>
  <si>
    <t>B01DPW5LR6</t>
  </si>
  <si>
    <t>Organic Freeze Dried Strawberries Sliced, 6.4oz | Fresh Raw Fruit Slices, Great Healthy Snacks or as a Garnish for Chocolate, Shortcake, and Smoothies | Non-GMO, 0 Sugar Added</t>
  </si>
  <si>
    <t>B0C9PLML31</t>
  </si>
  <si>
    <t>Organic Non-Fortified Nutritional Yeast Flakes, 2 Pounds | Rich in Vegan Protein, B Vitamins &amp; Beta-glucans | Keto Friendly, Dairy Free Cheese Substitute, Non-GMO, Gluten Free</t>
  </si>
  <si>
    <t>B0BCMNBZPR</t>
  </si>
  <si>
    <t>Micro Ingredients Organic Lemon Juice Powder, 10 Ounce, Cold Pressed Concentrated Powder, Filler Free, Rich in Natural Vitamin C for Immune System Booster, Great Flavor for Soda, Baking and Cooking, Vegan Friendly</t>
  </si>
  <si>
    <t>B07NY4MF5Y</t>
  </si>
  <si>
    <t>Organic Ceylon Cinnamon Powder | 2 Lb - [Sourced from Sri Lanka] - Inner Bark Cinnamomum Verum, Delicate Flavor and Aroma, Third Party Tested for Purity, Vegan, Non-GMO &amp; Gluten Free</t>
  </si>
  <si>
    <t>B01BHF3IXM</t>
  </si>
  <si>
    <t>US Origin Pure Magnesium Citrate Powder, 2 Pounds (32 Ounce), Pure and Filler Free, Relaxation and Nutrient Utilization, Vegan</t>
  </si>
  <si>
    <t>B01BHF3GMK</t>
  </si>
  <si>
    <t xml:space="preserve">Pure Methylated B Complex 2 Pack </t>
  </si>
  <si>
    <t>B0FMC1W6ZH</t>
  </si>
  <si>
    <t>Vitamin D3 50,000 IU Plus K2 (MK-7) 200 mcg, 240 Virgin Coconut Oil Softgels | 2 in 1 Vitamins D &amp; K Complex | Supports Calcium Absorption, Bone, Immune, &amp; Heart Health | Easy to Swallow</t>
  </si>
  <si>
    <t>B0C35N273V</t>
  </si>
  <si>
    <t xml:space="preserve">Organic MCT Liquid Oil 32 fl oz (946mL) </t>
  </si>
  <si>
    <t>B0C325P6Z4</t>
  </si>
  <si>
    <t xml:space="preserve">Peanut Powder 4lb </t>
  </si>
  <si>
    <t>B0DGRPBBZY</t>
  </si>
  <si>
    <t>Hair Vitamins Complex, 120 Capsules</t>
  </si>
  <si>
    <t>B0CVTRS7KJ</t>
  </si>
  <si>
    <t>Magnesium 12-in-1 Complex 1000mg vegetarian capsules 240 count</t>
  </si>
  <si>
    <t>B0FWHZSWHP</t>
  </si>
  <si>
    <t>Oil of Oregano 6000mg 150 count</t>
  </si>
  <si>
    <t>B0DK7XKTM6</t>
  </si>
  <si>
    <t>Micro Ingredients Organic Rhodiola Rosea Root Extract, 50g Powder | Adaptogenic Herb Based Supplement with Active Rosavins &amp; Salidrosides | Supports Energy &amp; Relaxation | No GMOs, Filler Free</t>
  </si>
  <si>
    <t>B01DPW5LN0</t>
  </si>
  <si>
    <t>Sustainably Canada Grown, Organic Blueberry Extract 50:1 Concentrated Powder, 6 Ounce, Wild Grown and Freeze Dried, Natural Flavor for Beverage, Smoothie and Baking, No GMOs</t>
  </si>
  <si>
    <t>B07CY1TLH2</t>
  </si>
  <si>
    <t>Monk Fruit Sweetener with Allulose, 2 lbs | No Erythritol | No Aftertaste, 1:1 White Sugar Substitute, Keto &amp; Vegan Friendly, Zero Calorie | Great for Drinks, Coffee, Tea, Cookies | Non-GMO</t>
  </si>
  <si>
    <t>B0BR4N7C2F</t>
  </si>
  <si>
    <t>Organic Blue Spirulina Powder (Phycocyanin Extract), 50 Servings - No Fishy Smell, 100% Vegan Protein from Blue-Green Algae, Natural Luminous Blue Food Coloring for Smoothies, Baking, Drinks &amp; Cooking</t>
  </si>
  <si>
    <t>B0B2379WMW</t>
  </si>
  <si>
    <t>Organic Blue Spirulina 30g</t>
  </si>
  <si>
    <t>B0DDW2L4YM</t>
  </si>
  <si>
    <t xml:space="preserve">Super Enzymes+ with Prebiotics + Probiotics vegetarian capsules 240 count </t>
  </si>
  <si>
    <t>B0DX44RL58</t>
  </si>
  <si>
    <t>Organic Black Cumin Seed (Nigella Sativa), 2lbs | Premium Grade Whole Black Seed from Egypt | Rich in Healthy Black Seed Oil | Raw Seeds for Baking, Seasoning, and Cooking | Non-GMO</t>
  </si>
  <si>
    <t>B0CG7S11B6</t>
  </si>
  <si>
    <t>Omega 3 Fish Oil DHA Supplements 1000mg with EPA 500mg, 200 Softgels – Lemon Flavored, Burpless (Enteric Coated) | Deep Sea Fresh Fish, Wild Caught from Norwegian Waters | Mercury Free</t>
  </si>
  <si>
    <t>B08MX16TYC</t>
  </si>
  <si>
    <t>Ashwagandha 6000mg with MCT Oil Softgels</t>
  </si>
  <si>
    <t>B0DK6596L8</t>
  </si>
  <si>
    <t>Black Seed Oil 2000 mg w/ Vitamin D3 240ct</t>
  </si>
  <si>
    <t>B0G73RKZ5R</t>
  </si>
  <si>
    <t>Pure Organic Stevia Powder, 8 Ounces, 1418 Serving, High Grade Stevia Green Leaf Extract Reb-A, Reduced Bitter Aftertaste, 0 Calorie, Natural Sweetener, Sugar Alternative, Keto Friendly</t>
  </si>
  <si>
    <t>B01DPW5H84</t>
  </si>
  <si>
    <t>Micro Ingredients Organic Lions Mane Mushroom Supplement Powder, 16 Ounce | Sustainably US Grown, Nootropic for Mental Clarity, Energy, &amp; Immune Support | Non-GMO, Vegan</t>
  </si>
  <si>
    <t>B07P2CWWVV</t>
  </si>
  <si>
    <t xml:space="preserve">Niacin (Vitamin B3) 500mg capsules 400 count </t>
  </si>
  <si>
    <t>B0DLLJLMKD</t>
  </si>
  <si>
    <t>Vitamin D3K2 5000IU with sunflower oil 180 count</t>
  </si>
  <si>
    <t>B0D2S6DMDS</t>
  </si>
  <si>
    <t>Vitamin D3K2 5000IU sunflower 180 count</t>
  </si>
  <si>
    <t>Sustainably US Grown, Organic Mega Mushroom 10 in 1 Complex Formula Powder for Immune System Booster, 10 Ounce (284 Days Supply), Chaga, Lions Mane, Cordyceps, Reishi &amp; More, Filler Free, Vegan</t>
  </si>
  <si>
    <t>B07RG8MMXW</t>
  </si>
  <si>
    <t>D Mannose Powder, 8.8 Ounce, Pure Mannose Supplement, Quick Water Soluble, Support Urinary Tract Cleanse &amp; Bladder Health, Premium Mannose for Women and Men, Vegan Friendly</t>
  </si>
  <si>
    <t>B01L2TFP1Q</t>
  </si>
  <si>
    <t>Organic Soluble Prebiotics Fiber Supplement (Inulin, Acacia, Psyllium Husk), 2 Pounds, 3 in 1 Fiber Formula, Daily Fiber, Unflavored, for Digestive Health, Hunger Control, Vegan</t>
  </si>
  <si>
    <t>B07RG8M2XB</t>
  </si>
  <si>
    <t>CoQ10 200mg with MCT Oil</t>
  </si>
  <si>
    <t>B0DGRK52HZ</t>
  </si>
  <si>
    <t>Organic Inulin Powder 500g (1.1lb) </t>
  </si>
  <si>
    <t>B0FGFJFFBY</t>
  </si>
  <si>
    <t xml:space="preserve">Vitamin D3K2 5000IU Golden Passion Fruit Flavor Gummies 120 count </t>
  </si>
  <si>
    <t>B0DS6MBN7J</t>
  </si>
  <si>
    <t>Hair, Skin &amp; Nails softgels 400 Count</t>
  </si>
  <si>
    <t>B0F4HSLBW8</t>
  </si>
  <si>
    <t xml:space="preserve">Astaxanthin 24mg Softgels 60 count </t>
  </si>
  <si>
    <t>B0F4M8Y6V6</t>
  </si>
  <si>
    <t>Magnesium Complex 20-in-1 for Women vegetarian capsules 240 count </t>
  </si>
  <si>
    <t>B0FWJ7TP6X</t>
  </si>
  <si>
    <t>L-Theanine 400mg 400 Softgels</t>
  </si>
  <si>
    <t>B0F5S2PCLD</t>
  </si>
  <si>
    <t>Ultra Omega 3-6-9 3600mg Perserv, 300 Burpless Softgels | Lemon Flavor – Blend of Fish, Flaxseed, Borage Oils | Bioavailable Source, Non-GMO, No Gluten, Mercury Free</t>
  </si>
  <si>
    <t>B07RD8T952</t>
  </si>
  <si>
    <t>Vitamin D3 5000IU with coconut oil</t>
  </si>
  <si>
    <t>B0DGRWCTN8</t>
  </si>
  <si>
    <t>Nitric Oxide Booster 3600mg 240 tablets</t>
  </si>
  <si>
    <t>B0DK6684NK</t>
  </si>
  <si>
    <t>Vitamin D3 5000 iu Plus K2 (MK-7) 100 mcg, 300 Virgin Coconut Oil Softgels | 2 in 1 Vitamins D &amp; K Complex | Supports Calcium Absorption, Bone, Immune, &amp; Heart Health – Easy to Swallow</t>
  </si>
  <si>
    <t>B0CG7M9HWP</t>
  </si>
  <si>
    <t>Beet Root 300mg with MCT Oil 360 softgels</t>
  </si>
  <si>
    <t>B0F5LZYS78</t>
  </si>
  <si>
    <t>Creatine Monohydrate 5,000mg, 500 Capsules | Pure Creatine Pills – Micronized + Unflavored Powder Source, Easy Absorption | Pre Workout &amp; Muscle Health Support | Keto, Non-GMO</t>
  </si>
  <si>
    <t>B0B9289VLY</t>
  </si>
  <si>
    <t>Astaxanthin 12mg with MCT Oil 90 Softgels</t>
  </si>
  <si>
    <t>B0GJTK1G9W</t>
  </si>
  <si>
    <t>Vitamin B1 Benfotiamine 600mg Per Serving, 240 Coconut Oil Softgels | Essential B Vitamins Supplement, Fat Soluble | Supports Metabolism &amp; Healthy Nervous System | Non-GMO, Easy to Swallow</t>
  </si>
  <si>
    <t>B0CG7ZTT7B</t>
  </si>
  <si>
    <t>Vitamin B12 1000mcg</t>
  </si>
  <si>
    <t>B0DK64ZGK4</t>
  </si>
  <si>
    <t>Micro Ingredients Antarctic Krill Oil Supplement, 2,000mg Per Serving, 240 Softgels, Triple Strength, Rich in Omega-3s EPA, DHA &amp; Natural Astaxanthin, Supports Immune System &amp; Brain Health</t>
  </si>
  <si>
    <t>B0C35GYDV3</t>
  </si>
  <si>
    <t>Micro Ingredients Vitamin E 1000 IU, 240 Softgels | Pure Vitamin E Oil Pills | Antioxidant Supplements for Skin, Face, &amp; Immune Health | Non-GMO, Gluten Free</t>
  </si>
  <si>
    <t>B0845QRGV5</t>
  </si>
  <si>
    <t xml:space="preserve">Multi-Collagen Peptides Powder 8oz </t>
  </si>
  <si>
    <t>B0D2S5S6D7</t>
  </si>
  <si>
    <t>Whole Milk Powder, 4lbs | rBST Hormone Free, Pasture Raised Source, Premium Grade Dry Powdered Form | Great for Baking | Rich in Protein | Non-GMO</t>
  </si>
  <si>
    <t>B0CLFXDX4Z</t>
  </si>
  <si>
    <t>L Methylfolate 15mg with B6 Plus Methyl B12</t>
  </si>
  <si>
    <t>B0F5S1V6ZQ</t>
  </si>
  <si>
    <t>R Alpha Lipoic Acid 600mg 120 Softgels</t>
  </si>
  <si>
    <t>B0F5LP6MH6</t>
  </si>
  <si>
    <t>Organic Psyllium Husk Powder, 2lbs</t>
  </si>
  <si>
    <t>B0B92CPGJ9</t>
  </si>
  <si>
    <t>Organic Instant 10 in 1 Mushroom Coffee Powder, 28 Ounce (317 Servings) | Premium Arabica Coffee with Lion’s Mane, Chaga, Reishi, &amp; More | Smooth Medium Roast, Clean Energy, &amp; Immune Support</t>
  </si>
  <si>
    <t>B0BCMKNMZB</t>
  </si>
  <si>
    <t xml:space="preserve">Bromelain 500mg with Quercetin &amp; MCT Oil </t>
  </si>
  <si>
    <t>B0F5M2HRX9</t>
  </si>
  <si>
    <t>Triple Strength Omega 3 Fish Oil Supplements 3000mg, 200 Softgels - Lemon Flavored - Burpless (Enteric-Coated) | EPA 1200mg + DHA 900mg | Deep Sea Fish, Wild Caught from Norwegian Waters</t>
  </si>
  <si>
    <t>B07L45XQBR</t>
  </si>
  <si>
    <t>Astaxanthin 12mg with MCT Oil 45 Softgels</t>
  </si>
  <si>
    <t>B0GJTPMKL3</t>
  </si>
  <si>
    <t>Organic Bee Pollen Granules, 1lb | Pure Fresh Harvest, Natural Superfood, Raw Sweet Flavor | Rich in B Vitamins, Minerals, Protein, &amp; Antioxidants | Keto, Non-GMO</t>
  </si>
  <si>
    <t>B0CLFGBK2B</t>
  </si>
  <si>
    <t>Organic Pomegranate Juice Powder, 1 Pound (91 Serving), Freeze Dried &amp; Cold Pressed, Natural Vitamin C (Immune Vitamin), Support Immune System, Organic Flavor for Smoothie &amp; Beverage, Vegan Friendly</t>
  </si>
  <si>
    <t>B01HN63W4Y</t>
  </si>
  <si>
    <t xml:space="preserve">Myo &amp; D-Chiro Inositol Powder 1lb </t>
  </si>
  <si>
    <t>B0DGRG846L</t>
  </si>
  <si>
    <t>Pure Magnesium Glycinate 1000mg with Vitamin C</t>
  </si>
  <si>
    <t>B0DLLLZD5K</t>
  </si>
  <si>
    <t>Organic Hibiscus Flowers, 2lbs | Loose Leaf Flower Source for Tea Bags | Cut &amp; Sifted Dried Leaves | Great for Iced or Hot Brewed Herbal Tea | Caffeine Free, Non-GMO, No Sugar</t>
  </si>
  <si>
    <t>B0C9PGR822</t>
  </si>
  <si>
    <t xml:space="preserve">Black Seed Oil 3000mg with Oregano Oil </t>
  </si>
  <si>
    <t>B0F3G35G6W</t>
  </si>
  <si>
    <t>Organic Matcha Green Tea Powder, 2 Pound (32 Ounce), Culinary Grade - Unflavored - First Harvest Authentic Japanese Origin, 100% Pure Matcha for Smoothies, Latte and Baking, Non-GMO, Non-Irradiation</t>
  </si>
  <si>
    <t>B09TG3RDGS</t>
  </si>
  <si>
    <t>Super greens Superfood Powder 1lb</t>
  </si>
  <si>
    <t>B0DK7WVQQY</t>
  </si>
  <si>
    <t>Nattokinase 4,000 FU Equivalent 240 Softgels with MCT Oil</t>
  </si>
  <si>
    <t>B0F5MHP4Q8</t>
  </si>
  <si>
    <t>Organic Chlorella Spirulina Tablets, 3000mg Per Serving, 720 Counts, 4 Months Supply, 50/50 Blend Superfood, No Filler, No Additives, Cracked Cell Wall, Rich in Vegan Protein &amp; Chlorophyll</t>
  </si>
  <si>
    <t>B01DPW5JSW</t>
  </si>
  <si>
    <t>Psyllium Husk 3000mg veg caps</t>
  </si>
  <si>
    <t>B0DWDVSHZW</t>
  </si>
  <si>
    <t>Microingredients Hydration Electrolyte Powder, Lemon Raspberry, 2 Lbs - High Potassium (1000mg), 0 Calorie, Sugar-Free, Hydration Drink Mix with Real Lemon Juice - Keto, Paleo, Non-GMO</t>
  </si>
  <si>
    <t>B0CG7TB55T</t>
  </si>
  <si>
    <t>L-Theanine + Magnesium Glycinate</t>
  </si>
  <si>
    <t>B0DK65BMV7</t>
  </si>
  <si>
    <t xml:space="preserve">Pure Turmeric Curcumin 95% 1000mg </t>
  </si>
  <si>
    <t>B0DS6LCFRH</t>
  </si>
  <si>
    <t xml:space="preserve">Pumpkin Seed Oil Softgels 150 count </t>
  </si>
  <si>
    <t>B0F3B84SDQ</t>
  </si>
  <si>
    <t>Vitamin D3 2,000 iu Plus K2 (MK-7) 50 mcg, 300 Virgin Coconut Oil Softgels</t>
  </si>
  <si>
    <t>B0CVTDBXW5</t>
  </si>
  <si>
    <t>Nattokinase 10,000FU Complex 240 vegetarian capsules</t>
  </si>
  <si>
    <t>B0G2N6TFRD</t>
  </si>
  <si>
    <t>Berberine 1000mg with MCT Oil softgels 240 count </t>
  </si>
  <si>
    <t>B0FJ3X2KQC</t>
  </si>
  <si>
    <t>2 Pack Vitamin D3 5000IU Plus K2, 2 in 1 Formula, Vitamin D3 Liquid with Vitamin K2, 300 Soft-Gels, Immune Vitamin Complex with Virgin Sunflower Seed Oil, Support Your Heart, Teeth &amp; Joint Health</t>
  </si>
  <si>
    <t>B07VF2S2LC</t>
  </si>
  <si>
    <t xml:space="preserve">Vitamin D3K2 10,000IU 180 count </t>
  </si>
  <si>
    <t>B0D2SRGD76</t>
  </si>
  <si>
    <t>Organic Beet Root Powder, 4 Pounds | Cold Pressed, Water Soluble, High Concentrated Raw Beet Supplement | Superfood Drink Mix | Non-GMO, Vegan Friendly, Plant Based</t>
  </si>
  <si>
    <t>B01N20ON39</t>
  </si>
  <si>
    <t>NMN 1000mg 120 Capsules</t>
  </si>
  <si>
    <t>B0FXJ8YYX4</t>
  </si>
  <si>
    <t>Astaxanthin 12mg with MCT Oil, 60 Softgels</t>
  </si>
  <si>
    <t>B0FGFPQCCW</t>
  </si>
  <si>
    <t>Vitamin D3 10000 iu Plus K2 (MK-7) 200 mcg, 300 Virgin Coconut Oil Softgels| 2 in 1 Vitamins D &amp; K Complex | Supports Calcium Absorption, Bone, Immune, &amp; Heart Health – Easy to Swallow</t>
  </si>
  <si>
    <t>B07YMJLTR6</t>
  </si>
  <si>
    <t>Multi Collagen Protein Powder, 2 Pounds – Type I,II,III,V,X with Biotin 10000mcg, Hyaluronic Acid, Vitamin C – Unflavored Collagen Peptides – Keto &amp; Paleo Friendly, Easy Dissolve, Non-GMO</t>
  </si>
  <si>
    <t>B01BHF3OMW</t>
  </si>
  <si>
    <t>Total Unit</t>
  </si>
  <si>
    <t>Diff Unit</t>
  </si>
  <si>
    <t>Total Spend</t>
  </si>
  <si>
    <t>Total Ad</t>
  </si>
  <si>
    <t>Total Diff</t>
  </si>
  <si>
    <t>ACOS</t>
  </si>
  <si>
    <t>Tcos</t>
  </si>
  <si>
    <t>November</t>
  </si>
  <si>
    <t>HL</t>
  </si>
  <si>
    <t>GP</t>
  </si>
  <si>
    <t xml:space="preserve">Probiotics+ 200 billion CFU 40 </t>
  </si>
  <si>
    <t>B0DDCWYPWR</t>
  </si>
  <si>
    <t xml:space="preserve">Electrolyte Jar Grape Flavor 500g </t>
  </si>
  <si>
    <t>B0DJWX4ZNQ</t>
  </si>
  <si>
    <t>Creatine Monohydrate Jar 1kg</t>
  </si>
  <si>
    <t>B0DJWVMRR9</t>
  </si>
  <si>
    <t>Organic Mushroom Coffee with MCT Oil</t>
  </si>
  <si>
    <t>B0DS6Q88VS</t>
  </si>
  <si>
    <t>NatureBell Antarctic Krill Oil 1000mg Supplement, 180 Softgels, Natural Source of Omega-3s, EPA, DHA and Astaxanthin - No Aftertaste - Support Heart Health, Mercury Free &amp; Non-GMO</t>
  </si>
  <si>
    <t>B07BKN8S81</t>
  </si>
  <si>
    <t>Methylated Multivitamin 240 Capsules</t>
  </si>
  <si>
    <t>B0FCW45JZF</t>
  </si>
  <si>
    <t>Magnesium 12-in-1 Complex 1000mg capsules 240 counts </t>
  </si>
  <si>
    <t>B0FNTZ3WYF</t>
  </si>
  <si>
    <t>Ashwagandha 12,500mg with black pepper</t>
  </si>
  <si>
    <t>B0DDM8LQMS</t>
  </si>
  <si>
    <t xml:space="preserve">NAD+ 1500mg vegetarian capsules 240 count </t>
  </si>
  <si>
    <t>B0D85VVNF7</t>
  </si>
  <si>
    <t>Organic Lion's Mane Powder</t>
  </si>
  <si>
    <t>B0CFP9DF3C</t>
  </si>
  <si>
    <t>Naturebell Ginkgo Biloba Extract 500mg Per Serving, 300 Capsules | GinkoVida | Extra Strength Ginko Biloba Supplement - Promote Memory, Focus and Brain Health</t>
  </si>
  <si>
    <t>B09F4ML3FF</t>
  </si>
  <si>
    <t>NatureBell Everyday Fruits and Vegetables Supplements, 480 Total Vegetarian Capsules</t>
  </si>
  <si>
    <t>B0CMK41YYD</t>
  </si>
  <si>
    <t>NatureBell Biotin 10000mcg + Hyaluronic Acid 25mg | 250 Coconut Oil Softgels, Premium Biotin Vitamins for Hair Skin and Nails, Highly Purified and Bioavailable, Quick Release</t>
  </si>
  <si>
    <t>B0B34CDHNS</t>
  </si>
  <si>
    <t>NatureBell Melatonin 20mg, 365 Fast Dissolve Tablets - Natural Strawberry Flavor - Vegetarian Chewable Lozenges for 1 Year Supply, High Potency | Non-GMO, No Gluten</t>
  </si>
  <si>
    <t>B0B92XZZPJ</t>
  </si>
  <si>
    <t>NatureBell Quercetin 1000mg Per Serving | 240 Capsules, Ultra Strength Quercetin Supplement | Bioflavonoids for Healthy Immune Support, Third Party Tested, Non-GMO &amp; No Gluten</t>
  </si>
  <si>
    <t>B07H9LGDPM</t>
  </si>
  <si>
    <t>Ultra Strength Phosphatidylserine Supplement 500mg Per Serving, 240 Capsules | Soy Free, Derived from Sunflower Lecithin – Supports Cognitive Health and Brain Function – Non-GMO</t>
  </si>
  <si>
    <t>B074R8XH2Q</t>
  </si>
  <si>
    <t>NatureBell Sunflower Lecithin 2,400mg, 4 Months Supply, 240 Softgels | Infused with Non-GMO Sunflower Seed Oil – Rich in Phosphatidyl Choline – No Soy, No Gluten</t>
  </si>
  <si>
    <t>B09F3XW1BX</t>
  </si>
  <si>
    <t>11月carlyle的2400mg 200 softgel的回归对我们造成了比较严重的打击  legendary milk还是一如既往的稳定，想要这个ASIN卖上去主要还是得提高产品质量 如果能做到和legendary milk同质量的货 那我觉得还是比较有机会的 她一家独大</t>
  </si>
  <si>
    <t>sunflower lecithin的点击量从十月到十一月略有下降（500 -&gt; 350左右）</t>
  </si>
  <si>
    <t>Magnesium Complex Supplement 500mg, 300 Capsules | 10 Active Forms – Glycinate, Citrate, Taurate, Plus More | 100% Chelated &amp; Purified | Bone, Heart, &amp; Muscle Support | Non-GMO</t>
  </si>
  <si>
    <t>B0C2SLBPRK</t>
  </si>
  <si>
    <t xml:space="preserve">Electrolyte Powder Lemon &amp; Raspberry Flavor 500g </t>
  </si>
  <si>
    <t>B0CX3GYCNN</t>
  </si>
  <si>
    <t>Pterostilbene with 98% Trans-Resveratrol, 200mg Per Serving, 200 Capsules | Naturally Sourced from Wild Blueberries – Antioxidant Supplement for Healthy Aging Support – Non-GMO</t>
  </si>
  <si>
    <t>B07GCBWB83</t>
  </si>
  <si>
    <t xml:space="preserve">primeday多出了点 占比比较稳定的listing category的量相对是比较少的 </t>
  </si>
  <si>
    <t xml:space="preserve">Nitric Oxide 3600mg Bisected Tablets 300 count </t>
  </si>
  <si>
    <t>B0FNTLPT5V</t>
  </si>
  <si>
    <t>Olive Leaf Extract 30000mg, 240 Capsules | 40% Active Oleuropein, 50:1 Herbal Equivalent – Rich in Polyphenol &amp; Flavonoid Antioxidants for Immune &amp; Heart Health – Non-GMO</t>
  </si>
  <si>
    <t>B076B7TYL7</t>
  </si>
  <si>
    <t xml:space="preserve">Psyllium Husk 2000mg capsules 360 counts </t>
  </si>
  <si>
    <t>B0F11QQ8ND</t>
  </si>
  <si>
    <t>2 Pack Magnesium Glycinate 500mg, 480 Capsules – 100% Chelated for Max Absorption – Bioavailable Mineral Supplement for Muscle, Joint, Enzyme, &amp; Heart Health</t>
  </si>
  <si>
    <t>B07RD4DFNZ</t>
  </si>
  <si>
    <t>Ginger Root with MCT Oil</t>
  </si>
  <si>
    <t>B0F11MGDGT</t>
  </si>
  <si>
    <t>Vaginal Probiotics 10 Billion 120 Veggie Capsules</t>
  </si>
  <si>
    <t>B0DJWW2B1L</t>
  </si>
  <si>
    <t>NatureBell Ceylon Cinnamon 1800mg Per Serving, 180 Capsules, Made with Organic Sri Lanka Ceylon Cinnamon and Bitter Melon, 2 in 1 Support, Non-GMO, No Gluten</t>
  </si>
  <si>
    <t>B07MTVDV6Y</t>
  </si>
  <si>
    <t>NatureBell Psyllium Husk Capsules 1500mg Per Serving, 360 Count, 3 in 1 Fiber with Inulin &amp; Chia Seed – Daily Soluble Fiber for Gut Health – Plant Based Herbal Fiber Supplement, Non-GMO, Gluten Free</t>
  </si>
  <si>
    <t>B0BKR53C6Z</t>
  </si>
  <si>
    <t>deal十月底降價後銷量開始下滑, 持續縮減deal廣告花費, 加強NB廣告力度, 廣告基本上都會小超標, 近期銷量及廣告費有往上走趨勢, 主要受到Puritan's Pride(B00B8XE15I)斷貨加持, 產品的top 3 search term是: fiber supplement capsule, fiber supplement及psyllium husk capsules, 在大詞psyllium husk capsules的占比這兩周有小幅度上升, 但大詞容易超標, 還在多找些中小詞找找位子</t>
  </si>
  <si>
    <t>Psyllium Husk没有参加黑五的折扣，向量也没有受到boost；十月份两天的Prime Day约比平时多了150个一天</t>
  </si>
  <si>
    <t>acos30打廣告</t>
  </si>
  <si>
    <t>NatureBell Lions Mane Supplement 9,000mg Per Serving, 240 Veggie Capsules | Made with Organic Lion’s Mane Powder Extract – Cognitive Brain Nootropic &amp; Immune Health Mushroom – Non-GMO</t>
  </si>
  <si>
    <t>B0CJK6YZYX</t>
  </si>
  <si>
    <t>Advanced Turkey Tail Quercetin Supplements, Turkey Tail (Coriolus Versicolor) with Quercetin 1100mg Per Serving, 180 Counts, 2 in 1 Formula, Immune System Booster, Daily Mushroom Mycelium Supplement</t>
  </si>
  <si>
    <t>B07YF52935</t>
  </si>
  <si>
    <t>NatureBell PQQ 40mg with CoQ10, 180 Veggie Capsules | Active Pyrroloquinoline Quinone, Highly Bioavailable ZenPQQ+ Formula – Promotes Heart, Brain, &amp; Mitochondrial Health – Non-GMO</t>
  </si>
  <si>
    <t>B09KTDRCYD</t>
  </si>
  <si>
    <t>2 Pack NAC Supplement (N-Acetyl Cysteine) with Quercetin, 1,200mg Per Serving, 480 Capsules | Double Strength Antioxidant Support for Immune, Liver, &amp; Lung Health – Non-GMO</t>
  </si>
  <si>
    <t>B086QBQ7X4</t>
  </si>
  <si>
    <t>NatureBell Oregano Oil with Black Seed Oil 7,500mg, 360 Softgels | Wild Harvested, 50:1 Fresh Oregano Extract – Retains Carvacrol &amp; Thymoquinone – Essential Oils for Immune Health – Non-GMO</t>
  </si>
  <si>
    <t>B0CFPQN4J1</t>
  </si>
  <si>
    <t>St John's Wort Supplement, 1500mg Per Serving with 2250mcg Hypericin, 2 in 1 Formula St John's Wort Complex, 200 Capsules, Promote Emotional Balance, Joyful Mood &amp; Stress Response</t>
  </si>
  <si>
    <t>B07H9JTLWY</t>
  </si>
  <si>
    <t xml:space="preserve">Advanced Glucosamine </t>
  </si>
  <si>
    <t>B0D85XVGMQ</t>
  </si>
  <si>
    <t>NatureBell Irish Sea Moss Capsules, 3,000mg Per Serving, 240 Veggie Pills | Made with Organic Raw Powder – 3 in 1 Plus Bladderwrack &amp; Burdock Root – Immune &amp; Thyroid Superfood Support – Non-GMO</t>
  </si>
  <si>
    <t>B0CP2YGSCZ</t>
  </si>
  <si>
    <t>NatureBell Hyaluronic Acid Supplements 2000mg Per Serving | 240 Capsules, with MSM &amp; Multi Collagen – 3 in 1 Support – Skin Hydration, Joint Lubrication, Hair, and Eye Health</t>
  </si>
  <si>
    <t>B01DPW5BNA</t>
  </si>
  <si>
    <t>Colostrum with probiotics Powder 12oz</t>
  </si>
  <si>
    <t>B0DJWWQVHC</t>
  </si>
  <si>
    <t xml:space="preserve">Turmeric Curcumin with MCT Oil Softgels 240 count </t>
  </si>
  <si>
    <t>B0FNYD1SVT</t>
  </si>
  <si>
    <t xml:space="preserve">Sport Electrolyte Powder Jar Passion Fruit and Mango Flavor 500g (1.1lb) </t>
  </si>
  <si>
    <t>B0FNTFHXM1</t>
  </si>
  <si>
    <t xml:space="preserve">Sport Electrolyte Powder Jar Pineapple Flavor 500g (1.1lb) </t>
  </si>
  <si>
    <t>B0FNTCT8CL</t>
  </si>
  <si>
    <t>Organic Matcha Powder Jar 1lb</t>
  </si>
  <si>
    <t>B0FQM6R1ZF</t>
  </si>
  <si>
    <t>Aged Garlic Extract 1000mg 360 Softgels</t>
  </si>
  <si>
    <t>B0G62MLLJW</t>
  </si>
  <si>
    <t>Beet Root 300mg with 300 MCT Oil Softgels</t>
  </si>
  <si>
    <t>B0G62ZD8T3</t>
  </si>
  <si>
    <t>Organic Ceylon Cinnamon Powder 24oz</t>
  </si>
  <si>
    <t>B0G67LX6V5</t>
  </si>
  <si>
    <t>Glycine 3000mg Powder Jar 2lb</t>
  </si>
  <si>
    <t>B0G67JLRX6</t>
  </si>
  <si>
    <t>Elderberry Capsules 5000mg</t>
  </si>
  <si>
    <t>B085WGL72X</t>
  </si>
  <si>
    <t>Organic Ceylon Cinnamon Powder 3lbs</t>
  </si>
  <si>
    <t>B0CFP4M3FN</t>
  </si>
  <si>
    <t>Pterostilbene 200mg 200 Capsules</t>
  </si>
  <si>
    <t>Ceylon Cinnamon 600mg 240 Softgels</t>
  </si>
  <si>
    <t>B0G62TSJH3</t>
  </si>
  <si>
    <t>NatureBell Tongkat Ali 200:1 Extract for Men, 2000mg Per Serving, Indonesia Origin, Eurycoma Longifolia | with Panax Ginseng for Energy, Stamina, &amp; Male Health Support (150 Count (Pack of 1))</t>
  </si>
  <si>
    <t>B087CM3PP2</t>
  </si>
  <si>
    <t>Over over over stock 主词占比也有下降 没什么比较好的办法 最好还是能把价格涨回来先 然后推广和wholesale，CL已经下调过一次KW  整体没有比较好的期待和表现了这个category 比较难做了</t>
  </si>
  <si>
    <t>10/27降了2块，广告花销也略有下降，ACOS维持在27%上下；整体上十一月和十月销量持平（排除Prime Day的销量，俩月销量基本维持在63个每天）</t>
  </si>
  <si>
    <t>漲價回去</t>
  </si>
  <si>
    <t>Benfotiamine 600mg with coconut oil 180 softgels</t>
  </si>
  <si>
    <t>B0G62GJG8H</t>
  </si>
  <si>
    <t>Zinc Quercetin 1300mg with Vitamin D3 5000IU, 120 Capsules, 4 in 1 Formula, Zinc 50mg, Vitamin C 250mg, Vitamin D3 5000 IU - Advanced Immune Defense, Non-GMO</t>
  </si>
  <si>
    <t>B085WGFPYS</t>
  </si>
  <si>
    <t>Huperzine A 400mcg Per Serving, 180 Capsules, (Huperzine A Supplement), Supports Focus, Cognition, Memory and Learning Ability, Premium Brain Health Supplement, No GMOs</t>
  </si>
  <si>
    <t>B07BKSH9GW</t>
  </si>
  <si>
    <t xml:space="preserve">Ashwagandha with black pepper extract with MCT Oil softgels 240 count </t>
  </si>
  <si>
    <t>B0G634RKN9</t>
  </si>
  <si>
    <t xml:space="preserve">Hair, Skin &amp; Nails Vitamins for Women softgels 300 count </t>
  </si>
  <si>
    <t>B0G62WQXJZ</t>
  </si>
  <si>
    <t>NatureBell P5P Vitamin B6 100mg Per Serving, 240 Capsules | Activated Pyridoxal 5 Phosphate Supplements – Essential B Vitamins for Brain &amp; Memory Health – Non-GMO</t>
  </si>
  <si>
    <t>B07GCBWP2M</t>
  </si>
  <si>
    <t>NAC Supplement (N-Acetyl Cysteine) with Quercetin, 1,200mg Per Serving, 240 Capsules | Double Strength Antioxidant Support for Immune, Liver, &amp; Lung Health – Non-GMO</t>
  </si>
  <si>
    <t>B0866BQP63</t>
  </si>
  <si>
    <t>2 Pack Olive Leaf Extract 30000mg, 480 Total Capsules | 40% Active Oleuropein, 50:1 Herbal Equivalent – Rich in Polyphenol &amp; Flavonoid Antioxidants for Immune &amp; Heart Health – Non-GMO</t>
  </si>
  <si>
    <t>B07VNJ97G1</t>
  </si>
  <si>
    <t>Mucuna Pruriens Capsules, Triple Strength 1500mg Per Serving, 2 in 1 Formula, Made with Mucuna and Ashwagandha, 240 Capsules, Potent Seed Extract, Positive Mood, Relaxation &amp; Restoration Support</t>
  </si>
  <si>
    <t>B07K6Z195K</t>
  </si>
  <si>
    <t>Dihydroberberine 500mg</t>
  </si>
  <si>
    <t>B0DDMM94BF</t>
  </si>
  <si>
    <t>NatureBell 2 Pack Hyaluronic Acid Supplements 2000mg | 480 Total Capsules, with MSM &amp; Multi Collagen – 3 in 1 Support – Skin Hydration, Joint Lubrication, Hair, and Eye Health</t>
  </si>
  <si>
    <t>B01FL9DFR4</t>
  </si>
  <si>
    <t>NatureBell Resveratrol Supplement 1000mg Per Serving, 180 Veggie Capsules, 99% Pure Trans-Resveratrol, Antioxidant for Healthy Aging, Brain, &amp; Heart Support – Non-GMO</t>
  </si>
  <si>
    <t>B0C2SCVL8Z</t>
  </si>
  <si>
    <t>Astaxanthin 12mg 240 Softgels</t>
  </si>
  <si>
    <t>B0G62LJLW6</t>
  </si>
  <si>
    <t>NatureBell L Tryptophan 1500mg with L Theanine 200mg, 300 Capsules | Active Free Form, Plant Based Supplement – Calm Formula, Supports Relaxation – Non-GMO &amp; No Gluten</t>
  </si>
  <si>
    <t>B07V8LRWZK</t>
  </si>
  <si>
    <t>NatureBell Quercetin 500mg Per Serving | 300 Capsules, Ultra Strength Quercetin Supplement | Bioflavonoids for Healthy Immune Support, Third Party Tested, Non-GMO &amp; No Gluten</t>
  </si>
  <si>
    <t>B0B8TJLSSP</t>
  </si>
  <si>
    <t>NatureBell Cranberry Pills 36,000mg with Acerola, 240 Veggie Capsules | 100:1 Fresh Cranberries Extract – Made with Organic Ingredients – Supports Urinary Tract Health – Sugar Free</t>
  </si>
  <si>
    <t>B076BFRPNS</t>
  </si>
  <si>
    <t>NatureBell Fadogia Agrestis 600mg Complexed with Tongkat Ali 400mg, 180 Capsules, Optimal Dosage for Enhanced Bioavailability, 20:1 Fadogia Argrestis Extract Indonesia Tongkat-Ali (Longjack)</t>
  </si>
  <si>
    <t>B09WJV9D1Y</t>
  </si>
  <si>
    <t xml:space="preserve">Multi Collagen Complex capsules 300 count </t>
  </si>
  <si>
    <t>B0F11WDDHF</t>
  </si>
  <si>
    <t>NatureBell Vitamin D3 50,000 iu with K2 200 mcg, 180 Coconut Oil Softgels | Vitamins D as Cholecalciferol &amp; K as MK-7 | Max Strength Bone, Heart, Immune, &amp; Calcium Support | Once Weekly, Non-GMO</t>
  </si>
  <si>
    <t>B0C2SFWMSW</t>
  </si>
  <si>
    <t>涨价后销量有点下跌了 现在这个销量货还是比较多的  naturebell整体权重的展示位并不是特别高 在这个category里想直接帮流的难度比较大  所以可以考虑给其中某个ASIN降价去提高一点销量权重 现在就分流有点太早了 连涨4次价格是不是有点太狠了</t>
  </si>
  <si>
    <t>先这么卖着</t>
  </si>
  <si>
    <t>NatureBell Astaxanthin 12mg, 240 Softgels, Made with Astax (Max Strength from MicroAlgae), Natural Antioxidant for Skin &amp; Eye Health – Non-GMO &amp; No Gluten, 4 Month Supply</t>
  </si>
  <si>
    <t>B0923B4XLX</t>
  </si>
  <si>
    <t>Xylitol Sweetener, 5lbs | Natural Birch Crystal Source – 1:1 Sugar Substitute – Sweet Flavor with No Erythritol – Low Calorie &amp; Glycemic Impact – Sugar Free, No Aftertaste, Non-GMO</t>
  </si>
  <si>
    <t>B0CFPJ5BRM</t>
  </si>
  <si>
    <t>Potassium Magnesium Supplement – Potassium 200mg + Magnesium 200mg | 240 Capsules – Easily Absorbed Potassium Citrate &amp; Magnesium Citrate – Muscle, Bone, &amp; Heart Health Support – Non-GMO</t>
  </si>
  <si>
    <t>B07VB11KGW</t>
  </si>
  <si>
    <t>涨价后效果一直不是特别好，衔接换平台，now也在11月份降低了价格10块钱120粒   12月5日大哥MD life断货掉线了 B06XH2X284/ 广告目前花费不是很高 老平台现在低0.04出 还1400个货 老平台广告top给100跑跑现在acos不好看起来 BA还出一些货 budget给70</t>
  </si>
  <si>
    <t>广告少花了1300, 同时换了平台，流量有一部分下跌</t>
  </si>
  <si>
    <t>NatureBell 2 Pack Ceylon Cinnamon 9000mg Per Serving, 480 Capsules, Made with Organic Ceylon Cinnamon Plus Bitter Melon, Non-GMO</t>
  </si>
  <si>
    <t>B08DK1M6FL</t>
  </si>
  <si>
    <t>Antarctic Krill Oil 2000mg Supplement, 240 Softgels, 3X Strength Natural Source of Omega-3s, EPA 240mg + DHA 160mg + Astaxanthin 800mcg – No Fishy Aftertaste – Mercury Free &amp; Non-GMO</t>
  </si>
  <si>
    <t>B0BSP5TBP3</t>
  </si>
  <si>
    <t>L-Lysine 1000mg + Quercetin 250mg Supplement, 240 Capsules, Free Form, 4-in-1 Lysine Complex, Quercetin with Vitamin C and Zinc | Immune Support | Promote Lips &amp; Skin Health</t>
  </si>
  <si>
    <t>B09F4GYTDQ</t>
  </si>
  <si>
    <t>NatureBell 2 Pack Cranberry Pills 36,000mg with Acerola, 480 Veggie Capsules | 100:1 Fresh Cranberries Extract – Organic Ingredients – Supports Urinary Tract Health – Sugar Free</t>
  </si>
  <si>
    <t>B07RD4CKP4</t>
  </si>
  <si>
    <t xml:space="preserve">Magnesium Citrate Calm Powder Jar 1lb </t>
  </si>
  <si>
    <t>B0FCVC7LKV</t>
  </si>
  <si>
    <t>2 Pack Magnesium Citrate 500mg, 480 Capsules | High Purity Elemental Form – Extra Strength | Essential Mineral for Heart, Muscle, &amp; Digestion Support – Non-GMO &amp; No Gluten</t>
  </si>
  <si>
    <t>B07755F5YT</t>
  </si>
  <si>
    <t>Omega 3 Fish Oil 4,200mg, 180 Burpless Softgels, Highly Purified EPA 1,200mg &amp; DHA 900mg | Lemon Flavored | Premium Wild Caught Fish from Deep Sea – Heart &amp; Brain Support – Mercury Free &amp; Non-GMO</t>
  </si>
  <si>
    <t>B0BSP4P38R</t>
  </si>
  <si>
    <t>Magnesium Glycinate 200mg with Valerian Root, 300 Capsules</t>
  </si>
  <si>
    <t>B0CWNDCY6V</t>
  </si>
  <si>
    <t>R-Alpha Lipoic Acid (R-ALA) 1200mg</t>
  </si>
  <si>
    <t>B0DJWWQSPX</t>
  </si>
  <si>
    <t>Magnesium Glycinate Powder Peach-Mango Flavor Jar 1lb</t>
  </si>
  <si>
    <t>B0DLXM7ZTC</t>
  </si>
  <si>
    <t>NatureBell D Mannose Powder, 12oz | Instantized for Max Absorption – Fast Acting Cleanse – Urinary Tract &amp; Bladder Health Support – Flush UTI Impurities – Non-GMO, Vegan</t>
  </si>
  <si>
    <t>B075G4N2K1</t>
  </si>
  <si>
    <t>NatureBell 2 Pack Plant Based Hyaluronic Acid Supplements 250mg with 25mg Vitamin C &amp; Biotin 5000mcg, 480 Total Capsules | Essential for Hair Growth, Joint Support, &amp; Hydrating Skin | Non-GMO</t>
  </si>
  <si>
    <t>B07GBMPZKD</t>
  </si>
  <si>
    <t>NatureBell Allulose Sweetener, 2.5 Lbs | Keto &amp; Vegan-Friendly, White Sugar Substitute | 0 Calorie, 0 Sugar, 0 Net Carb, Non-Glycemic, Browns Like Table Sugar | Bulk Supply for Baking &amp; Beverages</t>
  </si>
  <si>
    <t>B0BKR55C7H</t>
  </si>
  <si>
    <t>转了广告没开BA的打开跑跑 和deal要2选1 做一个大size 5lb出来 分析过了</t>
  </si>
  <si>
    <t>11/12-13换平台，价格可能没有及时更改，49.99在卖，销量在那天下降到个位数；十月广告花销少花了将近850块，销量少了275个</t>
  </si>
  <si>
    <t xml:space="preserve">Vegan Omega-3 Algae Oil 1250mg vegetarian softgels 120 counts </t>
  </si>
  <si>
    <t>B0FCVZQMT1</t>
  </si>
  <si>
    <t>NatureBell Moringa Oleifera 8000mg Per Serving | 240 Capsules, Made with Organic Moringa Leaf Powder, Non-GMO, Gluten Free, Superfood Antioxidant, Skin Health &amp; Immune Support</t>
  </si>
  <si>
    <t>B07MTTBMD1</t>
  </si>
  <si>
    <t>Pregnenolone 100mg, 200 Capsules | 99%+ Purity, Micronized Grade for Higher Absorption, Plant Based – Hormone*, Cognitive, &amp; Immune Health Supplement – Non-GMO, Soy Free</t>
  </si>
  <si>
    <t>B087CMV1PD</t>
  </si>
  <si>
    <t>NatureBell L Methylfolate 15mg (5-MTHF) with Methyl B12 1,000mcg, 240 Vegetarian Capsules | High Potency Dual Action for Energy &amp; Cognitive Support, Active Folic Acid – Methyl Folate Supplement</t>
  </si>
  <si>
    <t>B0CHX3CST7</t>
  </si>
  <si>
    <t>Tongkat Ali 200:1 (Longjack) Extract for Men, 2000mg Per Serving, Indonesia Origin, Eurycoma Longifolia | with Panax Ginseng for Energy, Stamina, &amp; Male Health Support (150 Count (Pack of 2))</t>
  </si>
  <si>
    <t>B0BMF3TMWZ</t>
  </si>
  <si>
    <t>NatureBell DHEA 100mg, 240 Capsules | Extra Strength, Micronized Grade for Better Absorption, Supports Energy Level, Metabolism and Healthy Aging for Men and Women, No GMOs and Made in U.S.A</t>
  </si>
  <si>
    <t>B074Q2KK6Z</t>
  </si>
  <si>
    <t>L-Theanine 400mg capsules 400 count</t>
  </si>
  <si>
    <t>B0DDCW97QV</t>
  </si>
  <si>
    <t>NatureBell Digestive Enzymes with Prebiotics | 240 Veggie Capsules - 20 Enzyme &amp; 5 Prebiotic Complex – Support Gut Health, Bloating Relief for Women &amp; Men, Non-GMO, Vegan Friendly</t>
  </si>
  <si>
    <t>B0CJK5JRPV</t>
  </si>
  <si>
    <t>Allulose Sweetener 5lb</t>
  </si>
  <si>
    <t>B0DDCVSPP5</t>
  </si>
  <si>
    <t>NatureBell Vitamin E Oil Softgels, 1,000 IU Per Serving, 300 Pills | Essential Antioxidant Supplements, Easily Absorbed Form – Supports Skin, Heart, &amp; Immune Health – Non-GMO</t>
  </si>
  <si>
    <t>B0C2SY3BG3</t>
  </si>
  <si>
    <t>Deal就多出345个，整体没有比较明显下跌 最近稳定在100附近日销 vitamina e 1000mg para mujer和vitamin e 1000 iu softgels是这个产品占比最高的词 可以做相关女性的推广</t>
  </si>
  <si>
    <t>NatureBell Organic Myco Guardians 10 in 1 Mushroom Powder, 10oz | Fresh Superfood Mushrooms Complex – Lions Mane, Turkey Tail, 8 More | Immune Booster &amp; Brain Health Supplement | No Fillers</t>
  </si>
  <si>
    <t>B0C485JWYV</t>
  </si>
  <si>
    <t>NatureBell Red Yeast Rice 2,400mg with CoQ10 100mg | 240 Veggie Capsules (1,200mg Per Capsule) – Max Strength Herbal Supplement – Antioxidant Support for Energy &amp; Heart Health – Non-GMO</t>
  </si>
  <si>
    <t>B0CFPLT75L</t>
  </si>
  <si>
    <t>Multi Collagen Protein Powder 600g - 5 Types (I, II, III, V, X) Grass-Fed &amp; Pasture-Raised | with Biotin 5000mcg, Vitamin C &amp; Hyaluronic Acid | Keto, Paleo, Unflavored (54 Servings)</t>
  </si>
  <si>
    <t>B0BY3TCG1V</t>
  </si>
  <si>
    <t>主词占比较少但比较稳定 涨价跌了一些units但是不是很多 广告基本上不怎么能起到boost效果跟micro相似 下调base降低一些page花费 top保持水平 集中一点转化</t>
  </si>
  <si>
    <t>10/16 价格上涨了2块，销量从日均80个下降到65左右，从毛利的角度看，盈利能力增加了</t>
  </si>
  <si>
    <t>TMG (Trimethylglycine) 1500mg capsules</t>
  </si>
  <si>
    <t>B0D883PXW4</t>
  </si>
  <si>
    <t>Citrus Bergamot 5000mg</t>
  </si>
  <si>
    <t>B0CFPBNWCF</t>
  </si>
  <si>
    <t>NatureBell 2 Pack Creatine Monohydrate Powder 500 Grams, 5000mg Per Serving, Pure Unflavored Creatine Powder - Micronized - Pre Workout | Keto | Vegan | Dissolves Easy | Filler Free</t>
  </si>
  <si>
    <t>B0BT2V8YK4</t>
  </si>
  <si>
    <t>Beef Gelatin Powder 2lbs</t>
  </si>
  <si>
    <t>B0D21244KR</t>
  </si>
  <si>
    <t>NatureBell Virgin Pumpkin Seed Oil 3,000mg Per Serving with Saw Palmetto, 240 Softgel Capsules | Cold Pressed – Rich in Omega 6 &amp; 9 Essential Fatty Acids – Prostate &amp; Bladder Supplements, Non-GMO</t>
  </si>
  <si>
    <t>B07K6XGYPL</t>
  </si>
  <si>
    <t>NatureBell Evening Primrose Oil with Black Cohosh, 1,300mg Per Serving, 300 Mini-Softgels | Cold Pressed Seeds, Retains 130mg GLA for Womens Health &amp; Skin Care Support – Hexane Free, Non-GMO</t>
  </si>
  <si>
    <t>B0C6WN52Q9</t>
  </si>
  <si>
    <t>NatureBell Full Spectrum Vitamin K2 Supplement with MK-7 &amp; MK-4, 200 mcg, 240 Capsules | 2 in 1 Formula, K Vitamins Complex – Supports Bone, Joint, and Heart Health – Non-GMO</t>
  </si>
  <si>
    <t>B07R8JTQSZ</t>
  </si>
  <si>
    <t>Vitamin B Complex for Women, 240 Veggie Capsules</t>
  </si>
  <si>
    <t>B0CMK1YPQN</t>
  </si>
  <si>
    <t>NatureBell D-Mannose 2000mg with Cranberry Extract 400mg, 240 Veggie Capsules, Double Strength | Fast Acting Urinary Tract Health Pills, Flush Impurities, Ultra UTI Support for Women &amp; Men</t>
  </si>
  <si>
    <t>B07QBVHK8H</t>
  </si>
  <si>
    <t>High Potency Zinc Picolinate 100mg - 240 Capsules, Bioavailable Form of Zinc for Immune Support and Skin Health - Non-GMO and Gluten- Zinc Supplements</t>
  </si>
  <si>
    <t>B07VC1M3S3</t>
  </si>
  <si>
    <t>2 Pack Berberine Supplement 1500mg Per Serving, 480 Veggie Capsules | Plus 1200mg True Ceylon Cinnamon, 97% Berberine HCL, Plant-Based, Vegan, Non-GMO, Gluten Free</t>
  </si>
  <si>
    <t>B01L2TFPNE</t>
  </si>
  <si>
    <t>Organic Inulin Powder Jar 1lb</t>
  </si>
  <si>
    <t>B0F11HLBFC</t>
  </si>
  <si>
    <t>Creatine Monohydrate 3,000mg Per Serving, 300 Capsules – Micronized – Unflavored Creatine Pills – Support Pre Workout &amp; Healthy Muscle – Easily Absorbed, Easy to Swallow (50 Servings)</t>
  </si>
  <si>
    <t>B0BKNVNLN9</t>
  </si>
  <si>
    <t>十月份Prime Day的销量很好每天销量可以接近100个每天，十一月则不然；11/25-26后，同时NB和BA都在卖，Buybox在26号后在BA，但是广告花销NB反而多（NB，28日广告花了34）</t>
  </si>
  <si>
    <t>Choline 500mg with Omega-3 capsules 240 count</t>
  </si>
  <si>
    <t>B0D85V6X3G</t>
  </si>
  <si>
    <t>Liposomal NAD+ 8-in-1 Complex 2000mg 120 vegetarian capsules</t>
  </si>
  <si>
    <t>B0G673T4SL</t>
  </si>
  <si>
    <t>Liver Cleanse Detox &amp; Repair Supplement, 240 Veggie Capsules</t>
  </si>
  <si>
    <t>B0CWN5QQ8V</t>
  </si>
  <si>
    <t xml:space="preserve">Taurine 1000mg capsules 500 count </t>
  </si>
  <si>
    <t>B0D87LZF99</t>
  </si>
  <si>
    <t>Magnesium Complex 400mg Supplement, 300 Capsules | Magnesium Glycinate + Citrate Elemental Forms – Essential Minerals for Heart, Muscle, &amp; Digestion Support – Non-GMO &amp; No Gluten</t>
  </si>
  <si>
    <t>B0BSP3CD3N</t>
  </si>
  <si>
    <t>NatureBell Hyaluronic Acid Supplements 250mg | 240 Capsules, with Biotin 5000mcg &amp; Vitamin C 25mg, 3 in 1 Support - Skin Hydration, Joint Lubrication, Hair and Eye Health</t>
  </si>
  <si>
    <t>B076FH7639</t>
  </si>
  <si>
    <t>Benfotiamine 300mg with Thiamine 100mg Per Serving | 240 Veggie Capsules, Essential Vitamin B1 Benfotiamine Supplement, Bioavailable Fat &amp; Water Soluble Forms – Energy &amp; Nerve Support – Non-GMO</t>
  </si>
  <si>
    <t>B0C6YKYN2B</t>
  </si>
  <si>
    <t>NatureBell Bromelain, 1,000mg Per Serving, 240 Veggie Capsules</t>
  </si>
  <si>
    <t>B0CMK9SWBJ</t>
  </si>
  <si>
    <t>Liposomal Vitamin C 2000mg capsules</t>
  </si>
  <si>
    <t>B0D85XBLCH</t>
  </si>
  <si>
    <t>Korean Red Ginseng 2,250mg Per Serving, 240 Softgels | Panax Ginseng Root, Standardized to 10% Ginsenosides, Non-GMO, Support Energy, Male Performance, &amp; Immune System</t>
  </si>
  <si>
    <t>B07MTW3QDD</t>
  </si>
  <si>
    <t>TUDCA 500mg with Black Pepper Extract, 60 Capsules – High Absorption Livamate Formula, Natural Bitter Taste | Bile Salt Supplement | Third Party Tested</t>
  </si>
  <si>
    <t>B09KTBBYLQ</t>
  </si>
  <si>
    <t xml:space="preserve">Magnesium Taurate 1500mg 240 Capsules </t>
  </si>
  <si>
    <t>B0CWK143JD</t>
  </si>
  <si>
    <t>NatureBell Creatine Monohydrate Powder 500 Grams, 5000mg Per Serving, Pure Unflavored Creatine Powder - Micronized - Pre Workout | Keto | Vegan | Dissolves Easy | Filler Free - 100 Servings (1.1Lb)</t>
  </si>
  <si>
    <t>B09VCTVH98</t>
  </si>
  <si>
    <t>整体没有什么较大变化，2 pack合并后有显著增长从不怎么卖出单个到稳定20-30+ click share也比较稳定目前看 主要还是价格因素影响大一点  广告起不到决定作用 只能维持目前销量</t>
  </si>
  <si>
    <t>十月份有两天的Prime Day，相比于十一月多卖1000个左右</t>
  </si>
  <si>
    <t>Magnesium Citrate 500mg, 240 Capsules (Citrato de Magnesio) | High Purity Elemental Form – Extra Strength | Essential Mineral for Heart, Muscle, &amp; Digestion Support – Non-GMO &amp; No Gluten</t>
  </si>
  <si>
    <t>B076B4ZF8W</t>
  </si>
  <si>
    <t xml:space="preserve">magnesium citrate现在500mg分区是3个品牌起头并进 NB DEAL和合并的 BENEVOLENT NOURISHMENT，magnesium citrate的占比被now降价收割了 8块钱卖120粒veg， 3/serving 400mg 主要是权重比较大 amazon系统调价很难有对手 我们两个品牌都受到影响 </t>
  </si>
  <si>
    <t xml:space="preserve">Advanced Electrolyte hydration capsules </t>
  </si>
  <si>
    <t>B0DDCW84F6</t>
  </si>
  <si>
    <t>Creatine Monohydrate 5000mg capsules</t>
  </si>
  <si>
    <t>B0DDB5BWYP</t>
  </si>
  <si>
    <t>NatureBell Vitamin D3 5000 K2 (MK7) with Virgin Coconut Oil, 240 Softgels, 100mcg, 2 in 1 Support, Duo-Ack | 8 Months Supply | Third Party Tested, Non GMO &amp; No Gluten</t>
  </si>
  <si>
    <t>B09MJYVXX9</t>
  </si>
  <si>
    <t>Vitamin D3 K2 (10,000 IU Vitamin D + 200mcg Vitamin K MK-7) 240 Softgels with Coconut Oil for Complete Absorption | Bone, Heart, Immune, &amp; Calcium Support | One a Day, Non-GMO</t>
  </si>
  <si>
    <t>B0C6WY48KJ</t>
  </si>
  <si>
    <t>DHEA 50mg</t>
  </si>
  <si>
    <t>B0CX3MJQKM</t>
  </si>
  <si>
    <t>NatureBell Vitamin K Complex, K1 + K2 (MK-7 &amp; MK-4) 2,600mcg Per Serving, 300 Coconut Oil Softgels | Max Absorption – Full Spectrum K Vitamins Supplement | Heart &amp; Bone Support | Non-GMO</t>
  </si>
  <si>
    <t>B0C6WWZ61Y</t>
  </si>
  <si>
    <t>新品 调价后有持续下跌最近5号降回去了 可以继续观察</t>
  </si>
  <si>
    <t>Vitamin K的热度没有明显的变化，但是十一月广告花销相较于十月几乎翻番；</t>
  </si>
  <si>
    <t>Vitamin E 400iu</t>
  </si>
  <si>
    <t>B0CWKDYC5Q</t>
  </si>
  <si>
    <t>Maximum Strength Berberine Plus, 1200mg Per Serving, 120 Capsule, Powerfully Supports Glucose Metabolism, Immune System, Cardiovascular and Gastrointestinal Function, Made in USA.</t>
  </si>
  <si>
    <t>B01DWUEOYC</t>
  </si>
  <si>
    <t>10月deal多出1441, 11月份涨价 prime week第一天取消了deal下调了广告没有出现running deal里 广告往回走一走 涨价后可以往上再打打 强相关的berberine 1500和ceylon的占比有上升 但是主词占比有下降 往回走走  CL已经回调了top,控制一下budget 先下调回来准备</t>
  </si>
  <si>
    <t>NatureBell Vitamin B2 Riboflavin 400mg Per Serving, 240 Capsules | Essential Daily B Vitamin, Easily Absorbed Form – Supports Energy, Skin, and Cellular Health – Non-GMO, Gluten Free</t>
  </si>
  <si>
    <t>B0BSP461K1</t>
  </si>
  <si>
    <t xml:space="preserve">Potassium Citrate 99mg capsules 500 count </t>
  </si>
  <si>
    <t>B0DDCTG43B</t>
  </si>
  <si>
    <t xml:space="preserve">Colostrum 1000mg capsules 240 count </t>
  </si>
  <si>
    <t>B0DJTVL9H4</t>
  </si>
  <si>
    <t xml:space="preserve">Magnesium Oxide 400mg capsules 400 counts </t>
  </si>
  <si>
    <t>B0F11PGHN9</t>
  </si>
  <si>
    <t>CoQ10 (Ubiquinone) 300mg with Omega 3 Fatty Acids, 240 Capsules</t>
  </si>
  <si>
    <t>B0CMK3LBGJ</t>
  </si>
  <si>
    <t>NatureBell Alpha Lipoic Acid 600mg Per Serving | 300 Capsules - with Vitamin B1 Complex | 4 in 1 - [R-ALA | S-ALA | Thiamine | Benfotiamine] - High Bioavailability, Third Party Tested | Non-GMO</t>
  </si>
  <si>
    <t>B0BB53JDMF</t>
  </si>
  <si>
    <t>CoQ10 (Ubiquinone) 400mg with Omega 3 Fatty Acids, 240 Capsules | Stable High Absorption Form – Antioxidant Support for Heart &amp; Energy Health – Extra Strength Coenzyme Q10 Supplement</t>
  </si>
  <si>
    <t>B0BSP5GTMQ</t>
  </si>
  <si>
    <t>NatureBell Glutathione Supplement 1000mg, 180 Veggie Capsules | 98%+ Purity Verified, Bioavailable Reduced Glutathione Pills, Active Form, Master Antioxidant – Vegan Friendly &amp; Non-GMO</t>
  </si>
  <si>
    <t>B09KTCYFZ7</t>
  </si>
  <si>
    <t>NatureBell Magnesium Glycinate 400mg (Elemental), 270 Capsules – 100% Chelated for Max Absorption | Non-GMO &amp; No Gluten, Bioavailable Mineral Supplement for Muscle, Joint, Enzyme, &amp; Heart Health</t>
  </si>
  <si>
    <t>B0BJ198K28</t>
  </si>
  <si>
    <t>L Tyrosine Supplement, 1,500mg Per Serving, 240 Capsules | Essential Amino Acids – Brain Health Support for Memory, Cognitive Health, and Mental Alertness – Non-GMO</t>
  </si>
  <si>
    <t>B08X6JSZ69</t>
  </si>
  <si>
    <t>Magnesium Malate 1500mg capsules 240 count</t>
  </si>
  <si>
    <t>B0CWMWHRFC</t>
  </si>
  <si>
    <t>Valerian Root Complex 5000mg</t>
  </si>
  <si>
    <t>B0F11D462D</t>
  </si>
  <si>
    <t>NatureBell Psyllium Husk Powder, 3 Lbs(48 Oz), 9000mg Per Serving - Unflavored | No Fillers, No Additives, Gluten Free, Soluble Fiber, Great for Gut Health, Keto Baking, Mixing Shakes, Juices &amp; More</t>
  </si>
  <si>
    <t>B09ZPVMQ9F</t>
  </si>
  <si>
    <t>Organic Beet Powder 5Lbs | 4,000mg Per Serving – Concentrated Whole Beet Root Source | High Dietary Nitrates – Raw Superfood Supplements – Great for Vegan Shakes &amp; Smoothies – Non-GMO</t>
  </si>
  <si>
    <t>B0C31WDSTR</t>
  </si>
  <si>
    <t>Force Factor和Better Alt等几个品牌在黑五期间降价，排名上升较多；相较于十月份的热度，十一月的热度有所下降；</t>
  </si>
  <si>
    <t>Nattokinase Supplement 8,000 FU Per Serving, 240 Veggie Capsules | Traditional Natto Extract Source – Max Strength Enzyme &amp; Heart Health Support – Non-GMO</t>
  </si>
  <si>
    <t>B0CJK4JF1V</t>
  </si>
  <si>
    <t>NatureBell CoQ10 (Ubiquinone) 200mg with PQQ, 240 Veggie Capsules | Stable High Absorption Form – Antioxidant Support for Brain, Heart, &amp; Energy Health – Extra Strength Coenzyme Q10 Supplement</t>
  </si>
  <si>
    <t>B0CFPMHB25</t>
  </si>
  <si>
    <t>NatureBell Citicoline Supplements, CDP Choline, Citicoline 500mg Plus Tyrosine 50mg Per Serving, Optimized Dosage, 120 Capsules, 2 in 1 Formula, Dual Action Brain Supplement, Non-GMO</t>
  </si>
  <si>
    <t>B0923DM169</t>
  </si>
  <si>
    <t>主词占比有一些下降500mg相关词占比已经非常高了 整体流量变化较小  点击都分给Deal了基本上 deal现在主词都10+%</t>
  </si>
  <si>
    <t>广告少花了846，ACOS保持在14.78%；十月份的Prime Day比平时多200左右一天</t>
  </si>
  <si>
    <t>XJ加广告观察</t>
  </si>
  <si>
    <t>CoQ10 100mg with Omega-3</t>
  </si>
  <si>
    <t>B0DJWWMBTF</t>
  </si>
  <si>
    <t>Berberine Supplement 500mg | 300 Veggie Capsules, 97% Pure Berberine HCL, 5:1 Root Extract – Healthy Glucose Metabolism &amp; Immune Support – Plant Based, Vegan, Non-GMO</t>
  </si>
  <si>
    <t>B0C7FF131K</t>
  </si>
  <si>
    <t>Triple Complex Magnesium Supplement, 240 Capsules | Magnesium Glycinate 500mg with Citrate &amp; Malate | Chelated &amp; Purified | Bone, Heart, &amp; Muscle Support | Non-GMO</t>
  </si>
  <si>
    <t>B0CMK2Z12X</t>
  </si>
  <si>
    <t>Lutein 40mg and Zeaxanthin 1,600mcg Per Serving, 360 Softgels | 4 in 1 with Omega-3s, Astaxanthin, &amp; Phospholipids – Marigold Flower Extract – Eye Antioxidant Vitamins – Non-GMO</t>
  </si>
  <si>
    <t>B0C2S5MC6J</t>
  </si>
  <si>
    <t xml:space="preserve">Boron 10mg with MCT Oil softgels 300 counts </t>
  </si>
  <si>
    <t>B0F11Z2BLQ</t>
  </si>
  <si>
    <t>Magnesium Glycinate Supplement 1,000mg | 500mg Per Capsule, 240 Pills | 100% Chelated &amp; Purified – Non-GMO &amp; Gluten Free</t>
  </si>
  <si>
    <t>B0CFPG9M5K</t>
  </si>
  <si>
    <t>Organic Matcha Green Tea Powder Jar, 2lbs</t>
  </si>
  <si>
    <t>B0DT2NH3V9</t>
  </si>
  <si>
    <t>Magnesium Glycinate Capsules 500mg | 240 Count, 100% Chelated &amp; Purified, 3rd Party Tested, Non-GMO &amp; Gluten Free</t>
  </si>
  <si>
    <t>B0C88BJYX2</t>
  </si>
  <si>
    <t>10月deal多出4307个，mg主词6周水平相对比较稳定小幅度上涨，500mg的占比强势上涨，整体水平比较可观 广告花费控制的比较合规 12/4这周Innate做deal可能会被影响水平 整体算不上下跌</t>
  </si>
  <si>
    <t>Total Ad Sales</t>
  </si>
  <si>
    <t>HB</t>
  </si>
  <si>
    <t xml:space="preserve">CoQ10 300mg with Omega-3 capsules 240 count </t>
  </si>
  <si>
    <t>B0F1C28KV6</t>
  </si>
  <si>
    <t>Creatine Monohydrate 5000mg Powder 1.2kg</t>
  </si>
  <si>
    <t>B0FCVJZRMF</t>
  </si>
  <si>
    <t>Moringa 9,000mg capsules 240 count</t>
  </si>
  <si>
    <t>B0DJWPJ2MX</t>
  </si>
  <si>
    <t>Resveratrol Complex 2000mg</t>
  </si>
  <si>
    <t>B0DJWR8MZ3</t>
  </si>
  <si>
    <t>B0F1BWQL3C</t>
  </si>
  <si>
    <t xml:space="preserve">Organic Matcha Green Tea Powder Jar 1lb </t>
  </si>
  <si>
    <t>B0DJWSLKQS</t>
  </si>
  <si>
    <t>Allulose Sweetener 6 Pounds</t>
  </si>
  <si>
    <t>B0F2L717LV</t>
  </si>
  <si>
    <t>Pumpkin Seed Oil 3,000mg with Saw Palmetto, 240 Softgels</t>
  </si>
  <si>
    <t>B0FCW9DX6Y</t>
  </si>
  <si>
    <t>Myo-Inositol &amp; D-Chiro Inositol Supplement for Women 40:1</t>
  </si>
  <si>
    <t>B0FCWBBR9Z</t>
  </si>
  <si>
    <t>Magnesium Citrate Powder 500mg, 3lbs – Unflavored, Easily Absorbed – Purified Trace Mineral for Muscle, Heart, &amp; Digestive Support – One a Day, Non-GMO, Filler Free</t>
  </si>
  <si>
    <t>B0C8M1F4V7</t>
  </si>
  <si>
    <t xml:space="preserve">Norwegian Cod Liver Oil 2000mg softgels 240 count </t>
  </si>
  <si>
    <t>B0FCVRCJ2S</t>
  </si>
  <si>
    <t>Citric Acid 6 Pounds | Fine Granular Powder, Food Grade, Bulk Supply – Potent Anhydrous Form – Versatile Flavor Enhancer, Preservative, Cleaning, &amp; Homemade Bath Bombs – Additive Free, Non-GMO</t>
  </si>
  <si>
    <t>B0BWHLHMV1</t>
  </si>
  <si>
    <t>10月整体销量比较好 大哥位Milliard也合并了listing这周redeem了deal，没什么比较好的操作空间 click share少的可怜 头部的两个大哥评论太多权重很稳定也</t>
  </si>
  <si>
    <t>Mullein Leaf 20,000mg, 240 Veggie Capsules – 20:1 Max Strength Leaf Extract – Natural Soothing Herb for Lungs – Supports Respiratory &amp; Immune Health – Non-GMO, Vegan</t>
  </si>
  <si>
    <t>B0C8LYLM61</t>
  </si>
  <si>
    <t>Ultra Strength CLA 3000mg | 240 Softgels, Active Conjugated Linoleic Acid from Non-GMO Safflower Oil, Non-Stimulating, Supports Weight Management | Lean Muscle Mass</t>
  </si>
  <si>
    <t>B07WWK3SMQ</t>
  </si>
  <si>
    <t xml:space="preserve">Ashwagandha with MCT Oil softgels 240 count </t>
  </si>
  <si>
    <t>B0FQZJYJ61</t>
  </si>
  <si>
    <t>Organic Peruvian Maca Root Powder, 3lbs</t>
  </si>
  <si>
    <t>B0CF3MT9NR</t>
  </si>
  <si>
    <t>2 Pack Creatine Monohydrate Powder 600 Grams (21.2oz), Unflavored | Pure | Micronized Creatine Powder, 5000mg Per Serving, 4 Month Supply, Vegan | Keto, Non-GMO, No Filler, No Additives - 120 Servings</t>
  </si>
  <si>
    <t>B0BGR22RG6</t>
  </si>
  <si>
    <t>DEAL SUPPLEMENT Premium K Complete - High Potency Vitamin K1, K2 MK-7 &amp; MK-4 Complex, 200 Coconut Oil Infused Softgels - Full Spectrum Triple Vitamin K, Optimal Bone &amp; Heart Health Support</t>
  </si>
  <si>
    <t>B0BWH7QPX6</t>
  </si>
  <si>
    <t>Max Triple Magnesium Complex 500mg capsules 240 count </t>
  </si>
  <si>
    <t>B0FQZNWZNC</t>
  </si>
  <si>
    <t>Tongkat Ali Extract 300:1 400mg &amp; Maca Root 400mg | 300 Capsules, Ultra Strength Longjack (Eurycoma Longifolia) + Peru Maca – Non-GMO, Herbal Supplement for Men Health, Performance, &amp; Energy</t>
  </si>
  <si>
    <t>B0C2WG9NLL</t>
  </si>
  <si>
    <t>DEAL SUPPLEMENT Folic Acid 1000 mcg (1 mg), 500 Coconut Oil Softgels | Bioavailable Prenatal Vitamins (Vitamin B9) – 1,667 mcg DFE – Easy to Swallow, Non-GMO, &amp; No Gluten</t>
  </si>
  <si>
    <t>B09F2NL4H6</t>
  </si>
  <si>
    <t>Probiotics 200 billion CFU 40 strains with Magnesium 240 vegetarian capsules</t>
  </si>
  <si>
    <t>B0G884ZTJV</t>
  </si>
  <si>
    <t>Methylated B Complex for Women 15-in-1 240 vegetarian capsules</t>
  </si>
  <si>
    <t>B0G87MJHNZ</t>
  </si>
  <si>
    <t>Dihydroberberine 100mg</t>
  </si>
  <si>
    <t>B0DCKRBV9T</t>
  </si>
  <si>
    <t>Quercetin 1000mg Per Serving (2 Pack) | 300 Capsules, High Bioavailable Flavonoids, Third Party Tested, Supports Healthy Immune System, Non-GMO, No Gluten</t>
  </si>
  <si>
    <t>B08M23CLN5</t>
  </si>
  <si>
    <t>Multi Collagen Protein Powder,1Lb - Type I, II, III, V, X Collagen Peptides with Biotin 10000mcg, Vitamin C &amp; Hyaluronic Acid - Unflavored - Keto &amp; Paleo Friendly, Great for Hair, Skin, Nails &amp; Joints</t>
  </si>
  <si>
    <t>B0BL1NMB59</t>
  </si>
  <si>
    <t>L-Methylfolate 5-MTHF 15mg 120 Softgels</t>
  </si>
  <si>
    <t>B0G87K7RVM</t>
  </si>
  <si>
    <t xml:space="preserve">Electrolyte Powder Mixed Berry Flavor 1lb </t>
  </si>
  <si>
    <t>B0FQZSJXL1</t>
  </si>
  <si>
    <t>Eagleshine Vitamins 2 Pack NAC Supplement (N-Acetyl Cysteine) 1,000mg Per Serving with Reduced Glutathione, 480 Total Capsules – Antioxidant Support for Immune Health, Lung, &amp; Liver Function</t>
  </si>
  <si>
    <t>B08M245LZF</t>
  </si>
  <si>
    <t>Organic Lemon Powder, 1lb – Real Freeze-Dried Lemon Source – Rich in Essential Vitamin C – Natural Immune Support – Raw Lemon Juice Flavor &amp; Aroma – Non-GMO, Filler Free, No Sugar</t>
  </si>
  <si>
    <t>B0CF3RZQCZ</t>
  </si>
  <si>
    <t>DEAL SUPPLEMENT Slippery Elm Capsules, 6,000mg Per Serving – 300 Pills, Made with Organic Inner Bark Powder Extract – Natural Herb for Soothing Throat &amp; Digestive Support – Non-GMO</t>
  </si>
  <si>
    <t>B0C2XJGG1H</t>
  </si>
  <si>
    <t>Cayenne Pepper 5lb</t>
  </si>
  <si>
    <t>B0CDDY9DJL</t>
  </si>
  <si>
    <t>Eagle Shine Vitamins 2 Pack Antarctic Krill Oil, 1,000mg Per Serving, 480 Softgels – Mercury Free, No Fishy Taste – Rich in Omega-3s, EPA, DHA, Astaxanthin, &amp; Phospholipids – Non-GMO, No Gluten</t>
  </si>
  <si>
    <t>B08X63BXLZ</t>
  </si>
  <si>
    <t>Organic Ceremonial Matcha Powder 50g</t>
  </si>
  <si>
    <t>B0FQZ946DJ</t>
  </si>
  <si>
    <t>DHA Supplements | 240 Softgels, Burpless, Lemon Flavor, DHA 1000mg + EPA 500mg, Wild Caught Fish, Rich in Omega-3s, Mercury Free, Non-GMO, Support Brain Heart &amp; Joint Health</t>
  </si>
  <si>
    <t>B08WHZZP5F</t>
  </si>
  <si>
    <t xml:space="preserve">Saccaromyces Boulardii + FOS </t>
  </si>
  <si>
    <t>B0DJWTDKW3</t>
  </si>
  <si>
    <t>Tongkat Ali Extract 300:1 for Men, 180 Capsules, 1100mg Per Serving (with Horny Goat Weed) | Longjack Eurycoma Longifolia, Indonesia Origin - Extra Strength Men's Health Supplement</t>
  </si>
  <si>
    <t>B0971V1HGK</t>
  </si>
  <si>
    <t>click share和热度都有下跌，热度下跌明显,现在不是promote的最佳timing 和NB差不多处境但是</t>
  </si>
  <si>
    <t>KSM-66 Ashwagandha 1200mg</t>
  </si>
  <si>
    <t>B0DJWP1442</t>
  </si>
  <si>
    <t>Whole milk powder 3lb</t>
  </si>
  <si>
    <t>B0DJWTBLGH</t>
  </si>
  <si>
    <t>NAC Supplement 1,000mg Per Serving | 240 Capsules, N-Acetyl Cysteine with Glutathione 50mg – Antioxidant Support for Immune Health, Lung, &amp; Liver Function</t>
  </si>
  <si>
    <t>B0861HNMMK</t>
  </si>
  <si>
    <t>primeday上涨和OOB回调后占比有一些下跌 回调了广告水平销量回暖了一些但不是非常稳定 尽量控制在OOB以内 不够花暂时没给</t>
  </si>
  <si>
    <t>5-HTP 200mg Per Serving, 240 Capsules, 98% African Derived Griffonia Seed Extract | 4 in 1 Formula Plus Active L-Theanine, L-Tryptophan &amp; GABA, Complete Support for Positive Mood, Relaxation</t>
  </si>
  <si>
    <t>B08WHFZQSJ</t>
  </si>
  <si>
    <t>DEAL SUPPLEMENT Unflavored Pea Protein Powder, 5lbs – Premium North American Grown Peas – Easily Digested Isolate Form – Great for Shakes, Bars, or Snacks – 27g Protein Serving, Soy Free, Vegan</t>
  </si>
  <si>
    <t>B0C2WJHQLT</t>
  </si>
  <si>
    <t>Electrolyte Powder Icy Grape Flavor 1lb </t>
  </si>
  <si>
    <t>B0FCW5LHQ8</t>
  </si>
  <si>
    <t xml:space="preserve">Organic Mushroom Coffee Jar 10oz </t>
  </si>
  <si>
    <t>B0DJWQN3G7</t>
  </si>
  <si>
    <t xml:space="preserve">Lithium Orotate 5mg capsules </t>
  </si>
  <si>
    <t>B0FQZPJY9F</t>
  </si>
  <si>
    <t>L-Theanine &amp; Magnesium Softgels</t>
  </si>
  <si>
    <t>B0G884RNS8</t>
  </si>
  <si>
    <t>Electrolyte Powder Watermelon Flavor 1lb </t>
  </si>
  <si>
    <t>B0FQYTVF81</t>
  </si>
  <si>
    <t>Organic Beet Root Powder 3lb</t>
  </si>
  <si>
    <t>B0C2XJ92Y6</t>
  </si>
  <si>
    <t>Magnesium Complex for Women</t>
  </si>
  <si>
    <t>B0G87JDKST</t>
  </si>
  <si>
    <t>Organic Fresh Ginger Powder, 3lbs – Finely Ground for Easy Mixing, Raw Ginger Spice Flavor, Indian Origin – Great for Ginger Chews, Tea, Candy, &amp; Juice – Non-GMO, Filler Free</t>
  </si>
  <si>
    <t>B0C8LQVNX8</t>
  </si>
  <si>
    <t>新品, 11月漲價後影響銷量, ginger powder主詞占比也沒了, 目前18.95日銷保持30, 廣告花平均$50/day, 主詞ginger power及oragnic ginger powder約有15%IS, 現在的價格可能有點虧, 評價數比較少需要先跑跑, 廣告top主要輸出, 不太激進</t>
  </si>
  <si>
    <t xml:space="preserve">Goat Milk 1lb </t>
  </si>
  <si>
    <t>B0F2L2SQT8</t>
  </si>
  <si>
    <t>CoQ10 600mg with DHA</t>
  </si>
  <si>
    <t>B0F1CC797J</t>
  </si>
  <si>
    <t>Allulose Sweetener 2 Pounds – Natural Sugar Subsitutes, No Aftertaste - Keto Friendly, Vegan, Zero Net Carb, Zero Calorie, Great for Cooking &amp; Baking</t>
  </si>
  <si>
    <t>B0BL1R1T8Y</t>
  </si>
  <si>
    <t>Vitamin D3 10,000 IU + K2 MK7 200 mcg, Infused with Virgin Coconut Oil, 250 Softgels, Double Strength Vitamin D &amp; K, Promotes Heart, Bone &amp; Teeth Health - Very Easy to Swallow</t>
  </si>
  <si>
    <t>B08FXX6WSZ</t>
  </si>
  <si>
    <t>NAD+ 1000mg</t>
  </si>
  <si>
    <t>B0DJWRXKPX</t>
  </si>
  <si>
    <t>2 Pack Magnesium Complex 500mg</t>
  </si>
  <si>
    <t>B0FMBTVDK2</t>
  </si>
  <si>
    <t>DEAL SUPPLEMENT Ultra Strength HMB Supplements 3,000mg Per Serving, 240 Capsules | Third Party Tested | Supports Muscle Growth, Retention &amp; Lean Muscle Mass | Fast Workout Recovery</t>
  </si>
  <si>
    <t>B0C8M8X8PG</t>
  </si>
  <si>
    <t>Max Strength Magnesium Glycinate 500mg Per Serving, 240 Capsules | Chelated, Highly Purified, Essential Mineral | Magnesium Supplement for Muscle, Joint, &amp; Heart Health</t>
  </si>
  <si>
    <t>B0CF3JV16Q</t>
  </si>
  <si>
    <t>Lions Mane Mushroom Supplement, 7,500mg Per Serving, 240 Capsules – Active Fruiting Body &amp; Mycelium 10:1 Extract – Natural Brain Nootropic &amp; Immune System Booster – Non-GMO</t>
  </si>
  <si>
    <t>B09KZ1VNPF</t>
  </si>
  <si>
    <t>Unscented Magnesium Flakes, 10lbs</t>
  </si>
  <si>
    <t>B0CZFY5HHJ</t>
  </si>
  <si>
    <t xml:space="preserve">Electrolyte Powder Lemon Lime Flavor Jar </t>
  </si>
  <si>
    <t>B0DJWN567H</t>
  </si>
  <si>
    <t>Bitter Melon 15,000mg Per Serving | 300 Capsules, with Berberine HCL | 15:1 Wild Bitter Melon Fruit Extract | Third Party Tested | Plant Based, Non-GMO &amp; No Gluten</t>
  </si>
  <si>
    <t>B081ZH92R6</t>
  </si>
  <si>
    <t>Organic Lions Mane Mushroom Powder Supplement, 1,500mg Per Serving, 1lb – Active Fruiting Body &amp; Mycelium Extract – Natural Brain Nootropic &amp; Immune System Booster – Non-GMO</t>
  </si>
  <si>
    <t>B0C8LTR6L1</t>
  </si>
  <si>
    <t>Glutathione Supplement 1000mg Per Serving, 98% Purity | Plus Vitamin C 500mg, Active Reduced Form (GSH) | 60 Capsules - Intracellular Antioxidant, Detoxification* Support, Immune &amp; Skin Whitening</t>
  </si>
  <si>
    <t>B09BDNFL58</t>
  </si>
  <si>
    <t>DEAL SUPPLEMENT Oil of Oregano Softgels with Black Seed Oil, 9,000mg Per Serving, 300 Count – 30:1 Extract, Active Carvacrol &amp; Thymoquinone – Antioxidant Immune Health Support – Plant Based, Non-GMO</t>
  </si>
  <si>
    <t>B0BWGY19D1</t>
  </si>
  <si>
    <t>DEAL SUPPLEMENT Quercetin 1,000mg Per Serving, 300 Capsules – Healthy Immune Support Supplements, High Bioavailable Flavonoids, Natural Antioxidant – Non-GMO, Soy Free, No Gluten</t>
  </si>
  <si>
    <t>B07XW8BXDS</t>
  </si>
  <si>
    <t xml:space="preserve">Organic Stevia Extract Powder 12oz </t>
  </si>
  <si>
    <t>B0CF3K9R3G</t>
  </si>
  <si>
    <t xml:space="preserve">Astaxanthin 24mg softgels 120 count </t>
  </si>
  <si>
    <t>B0DNRKCZGT</t>
  </si>
  <si>
    <t>DEAL SUPPLEMENT Odorless Aged Garlic Pills, 6,000mg Per Serving, 500 Softgels – 24:1 Garlic Oil Extract – Fresh Allium Sativum Bulb Source – Heart &amp; Immune Antioxidant Supplements – Non-GMO</t>
  </si>
  <si>
    <t>B0CF3CTC2V</t>
  </si>
  <si>
    <t>Eagleshine Vitamins Antarctic Krill Oil, 1,000mg Per Serving, 240 Softgels – Mercury Free, No Fishy Taste – Rich in Omega-3s, EPA, DHA, Astaxanthin, &amp; Phospholipids – Non-GMO, No Gluten</t>
  </si>
  <si>
    <t>B08KYN91HW</t>
  </si>
  <si>
    <t>产品10月涨价并且遭遇跟卖，10月底11月初size被改 primeday deal也多卖了一些 第一时间解决了size的问题 整体水平没有较大变动</t>
  </si>
  <si>
    <t>Alpha Lipoic Acid 1,000mg, 180 Veggie Capsules – 50/50 R-ALA &amp; S-ALA for Max Bioavailability – Antioxidant Supplement – Energy &amp; Nervous System Support – Non-GMO</t>
  </si>
  <si>
    <t>B0BWHLHMHY</t>
  </si>
  <si>
    <t>Apigenin, 100mg Per Serving, 240 Capsules – Plant Extract from Chamomile Flower – Active Bioflavonoids &amp; Antioxidants – Sleep &amp; Relaxation Supplement</t>
  </si>
  <si>
    <t>B09LFFGQXM</t>
  </si>
  <si>
    <t xml:space="preserve">Omega 3-6-9 3600mg 240 count </t>
  </si>
  <si>
    <t>B0F1C8CM23</t>
  </si>
  <si>
    <t>Fish Oil 1000mg</t>
  </si>
  <si>
    <t>B0G86TTDDL</t>
  </si>
  <si>
    <t>Vitamin K2 (MK-7) 200mcg, 240 Virgin Coconut Oil Softgels | Premium Menaquinone-7 Form, Easily Absorbed Vitamin K Supplement – Bone, Joint, &amp; Immune Support – Non-GMO</t>
  </si>
  <si>
    <t>B088B4L5WB</t>
  </si>
  <si>
    <t>Vitamin D3K2 5,000IU with coconut oil</t>
  </si>
  <si>
    <t>B0CZFY5H2J</t>
  </si>
  <si>
    <t>Hyaluronic Acid Supplements 1,500mg – 240 Capsules, with MSM &amp; Vitamin C – Pure 95% | Non-GMO + Plant Based HA – Supports Healthy Joints, Bones, Connective Tissue, &amp; Skin Hydration</t>
  </si>
  <si>
    <t>B091G5YF1J</t>
  </si>
  <si>
    <t>Mushroom Supplement, 8,000mg Per Serving, 240 Capsules – 10 in 1 Defense Formula</t>
  </si>
  <si>
    <t>B0BWH9RWC9</t>
  </si>
  <si>
    <t>Korean Red Panax Ginseng Root Extract, 7,500mg Per Serving, 240 Softgels – 150mg Active Ginsenosides, 5:1 Max Strength Extract – Energy &amp; Immune Health Supplement – Non-GMO</t>
  </si>
  <si>
    <t>B08517K5QY</t>
  </si>
  <si>
    <t>DEAL SUPPLEMENT High Potency Vitamin A 25000 IU, 500 Coconut Oil Softgels | Easily Absorbed, Natural Fish Liver Oil Source – Vitamins for Eye, Immune, &amp; Skin Health – Easy to Swallow, Non-GMO</t>
  </si>
  <si>
    <t>B0BKR14XL3</t>
  </si>
  <si>
    <t>DEAL SUPPLEMENT D Mannose Veggie Capsules, 2,000mg Per Serving, 240 Pills – Fast Acting Water-Soluble Form – Extra Strength Urinary Tract (UTI) Health Support – Non-GMO, Vegan Friendly</t>
  </si>
  <si>
    <t>B0C2SSC3XZ</t>
  </si>
  <si>
    <t>Creatine Monohydrate Powder 300 Grams (60 Servings), Unflavored | Pure | Micronized Creatine Powder, 5000mg(5g) Per Serving, 2 Month Supply, Vegan | Keto, Non-GMO, No Filler, No Additives</t>
  </si>
  <si>
    <t>B09YX7G6JJ</t>
  </si>
  <si>
    <t>Vitamin B3 Nicotinamide 1,000mg Per Serving – 500 Capsules, Flush Free Niacin, Essential B3 Vitamin Supplement – Supports Healthy Skin &amp; Energy Production – Non-GMO</t>
  </si>
  <si>
    <t>B0C2X6VR58</t>
  </si>
  <si>
    <t>Methylated Multivitamin 240 capsules</t>
  </si>
  <si>
    <t>B0FQZGNNR2</t>
  </si>
  <si>
    <t>Bioactive Vitamin B Complex | 240 Veggie Capsules - Methylated B Vitamins &amp; Esterified Vitamin C, High Potency &amp; Easy Absorption – Immune, Energy, &amp; Metabolism Supplement – Non-GMO, Vegan</t>
  </si>
  <si>
    <t>B0BWGKFVS9</t>
  </si>
  <si>
    <t>Vitamin K2 Supplement 600mcg, 180 Virgin Coconut Oil Softgels – Full Spectrum MK-7 &amp; MK-4 Forms, High Absorption, Triple Strength K Vitamins – Bone, Joint, &amp; Immune Support – Non-GMO</t>
  </si>
  <si>
    <t>B0CF3N7PNY</t>
  </si>
  <si>
    <t>Organic Matcha Green Tea Powder, 2lbs (907g) | Zero Sugar, First Harvest | Culinary Grade, Cafe Mix, Keto Friendly, Genuine Japanese Source, Non-GMO, Vegetarian</t>
  </si>
  <si>
    <t>B0BY3V6ZR7</t>
  </si>
  <si>
    <t>Vitamin B2 400mg (Riboflavin) | with Magnesium Glycinate 400mg, 240 Capsules – 2 in 1 Support Healthy Nervous System, Mood, Blood &amp; Energy Production, Non-GMO</t>
  </si>
  <si>
    <t>B085PZLP29</t>
  </si>
  <si>
    <t>Magnesium Citrate 400mg Per Serving, 300 Veggie Capsules – Chelated for Easy Absorption – Purified Trace Mineral – Supports Muscle, Heart, &amp; Digestive Health – Non-GMO</t>
  </si>
  <si>
    <t>B0BWGPJNTR</t>
  </si>
  <si>
    <t>Omega 3 Fish Oil Supplements, 3,000mg Per Serving, 240 Softgels – EPA 1,200mg + DHA 900mg – Burpless Pills, Lemon Flavored, Wild Caught – Brain &amp; Heart Support – Mercury Free, Non-GMO</t>
  </si>
  <si>
    <t>B0CF38KTZQ</t>
  </si>
  <si>
    <t>DEAL SUPPLEMENT Lutein and Zeaxanthin Supplements, 40mg Per Serving, 300 Softgels – Plus Astaxanthin, Omega-3s, &amp; Phospholipids – Essential Eye Vitamins &amp; Vision Health Support – Non-GMO</t>
  </si>
  <si>
    <t>B0C2XFMKWL</t>
  </si>
  <si>
    <t>2 Pack Deal Supplement Vitamin D3 K2 Softgel, 250 Count, 2-1 Complex, Vitamin D3 5000 IU &amp; Vitamin K2 MK7, Promotes Heart, Bone &amp; Teeth Health – Very Easy to Swallow</t>
  </si>
  <si>
    <t>B08LMTG54X</t>
  </si>
  <si>
    <t>R Alpha Lipoic Acid 600mg with Benfotiamine 300mg Per Serving, 120 Veggie Capsules – 200mg R-ALA Per Capsule – Antioxidant Supplement for Energy &amp; Nervous System Support</t>
  </si>
  <si>
    <t>B0CF3P11B1</t>
  </si>
  <si>
    <t>Ceylon Cinnamon 6000mg with Chromium 1000mcg, 240 Capsules | Active Inner Bark Extract, True Sri Lanka Source | Natural Cinnamon Supplements</t>
  </si>
  <si>
    <t>B084Z9VQ2Q</t>
  </si>
  <si>
    <t>Irish Sea Moss 7,000mg Per Serving, 240 Veggie Capsules</t>
  </si>
  <si>
    <t>B0CZFZYXN3</t>
  </si>
  <si>
    <t>DEAL SUPPLEMENT Methyl B-12 Vitamins 5000 mcg, 240 Chewable Tablets | Active Form - Strawberry Flavored - Energy Support &amp; Brain Health Function - Vegetarian &amp; GMO Free</t>
  </si>
  <si>
    <t>B0BKR522Q9</t>
  </si>
  <si>
    <t>Essential Amino Acids (EAA) 2000mg Per Serving, 300 Capsules – Unflavored - 9 in 1, All BCAAs (Branched-Chain Aminos) – Lean Muscle Support &amp; Natural Pre Workout Supplement</t>
  </si>
  <si>
    <t>B0BWH3JMNB</t>
  </si>
  <si>
    <t>DEAL SUPPLEMENT Alpha GPC 600mg Per Serving, 240 Capsules – Bioavailable Choline Replenishment –Nootropic Brain Health Supplements for Memory and Focus – Non-GMO, Gluten Free</t>
  </si>
  <si>
    <t>B0C2X5QQRR</t>
  </si>
  <si>
    <t>DEAL SUPPLEMENT Citicoline CDP Choline, 1,000mg Per Serving, 120 Capsules – Extra Strength Choline Supplements – Nootropic B Vitamin Properties – Promotes Brain Health, Memory, &amp; Focus – Non-GMO</t>
  </si>
  <si>
    <t>B0C2WY5ZN1</t>
  </si>
  <si>
    <t>Unsweetened Organic Coconut Milk Powder, 3lbs – Dairy Free Creamer Alternative – Sugar Free Raw Flavor – Rich Source of MCT Oil – Great for Coffee or Tea – Non-GMO, Plant Based, Keto</t>
  </si>
  <si>
    <t>B0CF3HYSHR</t>
  </si>
  <si>
    <t>DEAL SUPPLEMENT Vitamin D3 K2 Softgel, 250 Count, 2-1 Complex, Vitamin D3 5000 IU &amp; Vitamin K2 MK7, Promotes Heart, Bone &amp; Teeth Health – Very Easy to Swallow</t>
  </si>
  <si>
    <t>B07XWDCBFB</t>
  </si>
  <si>
    <t>涨价后产品的占比有下降主要是d3 and k2和vitamin d3 k2的花费下降了，11月广告进行了top和主词的上调 效果明显 稳住现在水平 广告每天200块钱只能花到下午 都是d3 k2相关词在出   上调budget到300观察一周是否有继续上涨趋势 没有回调控制花费 看下午的购买力是否能提升sales</t>
  </si>
  <si>
    <t>Myo-Inositol &amp; D-Chiro Inositol (40:1) 2,050mg Per Serving, 240 Veggie Capsules – with Folate, Vitamin D3, &amp; Vitex Complex – Hormonal, Ovarian, &amp; Liver Support Supplement</t>
  </si>
  <si>
    <t>B0BWGKT1PJ</t>
  </si>
  <si>
    <t>DEAL SUPPLEMENT Vitamin D3 50,000 IU + K2 MK7 200 mcg,240 Softgels | Virgin Coconut Oil, Max Strength Vitamin D &amp; K, Promotes Heart, Bone, &amp; Teeth Health – One Softgel Weekly, Easy to Swallow</t>
  </si>
  <si>
    <t>B0C8LR3L5M</t>
  </si>
  <si>
    <t xml:space="preserve">Beef Gelatin Powder 1lb </t>
  </si>
  <si>
    <t>B0F1C28MLR</t>
  </si>
  <si>
    <t>Bromelain Supplement 2,000mg Per Serving, 240 Capsules – Natural Proteolytic Enzymes from Fresh Pineapple – Supports Nutrient Digestion</t>
  </si>
  <si>
    <t>B09BDHTR2H</t>
  </si>
  <si>
    <t>整体水平没有变化只是primeday多出了一些</t>
  </si>
  <si>
    <t>Organic Mushroom Powder Supplement, 12oz – 10 in 1 Active Blend – Turkey Tail, Lions Mane, Cordyceps, Chaga, with More – Supports Immune, Energy, &amp; Brain Health – Non-GMO, Vegan</t>
  </si>
  <si>
    <t>B0C8LXX8JF</t>
  </si>
  <si>
    <t>连续涨价销量都有下降 现在是Mushroom powder的ac，加词下调主词base 让top跑 和Mega继续侵蚀OM, Micro的mushroom很多 可以破例考虑弄一个capsules 这个category争取也卖上去  相比于coffee 有提神功效又不带来负面作用 相较于鱼油摄取DHA对神经好的人来讲 mushroom可能也会成为潜在的替代品，加上各项营养价值和潜在的宣传Potential，海里的不安全 就吃山里的</t>
  </si>
  <si>
    <t>Magnesium Glycinate 500mg Per Capsule (1000mg Per Serving) Plus Vitamin C, 240 Capsules – 100% Chelated for Absorption – Essential Mineral Supplement for Muscle, Mood, Sleep, &amp; Heart Health</t>
  </si>
  <si>
    <t>B07XW95GZN</t>
  </si>
  <si>
    <t>primeday的销量照比平时多出700左右 产品的销量和占比水平没有较大变化 主要流量来自于mg,mg 500,mg 1000  3个主词 强相关词1000mg主词下调 top上拉120% mg和mg500上调base</t>
  </si>
  <si>
    <t>Eagleshine Vitamins Phosphatidylserine Supplement, 400mg Per Serving, 240 Capsules – Soy Free Sunflower Lecithin Source – Retains 20% Active PS – Nootropic Brain Health Support – Non-GMO</t>
  </si>
  <si>
    <t>B0971RLCR2</t>
  </si>
  <si>
    <t>Magnesium Complex Supplement 500mg, 240 Veggie Capsules – 10 in 1 Blend with Glycinate, Citrate, Malate, &amp; More – Chelated for Easy Absorption – Muscle, Joint, &amp; Relaxation Support</t>
  </si>
  <si>
    <t>B07WS2TFP1</t>
  </si>
  <si>
    <t>Berberine Max Supplement, 5,000mg Per Serving, 240 Veggie Capsules – 97% Pure Berberine HCL – 25:1 Root Extract – Glucose Metabolism &amp; Weight Management Support– Non-GMO</t>
  </si>
  <si>
    <t>B0C7FPF4TT</t>
  </si>
  <si>
    <t xml:space="preserve">Fruits &amp; Veggies 240 caps </t>
  </si>
  <si>
    <t>B0DJWV79NT</t>
  </si>
  <si>
    <t xml:space="preserve">Vitamin D3K2 2000IU with coconut oil </t>
  </si>
  <si>
    <t>B0DCJ6L37S</t>
  </si>
  <si>
    <t>Ginkgo Biloba 500mg Per Serving, 300 Capsules, 5 Month Supply – Grown in Northern Asia – Extra Strength, Non-GMO, No Gluten</t>
  </si>
  <si>
    <t>B081NW5N61</t>
  </si>
  <si>
    <t>Psyllium Husk Fiber, 300 Capsules | 1500mg Per Serving, Complexed with Inulin &amp; Acacia – Natural Soluble Fiber Supplement, Plant Based, Non-GMO | Supports Digestive and Colon Health for Men and Women</t>
  </si>
  <si>
    <t>B0BKR4ZNH1</t>
  </si>
  <si>
    <t>9.9低價產品</t>
  </si>
  <si>
    <t>CoQ10 200mg &amp; PQQ 200mcg, 240 Veggie Capsules – 2 in 1 Coenzyme Q10 Supplement for Better Absorption – Antioxidant Support for Energy, Brain, &amp; Heart Health – Non-GMO</t>
  </si>
  <si>
    <t>B0C2WV9FGF</t>
  </si>
  <si>
    <t>2 Pack Magnesium Glycinate 500mg, 480 Veggie Capsules | Chelated for Easy Absorption | Highly Purified Essential Trace Mineral for Muscle, Joint, Heart, &amp; Digestive Health</t>
  </si>
  <si>
    <t>B0C6V5K27L</t>
  </si>
  <si>
    <t>DEAL SUPPLEMENT Rhodiola Rosea with Ashwagandha 5,000mg Per Serving, 240 Veggie Capsules – Max Strength 10:1 Root Extract – Adaptogenic Supplements for Relaxation, Energy, &amp; Brain Health – Non-GMO</t>
  </si>
  <si>
    <t>B0C8PVGKSK</t>
  </si>
  <si>
    <t>DIM Supplement 300mg, 240 Veggie Caps, 4 Months Supply, Diindolylmethane DIM Plus Black Pepper Extract, Estrogen Balance, Supports Acne &amp; PCOS Relief</t>
  </si>
  <si>
    <t>B07WV689LY</t>
  </si>
  <si>
    <t>CoQ10 100mg, 240 Capsules – with Omega 3 Fatty Acid 100mg – Bioavailable Coenzyme Q10 Supplements – Heart, Energy, &amp; Brain Health Antioxidant Support – Non-GMO, One A Day</t>
  </si>
  <si>
    <t>B0CF3M3Y1M</t>
  </si>
  <si>
    <t>Nattokinase 4,000 FU Per Serving, 240 Veggie Capsules – Bromelain, Turmeric Curcumin, with Black Pepper Complex – Heart Health &amp; Digestive Enzymes Supplement – Non-GMO, Vegan</t>
  </si>
  <si>
    <t>B0CF3HM62X</t>
  </si>
  <si>
    <t>DEAL SUPPLEMENT Vitamin E Supplements, 1,000 IU Per Serving, 240 Softgels – Extra Strength Antioxidant Protection – Bioavailable Stable Form – Skin, Heart, Brain, &amp; Immune Support – Non-GMO</t>
  </si>
  <si>
    <t>B0C2X2BW68</t>
  </si>
  <si>
    <t>Vitamin B1 500mg with Benfotiamine, 240 Capsules – 2 in 1 Enhanced Formula – Fat &amp; Water Soluble Thiamine B1 Supplement – Third Party Tested, Non-GMO, No Gluten</t>
  </si>
  <si>
    <t>B081ZJQYVK</t>
  </si>
  <si>
    <t>Zinc 50mg with Selenium 200mcg + Copper, 240 Capsules, 8 Month Supply, 3 in 1 Mineral Formula, Zinc Picolinate Complex Supplement, Supports Healthy Immune System for Adults and Kid</t>
  </si>
  <si>
    <t>B08FXYT1RT</t>
  </si>
  <si>
    <t>Benfotiamine 600mg Per Serving, 180 Veggie Capsules (300mg Per Cap), Fat Soluble Vitamin B1 Thiamine Supplement – Supports Energy &amp; Nervous System Health – 3rd Party Tested, Non-GMO, Gluten Free</t>
  </si>
  <si>
    <t>B0BWH53V3J</t>
  </si>
  <si>
    <t>DEAL SUPPLEMENT Psyllium Husk Powder 3 lbs, 9,000mg Per Serving – Unflavored, Plant Based, Soluble Dietary Fiber – Great for Baking &amp; Cooking – Keto Friendly, Gluten Free, Non-GMO</t>
  </si>
  <si>
    <t>B0C3NM9959</t>
  </si>
  <si>
    <t>Magnesium Citrate 500mg, 240 Capsules | Easily Absorbed, Purified Trace Mineral – Muscle, Heart, &amp; Digestive Support – One a Day, Non-GMO</t>
  </si>
  <si>
    <t>B0C2WVVXT9</t>
  </si>
  <si>
    <t>新品, 剛開賣銷量上漲快速, 基本上自己賣, 漲價等貨銷量下滑, 目前跟400mg合併一起賣, 對400mg boost的效果一般, 市場上最近是被NOW(B0014M1VII)amazon buybox降價後銷量上漲快速, mc主詞占比掉了, 持續加強主詞廣告力度, 爭取magnesium citrate, citrato de magnesio等大主詞占比, 目前廣告還沒有IS, 12/05加了PT; 400mg的主打400mg相關詞, 廣告合格內做</t>
  </si>
  <si>
    <t>Multi Collagen Pills with Hyaluronic Acid, Vitamin C &amp; Biotin 5000mcg, 300 Capsules - Type I, II, III, V, X Collagen Supplements for Women or Men - Hair, Skin, Nail, &amp; Joint Health - Unflavored, Keto</t>
  </si>
  <si>
    <t>B0C2WPPTNM</t>
  </si>
  <si>
    <t>Creatine Monohydrate Powder 600 Grams (1.32lb), Unflavored | Pure | Micronized Creatine Powder, 5000mg(5g) Per Serving, 4 Month Supply, Vegan | Keto, Non-GMO, No Filler, No Additives - 120 Servings</t>
  </si>
  <si>
    <t>B0B2FF7XN9</t>
  </si>
  <si>
    <t>Nitric Oxide Booster 3,000mg Per Serving, 300 Capsules</t>
  </si>
  <si>
    <t>B0CZGHL1TW</t>
  </si>
  <si>
    <t>Magnesium Glycinate 500mg, 240 Veggie Capsules | Chelated | Highly Purified Essential Trace Mineral for Muscle, Joint, Heart, &amp; Digestive Health</t>
  </si>
  <si>
    <t>B0BKR735X8</t>
  </si>
  <si>
    <t>被亚马逊删了category合并改了参数，重新拆分合并了 10月份的deal和primeday水平都相对高很多 加上500mg搜索词的陨落 listing下降较为明显 广告下调强相关500mg base top继续往上拉到100 2块钱附近的水平，把magnesium glyciante主词水平再往上找找</t>
  </si>
  <si>
    <t>Magnesium Glycinate 400mg | Elemental Magnesium - 300 Capsules | Chelated for Easy Absorption | Highly Purified Essential Trace Mineral for Muscle, Joint, Heart, &amp; Immune Support</t>
  </si>
  <si>
    <t>B0BKRPXKWD</t>
  </si>
  <si>
    <t>$ Sales</t>
  </si>
  <si>
    <t>2023-1</t>
  </si>
  <si>
    <t>2023-2</t>
  </si>
  <si>
    <t>2023-3</t>
  </si>
  <si>
    <t>2023-4</t>
  </si>
  <si>
    <t>2023-5</t>
  </si>
  <si>
    <t>2023-6</t>
  </si>
  <si>
    <t>2023-7</t>
  </si>
  <si>
    <t>2023-8</t>
  </si>
  <si>
    <t>2023-9</t>
  </si>
  <si>
    <t>2023-10</t>
  </si>
  <si>
    <t>2023-11</t>
  </si>
  <si>
    <t>2023-12</t>
  </si>
  <si>
    <t>2024-1</t>
  </si>
  <si>
    <t>2024-2</t>
  </si>
  <si>
    <t>2024-3</t>
  </si>
  <si>
    <t>2024-4</t>
  </si>
  <si>
    <t>2024-5</t>
  </si>
  <si>
    <t>2024-6</t>
  </si>
  <si>
    <t>2024-7</t>
  </si>
  <si>
    <t>2024-8</t>
  </si>
  <si>
    <t>2024-9</t>
  </si>
  <si>
    <t>2024-10</t>
  </si>
  <si>
    <t>2024-11</t>
  </si>
  <si>
    <t>2024-12</t>
  </si>
  <si>
    <t>2025-01</t>
  </si>
  <si>
    <t>2025-02</t>
  </si>
  <si>
    <t>2025-03</t>
  </si>
  <si>
    <t>2025-04</t>
  </si>
  <si>
    <t>2025-05</t>
  </si>
  <si>
    <t>2025-06</t>
  </si>
  <si>
    <t>2025-07</t>
  </si>
  <si>
    <t>2025-08</t>
  </si>
  <si>
    <t>2025-09</t>
  </si>
  <si>
    <t>2025-10</t>
  </si>
  <si>
    <t>2025-11</t>
  </si>
  <si>
    <t>2025-12</t>
  </si>
  <si>
    <t>2026-01</t>
  </si>
  <si>
    <t>2026-02</t>
  </si>
  <si>
    <t>2026-03</t>
  </si>
  <si>
    <t>2026-04</t>
  </si>
  <si>
    <t>2026-05</t>
  </si>
  <si>
    <t>2026-06</t>
  </si>
  <si>
    <t>2026-07</t>
  </si>
  <si>
    <t>2026-08</t>
  </si>
  <si>
    <t>2026-09</t>
  </si>
  <si>
    <t>2026-10</t>
  </si>
  <si>
    <t>2026-11</t>
  </si>
  <si>
    <t>2026-12</t>
  </si>
  <si>
    <t>Year to Date</t>
  </si>
  <si>
    <t>MI</t>
  </si>
  <si>
    <t>NB</t>
  </si>
  <si>
    <t>DS</t>
  </si>
  <si>
    <t>Total</t>
  </si>
  <si>
    <t>$ Ad Sales</t>
  </si>
  <si>
    <t>$ Spend</t>
  </si>
  <si>
    <t>Acos</t>
  </si>
  <si>
    <t>%</t>
  </si>
  <si>
    <t>Asin</t>
  </si>
  <si>
    <t>Brand</t>
  </si>
  <si>
    <t>B0BR4NQGSC</t>
  </si>
  <si>
    <t>B01JNNAGEY</t>
  </si>
  <si>
    <t>B0CG7C5X2F</t>
  </si>
  <si>
    <t>B09TG497BW</t>
  </si>
  <si>
    <t>B07L44PJYM</t>
  </si>
  <si>
    <t>B0B239F6JW</t>
  </si>
  <si>
    <t>B0BCMY5TBJ</t>
  </si>
  <si>
    <t>B0CG7M7PRM</t>
  </si>
  <si>
    <t>B07P3HDQD9</t>
  </si>
  <si>
    <t>B01HFN37MC</t>
  </si>
  <si>
    <t>B087F1HYB7</t>
  </si>
  <si>
    <t>B01N91404L</t>
  </si>
  <si>
    <t>B01DPW5EIM</t>
  </si>
  <si>
    <t>B07CRQ7NJ5</t>
  </si>
  <si>
    <t>B01DPW5MJI</t>
  </si>
  <si>
    <t>B09SBP5D35</t>
  </si>
  <si>
    <t>B09NQVBGQK</t>
  </si>
  <si>
    <t>B01MTLG2HR</t>
  </si>
  <si>
    <t>B07RD8TVDG</t>
  </si>
  <si>
    <t>B01N02YD5I</t>
  </si>
  <si>
    <t>B01BHF3J4K</t>
  </si>
  <si>
    <t>B01M3YCOJ4</t>
  </si>
  <si>
    <t>B0B22T88RH</t>
  </si>
  <si>
    <t>B08X6N1YBK</t>
  </si>
  <si>
    <t>B08MX256RL</t>
  </si>
  <si>
    <t>B08N3BG2SR</t>
  </si>
  <si>
    <t>B08C73K1PR</t>
  </si>
  <si>
    <t>B08C9JP3L2</t>
  </si>
  <si>
    <t>B08MX453B9</t>
  </si>
  <si>
    <t>B08C77PT4J</t>
  </si>
  <si>
    <t>B01L2TGS30</t>
  </si>
  <si>
    <t>B07P3H1872</t>
  </si>
  <si>
    <t>B01DPW5DD8</t>
  </si>
  <si>
    <t>B01DPW5I6U</t>
  </si>
  <si>
    <t>B07L47VZ1Z</t>
  </si>
  <si>
    <t>B01DPW5E46</t>
  </si>
  <si>
    <t>B0C35H2G42</t>
  </si>
  <si>
    <t>B07SZHV7RN</t>
  </si>
  <si>
    <t>B07W86RNBX</t>
  </si>
  <si>
    <t>B07P3HRXK4</t>
  </si>
  <si>
    <t>B0CLFG8QLY</t>
  </si>
  <si>
    <t>B0B43XFX6P</t>
  </si>
  <si>
    <t>B0CG2L2N1J</t>
  </si>
  <si>
    <t>B0BSP1W5JW</t>
  </si>
  <si>
    <t>B0BSP38B2S</t>
  </si>
  <si>
    <t>B076B5V4RQ</t>
  </si>
  <si>
    <t>B076B63VJC</t>
  </si>
  <si>
    <t>B0C88PXW63</t>
  </si>
  <si>
    <t>B0C2SCGYD4</t>
  </si>
  <si>
    <t>B09WXLZZRX</t>
  </si>
  <si>
    <t>B07R8FQG58</t>
  </si>
  <si>
    <t>B0C2SH4J85</t>
  </si>
  <si>
    <t>B087CMLT8J</t>
  </si>
  <si>
    <t>B086M6FBG4</t>
  </si>
  <si>
    <t>B076XMGV8M</t>
  </si>
  <si>
    <t>B0CFPQWQNC</t>
  </si>
  <si>
    <t>B07W8XG27G</t>
  </si>
  <si>
    <t>B092373KF3</t>
  </si>
  <si>
    <t>B0872L4YZS</t>
  </si>
  <si>
    <t>B07Y8Y19GR</t>
  </si>
  <si>
    <t>B09238QQ52</t>
  </si>
  <si>
    <t>B08QDRP99J</t>
  </si>
  <si>
    <t>B08QDZLP2G</t>
  </si>
  <si>
    <t>B07G8GGRNT</t>
  </si>
  <si>
    <t>B0B9HVBQ4F</t>
  </si>
  <si>
    <t>B0C6X5CZ98</t>
  </si>
  <si>
    <t>B0BSJ4RLWX</t>
  </si>
  <si>
    <t>B0923BYLMS</t>
  </si>
  <si>
    <t>B0BFJVZYN5</t>
  </si>
  <si>
    <t>B07MTTWGWJ</t>
  </si>
  <si>
    <t>B0BJ1BRV7Z</t>
  </si>
  <si>
    <t>Sum of Sessions (1/28-2/3)</t>
  </si>
  <si>
    <t>Sum of Sessions (2/25-3/2)</t>
  </si>
  <si>
    <t>Sum of Sessions (3/24-3/30)</t>
  </si>
  <si>
    <t>Sum of Sessions (4/28-5/4)</t>
  </si>
  <si>
    <t>Sum of Sessions (5/26-6/1)</t>
  </si>
  <si>
    <t>Sum of Sessions (6/23-6/29)</t>
  </si>
  <si>
    <t>Sum of Sessions (7/28-8/3)</t>
  </si>
  <si>
    <t>Sum of Sessions (8/25-8/31)</t>
  </si>
  <si>
    <t>Sum of Sessions (9/29-10/5)</t>
  </si>
  <si>
    <t>Sum of Sessions (10/27-11/2)</t>
  </si>
  <si>
    <t>Sum of Sessions (11/24-11/30)</t>
  </si>
  <si>
    <t>Sum of Sessions (12/22-12/28)</t>
  </si>
  <si>
    <t>Sum of Sessions (1/26-2/1)</t>
  </si>
  <si>
    <t>Sum of Units Ordered  (1/28-2/3)</t>
  </si>
  <si>
    <t>Sum of Units Ordered  (2/25-3/2)</t>
  </si>
  <si>
    <t>Sum of Units Ordered  (3/24-3/30)</t>
  </si>
  <si>
    <t>Sum of Units Ordered (4/28-5/4)</t>
  </si>
  <si>
    <t>Sum of Units Ordered (5/26-6/1)</t>
  </si>
  <si>
    <t>Sum of Units Ordered (6/23-6/29)</t>
  </si>
  <si>
    <t>Sum of Units Ordered (7/28-8/3)</t>
  </si>
  <si>
    <t>Sum of Units Ordered  (8/25-8/31</t>
  </si>
  <si>
    <t>Sum of Units Ordered (9/29-10/5)</t>
  </si>
  <si>
    <t>Sum of Units Ordered (10/27-11/2)</t>
  </si>
  <si>
    <t>Sum of Units Ordered (11/24-11/30)</t>
  </si>
  <si>
    <t>Sum of Units Ordered (12/22-12/28)</t>
  </si>
  <si>
    <t>Sum of Units Ordered (1/26-2/1)</t>
  </si>
  <si>
    <t>B07G7YPJSJ</t>
  </si>
  <si>
    <t>B07WTXS4BL</t>
  </si>
  <si>
    <t>B07WV6898X</t>
  </si>
  <si>
    <t>B07XVS9MS3</t>
  </si>
  <si>
    <t>B081NWFC6W</t>
  </si>
  <si>
    <t>B085176YLP</t>
  </si>
  <si>
    <t>B08C4NZQYY</t>
  </si>
  <si>
    <t>B08WHGBYD3</t>
  </si>
  <si>
    <t>B08WHPNJTT</t>
  </si>
  <si>
    <t>B0971W4PSN</t>
  </si>
  <si>
    <t>B0B7CMR12N</t>
  </si>
  <si>
    <t>B0D3T8WHH4</t>
  </si>
  <si>
    <t>B0BMDPLQ3K</t>
  </si>
  <si>
    <t>B0BWH9Y7PZ</t>
  </si>
  <si>
    <t>B0C2SKQBDB</t>
  </si>
  <si>
    <t>B0C2W734WL</t>
  </si>
  <si>
    <t>B0C6VXPZTS</t>
  </si>
  <si>
    <t>B0C6W3MPRS</t>
  </si>
  <si>
    <t>B0C6WK3P6H</t>
  </si>
  <si>
    <t>B0C6WP15YQ</t>
  </si>
  <si>
    <t>B0C6WRVJQV</t>
  </si>
  <si>
    <t>B0C6WZJ2K6</t>
  </si>
  <si>
    <t>B0C7SNQ62P</t>
  </si>
  <si>
    <t>B0C8LWRXVV</t>
  </si>
  <si>
    <t>B0C8LXD8F2</t>
  </si>
  <si>
    <t>B0C8M8MQMR</t>
  </si>
  <si>
    <t>B0C8QZLF18</t>
  </si>
  <si>
    <t>B0CVTNMFSK</t>
  </si>
  <si>
    <t>B0CXGX8QTQ</t>
  </si>
  <si>
    <t>B0CYKDW4QQ</t>
  </si>
  <si>
    <t>B0CZGQN3Y4</t>
  </si>
  <si>
    <t>B0D2FGQB84</t>
  </si>
  <si>
    <t>B0D2FTRPL1</t>
  </si>
  <si>
    <t>B0D2MDHWT5</t>
  </si>
  <si>
    <t>B0D7B94P8D</t>
  </si>
  <si>
    <t>B0DCHGCFBS</t>
  </si>
  <si>
    <t>B0DCHJ1H44</t>
  </si>
  <si>
    <t>B0DCKRMSJ8</t>
  </si>
  <si>
    <t>B0DD5SVDJ7</t>
  </si>
  <si>
    <t>B0DD5VPDYF</t>
  </si>
  <si>
    <t>B0DDDNB7GS</t>
  </si>
  <si>
    <t>B0DDFDX1ZW</t>
  </si>
  <si>
    <t>B0DF11GCLL</t>
  </si>
  <si>
    <t>B0DF18NB37</t>
  </si>
  <si>
    <t>B0DFFL4J4X</t>
  </si>
  <si>
    <t>B0DFJKTD39</t>
  </si>
  <si>
    <t>B0DFKSVS29</t>
  </si>
  <si>
    <t>B0DFKT7HBZ</t>
  </si>
  <si>
    <t>B0DFKXBGRS</t>
  </si>
  <si>
    <t>B0DFKYXVY2</t>
  </si>
  <si>
    <t>B0DFQTM8SV</t>
  </si>
  <si>
    <t>B0DFR42J12</t>
  </si>
  <si>
    <t>B0DFZNFMYD</t>
  </si>
  <si>
    <t>B0DGB6NMLX</t>
  </si>
  <si>
    <t>B0DGBH35ZF</t>
  </si>
  <si>
    <t>B0DGBMMBS4</t>
  </si>
  <si>
    <t>B0DGBTDMCQ</t>
  </si>
  <si>
    <t>B0DGC11GH2</t>
  </si>
  <si>
    <t>B0DGZ3ZV9R</t>
  </si>
  <si>
    <t>B0DGZ5978L</t>
  </si>
  <si>
    <t>B0DGZ5Y8CV</t>
  </si>
  <si>
    <t>B0DGZBH991</t>
  </si>
  <si>
    <t>B0DHYQL75K</t>
  </si>
  <si>
    <t>B0DJ3RG6VD</t>
  </si>
  <si>
    <t>B0DJ3T8672</t>
  </si>
  <si>
    <t>B0DJDM8Y75</t>
  </si>
  <si>
    <t>B0DJDNV6HB</t>
  </si>
  <si>
    <t>B0DJV5Y3Q3</t>
  </si>
  <si>
    <t>B0DJV643J2</t>
  </si>
  <si>
    <t>B0DK7WVS8Z</t>
  </si>
  <si>
    <t>JAN</t>
  </si>
  <si>
    <t>APR</t>
  </si>
  <si>
    <t>MAY</t>
  </si>
  <si>
    <t>JUN</t>
  </si>
  <si>
    <t>JUL</t>
  </si>
  <si>
    <t>AUG</t>
  </si>
  <si>
    <t>SEP</t>
  </si>
  <si>
    <t>OCT</t>
  </si>
  <si>
    <t>NOV</t>
  </si>
  <si>
    <t>DEC</t>
  </si>
  <si>
    <t>B0BFJXC2JN</t>
  </si>
  <si>
    <t>Name</t>
  </si>
  <si>
    <t>Units 30 Days</t>
  </si>
  <si>
    <t>Daily Units</t>
  </si>
  <si>
    <t>Actual Ad Spend</t>
  </si>
  <si>
    <t>Expected Budget</t>
  </si>
  <si>
    <t>1.2X</t>
  </si>
  <si>
    <t>Responsible</t>
  </si>
  <si>
    <t xml:space="preserve">Comments </t>
  </si>
  <si>
    <t xml:space="preserve">Review </t>
  </si>
  <si>
    <t>Vitamin D3 10000 iu Plus K2 (MK-7) 200 mcg, 180 Virgin Coconut Oil Softgels| 2 in 1 Vitamins D &amp; K Complex | Supports Calcium Absorption, Bone, Immune, &amp; Heart Health – Easy to Swallow</t>
  </si>
  <si>
    <t>Electrolyte Powder Pineapple Flavor 2lb</t>
  </si>
  <si>
    <t>Pure Inositol Powder, Myo-Inositol B8 Powder, 1KG (2.2 Pounds), Strongly Supports Liver Health &amp; Antioxidant, Super Inositol for Hair and Inositol for Sleep, Non-GMO and Vegan Friendly</t>
  </si>
  <si>
    <t>Organic Milk Thistle Extract, 3.5 Ounces, Pure Milk Thistle Powder Organic, Milk Thistle Tea, Contains 80% Active Silymarin, Strongly Supports Liver Health and Antioxidant, Vegan Friendly</t>
  </si>
  <si>
    <t>Micro Ingredients Organic Acacia Senegal Powder, 2 Pounds (32 Ounce), Instant Soluble Fiber Powder, Plant-Based Prebiotic Superfood for Gut Health, Non-GMO, No Gluten, Vegan</t>
  </si>
  <si>
    <t>Fadogia Agrestis 600mg Per Serving, 50:1 Extract Powder, 4 Ounce, Highly Purified and Bioavailable, USA Third Party Tested, Maximum Strength, No Filler, No Additives, Non-GMO &amp; No Gluten</t>
  </si>
  <si>
    <t>L Glutamine Powder Gut Health, 1Kg, 100% Pure, Free Form - Unflavored- Vegan Friendly, No Filler, No additives, Supports Muscle Recovery, Post Workout | Non-GMO &amp; Gluten-Free</t>
  </si>
  <si>
    <t>Erythritol Granules, 6 Pounds (96 Ounce), 1:1 Sugar Substitute, No After Taste, 0 Calorie, Natural Sweetener, Erythritol Keto Sugar Substitute, Non-GMO, Vegan</t>
  </si>
  <si>
    <t>Micro Ingredients L Citrulline Capsules, 1500mg Per Serving, 360 Counts, Citrulline Pre-Workout Supplement, Non-GMO</t>
  </si>
  <si>
    <t>Micro Ingredients Organic Boswellia Serrata Extract Powder, 8 Ounce, Pure Boswellia Supplement with 65% Boswellic Acid, Supports Joints, Knees and Bones Health, Non-GMO, Pet Friendly, India Origin</t>
  </si>
  <si>
    <t xml:space="preserve">Turmeric Ginger Peach Mango Flavor Gummies 120 count </t>
  </si>
  <si>
    <t>B0FGKN2XZX</t>
  </si>
  <si>
    <t>NMN 1000mg 240 Capsules</t>
  </si>
  <si>
    <t>B0FXJ959VH</t>
  </si>
  <si>
    <t>Organic Hibiscus Tea Bags</t>
  </si>
  <si>
    <t>NatureBell Cold Pressed Black Seed Oil 3,000mg Per Serving with Vitamin D3 2,000IU, 180 Softgels | Egyptian Nigella Sativa, Odorless Black Cumin Seed, Virgin Liquid Oil Capsules – Non-GMO</t>
  </si>
  <si>
    <t>NatureBell Double Strength Triphala Supplement (Made with Organic Amla, Bibhitaki, Haritaki Fruit Complex), 1200mg Per Serving, 180 Capsules, 3 in 1 Formula, Supports Digestive Health, Non-GMO</t>
  </si>
  <si>
    <t>Magnesium Glycinate 500mg vegetarian</t>
  </si>
  <si>
    <t>B0DNVCPMYW</t>
  </si>
  <si>
    <t>Berberine 500mg with Yohimbine</t>
  </si>
  <si>
    <t>Allulose Sweetener Powder 4lb</t>
  </si>
  <si>
    <t>Kava Kava Supplement 750mg, 180 Capsules, 3 Months Supply, Kava Kava Root Extract, Promotes Stress &amp; Anxiety Relief, Mental Calmness and Restful Sleep</t>
  </si>
  <si>
    <t>Ultra Strength HMB Supplements 1000mg Per Serving, 300 Capsules | Third Party Tested | Supports Muscle Growth, Retention &amp; Lean Muscle Mass | Fast Workout Recovery</t>
  </si>
  <si>
    <t>L Methylfolate 15mg Per Serving, 240 Veggie Capsules – Active Folic Acid Form (5-MTHF), Bioavailable Methylated Folate – Prenatal, Energy, &amp; Brain Support Supplement – Non-GMO</t>
  </si>
  <si>
    <t>DEAL SUPPLEMENT 2 Pack of Ultra Strength HMB Supplements 1000mg Per Serving, 600 Capsules | Third Party Tested | Supports Muscle Growth, Retention &amp; Lean Muscle Mass | Fast Workout Recover</t>
  </si>
  <si>
    <t>Red Yeast Rice 1,200mg Per Serving with CoQ10 100mg, 300 Capsules – Heart Health Supplement &amp; Antioxidant Support – Pure Monascus Purpureus Powder Source – Citrinin Free, Non-GMO</t>
  </si>
  <si>
    <t>2 Pack of Tongkat Ali Extract 300:1 Enhanced with Horny Goat, 1100mg Per Serving, 180 Capsules, 2-1 Formula, Indonesia Origin Eurycoma Longifolia (Longjack), Max Strength Tongkat Ali for Men</t>
  </si>
  <si>
    <t>B0G2FM8NBG</t>
  </si>
  <si>
    <t>B0GDS357K4</t>
  </si>
  <si>
    <t>B0GDSF7HQF</t>
  </si>
  <si>
    <t>B0GC9L62FD</t>
  </si>
  <si>
    <t>B0GFGX8PFJ</t>
  </si>
  <si>
    <t>Liposomal NAD+ Ultimate 1000mg 120 Capsules</t>
  </si>
  <si>
    <t>B0GDS55Z2G</t>
  </si>
  <si>
    <t>Fiber+ 240 vegetarian capsules</t>
  </si>
  <si>
    <t>B0GFGL7HGS</t>
  </si>
  <si>
    <t>B0G17R2P79</t>
  </si>
  <si>
    <t>B0FJ36JP6S</t>
  </si>
  <si>
    <t>B0G17FPWX8</t>
  </si>
  <si>
    <t>Blood Advanced+ 240 vegetarian capsules</t>
  </si>
  <si>
    <t>Organic Beet Root Powder 8oz</t>
  </si>
  <si>
    <t>L-Tyrosine 1000mg 240 capsules</t>
  </si>
  <si>
    <t>Electrolyte Powder Strawberry Kiwi Flavor 2lb</t>
  </si>
  <si>
    <t>Potassium Citrate 99mg 500 capsules</t>
  </si>
  <si>
    <t>P5P 100mg with MCT Oil 240 Softgels</t>
  </si>
  <si>
    <t>Moringa with Oregano Oil + Black Seed Oil + Omega-3 240 Flaxseed Oil Softgels</t>
  </si>
  <si>
    <t>Acetyl L-Carnitine 1000mg with Alpha Lipoic Acid 240 MCT Oil Softgels</t>
  </si>
  <si>
    <t>Dandelion Root with Turmeric Root and Ginger Root 240 Milk Thistle Oil Softgels</t>
  </si>
  <si>
    <t>Berberine with Ceylon Cinnamon 1500mg + Chromium 240 vegetarian capsules</t>
  </si>
  <si>
    <t>NAC with NAD+ 600mg 240 vegetarian capsules</t>
  </si>
  <si>
    <t>Elderberry Complex 360 Softgels</t>
  </si>
  <si>
    <t>Berberine with Ceylon Cinnamon 2000mg + Chromium 240 vegetarian capsules</t>
  </si>
  <si>
    <t>Apple Cider Vinegar 5-in-1 Complex with MCT Oil 240 Softgels</t>
  </si>
  <si>
    <t>NAC with NAD+ 1000mg 240 vegetarian capsules</t>
  </si>
  <si>
    <t>NAC with NAD+ 2000mg 240 vegetarian capsules</t>
  </si>
  <si>
    <t>Magnesium Citrate 1000mg with MCT Oil 240 Softgels</t>
  </si>
  <si>
    <t>Organic Hemp Seeds 36oz</t>
  </si>
  <si>
    <t>Maca Root 10-in-1 Complex with Pumpkin Seed Oil 300 Softgels</t>
  </si>
  <si>
    <t>Nattokinase 4000FU with MCT Oil 120 Softgels</t>
  </si>
  <si>
    <t>Allulose Sweetener 6lb</t>
  </si>
  <si>
    <t>Iron bisglycinate 65mg  + Vitamin C with Black Seed Oil 240 Softgels</t>
  </si>
  <si>
    <t>Ashwagandha + Black Pepper Extract with MCT Oil 150 Softgels</t>
  </si>
  <si>
    <t>Organic Kelp Powder 1lb</t>
  </si>
  <si>
    <t>B0GK9XKML3</t>
  </si>
  <si>
    <t>B0GPRLF74Y</t>
  </si>
  <si>
    <t>B0GFH78J2B</t>
  </si>
  <si>
    <t>B0GKBPHMGV</t>
  </si>
  <si>
    <t>B0GFH253L2</t>
  </si>
  <si>
    <t>B0GPRFW4X4</t>
  </si>
  <si>
    <t>B0GMYL258F</t>
  </si>
  <si>
    <t>B0GFH6Q7BN</t>
  </si>
  <si>
    <t>B0G2ZVFD3J</t>
  </si>
  <si>
    <t>B0GFGT6MYN</t>
  </si>
  <si>
    <t>B0GDS4CCQ8</t>
  </si>
  <si>
    <t>B0GFHCCTH6</t>
  </si>
  <si>
    <t>B0G1CY139N</t>
  </si>
  <si>
    <t>B0GN4GGT8B</t>
  </si>
  <si>
    <t>B0GDS1CQYR</t>
  </si>
  <si>
    <t>B0GDK9HN4T</t>
  </si>
  <si>
    <t>B0G2N6TNJL</t>
  </si>
  <si>
    <t>B0GDS5HSKX</t>
  </si>
  <si>
    <t>B0GFGNKJ5Q</t>
  </si>
  <si>
    <t>B0GJV1JW2M</t>
  </si>
  <si>
    <t>PQQ 40mg 3-in-1 Complex 240 vegetarian capsules</t>
  </si>
  <si>
    <t>Organic MCT Oil with Prebiotic Fiber Powder 8oz</t>
  </si>
  <si>
    <t>Whole Food Vitamin C 240 vegetarian capsules</t>
  </si>
  <si>
    <t>Bovine Collagen Peptides Powder 2lb</t>
  </si>
  <si>
    <t>Xanthan Gum Powder 8oz</t>
  </si>
  <si>
    <t>Electrolyte Powder Pina Colada (Pineapple) Flavor 1lb</t>
  </si>
  <si>
    <t>B0G62GVNNK</t>
  </si>
  <si>
    <t>B0G67HD97C</t>
  </si>
  <si>
    <t>B0G625VHXN</t>
  </si>
  <si>
    <t>B0G62RHZJS</t>
  </si>
  <si>
    <t>B0G62K393X</t>
  </si>
  <si>
    <t>Black seed oil 3000mg with Oregano Oil 240 Softgels</t>
  </si>
  <si>
    <t>Organic Beet Root Powder 40oz (2lb 8oz)</t>
  </si>
  <si>
    <t>Nattokinase 4000FU Complex with MCT Oil 240 Softgels</t>
  </si>
  <si>
    <t>Vitamin C 2000mg 240 vegetarian capsules</t>
  </si>
  <si>
    <t>Saw Palmetto with Pumpkin Seed Oil 1200mg 300 Softgels</t>
  </si>
  <si>
    <t>B0G7739XFJ</t>
  </si>
  <si>
    <t>B0G88JHDNF</t>
  </si>
  <si>
    <t>B0G866Q75B</t>
  </si>
  <si>
    <t>B0G87SNY26</t>
  </si>
  <si>
    <t>B0G8823BHQ</t>
  </si>
  <si>
    <t>B0G771Z9VB</t>
  </si>
  <si>
    <t>Astaxanthin 12mg with MCT Oil 120 Softgels</t>
  </si>
  <si>
    <t>Organic Ceylon Cinnamon Powder 12oz</t>
  </si>
  <si>
    <t>Organic Chia Seeds 5lb</t>
  </si>
  <si>
    <t>Omega-3 Fish Oil 4200mg (1200mg EPA + 900mg DHA) 120 softgels</t>
  </si>
  <si>
    <t>Krill Oil 2000mg 240 softgels Double Strength</t>
  </si>
  <si>
    <t>Beet Root with grape seed &amp; CoQ10 4500mg 360 tablets</t>
  </si>
  <si>
    <t>Ad Sales 05</t>
  </si>
  <si>
    <t>B0GFGYSBTL</t>
  </si>
  <si>
    <t>B0GFH4K1CG</t>
  </si>
  <si>
    <t>B0GDS4HHYZ</t>
  </si>
  <si>
    <t>B0GN3ZR14J</t>
  </si>
  <si>
    <t>B0GDSG56CF</t>
  </si>
  <si>
    <t>B0GN4G4V6D</t>
  </si>
  <si>
    <t>B0GN5FFYR9</t>
  </si>
  <si>
    <t>B0GFGNGF5G</t>
  </si>
  <si>
    <t>B0GFGTD9ZV</t>
  </si>
  <si>
    <t>B0H12QTKHB</t>
  </si>
  <si>
    <t>B0GN4TJHQK</t>
  </si>
  <si>
    <t>L-Methylfolate, 240 Softgels</t>
  </si>
  <si>
    <t>Omega-3 Fish Oil Complex for Women, 240 Softgels</t>
  </si>
  <si>
    <t>Phosphatidyl Serine 600mg 240 capsules</t>
  </si>
  <si>
    <t>L-Carnitine Tartrate 2000mg with NAD+ 240 vegetarian capsules</t>
  </si>
  <si>
    <t>Berberine 500mg with MCT Oil 240 softgels</t>
  </si>
  <si>
    <t>Zinc 12-in-1 Complex for Women 240 capsules</t>
  </si>
  <si>
    <t>Zinc 11-in-1 Complex for Men 240 capsules</t>
  </si>
  <si>
    <t>Glycine (Amino Acid) 1000mg with MCT Oil 240 Softgels</t>
  </si>
  <si>
    <t>Ashwagandha 8-in-1 Complex for Women with MCT Oil 240 Softgels</t>
  </si>
  <si>
    <t>Creatine Hydration Powder for Women Strawberry Flavor 392g</t>
  </si>
  <si>
    <t>L-Glutamine+ Advanced 9-in-1 1000mg 240 vegetarian capsules</t>
  </si>
  <si>
    <t>B0GS741GS4</t>
  </si>
  <si>
    <t>B0GSCN155Z</t>
  </si>
  <si>
    <t>B0GQD5WGJP</t>
  </si>
  <si>
    <t>B0FNTMZ5J9</t>
  </si>
  <si>
    <t>B0G62ZLRZS</t>
  </si>
  <si>
    <t>B0GSBYT1WV</t>
  </si>
  <si>
    <t>B0G67BZNYN</t>
  </si>
  <si>
    <t>B0GSGZN2G6</t>
  </si>
  <si>
    <t>Astaxanthin 24 mg, 120 Softgels</t>
  </si>
  <si>
    <t>Electrolytes Powder Jar Lemonade Flavor 500g</t>
  </si>
  <si>
    <t>Oil of Oregano with black seed oil 180 softgels</t>
  </si>
  <si>
    <t>Triple L-Carnitine 3-in1 Complex 3000mg 240 capsules</t>
  </si>
  <si>
    <t>Calcium 1200mg with Vitamin D3K2 + Boron 360 bisected tablets</t>
  </si>
  <si>
    <t>Tart Cherry 3-in-1 Complex with Magnesium Glycinate + Turmeric with Black Seed Oil 240 Softgels</t>
  </si>
  <si>
    <t>Marine Collagen Powder 500g Jar</t>
  </si>
  <si>
    <t>Glycine 1000mg 240 vegetarian capsules</t>
  </si>
  <si>
    <t>B0GS71C82J</t>
  </si>
  <si>
    <t>B0G8748JJH</t>
  </si>
  <si>
    <t>B0GS7H643Y</t>
  </si>
  <si>
    <t>B0G8826WZQ</t>
  </si>
  <si>
    <t>Oil of Oregano with Black Seed Oil 150 softgels</t>
  </si>
  <si>
    <t>Berberine 500mg with MCT Oil 240 Softgels</t>
  </si>
  <si>
    <t>Astaxanthin 24mg 60 Softgels</t>
  </si>
  <si>
    <t>Electrolytes Powder Pineapple Coconut Flavor 1lb</t>
  </si>
  <si>
    <t>B0GN45DBJR</t>
  </si>
  <si>
    <t>B0GN3W5D4K</t>
  </si>
  <si>
    <t>B0GSSJF55Y</t>
  </si>
  <si>
    <t>B0GW19RG1K</t>
  </si>
  <si>
    <t>B0GN4ZWCTP</t>
  </si>
  <si>
    <t>Organic Beet Root Powder 1lb</t>
  </si>
  <si>
    <t>Ceylon Cinnamon+ Advanced 10-in-1 240 Vegetarian capsules</t>
  </si>
  <si>
    <t>Organic Strawberry Powder 8oz</t>
  </si>
  <si>
    <t>Organic Chia Seeds 2lb</t>
  </si>
  <si>
    <t>EAA 8g with Electrolytes Powder Watermelon Burst Flavor 1lb</t>
  </si>
  <si>
    <t>Diff 05-06</t>
  </si>
  <si>
    <t>B0GSCQR4S6</t>
  </si>
  <si>
    <t>B0GSCC4ZJL</t>
  </si>
  <si>
    <t>B0FNTX47QR</t>
  </si>
  <si>
    <t>B0GSCGGFRP</t>
  </si>
  <si>
    <t>Magnesium 20-in-1 Complex for Women 240 Veg caps</t>
  </si>
  <si>
    <t>Berberine with Ceylon Cinnamon Complex 4800mg 240 Veg caps</t>
  </si>
  <si>
    <t>Testosterone for Men 240 Capsules</t>
  </si>
  <si>
    <t>Methylated B Complex Vitamins for Women 240 vegetarian capsules</t>
  </si>
  <si>
    <t>B0GT1YJ8RD</t>
  </si>
  <si>
    <t>B0C8LVLVB7</t>
  </si>
  <si>
    <t>B0G87SB8FT</t>
  </si>
  <si>
    <t>B0GS6YH4NY</t>
  </si>
  <si>
    <t>B0GS744L6G</t>
  </si>
  <si>
    <t>Berberine with Ceylon Cinnamon 1200mg 240 vegetarian capsules</t>
  </si>
  <si>
    <t>Beef Gelatin Powder 2lb (RELAUNCH)</t>
  </si>
  <si>
    <t>Glucosamine Chondroitin &amp; MSM 7-in-1 Complex 240 bisected tablets</t>
  </si>
  <si>
    <t>Glycine Powder 500g (1.1lb)</t>
  </si>
  <si>
    <t>Ad Sales 06</t>
  </si>
  <si>
    <t>Diff 05 - 06</t>
  </si>
  <si>
    <t>JUNE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</si>
</sst>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0.00_);[Red]\(&quot;$&quot;#,##0.00\)"/>
    <numFmt numFmtId="44" formatCode="_(&quot;$&quot;* #,##0.00_);_(&quot;$&quot;* \(#,##0.00\);_(&quot;$&quot;* &quot;-&quot;??_);_(@_)"/>
    <numFmt numFmtId="43" formatCode="_(* #,##0.00_);_(* \(#,##0.00\);_(* &quot;-&quot;??_);_(@_)"/>
    <numFmt numFmtId="164" formatCode="_(&quot;$&quot;* #,##0_);_(&quot;$&quot;* \(#,##0\);_(&quot;$&quot;* &quot;-&quot;??_);_(@_)"/>
    <numFmt numFmtId="165" formatCode="0.0%"/>
    <numFmt numFmtId="166" formatCode="&quot;$&quot;#,##0"/>
    <numFmt numFmtId="167" formatCode="_(* #,##0_);_(* \(#,##0\);_(* &quot;-&quot;??_);_(@_)"/>
    <numFmt numFmtId="168" formatCode="0.000"/>
    <numFmt numFmtId="169" formatCode="_([$$-409]* #,##0.00_);_([$$-409]* \(#,##0.00\);_([$$-409]* &quot;-&quot;??_);_(@_)"/>
  </numFmts>
  <fonts count="15">
    <font>
      <sz val="11"/>
      <color theme="1"/>
      <name val="Calibri"/>
      <family val="2"/>
      <scheme val="minor"/>
    </font>
    <font>
      <sz val="11"/>
      <color theme="1"/>
      <name val="Calibri"/>
      <family val="2"/>
      <scheme val="minor"/>
    </font>
    <font>
      <b/>
      <sz val="11"/>
      <color theme="1"/>
      <name val="Calibri"/>
      <family val="2"/>
      <scheme val="minor"/>
    </font>
    <font>
      <sz val="9"/>
      <name val="Calibri"/>
      <family val="3"/>
      <charset val="134"/>
      <scheme val="minor"/>
    </font>
    <font>
      <sz val="11"/>
      <color rgb="FFFF0000"/>
      <name val="Calibri"/>
      <family val="2"/>
      <scheme val="minor"/>
    </font>
    <font>
      <sz val="18"/>
      <color rgb="FF0F1111"/>
      <name val="Arial"/>
      <family val="2"/>
    </font>
    <font>
      <sz val="11"/>
      <color rgb="FF000000"/>
      <name val="Calibri"/>
      <family val="2"/>
      <charset val="134"/>
      <scheme val="minor"/>
    </font>
    <font>
      <sz val="11"/>
      <color rgb="FF000000"/>
      <name val="Calibri"/>
      <family val="2"/>
      <scheme val="minor"/>
    </font>
    <font>
      <b/>
      <sz val="11"/>
      <name val="Calibri"/>
      <family val="2"/>
      <scheme val="minor"/>
    </font>
    <font>
      <sz val="11"/>
      <name val="Calibri"/>
      <family val="2"/>
      <scheme val="minor"/>
    </font>
    <font>
      <sz val="11"/>
      <color rgb="FF000000"/>
      <name val="Calibri"/>
      <family val="2"/>
      <charset val="1"/>
      <scheme val="minor"/>
    </font>
    <font>
      <b/>
      <sz val="11"/>
      <color rgb="FFFF0000"/>
      <name val="Calibri"/>
      <family val="2"/>
      <scheme val="minor"/>
    </font>
    <font>
      <sz val="8"/>
      <name val="Calibri"/>
      <family val="2"/>
      <scheme val="minor"/>
    </font>
    <font>
      <sz val="11"/>
      <color rgb="FF000000"/>
      <name val="Calibri"/>
      <scheme val="minor"/>
    </font>
    <font>
      <sz val="11"/>
      <color rgb="FF000000"/>
      <name val="Calibri"/>
      <charset val="1"/>
      <scheme val="minor"/>
    </font>
  </fonts>
  <fills count="10">
    <fill>
      <patternFill patternType="none"/>
    </fill>
    <fill>
      <patternFill patternType="gray125"/>
    </fill>
    <fill>
      <patternFill patternType="solid">
        <fgColor theme="5" tint="0.79998168889431442"/>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D9E1F2"/>
        <bgColor rgb="FFD9E1F2"/>
      </patternFill>
    </fill>
    <fill>
      <patternFill patternType="solid">
        <fgColor rgb="FFE2EFDA"/>
        <bgColor rgb="FF000000"/>
      </patternFill>
    </fill>
    <fill>
      <patternFill patternType="solid">
        <fgColor rgb="FFFFFF00"/>
        <bgColor indexed="64"/>
      </patternFill>
    </fill>
  </fills>
  <borders count="37">
    <border>
      <left/>
      <right/>
      <top/>
      <bottom/>
      <diagonal/>
    </border>
    <border>
      <left/>
      <right style="thin">
        <color rgb="FF000000"/>
      </right>
      <top/>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top/>
      <bottom style="thin">
        <color theme="4" tint="0.39997558519241921"/>
      </bottom>
      <diagonal/>
    </border>
    <border>
      <left style="thin">
        <color rgb="FF4472C4"/>
      </left>
      <right/>
      <top style="medium">
        <color indexed="64"/>
      </top>
      <bottom style="medium">
        <color indexed="64"/>
      </bottom>
      <diagonal/>
    </border>
    <border>
      <left style="thin">
        <color rgb="FF4472C4"/>
      </left>
      <right style="medium">
        <color indexed="64"/>
      </right>
      <top style="medium">
        <color indexed="64"/>
      </top>
      <bottom style="medium">
        <color indexed="64"/>
      </bottom>
      <diagonal/>
    </border>
    <border>
      <left style="thin">
        <color rgb="FF4472C4"/>
      </left>
      <right/>
      <top style="medium">
        <color indexed="64"/>
      </top>
      <bottom/>
      <diagonal/>
    </border>
    <border>
      <left style="thin">
        <color rgb="FF4472C4"/>
      </left>
      <right style="medium">
        <color indexed="64"/>
      </right>
      <top style="medium">
        <color indexed="64"/>
      </top>
      <bottom/>
      <diagonal/>
    </border>
    <border>
      <left style="medium">
        <color indexed="64"/>
      </left>
      <right/>
      <top style="thin">
        <color rgb="FF4472C4"/>
      </top>
      <bottom/>
      <diagonal/>
    </border>
    <border>
      <left style="thin">
        <color rgb="FF4472C4"/>
      </left>
      <right/>
      <top style="thin">
        <color rgb="FF4472C4"/>
      </top>
      <bottom/>
      <diagonal/>
    </border>
    <border>
      <left style="medium">
        <color indexed="64"/>
      </left>
      <right/>
      <top style="thin">
        <color rgb="FF4472C4"/>
      </top>
      <bottom style="thin">
        <color rgb="FF4472C4"/>
      </bottom>
      <diagonal/>
    </border>
    <border>
      <left style="thin">
        <color rgb="FF4472C4"/>
      </left>
      <right/>
      <top style="thin">
        <color rgb="FF4472C4"/>
      </top>
      <bottom style="thin">
        <color rgb="FF4472C4"/>
      </bottom>
      <diagonal/>
    </border>
    <border>
      <left style="medium">
        <color indexed="64"/>
      </left>
      <right/>
      <top style="thin">
        <color rgb="FF4472C4"/>
      </top>
      <bottom style="medium">
        <color indexed="64"/>
      </bottom>
      <diagonal/>
    </border>
    <border>
      <left style="thin">
        <color rgb="FF4472C4"/>
      </left>
      <right/>
      <top style="thin">
        <color rgb="FF4472C4"/>
      </top>
      <bottom style="medium">
        <color indexed="64"/>
      </bottom>
      <diagonal/>
    </border>
    <border>
      <left/>
      <right/>
      <top style="medium">
        <color indexed="64"/>
      </top>
      <bottom/>
      <diagonal/>
    </border>
    <border>
      <left/>
      <right/>
      <top style="thin">
        <color rgb="FF4472C4"/>
      </top>
      <bottom/>
      <diagonal/>
    </border>
    <border>
      <left/>
      <right/>
      <top style="thin">
        <color rgb="FF4472C4"/>
      </top>
      <bottom style="thin">
        <color rgb="FF4472C4"/>
      </bottom>
      <diagonal/>
    </border>
    <border>
      <left/>
      <right/>
      <top style="thin">
        <color rgb="FF4472C4"/>
      </top>
      <bottom style="medium">
        <color indexed="6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medium">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medium">
        <color rgb="FF000000"/>
      </left>
      <right style="medium">
        <color rgb="FF000000"/>
      </right>
      <top style="medium">
        <color rgb="FF000000"/>
      </top>
      <bottom style="medium">
        <color indexed="64"/>
      </bottom>
      <diagonal/>
    </border>
    <border>
      <left style="thin">
        <color rgb="FF4472C4"/>
      </left>
      <right style="medium">
        <color indexed="64"/>
      </right>
      <top style="thin">
        <color rgb="FF4472C4"/>
      </top>
      <bottom/>
      <diagonal/>
    </border>
    <border>
      <left style="thin">
        <color rgb="FF4472C4"/>
      </left>
      <right style="medium">
        <color indexed="64"/>
      </right>
      <top style="thin">
        <color rgb="FF4472C4"/>
      </top>
      <bottom style="thin">
        <color rgb="FF4472C4"/>
      </bottom>
      <diagonal/>
    </border>
    <border>
      <left style="thin">
        <color rgb="FF4472C4"/>
      </left>
      <right style="medium">
        <color indexed="64"/>
      </right>
      <top style="thin">
        <color rgb="FF4472C4"/>
      </top>
      <bottom style="medium">
        <color indexed="64"/>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cellStyleXfs>
  <cellXfs count="179">
    <xf numFmtId="0" fontId="0" fillId="0" borderId="0" xfId="0"/>
    <xf numFmtId="0" fontId="0" fillId="0" borderId="0" xfId="0" applyAlignment="1">
      <alignment horizontal="center"/>
    </xf>
    <xf numFmtId="0" fontId="2" fillId="0" borderId="0" xfId="0" applyFont="1" applyAlignment="1">
      <alignment horizontal="center"/>
    </xf>
    <xf numFmtId="0" fontId="2" fillId="0" borderId="0" xfId="0" applyFont="1"/>
    <xf numFmtId="9" fontId="0" fillId="0" borderId="0" xfId="1" applyFont="1"/>
    <xf numFmtId="164" fontId="0" fillId="0" borderId="0" xfId="2" applyNumberFormat="1" applyFont="1"/>
    <xf numFmtId="9" fontId="0" fillId="0" borderId="0" xfId="1" applyFont="1" applyFill="1"/>
    <xf numFmtId="165" fontId="0" fillId="0" borderId="0" xfId="1" applyNumberFormat="1" applyFont="1"/>
    <xf numFmtId="0" fontId="0" fillId="0" borderId="0" xfId="2" applyNumberFormat="1" applyFont="1" applyFill="1"/>
    <xf numFmtId="165" fontId="0" fillId="0" borderId="0" xfId="1" applyNumberFormat="1" applyFont="1" applyFill="1"/>
    <xf numFmtId="164" fontId="0" fillId="0" borderId="0" xfId="2" applyNumberFormat="1" applyFont="1" applyFill="1"/>
    <xf numFmtId="2" fontId="0" fillId="0" borderId="0" xfId="2" applyNumberFormat="1" applyFont="1"/>
    <xf numFmtId="10" fontId="0" fillId="0" borderId="0" xfId="2" applyNumberFormat="1" applyFont="1"/>
    <xf numFmtId="0" fontId="4" fillId="0" borderId="1" xfId="0" applyFont="1" applyBorder="1"/>
    <xf numFmtId="164" fontId="4" fillId="0" borderId="1" xfId="2" applyNumberFormat="1" applyFont="1" applyBorder="1"/>
    <xf numFmtId="0" fontId="0" fillId="0" borderId="1" xfId="0" applyBorder="1"/>
    <xf numFmtId="164" fontId="0" fillId="0" borderId="1" xfId="2" applyNumberFormat="1" applyFont="1" applyBorder="1"/>
    <xf numFmtId="43" fontId="0" fillId="0" borderId="0" xfId="3" applyFont="1"/>
    <xf numFmtId="167" fontId="0" fillId="0" borderId="0" xfId="3" applyNumberFormat="1" applyFont="1"/>
    <xf numFmtId="0" fontId="5" fillId="0" borderId="0" xfId="0" applyFont="1" applyAlignment="1">
      <alignment vertical="center" wrapText="1"/>
    </xf>
    <xf numFmtId="0" fontId="2" fillId="2" borderId="0" xfId="0" applyFont="1" applyFill="1" applyAlignment="1">
      <alignment horizontal="center"/>
    </xf>
    <xf numFmtId="167" fontId="2" fillId="2" borderId="0" xfId="3" applyNumberFormat="1" applyFont="1" applyFill="1" applyAlignment="1">
      <alignment horizontal="center"/>
    </xf>
    <xf numFmtId="0" fontId="6" fillId="0" borderId="0" xfId="0" applyFont="1" applyAlignment="1">
      <alignment vertical="center"/>
    </xf>
    <xf numFmtId="0" fontId="6" fillId="0" borderId="0" xfId="0" applyFont="1" applyAlignment="1">
      <alignment vertical="justify"/>
    </xf>
    <xf numFmtId="167" fontId="0" fillId="0" borderId="0" xfId="0" applyNumberFormat="1"/>
    <xf numFmtId="10" fontId="0" fillId="0" borderId="0" xfId="1" applyNumberFormat="1" applyFont="1"/>
    <xf numFmtId="0" fontId="7" fillId="0" borderId="0" xfId="0" applyFont="1"/>
    <xf numFmtId="167" fontId="0" fillId="0" borderId="0" xfId="3" applyNumberFormat="1" applyFont="1" applyAlignment="1">
      <alignment horizontal="right"/>
    </xf>
    <xf numFmtId="43" fontId="0" fillId="0" borderId="0" xfId="0" applyNumberFormat="1"/>
    <xf numFmtId="9" fontId="2" fillId="0" borderId="0" xfId="1" applyFont="1"/>
    <xf numFmtId="168" fontId="0" fillId="0" borderId="0" xfId="0" applyNumberFormat="1"/>
    <xf numFmtId="164" fontId="2" fillId="0" borderId="0" xfId="2" applyNumberFormat="1" applyFont="1"/>
    <xf numFmtId="0" fontId="2" fillId="0" borderId="1" xfId="0" applyFont="1" applyBorder="1"/>
    <xf numFmtId="43" fontId="2" fillId="0" borderId="0" xfId="3" applyFont="1"/>
    <xf numFmtId="0" fontId="8" fillId="0" borderId="3" xfId="0" applyFont="1" applyBorder="1"/>
    <xf numFmtId="0" fontId="7" fillId="0" borderId="0" xfId="0" applyFont="1" applyAlignment="1">
      <alignment vertical="center"/>
    </xf>
    <xf numFmtId="0" fontId="2" fillId="3" borderId="4" xfId="0" applyFont="1" applyFill="1" applyBorder="1"/>
    <xf numFmtId="0" fontId="0" fillId="0" borderId="0" xfId="0" applyAlignment="1">
      <alignment horizontal="left"/>
    </xf>
    <xf numFmtId="0" fontId="7" fillId="0" borderId="0" xfId="0" applyFont="1" applyAlignment="1">
      <alignment vertical="justify"/>
    </xf>
    <xf numFmtId="0" fontId="10" fillId="0" borderId="0" xfId="0" applyFont="1" applyAlignment="1">
      <alignment vertical="center"/>
    </xf>
    <xf numFmtId="0" fontId="8" fillId="0" borderId="5" xfId="0" applyFont="1" applyBorder="1"/>
    <xf numFmtId="0" fontId="8" fillId="0" borderId="6" xfId="0" applyFont="1" applyBorder="1"/>
    <xf numFmtId="0" fontId="8" fillId="7" borderId="2" xfId="0" applyFont="1" applyFill="1" applyBorder="1"/>
    <xf numFmtId="8" fontId="9" fillId="7" borderId="7" xfId="0" applyNumberFormat="1" applyFont="1" applyFill="1" applyBorder="1"/>
    <xf numFmtId="0" fontId="9" fillId="0" borderId="0" xfId="0" applyFont="1"/>
    <xf numFmtId="0" fontId="8" fillId="0" borderId="9" xfId="0" applyFont="1" applyBorder="1"/>
    <xf numFmtId="8" fontId="9" fillId="0" borderId="10" xfId="0" applyNumberFormat="1" applyFont="1" applyBorder="1"/>
    <xf numFmtId="0" fontId="8" fillId="7" borderId="11" xfId="0" applyFont="1" applyFill="1" applyBorder="1"/>
    <xf numFmtId="8" fontId="9" fillId="7" borderId="12" xfId="0" applyNumberFormat="1" applyFont="1" applyFill="1" applyBorder="1"/>
    <xf numFmtId="0" fontId="8" fillId="8" borderId="13" xfId="0" applyFont="1" applyFill="1" applyBorder="1"/>
    <xf numFmtId="8" fontId="9" fillId="8" borderId="14" xfId="0" applyNumberFormat="1" applyFont="1" applyFill="1" applyBorder="1"/>
    <xf numFmtId="0" fontId="8" fillId="0" borderId="0" xfId="0" applyFont="1"/>
    <xf numFmtId="0" fontId="9" fillId="7" borderId="7" xfId="0" applyFont="1" applyFill="1" applyBorder="1"/>
    <xf numFmtId="0" fontId="9" fillId="0" borderId="10" xfId="0" applyFont="1" applyBorder="1"/>
    <xf numFmtId="0" fontId="9" fillId="7" borderId="12" xfId="0" applyFont="1" applyFill="1" applyBorder="1"/>
    <xf numFmtId="0" fontId="9" fillId="8" borderId="14" xfId="0" applyFont="1" applyFill="1" applyBorder="1"/>
    <xf numFmtId="0" fontId="8" fillId="7" borderId="15" xfId="0" applyFont="1" applyFill="1" applyBorder="1"/>
    <xf numFmtId="10" fontId="9" fillId="7" borderId="7" xfId="0" applyNumberFormat="1" applyFont="1" applyFill="1" applyBorder="1"/>
    <xf numFmtId="0" fontId="8" fillId="0" borderId="16" xfId="0" applyFont="1" applyBorder="1"/>
    <xf numFmtId="10" fontId="9" fillId="0" borderId="10" xfId="0" applyNumberFormat="1" applyFont="1" applyBorder="1"/>
    <xf numFmtId="0" fontId="8" fillId="7" borderId="17" xfId="0" applyFont="1" applyFill="1" applyBorder="1"/>
    <xf numFmtId="10" fontId="9" fillId="7" borderId="12" xfId="0" applyNumberFormat="1" applyFont="1" applyFill="1" applyBorder="1"/>
    <xf numFmtId="0" fontId="8" fillId="8" borderId="18" xfId="0" applyFont="1" applyFill="1" applyBorder="1"/>
    <xf numFmtId="10" fontId="9" fillId="8" borderId="14" xfId="0" applyNumberFormat="1" applyFont="1" applyFill="1" applyBorder="1"/>
    <xf numFmtId="0" fontId="8" fillId="0" borderId="2" xfId="0" applyFont="1" applyBorder="1"/>
    <xf numFmtId="0" fontId="8" fillId="0" borderId="7" xfId="0" applyFont="1" applyBorder="1"/>
    <xf numFmtId="0" fontId="8" fillId="0" borderId="8" xfId="0" applyFont="1" applyBorder="1"/>
    <xf numFmtId="0" fontId="8" fillId="7" borderId="19" xfId="0" applyFont="1" applyFill="1" applyBorder="1"/>
    <xf numFmtId="3" fontId="9" fillId="7" borderId="20" xfId="0" applyNumberFormat="1" applyFont="1" applyFill="1" applyBorder="1"/>
    <xf numFmtId="0" fontId="8" fillId="0" borderId="21" xfId="0" applyFont="1" applyBorder="1"/>
    <xf numFmtId="3" fontId="9" fillId="0" borderId="22" xfId="0" applyNumberFormat="1" applyFont="1" applyBorder="1"/>
    <xf numFmtId="0" fontId="8" fillId="7" borderId="21" xfId="0" applyFont="1" applyFill="1" applyBorder="1"/>
    <xf numFmtId="3" fontId="9" fillId="7" borderId="22" xfId="0" applyNumberFormat="1" applyFont="1" applyFill="1" applyBorder="1"/>
    <xf numFmtId="0" fontId="8" fillId="8" borderId="21" xfId="0" applyFont="1" applyFill="1" applyBorder="1"/>
    <xf numFmtId="3" fontId="9" fillId="8" borderId="22" xfId="0" applyNumberFormat="1" applyFont="1" applyFill="1" applyBorder="1"/>
    <xf numFmtId="0" fontId="7" fillId="0" borderId="23" xfId="0" applyFont="1" applyBorder="1"/>
    <xf numFmtId="0" fontId="7" fillId="0" borderId="24" xfId="0" applyFont="1" applyBorder="1"/>
    <xf numFmtId="9" fontId="7" fillId="0" borderId="24" xfId="0" applyNumberFormat="1" applyFont="1" applyBorder="1"/>
    <xf numFmtId="8" fontId="9" fillId="7" borderId="2" xfId="0" applyNumberFormat="1" applyFont="1" applyFill="1" applyBorder="1"/>
    <xf numFmtId="8" fontId="9" fillId="0" borderId="9" xfId="0" applyNumberFormat="1" applyFont="1" applyBorder="1"/>
    <xf numFmtId="8" fontId="9" fillId="7" borderId="11" xfId="0" applyNumberFormat="1" applyFont="1" applyFill="1" applyBorder="1"/>
    <xf numFmtId="8" fontId="9" fillId="8" borderId="13" xfId="0" applyNumberFormat="1" applyFont="1" applyFill="1" applyBorder="1"/>
    <xf numFmtId="10" fontId="9" fillId="7" borderId="2" xfId="0" applyNumberFormat="1" applyFont="1" applyFill="1" applyBorder="1"/>
    <xf numFmtId="10" fontId="9" fillId="0" borderId="9" xfId="0" applyNumberFormat="1" applyFont="1" applyBorder="1"/>
    <xf numFmtId="10" fontId="9" fillId="7" borderId="11" xfId="0" applyNumberFormat="1" applyFont="1" applyFill="1" applyBorder="1"/>
    <xf numFmtId="10" fontId="9" fillId="8" borderId="13" xfId="0" applyNumberFormat="1" applyFont="1" applyFill="1" applyBorder="1"/>
    <xf numFmtId="3" fontId="9" fillId="7" borderId="25" xfId="0" applyNumberFormat="1" applyFont="1" applyFill="1" applyBorder="1"/>
    <xf numFmtId="3" fontId="9" fillId="0" borderId="26" xfId="0" applyNumberFormat="1" applyFont="1" applyBorder="1"/>
    <xf numFmtId="3" fontId="9" fillId="7" borderId="26" xfId="0" applyNumberFormat="1" applyFont="1" applyFill="1" applyBorder="1"/>
    <xf numFmtId="3" fontId="9" fillId="8" borderId="26" xfId="0" applyNumberFormat="1" applyFont="1" applyFill="1" applyBorder="1"/>
    <xf numFmtId="9" fontId="7" fillId="0" borderId="27" xfId="0" applyNumberFormat="1" applyFont="1" applyBorder="1"/>
    <xf numFmtId="3" fontId="9" fillId="7" borderId="28" xfId="0" applyNumberFormat="1" applyFont="1" applyFill="1" applyBorder="1"/>
    <xf numFmtId="3" fontId="9" fillId="7" borderId="29" xfId="0" applyNumberFormat="1" applyFont="1" applyFill="1" applyBorder="1"/>
    <xf numFmtId="3" fontId="9" fillId="0" borderId="30" xfId="0" applyNumberFormat="1" applyFont="1" applyBorder="1"/>
    <xf numFmtId="3" fontId="9" fillId="7" borderId="30" xfId="0" applyNumberFormat="1" applyFont="1" applyFill="1" applyBorder="1"/>
    <xf numFmtId="3" fontId="9" fillId="8" borderId="30" xfId="0" applyNumberFormat="1" applyFont="1" applyFill="1" applyBorder="1"/>
    <xf numFmtId="9" fontId="7" fillId="0" borderId="31" xfId="0" applyNumberFormat="1" applyFont="1" applyBorder="1"/>
    <xf numFmtId="9" fontId="7" fillId="0" borderId="32" xfId="0" applyNumberFormat="1" applyFont="1" applyBorder="1"/>
    <xf numFmtId="164" fontId="4" fillId="0" borderId="0" xfId="2" applyNumberFormat="1" applyFont="1"/>
    <xf numFmtId="164" fontId="11" fillId="0" borderId="0" xfId="2" applyNumberFormat="1" applyFont="1"/>
    <xf numFmtId="166" fontId="4" fillId="0" borderId="0" xfId="2" applyNumberFormat="1" applyFont="1"/>
    <xf numFmtId="167" fontId="4" fillId="0" borderId="0" xfId="3" applyNumberFormat="1" applyFont="1"/>
    <xf numFmtId="166" fontId="4" fillId="0" borderId="0" xfId="2" applyNumberFormat="1" applyFont="1" applyFill="1"/>
    <xf numFmtId="164" fontId="4" fillId="0" borderId="0" xfId="2" applyNumberFormat="1" applyFont="1" applyFill="1"/>
    <xf numFmtId="44" fontId="2" fillId="2" borderId="0" xfId="0" applyNumberFormat="1" applyFont="1" applyFill="1" applyAlignment="1">
      <alignment horizontal="center"/>
    </xf>
    <xf numFmtId="44" fontId="0" fillId="0" borderId="0" xfId="0" applyNumberFormat="1"/>
    <xf numFmtId="0" fontId="4" fillId="0" borderId="0" xfId="0" applyFont="1"/>
    <xf numFmtId="0" fontId="11" fillId="2" borderId="0" xfId="0" applyFont="1" applyFill="1" applyAlignment="1">
      <alignment horizontal="center"/>
    </xf>
    <xf numFmtId="0" fontId="4" fillId="0" borderId="0" xfId="0" applyFont="1" applyAlignment="1">
      <alignment horizontal="left" vertical="top"/>
    </xf>
    <xf numFmtId="0" fontId="4" fillId="9" borderId="0" xfId="0" applyFont="1" applyFill="1"/>
    <xf numFmtId="4" fontId="4" fillId="0" borderId="0" xfId="2" applyNumberFormat="1" applyFont="1"/>
    <xf numFmtId="4" fontId="11" fillId="0" borderId="0" xfId="2" applyNumberFormat="1" applyFont="1"/>
    <xf numFmtId="0" fontId="7" fillId="0" borderId="0" xfId="0" applyFont="1" applyAlignment="1">
      <alignment horizontal="left" vertical="justify"/>
    </xf>
    <xf numFmtId="44" fontId="0" fillId="0" borderId="0" xfId="2" applyFont="1"/>
    <xf numFmtId="169" fontId="0" fillId="0" borderId="0" xfId="3" applyNumberFormat="1" applyFont="1"/>
    <xf numFmtId="44" fontId="2" fillId="2" borderId="0" xfId="2" applyFont="1" applyFill="1" applyAlignment="1">
      <alignment horizontal="center"/>
    </xf>
    <xf numFmtId="0" fontId="7" fillId="0" borderId="0" xfId="0" applyFont="1" applyAlignment="1">
      <alignment vertical="justify" wrapText="1"/>
    </xf>
    <xf numFmtId="169" fontId="2" fillId="0" borderId="0" xfId="2" applyNumberFormat="1" applyFont="1" applyAlignment="1">
      <alignment horizontal="center"/>
    </xf>
    <xf numFmtId="169" fontId="0" fillId="0" borderId="0" xfId="2" applyNumberFormat="1" applyFont="1"/>
    <xf numFmtId="169" fontId="0" fillId="0" borderId="0" xfId="0" applyNumberFormat="1"/>
    <xf numFmtId="169" fontId="2" fillId="0" borderId="0" xfId="2" applyNumberFormat="1" applyFont="1"/>
    <xf numFmtId="0" fontId="7" fillId="0" borderId="0" xfId="0" applyFont="1" applyAlignment="1">
      <alignment vertical="center" wrapText="1"/>
    </xf>
    <xf numFmtId="0" fontId="7" fillId="0" borderId="0" xfId="0" applyFont="1" applyAlignment="1">
      <alignment horizontal="left" vertical="center"/>
    </xf>
    <xf numFmtId="0" fontId="7" fillId="0" borderId="0" xfId="0" applyFont="1" applyAlignment="1">
      <alignment vertical="top"/>
    </xf>
    <xf numFmtId="0" fontId="7" fillId="0" borderId="0" xfId="0" applyFont="1" applyAlignment="1">
      <alignment horizontal="left" vertical="top"/>
    </xf>
    <xf numFmtId="0" fontId="8" fillId="0" borderId="33" xfId="0" applyFont="1" applyBorder="1"/>
    <xf numFmtId="43" fontId="9" fillId="7" borderId="7" xfId="3" applyFont="1" applyFill="1" applyBorder="1"/>
    <xf numFmtId="43" fontId="9" fillId="0" borderId="10" xfId="3" applyFont="1" applyBorder="1"/>
    <xf numFmtId="43" fontId="9" fillId="7" borderId="12" xfId="3" applyFont="1" applyFill="1" applyBorder="1"/>
    <xf numFmtId="0" fontId="7" fillId="0" borderId="0" xfId="0" applyFont="1" applyAlignment="1">
      <alignment readingOrder="1"/>
    </xf>
    <xf numFmtId="0" fontId="7" fillId="0" borderId="0" xfId="0" applyFont="1" applyAlignment="1">
      <alignment horizontal="left"/>
    </xf>
    <xf numFmtId="164" fontId="4" fillId="0" borderId="0" xfId="2" applyNumberFormat="1" applyFont="1" applyBorder="1"/>
    <xf numFmtId="0" fontId="0" fillId="0" borderId="0" xfId="0" applyAlignment="1">
      <alignment horizontal="left" vertical="top"/>
    </xf>
    <xf numFmtId="0" fontId="0" fillId="9" borderId="0" xfId="0" applyFill="1"/>
    <xf numFmtId="0" fontId="7" fillId="9" borderId="0" xfId="0" applyFont="1" applyFill="1"/>
    <xf numFmtId="0" fontId="7" fillId="9" borderId="0" xfId="0" applyFont="1" applyFill="1" applyAlignment="1">
      <alignment horizontal="left" vertical="justify"/>
    </xf>
    <xf numFmtId="43" fontId="9" fillId="8" borderId="14" xfId="0" applyNumberFormat="1" applyFont="1" applyFill="1" applyBorder="1"/>
    <xf numFmtId="0" fontId="0" fillId="0" borderId="0" xfId="0" applyAlignment="1">
      <alignment vertical="center" wrapText="1"/>
    </xf>
    <xf numFmtId="164" fontId="2" fillId="2" borderId="0" xfId="2" applyNumberFormat="1" applyFont="1" applyFill="1" applyAlignment="1">
      <alignment horizontal="center"/>
    </xf>
    <xf numFmtId="166" fontId="11" fillId="0" borderId="0" xfId="2" applyNumberFormat="1" applyFont="1"/>
    <xf numFmtId="0" fontId="11" fillId="0" borderId="1" xfId="0" applyFont="1" applyBorder="1"/>
    <xf numFmtId="8" fontId="4" fillId="0" borderId="0" xfId="2" applyNumberFormat="1" applyFont="1"/>
    <xf numFmtId="8" fontId="11" fillId="0" borderId="0" xfId="2" applyNumberFormat="1" applyFont="1"/>
    <xf numFmtId="43" fontId="4" fillId="0" borderId="0" xfId="2" applyNumberFormat="1" applyFont="1"/>
    <xf numFmtId="4" fontId="0" fillId="0" borderId="0" xfId="0" applyNumberFormat="1"/>
    <xf numFmtId="8" fontId="9" fillId="7" borderId="15" xfId="0" applyNumberFormat="1" applyFont="1" applyFill="1" applyBorder="1"/>
    <xf numFmtId="8" fontId="9" fillId="0" borderId="16" xfId="0" applyNumberFormat="1" applyFont="1" applyBorder="1"/>
    <xf numFmtId="8" fontId="9" fillId="7" borderId="17" xfId="0" applyNumberFormat="1" applyFont="1" applyFill="1" applyBorder="1"/>
    <xf numFmtId="8" fontId="9" fillId="8" borderId="18" xfId="0" applyNumberFormat="1" applyFont="1" applyFill="1" applyBorder="1"/>
    <xf numFmtId="43" fontId="9" fillId="7" borderId="2" xfId="3" applyFont="1" applyFill="1" applyBorder="1"/>
    <xf numFmtId="43" fontId="9" fillId="7" borderId="8" xfId="3" applyFont="1" applyFill="1" applyBorder="1"/>
    <xf numFmtId="43" fontId="9" fillId="0" borderId="9" xfId="3" applyFont="1" applyBorder="1"/>
    <xf numFmtId="43" fontId="9" fillId="0" borderId="34" xfId="3" applyFont="1" applyBorder="1"/>
    <xf numFmtId="43" fontId="9" fillId="7" borderId="11" xfId="3" applyFont="1" applyFill="1" applyBorder="1"/>
    <xf numFmtId="43" fontId="9" fillId="7" borderId="35" xfId="3" applyFont="1" applyFill="1" applyBorder="1"/>
    <xf numFmtId="43" fontId="9" fillId="8" borderId="13" xfId="0" applyNumberFormat="1" applyFont="1" applyFill="1" applyBorder="1"/>
    <xf numFmtId="43" fontId="9" fillId="8" borderId="36" xfId="0" applyNumberFormat="1" applyFont="1" applyFill="1" applyBorder="1"/>
    <xf numFmtId="8" fontId="9" fillId="7" borderId="8" xfId="0" applyNumberFormat="1" applyFont="1" applyFill="1" applyBorder="1"/>
    <xf numFmtId="8" fontId="9" fillId="0" borderId="34" xfId="0" applyNumberFormat="1" applyFont="1" applyBorder="1"/>
    <xf numFmtId="8" fontId="9" fillId="7" borderId="35" xfId="0" applyNumberFormat="1" applyFont="1" applyFill="1" applyBorder="1"/>
    <xf numFmtId="8" fontId="9" fillId="8" borderId="36" xfId="0" applyNumberFormat="1" applyFont="1" applyFill="1" applyBorder="1"/>
    <xf numFmtId="43" fontId="9" fillId="7" borderId="15" xfId="0" applyNumberFormat="1" applyFont="1" applyFill="1" applyBorder="1"/>
    <xf numFmtId="43" fontId="9" fillId="0" borderId="16" xfId="0" applyNumberFormat="1" applyFont="1" applyBorder="1"/>
    <xf numFmtId="43" fontId="9" fillId="7" borderId="17" xfId="0" applyNumberFormat="1" applyFont="1" applyFill="1" applyBorder="1"/>
    <xf numFmtId="43" fontId="9" fillId="8" borderId="18" xfId="0" applyNumberFormat="1" applyFont="1" applyFill="1" applyBorder="1"/>
    <xf numFmtId="10" fontId="0" fillId="0" borderId="0" xfId="1" applyNumberFormat="1" applyFont="1" applyFill="1"/>
    <xf numFmtId="0" fontId="13" fillId="0" borderId="0" xfId="0" applyFont="1"/>
    <xf numFmtId="0" fontId="14" fillId="0" borderId="0" xfId="0" applyFont="1" applyAlignment="1">
      <alignment vertical="center"/>
    </xf>
    <xf numFmtId="0" fontId="14" fillId="0" borderId="0" xfId="0" applyFont="1" applyAlignment="1">
      <alignment horizontal="left" vertical="center"/>
    </xf>
    <xf numFmtId="1" fontId="0" fillId="0" borderId="0" xfId="0" applyNumberFormat="1"/>
    <xf numFmtId="10" fontId="0" fillId="0" borderId="0" xfId="0" applyNumberFormat="1"/>
    <xf numFmtId="0" fontId="2" fillId="5" borderId="0" xfId="0" applyFont="1" applyFill="1" applyAlignment="1">
      <alignment horizontal="center"/>
    </xf>
    <xf numFmtId="0" fontId="2" fillId="4" borderId="0" xfId="0" applyFont="1" applyFill="1" applyAlignment="1">
      <alignment horizontal="center"/>
    </xf>
    <xf numFmtId="17" fontId="2" fillId="0" borderId="0" xfId="0" applyNumberFormat="1" applyFont="1" applyAlignment="1">
      <alignment horizontal="center"/>
    </xf>
    <xf numFmtId="0" fontId="2" fillId="0" borderId="0" xfId="0" applyFont="1" applyAlignment="1">
      <alignment horizontal="center"/>
    </xf>
    <xf numFmtId="0" fontId="0" fillId="0" borderId="0" xfId="0" applyAlignment="1">
      <alignment horizontal="center"/>
    </xf>
    <xf numFmtId="164" fontId="2" fillId="6" borderId="0" xfId="2" applyNumberFormat="1" applyFont="1" applyFill="1" applyAlignment="1">
      <alignment horizontal="center"/>
    </xf>
    <xf numFmtId="164" fontId="2" fillId="0" borderId="0" xfId="2" applyNumberFormat="1" applyFont="1" applyAlignment="1">
      <alignment horizontal="center"/>
    </xf>
    <xf numFmtId="0" fontId="13" fillId="0" borderId="0" xfId="0" applyFont="1" applyAlignment="1">
      <alignment vertical="center"/>
    </xf>
  </cellXfs>
  <cellStyles count="4">
    <cellStyle name="Comma" xfId="3" builtinId="3"/>
    <cellStyle name="Currency" xfId="2" builtinId="4"/>
    <cellStyle name="Normal" xfId="0" builtinId="0"/>
    <cellStyle name="Percent" xfId="1" builtinId="5"/>
  </cellStyles>
  <dxfs count="44">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FF9933"/>
      <color rgb="FFEC7C8F"/>
      <color rgb="FFFF0066"/>
      <color rgb="FFFFF3F3"/>
      <color rgb="FFFF66FF"/>
      <color rgb="FFFF99FF"/>
      <color rgb="FFEA2650"/>
      <color rgb="FF00FE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Unit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6313197831670117E-2"/>
          <c:y val="8.4406322166842587E-2"/>
          <c:w val="0.94334779700085036"/>
          <c:h val="0.79790631357952257"/>
        </c:manualLayout>
      </c:layout>
      <c:lineChart>
        <c:grouping val="standard"/>
        <c:varyColors val="0"/>
        <c:ser>
          <c:idx val="0"/>
          <c:order val="0"/>
          <c:tx>
            <c:strRef>
              <c:f>'Sales Summary'!$A$37</c:f>
              <c:strCache>
                <c:ptCount val="1"/>
                <c:pt idx="0">
                  <c:v>MI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Summary'!$B$36:$AW$36</c:f>
              <c:strCache>
                <c:ptCount val="48"/>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pt idx="32">
                  <c:v>2025-09</c:v>
                </c:pt>
                <c:pt idx="33">
                  <c:v>2025-10</c:v>
                </c:pt>
                <c:pt idx="34">
                  <c:v>2025-11</c:v>
                </c:pt>
                <c:pt idx="35">
                  <c:v>2025-12</c:v>
                </c:pt>
                <c:pt idx="36">
                  <c:v>2026-01</c:v>
                </c:pt>
                <c:pt idx="37">
                  <c:v>2026-02</c:v>
                </c:pt>
                <c:pt idx="38">
                  <c:v>2026-03</c:v>
                </c:pt>
                <c:pt idx="39">
                  <c:v>2026-04</c:v>
                </c:pt>
                <c:pt idx="40">
                  <c:v>2026-05</c:v>
                </c:pt>
                <c:pt idx="41">
                  <c:v>2026-06</c:v>
                </c:pt>
                <c:pt idx="42">
                  <c:v>2026-07</c:v>
                </c:pt>
                <c:pt idx="43">
                  <c:v>2026-08</c:v>
                </c:pt>
                <c:pt idx="44">
                  <c:v>2026-09</c:v>
                </c:pt>
                <c:pt idx="45">
                  <c:v>2026-10</c:v>
                </c:pt>
                <c:pt idx="46">
                  <c:v>2026-11</c:v>
                </c:pt>
                <c:pt idx="47">
                  <c:v>2026-12</c:v>
                </c:pt>
              </c:strCache>
            </c:strRef>
          </c:cat>
          <c:val>
            <c:numRef>
              <c:f>'Sales Summary'!$B$37:$AW$37</c:f>
              <c:numCache>
                <c:formatCode>#,##0</c:formatCode>
                <c:ptCount val="48"/>
                <c:pt idx="0">
                  <c:v>206450</c:v>
                </c:pt>
                <c:pt idx="1">
                  <c:v>201966</c:v>
                </c:pt>
                <c:pt idx="2">
                  <c:v>232244</c:v>
                </c:pt>
                <c:pt idx="3">
                  <c:v>230500</c:v>
                </c:pt>
                <c:pt idx="4">
                  <c:v>228949</c:v>
                </c:pt>
                <c:pt idx="5">
                  <c:v>216548</c:v>
                </c:pt>
                <c:pt idx="6">
                  <c:v>229222</c:v>
                </c:pt>
                <c:pt idx="7">
                  <c:v>226692</c:v>
                </c:pt>
                <c:pt idx="8">
                  <c:v>230639</c:v>
                </c:pt>
                <c:pt idx="9">
                  <c:v>252280</c:v>
                </c:pt>
                <c:pt idx="10">
                  <c:v>264001</c:v>
                </c:pt>
                <c:pt idx="11">
                  <c:v>231198</c:v>
                </c:pt>
                <c:pt idx="12">
                  <c:v>301961</c:v>
                </c:pt>
                <c:pt idx="13">
                  <c:v>331009</c:v>
                </c:pt>
                <c:pt idx="14">
                  <c:v>369644</c:v>
                </c:pt>
                <c:pt idx="15">
                  <c:v>419338</c:v>
                </c:pt>
                <c:pt idx="16">
                  <c:v>403325</c:v>
                </c:pt>
                <c:pt idx="17">
                  <c:v>407084</c:v>
                </c:pt>
                <c:pt idx="18">
                  <c:v>446387</c:v>
                </c:pt>
                <c:pt idx="19">
                  <c:v>410269</c:v>
                </c:pt>
                <c:pt idx="20">
                  <c:v>413757</c:v>
                </c:pt>
                <c:pt idx="21">
                  <c:v>445439</c:v>
                </c:pt>
                <c:pt idx="22">
                  <c:v>453965</c:v>
                </c:pt>
                <c:pt idx="23">
                  <c:v>462128</c:v>
                </c:pt>
                <c:pt idx="24">
                  <c:v>572775</c:v>
                </c:pt>
                <c:pt idx="25">
                  <c:v>615883</c:v>
                </c:pt>
                <c:pt idx="26">
                  <c:v>604860</c:v>
                </c:pt>
                <c:pt idx="27">
                  <c:v>683843</c:v>
                </c:pt>
                <c:pt idx="28">
                  <c:v>636705</c:v>
                </c:pt>
                <c:pt idx="29">
                  <c:v>621195</c:v>
                </c:pt>
                <c:pt idx="30">
                  <c:v>689495</c:v>
                </c:pt>
                <c:pt idx="31">
                  <c:v>689517</c:v>
                </c:pt>
                <c:pt idx="32">
                  <c:v>775274</c:v>
                </c:pt>
                <c:pt idx="33">
                  <c:v>871708</c:v>
                </c:pt>
                <c:pt idx="34">
                  <c:v>799507</c:v>
                </c:pt>
                <c:pt idx="35">
                  <c:v>739352</c:v>
                </c:pt>
                <c:pt idx="36">
                  <c:v>978960</c:v>
                </c:pt>
                <c:pt idx="37">
                  <c:v>904348</c:v>
                </c:pt>
                <c:pt idx="38">
                  <c:v>1009660</c:v>
                </c:pt>
                <c:pt idx="39">
                  <c:v>943092</c:v>
                </c:pt>
                <c:pt idx="40">
                  <c:v>953296</c:v>
                </c:pt>
                <c:pt idx="41">
                  <c:v>927563</c:v>
                </c:pt>
              </c:numCache>
            </c:numRef>
          </c:val>
          <c:smooth val="0"/>
          <c:extLst>
            <c:ext xmlns:c16="http://schemas.microsoft.com/office/drawing/2014/chart" uri="{C3380CC4-5D6E-409C-BE32-E72D297353CC}">
              <c16:uniqueId val="{00000000-03C5-4E34-BFB7-9A35A14DE10F}"/>
            </c:ext>
          </c:extLst>
        </c:ser>
        <c:ser>
          <c:idx val="1"/>
          <c:order val="1"/>
          <c:tx>
            <c:strRef>
              <c:f>'Sales Summary'!$A$38</c:f>
              <c:strCache>
                <c:ptCount val="1"/>
                <c:pt idx="0">
                  <c:v>NB</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Summary'!$B$36:$AW$36</c:f>
              <c:strCache>
                <c:ptCount val="48"/>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pt idx="32">
                  <c:v>2025-09</c:v>
                </c:pt>
                <c:pt idx="33">
                  <c:v>2025-10</c:v>
                </c:pt>
                <c:pt idx="34">
                  <c:v>2025-11</c:v>
                </c:pt>
                <c:pt idx="35">
                  <c:v>2025-12</c:v>
                </c:pt>
                <c:pt idx="36">
                  <c:v>2026-01</c:v>
                </c:pt>
                <c:pt idx="37">
                  <c:v>2026-02</c:v>
                </c:pt>
                <c:pt idx="38">
                  <c:v>2026-03</c:v>
                </c:pt>
                <c:pt idx="39">
                  <c:v>2026-04</c:v>
                </c:pt>
                <c:pt idx="40">
                  <c:v>2026-05</c:v>
                </c:pt>
                <c:pt idx="41">
                  <c:v>2026-06</c:v>
                </c:pt>
                <c:pt idx="42">
                  <c:v>2026-07</c:v>
                </c:pt>
                <c:pt idx="43">
                  <c:v>2026-08</c:v>
                </c:pt>
                <c:pt idx="44">
                  <c:v>2026-09</c:v>
                </c:pt>
                <c:pt idx="45">
                  <c:v>2026-10</c:v>
                </c:pt>
                <c:pt idx="46">
                  <c:v>2026-11</c:v>
                </c:pt>
                <c:pt idx="47">
                  <c:v>2026-12</c:v>
                </c:pt>
              </c:strCache>
            </c:strRef>
          </c:cat>
          <c:val>
            <c:numRef>
              <c:f>'Sales Summary'!$B$38:$AW$38</c:f>
              <c:numCache>
                <c:formatCode>#,##0</c:formatCode>
                <c:ptCount val="48"/>
                <c:pt idx="0">
                  <c:v>103070</c:v>
                </c:pt>
                <c:pt idx="1">
                  <c:v>98910</c:v>
                </c:pt>
                <c:pt idx="2">
                  <c:v>116062</c:v>
                </c:pt>
                <c:pt idx="3">
                  <c:v>116489</c:v>
                </c:pt>
                <c:pt idx="4">
                  <c:v>102286</c:v>
                </c:pt>
                <c:pt idx="5">
                  <c:v>110085</c:v>
                </c:pt>
                <c:pt idx="6">
                  <c:v>115702</c:v>
                </c:pt>
                <c:pt idx="7">
                  <c:v>120670</c:v>
                </c:pt>
                <c:pt idx="8">
                  <c:v>142446</c:v>
                </c:pt>
                <c:pt idx="9">
                  <c:v>136602</c:v>
                </c:pt>
                <c:pt idx="10">
                  <c:v>152488</c:v>
                </c:pt>
                <c:pt idx="11">
                  <c:v>144866</c:v>
                </c:pt>
                <c:pt idx="12">
                  <c:v>190333</c:v>
                </c:pt>
                <c:pt idx="13">
                  <c:v>179484</c:v>
                </c:pt>
                <c:pt idx="14">
                  <c:v>182162</c:v>
                </c:pt>
                <c:pt idx="15">
                  <c:v>182919</c:v>
                </c:pt>
                <c:pt idx="16">
                  <c:v>183923</c:v>
                </c:pt>
                <c:pt idx="17">
                  <c:v>173556</c:v>
                </c:pt>
                <c:pt idx="18">
                  <c:v>186892</c:v>
                </c:pt>
                <c:pt idx="19">
                  <c:v>171949</c:v>
                </c:pt>
                <c:pt idx="20">
                  <c:v>182461</c:v>
                </c:pt>
                <c:pt idx="21">
                  <c:v>199796</c:v>
                </c:pt>
                <c:pt idx="22">
                  <c:v>214586</c:v>
                </c:pt>
                <c:pt idx="23">
                  <c:v>215754</c:v>
                </c:pt>
                <c:pt idx="24">
                  <c:v>251772</c:v>
                </c:pt>
                <c:pt idx="25">
                  <c:v>247829</c:v>
                </c:pt>
                <c:pt idx="26">
                  <c:v>229484</c:v>
                </c:pt>
                <c:pt idx="27">
                  <c:v>226754</c:v>
                </c:pt>
                <c:pt idx="28">
                  <c:v>241827</c:v>
                </c:pt>
                <c:pt idx="29">
                  <c:v>238449</c:v>
                </c:pt>
                <c:pt idx="30">
                  <c:v>252691</c:v>
                </c:pt>
                <c:pt idx="31">
                  <c:v>248792</c:v>
                </c:pt>
                <c:pt idx="32">
                  <c:v>255858</c:v>
                </c:pt>
                <c:pt idx="33">
                  <c:v>258198</c:v>
                </c:pt>
                <c:pt idx="34">
                  <c:v>264121</c:v>
                </c:pt>
                <c:pt idx="35">
                  <c:v>210935</c:v>
                </c:pt>
                <c:pt idx="36">
                  <c:v>274668</c:v>
                </c:pt>
                <c:pt idx="37">
                  <c:v>263793</c:v>
                </c:pt>
                <c:pt idx="38">
                  <c:v>303748</c:v>
                </c:pt>
                <c:pt idx="39">
                  <c:v>299762</c:v>
                </c:pt>
                <c:pt idx="40">
                  <c:v>303224</c:v>
                </c:pt>
                <c:pt idx="41">
                  <c:v>270780</c:v>
                </c:pt>
              </c:numCache>
            </c:numRef>
          </c:val>
          <c:smooth val="0"/>
          <c:extLst>
            <c:ext xmlns:c16="http://schemas.microsoft.com/office/drawing/2014/chart" uri="{C3380CC4-5D6E-409C-BE32-E72D297353CC}">
              <c16:uniqueId val="{00000001-03C5-4E34-BFB7-9A35A14DE10F}"/>
            </c:ext>
          </c:extLst>
        </c:ser>
        <c:ser>
          <c:idx val="2"/>
          <c:order val="2"/>
          <c:tx>
            <c:strRef>
              <c:f>'Sales Summary'!$A$39</c:f>
              <c:strCache>
                <c:ptCount val="1"/>
                <c:pt idx="0">
                  <c:v>DS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Summary'!$B$36:$AW$36</c:f>
              <c:strCache>
                <c:ptCount val="48"/>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pt idx="32">
                  <c:v>2025-09</c:v>
                </c:pt>
                <c:pt idx="33">
                  <c:v>2025-10</c:v>
                </c:pt>
                <c:pt idx="34">
                  <c:v>2025-11</c:v>
                </c:pt>
                <c:pt idx="35">
                  <c:v>2025-12</c:v>
                </c:pt>
                <c:pt idx="36">
                  <c:v>2026-01</c:v>
                </c:pt>
                <c:pt idx="37">
                  <c:v>2026-02</c:v>
                </c:pt>
                <c:pt idx="38">
                  <c:v>2026-03</c:v>
                </c:pt>
                <c:pt idx="39">
                  <c:v>2026-04</c:v>
                </c:pt>
                <c:pt idx="40">
                  <c:v>2026-05</c:v>
                </c:pt>
                <c:pt idx="41">
                  <c:v>2026-06</c:v>
                </c:pt>
                <c:pt idx="42">
                  <c:v>2026-07</c:v>
                </c:pt>
                <c:pt idx="43">
                  <c:v>2026-08</c:v>
                </c:pt>
                <c:pt idx="44">
                  <c:v>2026-09</c:v>
                </c:pt>
                <c:pt idx="45">
                  <c:v>2026-10</c:v>
                </c:pt>
                <c:pt idx="46">
                  <c:v>2026-11</c:v>
                </c:pt>
                <c:pt idx="47">
                  <c:v>2026-12</c:v>
                </c:pt>
              </c:strCache>
            </c:strRef>
          </c:cat>
          <c:val>
            <c:numRef>
              <c:f>'Sales Summary'!$B$39:$AW$39</c:f>
              <c:numCache>
                <c:formatCode>#,##0</c:formatCode>
                <c:ptCount val="48"/>
                <c:pt idx="0">
                  <c:v>65792</c:v>
                </c:pt>
                <c:pt idx="1">
                  <c:v>66921</c:v>
                </c:pt>
                <c:pt idx="2">
                  <c:v>80622</c:v>
                </c:pt>
                <c:pt idx="3">
                  <c:v>81286</c:v>
                </c:pt>
                <c:pt idx="4">
                  <c:v>88250</c:v>
                </c:pt>
                <c:pt idx="5">
                  <c:v>90033</c:v>
                </c:pt>
                <c:pt idx="6">
                  <c:v>103104</c:v>
                </c:pt>
                <c:pt idx="7">
                  <c:v>103860</c:v>
                </c:pt>
                <c:pt idx="8">
                  <c:v>124892</c:v>
                </c:pt>
                <c:pt idx="9">
                  <c:v>133302</c:v>
                </c:pt>
                <c:pt idx="10">
                  <c:v>140626</c:v>
                </c:pt>
                <c:pt idx="11">
                  <c:v>128870</c:v>
                </c:pt>
                <c:pt idx="12">
                  <c:v>159471</c:v>
                </c:pt>
                <c:pt idx="13">
                  <c:v>157686</c:v>
                </c:pt>
                <c:pt idx="14">
                  <c:v>154308</c:v>
                </c:pt>
                <c:pt idx="15">
                  <c:v>154291</c:v>
                </c:pt>
                <c:pt idx="16">
                  <c:v>162133</c:v>
                </c:pt>
                <c:pt idx="17">
                  <c:v>136127</c:v>
                </c:pt>
                <c:pt idx="18">
                  <c:v>146540</c:v>
                </c:pt>
                <c:pt idx="19">
                  <c:v>144576</c:v>
                </c:pt>
                <c:pt idx="20">
                  <c:v>153627</c:v>
                </c:pt>
                <c:pt idx="21">
                  <c:v>158313</c:v>
                </c:pt>
                <c:pt idx="22">
                  <c:v>155184</c:v>
                </c:pt>
                <c:pt idx="23">
                  <c:v>141383</c:v>
                </c:pt>
                <c:pt idx="24">
                  <c:v>167484</c:v>
                </c:pt>
                <c:pt idx="25">
                  <c:v>171660</c:v>
                </c:pt>
                <c:pt idx="26">
                  <c:v>168751</c:v>
                </c:pt>
                <c:pt idx="27">
                  <c:v>167429</c:v>
                </c:pt>
                <c:pt idx="28">
                  <c:v>154307</c:v>
                </c:pt>
                <c:pt idx="29">
                  <c:v>166411</c:v>
                </c:pt>
                <c:pt idx="30">
                  <c:v>170327</c:v>
                </c:pt>
                <c:pt idx="31">
                  <c:v>159080</c:v>
                </c:pt>
                <c:pt idx="32">
                  <c:v>176167</c:v>
                </c:pt>
                <c:pt idx="33">
                  <c:v>197143</c:v>
                </c:pt>
                <c:pt idx="34">
                  <c:v>180525</c:v>
                </c:pt>
                <c:pt idx="35">
                  <c:v>151210</c:v>
                </c:pt>
                <c:pt idx="36">
                  <c:v>199807</c:v>
                </c:pt>
                <c:pt idx="37">
                  <c:v>159850</c:v>
                </c:pt>
                <c:pt idx="38">
                  <c:v>214250</c:v>
                </c:pt>
                <c:pt idx="39">
                  <c:v>203861</c:v>
                </c:pt>
                <c:pt idx="40">
                  <c:v>206392</c:v>
                </c:pt>
                <c:pt idx="41">
                  <c:v>173607</c:v>
                </c:pt>
              </c:numCache>
            </c:numRef>
          </c:val>
          <c:smooth val="0"/>
          <c:extLst>
            <c:ext xmlns:c16="http://schemas.microsoft.com/office/drawing/2014/chart" uri="{C3380CC4-5D6E-409C-BE32-E72D297353CC}">
              <c16:uniqueId val="{00000002-03C5-4E34-BFB7-9A35A14DE10F}"/>
            </c:ext>
          </c:extLst>
        </c:ser>
        <c:ser>
          <c:idx val="3"/>
          <c:order val="3"/>
          <c:tx>
            <c:strRef>
              <c:f>'Sales Summary'!$A$40</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Summary'!$B$36:$AW$36</c:f>
              <c:strCache>
                <c:ptCount val="48"/>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pt idx="32">
                  <c:v>2025-09</c:v>
                </c:pt>
                <c:pt idx="33">
                  <c:v>2025-10</c:v>
                </c:pt>
                <c:pt idx="34">
                  <c:v>2025-11</c:v>
                </c:pt>
                <c:pt idx="35">
                  <c:v>2025-12</c:v>
                </c:pt>
                <c:pt idx="36">
                  <c:v>2026-01</c:v>
                </c:pt>
                <c:pt idx="37">
                  <c:v>2026-02</c:v>
                </c:pt>
                <c:pt idx="38">
                  <c:v>2026-03</c:v>
                </c:pt>
                <c:pt idx="39">
                  <c:v>2026-04</c:v>
                </c:pt>
                <c:pt idx="40">
                  <c:v>2026-05</c:v>
                </c:pt>
                <c:pt idx="41">
                  <c:v>2026-06</c:v>
                </c:pt>
                <c:pt idx="42">
                  <c:v>2026-07</c:v>
                </c:pt>
                <c:pt idx="43">
                  <c:v>2026-08</c:v>
                </c:pt>
                <c:pt idx="44">
                  <c:v>2026-09</c:v>
                </c:pt>
                <c:pt idx="45">
                  <c:v>2026-10</c:v>
                </c:pt>
                <c:pt idx="46">
                  <c:v>2026-11</c:v>
                </c:pt>
                <c:pt idx="47">
                  <c:v>2026-12</c:v>
                </c:pt>
              </c:strCache>
            </c:strRef>
          </c:cat>
          <c:val>
            <c:numRef>
              <c:f>'Sales Summary'!$B$40:$AW$40</c:f>
              <c:numCache>
                <c:formatCode>#,##0</c:formatCode>
                <c:ptCount val="48"/>
                <c:pt idx="0">
                  <c:v>375312</c:v>
                </c:pt>
                <c:pt idx="1">
                  <c:v>367797</c:v>
                </c:pt>
                <c:pt idx="2">
                  <c:v>428928</c:v>
                </c:pt>
                <c:pt idx="3">
                  <c:v>428275</c:v>
                </c:pt>
                <c:pt idx="4">
                  <c:v>419485</c:v>
                </c:pt>
                <c:pt idx="5">
                  <c:v>416666</c:v>
                </c:pt>
                <c:pt idx="6">
                  <c:v>448028</c:v>
                </c:pt>
                <c:pt idx="7">
                  <c:v>451222</c:v>
                </c:pt>
                <c:pt idx="8">
                  <c:v>497977</c:v>
                </c:pt>
                <c:pt idx="9">
                  <c:v>522184</c:v>
                </c:pt>
                <c:pt idx="10">
                  <c:v>557115</c:v>
                </c:pt>
                <c:pt idx="11">
                  <c:v>504934</c:v>
                </c:pt>
                <c:pt idx="12">
                  <c:v>651765</c:v>
                </c:pt>
                <c:pt idx="13">
                  <c:v>668179</c:v>
                </c:pt>
                <c:pt idx="14">
                  <c:v>706114</c:v>
                </c:pt>
                <c:pt idx="15">
                  <c:v>756548</c:v>
                </c:pt>
                <c:pt idx="16">
                  <c:v>749381</c:v>
                </c:pt>
                <c:pt idx="17">
                  <c:v>716767</c:v>
                </c:pt>
                <c:pt idx="18">
                  <c:v>779819</c:v>
                </c:pt>
                <c:pt idx="19">
                  <c:v>726794</c:v>
                </c:pt>
                <c:pt idx="20">
                  <c:v>749845</c:v>
                </c:pt>
                <c:pt idx="21">
                  <c:v>803548</c:v>
                </c:pt>
                <c:pt idx="22">
                  <c:v>823735</c:v>
                </c:pt>
                <c:pt idx="23">
                  <c:v>819265</c:v>
                </c:pt>
                <c:pt idx="24">
                  <c:v>992031</c:v>
                </c:pt>
                <c:pt idx="25">
                  <c:v>1035372</c:v>
                </c:pt>
                <c:pt idx="26">
                  <c:v>1003095</c:v>
                </c:pt>
                <c:pt idx="27">
                  <c:v>1078026</c:v>
                </c:pt>
                <c:pt idx="28">
                  <c:v>1032839</c:v>
                </c:pt>
                <c:pt idx="29">
                  <c:v>1026055</c:v>
                </c:pt>
                <c:pt idx="30">
                  <c:v>1112513</c:v>
                </c:pt>
                <c:pt idx="31">
                  <c:v>1097389</c:v>
                </c:pt>
                <c:pt idx="32">
                  <c:v>1207299</c:v>
                </c:pt>
                <c:pt idx="33">
                  <c:v>1327049</c:v>
                </c:pt>
                <c:pt idx="34">
                  <c:v>1244153</c:v>
                </c:pt>
                <c:pt idx="35">
                  <c:v>1101497</c:v>
                </c:pt>
                <c:pt idx="36">
                  <c:v>1453435</c:v>
                </c:pt>
                <c:pt idx="37">
                  <c:v>1327991</c:v>
                </c:pt>
                <c:pt idx="38">
                  <c:v>1527658</c:v>
                </c:pt>
                <c:pt idx="39">
                  <c:v>1446715</c:v>
                </c:pt>
                <c:pt idx="40">
                  <c:v>1462912</c:v>
                </c:pt>
                <c:pt idx="41">
                  <c:v>1371950</c:v>
                </c:pt>
              </c:numCache>
            </c:numRef>
          </c:val>
          <c:smooth val="0"/>
          <c:extLst>
            <c:ext xmlns:c16="http://schemas.microsoft.com/office/drawing/2014/chart" uri="{C3380CC4-5D6E-409C-BE32-E72D297353CC}">
              <c16:uniqueId val="{00000003-03C5-4E34-BFB7-9A35A14DE10F}"/>
            </c:ext>
          </c:extLst>
        </c:ser>
        <c:dLbls>
          <c:dLblPos val="t"/>
          <c:showLegendKey val="0"/>
          <c:showVal val="1"/>
          <c:showCatName val="0"/>
          <c:showSerName val="0"/>
          <c:showPercent val="0"/>
          <c:showBubbleSize val="0"/>
        </c:dLbls>
        <c:marker val="1"/>
        <c:smooth val="0"/>
        <c:axId val="1149506623"/>
        <c:axId val="1149511903"/>
      </c:lineChart>
      <c:catAx>
        <c:axId val="114950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11903"/>
        <c:crosses val="autoZero"/>
        <c:auto val="1"/>
        <c:lblAlgn val="ctr"/>
        <c:lblOffset val="100"/>
        <c:noMultiLvlLbl val="0"/>
      </c:catAx>
      <c:valAx>
        <c:axId val="11495119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066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layout>
        <c:manualLayout>
          <c:xMode val="edge"/>
          <c:yMode val="edge"/>
          <c:x val="0.4430647252230282"/>
          <c:y val="0.82919972320363577"/>
          <c:w val="0.1382526506600763"/>
          <c:h val="2.21381310543394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CVR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1190549989066183E-2"/>
          <c:y val="8.1156557137424243E-2"/>
          <c:w val="0.9403752904708832"/>
          <c:h val="0.85334474149856099"/>
        </c:manualLayout>
      </c:layout>
      <c:lineChart>
        <c:grouping val="standard"/>
        <c:varyColors val="0"/>
        <c:ser>
          <c:idx val="0"/>
          <c:order val="0"/>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CVR!$A$432:$AD$432</c:f>
              <c:strCache>
                <c:ptCount val="30"/>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JUNE</c:v>
                </c:pt>
              </c:strCache>
            </c:strRef>
          </c:cat>
          <c:val>
            <c:numRef>
              <c:f>CVR!$A$433:$AD$433</c:f>
              <c:numCache>
                <c:formatCode>0.00%</c:formatCode>
                <c:ptCount val="30"/>
                <c:pt idx="0">
                  <c:v>0.17119999999999999</c:v>
                </c:pt>
                <c:pt idx="1">
                  <c:v>0.16869999999999999</c:v>
                </c:pt>
                <c:pt idx="2">
                  <c:v>0.15559999999999999</c:v>
                </c:pt>
                <c:pt idx="3">
                  <c:v>0.15379999999999999</c:v>
                </c:pt>
                <c:pt idx="4">
                  <c:v>0.17710000000000001</c:v>
                </c:pt>
                <c:pt idx="5">
                  <c:v>0.192</c:v>
                </c:pt>
                <c:pt idx="6">
                  <c:v>0.19189999999999999</c:v>
                </c:pt>
                <c:pt idx="7">
                  <c:v>0.19600000000000001</c:v>
                </c:pt>
                <c:pt idx="8">
                  <c:v>0.1981</c:v>
                </c:pt>
                <c:pt idx="9">
                  <c:v>0.20469999999999999</c:v>
                </c:pt>
                <c:pt idx="10">
                  <c:v>0.1976</c:v>
                </c:pt>
                <c:pt idx="11">
                  <c:v>0.2024</c:v>
                </c:pt>
                <c:pt idx="12">
                  <c:v>0.182</c:v>
                </c:pt>
                <c:pt idx="13">
                  <c:v>0.189</c:v>
                </c:pt>
                <c:pt idx="14">
                  <c:v>0.1938</c:v>
                </c:pt>
                <c:pt idx="15">
                  <c:v>0.1951</c:v>
                </c:pt>
                <c:pt idx="16">
                  <c:v>0.1973</c:v>
                </c:pt>
                <c:pt idx="17">
                  <c:v>0.2051</c:v>
                </c:pt>
                <c:pt idx="18">
                  <c:v>0.2167</c:v>
                </c:pt>
                <c:pt idx="19">
                  <c:v>0.2099</c:v>
                </c:pt>
                <c:pt idx="20">
                  <c:v>0.2248</c:v>
                </c:pt>
                <c:pt idx="21">
                  <c:v>0.2351</c:v>
                </c:pt>
                <c:pt idx="22">
                  <c:v>0.22670000000000001</c:v>
                </c:pt>
                <c:pt idx="23">
                  <c:v>0.24079999999999999</c:v>
                </c:pt>
                <c:pt idx="24">
                  <c:v>0.2243</c:v>
                </c:pt>
                <c:pt idx="25">
                  <c:v>0.2288</c:v>
                </c:pt>
                <c:pt idx="26">
                  <c:v>0.23319999999999999</c:v>
                </c:pt>
                <c:pt idx="27">
                  <c:v>0.23120000000000002</c:v>
                </c:pt>
                <c:pt idx="28">
                  <c:v>0.24489999999999998</c:v>
                </c:pt>
                <c:pt idx="29">
                  <c:v>0.2409</c:v>
                </c:pt>
              </c:numCache>
            </c:numRef>
          </c:val>
          <c:smooth val="0"/>
          <c:extLst>
            <c:ext xmlns:c16="http://schemas.microsoft.com/office/drawing/2014/chart" uri="{C3380CC4-5D6E-409C-BE32-E72D297353CC}">
              <c16:uniqueId val="{00000000-7482-4D19-A741-5F0BF02A6AE1}"/>
            </c:ext>
          </c:extLst>
        </c:ser>
        <c:dLbls>
          <c:dLblPos val="t"/>
          <c:showLegendKey val="0"/>
          <c:showVal val="1"/>
          <c:showCatName val="0"/>
          <c:showSerName val="0"/>
          <c:showPercent val="0"/>
          <c:showBubbleSize val="0"/>
        </c:dLbls>
        <c:marker val="1"/>
        <c:smooth val="0"/>
        <c:axId val="998215056"/>
        <c:axId val="998212176"/>
      </c:lineChart>
      <c:catAx>
        <c:axId val="99821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212176"/>
        <c:crosses val="autoZero"/>
        <c:auto val="1"/>
        <c:lblAlgn val="ctr"/>
        <c:lblOffset val="100"/>
        <c:noMultiLvlLbl val="0"/>
      </c:catAx>
      <c:valAx>
        <c:axId val="9982121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215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25</xdr:col>
      <xdr:colOff>1030941</xdr:colOff>
      <xdr:row>43</xdr:row>
      <xdr:rowOff>123264</xdr:rowOff>
    </xdr:from>
    <xdr:to>
      <xdr:col>41</xdr:col>
      <xdr:colOff>0</xdr:colOff>
      <xdr:row>94</xdr:row>
      <xdr:rowOff>112059</xdr:rowOff>
    </xdr:to>
    <xdr:graphicFrame macro="">
      <xdr:nvGraphicFramePr>
        <xdr:cNvPr id="2" name="Chart 5">
          <a:extLst>
            <a:ext uri="{FF2B5EF4-FFF2-40B4-BE49-F238E27FC236}">
              <a16:creationId xmlns:a16="http://schemas.microsoft.com/office/drawing/2014/main" id="{98710900-59C4-4D0D-0EF6-3889419EF7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512165</xdr:colOff>
      <xdr:row>434</xdr:row>
      <xdr:rowOff>47228</xdr:rowOff>
    </xdr:from>
    <xdr:to>
      <xdr:col>22</xdr:col>
      <xdr:colOff>481853</xdr:colOff>
      <xdr:row>473</xdr:row>
      <xdr:rowOff>134471</xdr:rowOff>
    </xdr:to>
    <xdr:graphicFrame macro="">
      <xdr:nvGraphicFramePr>
        <xdr:cNvPr id="3" name="Chart 2">
          <a:extLst>
            <a:ext uri="{FF2B5EF4-FFF2-40B4-BE49-F238E27FC236}">
              <a16:creationId xmlns:a16="http://schemas.microsoft.com/office/drawing/2014/main" id="{03F6950A-C564-1573-60A3-63D8DCAB07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504"/>
  <sheetViews>
    <sheetView zoomScaleNormal="100" workbookViewId="0">
      <pane xSplit="2" ySplit="2" topLeftCell="E461" activePane="bottomRight" state="frozen"/>
      <selection pane="topRight" activeCell="C1" sqref="C1"/>
      <selection pane="bottomLeft" activeCell="A3" sqref="A3"/>
      <selection pane="bottomRight" activeCell="Q491" sqref="Q491"/>
    </sheetView>
  </sheetViews>
  <sheetFormatPr defaultRowHeight="15" customHeight="1"/>
  <cols>
    <col min="1" max="1" width="65.5703125" customWidth="1"/>
    <col min="2" max="2" width="20.28515625" customWidth="1"/>
    <col min="3" max="3" width="16" customWidth="1"/>
    <col min="4" max="4" width="1.140625" customWidth="1"/>
    <col min="5" max="5" width="13.85546875" bestFit="1" customWidth="1"/>
    <col min="6" max="6" width="14.85546875" customWidth="1"/>
    <col min="7" max="7" width="12" customWidth="1"/>
    <col min="8" max="9" width="1" customWidth="1"/>
    <col min="10" max="10" width="12.42578125" customWidth="1"/>
    <col min="11" max="11" width="9.5703125" customWidth="1"/>
    <col min="12" max="12" width="1" customWidth="1"/>
    <col min="13" max="13" width="13.28515625" style="5" bestFit="1" customWidth="1"/>
    <col min="14" max="14" width="13.28515625" style="5" customWidth="1"/>
    <col min="15" max="16" width="1" customWidth="1"/>
    <col min="17" max="17" width="14.28515625" style="5" customWidth="1"/>
    <col min="18" max="20" width="1" customWidth="1"/>
    <col min="21" max="21" width="14.5703125" style="110" customWidth="1"/>
    <col min="22" max="22" width="10.28515625" customWidth="1"/>
    <col min="23" max="23" width="15.85546875" customWidth="1"/>
    <col min="24" max="24" width="17.140625" customWidth="1"/>
    <col min="25" max="25" width="8.28515625" customWidth="1"/>
    <col min="26" max="26" width="2" customWidth="1"/>
    <col min="27" max="27" width="2.7109375" customWidth="1"/>
  </cols>
  <sheetData>
    <row r="1" spans="1:26" ht="14.45" customHeight="1">
      <c r="B1" s="173">
        <v>46143</v>
      </c>
      <c r="C1" s="174"/>
      <c r="E1" s="173">
        <v>46174</v>
      </c>
      <c r="F1" s="174"/>
      <c r="J1" s="175"/>
      <c r="K1" s="175"/>
      <c r="M1" s="176" t="s">
        <v>0</v>
      </c>
      <c r="N1" s="176"/>
      <c r="O1" s="1"/>
      <c r="Q1" s="138" t="s">
        <v>1</v>
      </c>
      <c r="R1" s="1"/>
      <c r="U1" s="172" t="s">
        <v>2</v>
      </c>
      <c r="V1" s="172"/>
      <c r="W1" s="171" t="s">
        <v>3</v>
      </c>
      <c r="X1" s="171"/>
    </row>
    <row r="2" spans="1:26">
      <c r="A2" s="3" t="s">
        <v>4</v>
      </c>
      <c r="B2" s="3" t="s">
        <v>5</v>
      </c>
      <c r="C2" s="3" t="s">
        <v>6</v>
      </c>
      <c r="D2" s="3"/>
      <c r="E2" s="3" t="s">
        <v>5</v>
      </c>
      <c r="F2" s="3" t="s">
        <v>6</v>
      </c>
      <c r="G2" s="3" t="s">
        <v>7</v>
      </c>
      <c r="H2" s="3"/>
      <c r="I2" s="3"/>
      <c r="J2" s="3" t="s">
        <v>1936</v>
      </c>
      <c r="K2" s="3" t="s">
        <v>8</v>
      </c>
      <c r="L2" s="3"/>
      <c r="M2" s="3" t="s">
        <v>1750</v>
      </c>
      <c r="N2" s="3" t="s">
        <v>1751</v>
      </c>
      <c r="O2" s="3"/>
      <c r="P2" s="3"/>
      <c r="Q2" s="31" t="s">
        <v>1954</v>
      </c>
      <c r="R2" s="3"/>
      <c r="S2" s="3"/>
      <c r="T2" s="3"/>
      <c r="U2" s="111" t="s">
        <v>11</v>
      </c>
      <c r="V2" s="3" t="s">
        <v>8</v>
      </c>
      <c r="W2" s="3" t="s">
        <v>1750</v>
      </c>
      <c r="X2" s="3" t="s">
        <v>1751</v>
      </c>
      <c r="Y2" s="3" t="s">
        <v>8</v>
      </c>
      <c r="Z2" s="3"/>
    </row>
    <row r="3" spans="1:26" ht="13.9" customHeight="1">
      <c r="A3" t="s">
        <v>16</v>
      </c>
      <c r="B3" t="s">
        <v>17</v>
      </c>
      <c r="C3" s="27">
        <v>29799</v>
      </c>
      <c r="E3" t="s">
        <v>17</v>
      </c>
      <c r="F3" s="27">
        <v>27095</v>
      </c>
      <c r="G3" t="b">
        <f t="shared" ref="G3:G66" si="0">IF(B3=E3,TRUE,FALSE)</f>
        <v>1</v>
      </c>
      <c r="J3" s="24">
        <f t="shared" ref="J3:J66" si="1">F3-C3</f>
        <v>-2704</v>
      </c>
      <c r="K3" s="4">
        <f t="shared" ref="K3:K66" si="2">F3/C3-1</f>
        <v>-9.0741300043625572E-2</v>
      </c>
      <c r="M3" s="119">
        <v>81554.38</v>
      </c>
      <c r="N3" s="119">
        <v>65739.45</v>
      </c>
      <c r="Q3" s="119">
        <v>263883.7</v>
      </c>
      <c r="U3" s="141">
        <f t="shared" ref="U3:U66" si="3">N3-M3</f>
        <v>-15814.930000000008</v>
      </c>
      <c r="V3" s="4">
        <f t="shared" ref="V3:V66" si="4">IF(M3=0,0,N3/M3-1)</f>
        <v>-0.1939188306011278</v>
      </c>
      <c r="W3" s="17">
        <v>929590.18</v>
      </c>
      <c r="X3" s="17">
        <v>886505.59</v>
      </c>
      <c r="Y3" s="4">
        <f t="shared" ref="Y3:Y66" si="5">X3/W3-1</f>
        <v>-4.6347940121312492E-2</v>
      </c>
      <c r="Z3" s="4"/>
    </row>
    <row r="4" spans="1:26" ht="13.9" customHeight="1">
      <c r="A4" s="35" t="s">
        <v>748</v>
      </c>
      <c r="B4" s="35" t="s">
        <v>749</v>
      </c>
      <c r="C4" s="27">
        <v>27755</v>
      </c>
      <c r="E4" s="35" t="s">
        <v>749</v>
      </c>
      <c r="F4" s="27">
        <v>16410</v>
      </c>
      <c r="G4" t="b">
        <f t="shared" si="0"/>
        <v>1</v>
      </c>
      <c r="J4" s="24">
        <f t="shared" si="1"/>
        <v>-11345</v>
      </c>
      <c r="K4" s="4">
        <f t="shared" si="2"/>
        <v>-0.40875517924698257</v>
      </c>
      <c r="M4" s="118">
        <v>71657.820000000007</v>
      </c>
      <c r="N4" s="118">
        <v>37138.67</v>
      </c>
      <c r="Q4" s="118">
        <v>134716.48000000001</v>
      </c>
      <c r="U4" s="141">
        <f t="shared" si="3"/>
        <v>-34519.150000000009</v>
      </c>
      <c r="V4" s="4">
        <f t="shared" si="4"/>
        <v>-0.48172202280225673</v>
      </c>
      <c r="W4" s="17">
        <v>568766.25</v>
      </c>
      <c r="X4" s="17">
        <v>381078.62</v>
      </c>
      <c r="Y4" s="4">
        <f t="shared" si="5"/>
        <v>-0.32999080026284966</v>
      </c>
      <c r="Z4" s="4"/>
    </row>
    <row r="5" spans="1:26">
      <c r="A5" t="s">
        <v>835</v>
      </c>
      <c r="B5" t="s">
        <v>836</v>
      </c>
      <c r="C5" s="27">
        <v>15139</v>
      </c>
      <c r="E5" t="s">
        <v>836</v>
      </c>
      <c r="F5" s="27">
        <v>17126</v>
      </c>
      <c r="G5" t="b">
        <f t="shared" si="0"/>
        <v>1</v>
      </c>
      <c r="J5" s="24">
        <f t="shared" si="1"/>
        <v>1987</v>
      </c>
      <c r="K5" s="4">
        <f t="shared" si="2"/>
        <v>0.13125041284100658</v>
      </c>
      <c r="M5" s="119">
        <v>19922.11</v>
      </c>
      <c r="N5" s="119">
        <v>21191.13</v>
      </c>
      <c r="Q5" s="119">
        <v>127121.21</v>
      </c>
      <c r="U5" s="141">
        <f t="shared" si="3"/>
        <v>1269.0200000000004</v>
      </c>
      <c r="V5" s="4">
        <f t="shared" si="4"/>
        <v>6.3699076051683345E-2</v>
      </c>
      <c r="W5" s="17">
        <v>513707.73</v>
      </c>
      <c r="X5" s="17">
        <v>561362.14</v>
      </c>
      <c r="Y5" s="4">
        <f t="shared" si="5"/>
        <v>9.276560817957713E-2</v>
      </c>
      <c r="Z5" s="4"/>
    </row>
    <row r="6" spans="1:26" ht="13.9" customHeight="1">
      <c r="A6" t="s">
        <v>18</v>
      </c>
      <c r="B6" t="s">
        <v>19</v>
      </c>
      <c r="C6" s="27">
        <v>4856</v>
      </c>
      <c r="E6" t="s">
        <v>19</v>
      </c>
      <c r="F6" s="27">
        <v>5362</v>
      </c>
      <c r="G6" t="b">
        <f t="shared" si="0"/>
        <v>1</v>
      </c>
      <c r="J6" s="24">
        <f t="shared" si="1"/>
        <v>506</v>
      </c>
      <c r="K6" s="4">
        <f t="shared" si="2"/>
        <v>0.10420098846787473</v>
      </c>
      <c r="M6" s="119">
        <v>11285.31</v>
      </c>
      <c r="N6" s="119">
        <v>12280.5</v>
      </c>
      <c r="Q6" s="119">
        <v>50020.07</v>
      </c>
      <c r="U6" s="141">
        <f t="shared" si="3"/>
        <v>995.19000000000051</v>
      </c>
      <c r="V6" s="4">
        <f t="shared" si="4"/>
        <v>8.8184551421272461E-2</v>
      </c>
      <c r="W6" s="17">
        <v>125399.33</v>
      </c>
      <c r="X6" s="17">
        <v>136219.67000000001</v>
      </c>
      <c r="Y6" s="4">
        <f t="shared" si="5"/>
        <v>8.6287063894201044E-2</v>
      </c>
      <c r="Z6" s="4"/>
    </row>
    <row r="7" spans="1:26" ht="14.45" customHeight="1">
      <c r="A7" t="s">
        <v>879</v>
      </c>
      <c r="B7" t="s">
        <v>880</v>
      </c>
      <c r="C7" s="27">
        <v>4173</v>
      </c>
      <c r="E7" t="s">
        <v>880</v>
      </c>
      <c r="F7" s="27">
        <v>5049</v>
      </c>
      <c r="G7" t="b">
        <f t="shared" si="0"/>
        <v>1</v>
      </c>
      <c r="J7" s="24">
        <f t="shared" si="1"/>
        <v>876</v>
      </c>
      <c r="K7" s="4">
        <f t="shared" si="2"/>
        <v>0.20992092020129394</v>
      </c>
      <c r="M7" s="119">
        <v>11607.23</v>
      </c>
      <c r="N7" s="119">
        <v>9564.35</v>
      </c>
      <c r="Q7" s="119">
        <v>52250.75</v>
      </c>
      <c r="U7" s="141">
        <f t="shared" si="3"/>
        <v>-2042.8799999999992</v>
      </c>
      <c r="V7" s="4">
        <f t="shared" si="4"/>
        <v>-0.17600064787205894</v>
      </c>
      <c r="W7" s="17">
        <v>145461.6</v>
      </c>
      <c r="X7" s="17">
        <v>165826.29999999999</v>
      </c>
      <c r="Y7" s="4">
        <f t="shared" si="5"/>
        <v>0.14000052247465988</v>
      </c>
      <c r="Z7" s="4"/>
    </row>
    <row r="8" spans="1:26" ht="13.9" customHeight="1">
      <c r="A8" t="s">
        <v>875</v>
      </c>
      <c r="B8" t="s">
        <v>876</v>
      </c>
      <c r="C8" s="27">
        <v>1886</v>
      </c>
      <c r="E8" t="s">
        <v>876</v>
      </c>
      <c r="F8" s="27">
        <v>1127</v>
      </c>
      <c r="G8" t="b">
        <f t="shared" si="0"/>
        <v>1</v>
      </c>
      <c r="J8" s="24">
        <f t="shared" si="1"/>
        <v>-759</v>
      </c>
      <c r="K8" s="4">
        <f t="shared" si="2"/>
        <v>-0.40243902439024393</v>
      </c>
      <c r="M8" s="119">
        <v>1128.0899999999999</v>
      </c>
      <c r="N8" s="119">
        <v>505.16</v>
      </c>
      <c r="Q8" s="119">
        <v>5307.11</v>
      </c>
      <c r="U8" s="141">
        <f t="shared" si="3"/>
        <v>-622.92999999999984</v>
      </c>
      <c r="V8" s="4">
        <f t="shared" si="4"/>
        <v>-0.55219884938258468</v>
      </c>
      <c r="W8" s="17">
        <v>77969.240000000005</v>
      </c>
      <c r="X8" s="17">
        <v>49513.67</v>
      </c>
      <c r="Y8" s="4">
        <f t="shared" si="5"/>
        <v>-0.3649589248272781</v>
      </c>
      <c r="Z8" s="4"/>
    </row>
    <row r="9" spans="1:26" ht="13.9" customHeight="1">
      <c r="A9" s="38" t="s">
        <v>867</v>
      </c>
      <c r="B9" s="35" t="s">
        <v>868</v>
      </c>
      <c r="C9" s="18">
        <v>9308</v>
      </c>
      <c r="E9" s="35" t="s">
        <v>868</v>
      </c>
      <c r="F9" s="18">
        <v>9909</v>
      </c>
      <c r="G9" t="b">
        <f t="shared" si="0"/>
        <v>1</v>
      </c>
      <c r="J9" s="24">
        <f t="shared" si="1"/>
        <v>601</v>
      </c>
      <c r="K9" s="4">
        <f t="shared" si="2"/>
        <v>6.4568113450794939E-2</v>
      </c>
      <c r="M9" s="118">
        <v>21386.39</v>
      </c>
      <c r="N9" s="118">
        <v>22863.3</v>
      </c>
      <c r="Q9" s="118">
        <v>95395.01</v>
      </c>
      <c r="U9" s="141">
        <f t="shared" si="3"/>
        <v>1476.9099999999999</v>
      </c>
      <c r="V9" s="4">
        <f t="shared" si="4"/>
        <v>6.9058405836609271E-2</v>
      </c>
      <c r="W9">
        <v>227368.42</v>
      </c>
      <c r="X9">
        <v>245050.19</v>
      </c>
      <c r="Y9" s="4">
        <f t="shared" si="5"/>
        <v>7.7767044341513936E-2</v>
      </c>
      <c r="Z9" s="4"/>
    </row>
    <row r="10" spans="1:26" ht="13.9" customHeight="1">
      <c r="A10" t="s">
        <v>883</v>
      </c>
      <c r="B10" t="s">
        <v>884</v>
      </c>
      <c r="C10" s="27">
        <v>8327</v>
      </c>
      <c r="E10" t="s">
        <v>884</v>
      </c>
      <c r="F10" s="27">
        <v>9490</v>
      </c>
      <c r="G10" t="b">
        <f t="shared" si="0"/>
        <v>1</v>
      </c>
      <c r="J10" s="24">
        <f t="shared" si="1"/>
        <v>1163</v>
      </c>
      <c r="K10" s="4">
        <f t="shared" si="2"/>
        <v>0.13966614627116614</v>
      </c>
      <c r="M10" s="119">
        <v>15817.5</v>
      </c>
      <c r="N10" s="119">
        <v>15388.02</v>
      </c>
      <c r="Q10" s="119">
        <v>98495.34</v>
      </c>
      <c r="U10" s="141">
        <f t="shared" si="3"/>
        <v>-429.47999999999956</v>
      </c>
      <c r="V10" s="4">
        <f t="shared" si="4"/>
        <v>-2.7152204836415339E-2</v>
      </c>
      <c r="W10" s="17">
        <v>194736.78</v>
      </c>
      <c r="X10" s="17">
        <v>221491.4</v>
      </c>
      <c r="Y10" s="4">
        <f t="shared" si="5"/>
        <v>0.13738863300502357</v>
      </c>
      <c r="Z10" s="4"/>
    </row>
    <row r="11" spans="1:26" ht="13.9" customHeight="1">
      <c r="A11" t="s">
        <v>861</v>
      </c>
      <c r="B11" t="s">
        <v>862</v>
      </c>
      <c r="C11" s="27">
        <v>6699</v>
      </c>
      <c r="E11" t="s">
        <v>862</v>
      </c>
      <c r="F11" s="27">
        <v>9608</v>
      </c>
      <c r="G11" t="b">
        <f t="shared" si="0"/>
        <v>1</v>
      </c>
      <c r="J11" s="24">
        <f t="shared" si="1"/>
        <v>2909</v>
      </c>
      <c r="K11" s="4">
        <f t="shared" si="2"/>
        <v>0.43424391700253762</v>
      </c>
      <c r="M11" s="119">
        <v>12803.58</v>
      </c>
      <c r="N11" s="119">
        <v>21429.77</v>
      </c>
      <c r="Q11" s="119">
        <v>106177.7</v>
      </c>
      <c r="U11" s="141">
        <f t="shared" si="3"/>
        <v>8626.19</v>
      </c>
      <c r="V11" s="4">
        <f t="shared" si="4"/>
        <v>0.67373265914689484</v>
      </c>
      <c r="W11" s="17">
        <v>233882.83</v>
      </c>
      <c r="X11" s="17">
        <v>322126.65000000002</v>
      </c>
      <c r="Y11" s="4">
        <f t="shared" si="5"/>
        <v>0.37729926561945581</v>
      </c>
      <c r="Z11" s="4"/>
    </row>
    <row r="12" spans="1:26" ht="13.9" customHeight="1">
      <c r="A12" t="s">
        <v>857</v>
      </c>
      <c r="B12" t="s">
        <v>858</v>
      </c>
      <c r="C12" s="27">
        <v>7221</v>
      </c>
      <c r="E12" t="s">
        <v>858</v>
      </c>
      <c r="F12" s="27">
        <v>4970</v>
      </c>
      <c r="G12" t="b">
        <f t="shared" si="0"/>
        <v>1</v>
      </c>
      <c r="J12" s="24">
        <f t="shared" si="1"/>
        <v>-2251</v>
      </c>
      <c r="K12" s="4">
        <f t="shared" si="2"/>
        <v>-0.31172967733000967</v>
      </c>
      <c r="M12" s="119">
        <v>8817.7999999999993</v>
      </c>
      <c r="N12" s="119">
        <v>6700.81</v>
      </c>
      <c r="Q12" s="119">
        <v>42662.25</v>
      </c>
      <c r="U12" s="141">
        <f t="shared" si="3"/>
        <v>-2116.9899999999989</v>
      </c>
      <c r="V12" s="4">
        <f t="shared" si="4"/>
        <v>-0.24008142620608308</v>
      </c>
      <c r="W12" s="17">
        <v>193879.76</v>
      </c>
      <c r="X12" s="17">
        <v>148636.46</v>
      </c>
      <c r="Y12" s="4">
        <f t="shared" si="5"/>
        <v>-0.23335752014547584</v>
      </c>
      <c r="Z12" s="4"/>
    </row>
    <row r="13" spans="1:26" ht="13.9" customHeight="1">
      <c r="A13" s="123" t="s">
        <v>22</v>
      </c>
      <c r="B13" s="123" t="s">
        <v>23</v>
      </c>
      <c r="C13" s="27">
        <v>1441</v>
      </c>
      <c r="E13" s="123" t="s">
        <v>23</v>
      </c>
      <c r="F13" s="27">
        <v>6181</v>
      </c>
      <c r="G13" t="b">
        <f t="shared" si="0"/>
        <v>1</v>
      </c>
      <c r="J13" s="24">
        <f t="shared" si="1"/>
        <v>4740</v>
      </c>
      <c r="K13" s="4">
        <f t="shared" si="2"/>
        <v>3.289382373351839</v>
      </c>
      <c r="M13" s="118">
        <v>1622.1399999999999</v>
      </c>
      <c r="N13" s="118">
        <v>8108.06</v>
      </c>
      <c r="Q13" s="118">
        <v>30395.59</v>
      </c>
      <c r="U13" s="141">
        <f t="shared" si="3"/>
        <v>6485.92</v>
      </c>
      <c r="V13" s="4">
        <f t="shared" si="4"/>
        <v>3.998372520251027</v>
      </c>
      <c r="W13" s="17">
        <v>14384</v>
      </c>
      <c r="X13" s="17">
        <v>61699.47</v>
      </c>
      <c r="Y13" s="4">
        <f t="shared" si="5"/>
        <v>3.2894514738598444</v>
      </c>
      <c r="Z13" s="4"/>
    </row>
    <row r="14" spans="1:26" ht="13.9" customHeight="1">
      <c r="A14" t="s">
        <v>20</v>
      </c>
      <c r="B14" t="s">
        <v>21</v>
      </c>
      <c r="C14" s="27">
        <v>17736</v>
      </c>
      <c r="E14" t="s">
        <v>21</v>
      </c>
      <c r="F14" s="27">
        <v>18889</v>
      </c>
      <c r="G14" t="b">
        <f t="shared" si="0"/>
        <v>1</v>
      </c>
      <c r="J14" s="24">
        <f t="shared" si="1"/>
        <v>1153</v>
      </c>
      <c r="K14" s="4">
        <f t="shared" si="2"/>
        <v>6.500902119981955E-2</v>
      </c>
      <c r="M14" s="119">
        <v>19612.03</v>
      </c>
      <c r="N14" s="119">
        <v>18385.080000000002</v>
      </c>
      <c r="Q14" s="119">
        <v>104154.95</v>
      </c>
      <c r="U14" s="141">
        <f t="shared" si="3"/>
        <v>-1226.9499999999971</v>
      </c>
      <c r="V14" s="4">
        <f t="shared" si="4"/>
        <v>-6.2561091330168073E-2</v>
      </c>
      <c r="W14" s="17">
        <v>464197.92</v>
      </c>
      <c r="X14" s="17">
        <v>511878.33</v>
      </c>
      <c r="Y14" s="4">
        <f t="shared" si="5"/>
        <v>0.10271569075535725</v>
      </c>
      <c r="Z14" s="4"/>
    </row>
    <row r="15" spans="1:26" ht="13.9" customHeight="1">
      <c r="A15" s="38" t="s">
        <v>785</v>
      </c>
      <c r="B15" s="35" t="s">
        <v>786</v>
      </c>
      <c r="C15" s="27">
        <v>4520</v>
      </c>
      <c r="E15" s="35" t="s">
        <v>786</v>
      </c>
      <c r="F15" s="27">
        <v>3460</v>
      </c>
      <c r="G15" t="b">
        <f t="shared" si="0"/>
        <v>1</v>
      </c>
      <c r="J15" s="24">
        <f t="shared" si="1"/>
        <v>-1060</v>
      </c>
      <c r="K15" s="4">
        <f t="shared" si="2"/>
        <v>-0.23451327433628322</v>
      </c>
      <c r="M15" s="119">
        <v>8779.8799999999992</v>
      </c>
      <c r="N15" s="119">
        <v>9193.9</v>
      </c>
      <c r="Q15" s="119">
        <v>44183.09</v>
      </c>
      <c r="U15" s="141">
        <f t="shared" si="3"/>
        <v>414.02000000000044</v>
      </c>
      <c r="V15" s="4">
        <f t="shared" si="4"/>
        <v>4.715554198918448E-2</v>
      </c>
      <c r="W15" s="17">
        <v>107720.68</v>
      </c>
      <c r="X15" s="17">
        <v>92885.1</v>
      </c>
      <c r="Y15" s="4">
        <f t="shared" si="5"/>
        <v>-0.13772267312088993</v>
      </c>
      <c r="Z15" s="4"/>
    </row>
    <row r="16" spans="1:26" ht="14.25" customHeight="1">
      <c r="A16" t="s">
        <v>787</v>
      </c>
      <c r="B16" t="s">
        <v>788</v>
      </c>
      <c r="C16" s="27">
        <v>2056</v>
      </c>
      <c r="E16" t="s">
        <v>788</v>
      </c>
      <c r="F16" s="27">
        <v>2026</v>
      </c>
      <c r="G16" t="b">
        <f t="shared" si="0"/>
        <v>1</v>
      </c>
      <c r="J16" s="24">
        <f t="shared" si="1"/>
        <v>-30</v>
      </c>
      <c r="K16" s="4">
        <f t="shared" si="2"/>
        <v>-1.4591439688715901E-2</v>
      </c>
      <c r="M16" s="119">
        <v>3286.88</v>
      </c>
      <c r="N16" s="119">
        <v>3257.12</v>
      </c>
      <c r="Q16" s="119">
        <v>15396.8</v>
      </c>
      <c r="U16" s="141">
        <f t="shared" si="3"/>
        <v>-29.760000000000218</v>
      </c>
      <c r="V16" s="4">
        <f t="shared" si="4"/>
        <v>-9.0541790390887833E-3</v>
      </c>
      <c r="W16" s="17">
        <v>38833.46</v>
      </c>
      <c r="X16" s="17">
        <v>40412.980000000003</v>
      </c>
      <c r="Y16" s="4">
        <f t="shared" si="5"/>
        <v>4.0674202092731537E-2</v>
      </c>
      <c r="Z16" s="4"/>
    </row>
    <row r="17" spans="1:26" ht="13.9" customHeight="1">
      <c r="A17" t="s">
        <v>849</v>
      </c>
      <c r="B17" t="s">
        <v>850</v>
      </c>
      <c r="C17" s="27">
        <v>3531</v>
      </c>
      <c r="E17" t="s">
        <v>850</v>
      </c>
      <c r="F17" s="27">
        <v>2343</v>
      </c>
      <c r="G17" t="b">
        <f t="shared" si="0"/>
        <v>1</v>
      </c>
      <c r="J17" s="24">
        <f t="shared" si="1"/>
        <v>-1188</v>
      </c>
      <c r="K17" s="4">
        <f t="shared" si="2"/>
        <v>-0.33644859813084116</v>
      </c>
      <c r="M17" s="119">
        <v>7821.04</v>
      </c>
      <c r="N17" s="119">
        <v>5992.08</v>
      </c>
      <c r="Q17" s="119">
        <v>26757.99</v>
      </c>
      <c r="U17" s="141">
        <f t="shared" si="3"/>
        <v>-1828.96</v>
      </c>
      <c r="V17" s="4">
        <f t="shared" si="4"/>
        <v>-0.23385125251884664</v>
      </c>
      <c r="W17" s="17">
        <v>94445.23</v>
      </c>
      <c r="X17" s="17">
        <v>68994.41</v>
      </c>
      <c r="Y17" s="4">
        <f t="shared" si="5"/>
        <v>-0.26947702917341609</v>
      </c>
      <c r="Z17" s="4"/>
    </row>
    <row r="18" spans="1:26" ht="13.9" customHeight="1">
      <c r="A18" t="s">
        <v>548</v>
      </c>
      <c r="B18" t="s">
        <v>549</v>
      </c>
      <c r="C18" s="27">
        <v>3199</v>
      </c>
      <c r="E18" t="s">
        <v>549</v>
      </c>
      <c r="F18" s="27">
        <v>3670</v>
      </c>
      <c r="G18" t="b">
        <f t="shared" si="0"/>
        <v>1</v>
      </c>
      <c r="J18" s="24">
        <f t="shared" si="1"/>
        <v>471</v>
      </c>
      <c r="K18" s="4">
        <f t="shared" si="2"/>
        <v>0.1472335104720226</v>
      </c>
      <c r="M18" s="119">
        <v>6264.88</v>
      </c>
      <c r="N18" s="119">
        <v>6903.55</v>
      </c>
      <c r="Q18" s="119">
        <v>43452.590000000004</v>
      </c>
      <c r="U18" s="141">
        <f t="shared" si="3"/>
        <v>638.67000000000007</v>
      </c>
      <c r="V18" s="4">
        <f t="shared" si="4"/>
        <v>0.10194449055688226</v>
      </c>
      <c r="W18" s="17">
        <v>86194.12</v>
      </c>
      <c r="X18" s="17">
        <v>98927.42</v>
      </c>
      <c r="Y18" s="4">
        <f t="shared" si="5"/>
        <v>0.14772817449728604</v>
      </c>
      <c r="Z18" s="4"/>
    </row>
    <row r="19" spans="1:26" ht="13.9" customHeight="1">
      <c r="A19" s="26" t="s">
        <v>843</v>
      </c>
      <c r="B19" t="s">
        <v>844</v>
      </c>
      <c r="C19" s="27">
        <v>2198</v>
      </c>
      <c r="E19" t="s">
        <v>844</v>
      </c>
      <c r="F19" s="27">
        <v>2428</v>
      </c>
      <c r="G19" t="b">
        <f t="shared" si="0"/>
        <v>1</v>
      </c>
      <c r="J19" s="24">
        <f t="shared" si="1"/>
        <v>230</v>
      </c>
      <c r="K19" s="4">
        <f t="shared" si="2"/>
        <v>0.10464058234758866</v>
      </c>
      <c r="M19" s="119">
        <v>2465.2599999999998</v>
      </c>
      <c r="N19" s="119">
        <v>3529.5</v>
      </c>
      <c r="Q19" s="119">
        <v>20060.810000000001</v>
      </c>
      <c r="U19" s="141">
        <f t="shared" si="3"/>
        <v>1064.2400000000002</v>
      </c>
      <c r="V19" s="4">
        <f t="shared" si="4"/>
        <v>0.4316948313768123</v>
      </c>
      <c r="W19" s="17">
        <v>74423.5</v>
      </c>
      <c r="X19" s="17">
        <v>84808.95</v>
      </c>
      <c r="Y19" s="4">
        <f t="shared" si="5"/>
        <v>0.13954530491041139</v>
      </c>
      <c r="Z19" s="4"/>
    </row>
    <row r="20" spans="1:26" ht="13.9" customHeight="1">
      <c r="A20" s="38" t="s">
        <v>833</v>
      </c>
      <c r="B20" s="35" t="s">
        <v>834</v>
      </c>
      <c r="C20" s="27">
        <v>1437</v>
      </c>
      <c r="E20" s="35" t="s">
        <v>834</v>
      </c>
      <c r="F20" s="27">
        <v>1873</v>
      </c>
      <c r="G20" t="b">
        <f t="shared" si="0"/>
        <v>1</v>
      </c>
      <c r="J20" s="24">
        <f t="shared" si="1"/>
        <v>436</v>
      </c>
      <c r="K20" s="4">
        <f t="shared" si="2"/>
        <v>0.303409881697982</v>
      </c>
      <c r="M20" s="118">
        <v>2230.62</v>
      </c>
      <c r="N20" s="118">
        <v>3750.21</v>
      </c>
      <c r="Q20" s="118">
        <v>17048.22</v>
      </c>
      <c r="U20" s="141">
        <f t="shared" si="3"/>
        <v>1519.5900000000001</v>
      </c>
      <c r="V20" s="4">
        <f t="shared" si="4"/>
        <v>0.68124108992118804</v>
      </c>
      <c r="W20" s="17">
        <v>41654.28</v>
      </c>
      <c r="X20" s="17">
        <v>46595.92</v>
      </c>
      <c r="Y20" s="4">
        <f t="shared" si="5"/>
        <v>0.1186346277021233</v>
      </c>
      <c r="Z20" s="4"/>
    </row>
    <row r="21" spans="1:26" ht="13.9" customHeight="1">
      <c r="A21" t="s">
        <v>676</v>
      </c>
      <c r="B21" t="s">
        <v>677</v>
      </c>
      <c r="C21" s="27">
        <v>13942</v>
      </c>
      <c r="E21" t="s">
        <v>677</v>
      </c>
      <c r="F21" s="27">
        <v>13748</v>
      </c>
      <c r="G21" t="b">
        <f t="shared" si="0"/>
        <v>1</v>
      </c>
      <c r="J21" s="24">
        <f t="shared" si="1"/>
        <v>-194</v>
      </c>
      <c r="K21" s="4">
        <f t="shared" si="2"/>
        <v>-1.391478984363792E-2</v>
      </c>
      <c r="M21" s="119">
        <v>22143.09</v>
      </c>
      <c r="N21" s="119">
        <v>20947.599999999999</v>
      </c>
      <c r="Q21" s="119">
        <v>126728.07</v>
      </c>
      <c r="U21" s="141">
        <f t="shared" si="3"/>
        <v>-1195.4900000000016</v>
      </c>
      <c r="V21" s="4">
        <f t="shared" si="4"/>
        <v>-5.3989303209263095E-2</v>
      </c>
      <c r="W21" s="17">
        <v>474835.76</v>
      </c>
      <c r="X21" s="17">
        <v>473229.96</v>
      </c>
      <c r="Y21" s="4">
        <f t="shared" si="5"/>
        <v>-3.3818008989044968E-3</v>
      </c>
      <c r="Z21" s="4"/>
    </row>
    <row r="22" spans="1:26" ht="13.9" customHeight="1">
      <c r="A22" t="s">
        <v>831</v>
      </c>
      <c r="B22" t="s">
        <v>832</v>
      </c>
      <c r="C22" s="27">
        <v>5098</v>
      </c>
      <c r="E22" t="s">
        <v>832</v>
      </c>
      <c r="F22" s="27">
        <v>5148</v>
      </c>
      <c r="G22" t="b">
        <f t="shared" si="0"/>
        <v>1</v>
      </c>
      <c r="J22" s="24">
        <f t="shared" si="1"/>
        <v>50</v>
      </c>
      <c r="K22" s="4">
        <f t="shared" si="2"/>
        <v>9.807767752059604E-3</v>
      </c>
      <c r="M22" s="119">
        <v>4959.5599999999995</v>
      </c>
      <c r="N22" s="119">
        <v>7077.5</v>
      </c>
      <c r="Q22" s="119">
        <v>45050.14</v>
      </c>
      <c r="U22" s="141">
        <f t="shared" si="3"/>
        <v>2117.9400000000005</v>
      </c>
      <c r="V22" s="4">
        <f t="shared" si="4"/>
        <v>0.42704191500858957</v>
      </c>
      <c r="W22" s="17">
        <v>198356.7</v>
      </c>
      <c r="X22" s="17">
        <v>198442.44</v>
      </c>
      <c r="Y22" s="4">
        <f t="shared" si="5"/>
        <v>4.3225159523219148E-4</v>
      </c>
      <c r="Z22" s="4"/>
    </row>
    <row r="23" spans="1:26" ht="13.9" customHeight="1">
      <c r="A23" s="38" t="s">
        <v>827</v>
      </c>
      <c r="B23" s="35" t="s">
        <v>828</v>
      </c>
      <c r="C23" s="27">
        <v>1434</v>
      </c>
      <c r="E23" s="35" t="s">
        <v>828</v>
      </c>
      <c r="F23" s="27">
        <v>3584</v>
      </c>
      <c r="G23" t="b">
        <f t="shared" si="0"/>
        <v>1</v>
      </c>
      <c r="J23" s="24">
        <f t="shared" si="1"/>
        <v>2150</v>
      </c>
      <c r="K23" s="4">
        <f t="shared" si="2"/>
        <v>1.4993026499302649</v>
      </c>
      <c r="M23" s="118">
        <v>3246.2</v>
      </c>
      <c r="N23" s="118">
        <v>6121.19</v>
      </c>
      <c r="Q23" s="118">
        <v>36091.18</v>
      </c>
      <c r="U23" s="141">
        <f t="shared" si="3"/>
        <v>2874.99</v>
      </c>
      <c r="V23" s="4">
        <f t="shared" si="4"/>
        <v>0.88564783439098016</v>
      </c>
      <c r="W23" s="17">
        <v>42938.58</v>
      </c>
      <c r="X23" s="17">
        <v>107438.97</v>
      </c>
      <c r="Y23" s="4">
        <f t="shared" si="5"/>
        <v>1.5021547056283651</v>
      </c>
      <c r="Z23" s="4"/>
    </row>
    <row r="24" spans="1:26" ht="13.9" customHeight="1">
      <c r="A24" s="38" t="s">
        <v>859</v>
      </c>
      <c r="B24" s="35" t="s">
        <v>860</v>
      </c>
      <c r="C24" s="27">
        <v>1661</v>
      </c>
      <c r="E24" s="35" t="s">
        <v>860</v>
      </c>
      <c r="F24" s="27">
        <v>2229</v>
      </c>
      <c r="G24" t="b">
        <f t="shared" si="0"/>
        <v>1</v>
      </c>
      <c r="J24" s="24">
        <f t="shared" si="1"/>
        <v>568</v>
      </c>
      <c r="K24" s="4">
        <f t="shared" si="2"/>
        <v>0.34196267308850081</v>
      </c>
      <c r="M24" s="118">
        <v>5247.3</v>
      </c>
      <c r="N24" s="118">
        <v>5004.6399999999994</v>
      </c>
      <c r="Q24" s="118">
        <v>21242.16</v>
      </c>
      <c r="U24" s="141">
        <f t="shared" si="3"/>
        <v>-242.66000000000076</v>
      </c>
      <c r="V24" s="4">
        <f t="shared" si="4"/>
        <v>-4.6244735387723335E-2</v>
      </c>
      <c r="W24" s="17">
        <v>36202.67</v>
      </c>
      <c r="X24" s="17">
        <v>44578.8</v>
      </c>
      <c r="Y24" s="4">
        <f t="shared" si="5"/>
        <v>0.23136774166104335</v>
      </c>
      <c r="Z24" s="4"/>
    </row>
    <row r="25" spans="1:26" ht="13.9" customHeight="1">
      <c r="A25" t="s">
        <v>472</v>
      </c>
      <c r="B25" t="s">
        <v>473</v>
      </c>
      <c r="C25" s="27">
        <v>6091</v>
      </c>
      <c r="E25" t="s">
        <v>473</v>
      </c>
      <c r="F25" s="27">
        <v>6540</v>
      </c>
      <c r="G25" t="b">
        <f t="shared" si="0"/>
        <v>1</v>
      </c>
      <c r="J25" s="24">
        <f t="shared" si="1"/>
        <v>449</v>
      </c>
      <c r="K25" s="4">
        <f t="shared" si="2"/>
        <v>7.3715317681825709E-2</v>
      </c>
      <c r="M25" s="119">
        <v>12036.65</v>
      </c>
      <c r="N25" s="119">
        <v>11215.44</v>
      </c>
      <c r="Q25" s="119">
        <v>51578.27</v>
      </c>
      <c r="U25" s="141">
        <f t="shared" si="3"/>
        <v>-821.20999999999913</v>
      </c>
      <c r="V25" s="4">
        <f t="shared" si="4"/>
        <v>-6.8225793721675032E-2</v>
      </c>
      <c r="W25" s="17">
        <v>176291.91</v>
      </c>
      <c r="X25" s="17">
        <v>180697.21</v>
      </c>
      <c r="Y25" s="4">
        <f t="shared" si="5"/>
        <v>2.4988667942845488E-2</v>
      </c>
      <c r="Z25" s="4"/>
    </row>
    <row r="26" spans="1:26" ht="13.9" customHeight="1">
      <c r="A26" t="s">
        <v>869</v>
      </c>
      <c r="B26" t="s">
        <v>870</v>
      </c>
      <c r="C26" s="27">
        <v>3692</v>
      </c>
      <c r="E26" t="s">
        <v>870</v>
      </c>
      <c r="F26" s="27">
        <v>3825</v>
      </c>
      <c r="G26" t="b">
        <f t="shared" si="0"/>
        <v>1</v>
      </c>
      <c r="J26" s="24">
        <f t="shared" si="1"/>
        <v>133</v>
      </c>
      <c r="K26" s="4">
        <f t="shared" si="2"/>
        <v>3.6023835319610065E-2</v>
      </c>
      <c r="M26" s="119">
        <v>3487.58</v>
      </c>
      <c r="N26" s="119">
        <v>3932.92</v>
      </c>
      <c r="Q26" s="119">
        <v>27249.439999999999</v>
      </c>
      <c r="U26" s="141">
        <f t="shared" si="3"/>
        <v>445.34000000000015</v>
      </c>
      <c r="V26" s="4">
        <f t="shared" si="4"/>
        <v>0.12769312818630696</v>
      </c>
      <c r="W26" s="17">
        <v>98704.639999999999</v>
      </c>
      <c r="X26" s="17">
        <v>99445.81</v>
      </c>
      <c r="Y26" s="4">
        <f t="shared" si="5"/>
        <v>7.5089681700879485E-3</v>
      </c>
      <c r="Z26" s="4"/>
    </row>
    <row r="27" spans="1:26" ht="13.9" customHeight="1">
      <c r="A27" t="s">
        <v>730</v>
      </c>
      <c r="B27" t="s">
        <v>731</v>
      </c>
      <c r="C27" s="27">
        <v>1543</v>
      </c>
      <c r="E27" t="s">
        <v>731</v>
      </c>
      <c r="F27" s="27">
        <v>1693</v>
      </c>
      <c r="G27" t="b">
        <f t="shared" si="0"/>
        <v>1</v>
      </c>
      <c r="J27" s="24">
        <f t="shared" si="1"/>
        <v>150</v>
      </c>
      <c r="K27" s="4">
        <f t="shared" si="2"/>
        <v>9.7213220998055627E-2</v>
      </c>
      <c r="M27" s="119">
        <v>1950.3</v>
      </c>
      <c r="N27" s="119">
        <v>2513.15</v>
      </c>
      <c r="Q27" s="119">
        <v>17414.27</v>
      </c>
      <c r="U27" s="141">
        <f t="shared" si="3"/>
        <v>562.85000000000014</v>
      </c>
      <c r="V27" s="4">
        <f t="shared" si="4"/>
        <v>0.28859662616007808</v>
      </c>
      <c r="W27" s="17">
        <v>34911.78</v>
      </c>
      <c r="X27" s="17">
        <v>39569.83</v>
      </c>
      <c r="Y27" s="4">
        <f t="shared" si="5"/>
        <v>0.13342344618349467</v>
      </c>
      <c r="Z27" s="4"/>
    </row>
    <row r="28" spans="1:26" ht="13.9" customHeight="1">
      <c r="A28" t="s">
        <v>841</v>
      </c>
      <c r="B28" t="s">
        <v>842</v>
      </c>
      <c r="C28" s="27">
        <v>4688</v>
      </c>
      <c r="E28" t="s">
        <v>842</v>
      </c>
      <c r="F28" s="27">
        <v>3720</v>
      </c>
      <c r="G28" t="b">
        <f t="shared" si="0"/>
        <v>1</v>
      </c>
      <c r="J28" s="24">
        <f t="shared" si="1"/>
        <v>-968</v>
      </c>
      <c r="K28" s="4">
        <f t="shared" si="2"/>
        <v>-0.20648464163822522</v>
      </c>
      <c r="M28" s="119">
        <v>3257.01</v>
      </c>
      <c r="N28" s="119">
        <v>3217.33</v>
      </c>
      <c r="Q28" s="119">
        <v>27485.99</v>
      </c>
      <c r="U28" s="141">
        <f t="shared" si="3"/>
        <v>-39.680000000000291</v>
      </c>
      <c r="V28" s="4">
        <f t="shared" si="4"/>
        <v>-1.2182953076594893E-2</v>
      </c>
      <c r="W28" s="17">
        <v>140228.85</v>
      </c>
      <c r="X28" s="17">
        <v>111333.75999999999</v>
      </c>
      <c r="Y28" s="4">
        <f t="shared" si="5"/>
        <v>-0.20605667093469004</v>
      </c>
      <c r="Z28" s="4"/>
    </row>
    <row r="29" spans="1:26" ht="13.9" customHeight="1">
      <c r="A29" t="s">
        <v>779</v>
      </c>
      <c r="B29" t="s">
        <v>780</v>
      </c>
      <c r="C29" s="27">
        <v>4352</v>
      </c>
      <c r="E29" t="s">
        <v>780</v>
      </c>
      <c r="F29" s="27">
        <v>2892</v>
      </c>
      <c r="G29" t="b">
        <f t="shared" si="0"/>
        <v>1</v>
      </c>
      <c r="J29" s="24">
        <f t="shared" si="1"/>
        <v>-1460</v>
      </c>
      <c r="K29" s="4">
        <f t="shared" si="2"/>
        <v>-0.33547794117647056</v>
      </c>
      <c r="M29" s="119">
        <v>8915.52</v>
      </c>
      <c r="N29" s="119">
        <v>6011.08</v>
      </c>
      <c r="Q29" s="119">
        <v>33572.32</v>
      </c>
      <c r="U29" s="141">
        <f t="shared" si="3"/>
        <v>-2904.4400000000005</v>
      </c>
      <c r="V29" s="4">
        <f t="shared" si="4"/>
        <v>-0.3257734826459926</v>
      </c>
      <c r="W29" s="17">
        <v>147541.07</v>
      </c>
      <c r="X29" s="17">
        <v>112301.48</v>
      </c>
      <c r="Y29" s="4">
        <f t="shared" si="5"/>
        <v>-0.23884597014241538</v>
      </c>
      <c r="Z29" s="4"/>
    </row>
    <row r="30" spans="1:26" ht="13.9" customHeight="1">
      <c r="A30" s="39" t="s">
        <v>845</v>
      </c>
      <c r="B30" s="35" t="s">
        <v>846</v>
      </c>
      <c r="C30" s="27">
        <v>4776</v>
      </c>
      <c r="E30" s="35" t="s">
        <v>846</v>
      </c>
      <c r="F30" s="27">
        <v>6396</v>
      </c>
      <c r="G30" t="b">
        <f t="shared" si="0"/>
        <v>1</v>
      </c>
      <c r="J30" s="24">
        <f t="shared" si="1"/>
        <v>1620</v>
      </c>
      <c r="K30" s="4">
        <f t="shared" si="2"/>
        <v>0.33919597989949746</v>
      </c>
      <c r="M30" s="119">
        <v>11067.97</v>
      </c>
      <c r="N30" s="119">
        <v>10654.609999999999</v>
      </c>
      <c r="Q30" s="119">
        <v>49976.46</v>
      </c>
      <c r="U30" s="141">
        <f t="shared" si="3"/>
        <v>-413.36000000000058</v>
      </c>
      <c r="V30" s="4">
        <f t="shared" si="4"/>
        <v>-3.7347408784086045E-2</v>
      </c>
      <c r="W30" s="17">
        <v>104878.64</v>
      </c>
      <c r="X30" s="17">
        <v>132388</v>
      </c>
      <c r="Y30" s="4">
        <f t="shared" si="5"/>
        <v>0.26229707021372506</v>
      </c>
      <c r="Z30" s="4"/>
    </row>
    <row r="31" spans="1:26" ht="13.9" customHeight="1">
      <c r="A31" t="s">
        <v>839</v>
      </c>
      <c r="B31" t="s">
        <v>840</v>
      </c>
      <c r="C31" s="27">
        <v>1232</v>
      </c>
      <c r="E31" t="s">
        <v>840</v>
      </c>
      <c r="F31" s="27">
        <v>1412</v>
      </c>
      <c r="G31" t="b">
        <f t="shared" si="0"/>
        <v>1</v>
      </c>
      <c r="J31" s="24">
        <f t="shared" si="1"/>
        <v>180</v>
      </c>
      <c r="K31" s="4">
        <f t="shared" si="2"/>
        <v>0.14610389610389607</v>
      </c>
      <c r="M31" s="119">
        <v>927.14</v>
      </c>
      <c r="N31" s="119">
        <v>1065.56</v>
      </c>
      <c r="Q31" s="119">
        <v>9327.1200000000008</v>
      </c>
      <c r="U31" s="141">
        <f t="shared" si="3"/>
        <v>138.41999999999996</v>
      </c>
      <c r="V31" s="4">
        <f t="shared" si="4"/>
        <v>0.14929784067131169</v>
      </c>
      <c r="W31" s="17">
        <v>36871.1</v>
      </c>
      <c r="X31" s="17">
        <v>39797.410000000003</v>
      </c>
      <c r="Y31" s="4">
        <f t="shared" si="5"/>
        <v>7.9365953280482682E-2</v>
      </c>
      <c r="Z31" s="4"/>
    </row>
    <row r="32" spans="1:26" ht="13.9" customHeight="1">
      <c r="A32" t="s">
        <v>770</v>
      </c>
      <c r="B32" t="s">
        <v>771</v>
      </c>
      <c r="C32" s="27">
        <v>2920</v>
      </c>
      <c r="E32" t="s">
        <v>771</v>
      </c>
      <c r="F32" s="27">
        <v>3359</v>
      </c>
      <c r="G32" t="b">
        <f t="shared" si="0"/>
        <v>1</v>
      </c>
      <c r="J32" s="24">
        <f t="shared" si="1"/>
        <v>439</v>
      </c>
      <c r="K32" s="4">
        <f t="shared" si="2"/>
        <v>0.15034246575342469</v>
      </c>
      <c r="M32" s="119">
        <v>5476.19</v>
      </c>
      <c r="N32" s="119">
        <v>4234.41</v>
      </c>
      <c r="Q32" s="119">
        <v>23230.09</v>
      </c>
      <c r="U32" s="141">
        <f t="shared" si="3"/>
        <v>-1241.7799999999997</v>
      </c>
      <c r="V32" s="4">
        <f t="shared" si="4"/>
        <v>-0.22675984580520392</v>
      </c>
      <c r="W32" s="17">
        <v>87440.5</v>
      </c>
      <c r="X32" s="17">
        <v>94619.35</v>
      </c>
      <c r="Y32" s="4">
        <f t="shared" si="5"/>
        <v>8.2099827882960552E-2</v>
      </c>
      <c r="Z32" s="4"/>
    </row>
    <row r="33" spans="1:26" ht="13.9" customHeight="1">
      <c r="A33" t="s">
        <v>64</v>
      </c>
      <c r="B33" t="s">
        <v>65</v>
      </c>
      <c r="C33" s="27">
        <v>10266</v>
      </c>
      <c r="E33" t="s">
        <v>65</v>
      </c>
      <c r="F33" s="27">
        <v>10732</v>
      </c>
      <c r="G33" t="b">
        <f t="shared" si="0"/>
        <v>1</v>
      </c>
      <c r="J33" s="24">
        <f t="shared" si="1"/>
        <v>466</v>
      </c>
      <c r="K33" s="4">
        <f t="shared" si="2"/>
        <v>4.5392557958308988E-2</v>
      </c>
      <c r="M33" s="119">
        <v>7110.9000000000005</v>
      </c>
      <c r="N33" s="119">
        <v>8200.83</v>
      </c>
      <c r="Q33" s="119">
        <v>59772.24</v>
      </c>
      <c r="U33" s="141">
        <f t="shared" si="3"/>
        <v>1089.9299999999994</v>
      </c>
      <c r="V33" s="4">
        <f t="shared" si="4"/>
        <v>0.15327595662996241</v>
      </c>
      <c r="W33" s="17">
        <v>304178.58</v>
      </c>
      <c r="X33" s="17">
        <v>309524.37</v>
      </c>
      <c r="Y33" s="4">
        <f t="shared" si="5"/>
        <v>1.7574511656935243E-2</v>
      </c>
      <c r="Z33" s="4"/>
    </row>
    <row r="34" spans="1:26" ht="13.9" customHeight="1">
      <c r="A34" t="s">
        <v>638</v>
      </c>
      <c r="B34" t="s">
        <v>639</v>
      </c>
      <c r="C34" s="27">
        <v>4030</v>
      </c>
      <c r="E34" t="s">
        <v>639</v>
      </c>
      <c r="F34" s="27">
        <v>3793</v>
      </c>
      <c r="G34" t="b">
        <f t="shared" si="0"/>
        <v>1</v>
      </c>
      <c r="J34" s="24">
        <f t="shared" si="1"/>
        <v>-237</v>
      </c>
      <c r="K34" s="4">
        <f t="shared" si="2"/>
        <v>-5.8808933002481356E-2</v>
      </c>
      <c r="M34" s="119">
        <v>3096.27</v>
      </c>
      <c r="N34" s="119">
        <v>2144.84</v>
      </c>
      <c r="Q34" s="119">
        <v>21037.16</v>
      </c>
      <c r="U34" s="141">
        <f t="shared" si="3"/>
        <v>-951.42999999999984</v>
      </c>
      <c r="V34" s="4">
        <f t="shared" si="4"/>
        <v>-0.30728263362045294</v>
      </c>
      <c r="W34" s="17">
        <v>148811.29</v>
      </c>
      <c r="X34" s="17">
        <v>140045</v>
      </c>
      <c r="Y34" s="4">
        <f t="shared" si="5"/>
        <v>-5.8908769623595147E-2</v>
      </c>
      <c r="Z34" s="4"/>
    </row>
    <row r="35" spans="1:26" ht="13.9" customHeight="1">
      <c r="A35" t="s">
        <v>805</v>
      </c>
      <c r="B35" t="s">
        <v>806</v>
      </c>
      <c r="C35" s="27">
        <v>4062</v>
      </c>
      <c r="E35" t="s">
        <v>806</v>
      </c>
      <c r="F35" s="27">
        <v>3686</v>
      </c>
      <c r="G35" t="b">
        <f t="shared" si="0"/>
        <v>1</v>
      </c>
      <c r="J35" s="24">
        <f t="shared" si="1"/>
        <v>-376</v>
      </c>
      <c r="K35" s="4">
        <f t="shared" si="2"/>
        <v>-9.256523879862133E-2</v>
      </c>
      <c r="M35" s="119">
        <v>2718.05</v>
      </c>
      <c r="N35" s="119">
        <v>3279.04</v>
      </c>
      <c r="Q35" s="119">
        <v>29622.2</v>
      </c>
      <c r="U35" s="141">
        <f t="shared" si="3"/>
        <v>560.98999999999978</v>
      </c>
      <c r="V35" s="4">
        <f t="shared" si="4"/>
        <v>0.20639429002409804</v>
      </c>
      <c r="W35" s="17">
        <v>116810.47</v>
      </c>
      <c r="X35" s="17">
        <v>114962.83</v>
      </c>
      <c r="Y35" s="4">
        <f t="shared" si="5"/>
        <v>-1.581741773661216E-2</v>
      </c>
      <c r="Z35" s="4"/>
    </row>
    <row r="36" spans="1:26" ht="13.9" customHeight="1">
      <c r="A36" t="s">
        <v>668</v>
      </c>
      <c r="B36" t="s">
        <v>669</v>
      </c>
      <c r="C36" s="27">
        <v>1566</v>
      </c>
      <c r="E36" t="s">
        <v>669</v>
      </c>
      <c r="F36" s="27">
        <v>1282</v>
      </c>
      <c r="G36" t="b">
        <f t="shared" si="0"/>
        <v>1</v>
      </c>
      <c r="J36" s="24">
        <f t="shared" si="1"/>
        <v>-284</v>
      </c>
      <c r="K36" s="4">
        <f t="shared" si="2"/>
        <v>-0.18135376756066413</v>
      </c>
      <c r="M36" s="119">
        <v>1717.95</v>
      </c>
      <c r="N36" s="119">
        <v>2019.12</v>
      </c>
      <c r="Q36" s="119">
        <v>12702.68</v>
      </c>
      <c r="U36" s="141">
        <f t="shared" si="3"/>
        <v>301.16999999999985</v>
      </c>
      <c r="V36" s="4">
        <f t="shared" si="4"/>
        <v>0.17530777962105981</v>
      </c>
      <c r="W36" s="17">
        <v>41274.1</v>
      </c>
      <c r="X36" s="17">
        <v>38370.25</v>
      </c>
      <c r="Y36" s="4">
        <f t="shared" si="5"/>
        <v>-7.0355259109223467E-2</v>
      </c>
      <c r="Z36" s="4"/>
    </row>
    <row r="37" spans="1:26" ht="13.9" customHeight="1">
      <c r="A37" t="s">
        <v>534</v>
      </c>
      <c r="B37" t="s">
        <v>535</v>
      </c>
      <c r="C37" s="27">
        <v>0</v>
      </c>
      <c r="E37" t="s">
        <v>535</v>
      </c>
      <c r="F37" s="27">
        <v>0</v>
      </c>
      <c r="G37" t="b">
        <f t="shared" si="0"/>
        <v>1</v>
      </c>
      <c r="J37" s="24">
        <f t="shared" si="1"/>
        <v>0</v>
      </c>
      <c r="K37" s="4" t="e">
        <f t="shared" si="2"/>
        <v>#DIV/0!</v>
      </c>
      <c r="M37" s="119">
        <v>0</v>
      </c>
      <c r="N37" s="119">
        <v>0</v>
      </c>
      <c r="Q37" s="119">
        <v>0</v>
      </c>
      <c r="U37" s="141">
        <f t="shared" si="3"/>
        <v>0</v>
      </c>
      <c r="V37" s="4">
        <f t="shared" si="4"/>
        <v>0</v>
      </c>
      <c r="W37" s="17">
        <v>0</v>
      </c>
      <c r="X37" s="17">
        <v>0</v>
      </c>
      <c r="Y37" s="4" t="e">
        <f t="shared" si="5"/>
        <v>#DIV/0!</v>
      </c>
      <c r="Z37" s="4"/>
    </row>
    <row r="38" spans="1:26" ht="13.9" customHeight="1">
      <c r="A38" s="35" t="s">
        <v>442</v>
      </c>
      <c r="B38" s="35" t="s">
        <v>443</v>
      </c>
      <c r="C38" s="27">
        <v>8591</v>
      </c>
      <c r="E38" s="35" t="s">
        <v>443</v>
      </c>
      <c r="F38" s="27">
        <v>8137</v>
      </c>
      <c r="G38" t="b">
        <f t="shared" si="0"/>
        <v>1</v>
      </c>
      <c r="J38" s="24">
        <f t="shared" si="1"/>
        <v>-454</v>
      </c>
      <c r="K38" s="4">
        <f t="shared" si="2"/>
        <v>-5.2846001629612394E-2</v>
      </c>
      <c r="M38" s="119">
        <v>17534.82</v>
      </c>
      <c r="N38" s="119">
        <v>15373.18</v>
      </c>
      <c r="Q38" s="119">
        <v>69507.55</v>
      </c>
      <c r="U38" s="141">
        <f t="shared" si="3"/>
        <v>-2161.6399999999994</v>
      </c>
      <c r="V38" s="4">
        <f t="shared" si="4"/>
        <v>-0.12327699970686889</v>
      </c>
      <c r="W38" s="17">
        <v>205666.22</v>
      </c>
      <c r="X38" s="17">
        <v>203751.84</v>
      </c>
      <c r="Y38" s="4">
        <f t="shared" si="5"/>
        <v>-9.3081887730518398E-3</v>
      </c>
      <c r="Z38" s="4"/>
    </row>
    <row r="39" spans="1:26" ht="13.9" customHeight="1">
      <c r="A39" t="s">
        <v>807</v>
      </c>
      <c r="B39" t="s">
        <v>808</v>
      </c>
      <c r="C39" s="27">
        <v>1480</v>
      </c>
      <c r="E39" t="s">
        <v>808</v>
      </c>
      <c r="F39" s="27">
        <v>2283</v>
      </c>
      <c r="G39" t="b">
        <f t="shared" si="0"/>
        <v>1</v>
      </c>
      <c r="J39" s="24">
        <f t="shared" si="1"/>
        <v>803</v>
      </c>
      <c r="K39" s="4">
        <f t="shared" si="2"/>
        <v>0.54256756756756763</v>
      </c>
      <c r="M39" s="119">
        <v>2831.79</v>
      </c>
      <c r="N39" s="119">
        <v>5395.0700000000006</v>
      </c>
      <c r="Q39" s="119">
        <v>31965.27</v>
      </c>
      <c r="U39" s="141">
        <f t="shared" si="3"/>
        <v>2563.2800000000007</v>
      </c>
      <c r="V39" s="4">
        <f t="shared" si="4"/>
        <v>0.9051801157571715</v>
      </c>
      <c r="W39" s="17">
        <v>29038.78</v>
      </c>
      <c r="X39" s="17">
        <v>50150.61</v>
      </c>
      <c r="Y39" s="4">
        <f t="shared" si="5"/>
        <v>0.72702193411706695</v>
      </c>
      <c r="Z39" s="4"/>
    </row>
    <row r="40" spans="1:26" ht="13.9" customHeight="1">
      <c r="A40" t="s">
        <v>36</v>
      </c>
      <c r="B40" t="s">
        <v>37</v>
      </c>
      <c r="C40" s="27">
        <v>2782</v>
      </c>
      <c r="E40" t="s">
        <v>37</v>
      </c>
      <c r="F40" s="27">
        <v>1684</v>
      </c>
      <c r="G40" t="b">
        <f t="shared" si="0"/>
        <v>1</v>
      </c>
      <c r="J40" s="24">
        <f t="shared" si="1"/>
        <v>-1098</v>
      </c>
      <c r="K40" s="4">
        <f t="shared" si="2"/>
        <v>-0.3946800862688713</v>
      </c>
      <c r="M40" s="119">
        <v>4433.95</v>
      </c>
      <c r="N40" s="119">
        <v>2730.48</v>
      </c>
      <c r="Q40" s="119">
        <v>13996.83</v>
      </c>
      <c r="U40" s="141">
        <f t="shared" si="3"/>
        <v>-1703.4699999999998</v>
      </c>
      <c r="V40" s="4">
        <f t="shared" si="4"/>
        <v>-0.38418791371125061</v>
      </c>
      <c r="W40" s="17">
        <v>77082.990000000005</v>
      </c>
      <c r="X40" s="17">
        <v>50414.6</v>
      </c>
      <c r="Y40" s="4">
        <f t="shared" si="5"/>
        <v>-0.34596984367108752</v>
      </c>
      <c r="Z40" s="4"/>
    </row>
    <row r="41" spans="1:26" ht="13.9" customHeight="1">
      <c r="A41" t="s">
        <v>610</v>
      </c>
      <c r="B41" t="s">
        <v>611</v>
      </c>
      <c r="C41" s="27">
        <v>733</v>
      </c>
      <c r="E41" t="s">
        <v>611</v>
      </c>
      <c r="F41" s="27">
        <v>811</v>
      </c>
      <c r="G41" t="b">
        <f t="shared" si="0"/>
        <v>1</v>
      </c>
      <c r="J41" s="24">
        <f t="shared" si="1"/>
        <v>78</v>
      </c>
      <c r="K41" s="4">
        <f t="shared" si="2"/>
        <v>0.10641200545702589</v>
      </c>
      <c r="M41" s="119">
        <v>649.99</v>
      </c>
      <c r="N41" s="119">
        <v>569.08000000000004</v>
      </c>
      <c r="Q41" s="119">
        <v>5203.7</v>
      </c>
      <c r="U41" s="141">
        <f t="shared" si="3"/>
        <v>-80.909999999999968</v>
      </c>
      <c r="V41" s="4">
        <f t="shared" si="4"/>
        <v>-0.12447883813597127</v>
      </c>
      <c r="W41" s="17">
        <v>21917.4</v>
      </c>
      <c r="X41" s="17">
        <v>22846.15</v>
      </c>
      <c r="Y41" s="4">
        <f t="shared" si="5"/>
        <v>4.237500798452376E-2</v>
      </c>
      <c r="Z41" s="4"/>
    </row>
    <row r="42" spans="1:26" ht="13.9" customHeight="1">
      <c r="A42" s="122" t="s">
        <v>789</v>
      </c>
      <c r="B42" s="35" t="s">
        <v>790</v>
      </c>
      <c r="C42" s="27">
        <v>577</v>
      </c>
      <c r="E42" s="35" t="s">
        <v>790</v>
      </c>
      <c r="F42" s="27">
        <v>498</v>
      </c>
      <c r="G42" t="b">
        <f t="shared" si="0"/>
        <v>1</v>
      </c>
      <c r="J42" s="24">
        <f t="shared" si="1"/>
        <v>-79</v>
      </c>
      <c r="K42" s="4">
        <f t="shared" si="2"/>
        <v>-0.13691507798960134</v>
      </c>
      <c r="M42" s="118">
        <v>702.47</v>
      </c>
      <c r="N42" s="118">
        <v>399.03</v>
      </c>
      <c r="Q42" s="118">
        <v>1464.03</v>
      </c>
      <c r="U42" s="141">
        <f t="shared" si="3"/>
        <v>-303.44000000000005</v>
      </c>
      <c r="V42" s="4">
        <f t="shared" si="4"/>
        <v>-0.43196150725297888</v>
      </c>
      <c r="W42" s="17">
        <v>11728.15</v>
      </c>
      <c r="X42" s="17">
        <v>9345.65</v>
      </c>
      <c r="Y42" s="4">
        <f t="shared" si="5"/>
        <v>-0.20314371831874589</v>
      </c>
      <c r="Z42" s="4"/>
    </row>
    <row r="43" spans="1:26" ht="13.9" customHeight="1">
      <c r="A43" t="s">
        <v>752</v>
      </c>
      <c r="B43" t="s">
        <v>753</v>
      </c>
      <c r="C43" s="27">
        <v>1145</v>
      </c>
      <c r="E43" t="s">
        <v>753</v>
      </c>
      <c r="F43" s="27">
        <v>1581</v>
      </c>
      <c r="G43" t="b">
        <f t="shared" si="0"/>
        <v>1</v>
      </c>
      <c r="J43" s="24">
        <f t="shared" si="1"/>
        <v>436</v>
      </c>
      <c r="K43" s="4">
        <f t="shared" si="2"/>
        <v>0.38078602620087332</v>
      </c>
      <c r="M43" s="119">
        <v>1363.11</v>
      </c>
      <c r="N43" s="119">
        <v>1671.19</v>
      </c>
      <c r="Q43" s="119">
        <v>14381.91</v>
      </c>
      <c r="U43" s="141">
        <f t="shared" si="3"/>
        <v>308.08000000000015</v>
      </c>
      <c r="V43" s="4">
        <f t="shared" si="4"/>
        <v>0.22601257418696963</v>
      </c>
      <c r="W43" s="17">
        <v>34252.17</v>
      </c>
      <c r="X43" s="17">
        <v>43753.06</v>
      </c>
      <c r="Y43" s="4">
        <f t="shared" si="5"/>
        <v>0.27738067398357535</v>
      </c>
      <c r="Z43" s="4"/>
    </row>
    <row r="44" spans="1:26">
      <c r="A44" t="s">
        <v>206</v>
      </c>
      <c r="B44" t="s">
        <v>207</v>
      </c>
      <c r="C44" s="27">
        <v>1295</v>
      </c>
      <c r="E44" t="s">
        <v>207</v>
      </c>
      <c r="F44" s="27">
        <v>1179</v>
      </c>
      <c r="G44" t="b">
        <f t="shared" si="0"/>
        <v>1</v>
      </c>
      <c r="J44" s="24">
        <f t="shared" si="1"/>
        <v>-116</v>
      </c>
      <c r="K44" s="4">
        <f t="shared" si="2"/>
        <v>-8.9575289575289596E-2</v>
      </c>
      <c r="M44" s="119">
        <v>3638.53</v>
      </c>
      <c r="N44" s="119">
        <v>3179.54</v>
      </c>
      <c r="Q44" s="119">
        <v>14665.23</v>
      </c>
      <c r="U44" s="141">
        <f t="shared" si="3"/>
        <v>-458.99000000000024</v>
      </c>
      <c r="V44" s="4">
        <f t="shared" si="4"/>
        <v>-0.12614709786644607</v>
      </c>
      <c r="W44" s="17">
        <v>29671.69</v>
      </c>
      <c r="X44" s="17">
        <v>26669.98</v>
      </c>
      <c r="Y44" s="4">
        <f t="shared" si="5"/>
        <v>-0.10116410625751349</v>
      </c>
      <c r="Z44" s="4"/>
    </row>
    <row r="45" spans="1:26">
      <c r="A45" t="s">
        <v>106</v>
      </c>
      <c r="B45" t="s">
        <v>107</v>
      </c>
      <c r="C45" s="27">
        <v>1601</v>
      </c>
      <c r="E45" t="s">
        <v>107</v>
      </c>
      <c r="F45" s="27">
        <v>2015</v>
      </c>
      <c r="G45" t="b">
        <f t="shared" si="0"/>
        <v>1</v>
      </c>
      <c r="J45" s="24">
        <f t="shared" si="1"/>
        <v>414</v>
      </c>
      <c r="K45" s="4">
        <f t="shared" si="2"/>
        <v>0.25858838226108682</v>
      </c>
      <c r="L45" s="5"/>
      <c r="M45" s="119">
        <v>1646.06</v>
      </c>
      <c r="N45" s="119">
        <v>3308.15</v>
      </c>
      <c r="O45" s="5"/>
      <c r="P45" s="5"/>
      <c r="Q45" s="119">
        <v>17628.2</v>
      </c>
      <c r="R45" s="5"/>
      <c r="S45" s="5"/>
      <c r="T45" s="5"/>
      <c r="U45" s="141">
        <f t="shared" si="3"/>
        <v>1662.0900000000001</v>
      </c>
      <c r="V45" s="4">
        <f t="shared" si="4"/>
        <v>1.009738405647425</v>
      </c>
      <c r="W45" s="17">
        <v>40029.33</v>
      </c>
      <c r="X45" s="17">
        <v>50885.38</v>
      </c>
      <c r="Y45" s="4">
        <f t="shared" si="5"/>
        <v>0.27120239084691145</v>
      </c>
      <c r="Z45" s="4"/>
    </row>
    <row r="46" spans="1:26">
      <c r="A46" s="35" t="s">
        <v>801</v>
      </c>
      <c r="B46" s="35" t="s">
        <v>802</v>
      </c>
      <c r="C46" s="27">
        <v>1440</v>
      </c>
      <c r="E46" s="35" t="s">
        <v>802</v>
      </c>
      <c r="F46" s="27">
        <v>1269</v>
      </c>
      <c r="G46" t="b">
        <f t="shared" si="0"/>
        <v>1</v>
      </c>
      <c r="J46" s="24">
        <f t="shared" si="1"/>
        <v>-171</v>
      </c>
      <c r="K46" s="4">
        <f t="shared" si="2"/>
        <v>-0.11875000000000002</v>
      </c>
      <c r="M46" s="119">
        <v>1586.62</v>
      </c>
      <c r="N46" s="119">
        <v>1956.11</v>
      </c>
      <c r="Q46" s="119">
        <v>10661.57</v>
      </c>
      <c r="U46" s="141">
        <f t="shared" si="3"/>
        <v>369.49</v>
      </c>
      <c r="V46" s="4">
        <f t="shared" si="4"/>
        <v>0.2328786981129698</v>
      </c>
      <c r="W46" s="17">
        <v>13679.77</v>
      </c>
      <c r="X46" s="17">
        <v>12604.38</v>
      </c>
      <c r="Y46" s="4">
        <f t="shared" si="5"/>
        <v>-7.8611701804928047E-2</v>
      </c>
      <c r="Z46" s="4"/>
    </row>
    <row r="47" spans="1:26" ht="13.5" customHeight="1">
      <c r="A47" s="38" t="s">
        <v>766</v>
      </c>
      <c r="B47" s="35" t="s">
        <v>767</v>
      </c>
      <c r="C47" s="27">
        <v>2316</v>
      </c>
      <c r="E47" s="35" t="s">
        <v>767</v>
      </c>
      <c r="F47" s="27">
        <v>2330</v>
      </c>
      <c r="G47" t="b">
        <f t="shared" si="0"/>
        <v>1</v>
      </c>
      <c r="J47" s="24">
        <f t="shared" si="1"/>
        <v>14</v>
      </c>
      <c r="K47" s="4">
        <f t="shared" si="2"/>
        <v>6.044905008635526E-3</v>
      </c>
      <c r="M47" s="119">
        <v>6302.32</v>
      </c>
      <c r="N47" s="119">
        <v>5666.84</v>
      </c>
      <c r="Q47" s="119">
        <v>35821.53</v>
      </c>
      <c r="U47" s="141">
        <f t="shared" si="3"/>
        <v>-635.47999999999956</v>
      </c>
      <c r="V47" s="4">
        <f t="shared" si="4"/>
        <v>-0.10083270922453946</v>
      </c>
      <c r="W47" s="17">
        <v>60669.4</v>
      </c>
      <c r="X47" s="17">
        <v>59630.53</v>
      </c>
      <c r="Y47" s="4">
        <f t="shared" si="5"/>
        <v>-1.7123459272714081E-2</v>
      </c>
      <c r="Z47" s="4"/>
    </row>
    <row r="48" spans="1:26">
      <c r="A48" t="s">
        <v>672</v>
      </c>
      <c r="B48" t="s">
        <v>673</v>
      </c>
      <c r="C48" s="27">
        <v>1479</v>
      </c>
      <c r="E48" t="s">
        <v>673</v>
      </c>
      <c r="F48" s="27">
        <v>1413</v>
      </c>
      <c r="G48" t="b">
        <f t="shared" si="0"/>
        <v>1</v>
      </c>
      <c r="J48" s="24">
        <f t="shared" si="1"/>
        <v>-66</v>
      </c>
      <c r="K48" s="4">
        <f t="shared" si="2"/>
        <v>-4.4624746450304231E-2</v>
      </c>
      <c r="M48" s="119">
        <v>3309.17</v>
      </c>
      <c r="N48" s="119">
        <v>3113.15</v>
      </c>
      <c r="Q48" s="119">
        <v>15977.62</v>
      </c>
      <c r="U48" s="141">
        <f t="shared" si="3"/>
        <v>-196.01999999999998</v>
      </c>
      <c r="V48" s="4">
        <f t="shared" si="4"/>
        <v>-5.923539739572159E-2</v>
      </c>
      <c r="W48" s="17">
        <v>32488.02</v>
      </c>
      <c r="X48" s="17">
        <v>31052.23</v>
      </c>
      <c r="Y48" s="4">
        <f t="shared" si="5"/>
        <v>-4.4194444598347316E-2</v>
      </c>
      <c r="Z48" s="4"/>
    </row>
    <row r="49" spans="1:26">
      <c r="A49" s="38" t="s">
        <v>680</v>
      </c>
      <c r="B49" s="35" t="s">
        <v>681</v>
      </c>
      <c r="C49" s="27">
        <v>731</v>
      </c>
      <c r="E49" s="35" t="s">
        <v>681</v>
      </c>
      <c r="F49" s="27">
        <v>851</v>
      </c>
      <c r="G49" t="b">
        <f t="shared" si="0"/>
        <v>1</v>
      </c>
      <c r="J49" s="24">
        <f t="shared" si="1"/>
        <v>120</v>
      </c>
      <c r="K49" s="4">
        <f t="shared" si="2"/>
        <v>0.16415868673050626</v>
      </c>
      <c r="M49" s="118">
        <v>1468.72</v>
      </c>
      <c r="N49" s="118">
        <v>1526.96</v>
      </c>
      <c r="Q49" s="118">
        <v>8392.98</v>
      </c>
      <c r="U49" s="141">
        <f t="shared" si="3"/>
        <v>58.240000000000009</v>
      </c>
      <c r="V49" s="4">
        <f t="shared" si="4"/>
        <v>3.9653575902826921E-2</v>
      </c>
      <c r="W49" s="17">
        <v>16666.93</v>
      </c>
      <c r="X49" s="17">
        <v>19162.68</v>
      </c>
      <c r="Y49" s="4">
        <f t="shared" si="5"/>
        <v>0.14974263406638166</v>
      </c>
      <c r="Z49" s="4"/>
    </row>
    <row r="50" spans="1:26">
      <c r="A50" s="35" t="s">
        <v>815</v>
      </c>
      <c r="B50" s="35" t="s">
        <v>816</v>
      </c>
      <c r="C50" s="27">
        <v>1657</v>
      </c>
      <c r="E50" s="35" t="s">
        <v>816</v>
      </c>
      <c r="F50" s="27">
        <v>1596</v>
      </c>
      <c r="G50" t="b">
        <f t="shared" si="0"/>
        <v>1</v>
      </c>
      <c r="J50" s="24">
        <f t="shared" si="1"/>
        <v>-61</v>
      </c>
      <c r="K50" s="4">
        <f t="shared" si="2"/>
        <v>-3.6813518406759171E-2</v>
      </c>
      <c r="M50" s="119">
        <v>3207.17</v>
      </c>
      <c r="N50" s="119">
        <v>3539.96</v>
      </c>
      <c r="Q50" s="119">
        <v>24035.72</v>
      </c>
      <c r="U50" s="141">
        <f t="shared" si="3"/>
        <v>332.78999999999996</v>
      </c>
      <c r="V50" s="4">
        <f t="shared" si="4"/>
        <v>0.10376437794067672</v>
      </c>
      <c r="W50" s="17">
        <v>33058.660000000003</v>
      </c>
      <c r="X50" s="17">
        <v>31857.14</v>
      </c>
      <c r="Y50" s="4">
        <f t="shared" si="5"/>
        <v>-3.6345090817353265E-2</v>
      </c>
      <c r="Z50" s="4"/>
    </row>
    <row r="51" spans="1:26">
      <c r="A51" t="s">
        <v>817</v>
      </c>
      <c r="B51" t="s">
        <v>818</v>
      </c>
      <c r="C51" s="27">
        <v>2796</v>
      </c>
      <c r="E51" t="s">
        <v>818</v>
      </c>
      <c r="F51" s="27">
        <v>3073</v>
      </c>
      <c r="G51" t="b">
        <f t="shared" si="0"/>
        <v>1</v>
      </c>
      <c r="J51" s="24">
        <f t="shared" si="1"/>
        <v>277</v>
      </c>
      <c r="K51" s="4">
        <f t="shared" si="2"/>
        <v>9.9070100143061612E-2</v>
      </c>
      <c r="M51" s="119">
        <v>2846.44</v>
      </c>
      <c r="N51" s="119">
        <v>3678.37</v>
      </c>
      <c r="Q51" s="119">
        <v>22946.39</v>
      </c>
      <c r="U51" s="141">
        <f t="shared" si="3"/>
        <v>831.92999999999984</v>
      </c>
      <c r="V51" s="4">
        <f t="shared" si="4"/>
        <v>0.29227034471128843</v>
      </c>
      <c r="W51" s="17">
        <v>97458.45</v>
      </c>
      <c r="X51" s="17">
        <v>107391.39</v>
      </c>
      <c r="Y51" s="4">
        <f t="shared" si="5"/>
        <v>0.10191974118201141</v>
      </c>
      <c r="Z51" s="4"/>
    </row>
    <row r="52" spans="1:26">
      <c r="A52" s="38" t="s">
        <v>284</v>
      </c>
      <c r="B52" s="35" t="s">
        <v>285</v>
      </c>
      <c r="C52" s="27">
        <v>6780</v>
      </c>
      <c r="E52" s="35" t="s">
        <v>285</v>
      </c>
      <c r="F52" s="27">
        <v>5801</v>
      </c>
      <c r="G52" t="b">
        <f t="shared" si="0"/>
        <v>1</v>
      </c>
      <c r="J52" s="24">
        <f t="shared" si="1"/>
        <v>-979</v>
      </c>
      <c r="K52" s="4">
        <f t="shared" si="2"/>
        <v>-0.14439528023598824</v>
      </c>
      <c r="M52" s="119">
        <v>12173.52</v>
      </c>
      <c r="N52" s="119">
        <v>9603.0499999999993</v>
      </c>
      <c r="Q52" s="119">
        <v>42029.4</v>
      </c>
      <c r="U52" s="141">
        <f t="shared" si="3"/>
        <v>-2570.4700000000012</v>
      </c>
      <c r="V52" s="4">
        <f t="shared" si="4"/>
        <v>-0.21115256721145581</v>
      </c>
      <c r="W52" s="17">
        <v>150424.72</v>
      </c>
      <c r="X52" s="17">
        <v>147118.24</v>
      </c>
      <c r="Y52" s="4">
        <f t="shared" si="5"/>
        <v>-2.1980961639815666E-2</v>
      </c>
      <c r="Z52" s="4"/>
    </row>
    <row r="53" spans="1:26" ht="30">
      <c r="A53" s="38" t="s">
        <v>624</v>
      </c>
      <c r="B53" s="35" t="s">
        <v>625</v>
      </c>
      <c r="C53" s="27">
        <v>573</v>
      </c>
      <c r="E53" s="35" t="s">
        <v>625</v>
      </c>
      <c r="F53" s="27">
        <v>406</v>
      </c>
      <c r="G53" t="b">
        <f t="shared" si="0"/>
        <v>1</v>
      </c>
      <c r="J53" s="24">
        <f t="shared" si="1"/>
        <v>-167</v>
      </c>
      <c r="K53" s="4">
        <f t="shared" si="2"/>
        <v>-0.29144851657940662</v>
      </c>
      <c r="M53" s="118">
        <v>0</v>
      </c>
      <c r="N53" s="118">
        <v>0</v>
      </c>
      <c r="Q53" s="118">
        <v>0</v>
      </c>
      <c r="U53" s="141">
        <f t="shared" si="3"/>
        <v>0</v>
      </c>
      <c r="V53" s="4">
        <f t="shared" si="4"/>
        <v>0</v>
      </c>
      <c r="W53" s="17">
        <v>5723.67</v>
      </c>
      <c r="X53" s="17">
        <v>4053.92</v>
      </c>
      <c r="Y53" s="4">
        <f t="shared" si="5"/>
        <v>-0.29172716106973318</v>
      </c>
      <c r="Z53" s="4"/>
    </row>
    <row r="54" spans="1:26">
      <c r="A54" t="s">
        <v>218</v>
      </c>
      <c r="B54" t="s">
        <v>219</v>
      </c>
      <c r="C54" s="27">
        <v>1940</v>
      </c>
      <c r="E54" t="s">
        <v>219</v>
      </c>
      <c r="F54" s="27">
        <v>1904</v>
      </c>
      <c r="G54" t="b">
        <f t="shared" si="0"/>
        <v>1</v>
      </c>
      <c r="J54" s="24">
        <f t="shared" si="1"/>
        <v>-36</v>
      </c>
      <c r="K54" s="4">
        <f t="shared" si="2"/>
        <v>-1.855670103092788E-2</v>
      </c>
      <c r="M54" s="119">
        <v>1272.92</v>
      </c>
      <c r="N54" s="119">
        <v>1347.27</v>
      </c>
      <c r="Q54" s="119">
        <v>10674.14</v>
      </c>
      <c r="U54" s="141">
        <f t="shared" si="3"/>
        <v>74.349999999999909</v>
      </c>
      <c r="V54" s="4">
        <f t="shared" si="4"/>
        <v>5.840901234955842E-2</v>
      </c>
      <c r="W54" s="17">
        <v>46383.23</v>
      </c>
      <c r="X54" s="17">
        <v>45519.13</v>
      </c>
      <c r="Y54" s="4">
        <f t="shared" si="5"/>
        <v>-1.8629577974625833E-2</v>
      </c>
      <c r="Z54" s="4"/>
    </row>
    <row r="55" spans="1:26">
      <c r="A55" t="s">
        <v>396</v>
      </c>
      <c r="B55" t="s">
        <v>397</v>
      </c>
      <c r="C55" s="27">
        <v>1424</v>
      </c>
      <c r="E55" t="s">
        <v>397</v>
      </c>
      <c r="F55" s="27">
        <v>1105</v>
      </c>
      <c r="G55" t="b">
        <f t="shared" si="0"/>
        <v>1</v>
      </c>
      <c r="J55" s="24">
        <f t="shared" si="1"/>
        <v>-319</v>
      </c>
      <c r="K55" s="4">
        <f t="shared" si="2"/>
        <v>-0.2240168539325843</v>
      </c>
      <c r="M55" s="119">
        <v>2652.68</v>
      </c>
      <c r="N55" s="119">
        <v>2106.38</v>
      </c>
      <c r="Q55" s="119">
        <v>12232.42</v>
      </c>
      <c r="U55" s="141">
        <f t="shared" si="3"/>
        <v>-546.29999999999973</v>
      </c>
      <c r="V55" s="4">
        <f t="shared" si="4"/>
        <v>-0.20594266930048089</v>
      </c>
      <c r="W55" s="17">
        <v>36514.93</v>
      </c>
      <c r="X55" s="17">
        <v>29712.58</v>
      </c>
      <c r="Y55" s="4">
        <f t="shared" si="5"/>
        <v>-0.18628955334160568</v>
      </c>
      <c r="Z55" s="4"/>
    </row>
    <row r="56" spans="1:26">
      <c r="A56" t="s">
        <v>851</v>
      </c>
      <c r="B56" t="s">
        <v>852</v>
      </c>
      <c r="C56" s="27">
        <v>4373</v>
      </c>
      <c r="E56" t="s">
        <v>852</v>
      </c>
      <c r="F56" s="27">
        <v>4559</v>
      </c>
      <c r="G56" t="b">
        <f t="shared" si="0"/>
        <v>1</v>
      </c>
      <c r="J56" s="24">
        <f t="shared" si="1"/>
        <v>186</v>
      </c>
      <c r="K56" s="4">
        <f t="shared" si="2"/>
        <v>4.2533729705007906E-2</v>
      </c>
      <c r="M56" s="119">
        <v>1801.71</v>
      </c>
      <c r="N56" s="119">
        <v>1425.38</v>
      </c>
      <c r="Q56" s="119">
        <v>24176.89</v>
      </c>
      <c r="U56" s="141">
        <f t="shared" si="3"/>
        <v>-376.32999999999993</v>
      </c>
      <c r="V56" s="4">
        <f t="shared" si="4"/>
        <v>-0.20887379211970847</v>
      </c>
      <c r="W56" s="17">
        <v>187465.55</v>
      </c>
      <c r="X56" s="17">
        <v>194712.1</v>
      </c>
      <c r="Y56" s="4">
        <f t="shared" si="5"/>
        <v>3.8655368946454605E-2</v>
      </c>
      <c r="Z56" s="4"/>
    </row>
    <row r="57" spans="1:26">
      <c r="A57" s="38" t="s">
        <v>877</v>
      </c>
      <c r="B57" s="35" t="s">
        <v>878</v>
      </c>
      <c r="C57" s="18">
        <v>9250</v>
      </c>
      <c r="E57" s="35" t="s">
        <v>878</v>
      </c>
      <c r="F57" s="18">
        <v>10337</v>
      </c>
      <c r="G57" t="b">
        <f t="shared" si="0"/>
        <v>1</v>
      </c>
      <c r="J57" s="24">
        <f t="shared" si="1"/>
        <v>1087</v>
      </c>
      <c r="K57" s="4">
        <f t="shared" si="2"/>
        <v>0.11751351351351347</v>
      </c>
      <c r="M57" s="118">
        <v>23471.94</v>
      </c>
      <c r="N57" s="118">
        <v>21789.46</v>
      </c>
      <c r="Q57" s="118">
        <v>115130.29</v>
      </c>
      <c r="U57" s="141">
        <f t="shared" si="3"/>
        <v>-1682.4799999999996</v>
      </c>
      <c r="V57" s="4">
        <f t="shared" si="4"/>
        <v>-7.1680483164152542E-2</v>
      </c>
      <c r="W57">
        <v>230402.15</v>
      </c>
      <c r="X57">
        <v>242014.04</v>
      </c>
      <c r="Y57" s="4">
        <f t="shared" si="5"/>
        <v>5.0398357827824203E-2</v>
      </c>
      <c r="Z57" s="4"/>
    </row>
    <row r="58" spans="1:26">
      <c r="A58" s="123" t="s">
        <v>708</v>
      </c>
      <c r="B58" s="35" t="s">
        <v>709</v>
      </c>
      <c r="C58" s="27">
        <v>1323</v>
      </c>
      <c r="E58" s="35" t="s">
        <v>709</v>
      </c>
      <c r="F58" s="27">
        <v>1277</v>
      </c>
      <c r="G58" t="b">
        <f t="shared" si="0"/>
        <v>1</v>
      </c>
      <c r="J58" s="24">
        <f t="shared" si="1"/>
        <v>-46</v>
      </c>
      <c r="K58" s="4">
        <f t="shared" si="2"/>
        <v>-3.4769463340891926E-2</v>
      </c>
      <c r="M58" s="118">
        <v>3545.89</v>
      </c>
      <c r="N58" s="118">
        <v>3727.73</v>
      </c>
      <c r="Q58" s="118">
        <v>16820.150000000001</v>
      </c>
      <c r="U58" s="141">
        <f t="shared" si="3"/>
        <v>181.84000000000015</v>
      </c>
      <c r="V58" s="4">
        <f t="shared" si="4"/>
        <v>5.1281906658130927E-2</v>
      </c>
      <c r="W58" s="17">
        <v>35676.19</v>
      </c>
      <c r="X58" s="17">
        <v>34436</v>
      </c>
      <c r="Y58" s="4">
        <f t="shared" si="5"/>
        <v>-3.4762400357213119E-2</v>
      </c>
      <c r="Z58" s="4"/>
    </row>
    <row r="59" spans="1:26" ht="21" customHeight="1">
      <c r="A59" s="123" t="s">
        <v>855</v>
      </c>
      <c r="B59" s="35" t="s">
        <v>856</v>
      </c>
      <c r="C59" s="27">
        <v>2916</v>
      </c>
      <c r="E59" s="35" t="s">
        <v>856</v>
      </c>
      <c r="F59" s="27">
        <v>2771</v>
      </c>
      <c r="G59" t="b">
        <f t="shared" si="0"/>
        <v>1</v>
      </c>
      <c r="J59" s="24">
        <f t="shared" si="1"/>
        <v>-145</v>
      </c>
      <c r="K59" s="4">
        <f t="shared" si="2"/>
        <v>-4.9725651577503416E-2</v>
      </c>
      <c r="M59" s="118">
        <v>4766.3999999999996</v>
      </c>
      <c r="N59" s="118">
        <v>4379.59</v>
      </c>
      <c r="Q59" s="118">
        <v>29632.58</v>
      </c>
      <c r="U59" s="141">
        <f t="shared" si="3"/>
        <v>-386.80999999999949</v>
      </c>
      <c r="V59" s="4">
        <f t="shared" si="4"/>
        <v>-8.1153491104397402E-2</v>
      </c>
      <c r="W59" s="17">
        <v>84622.12</v>
      </c>
      <c r="X59" s="17">
        <v>78139.14</v>
      </c>
      <c r="Y59" s="4">
        <f t="shared" si="5"/>
        <v>-7.6610938132960937E-2</v>
      </c>
      <c r="Z59" s="4"/>
    </row>
    <row r="60" spans="1:26">
      <c r="A60" t="s">
        <v>470</v>
      </c>
      <c r="B60" t="s">
        <v>471</v>
      </c>
      <c r="C60" s="27">
        <v>1558</v>
      </c>
      <c r="E60" t="s">
        <v>471</v>
      </c>
      <c r="F60" s="27">
        <v>908</v>
      </c>
      <c r="G60" t="b">
        <f t="shared" si="0"/>
        <v>1</v>
      </c>
      <c r="J60" s="24">
        <f t="shared" si="1"/>
        <v>-650</v>
      </c>
      <c r="K60" s="4">
        <f t="shared" si="2"/>
        <v>-0.41720154043645696</v>
      </c>
      <c r="M60" s="119">
        <v>3034.63</v>
      </c>
      <c r="N60" s="119">
        <v>1943.53</v>
      </c>
      <c r="Q60" s="119">
        <v>10013.469999999999</v>
      </c>
      <c r="U60" s="141">
        <f t="shared" si="3"/>
        <v>-1091.1000000000001</v>
      </c>
      <c r="V60" s="4">
        <f t="shared" si="4"/>
        <v>-0.35954959912740603</v>
      </c>
      <c r="W60" s="17">
        <v>28243.63</v>
      </c>
      <c r="X60" s="17">
        <v>19876.939999999999</v>
      </c>
      <c r="Y60" s="4">
        <f t="shared" si="5"/>
        <v>-0.29623281426643822</v>
      </c>
      <c r="Z60" s="4"/>
    </row>
    <row r="61" spans="1:26">
      <c r="A61" s="39" t="s">
        <v>803</v>
      </c>
      <c r="B61" s="35" t="s">
        <v>804</v>
      </c>
      <c r="C61" s="27">
        <v>2271</v>
      </c>
      <c r="E61" s="35" t="s">
        <v>804</v>
      </c>
      <c r="F61" s="27">
        <v>2071</v>
      </c>
      <c r="G61" t="b">
        <f t="shared" si="0"/>
        <v>1</v>
      </c>
      <c r="J61" s="24">
        <f t="shared" si="1"/>
        <v>-200</v>
      </c>
      <c r="K61" s="4">
        <f t="shared" si="2"/>
        <v>-8.8066930867459314E-2</v>
      </c>
      <c r="M61" s="119">
        <v>3554.11</v>
      </c>
      <c r="N61" s="119">
        <v>3547.23</v>
      </c>
      <c r="Q61" s="119">
        <v>23036.260000000002</v>
      </c>
      <c r="U61" s="141">
        <f t="shared" si="3"/>
        <v>-6.8800000000001091</v>
      </c>
      <c r="V61" s="4">
        <f t="shared" si="4"/>
        <v>-1.9357870184096848E-3</v>
      </c>
      <c r="W61" s="17">
        <v>53795.91</v>
      </c>
      <c r="X61" s="17">
        <v>49569.37</v>
      </c>
      <c r="Y61" s="4">
        <f t="shared" si="5"/>
        <v>-7.856619583161617E-2</v>
      </c>
      <c r="Z61" s="4"/>
    </row>
    <row r="62" spans="1:26">
      <c r="A62" s="38" t="s">
        <v>270</v>
      </c>
      <c r="B62" s="35" t="s">
        <v>271</v>
      </c>
      <c r="C62" s="27">
        <v>1158</v>
      </c>
      <c r="E62" s="35" t="s">
        <v>271</v>
      </c>
      <c r="F62" s="27">
        <v>1064</v>
      </c>
      <c r="G62" t="b">
        <f t="shared" si="0"/>
        <v>1</v>
      </c>
      <c r="J62" s="24">
        <f t="shared" si="1"/>
        <v>-94</v>
      </c>
      <c r="K62" s="4">
        <f t="shared" si="2"/>
        <v>-8.1174438687392048E-2</v>
      </c>
      <c r="M62" s="118">
        <v>1846.13</v>
      </c>
      <c r="N62" s="118">
        <v>1752.03</v>
      </c>
      <c r="Q62" s="118">
        <v>9557.5499999999993</v>
      </c>
      <c r="U62" s="141">
        <f t="shared" si="3"/>
        <v>-94.100000000000136</v>
      </c>
      <c r="V62" s="4">
        <f t="shared" si="4"/>
        <v>-5.0971491715101402E-2</v>
      </c>
      <c r="W62" s="17">
        <v>28239.39</v>
      </c>
      <c r="X62" s="17">
        <v>24283.17</v>
      </c>
      <c r="Y62" s="4">
        <f t="shared" si="5"/>
        <v>-0.14009580235267127</v>
      </c>
      <c r="Z62" s="4"/>
    </row>
    <row r="63" spans="1:26">
      <c r="A63" t="s">
        <v>656</v>
      </c>
      <c r="B63" t="s">
        <v>657</v>
      </c>
      <c r="C63" s="27">
        <v>1025</v>
      </c>
      <c r="E63" t="s">
        <v>657</v>
      </c>
      <c r="F63" s="27">
        <v>1319</v>
      </c>
      <c r="G63" t="b">
        <f t="shared" si="0"/>
        <v>1</v>
      </c>
      <c r="J63" s="24">
        <f t="shared" si="1"/>
        <v>294</v>
      </c>
      <c r="K63" s="4">
        <f t="shared" si="2"/>
        <v>0.28682926829268296</v>
      </c>
      <c r="M63" s="119">
        <v>1762.68</v>
      </c>
      <c r="N63" s="119">
        <v>1801.17</v>
      </c>
      <c r="Q63" s="119">
        <v>10958.48</v>
      </c>
      <c r="U63" s="141">
        <f t="shared" si="3"/>
        <v>38.490000000000009</v>
      </c>
      <c r="V63" s="4">
        <f t="shared" si="4"/>
        <v>2.1836067805841131E-2</v>
      </c>
      <c r="W63" s="17">
        <v>17409.68</v>
      </c>
      <c r="X63" s="17">
        <v>22400.880000000001</v>
      </c>
      <c r="Y63" s="4">
        <f t="shared" si="5"/>
        <v>0.2866910822025448</v>
      </c>
      <c r="Z63" s="4"/>
    </row>
    <row r="64" spans="1:26">
      <c r="A64" s="38" t="s">
        <v>176</v>
      </c>
      <c r="B64" s="35" t="s">
        <v>177</v>
      </c>
      <c r="C64">
        <v>8211</v>
      </c>
      <c r="E64" s="35" t="s">
        <v>177</v>
      </c>
      <c r="F64">
        <v>7794</v>
      </c>
      <c r="G64" t="b">
        <f t="shared" si="0"/>
        <v>1</v>
      </c>
      <c r="J64" s="24">
        <f t="shared" si="1"/>
        <v>-417</v>
      </c>
      <c r="K64" s="4">
        <f t="shared" si="2"/>
        <v>-5.0785531603945944E-2</v>
      </c>
      <c r="M64" s="5">
        <v>12845.24</v>
      </c>
      <c r="N64" s="5">
        <v>12429.23</v>
      </c>
      <c r="Q64" s="5">
        <v>46699.99</v>
      </c>
      <c r="U64" s="141">
        <f t="shared" si="3"/>
        <v>-416.01000000000022</v>
      </c>
      <c r="V64" s="4">
        <f t="shared" si="4"/>
        <v>-3.2386315864865178E-2</v>
      </c>
      <c r="W64" s="144">
        <v>185268.96</v>
      </c>
      <c r="X64" s="144">
        <v>170827.53</v>
      </c>
      <c r="Y64" s="4">
        <f t="shared" si="5"/>
        <v>-7.7948459364158951E-2</v>
      </c>
    </row>
    <row r="65" spans="1:26">
      <c r="A65" s="123" t="s">
        <v>706</v>
      </c>
      <c r="B65" s="123" t="s">
        <v>707</v>
      </c>
      <c r="C65" s="27">
        <v>790</v>
      </c>
      <c r="E65" s="123" t="s">
        <v>707</v>
      </c>
      <c r="F65" s="27">
        <v>676</v>
      </c>
      <c r="G65" t="b">
        <f t="shared" si="0"/>
        <v>1</v>
      </c>
      <c r="J65" s="24">
        <f t="shared" si="1"/>
        <v>-114</v>
      </c>
      <c r="K65" s="4">
        <f t="shared" si="2"/>
        <v>-0.14430379746835442</v>
      </c>
      <c r="M65" s="118">
        <v>1797.08</v>
      </c>
      <c r="N65" s="118">
        <v>1809.45</v>
      </c>
      <c r="Q65" s="118">
        <v>10884.76</v>
      </c>
      <c r="U65" s="141">
        <f t="shared" si="3"/>
        <v>12.370000000000118</v>
      </c>
      <c r="V65" s="4">
        <f t="shared" si="4"/>
        <v>6.8833886081867135E-3</v>
      </c>
      <c r="W65" s="17">
        <v>18948.259999999998</v>
      </c>
      <c r="X65" s="17">
        <v>16213.64</v>
      </c>
      <c r="Y65" s="4">
        <f t="shared" si="5"/>
        <v>-0.14432037559121524</v>
      </c>
      <c r="Z65" s="4"/>
    </row>
    <row r="66" spans="1:26">
      <c r="A66" t="s">
        <v>821</v>
      </c>
      <c r="B66" t="s">
        <v>822</v>
      </c>
      <c r="C66" s="27">
        <v>1878</v>
      </c>
      <c r="E66" t="s">
        <v>822</v>
      </c>
      <c r="F66" s="27">
        <v>1645</v>
      </c>
      <c r="G66" t="b">
        <f t="shared" si="0"/>
        <v>1</v>
      </c>
      <c r="J66" s="24">
        <f t="shared" si="1"/>
        <v>-233</v>
      </c>
      <c r="K66" s="4">
        <f t="shared" si="2"/>
        <v>-0.12406815761448353</v>
      </c>
      <c r="M66" s="119">
        <v>6786.43</v>
      </c>
      <c r="N66" s="119">
        <v>6399.4</v>
      </c>
      <c r="Q66" s="119">
        <v>34851.79</v>
      </c>
      <c r="U66" s="141">
        <f t="shared" si="3"/>
        <v>-387.03000000000065</v>
      </c>
      <c r="V66" s="4">
        <f t="shared" si="4"/>
        <v>-5.7029984837388858E-2</v>
      </c>
      <c r="W66" s="17">
        <v>44925.88</v>
      </c>
      <c r="X66" s="17">
        <v>39041.620000000003</v>
      </c>
      <c r="Y66" s="4">
        <f t="shared" si="5"/>
        <v>-0.13097706711588053</v>
      </c>
      <c r="Z66" s="4"/>
    </row>
    <row r="67" spans="1:26">
      <c r="A67" s="38" t="s">
        <v>714</v>
      </c>
      <c r="B67" s="35" t="s">
        <v>715</v>
      </c>
      <c r="C67" s="27">
        <v>2439</v>
      </c>
      <c r="E67" s="35" t="s">
        <v>715</v>
      </c>
      <c r="F67" s="27">
        <v>1620</v>
      </c>
      <c r="G67" t="b">
        <f t="shared" ref="G67:G129" si="6">IF(B67=E67,TRUE,FALSE)</f>
        <v>1</v>
      </c>
      <c r="J67" s="24">
        <f t="shared" ref="J67:J129" si="7">F67-C67</f>
        <v>-819</v>
      </c>
      <c r="K67" s="4">
        <f t="shared" ref="K67:K129" si="8">F67/C67-1</f>
        <v>-0.33579335793357934</v>
      </c>
      <c r="M67" s="118">
        <v>4829.7</v>
      </c>
      <c r="N67" s="118">
        <v>3112.25</v>
      </c>
      <c r="Q67" s="118">
        <v>15382.35</v>
      </c>
      <c r="U67" s="141">
        <f t="shared" ref="U67:U129" si="9">N67-M67</f>
        <v>-1717.4499999999998</v>
      </c>
      <c r="V67" s="4">
        <f t="shared" ref="V67:V129" si="10">IF(M67=0,0,N67/M67-1)</f>
        <v>-0.35560179721307739</v>
      </c>
      <c r="W67" s="17">
        <v>41098.839999999997</v>
      </c>
      <c r="X67" s="17">
        <v>32378.22</v>
      </c>
      <c r="Y67" s="4">
        <f t="shared" ref="Y67:Y129" si="11">X67/W67-1</f>
        <v>-0.21218652399921745</v>
      </c>
      <c r="Z67" s="4"/>
    </row>
    <row r="68" spans="1:26">
      <c r="A68" t="s">
        <v>728</v>
      </c>
      <c r="B68" t="s">
        <v>729</v>
      </c>
      <c r="C68" s="27">
        <v>5579</v>
      </c>
      <c r="E68" t="s">
        <v>729</v>
      </c>
      <c r="F68" s="27">
        <v>6832</v>
      </c>
      <c r="G68" t="b">
        <f t="shared" si="6"/>
        <v>1</v>
      </c>
      <c r="J68" s="24">
        <f t="shared" si="7"/>
        <v>1253</v>
      </c>
      <c r="K68" s="4">
        <f t="shared" si="8"/>
        <v>0.22459222082810548</v>
      </c>
      <c r="M68" s="119">
        <v>10096.629999999999</v>
      </c>
      <c r="N68" s="119">
        <v>9884.83</v>
      </c>
      <c r="Q68" s="119">
        <v>64134.35</v>
      </c>
      <c r="U68" s="141">
        <f t="shared" si="9"/>
        <v>-211.79999999999927</v>
      </c>
      <c r="V68" s="4">
        <f t="shared" si="10"/>
        <v>-2.0977296385031319E-2</v>
      </c>
      <c r="W68" s="17">
        <v>166905.60000000001</v>
      </c>
      <c r="X68" s="17">
        <v>190058.76</v>
      </c>
      <c r="Y68" s="4">
        <f t="shared" si="11"/>
        <v>0.13872009087771775</v>
      </c>
      <c r="Z68" s="4"/>
    </row>
    <row r="69" spans="1:26">
      <c r="A69" t="s">
        <v>546</v>
      </c>
      <c r="B69" t="s">
        <v>547</v>
      </c>
      <c r="C69" s="27">
        <v>2788</v>
      </c>
      <c r="E69" t="s">
        <v>547</v>
      </c>
      <c r="F69" s="27">
        <v>2944</v>
      </c>
      <c r="G69" t="b">
        <f t="shared" si="6"/>
        <v>1</v>
      </c>
      <c r="J69" s="24">
        <f t="shared" si="7"/>
        <v>156</v>
      </c>
      <c r="K69" s="4">
        <f t="shared" si="8"/>
        <v>5.5954088952654191E-2</v>
      </c>
      <c r="M69" s="119">
        <v>2662.84</v>
      </c>
      <c r="N69" s="119">
        <v>2830.9900000000002</v>
      </c>
      <c r="Q69" s="119">
        <v>16318.75</v>
      </c>
      <c r="U69" s="141">
        <f t="shared" si="9"/>
        <v>168.15000000000009</v>
      </c>
      <c r="V69" s="4">
        <f t="shared" si="10"/>
        <v>6.314686575235462E-2</v>
      </c>
      <c r="W69" s="17">
        <v>81547.97</v>
      </c>
      <c r="X69" s="17">
        <v>83124.850000000006</v>
      </c>
      <c r="Y69" s="4">
        <f t="shared" si="11"/>
        <v>1.9336839408755413E-2</v>
      </c>
      <c r="Z69" s="4"/>
    </row>
    <row r="70" spans="1:26">
      <c r="A70" t="s">
        <v>724</v>
      </c>
      <c r="B70" t="s">
        <v>725</v>
      </c>
      <c r="C70" s="27">
        <v>1140</v>
      </c>
      <c r="E70" t="s">
        <v>725</v>
      </c>
      <c r="F70" s="27">
        <v>998</v>
      </c>
      <c r="G70" t="b">
        <f t="shared" si="6"/>
        <v>1</v>
      </c>
      <c r="J70" s="24">
        <f t="shared" si="7"/>
        <v>-142</v>
      </c>
      <c r="K70" s="4">
        <f t="shared" si="8"/>
        <v>-0.12456140350877198</v>
      </c>
      <c r="M70" s="119">
        <v>1155.28</v>
      </c>
      <c r="N70" s="119">
        <v>897.07</v>
      </c>
      <c r="Q70" s="119">
        <v>7028.84</v>
      </c>
      <c r="U70" s="141">
        <f t="shared" si="9"/>
        <v>-258.20999999999992</v>
      </c>
      <c r="V70" s="4">
        <f t="shared" si="10"/>
        <v>-0.22350425870784563</v>
      </c>
      <c r="W70" s="17">
        <v>26265.43</v>
      </c>
      <c r="X70" s="17">
        <v>23897.3</v>
      </c>
      <c r="Y70" s="4">
        <f t="shared" si="11"/>
        <v>-9.016147841478328E-2</v>
      </c>
      <c r="Z70" s="4"/>
    </row>
    <row r="71" spans="1:26" ht="30">
      <c r="A71" s="38" t="s">
        <v>82</v>
      </c>
      <c r="B71" s="35" t="s">
        <v>83</v>
      </c>
      <c r="C71" s="27">
        <v>1605</v>
      </c>
      <c r="E71" s="35" t="s">
        <v>83</v>
      </c>
      <c r="F71" s="27">
        <v>1633</v>
      </c>
      <c r="G71" t="b">
        <f t="shared" si="6"/>
        <v>1</v>
      </c>
      <c r="J71" s="24">
        <f t="shared" si="7"/>
        <v>28</v>
      </c>
      <c r="K71" s="4">
        <f t="shared" si="8"/>
        <v>1.7445482866043527E-2</v>
      </c>
      <c r="M71" s="118">
        <v>5439.57</v>
      </c>
      <c r="N71" s="118">
        <v>4298.47</v>
      </c>
      <c r="Q71" s="118">
        <v>22429.35</v>
      </c>
      <c r="U71" s="141">
        <f t="shared" si="9"/>
        <v>-1141.0999999999995</v>
      </c>
      <c r="V71" s="4">
        <f t="shared" si="10"/>
        <v>-0.20977761109793591</v>
      </c>
      <c r="W71" s="17">
        <v>35802.5</v>
      </c>
      <c r="X71" s="17">
        <v>38520.800000000003</v>
      </c>
      <c r="Y71" s="4">
        <f t="shared" si="11"/>
        <v>7.5924865582012613E-2</v>
      </c>
      <c r="Z71" s="4"/>
    </row>
    <row r="72" spans="1:26">
      <c r="A72" s="39" t="s">
        <v>758</v>
      </c>
      <c r="B72" s="35" t="s">
        <v>759</v>
      </c>
      <c r="C72" s="27">
        <v>3641</v>
      </c>
      <c r="E72" s="35" t="s">
        <v>759</v>
      </c>
      <c r="F72" s="27">
        <v>3312</v>
      </c>
      <c r="G72" t="b">
        <f t="shared" si="6"/>
        <v>1</v>
      </c>
      <c r="J72" s="24">
        <f t="shared" si="7"/>
        <v>-329</v>
      </c>
      <c r="K72" s="4">
        <f t="shared" si="8"/>
        <v>-9.0359791266135692E-2</v>
      </c>
      <c r="M72" s="119">
        <v>5283.14</v>
      </c>
      <c r="N72" s="119">
        <v>7578.25</v>
      </c>
      <c r="Q72" s="119">
        <v>38956.19</v>
      </c>
      <c r="U72" s="141">
        <f t="shared" si="9"/>
        <v>2295.1099999999997</v>
      </c>
      <c r="V72" s="4">
        <f t="shared" si="10"/>
        <v>0.43442157504817192</v>
      </c>
      <c r="W72" s="17">
        <v>62239.19</v>
      </c>
      <c r="X72" s="17">
        <v>65848.600000000006</v>
      </c>
      <c r="Y72" s="4">
        <f t="shared" si="11"/>
        <v>5.7992560635830914E-2</v>
      </c>
      <c r="Z72" s="4"/>
    </row>
    <row r="73" spans="1:26" ht="30">
      <c r="A73" s="38" t="s">
        <v>760</v>
      </c>
      <c r="B73" s="35" t="s">
        <v>761</v>
      </c>
      <c r="C73" s="27">
        <v>1318</v>
      </c>
      <c r="E73" s="35" t="s">
        <v>761</v>
      </c>
      <c r="F73" s="27">
        <v>1569</v>
      </c>
      <c r="G73" t="b">
        <f t="shared" si="6"/>
        <v>1</v>
      </c>
      <c r="J73" s="24">
        <f t="shared" si="7"/>
        <v>251</v>
      </c>
      <c r="K73" s="4">
        <f t="shared" si="8"/>
        <v>0.19044006069802721</v>
      </c>
      <c r="M73" s="118">
        <v>3313.86</v>
      </c>
      <c r="N73" s="118">
        <v>3125.85</v>
      </c>
      <c r="Q73" s="118">
        <v>17956.240000000002</v>
      </c>
      <c r="U73" s="141">
        <f t="shared" si="9"/>
        <v>-188.01000000000022</v>
      </c>
      <c r="V73" s="4">
        <f t="shared" si="10"/>
        <v>-5.6734442613749603E-2</v>
      </c>
      <c r="W73" s="17">
        <v>31591.71</v>
      </c>
      <c r="X73" s="17">
        <v>35777.49</v>
      </c>
      <c r="Y73" s="4">
        <f t="shared" si="11"/>
        <v>0.13249615168029827</v>
      </c>
      <c r="Z73" s="4"/>
    </row>
    <row r="74" spans="1:26">
      <c r="A74" s="38" t="s">
        <v>740</v>
      </c>
      <c r="B74" s="35" t="s">
        <v>741</v>
      </c>
      <c r="C74" s="27">
        <v>2156</v>
      </c>
      <c r="E74" s="35" t="s">
        <v>741</v>
      </c>
      <c r="F74" s="27">
        <v>1673</v>
      </c>
      <c r="G74" t="b">
        <f t="shared" si="6"/>
        <v>1</v>
      </c>
      <c r="J74" s="24">
        <f t="shared" si="7"/>
        <v>-483</v>
      </c>
      <c r="K74" s="4">
        <f t="shared" si="8"/>
        <v>-0.22402597402597402</v>
      </c>
      <c r="M74" s="119">
        <v>3640.63</v>
      </c>
      <c r="N74" s="119">
        <v>2722.04</v>
      </c>
      <c r="Q74" s="119">
        <v>11894.26</v>
      </c>
      <c r="U74" s="141">
        <f t="shared" si="9"/>
        <v>-918.59000000000015</v>
      </c>
      <c r="V74" s="4">
        <f t="shared" si="10"/>
        <v>-0.25231621999489107</v>
      </c>
      <c r="W74" s="17">
        <v>58125.66</v>
      </c>
      <c r="X74" s="17">
        <v>45118.15</v>
      </c>
      <c r="Y74" s="4">
        <f t="shared" si="11"/>
        <v>-0.22378257726449902</v>
      </c>
      <c r="Z74" s="4"/>
    </row>
    <row r="75" spans="1:26">
      <c r="A75" t="s">
        <v>809</v>
      </c>
      <c r="B75" t="s">
        <v>810</v>
      </c>
      <c r="C75" s="27">
        <v>1192</v>
      </c>
      <c r="E75" t="s">
        <v>810</v>
      </c>
      <c r="F75" s="27">
        <v>1535</v>
      </c>
      <c r="G75" t="b">
        <f t="shared" si="6"/>
        <v>1</v>
      </c>
      <c r="J75" s="24">
        <f t="shared" si="7"/>
        <v>343</v>
      </c>
      <c r="K75" s="4">
        <f t="shared" si="8"/>
        <v>0.28775167785234901</v>
      </c>
      <c r="M75" s="119">
        <v>2179.0899999999997</v>
      </c>
      <c r="N75" s="119">
        <v>3591.1</v>
      </c>
      <c r="Q75" s="119">
        <v>19736.099999999999</v>
      </c>
      <c r="U75" s="141">
        <f t="shared" si="9"/>
        <v>1412.0100000000002</v>
      </c>
      <c r="V75" s="4">
        <f t="shared" si="10"/>
        <v>0.6479814968633697</v>
      </c>
      <c r="W75" s="17">
        <v>33790.959999999999</v>
      </c>
      <c r="X75" s="17">
        <v>43441.39</v>
      </c>
      <c r="Y75" s="4">
        <f t="shared" si="11"/>
        <v>0.28559206367620216</v>
      </c>
      <c r="Z75" s="4"/>
    </row>
    <row r="76" spans="1:26">
      <c r="A76" s="38" t="s">
        <v>776</v>
      </c>
      <c r="B76" s="35" t="s">
        <v>777</v>
      </c>
      <c r="C76" s="27">
        <v>4556</v>
      </c>
      <c r="E76" s="35" t="s">
        <v>777</v>
      </c>
      <c r="F76" s="27">
        <v>3893</v>
      </c>
      <c r="G76" t="b">
        <f t="shared" si="6"/>
        <v>1</v>
      </c>
      <c r="J76" s="24">
        <f t="shared" si="7"/>
        <v>-663</v>
      </c>
      <c r="K76" s="4">
        <f t="shared" si="8"/>
        <v>-0.14552238805970152</v>
      </c>
      <c r="M76" s="118">
        <v>10171.6</v>
      </c>
      <c r="N76" s="118">
        <v>10674.19</v>
      </c>
      <c r="Q76" s="118">
        <v>52412.3</v>
      </c>
      <c r="U76" s="141">
        <f t="shared" si="9"/>
        <v>502.59000000000015</v>
      </c>
      <c r="V76" s="4">
        <f t="shared" si="10"/>
        <v>4.9411105430807289E-2</v>
      </c>
      <c r="W76" s="17">
        <v>87387.99</v>
      </c>
      <c r="X76" s="17">
        <v>80760.399999999994</v>
      </c>
      <c r="Y76" s="4">
        <f t="shared" si="11"/>
        <v>-7.5840970824480713E-2</v>
      </c>
      <c r="Z76" s="4"/>
    </row>
    <row r="77" spans="1:26">
      <c r="A77" s="123" t="s">
        <v>778</v>
      </c>
      <c r="B77" s="123" t="s">
        <v>777</v>
      </c>
      <c r="C77" s="27">
        <v>4556</v>
      </c>
      <c r="E77" s="123" t="s">
        <v>777</v>
      </c>
      <c r="F77" s="27">
        <v>3893</v>
      </c>
      <c r="G77" t="b">
        <f t="shared" si="6"/>
        <v>1</v>
      </c>
      <c r="J77" s="24">
        <f t="shared" si="7"/>
        <v>-663</v>
      </c>
      <c r="K77" s="4">
        <f t="shared" si="8"/>
        <v>-0.14552238805970152</v>
      </c>
      <c r="M77" s="118">
        <v>10171.6</v>
      </c>
      <c r="N77" s="118">
        <v>10674.19</v>
      </c>
      <c r="Q77" s="118">
        <v>52412.3</v>
      </c>
      <c r="U77" s="141">
        <f t="shared" si="9"/>
        <v>502.59000000000015</v>
      </c>
      <c r="V77" s="4">
        <f t="shared" si="10"/>
        <v>4.9411105430807289E-2</v>
      </c>
      <c r="W77" s="17">
        <v>87387.99</v>
      </c>
      <c r="X77" s="17">
        <v>80760.399999999994</v>
      </c>
      <c r="Y77" s="4">
        <f t="shared" si="11"/>
        <v>-7.5840970824480713E-2</v>
      </c>
      <c r="Z77" s="4"/>
    </row>
    <row r="78" spans="1:26">
      <c r="A78" t="s">
        <v>640</v>
      </c>
      <c r="B78" t="s">
        <v>641</v>
      </c>
      <c r="C78" s="27">
        <v>1397</v>
      </c>
      <c r="E78" t="s">
        <v>641</v>
      </c>
      <c r="F78" s="27">
        <v>1312</v>
      </c>
      <c r="G78" t="b">
        <f t="shared" si="6"/>
        <v>1</v>
      </c>
      <c r="J78" s="24">
        <f t="shared" si="7"/>
        <v>-85</v>
      </c>
      <c r="K78" s="4">
        <f t="shared" si="8"/>
        <v>-6.0844667143879705E-2</v>
      </c>
      <c r="M78" s="119">
        <v>647.28</v>
      </c>
      <c r="N78" s="119">
        <v>772.69</v>
      </c>
      <c r="Q78" s="119">
        <v>9020.48</v>
      </c>
      <c r="U78" s="141">
        <f t="shared" si="9"/>
        <v>125.41000000000008</v>
      </c>
      <c r="V78" s="4">
        <f t="shared" si="10"/>
        <v>0.19374922753676938</v>
      </c>
      <c r="W78" s="17">
        <v>41827.85</v>
      </c>
      <c r="X78" s="17">
        <v>39289.620000000003</v>
      </c>
      <c r="Y78" s="4">
        <f t="shared" si="11"/>
        <v>-6.0682774754140967E-2</v>
      </c>
      <c r="Z78" s="4"/>
    </row>
    <row r="79" spans="1:26">
      <c r="A79" s="38" t="s">
        <v>170</v>
      </c>
      <c r="B79" s="35" t="s">
        <v>171</v>
      </c>
      <c r="C79" s="27">
        <v>1635</v>
      </c>
      <c r="E79" s="35" t="s">
        <v>171</v>
      </c>
      <c r="F79" s="27">
        <v>1892</v>
      </c>
      <c r="G79" t="b">
        <f t="shared" si="6"/>
        <v>1</v>
      </c>
      <c r="J79" s="24">
        <f t="shared" si="7"/>
        <v>257</v>
      </c>
      <c r="K79" s="4">
        <f t="shared" si="8"/>
        <v>0.15718654434250756</v>
      </c>
      <c r="M79" s="118">
        <v>2734.61</v>
      </c>
      <c r="N79" s="118">
        <v>3335.33</v>
      </c>
      <c r="Q79" s="118">
        <v>25262.77</v>
      </c>
      <c r="U79" s="141">
        <f t="shared" si="9"/>
        <v>600.7199999999998</v>
      </c>
      <c r="V79" s="4">
        <f t="shared" si="10"/>
        <v>0.21967300638847953</v>
      </c>
      <c r="W79" s="17">
        <v>49026.15</v>
      </c>
      <c r="X79" s="17">
        <v>56720.46</v>
      </c>
      <c r="Y79" s="4">
        <f t="shared" si="11"/>
        <v>0.15694297839010396</v>
      </c>
      <c r="Z79" s="4"/>
    </row>
    <row r="80" spans="1:26">
      <c r="A80" t="s">
        <v>686</v>
      </c>
      <c r="B80" t="s">
        <v>687</v>
      </c>
      <c r="C80" s="27">
        <v>941</v>
      </c>
      <c r="E80" t="s">
        <v>687</v>
      </c>
      <c r="F80" s="27">
        <v>1175</v>
      </c>
      <c r="G80" t="b">
        <f t="shared" si="6"/>
        <v>1</v>
      </c>
      <c r="J80" s="24">
        <f t="shared" si="7"/>
        <v>234</v>
      </c>
      <c r="K80" s="4">
        <f t="shared" si="8"/>
        <v>0.24867162592986181</v>
      </c>
      <c r="M80" s="119">
        <v>1258.1300000000001</v>
      </c>
      <c r="N80" s="119">
        <v>1349.05</v>
      </c>
      <c r="Q80" s="119">
        <v>9404.1299999999992</v>
      </c>
      <c r="U80" s="141">
        <f t="shared" si="9"/>
        <v>90.919999999999845</v>
      </c>
      <c r="V80" s="4">
        <f t="shared" si="10"/>
        <v>7.2265982052728939E-2</v>
      </c>
      <c r="W80" s="17">
        <v>18807.189999999999</v>
      </c>
      <c r="X80" s="17">
        <v>21764.99</v>
      </c>
      <c r="Y80" s="4">
        <f t="shared" si="11"/>
        <v>0.15726963996216359</v>
      </c>
      <c r="Z80" s="4"/>
    </row>
    <row r="81" spans="1:26">
      <c r="A81" t="s">
        <v>552</v>
      </c>
      <c r="B81" t="s">
        <v>553</v>
      </c>
      <c r="C81" s="27">
        <v>3391</v>
      </c>
      <c r="E81" t="s">
        <v>553</v>
      </c>
      <c r="F81" s="27">
        <v>2958</v>
      </c>
      <c r="G81" t="b">
        <f t="shared" si="6"/>
        <v>1</v>
      </c>
      <c r="J81" s="24">
        <f t="shared" si="7"/>
        <v>-433</v>
      </c>
      <c r="K81" s="4">
        <f t="shared" si="8"/>
        <v>-0.12769094662341496</v>
      </c>
      <c r="M81" s="119">
        <v>7396.3</v>
      </c>
      <c r="N81" s="119">
        <v>6173.57</v>
      </c>
      <c r="Q81" s="119">
        <v>20893.39</v>
      </c>
      <c r="U81" s="141">
        <f t="shared" si="9"/>
        <v>-1222.7300000000005</v>
      </c>
      <c r="V81" s="4">
        <f t="shared" si="10"/>
        <v>-0.16531644200478623</v>
      </c>
      <c r="W81" s="17">
        <v>91290.4</v>
      </c>
      <c r="X81" s="17">
        <v>79648</v>
      </c>
      <c r="Y81" s="4">
        <f t="shared" si="11"/>
        <v>-0.12753148195210007</v>
      </c>
      <c r="Z81" s="4"/>
    </row>
    <row r="82" spans="1:26">
      <c r="A82" s="38" t="s">
        <v>28</v>
      </c>
      <c r="B82" s="35" t="s">
        <v>29</v>
      </c>
      <c r="C82" s="27">
        <v>3853</v>
      </c>
      <c r="E82" s="35" t="s">
        <v>29</v>
      </c>
      <c r="F82" s="27">
        <v>6524</v>
      </c>
      <c r="G82" t="b">
        <f t="shared" si="6"/>
        <v>1</v>
      </c>
      <c r="J82" s="24">
        <f t="shared" si="7"/>
        <v>2671</v>
      </c>
      <c r="K82" s="4">
        <f t="shared" si="8"/>
        <v>0.69322605761744094</v>
      </c>
      <c r="M82" s="118">
        <v>6468.79</v>
      </c>
      <c r="N82" s="118">
        <v>11144.36</v>
      </c>
      <c r="Q82" s="118">
        <v>78653.66</v>
      </c>
      <c r="U82" s="141">
        <f t="shared" si="9"/>
        <v>4675.5700000000006</v>
      </c>
      <c r="V82" s="4">
        <f t="shared" si="10"/>
        <v>0.72278896053203168</v>
      </c>
      <c r="W82" s="17">
        <v>102980.07</v>
      </c>
      <c r="X82" s="17">
        <v>175947.03</v>
      </c>
      <c r="Y82" s="4">
        <f t="shared" si="11"/>
        <v>0.70855418917466251</v>
      </c>
      <c r="Z82" s="4"/>
    </row>
    <row r="83" spans="1:26">
      <c r="A83" s="26" t="s">
        <v>58</v>
      </c>
      <c r="B83" s="35" t="s">
        <v>59</v>
      </c>
      <c r="C83" s="27">
        <v>323</v>
      </c>
      <c r="E83" s="35" t="s">
        <v>59</v>
      </c>
      <c r="F83" s="27">
        <v>419</v>
      </c>
      <c r="G83" t="b">
        <f t="shared" si="6"/>
        <v>1</v>
      </c>
      <c r="J83" s="24">
        <f t="shared" si="7"/>
        <v>96</v>
      </c>
      <c r="K83" s="4">
        <f t="shared" si="8"/>
        <v>0.29721362229102177</v>
      </c>
      <c r="M83" s="119">
        <v>0</v>
      </c>
      <c r="N83" s="119">
        <v>0</v>
      </c>
      <c r="Q83" s="119">
        <v>0</v>
      </c>
      <c r="U83" s="141">
        <f t="shared" si="9"/>
        <v>0</v>
      </c>
      <c r="V83" s="4">
        <f t="shared" si="10"/>
        <v>0</v>
      </c>
      <c r="W83" s="17">
        <v>4517.93</v>
      </c>
      <c r="X83" s="17">
        <v>5858.91</v>
      </c>
      <c r="Y83" s="4">
        <f t="shared" si="11"/>
        <v>0.29681292096159062</v>
      </c>
      <c r="Z83" s="4"/>
    </row>
    <row r="84" spans="1:26">
      <c r="A84" s="35" t="s">
        <v>720</v>
      </c>
      <c r="B84" s="35" t="s">
        <v>721</v>
      </c>
      <c r="C84" s="27">
        <v>2113</v>
      </c>
      <c r="E84" s="35" t="s">
        <v>721</v>
      </c>
      <c r="F84" s="27">
        <v>2128</v>
      </c>
      <c r="G84" t="b">
        <f t="shared" si="6"/>
        <v>1</v>
      </c>
      <c r="J84" s="24">
        <f t="shared" si="7"/>
        <v>15</v>
      </c>
      <c r="K84" s="4">
        <f t="shared" si="8"/>
        <v>7.0989115002366709E-3</v>
      </c>
      <c r="M84" s="119">
        <v>3300.93</v>
      </c>
      <c r="N84" s="119">
        <v>3616.88</v>
      </c>
      <c r="Q84" s="119">
        <v>24393.77</v>
      </c>
      <c r="U84" s="141">
        <f t="shared" si="9"/>
        <v>315.95000000000027</v>
      </c>
      <c r="V84" s="4">
        <f t="shared" si="10"/>
        <v>9.5715449888364779E-2</v>
      </c>
      <c r="W84" s="17">
        <v>45411.3</v>
      </c>
      <c r="X84" s="17">
        <v>50081.94</v>
      </c>
      <c r="Y84" s="4">
        <f t="shared" si="11"/>
        <v>0.10285193332936959</v>
      </c>
      <c r="Z84" s="4"/>
    </row>
    <row r="85" spans="1:26">
      <c r="A85" s="38" t="s">
        <v>102</v>
      </c>
      <c r="B85" s="35" t="s">
        <v>103</v>
      </c>
      <c r="C85" s="27">
        <v>1407</v>
      </c>
      <c r="E85" s="35" t="s">
        <v>103</v>
      </c>
      <c r="F85" s="27">
        <v>1257</v>
      </c>
      <c r="G85" t="b">
        <f t="shared" si="6"/>
        <v>1</v>
      </c>
      <c r="J85" s="24">
        <f t="shared" si="7"/>
        <v>-150</v>
      </c>
      <c r="K85" s="4">
        <f t="shared" si="8"/>
        <v>-0.10660980810234544</v>
      </c>
      <c r="M85" s="119">
        <v>3187.07</v>
      </c>
      <c r="N85" s="119">
        <v>1907.66</v>
      </c>
      <c r="Q85" s="119">
        <v>9252.44</v>
      </c>
      <c r="U85" s="141">
        <f t="shared" si="9"/>
        <v>-1279.4100000000001</v>
      </c>
      <c r="V85" s="4">
        <f t="shared" si="10"/>
        <v>-0.40143768414248826</v>
      </c>
      <c r="W85" s="17">
        <v>23909.02</v>
      </c>
      <c r="X85" s="17">
        <v>22625</v>
      </c>
      <c r="Y85" s="4">
        <f t="shared" si="11"/>
        <v>-5.3704417830592877E-2</v>
      </c>
      <c r="Z85" s="4"/>
    </row>
    <row r="86" spans="1:26">
      <c r="A86" t="s">
        <v>750</v>
      </c>
      <c r="B86" t="s">
        <v>751</v>
      </c>
      <c r="C86" s="27">
        <v>427</v>
      </c>
      <c r="E86" t="s">
        <v>751</v>
      </c>
      <c r="F86" s="27">
        <v>382</v>
      </c>
      <c r="G86" t="b">
        <f t="shared" si="6"/>
        <v>1</v>
      </c>
      <c r="J86" s="24">
        <f t="shared" si="7"/>
        <v>-45</v>
      </c>
      <c r="K86" s="4">
        <f t="shared" si="8"/>
        <v>-0.1053864168618267</v>
      </c>
      <c r="M86" s="119">
        <v>928.19</v>
      </c>
      <c r="N86" s="119">
        <v>902.81</v>
      </c>
      <c r="Q86" s="119">
        <v>3400.82</v>
      </c>
      <c r="U86" s="141">
        <f t="shared" si="9"/>
        <v>-25.380000000000109</v>
      </c>
      <c r="V86" s="4">
        <f t="shared" si="10"/>
        <v>-2.7343539577026399E-2</v>
      </c>
      <c r="W86" s="17">
        <v>8532.09</v>
      </c>
      <c r="X86" s="17">
        <v>7633.78</v>
      </c>
      <c r="Y86" s="4">
        <f t="shared" si="11"/>
        <v>-0.10528604363057592</v>
      </c>
      <c r="Z86" s="4"/>
    </row>
    <row r="87" spans="1:26">
      <c r="A87" t="s">
        <v>406</v>
      </c>
      <c r="B87" t="s">
        <v>407</v>
      </c>
      <c r="C87" s="27">
        <v>1494</v>
      </c>
      <c r="E87" t="s">
        <v>407</v>
      </c>
      <c r="F87" s="27">
        <v>1446</v>
      </c>
      <c r="G87" t="b">
        <f t="shared" si="6"/>
        <v>1</v>
      </c>
      <c r="J87" s="24">
        <f t="shared" si="7"/>
        <v>-48</v>
      </c>
      <c r="K87" s="4">
        <f t="shared" si="8"/>
        <v>-3.2128514056224855E-2</v>
      </c>
      <c r="M87" s="119">
        <v>740.35</v>
      </c>
      <c r="N87" s="119">
        <v>855.95</v>
      </c>
      <c r="Q87" s="119">
        <v>2525.6</v>
      </c>
      <c r="U87" s="141">
        <f t="shared" si="9"/>
        <v>115.60000000000002</v>
      </c>
      <c r="V87" s="4">
        <f t="shared" si="10"/>
        <v>0.15614236509758905</v>
      </c>
      <c r="W87" s="17">
        <v>28314.09</v>
      </c>
      <c r="X87" s="17">
        <v>25954.76</v>
      </c>
      <c r="Y87" s="4">
        <f t="shared" si="11"/>
        <v>-8.3327064369718484E-2</v>
      </c>
      <c r="Z87" s="4"/>
    </row>
    <row r="88" spans="1:26">
      <c r="A88" t="s">
        <v>793</v>
      </c>
      <c r="B88" t="s">
        <v>794</v>
      </c>
      <c r="C88" s="27">
        <v>7387</v>
      </c>
      <c r="E88" t="s">
        <v>794</v>
      </c>
      <c r="F88" s="27">
        <v>7054</v>
      </c>
      <c r="G88" t="b">
        <f t="shared" si="6"/>
        <v>1</v>
      </c>
      <c r="J88" s="24">
        <f t="shared" si="7"/>
        <v>-333</v>
      </c>
      <c r="K88" s="4">
        <f t="shared" si="8"/>
        <v>-4.5079193177203214E-2</v>
      </c>
      <c r="M88" s="119">
        <v>15931.86</v>
      </c>
      <c r="N88" s="119">
        <v>15189.98</v>
      </c>
      <c r="Q88" s="119">
        <v>99671.72</v>
      </c>
      <c r="U88" s="141">
        <f t="shared" si="9"/>
        <v>-741.88000000000102</v>
      </c>
      <c r="V88" s="4">
        <f t="shared" si="10"/>
        <v>-4.6565812152504549E-2</v>
      </c>
      <c r="W88" s="17">
        <v>232641.49</v>
      </c>
      <c r="X88" s="17">
        <v>231788</v>
      </c>
      <c r="Y88" s="4">
        <f t="shared" si="11"/>
        <v>-3.668692115065042E-3</v>
      </c>
      <c r="Z88" s="4"/>
    </row>
    <row r="89" spans="1:26">
      <c r="A89" s="167" t="s">
        <v>871</v>
      </c>
      <c r="B89" s="166" t="s">
        <v>872</v>
      </c>
      <c r="C89" s="27">
        <v>2666</v>
      </c>
      <c r="E89" s="166" t="s">
        <v>872</v>
      </c>
      <c r="F89" s="27">
        <v>3352</v>
      </c>
      <c r="G89" t="b">
        <f t="shared" si="6"/>
        <v>1</v>
      </c>
      <c r="J89" s="24">
        <f t="shared" si="7"/>
        <v>686</v>
      </c>
      <c r="K89" s="4">
        <f t="shared" si="8"/>
        <v>0.25731432858214554</v>
      </c>
      <c r="M89" s="119">
        <v>5892.95</v>
      </c>
      <c r="N89" s="119">
        <v>4395.72</v>
      </c>
      <c r="Q89" s="119">
        <v>30239.4</v>
      </c>
      <c r="U89" s="141">
        <f t="shared" si="9"/>
        <v>-1497.2299999999996</v>
      </c>
      <c r="V89" s="4">
        <f t="shared" si="10"/>
        <v>-0.25407139039021198</v>
      </c>
      <c r="W89" s="17">
        <v>79725.11</v>
      </c>
      <c r="X89" s="17">
        <v>100353.53</v>
      </c>
      <c r="Y89" s="4">
        <f t="shared" si="11"/>
        <v>0.25874432785354573</v>
      </c>
      <c r="Z89" s="4"/>
    </row>
    <row r="90" spans="1:26">
      <c r="A90" t="s">
        <v>652</v>
      </c>
      <c r="B90" t="s">
        <v>653</v>
      </c>
      <c r="C90" s="27">
        <v>2884</v>
      </c>
      <c r="E90" t="s">
        <v>653</v>
      </c>
      <c r="F90" s="27">
        <v>2813</v>
      </c>
      <c r="G90" t="b">
        <f t="shared" si="6"/>
        <v>1</v>
      </c>
      <c r="J90" s="24">
        <f t="shared" si="7"/>
        <v>-71</v>
      </c>
      <c r="K90" s="4">
        <f t="shared" si="8"/>
        <v>-2.4618585298196938E-2</v>
      </c>
      <c r="M90" s="119">
        <v>5278.39</v>
      </c>
      <c r="N90" s="119">
        <v>4425.5200000000004</v>
      </c>
      <c r="Q90" s="119">
        <v>32038.5</v>
      </c>
      <c r="U90" s="141">
        <f t="shared" si="9"/>
        <v>-852.86999999999989</v>
      </c>
      <c r="V90" s="4">
        <f t="shared" si="10"/>
        <v>-0.16157767804197865</v>
      </c>
      <c r="W90" s="17">
        <v>77703.12</v>
      </c>
      <c r="X90" s="17">
        <v>75809.69</v>
      </c>
      <c r="Y90" s="4">
        <f t="shared" si="11"/>
        <v>-2.4367490005549275E-2</v>
      </c>
      <c r="Z90" s="4"/>
    </row>
    <row r="91" spans="1:26">
      <c r="A91" t="s">
        <v>819</v>
      </c>
      <c r="B91" t="s">
        <v>820</v>
      </c>
      <c r="C91" s="27">
        <v>2936</v>
      </c>
      <c r="E91" t="s">
        <v>820</v>
      </c>
      <c r="F91" s="27">
        <v>2152</v>
      </c>
      <c r="G91" t="b">
        <f t="shared" si="6"/>
        <v>1</v>
      </c>
      <c r="J91" s="24">
        <f t="shared" si="7"/>
        <v>-784</v>
      </c>
      <c r="K91" s="4">
        <f t="shared" si="8"/>
        <v>-0.26702997275204354</v>
      </c>
      <c r="M91" s="119">
        <v>5210.76</v>
      </c>
      <c r="N91" s="119">
        <v>3146.61</v>
      </c>
      <c r="Q91" s="119">
        <v>18890.73</v>
      </c>
      <c r="U91" s="141">
        <f t="shared" si="9"/>
        <v>-2064.15</v>
      </c>
      <c r="V91" s="4">
        <f t="shared" si="10"/>
        <v>-0.39613223406950238</v>
      </c>
      <c r="W91" s="17">
        <v>66820.37</v>
      </c>
      <c r="X91" s="17">
        <v>51022.99</v>
      </c>
      <c r="Y91" s="4">
        <f t="shared" si="11"/>
        <v>-0.23641563193978121</v>
      </c>
      <c r="Z91" s="4"/>
    </row>
    <row r="92" spans="1:26">
      <c r="A92" t="s">
        <v>702</v>
      </c>
      <c r="B92" t="s">
        <v>703</v>
      </c>
      <c r="C92" s="27">
        <v>1263</v>
      </c>
      <c r="E92" t="s">
        <v>703</v>
      </c>
      <c r="F92" s="27">
        <v>937</v>
      </c>
      <c r="G92" t="b">
        <f t="shared" si="6"/>
        <v>1</v>
      </c>
      <c r="J92" s="24">
        <f t="shared" si="7"/>
        <v>-326</v>
      </c>
      <c r="K92" s="4">
        <f t="shared" si="8"/>
        <v>-0.25811559778305626</v>
      </c>
      <c r="M92" s="119">
        <v>1176.07</v>
      </c>
      <c r="N92" s="119">
        <v>711.6</v>
      </c>
      <c r="Q92" s="119">
        <v>5123.05</v>
      </c>
      <c r="U92" s="141">
        <f t="shared" si="9"/>
        <v>-464.46999999999991</v>
      </c>
      <c r="V92" s="4">
        <f t="shared" si="10"/>
        <v>-0.3949339750184937</v>
      </c>
      <c r="W92" s="17">
        <v>28245.739999999998</v>
      </c>
      <c r="X92" s="17">
        <v>23373.030000000002</v>
      </c>
      <c r="Y92" s="4">
        <f t="shared" si="11"/>
        <v>-0.17251132383148737</v>
      </c>
      <c r="Z92" s="4"/>
    </row>
    <row r="93" spans="1:26">
      <c r="A93" s="38" t="s">
        <v>632</v>
      </c>
      <c r="B93" s="35" t="s">
        <v>633</v>
      </c>
      <c r="C93" s="27">
        <v>735</v>
      </c>
      <c r="E93" s="35" t="s">
        <v>633</v>
      </c>
      <c r="F93" s="27">
        <v>949</v>
      </c>
      <c r="G93" t="b">
        <f t="shared" si="6"/>
        <v>1</v>
      </c>
      <c r="J93" s="24">
        <f t="shared" si="7"/>
        <v>214</v>
      </c>
      <c r="K93" s="4">
        <f t="shared" si="8"/>
        <v>0.29115646258503403</v>
      </c>
      <c r="M93" s="118">
        <v>726.31</v>
      </c>
      <c r="N93" s="118">
        <v>551.54</v>
      </c>
      <c r="Q93" s="118">
        <v>4844.28</v>
      </c>
      <c r="U93" s="141">
        <f t="shared" si="9"/>
        <v>-174.76999999999998</v>
      </c>
      <c r="V93" s="4">
        <f t="shared" si="10"/>
        <v>-0.24062728036237968</v>
      </c>
      <c r="W93" s="17">
        <v>29383.85</v>
      </c>
      <c r="X93" s="17">
        <v>37902.559999999998</v>
      </c>
      <c r="Y93" s="4">
        <f t="shared" si="11"/>
        <v>0.28991129480990407</v>
      </c>
      <c r="Z93" s="4"/>
    </row>
    <row r="94" spans="1:26">
      <c r="A94" s="38" t="s">
        <v>536</v>
      </c>
      <c r="B94" s="35" t="s">
        <v>537</v>
      </c>
      <c r="C94" s="27">
        <v>1954</v>
      </c>
      <c r="E94" s="35" t="s">
        <v>537</v>
      </c>
      <c r="F94" s="27">
        <v>1316</v>
      </c>
      <c r="G94" t="b">
        <f t="shared" si="6"/>
        <v>1</v>
      </c>
      <c r="J94" s="24">
        <f t="shared" si="7"/>
        <v>-638</v>
      </c>
      <c r="K94" s="4">
        <f t="shared" si="8"/>
        <v>-0.32650972364380759</v>
      </c>
      <c r="M94" s="119">
        <v>2762.25</v>
      </c>
      <c r="N94" s="119">
        <v>2148.98</v>
      </c>
      <c r="Q94" s="119">
        <v>10644.83</v>
      </c>
      <c r="U94" s="141">
        <f t="shared" si="9"/>
        <v>-613.27</v>
      </c>
      <c r="V94" s="4">
        <f t="shared" si="10"/>
        <v>-0.22201828219748387</v>
      </c>
      <c r="W94" s="17">
        <v>29924.27</v>
      </c>
      <c r="X94" s="17">
        <v>22270.49</v>
      </c>
      <c r="Y94" s="4">
        <f t="shared" si="11"/>
        <v>-0.25577165290916026</v>
      </c>
      <c r="Z94" s="4"/>
    </row>
    <row r="95" spans="1:26" ht="15.75" customHeight="1">
      <c r="A95" s="123" t="s">
        <v>202</v>
      </c>
      <c r="B95" s="123" t="s">
        <v>203</v>
      </c>
      <c r="C95" s="27">
        <v>543</v>
      </c>
      <c r="E95" s="123" t="s">
        <v>203</v>
      </c>
      <c r="F95" s="27">
        <v>440</v>
      </c>
      <c r="G95" t="b">
        <f t="shared" si="6"/>
        <v>1</v>
      </c>
      <c r="J95" s="24">
        <f t="shared" si="7"/>
        <v>-103</v>
      </c>
      <c r="K95" s="4">
        <f t="shared" si="8"/>
        <v>-0.18968692449355429</v>
      </c>
      <c r="M95" s="118">
        <v>581.36</v>
      </c>
      <c r="N95" s="118">
        <v>439.22</v>
      </c>
      <c r="Q95" s="118">
        <v>3400.89</v>
      </c>
      <c r="U95" s="141">
        <f t="shared" si="9"/>
        <v>-142.13999999999999</v>
      </c>
      <c r="V95" s="4">
        <f t="shared" si="10"/>
        <v>-0.24449566533645239</v>
      </c>
      <c r="W95" s="17">
        <v>9597.77</v>
      </c>
      <c r="X95" s="17">
        <v>8239.41</v>
      </c>
      <c r="Y95" s="4">
        <f t="shared" si="11"/>
        <v>-0.14152870927309158</v>
      </c>
      <c r="Z95" s="4"/>
    </row>
    <row r="96" spans="1:26">
      <c r="A96" t="s">
        <v>352</v>
      </c>
      <c r="B96" t="s">
        <v>353</v>
      </c>
      <c r="C96" s="27">
        <v>676</v>
      </c>
      <c r="E96" t="s">
        <v>353</v>
      </c>
      <c r="F96" s="27">
        <v>810</v>
      </c>
      <c r="G96" t="b">
        <f t="shared" si="6"/>
        <v>1</v>
      </c>
      <c r="J96" s="24">
        <f t="shared" si="7"/>
        <v>134</v>
      </c>
      <c r="K96" s="4">
        <f t="shared" si="8"/>
        <v>0.19822485207100593</v>
      </c>
      <c r="M96" s="119">
        <v>855.89</v>
      </c>
      <c r="N96" s="119">
        <v>1361.09</v>
      </c>
      <c r="Q96" s="119">
        <v>7428.4</v>
      </c>
      <c r="U96" s="141">
        <f t="shared" si="9"/>
        <v>505.19999999999993</v>
      </c>
      <c r="V96" s="4">
        <f t="shared" si="10"/>
        <v>0.59026276741170003</v>
      </c>
      <c r="W96" s="17">
        <v>19264.769999999997</v>
      </c>
      <c r="X96" s="17">
        <v>23028.350000000002</v>
      </c>
      <c r="Y96" s="4">
        <f t="shared" si="11"/>
        <v>0.19536075437184075</v>
      </c>
      <c r="Z96" s="4"/>
    </row>
    <row r="97" spans="1:26">
      <c r="A97" s="35" t="s">
        <v>700</v>
      </c>
      <c r="B97" s="35" t="s">
        <v>701</v>
      </c>
      <c r="C97" s="27">
        <v>2176</v>
      </c>
      <c r="E97" s="35" t="s">
        <v>701</v>
      </c>
      <c r="F97" s="27">
        <v>1488</v>
      </c>
      <c r="G97" t="b">
        <f t="shared" si="6"/>
        <v>1</v>
      </c>
      <c r="J97" s="24">
        <f t="shared" si="7"/>
        <v>-688</v>
      </c>
      <c r="K97" s="4">
        <f t="shared" si="8"/>
        <v>-0.31617647058823528</v>
      </c>
      <c r="M97" s="119">
        <v>3800.98</v>
      </c>
      <c r="N97" s="119">
        <v>2177.7399999999998</v>
      </c>
      <c r="Q97" s="119">
        <v>9532.86</v>
      </c>
      <c r="U97" s="141">
        <f t="shared" si="9"/>
        <v>-1623.2400000000002</v>
      </c>
      <c r="V97" s="4">
        <f t="shared" si="10"/>
        <v>-0.42705828496861342</v>
      </c>
      <c r="W97" s="17">
        <v>53339.5</v>
      </c>
      <c r="X97" s="17">
        <v>43072.78</v>
      </c>
      <c r="Y97" s="4">
        <f t="shared" si="11"/>
        <v>-0.19247874464515047</v>
      </c>
      <c r="Z97" s="4"/>
    </row>
    <row r="98" spans="1:26">
      <c r="A98" t="s">
        <v>230</v>
      </c>
      <c r="B98" t="s">
        <v>231</v>
      </c>
      <c r="C98" s="27">
        <v>84</v>
      </c>
      <c r="E98" t="s">
        <v>231</v>
      </c>
      <c r="F98" s="27">
        <v>7</v>
      </c>
      <c r="G98" t="b">
        <f t="shared" si="6"/>
        <v>1</v>
      </c>
      <c r="J98" s="24">
        <f t="shared" si="7"/>
        <v>-77</v>
      </c>
      <c r="K98" s="4">
        <f t="shared" si="8"/>
        <v>-0.91666666666666663</v>
      </c>
      <c r="M98" s="119">
        <v>400.54</v>
      </c>
      <c r="N98" s="119">
        <v>31.99</v>
      </c>
      <c r="Q98" s="119">
        <v>96.95</v>
      </c>
      <c r="U98" s="141">
        <f t="shared" si="9"/>
        <v>-368.55</v>
      </c>
      <c r="V98" s="4">
        <f t="shared" si="10"/>
        <v>-0.9201328206920657</v>
      </c>
      <c r="W98" s="17">
        <v>1275.1600000000001</v>
      </c>
      <c r="X98" s="17">
        <v>139.72999999999999</v>
      </c>
      <c r="Y98" s="4">
        <f t="shared" si="11"/>
        <v>-0.89042159415289057</v>
      </c>
      <c r="Z98" s="4"/>
    </row>
    <row r="99" spans="1:26">
      <c r="A99" t="s">
        <v>783</v>
      </c>
      <c r="B99" t="s">
        <v>784</v>
      </c>
      <c r="C99" s="27">
        <v>3695</v>
      </c>
      <c r="E99" t="s">
        <v>784</v>
      </c>
      <c r="F99" s="27">
        <v>3121</v>
      </c>
      <c r="G99" t="b">
        <f t="shared" si="6"/>
        <v>1</v>
      </c>
      <c r="J99" s="24">
        <f t="shared" si="7"/>
        <v>-574</v>
      </c>
      <c r="K99" s="4">
        <f t="shared" si="8"/>
        <v>-0.15534506089309874</v>
      </c>
      <c r="M99" s="119">
        <v>5796.25</v>
      </c>
      <c r="N99" s="119">
        <v>5555.1299999999992</v>
      </c>
      <c r="Q99" s="119">
        <v>37456.550000000003</v>
      </c>
      <c r="U99" s="141">
        <f t="shared" si="9"/>
        <v>-241.1200000000008</v>
      </c>
      <c r="V99" s="4">
        <f t="shared" si="10"/>
        <v>-4.1599309898641468E-2</v>
      </c>
      <c r="W99" s="17">
        <v>131767.67999999999</v>
      </c>
      <c r="X99" s="17">
        <v>114824.13</v>
      </c>
      <c r="Y99" s="4">
        <f t="shared" si="11"/>
        <v>-0.12858653958239219</v>
      </c>
      <c r="Z99" s="4"/>
    </row>
    <row r="100" spans="1:26">
      <c r="A100" t="s">
        <v>644</v>
      </c>
      <c r="B100" t="s">
        <v>645</v>
      </c>
      <c r="C100" s="27">
        <v>2448</v>
      </c>
      <c r="E100" t="s">
        <v>645</v>
      </c>
      <c r="F100" s="27">
        <v>2260</v>
      </c>
      <c r="G100" t="b">
        <f t="shared" si="6"/>
        <v>1</v>
      </c>
      <c r="J100" s="24">
        <f t="shared" si="7"/>
        <v>-188</v>
      </c>
      <c r="K100" s="4">
        <f t="shared" si="8"/>
        <v>-7.6797385620914982E-2</v>
      </c>
      <c r="M100" s="119">
        <v>1406.43</v>
      </c>
      <c r="N100" s="119">
        <v>1119.47</v>
      </c>
      <c r="Q100" s="119">
        <v>5908.56</v>
      </c>
      <c r="U100" s="141">
        <f t="shared" si="9"/>
        <v>-286.96000000000004</v>
      </c>
      <c r="V100" s="4">
        <f t="shared" si="10"/>
        <v>-0.20403432805045396</v>
      </c>
      <c r="W100" s="17">
        <v>58526.12</v>
      </c>
      <c r="X100" s="17">
        <v>54065.24</v>
      </c>
      <c r="Y100" s="4">
        <f t="shared" si="11"/>
        <v>-7.6220326924115289E-2</v>
      </c>
      <c r="Z100" s="4"/>
    </row>
    <row r="101" spans="1:26">
      <c r="A101" t="s">
        <v>813</v>
      </c>
      <c r="B101" t="s">
        <v>814</v>
      </c>
      <c r="C101" s="27">
        <v>2409</v>
      </c>
      <c r="E101" t="s">
        <v>814</v>
      </c>
      <c r="F101" s="27">
        <v>2491</v>
      </c>
      <c r="G101" t="b">
        <f t="shared" si="6"/>
        <v>1</v>
      </c>
      <c r="J101" s="24">
        <f t="shared" si="7"/>
        <v>82</v>
      </c>
      <c r="K101" s="4">
        <f t="shared" si="8"/>
        <v>3.4039020340390191E-2</v>
      </c>
      <c r="L101" s="5"/>
      <c r="M101" s="119">
        <v>3716.55</v>
      </c>
      <c r="N101" s="119">
        <v>4115.1099999999997</v>
      </c>
      <c r="O101" s="5"/>
      <c r="P101" s="5"/>
      <c r="Q101" s="119">
        <v>23366.05</v>
      </c>
      <c r="R101" s="5"/>
      <c r="S101" s="5"/>
      <c r="T101" s="5"/>
      <c r="U101" s="141">
        <f t="shared" si="9"/>
        <v>398.55999999999949</v>
      </c>
      <c r="V101" s="4">
        <f t="shared" si="10"/>
        <v>0.10723924069365398</v>
      </c>
      <c r="W101" s="17">
        <v>71959.350000000006</v>
      </c>
      <c r="X101" s="17">
        <v>74493.149999999994</v>
      </c>
      <c r="Y101" s="4">
        <f t="shared" si="11"/>
        <v>3.5211546518971959E-2</v>
      </c>
      <c r="Z101" s="4"/>
    </row>
    <row r="102" spans="1:26">
      <c r="A102" t="s">
        <v>674</v>
      </c>
      <c r="B102" s="26" t="s">
        <v>675</v>
      </c>
      <c r="C102" s="27">
        <v>2759</v>
      </c>
      <c r="E102" s="26" t="s">
        <v>675</v>
      </c>
      <c r="F102" s="27">
        <v>2553</v>
      </c>
      <c r="G102" t="b">
        <f t="shared" si="6"/>
        <v>1</v>
      </c>
      <c r="J102" s="24">
        <f t="shared" si="7"/>
        <v>-206</v>
      </c>
      <c r="K102" s="4">
        <f t="shared" si="8"/>
        <v>-7.4664733599130173E-2</v>
      </c>
      <c r="M102" s="119">
        <v>2692.31</v>
      </c>
      <c r="N102" s="119">
        <v>2399.8200000000002</v>
      </c>
      <c r="Q102" s="119">
        <v>15583.15</v>
      </c>
      <c r="U102" s="141">
        <f t="shared" si="9"/>
        <v>-292.48999999999978</v>
      </c>
      <c r="V102" s="4">
        <f t="shared" si="10"/>
        <v>-0.10863904973795724</v>
      </c>
      <c r="W102" s="17">
        <v>100950.44</v>
      </c>
      <c r="X102" s="17">
        <v>93197.04</v>
      </c>
      <c r="Y102" s="4">
        <f t="shared" si="11"/>
        <v>-7.6804023835854607E-2</v>
      </c>
      <c r="Z102" s="4"/>
    </row>
    <row r="103" spans="1:26">
      <c r="A103" t="s">
        <v>588</v>
      </c>
      <c r="B103" t="s">
        <v>589</v>
      </c>
      <c r="C103" s="27">
        <v>681</v>
      </c>
      <c r="E103" t="s">
        <v>589</v>
      </c>
      <c r="F103" s="27">
        <v>823</v>
      </c>
      <c r="G103" t="b">
        <f t="shared" si="6"/>
        <v>1</v>
      </c>
      <c r="J103" s="24">
        <f t="shared" si="7"/>
        <v>142</v>
      </c>
      <c r="K103" s="4">
        <f t="shared" si="8"/>
        <v>0.20851688693098391</v>
      </c>
      <c r="M103" s="119">
        <v>1877.42</v>
      </c>
      <c r="N103" s="119">
        <v>2321.1799999999998</v>
      </c>
      <c r="Q103" s="119">
        <v>9805.0300000000007</v>
      </c>
      <c r="U103" s="141">
        <f t="shared" si="9"/>
        <v>443.75999999999976</v>
      </c>
      <c r="V103" s="4">
        <f t="shared" si="10"/>
        <v>0.2363669290835293</v>
      </c>
      <c r="W103" s="17">
        <v>13630.78</v>
      </c>
      <c r="X103" s="17">
        <v>16429.2</v>
      </c>
      <c r="Y103" s="4">
        <f t="shared" si="11"/>
        <v>0.2053015308001449</v>
      </c>
      <c r="Z103" s="4"/>
    </row>
    <row r="104" spans="1:26">
      <c r="A104" s="38" t="s">
        <v>797</v>
      </c>
      <c r="B104" s="35" t="s">
        <v>798</v>
      </c>
      <c r="C104" s="27">
        <v>1777</v>
      </c>
      <c r="E104" s="35" t="s">
        <v>798</v>
      </c>
      <c r="F104" s="27">
        <v>1787</v>
      </c>
      <c r="G104" t="b">
        <f t="shared" si="6"/>
        <v>1</v>
      </c>
      <c r="J104" s="24">
        <f t="shared" si="7"/>
        <v>10</v>
      </c>
      <c r="K104" s="4">
        <f t="shared" si="8"/>
        <v>5.6274620146314902E-3</v>
      </c>
      <c r="M104" s="118">
        <v>3494.44</v>
      </c>
      <c r="N104" s="118">
        <v>3787.94</v>
      </c>
      <c r="Q104" s="118">
        <v>23243.85</v>
      </c>
      <c r="U104" s="141">
        <f t="shared" si="9"/>
        <v>293.5</v>
      </c>
      <c r="V104" s="4">
        <f t="shared" si="10"/>
        <v>8.3990567873536204E-2</v>
      </c>
      <c r="W104" s="17">
        <v>44349.75</v>
      </c>
      <c r="X104" s="17">
        <v>44622.39</v>
      </c>
      <c r="Y104" s="4">
        <f t="shared" si="11"/>
        <v>6.1474980129538892E-3</v>
      </c>
      <c r="Z104" s="4"/>
    </row>
    <row r="105" spans="1:26">
      <c r="A105" s="38" t="s">
        <v>84</v>
      </c>
      <c r="B105" s="35" t="s">
        <v>85</v>
      </c>
      <c r="C105" s="27">
        <v>1633</v>
      </c>
      <c r="E105" s="35" t="s">
        <v>85</v>
      </c>
      <c r="F105" s="27">
        <v>1685</v>
      </c>
      <c r="G105" t="b">
        <f t="shared" si="6"/>
        <v>1</v>
      </c>
      <c r="J105" s="24">
        <f t="shared" si="7"/>
        <v>52</v>
      </c>
      <c r="K105" s="4">
        <f t="shared" si="8"/>
        <v>3.1843233312921049E-2</v>
      </c>
      <c r="M105" s="119">
        <v>1399.16</v>
      </c>
      <c r="N105" s="119">
        <v>1810.4</v>
      </c>
      <c r="Q105" s="119">
        <v>9815.92</v>
      </c>
      <c r="U105" s="141">
        <f t="shared" si="9"/>
        <v>411.24</v>
      </c>
      <c r="V105" s="4">
        <f t="shared" si="10"/>
        <v>0.29391920866805799</v>
      </c>
      <c r="W105" s="17">
        <v>39148.080000000002</v>
      </c>
      <c r="X105" s="17">
        <v>40348.32</v>
      </c>
      <c r="Y105" s="4">
        <f t="shared" si="11"/>
        <v>3.0658974846275999E-2</v>
      </c>
      <c r="Z105" s="4"/>
    </row>
    <row r="106" spans="1:26">
      <c r="A106" s="38" t="s">
        <v>482</v>
      </c>
      <c r="B106" s="35" t="s">
        <v>483</v>
      </c>
      <c r="C106" s="27">
        <v>1494</v>
      </c>
      <c r="E106" s="35" t="s">
        <v>483</v>
      </c>
      <c r="F106" s="27">
        <v>1282</v>
      </c>
      <c r="G106" t="b">
        <f t="shared" si="6"/>
        <v>1</v>
      </c>
      <c r="J106" s="24">
        <f t="shared" si="7"/>
        <v>-212</v>
      </c>
      <c r="K106" s="4">
        <f t="shared" si="8"/>
        <v>-0.14190093708165996</v>
      </c>
      <c r="M106" s="119">
        <v>2461.5500000000002</v>
      </c>
      <c r="N106" s="119">
        <v>2296.17</v>
      </c>
      <c r="Q106" s="119">
        <v>10982.55</v>
      </c>
      <c r="U106" s="141">
        <f t="shared" si="9"/>
        <v>-165.38000000000011</v>
      </c>
      <c r="V106" s="4">
        <f t="shared" si="10"/>
        <v>-6.7185310068859083E-2</v>
      </c>
      <c r="W106" s="17">
        <v>25288.29</v>
      </c>
      <c r="X106" s="17">
        <v>23282.55</v>
      </c>
      <c r="Y106" s="4">
        <f t="shared" si="11"/>
        <v>-7.93149714749396E-2</v>
      </c>
      <c r="Z106" s="4"/>
    </row>
    <row r="107" spans="1:26">
      <c r="A107" t="s">
        <v>480</v>
      </c>
      <c r="B107" t="s">
        <v>481</v>
      </c>
      <c r="C107" s="27">
        <v>1723</v>
      </c>
      <c r="E107" t="s">
        <v>481</v>
      </c>
      <c r="F107" s="27">
        <v>2030</v>
      </c>
      <c r="G107" t="b">
        <f t="shared" si="6"/>
        <v>1</v>
      </c>
      <c r="J107" s="24">
        <f t="shared" si="7"/>
        <v>307</v>
      </c>
      <c r="K107" s="4">
        <f t="shared" si="8"/>
        <v>0.17817759721416127</v>
      </c>
      <c r="M107" s="119">
        <v>1988.3400000000001</v>
      </c>
      <c r="N107" s="119">
        <v>2761.9</v>
      </c>
      <c r="Q107" s="119">
        <v>15534.45</v>
      </c>
      <c r="U107" s="141">
        <f t="shared" si="9"/>
        <v>773.56</v>
      </c>
      <c r="V107" s="4">
        <f t="shared" si="10"/>
        <v>0.38904815071868981</v>
      </c>
      <c r="W107" s="17">
        <v>30956.45</v>
      </c>
      <c r="X107" s="17">
        <v>34892.53</v>
      </c>
      <c r="Y107" s="4">
        <f t="shared" si="11"/>
        <v>0.12714894634236162</v>
      </c>
      <c r="Z107" s="4"/>
    </row>
    <row r="108" spans="1:26">
      <c r="A108" s="35" t="s">
        <v>718</v>
      </c>
      <c r="B108" s="35" t="s">
        <v>719</v>
      </c>
      <c r="C108" s="27">
        <v>1327</v>
      </c>
      <c r="E108" s="35" t="s">
        <v>719</v>
      </c>
      <c r="F108" s="27">
        <v>2148</v>
      </c>
      <c r="G108" t="b">
        <f t="shared" si="6"/>
        <v>1</v>
      </c>
      <c r="J108" s="24">
        <f t="shared" si="7"/>
        <v>821</v>
      </c>
      <c r="K108" s="4">
        <f t="shared" si="8"/>
        <v>0.61868877166541081</v>
      </c>
      <c r="M108" s="119">
        <v>3566.4500000000003</v>
      </c>
      <c r="N108" s="119">
        <v>4816.32</v>
      </c>
      <c r="Q108" s="119">
        <v>22281.059999999998</v>
      </c>
      <c r="U108" s="141">
        <f t="shared" si="9"/>
        <v>1249.8699999999994</v>
      </c>
      <c r="V108" s="4">
        <f t="shared" si="10"/>
        <v>0.35045213026959554</v>
      </c>
      <c r="W108" s="17">
        <v>31829.89</v>
      </c>
      <c r="X108" s="17">
        <v>50837.68</v>
      </c>
      <c r="Y108" s="4">
        <f t="shared" si="11"/>
        <v>0.59716794497247716</v>
      </c>
      <c r="Z108" s="4"/>
    </row>
    <row r="109" spans="1:26">
      <c r="A109" t="s">
        <v>220</v>
      </c>
      <c r="B109" t="s">
        <v>221</v>
      </c>
      <c r="C109" s="27">
        <v>1857</v>
      </c>
      <c r="E109" t="s">
        <v>221</v>
      </c>
      <c r="F109" s="27">
        <v>2907</v>
      </c>
      <c r="G109" t="b">
        <f t="shared" si="6"/>
        <v>1</v>
      </c>
      <c r="J109" s="24">
        <f t="shared" si="7"/>
        <v>1050</v>
      </c>
      <c r="K109" s="4">
        <f t="shared" si="8"/>
        <v>0.56542810985460412</v>
      </c>
      <c r="M109" s="119">
        <v>1365</v>
      </c>
      <c r="N109" s="119">
        <v>2524.35</v>
      </c>
      <c r="Q109" s="119">
        <v>16933.11</v>
      </c>
      <c r="U109" s="141">
        <f t="shared" si="9"/>
        <v>1159.3499999999999</v>
      </c>
      <c r="V109" s="4">
        <f t="shared" si="10"/>
        <v>0.84934065934065917</v>
      </c>
      <c r="W109" s="17">
        <v>53764.85</v>
      </c>
      <c r="X109" s="17">
        <v>75164.259999999995</v>
      </c>
      <c r="Y109" s="4">
        <f t="shared" si="11"/>
        <v>0.39801859393265304</v>
      </c>
      <c r="Z109" s="4"/>
    </row>
    <row r="110" spans="1:26">
      <c r="A110" t="s">
        <v>188</v>
      </c>
      <c r="B110" t="s">
        <v>189</v>
      </c>
      <c r="C110" s="27">
        <v>368</v>
      </c>
      <c r="E110" t="s">
        <v>189</v>
      </c>
      <c r="F110" s="27">
        <v>427</v>
      </c>
      <c r="G110" t="b">
        <f t="shared" si="6"/>
        <v>1</v>
      </c>
      <c r="J110" s="24">
        <f t="shared" si="7"/>
        <v>59</v>
      </c>
      <c r="K110" s="4">
        <f t="shared" si="8"/>
        <v>0.16032608695652173</v>
      </c>
      <c r="M110" s="119">
        <v>348.53999999999996</v>
      </c>
      <c r="N110" s="119">
        <v>419.12</v>
      </c>
      <c r="Q110" s="119">
        <v>2808.04</v>
      </c>
      <c r="U110" s="141">
        <f t="shared" si="9"/>
        <v>70.580000000000041</v>
      </c>
      <c r="V110" s="4">
        <f t="shared" si="10"/>
        <v>0.2025018649222472</v>
      </c>
      <c r="W110" s="17">
        <v>11019.8</v>
      </c>
      <c r="X110" s="17">
        <v>12617.63</v>
      </c>
      <c r="Y110" s="4">
        <f t="shared" si="11"/>
        <v>0.14499627942430893</v>
      </c>
      <c r="Z110" s="4"/>
    </row>
    <row r="111" spans="1:26">
      <c r="A111" t="s">
        <v>781</v>
      </c>
      <c r="B111" t="s">
        <v>782</v>
      </c>
      <c r="C111" s="27">
        <v>2630</v>
      </c>
      <c r="E111" t="s">
        <v>782</v>
      </c>
      <c r="F111" s="27">
        <v>2729</v>
      </c>
      <c r="G111" t="b">
        <f t="shared" si="6"/>
        <v>1</v>
      </c>
      <c r="J111" s="24">
        <f t="shared" si="7"/>
        <v>99</v>
      </c>
      <c r="K111" s="4">
        <f t="shared" si="8"/>
        <v>3.7642585551330709E-2</v>
      </c>
      <c r="M111" s="119">
        <v>2342.54</v>
      </c>
      <c r="N111" s="119">
        <v>3650.29</v>
      </c>
      <c r="Q111" s="119">
        <v>19170.07</v>
      </c>
      <c r="U111" s="141">
        <f t="shared" si="9"/>
        <v>1307.75</v>
      </c>
      <c r="V111" s="4">
        <f t="shared" si="10"/>
        <v>0.5582615451603814</v>
      </c>
      <c r="W111" s="17">
        <v>78727.149999999994</v>
      </c>
      <c r="X111" s="17">
        <v>81613.820000000007</v>
      </c>
      <c r="Y111" s="4">
        <f t="shared" si="11"/>
        <v>3.6666766166437048E-2</v>
      </c>
      <c r="Z111" s="4"/>
    </row>
    <row r="112" spans="1:26">
      <c r="A112" s="38" t="s">
        <v>576</v>
      </c>
      <c r="B112" s="35" t="s">
        <v>577</v>
      </c>
      <c r="C112" s="27">
        <v>585</v>
      </c>
      <c r="E112" s="35" t="s">
        <v>577</v>
      </c>
      <c r="F112" s="27">
        <v>450</v>
      </c>
      <c r="G112" t="b">
        <f t="shared" si="6"/>
        <v>1</v>
      </c>
      <c r="J112" s="24">
        <f t="shared" si="7"/>
        <v>-135</v>
      </c>
      <c r="K112" s="4">
        <f t="shared" si="8"/>
        <v>-0.23076923076923073</v>
      </c>
      <c r="M112" s="118">
        <v>1410.32</v>
      </c>
      <c r="N112" s="118">
        <v>1179.26</v>
      </c>
      <c r="Q112" s="118">
        <v>6059.9</v>
      </c>
      <c r="U112" s="141">
        <f t="shared" si="9"/>
        <v>-231.05999999999995</v>
      </c>
      <c r="V112" s="4">
        <f t="shared" si="10"/>
        <v>-0.16383515797833115</v>
      </c>
      <c r="W112" s="17">
        <v>11692.35</v>
      </c>
      <c r="X112" s="17">
        <v>8994.5</v>
      </c>
      <c r="Y112" s="4">
        <f t="shared" si="11"/>
        <v>-0.23073633615141531</v>
      </c>
      <c r="Z112" s="4"/>
    </row>
    <row r="113" spans="1:26">
      <c r="A113" t="s">
        <v>754</v>
      </c>
      <c r="B113" t="s">
        <v>755</v>
      </c>
      <c r="C113" s="27">
        <v>3208</v>
      </c>
      <c r="E113" t="s">
        <v>755</v>
      </c>
      <c r="F113" s="27">
        <v>2317</v>
      </c>
      <c r="G113" t="b">
        <f t="shared" si="6"/>
        <v>1</v>
      </c>
      <c r="J113" s="24">
        <f t="shared" si="7"/>
        <v>-891</v>
      </c>
      <c r="K113" s="4">
        <f t="shared" si="8"/>
        <v>-0.27774314214463836</v>
      </c>
      <c r="M113" s="119">
        <v>4730.04</v>
      </c>
      <c r="N113" s="119">
        <v>4482.21</v>
      </c>
      <c r="Q113" s="119">
        <v>22083.919999999998</v>
      </c>
      <c r="U113" s="141">
        <f t="shared" si="9"/>
        <v>-247.82999999999993</v>
      </c>
      <c r="V113" s="4">
        <f t="shared" si="10"/>
        <v>-5.2394905751325549E-2</v>
      </c>
      <c r="W113" s="17">
        <v>75037.289999999994</v>
      </c>
      <c r="X113" s="17">
        <v>62431.08</v>
      </c>
      <c r="Y113" s="4">
        <f t="shared" si="11"/>
        <v>-0.1679992707625767</v>
      </c>
      <c r="Z113" s="4"/>
    </row>
    <row r="114" spans="1:26">
      <c r="A114" s="38" t="s">
        <v>96</v>
      </c>
      <c r="B114" s="35" t="s">
        <v>97</v>
      </c>
      <c r="C114" s="18">
        <v>1249</v>
      </c>
      <c r="E114" s="35" t="s">
        <v>97</v>
      </c>
      <c r="F114" s="18">
        <v>1016</v>
      </c>
      <c r="G114" t="b">
        <f t="shared" si="6"/>
        <v>1</v>
      </c>
      <c r="J114" s="24">
        <f t="shared" si="7"/>
        <v>-233</v>
      </c>
      <c r="K114" s="4">
        <f t="shared" si="8"/>
        <v>-0.18654923939151324</v>
      </c>
      <c r="M114" s="118">
        <v>2448.2200000000003</v>
      </c>
      <c r="N114" s="118">
        <v>1987.79</v>
      </c>
      <c r="Q114" s="118">
        <v>8511.93</v>
      </c>
      <c r="U114" s="141">
        <f t="shared" si="9"/>
        <v>-460.43000000000029</v>
      </c>
      <c r="V114" s="4">
        <f t="shared" si="10"/>
        <v>-0.18806724885835435</v>
      </c>
      <c r="W114">
        <v>22058.16</v>
      </c>
      <c r="X114">
        <v>19172.86</v>
      </c>
      <c r="Y114" s="4">
        <f t="shared" si="11"/>
        <v>-0.1308042012570404</v>
      </c>
      <c r="Z114" s="4"/>
    </row>
    <row r="115" spans="1:26">
      <c r="A115" s="38" t="s">
        <v>636</v>
      </c>
      <c r="B115" s="35" t="s">
        <v>637</v>
      </c>
      <c r="C115" s="18">
        <v>1840</v>
      </c>
      <c r="E115" s="35" t="s">
        <v>637</v>
      </c>
      <c r="F115" s="18">
        <v>968</v>
      </c>
      <c r="G115" t="b">
        <f t="shared" si="6"/>
        <v>1</v>
      </c>
      <c r="J115" s="24">
        <f t="shared" si="7"/>
        <v>-872</v>
      </c>
      <c r="K115" s="4">
        <f t="shared" si="8"/>
        <v>-0.47391304347826091</v>
      </c>
      <c r="M115" s="118">
        <v>3179.77</v>
      </c>
      <c r="N115" s="118">
        <v>2020.56</v>
      </c>
      <c r="Q115" s="118">
        <v>11272.39</v>
      </c>
      <c r="U115" s="141">
        <f t="shared" si="9"/>
        <v>-1159.21</v>
      </c>
      <c r="V115" s="4">
        <f t="shared" si="10"/>
        <v>-0.36455781392993836</v>
      </c>
      <c r="W115">
        <v>40626.6</v>
      </c>
      <c r="X115">
        <v>22830.74</v>
      </c>
      <c r="Y115" s="4">
        <f t="shared" si="11"/>
        <v>-0.43803468663388023</v>
      </c>
      <c r="Z115" s="4"/>
    </row>
    <row r="116" spans="1:26">
      <c r="A116" t="s">
        <v>26</v>
      </c>
      <c r="B116" t="s">
        <v>27</v>
      </c>
      <c r="C116" s="27">
        <v>3020</v>
      </c>
      <c r="E116" t="s">
        <v>27</v>
      </c>
      <c r="F116" s="27">
        <v>2475</v>
      </c>
      <c r="G116" t="b">
        <f t="shared" si="6"/>
        <v>1</v>
      </c>
      <c r="J116" s="24">
        <f t="shared" si="7"/>
        <v>-545</v>
      </c>
      <c r="K116" s="4">
        <f t="shared" si="8"/>
        <v>-0.18046357615894038</v>
      </c>
      <c r="M116" s="119">
        <v>3784.98</v>
      </c>
      <c r="N116" s="119">
        <v>4324.6099999999997</v>
      </c>
      <c r="Q116" s="119">
        <v>24062.16</v>
      </c>
      <c r="U116" s="141">
        <f t="shared" si="9"/>
        <v>539.62999999999965</v>
      </c>
      <c r="V116" s="4">
        <f t="shared" si="10"/>
        <v>0.14257142706170178</v>
      </c>
      <c r="W116" s="17">
        <v>71108.570000000007</v>
      </c>
      <c r="X116" s="17">
        <v>59260.06</v>
      </c>
      <c r="Y116" s="4">
        <f t="shared" si="11"/>
        <v>-0.16662562613760912</v>
      </c>
      <c r="Z116" s="4"/>
    </row>
    <row r="117" spans="1:26">
      <c r="A117" s="123" t="s">
        <v>134</v>
      </c>
      <c r="B117" s="35" t="s">
        <v>135</v>
      </c>
      <c r="C117" s="27">
        <v>1572</v>
      </c>
      <c r="E117" s="35" t="s">
        <v>135</v>
      </c>
      <c r="F117" s="27">
        <v>1047</v>
      </c>
      <c r="G117" t="b">
        <f t="shared" si="6"/>
        <v>1</v>
      </c>
      <c r="J117" s="24">
        <f t="shared" si="7"/>
        <v>-525</v>
      </c>
      <c r="K117" s="4">
        <f t="shared" si="8"/>
        <v>-0.33396946564885499</v>
      </c>
      <c r="M117" s="118">
        <v>2433.3200000000002</v>
      </c>
      <c r="N117" s="118">
        <v>1567.64</v>
      </c>
      <c r="Q117" s="118">
        <v>8523.23</v>
      </c>
      <c r="U117" s="141">
        <f t="shared" si="9"/>
        <v>-865.68000000000006</v>
      </c>
      <c r="V117" s="4">
        <f t="shared" si="10"/>
        <v>-0.35576085348412867</v>
      </c>
      <c r="W117" s="17">
        <v>26263.01</v>
      </c>
      <c r="X117" s="17">
        <v>20759</v>
      </c>
      <c r="Y117" s="4">
        <f t="shared" si="11"/>
        <v>-0.20957270320500199</v>
      </c>
      <c r="Z117" s="4"/>
    </row>
    <row r="118" spans="1:26">
      <c r="A118" t="s">
        <v>498</v>
      </c>
      <c r="B118" t="s">
        <v>499</v>
      </c>
      <c r="C118" s="27">
        <v>485</v>
      </c>
      <c r="E118" t="s">
        <v>499</v>
      </c>
      <c r="F118" s="27">
        <v>18</v>
      </c>
      <c r="G118" t="b">
        <f t="shared" si="6"/>
        <v>1</v>
      </c>
      <c r="J118" s="24">
        <f t="shared" si="7"/>
        <v>-467</v>
      </c>
      <c r="K118" s="4">
        <f t="shared" si="8"/>
        <v>-0.96288659793814435</v>
      </c>
      <c r="M118" s="119">
        <v>1002.99</v>
      </c>
      <c r="N118" s="119">
        <v>54.41</v>
      </c>
      <c r="Q118" s="119">
        <v>209.86</v>
      </c>
      <c r="U118" s="141">
        <f t="shared" si="9"/>
        <v>-948.58</v>
      </c>
      <c r="V118" s="4">
        <f t="shared" si="10"/>
        <v>-0.94575220091925138</v>
      </c>
      <c r="W118" s="17">
        <v>4536.1400000000003</v>
      </c>
      <c r="X118" s="17">
        <v>359.62</v>
      </c>
      <c r="Y118" s="4">
        <f t="shared" si="11"/>
        <v>-0.92072114176370223</v>
      </c>
      <c r="Z118" s="4"/>
    </row>
    <row r="119" spans="1:26">
      <c r="A119" t="s">
        <v>696</v>
      </c>
      <c r="B119" t="s">
        <v>697</v>
      </c>
      <c r="C119" s="27">
        <v>5285</v>
      </c>
      <c r="E119" t="s">
        <v>697</v>
      </c>
      <c r="F119" s="27">
        <v>4661</v>
      </c>
      <c r="G119" t="b">
        <f t="shared" si="6"/>
        <v>1</v>
      </c>
      <c r="J119" s="24">
        <f t="shared" si="7"/>
        <v>-624</v>
      </c>
      <c r="K119" s="4">
        <f t="shared" si="8"/>
        <v>-0.11807000946073798</v>
      </c>
      <c r="M119" s="119">
        <v>4262.45</v>
      </c>
      <c r="N119" s="119">
        <v>3730.39</v>
      </c>
      <c r="Q119" s="119">
        <v>37947.199999999997</v>
      </c>
      <c r="U119" s="141">
        <f t="shared" si="9"/>
        <v>-532.05999999999995</v>
      </c>
      <c r="V119" s="4">
        <f t="shared" si="10"/>
        <v>-0.12482492463254702</v>
      </c>
      <c r="W119" s="17">
        <v>194409.08</v>
      </c>
      <c r="X119" s="17">
        <v>179089.06</v>
      </c>
      <c r="Y119" s="4">
        <f t="shared" si="11"/>
        <v>-7.8803006526238284E-2</v>
      </c>
      <c r="Z119" s="4"/>
    </row>
    <row r="120" spans="1:26" ht="30">
      <c r="A120" s="38" t="s">
        <v>124</v>
      </c>
      <c r="B120" s="35" t="s">
        <v>125</v>
      </c>
      <c r="C120" s="27">
        <v>831</v>
      </c>
      <c r="E120" s="35" t="s">
        <v>125</v>
      </c>
      <c r="F120" s="27">
        <v>801</v>
      </c>
      <c r="G120" t="b">
        <f t="shared" si="6"/>
        <v>1</v>
      </c>
      <c r="J120" s="24">
        <f t="shared" si="7"/>
        <v>-30</v>
      </c>
      <c r="K120" s="4">
        <f t="shared" si="8"/>
        <v>-3.6101083032490933E-2</v>
      </c>
      <c r="M120" s="118">
        <v>1490.7</v>
      </c>
      <c r="N120" s="118">
        <v>1294.2</v>
      </c>
      <c r="Q120" s="118">
        <v>6545.41</v>
      </c>
      <c r="U120" s="141">
        <f t="shared" si="9"/>
        <v>-196.5</v>
      </c>
      <c r="V120" s="4">
        <f t="shared" si="10"/>
        <v>-0.13181726705574559</v>
      </c>
      <c r="W120" s="17">
        <v>18227.07</v>
      </c>
      <c r="X120" s="17">
        <v>17611.57</v>
      </c>
      <c r="Y120" s="4">
        <f t="shared" si="11"/>
        <v>-3.3768455379827866E-2</v>
      </c>
      <c r="Z120" s="4"/>
    </row>
    <row r="121" spans="1:26">
      <c r="A121" t="s">
        <v>198</v>
      </c>
      <c r="B121" t="s">
        <v>199</v>
      </c>
      <c r="C121" s="27">
        <v>1113</v>
      </c>
      <c r="E121" t="s">
        <v>199</v>
      </c>
      <c r="F121" s="27">
        <v>1063</v>
      </c>
      <c r="G121" t="b">
        <f t="shared" si="6"/>
        <v>1</v>
      </c>
      <c r="J121" s="24">
        <f t="shared" si="7"/>
        <v>-50</v>
      </c>
      <c r="K121" s="4">
        <f t="shared" si="8"/>
        <v>-4.4923629829290213E-2</v>
      </c>
      <c r="M121" s="119">
        <v>1510.2</v>
      </c>
      <c r="N121" s="119">
        <v>1080.6099999999999</v>
      </c>
      <c r="Q121" s="119">
        <v>11160.48</v>
      </c>
      <c r="U121" s="141">
        <f t="shared" si="9"/>
        <v>-429.59000000000015</v>
      </c>
      <c r="V121" s="4">
        <f t="shared" si="10"/>
        <v>-0.28445901205138402</v>
      </c>
      <c r="W121" s="17">
        <v>28589.73</v>
      </c>
      <c r="X121" s="17">
        <v>27111.040000000001</v>
      </c>
      <c r="Y121" s="4">
        <f t="shared" si="11"/>
        <v>-5.1721020100574555E-2</v>
      </c>
      <c r="Z121" s="4"/>
    </row>
    <row r="122" spans="1:26">
      <c r="A122" s="23" t="s">
        <v>166</v>
      </c>
      <c r="B122" s="22" t="s">
        <v>167</v>
      </c>
      <c r="C122" s="27">
        <v>1045</v>
      </c>
      <c r="E122" s="22" t="s">
        <v>167</v>
      </c>
      <c r="F122" s="27">
        <v>472</v>
      </c>
      <c r="G122" t="b">
        <f t="shared" si="6"/>
        <v>1</v>
      </c>
      <c r="J122" s="24">
        <f t="shared" si="7"/>
        <v>-573</v>
      </c>
      <c r="K122" s="4">
        <f t="shared" si="8"/>
        <v>-0.54832535885167466</v>
      </c>
      <c r="M122" s="119">
        <v>2626.6</v>
      </c>
      <c r="N122" s="119">
        <v>1558.62</v>
      </c>
      <c r="Q122" s="119">
        <v>6491.2</v>
      </c>
      <c r="U122" s="141">
        <f t="shared" si="9"/>
        <v>-1067.98</v>
      </c>
      <c r="V122" s="4">
        <f t="shared" si="10"/>
        <v>-0.40660169039823346</v>
      </c>
      <c r="W122" s="17">
        <v>26896.560000000001</v>
      </c>
      <c r="X122" s="17">
        <v>14121.11</v>
      </c>
      <c r="Y122" s="4">
        <f t="shared" si="11"/>
        <v>-0.47498453333809232</v>
      </c>
      <c r="Z122" s="4"/>
    </row>
    <row r="123" spans="1:26" ht="15.75" customHeight="1">
      <c r="A123" t="s">
        <v>142</v>
      </c>
      <c r="B123" t="s">
        <v>143</v>
      </c>
      <c r="C123" s="27">
        <v>2782</v>
      </c>
      <c r="E123" t="s">
        <v>143</v>
      </c>
      <c r="F123" s="27">
        <v>2393</v>
      </c>
      <c r="G123" t="b">
        <f t="shared" si="6"/>
        <v>1</v>
      </c>
      <c r="J123" s="24">
        <f t="shared" si="7"/>
        <v>-389</v>
      </c>
      <c r="K123" s="4">
        <f t="shared" si="8"/>
        <v>-0.13982746225736875</v>
      </c>
      <c r="M123" s="119">
        <v>3853.6899999999996</v>
      </c>
      <c r="N123" s="119">
        <v>2629.7200000000003</v>
      </c>
      <c r="Q123" s="119">
        <v>23358.400000000001</v>
      </c>
      <c r="U123" s="141">
        <f t="shared" si="9"/>
        <v>-1223.9699999999993</v>
      </c>
      <c r="V123" s="4">
        <f t="shared" si="10"/>
        <v>-0.31760987521051243</v>
      </c>
      <c r="W123" s="17">
        <v>80559.27</v>
      </c>
      <c r="X123" s="17">
        <v>67663.34</v>
      </c>
      <c r="Y123" s="4">
        <f t="shared" si="11"/>
        <v>-0.16008002555137357</v>
      </c>
      <c r="Z123" s="4"/>
    </row>
    <row r="124" spans="1:26">
      <c r="A124" t="s">
        <v>556</v>
      </c>
      <c r="B124" t="s">
        <v>557</v>
      </c>
      <c r="C124" s="27">
        <v>970</v>
      </c>
      <c r="E124" t="s">
        <v>557</v>
      </c>
      <c r="F124" s="27">
        <v>737</v>
      </c>
      <c r="G124" t="b">
        <f t="shared" si="6"/>
        <v>1</v>
      </c>
      <c r="J124" s="24">
        <f t="shared" si="7"/>
        <v>-233</v>
      </c>
      <c r="K124" s="4">
        <f t="shared" si="8"/>
        <v>-0.24020618556701034</v>
      </c>
      <c r="M124" s="119">
        <v>1406.73</v>
      </c>
      <c r="N124" s="119">
        <v>864.95</v>
      </c>
      <c r="Q124" s="119">
        <v>2880.71</v>
      </c>
      <c r="U124" s="141">
        <f t="shared" si="9"/>
        <v>-541.78</v>
      </c>
      <c r="V124" s="4">
        <f t="shared" si="10"/>
        <v>-0.38513431859702996</v>
      </c>
      <c r="W124" s="17">
        <v>16301.42</v>
      </c>
      <c r="X124" s="17">
        <v>14709.66</v>
      </c>
      <c r="Y124" s="4">
        <f t="shared" si="11"/>
        <v>-9.7645481191209083E-2</v>
      </c>
      <c r="Z124" s="4"/>
    </row>
    <row r="125" spans="1:26">
      <c r="A125" t="s">
        <v>566</v>
      </c>
      <c r="B125" t="s">
        <v>567</v>
      </c>
      <c r="C125" s="27">
        <v>2427</v>
      </c>
      <c r="E125" t="s">
        <v>567</v>
      </c>
      <c r="F125" s="27">
        <v>2264</v>
      </c>
      <c r="G125" t="b">
        <f t="shared" si="6"/>
        <v>1</v>
      </c>
      <c r="J125" s="24">
        <f t="shared" si="7"/>
        <v>-163</v>
      </c>
      <c r="K125" s="4">
        <f t="shared" si="8"/>
        <v>-6.716110424392252E-2</v>
      </c>
      <c r="M125" s="119">
        <v>2327.61</v>
      </c>
      <c r="N125" s="119">
        <v>1424.08</v>
      </c>
      <c r="Q125" s="119">
        <v>9203.48</v>
      </c>
      <c r="U125" s="141">
        <f t="shared" si="9"/>
        <v>-903.5300000000002</v>
      </c>
      <c r="V125" s="4">
        <f t="shared" si="10"/>
        <v>-0.38817929120428252</v>
      </c>
      <c r="W125" s="17">
        <v>65748.33</v>
      </c>
      <c r="X125" s="17">
        <v>64373.64</v>
      </c>
      <c r="Y125" s="4">
        <f t="shared" si="11"/>
        <v>-2.0908363756159343E-2</v>
      </c>
      <c r="Z125" s="4"/>
    </row>
    <row r="126" spans="1:26">
      <c r="A126" t="s">
        <v>228</v>
      </c>
      <c r="B126" t="s">
        <v>229</v>
      </c>
      <c r="C126" s="27">
        <v>254</v>
      </c>
      <c r="E126" t="s">
        <v>229</v>
      </c>
      <c r="F126" s="27">
        <v>167</v>
      </c>
      <c r="G126" t="b">
        <f t="shared" si="6"/>
        <v>1</v>
      </c>
      <c r="J126" s="24">
        <f t="shared" si="7"/>
        <v>-87</v>
      </c>
      <c r="K126" s="4">
        <f t="shared" si="8"/>
        <v>-0.34251968503937003</v>
      </c>
      <c r="M126" s="119">
        <v>0</v>
      </c>
      <c r="N126" s="119">
        <v>0</v>
      </c>
      <c r="Q126" s="119">
        <v>0</v>
      </c>
      <c r="U126" s="141">
        <f t="shared" si="9"/>
        <v>0</v>
      </c>
      <c r="V126" s="4">
        <f t="shared" si="10"/>
        <v>0</v>
      </c>
      <c r="W126" s="17">
        <v>6341.96</v>
      </c>
      <c r="X126" s="17">
        <v>4169.6000000000004</v>
      </c>
      <c r="Y126" s="4">
        <f t="shared" si="11"/>
        <v>-0.34253763820648497</v>
      </c>
      <c r="Z126" s="4"/>
    </row>
    <row r="127" spans="1:26">
      <c r="A127" s="38" t="s">
        <v>168</v>
      </c>
      <c r="B127" s="35" t="s">
        <v>169</v>
      </c>
      <c r="C127" s="18">
        <v>1138</v>
      </c>
      <c r="E127" s="35" t="s">
        <v>169</v>
      </c>
      <c r="F127" s="18">
        <v>388</v>
      </c>
      <c r="G127" t="b">
        <f t="shared" si="6"/>
        <v>1</v>
      </c>
      <c r="J127" s="24">
        <f t="shared" si="7"/>
        <v>-750</v>
      </c>
      <c r="K127" s="4">
        <f t="shared" si="8"/>
        <v>-0.65905096660808438</v>
      </c>
      <c r="M127" s="118">
        <v>1868.94</v>
      </c>
      <c r="N127" s="118">
        <v>1139.69</v>
      </c>
      <c r="Q127" s="118">
        <v>5191.1000000000004</v>
      </c>
      <c r="U127" s="141">
        <f t="shared" si="9"/>
        <v>-729.25</v>
      </c>
      <c r="V127" s="4">
        <f t="shared" si="10"/>
        <v>-0.39019444176913121</v>
      </c>
      <c r="W127">
        <v>19222.63</v>
      </c>
      <c r="X127">
        <v>7754.34</v>
      </c>
      <c r="Y127" s="4">
        <f t="shared" si="11"/>
        <v>-0.59660358650195111</v>
      </c>
      <c r="Z127" s="4"/>
    </row>
    <row r="128" spans="1:26">
      <c r="A128" s="38" t="s">
        <v>642</v>
      </c>
      <c r="B128" s="35" t="s">
        <v>643</v>
      </c>
      <c r="C128" s="27">
        <v>834</v>
      </c>
      <c r="E128" s="35" t="s">
        <v>643</v>
      </c>
      <c r="F128" s="27">
        <v>804</v>
      </c>
      <c r="G128" t="b">
        <f t="shared" si="6"/>
        <v>1</v>
      </c>
      <c r="J128" s="24">
        <f t="shared" si="7"/>
        <v>-30</v>
      </c>
      <c r="K128" s="4">
        <f t="shared" si="8"/>
        <v>-3.5971223021582732E-2</v>
      </c>
      <c r="M128" s="119">
        <v>1692.33</v>
      </c>
      <c r="N128" s="119">
        <v>1225.97</v>
      </c>
      <c r="Q128" s="119">
        <v>5791.59</v>
      </c>
      <c r="U128" s="141">
        <f t="shared" si="9"/>
        <v>-466.3599999999999</v>
      </c>
      <c r="V128" s="4">
        <f t="shared" si="10"/>
        <v>-0.27557273108672653</v>
      </c>
      <c r="W128" s="17">
        <v>16608.89</v>
      </c>
      <c r="X128" s="17">
        <v>16009.79</v>
      </c>
      <c r="Y128" s="4">
        <f t="shared" si="11"/>
        <v>-3.6071043880716802E-2</v>
      </c>
      <c r="Z128" s="4"/>
    </row>
    <row r="129" spans="1:26">
      <c r="A129" s="38" t="s">
        <v>825</v>
      </c>
      <c r="B129" s="35" t="s">
        <v>826</v>
      </c>
      <c r="C129" s="27">
        <v>2319</v>
      </c>
      <c r="E129" s="35" t="s">
        <v>826</v>
      </c>
      <c r="F129" s="27">
        <v>1973</v>
      </c>
      <c r="G129" t="b">
        <f t="shared" si="6"/>
        <v>1</v>
      </c>
      <c r="J129" s="24">
        <f t="shared" si="7"/>
        <v>-346</v>
      </c>
      <c r="K129" s="4">
        <f t="shared" si="8"/>
        <v>-0.14920224234583868</v>
      </c>
      <c r="M129" s="118">
        <v>3847.36</v>
      </c>
      <c r="N129" s="118">
        <v>2619.77</v>
      </c>
      <c r="Q129" s="118">
        <v>19507.5</v>
      </c>
      <c r="U129" s="141">
        <f t="shared" si="9"/>
        <v>-1227.5900000000001</v>
      </c>
      <c r="V129" s="4">
        <f t="shared" si="10"/>
        <v>-0.31907333860101472</v>
      </c>
      <c r="W129" s="17">
        <v>67483.289999999994</v>
      </c>
      <c r="X129" s="17">
        <v>59068.34</v>
      </c>
      <c r="Y129" s="4">
        <f t="shared" si="11"/>
        <v>-0.12469679531036493</v>
      </c>
      <c r="Z129" s="4"/>
    </row>
    <row r="130" spans="1:26">
      <c r="A130" s="38" t="s">
        <v>829</v>
      </c>
      <c r="B130" s="35" t="s">
        <v>830</v>
      </c>
      <c r="C130" s="27">
        <v>2330</v>
      </c>
      <c r="E130" s="35" t="s">
        <v>830</v>
      </c>
      <c r="F130" s="27">
        <v>2280</v>
      </c>
      <c r="G130" t="b">
        <f t="shared" ref="G130:G193" si="12">IF(B130=E130,TRUE,FALSE)</f>
        <v>1</v>
      </c>
      <c r="J130" s="24">
        <f t="shared" ref="J130:J193" si="13">F130-C130</f>
        <v>-50</v>
      </c>
      <c r="K130" s="4">
        <f t="shared" ref="K130:K193" si="14">F130/C130-1</f>
        <v>-2.1459227467811148E-2</v>
      </c>
      <c r="M130" s="118">
        <v>4633.2599999999993</v>
      </c>
      <c r="N130" s="118">
        <v>6809.24</v>
      </c>
      <c r="Q130" s="118">
        <v>41319.57</v>
      </c>
      <c r="U130" s="141">
        <f t="shared" ref="U130:U193" si="15">N130-M130</f>
        <v>2175.9800000000005</v>
      </c>
      <c r="V130" s="4">
        <f t="shared" ref="V130:V193" si="16">IF(M130=0,0,N130/M130-1)</f>
        <v>0.46964340442798402</v>
      </c>
      <c r="W130" s="144">
        <v>67496.83</v>
      </c>
      <c r="X130" s="144">
        <v>66041.7</v>
      </c>
      <c r="Y130" s="4">
        <f t="shared" ref="Y130:Y193" si="17">X130/W130-1</f>
        <v>-2.1558493932233636E-2</v>
      </c>
    </row>
    <row r="131" spans="1:26">
      <c r="A131" s="38" t="s">
        <v>192</v>
      </c>
      <c r="B131" s="35" t="s">
        <v>193</v>
      </c>
      <c r="C131" s="27">
        <v>345</v>
      </c>
      <c r="E131" s="35" t="s">
        <v>193</v>
      </c>
      <c r="F131" s="27">
        <v>387</v>
      </c>
      <c r="G131" t="b">
        <f t="shared" si="12"/>
        <v>1</v>
      </c>
      <c r="J131" s="24">
        <f t="shared" si="13"/>
        <v>42</v>
      </c>
      <c r="K131" s="4">
        <f t="shared" si="14"/>
        <v>0.12173913043478257</v>
      </c>
      <c r="M131" s="118">
        <v>350.86</v>
      </c>
      <c r="N131" s="118">
        <v>411.37</v>
      </c>
      <c r="Q131" s="118">
        <v>2185.16</v>
      </c>
      <c r="U131" s="141">
        <f t="shared" si="15"/>
        <v>60.509999999999991</v>
      </c>
      <c r="V131" s="4">
        <f t="shared" si="16"/>
        <v>0.17246195063558112</v>
      </c>
      <c r="W131" s="17">
        <v>6894.95</v>
      </c>
      <c r="X131" s="17">
        <v>7295.33</v>
      </c>
      <c r="Y131" s="4">
        <f t="shared" si="17"/>
        <v>5.8068586429198099E-2</v>
      </c>
      <c r="Z131" s="4"/>
    </row>
    <row r="132" spans="1:26">
      <c r="A132" s="38" t="s">
        <v>452</v>
      </c>
      <c r="B132" s="35" t="s">
        <v>453</v>
      </c>
      <c r="C132" s="18">
        <v>308</v>
      </c>
      <c r="E132" s="35" t="s">
        <v>453</v>
      </c>
      <c r="F132" s="18">
        <v>251</v>
      </c>
      <c r="G132" t="b">
        <f t="shared" si="12"/>
        <v>1</v>
      </c>
      <c r="J132" s="24">
        <f t="shared" si="13"/>
        <v>-57</v>
      </c>
      <c r="K132" s="4">
        <f t="shared" si="14"/>
        <v>-0.18506493506493504</v>
      </c>
      <c r="M132" s="118">
        <v>107.02</v>
      </c>
      <c r="N132" s="118">
        <v>72.25</v>
      </c>
      <c r="Q132" s="118">
        <v>956.01</v>
      </c>
      <c r="U132" s="141">
        <f t="shared" si="15"/>
        <v>-34.769999999999996</v>
      </c>
      <c r="V132" s="4">
        <f t="shared" si="16"/>
        <v>-0.32489254344982244</v>
      </c>
      <c r="W132">
        <v>6155.52</v>
      </c>
      <c r="X132">
        <v>5016.49</v>
      </c>
      <c r="Y132" s="4">
        <f t="shared" si="17"/>
        <v>-0.18504204356415066</v>
      </c>
      <c r="Z132" s="4"/>
    </row>
    <row r="133" spans="1:26">
      <c r="A133" s="38" t="s">
        <v>722</v>
      </c>
      <c r="B133" s="35" t="s">
        <v>723</v>
      </c>
      <c r="C133" s="27">
        <v>1979</v>
      </c>
      <c r="E133" s="35" t="s">
        <v>723</v>
      </c>
      <c r="F133" s="27">
        <v>2314</v>
      </c>
      <c r="G133" t="b">
        <f t="shared" si="12"/>
        <v>1</v>
      </c>
      <c r="J133" s="24">
        <f t="shared" si="13"/>
        <v>335</v>
      </c>
      <c r="K133" s="4">
        <f t="shared" si="14"/>
        <v>0.16927741283476494</v>
      </c>
      <c r="M133" s="118">
        <v>4513.68</v>
      </c>
      <c r="N133" s="118">
        <v>5389.55</v>
      </c>
      <c r="Q133" s="118">
        <v>24594.99</v>
      </c>
      <c r="U133" s="141">
        <f t="shared" si="15"/>
        <v>875.86999999999989</v>
      </c>
      <c r="V133" s="4">
        <f t="shared" si="16"/>
        <v>0.19404787224614939</v>
      </c>
      <c r="W133" s="17">
        <v>49295.77</v>
      </c>
      <c r="X133" s="17">
        <v>54376.68</v>
      </c>
      <c r="Y133" s="4">
        <f t="shared" si="17"/>
        <v>0.10306989828944757</v>
      </c>
      <c r="Z133" s="4"/>
    </row>
    <row r="134" spans="1:26">
      <c r="A134" t="s">
        <v>152</v>
      </c>
      <c r="B134" t="s">
        <v>153</v>
      </c>
      <c r="C134" s="27">
        <v>1341</v>
      </c>
      <c r="E134" t="s">
        <v>153</v>
      </c>
      <c r="F134" s="27">
        <v>1442</v>
      </c>
      <c r="G134" t="b">
        <f t="shared" si="12"/>
        <v>1</v>
      </c>
      <c r="J134" s="24">
        <f t="shared" si="13"/>
        <v>101</v>
      </c>
      <c r="K134" s="4">
        <f t="shared" si="14"/>
        <v>7.5316927665920907E-2</v>
      </c>
      <c r="M134" s="119">
        <v>822.61</v>
      </c>
      <c r="N134" s="119">
        <v>1271.2</v>
      </c>
      <c r="Q134" s="119">
        <v>7179.97</v>
      </c>
      <c r="U134" s="141">
        <f t="shared" si="15"/>
        <v>448.59000000000003</v>
      </c>
      <c r="V134" s="4">
        <f t="shared" si="16"/>
        <v>0.54532524525595361</v>
      </c>
      <c r="W134" s="17">
        <v>33434.120000000003</v>
      </c>
      <c r="X134" s="17">
        <v>35702.36</v>
      </c>
      <c r="Y134" s="4">
        <f t="shared" si="17"/>
        <v>6.7842072708957035E-2</v>
      </c>
      <c r="Z134" s="4"/>
    </row>
    <row r="135" spans="1:26">
      <c r="A135" t="s">
        <v>224</v>
      </c>
      <c r="B135" t="s">
        <v>225</v>
      </c>
      <c r="C135" s="27">
        <v>608</v>
      </c>
      <c r="E135" t="s">
        <v>225</v>
      </c>
      <c r="F135" s="27">
        <v>908</v>
      </c>
      <c r="G135" t="b">
        <f t="shared" si="12"/>
        <v>1</v>
      </c>
      <c r="J135" s="24">
        <f t="shared" si="13"/>
        <v>300</v>
      </c>
      <c r="K135" s="4">
        <f t="shared" si="14"/>
        <v>0.49342105263157898</v>
      </c>
      <c r="M135" s="119">
        <v>372.15</v>
      </c>
      <c r="N135" s="119">
        <v>481.88</v>
      </c>
      <c r="Q135" s="119">
        <v>5002.7700000000004</v>
      </c>
      <c r="U135" s="141">
        <f t="shared" si="15"/>
        <v>109.73000000000002</v>
      </c>
      <c r="V135" s="4">
        <f t="shared" si="16"/>
        <v>0.29485422544672857</v>
      </c>
      <c r="W135" s="17">
        <v>19441.28</v>
      </c>
      <c r="X135" s="17">
        <v>26800.23</v>
      </c>
      <c r="Y135" s="4">
        <f t="shared" si="17"/>
        <v>0.37852188744774007</v>
      </c>
      <c r="Z135" s="4"/>
    </row>
    <row r="136" spans="1:26">
      <c r="A136" t="s">
        <v>46</v>
      </c>
      <c r="B136" t="s">
        <v>47</v>
      </c>
      <c r="C136" s="27">
        <v>1352</v>
      </c>
      <c r="E136" t="s">
        <v>47</v>
      </c>
      <c r="F136" s="27">
        <v>2043</v>
      </c>
      <c r="G136" t="b">
        <f t="shared" si="12"/>
        <v>1</v>
      </c>
      <c r="J136" s="24">
        <f t="shared" si="13"/>
        <v>691</v>
      </c>
      <c r="K136" s="4">
        <f t="shared" si="14"/>
        <v>0.51109467455621305</v>
      </c>
      <c r="M136" s="119">
        <v>1503.29</v>
      </c>
      <c r="N136" s="119">
        <v>2863.94</v>
      </c>
      <c r="Q136" s="119">
        <v>18349.05</v>
      </c>
      <c r="U136" s="141">
        <f t="shared" si="15"/>
        <v>1360.65</v>
      </c>
      <c r="V136" s="4">
        <f t="shared" si="16"/>
        <v>0.90511478157906988</v>
      </c>
      <c r="W136" s="17">
        <v>23956.84</v>
      </c>
      <c r="X136" s="17">
        <v>34106.76</v>
      </c>
      <c r="Y136" s="4">
        <f t="shared" si="17"/>
        <v>0.42367524264468948</v>
      </c>
      <c r="Z136" s="4"/>
    </row>
    <row r="137" spans="1:26">
      <c r="A137" t="s">
        <v>568</v>
      </c>
      <c r="B137" t="s">
        <v>569</v>
      </c>
      <c r="C137" s="27">
        <v>3680</v>
      </c>
      <c r="E137" t="s">
        <v>569</v>
      </c>
      <c r="F137" s="27">
        <v>3085</v>
      </c>
      <c r="G137" t="b">
        <f t="shared" si="12"/>
        <v>1</v>
      </c>
      <c r="J137" s="24">
        <f t="shared" si="13"/>
        <v>-595</v>
      </c>
      <c r="K137" s="4">
        <f t="shared" si="14"/>
        <v>-0.16168478260869568</v>
      </c>
      <c r="M137" s="119">
        <v>5206.03</v>
      </c>
      <c r="N137" s="119">
        <v>4055.7000000000003</v>
      </c>
      <c r="Q137" s="119">
        <v>17656.91</v>
      </c>
      <c r="U137" s="141">
        <f t="shared" si="15"/>
        <v>-1150.3299999999995</v>
      </c>
      <c r="V137" s="4">
        <f t="shared" si="16"/>
        <v>-0.22096107782705809</v>
      </c>
      <c r="W137" s="17">
        <v>110182.78</v>
      </c>
      <c r="X137" s="17">
        <v>92476.38</v>
      </c>
      <c r="Y137" s="4">
        <f t="shared" si="17"/>
        <v>-0.16070024735262622</v>
      </c>
      <c r="Z137" s="4"/>
    </row>
    <row r="138" spans="1:26">
      <c r="A138" t="s">
        <v>446</v>
      </c>
      <c r="B138" t="s">
        <v>447</v>
      </c>
      <c r="C138" s="27">
        <v>504</v>
      </c>
      <c r="E138" t="s">
        <v>447</v>
      </c>
      <c r="F138" s="27">
        <v>545</v>
      </c>
      <c r="G138" t="b">
        <f t="shared" si="12"/>
        <v>1</v>
      </c>
      <c r="J138" s="24">
        <f t="shared" si="13"/>
        <v>41</v>
      </c>
      <c r="K138" s="4">
        <f t="shared" si="14"/>
        <v>8.1349206349206282E-2</v>
      </c>
      <c r="M138" s="119">
        <v>721.71</v>
      </c>
      <c r="N138" s="119">
        <v>767.79</v>
      </c>
      <c r="Q138" s="119">
        <v>4313.9799999999996</v>
      </c>
      <c r="U138" s="141">
        <f t="shared" si="15"/>
        <v>46.079999999999927</v>
      </c>
      <c r="V138" s="4">
        <f t="shared" si="16"/>
        <v>6.3848360144656446E-2</v>
      </c>
      <c r="W138" s="17">
        <v>9529.6200000000008</v>
      </c>
      <c r="X138" s="17">
        <v>10346.349999999999</v>
      </c>
      <c r="Y138" s="4">
        <f t="shared" si="17"/>
        <v>8.5704361768884629E-2</v>
      </c>
      <c r="Z138" s="4"/>
    </row>
    <row r="139" spans="1:26">
      <c r="A139" s="35" t="s">
        <v>853</v>
      </c>
      <c r="B139" s="26" t="s">
        <v>854</v>
      </c>
      <c r="C139" s="27">
        <v>3486</v>
      </c>
      <c r="E139" s="26" t="s">
        <v>854</v>
      </c>
      <c r="F139" s="27">
        <v>2911</v>
      </c>
      <c r="G139" t="b">
        <f t="shared" si="12"/>
        <v>1</v>
      </c>
      <c r="J139" s="24">
        <f t="shared" si="13"/>
        <v>-575</v>
      </c>
      <c r="K139" s="4">
        <f t="shared" si="14"/>
        <v>-0.16494549627079746</v>
      </c>
      <c r="M139" s="118">
        <v>6725.14</v>
      </c>
      <c r="N139" s="118">
        <v>5273.51</v>
      </c>
      <c r="Q139" s="118">
        <v>23042.48</v>
      </c>
      <c r="U139" s="141">
        <f t="shared" si="15"/>
        <v>-1451.63</v>
      </c>
      <c r="V139" s="4">
        <f t="shared" si="16"/>
        <v>-0.21585126852377789</v>
      </c>
      <c r="W139" s="17">
        <v>85042.99</v>
      </c>
      <c r="X139" s="17">
        <v>72646.559999999998</v>
      </c>
      <c r="Y139" s="4">
        <f t="shared" si="17"/>
        <v>-0.14576662932476869</v>
      </c>
      <c r="Z139" s="4"/>
    </row>
    <row r="140" spans="1:26">
      <c r="A140" s="123" t="s">
        <v>336</v>
      </c>
      <c r="B140" s="123" t="s">
        <v>337</v>
      </c>
      <c r="C140" s="27">
        <v>1172</v>
      </c>
      <c r="E140" s="123" t="s">
        <v>337</v>
      </c>
      <c r="F140" s="27">
        <v>481</v>
      </c>
      <c r="G140" t="b">
        <f t="shared" si="12"/>
        <v>1</v>
      </c>
      <c r="J140" s="24">
        <f t="shared" si="13"/>
        <v>-691</v>
      </c>
      <c r="K140" s="4">
        <f t="shared" si="14"/>
        <v>-0.58959044368600688</v>
      </c>
      <c r="M140" s="118">
        <v>1420.35</v>
      </c>
      <c r="N140" s="118">
        <v>677.78</v>
      </c>
      <c r="Q140" s="118">
        <v>4994.2299999999996</v>
      </c>
      <c r="U140" s="141">
        <f t="shared" si="15"/>
        <v>-742.56999999999994</v>
      </c>
      <c r="V140" s="4">
        <f t="shared" si="16"/>
        <v>-0.52280775865103668</v>
      </c>
      <c r="W140" s="17">
        <v>21577.01</v>
      </c>
      <c r="X140" s="17">
        <v>11489.77</v>
      </c>
      <c r="Y140" s="4">
        <f t="shared" si="17"/>
        <v>-0.46749943574202346</v>
      </c>
      <c r="Z140" s="4"/>
    </row>
    <row r="141" spans="1:26">
      <c r="A141" t="s">
        <v>508</v>
      </c>
      <c r="B141" t="s">
        <v>509</v>
      </c>
      <c r="C141" s="27">
        <v>1109</v>
      </c>
      <c r="E141" t="s">
        <v>509</v>
      </c>
      <c r="F141" s="27">
        <v>1165</v>
      </c>
      <c r="G141" t="b">
        <f t="shared" si="12"/>
        <v>1</v>
      </c>
      <c r="J141" s="24">
        <f t="shared" si="13"/>
        <v>56</v>
      </c>
      <c r="K141" s="4">
        <f t="shared" si="14"/>
        <v>5.0495942290351703E-2</v>
      </c>
      <c r="M141" s="119">
        <v>3077.6</v>
      </c>
      <c r="N141" s="119">
        <v>3124.02</v>
      </c>
      <c r="Q141" s="119">
        <v>17770.52</v>
      </c>
      <c r="U141" s="141">
        <f t="shared" si="15"/>
        <v>46.420000000000073</v>
      </c>
      <c r="V141" s="4">
        <f t="shared" si="16"/>
        <v>1.5083181700026094E-2</v>
      </c>
      <c r="W141" s="17">
        <v>26128.41</v>
      </c>
      <c r="X141" s="17">
        <v>27122.46</v>
      </c>
      <c r="Y141" s="4">
        <f t="shared" si="17"/>
        <v>3.8044794918634439E-2</v>
      </c>
      <c r="Z141" s="4"/>
    </row>
    <row r="142" spans="1:26">
      <c r="A142" t="s">
        <v>602</v>
      </c>
      <c r="B142" t="s">
        <v>603</v>
      </c>
      <c r="C142" s="27">
        <v>1586</v>
      </c>
      <c r="E142" t="s">
        <v>603</v>
      </c>
      <c r="F142" s="27">
        <v>1335</v>
      </c>
      <c r="G142" t="b">
        <f t="shared" si="12"/>
        <v>1</v>
      </c>
      <c r="J142" s="24">
        <f t="shared" si="13"/>
        <v>-251</v>
      </c>
      <c r="K142" s="4">
        <f t="shared" si="14"/>
        <v>-0.1582597730138714</v>
      </c>
      <c r="M142" s="119">
        <v>5232.4799999999996</v>
      </c>
      <c r="N142" s="119">
        <v>3761.6200000000003</v>
      </c>
      <c r="Q142" s="119">
        <v>15281.26</v>
      </c>
      <c r="U142" s="141">
        <f t="shared" si="15"/>
        <v>-1470.8599999999992</v>
      </c>
      <c r="V142" s="4">
        <f t="shared" si="16"/>
        <v>-0.28110188667706315</v>
      </c>
      <c r="W142" s="17">
        <v>37993.440000000002</v>
      </c>
      <c r="X142" s="17">
        <v>31967.38</v>
      </c>
      <c r="Y142" s="4">
        <f t="shared" si="17"/>
        <v>-0.1586079070492169</v>
      </c>
      <c r="Z142" s="4"/>
    </row>
    <row r="143" spans="1:26">
      <c r="A143" s="123" t="s">
        <v>132</v>
      </c>
      <c r="B143" s="123" t="s">
        <v>133</v>
      </c>
      <c r="C143" s="27">
        <v>469</v>
      </c>
      <c r="E143" s="123" t="s">
        <v>133</v>
      </c>
      <c r="F143" s="27">
        <v>141</v>
      </c>
      <c r="G143" t="b">
        <f t="shared" si="12"/>
        <v>1</v>
      </c>
      <c r="J143" s="24">
        <f t="shared" si="13"/>
        <v>-328</v>
      </c>
      <c r="K143" s="4">
        <f t="shared" si="14"/>
        <v>-0.6993603411513859</v>
      </c>
      <c r="M143" s="118">
        <v>1825.55</v>
      </c>
      <c r="N143" s="118">
        <v>555.58000000000004</v>
      </c>
      <c r="Q143" s="118">
        <v>1457.16</v>
      </c>
      <c r="U143" s="141">
        <f t="shared" si="15"/>
        <v>-1269.9699999999998</v>
      </c>
      <c r="V143" s="4">
        <f t="shared" si="16"/>
        <v>-0.69566432034181469</v>
      </c>
      <c r="W143" s="17">
        <v>7895.14</v>
      </c>
      <c r="X143" s="17">
        <v>2634.59</v>
      </c>
      <c r="Y143" s="4">
        <f t="shared" si="17"/>
        <v>-0.66630230749549724</v>
      </c>
      <c r="Z143" s="4"/>
    </row>
    <row r="144" spans="1:26">
      <c r="A144" t="s">
        <v>320</v>
      </c>
      <c r="B144" t="s">
        <v>321</v>
      </c>
      <c r="C144" s="27">
        <v>2233</v>
      </c>
      <c r="E144" t="s">
        <v>321</v>
      </c>
      <c r="F144" s="27">
        <v>1385</v>
      </c>
      <c r="G144" t="b">
        <f t="shared" si="12"/>
        <v>1</v>
      </c>
      <c r="J144" s="24">
        <f t="shared" si="13"/>
        <v>-848</v>
      </c>
      <c r="K144" s="4">
        <f t="shared" si="14"/>
        <v>-0.37975817286162117</v>
      </c>
      <c r="M144" s="119">
        <v>2365.91</v>
      </c>
      <c r="N144" s="119">
        <v>1651.31</v>
      </c>
      <c r="Q144" s="119">
        <v>10389.58</v>
      </c>
      <c r="U144" s="141">
        <f t="shared" si="15"/>
        <v>-714.59999999999991</v>
      </c>
      <c r="V144" s="4">
        <f t="shared" si="16"/>
        <v>-0.30204022976360045</v>
      </c>
      <c r="W144" s="17">
        <v>48980.3</v>
      </c>
      <c r="X144" s="17">
        <v>31813.84</v>
      </c>
      <c r="Y144" s="4">
        <f t="shared" si="17"/>
        <v>-0.35047682435591454</v>
      </c>
      <c r="Z144" s="4"/>
    </row>
    <row r="145" spans="1:26">
      <c r="A145" t="s">
        <v>885</v>
      </c>
      <c r="B145" t="s">
        <v>886</v>
      </c>
      <c r="C145" s="27">
        <v>20925</v>
      </c>
      <c r="E145" t="s">
        <v>886</v>
      </c>
      <c r="F145" s="27">
        <v>31810</v>
      </c>
      <c r="G145" t="b">
        <f t="shared" si="12"/>
        <v>1</v>
      </c>
      <c r="J145" s="24">
        <f t="shared" si="13"/>
        <v>10885</v>
      </c>
      <c r="K145" s="4">
        <f t="shared" si="14"/>
        <v>0.52019115890083634</v>
      </c>
      <c r="M145" s="119">
        <v>26104.92</v>
      </c>
      <c r="N145" s="119">
        <v>48813.89</v>
      </c>
      <c r="Q145" s="119">
        <v>278229.98</v>
      </c>
      <c r="U145" s="141">
        <f t="shared" si="15"/>
        <v>22708.97</v>
      </c>
      <c r="V145" s="4">
        <f t="shared" si="16"/>
        <v>0.86991149561078918</v>
      </c>
      <c r="W145" s="17">
        <v>730102.71</v>
      </c>
      <c r="X145" s="17">
        <v>1000236.41</v>
      </c>
      <c r="Y145" s="4">
        <f t="shared" si="17"/>
        <v>0.36999410671958755</v>
      </c>
      <c r="Z145" s="4"/>
    </row>
    <row r="146" spans="1:26">
      <c r="A146" s="35" t="s">
        <v>116</v>
      </c>
      <c r="B146" s="35" t="s">
        <v>117</v>
      </c>
      <c r="C146" s="27">
        <v>1340</v>
      </c>
      <c r="E146" s="35" t="s">
        <v>117</v>
      </c>
      <c r="F146" s="27">
        <v>0</v>
      </c>
      <c r="G146" t="b">
        <f t="shared" si="12"/>
        <v>1</v>
      </c>
      <c r="J146" s="24">
        <f t="shared" si="13"/>
        <v>-1340</v>
      </c>
      <c r="K146" s="4">
        <f t="shared" si="14"/>
        <v>-1</v>
      </c>
      <c r="M146" s="119">
        <v>3179.1800000000003</v>
      </c>
      <c r="N146" s="119">
        <v>0</v>
      </c>
      <c r="Q146" s="119">
        <v>0</v>
      </c>
      <c r="U146" s="141">
        <f t="shared" si="15"/>
        <v>-3179.1800000000003</v>
      </c>
      <c r="V146" s="4">
        <f t="shared" si="16"/>
        <v>-1</v>
      </c>
      <c r="W146" s="17">
        <v>33455.35</v>
      </c>
      <c r="X146" s="17">
        <v>0</v>
      </c>
      <c r="Y146" s="4">
        <f t="shared" si="17"/>
        <v>-1</v>
      </c>
      <c r="Z146" s="4"/>
    </row>
    <row r="147" spans="1:26">
      <c r="A147" s="38" t="s">
        <v>736</v>
      </c>
      <c r="B147" s="35" t="s">
        <v>737</v>
      </c>
      <c r="C147" s="27">
        <v>960</v>
      </c>
      <c r="E147" s="35" t="s">
        <v>737</v>
      </c>
      <c r="F147" s="27">
        <v>1053</v>
      </c>
      <c r="G147" t="b">
        <f t="shared" si="12"/>
        <v>1</v>
      </c>
      <c r="J147" s="24">
        <f t="shared" si="13"/>
        <v>93</v>
      </c>
      <c r="K147" s="4">
        <f t="shared" si="14"/>
        <v>9.6875000000000044E-2</v>
      </c>
      <c r="M147" s="118">
        <v>511.82</v>
      </c>
      <c r="N147" s="118">
        <v>459.53</v>
      </c>
      <c r="Q147" s="118">
        <v>3767.88</v>
      </c>
      <c r="U147" s="141">
        <f t="shared" si="15"/>
        <v>-52.29000000000002</v>
      </c>
      <c r="V147" s="4">
        <f t="shared" si="16"/>
        <v>-0.1021648235707866</v>
      </c>
      <c r="W147" s="17">
        <v>38322.01</v>
      </c>
      <c r="X147" s="17">
        <v>42020.69</v>
      </c>
      <c r="Y147" s="4">
        <f t="shared" si="17"/>
        <v>9.651581428009659E-2</v>
      </c>
      <c r="Z147" s="4"/>
    </row>
    <row r="148" spans="1:26">
      <c r="A148" s="38" t="s">
        <v>704</v>
      </c>
      <c r="B148" s="35" t="s">
        <v>705</v>
      </c>
      <c r="C148" s="27">
        <v>964</v>
      </c>
      <c r="E148" s="35" t="s">
        <v>705</v>
      </c>
      <c r="F148" s="27">
        <v>743</v>
      </c>
      <c r="G148" t="b">
        <f t="shared" si="12"/>
        <v>1</v>
      </c>
      <c r="J148" s="24">
        <f t="shared" si="13"/>
        <v>-221</v>
      </c>
      <c r="K148" s="4">
        <f t="shared" si="14"/>
        <v>-0.22925311203319498</v>
      </c>
      <c r="M148" s="118">
        <v>1931.92</v>
      </c>
      <c r="N148" s="118">
        <v>1339.68</v>
      </c>
      <c r="Q148" s="118">
        <v>6470.76</v>
      </c>
      <c r="U148" s="141">
        <f t="shared" si="15"/>
        <v>-592.24</v>
      </c>
      <c r="V148" s="4">
        <f t="shared" si="16"/>
        <v>-0.30655513685866909</v>
      </c>
      <c r="W148" s="17">
        <v>16888.759999999998</v>
      </c>
      <c r="X148" s="17">
        <v>14099.37</v>
      </c>
      <c r="Y148" s="4">
        <f t="shared" si="17"/>
        <v>-0.16516251045073749</v>
      </c>
      <c r="Z148" s="4"/>
    </row>
    <row r="149" spans="1:26">
      <c r="A149" t="s">
        <v>140</v>
      </c>
      <c r="B149" t="s">
        <v>141</v>
      </c>
      <c r="C149" s="27">
        <v>1107</v>
      </c>
      <c r="E149" t="s">
        <v>141</v>
      </c>
      <c r="F149" s="27">
        <v>987</v>
      </c>
      <c r="G149" t="b">
        <f t="shared" si="12"/>
        <v>1</v>
      </c>
      <c r="J149" s="24">
        <f t="shared" si="13"/>
        <v>-120</v>
      </c>
      <c r="K149" s="4">
        <f t="shared" si="14"/>
        <v>-0.10840108401084014</v>
      </c>
      <c r="M149" s="119">
        <v>2697.81</v>
      </c>
      <c r="N149" s="119">
        <v>2338.02</v>
      </c>
      <c r="Q149" s="119">
        <v>7181.47</v>
      </c>
      <c r="U149" s="141">
        <f t="shared" si="15"/>
        <v>-359.78999999999996</v>
      </c>
      <c r="V149" s="4">
        <f t="shared" si="16"/>
        <v>-0.13336372835744548</v>
      </c>
      <c r="W149" s="17">
        <v>27554.87</v>
      </c>
      <c r="X149" s="17">
        <v>24615.73</v>
      </c>
      <c r="Y149" s="4">
        <f t="shared" si="17"/>
        <v>-0.10666499243146488</v>
      </c>
      <c r="Z149" s="4"/>
    </row>
    <row r="150" spans="1:26">
      <c r="A150" t="s">
        <v>580</v>
      </c>
      <c r="B150" t="s">
        <v>581</v>
      </c>
      <c r="C150" s="27">
        <v>857</v>
      </c>
      <c r="E150" t="s">
        <v>581</v>
      </c>
      <c r="F150" s="27">
        <v>319</v>
      </c>
      <c r="G150" t="b">
        <f t="shared" si="12"/>
        <v>1</v>
      </c>
      <c r="J150" s="24">
        <f t="shared" si="13"/>
        <v>-538</v>
      </c>
      <c r="K150" s="4">
        <f t="shared" si="14"/>
        <v>-0.62777129521586938</v>
      </c>
      <c r="M150" s="119">
        <v>1613.44</v>
      </c>
      <c r="N150" s="119">
        <v>743.11</v>
      </c>
      <c r="Q150" s="119">
        <v>3111.53</v>
      </c>
      <c r="U150" s="141">
        <f t="shared" si="15"/>
        <v>-870.33</v>
      </c>
      <c r="V150" s="4">
        <f t="shared" si="16"/>
        <v>-0.53942507933359773</v>
      </c>
      <c r="W150" s="17">
        <v>11040.8</v>
      </c>
      <c r="X150" s="17">
        <v>5384.81</v>
      </c>
      <c r="Y150" s="4">
        <f t="shared" si="17"/>
        <v>-0.51228081298456629</v>
      </c>
      <c r="Z150" s="4"/>
    </row>
    <row r="151" spans="1:26" ht="13.5" customHeight="1">
      <c r="A151" t="s">
        <v>742</v>
      </c>
      <c r="B151" s="26" t="s">
        <v>743</v>
      </c>
      <c r="C151" s="27">
        <v>1785</v>
      </c>
      <c r="E151" s="26" t="s">
        <v>743</v>
      </c>
      <c r="F151" s="27">
        <v>2198</v>
      </c>
      <c r="G151" t="b">
        <f t="shared" si="12"/>
        <v>1</v>
      </c>
      <c r="J151" s="24">
        <f t="shared" si="13"/>
        <v>413</v>
      </c>
      <c r="K151" s="4">
        <f t="shared" si="14"/>
        <v>0.23137254901960791</v>
      </c>
      <c r="M151" s="119">
        <v>3764.7200000000003</v>
      </c>
      <c r="N151" s="119">
        <v>4732.51</v>
      </c>
      <c r="Q151" s="119">
        <v>23715.38</v>
      </c>
      <c r="U151" s="141">
        <f t="shared" si="15"/>
        <v>967.79</v>
      </c>
      <c r="V151" s="4">
        <f t="shared" si="16"/>
        <v>0.2570682547440446</v>
      </c>
      <c r="W151" s="17">
        <v>51242.28</v>
      </c>
      <c r="X151" s="17">
        <v>62017</v>
      </c>
      <c r="Y151" s="4">
        <f t="shared" si="17"/>
        <v>0.21027011288334552</v>
      </c>
      <c r="Z151" s="4"/>
    </row>
    <row r="152" spans="1:26">
      <c r="A152" t="s">
        <v>502</v>
      </c>
      <c r="B152" t="s">
        <v>503</v>
      </c>
      <c r="C152" s="27">
        <v>639</v>
      </c>
      <c r="E152" t="s">
        <v>503</v>
      </c>
      <c r="F152" s="27">
        <v>680</v>
      </c>
      <c r="G152" t="b">
        <f t="shared" si="12"/>
        <v>1</v>
      </c>
      <c r="J152" s="24">
        <f t="shared" si="13"/>
        <v>41</v>
      </c>
      <c r="K152" s="4">
        <f t="shared" si="14"/>
        <v>6.4162754303599412E-2</v>
      </c>
      <c r="M152" s="119">
        <v>2184.77</v>
      </c>
      <c r="N152" s="119">
        <v>2257.5700000000002</v>
      </c>
      <c r="Q152" s="119">
        <v>8741.4</v>
      </c>
      <c r="U152" s="141">
        <f t="shared" si="15"/>
        <v>72.800000000000182</v>
      </c>
      <c r="V152" s="4">
        <f t="shared" si="16"/>
        <v>3.3321585338502491E-2</v>
      </c>
      <c r="W152" s="17">
        <v>12750.62</v>
      </c>
      <c r="X152" s="17">
        <v>13591.6</v>
      </c>
      <c r="Y152" s="4">
        <f t="shared" si="17"/>
        <v>6.5956008413708522E-2</v>
      </c>
      <c r="Z152" s="4"/>
    </row>
    <row r="153" spans="1:26">
      <c r="A153" t="s">
        <v>823</v>
      </c>
      <c r="B153" t="s">
        <v>824</v>
      </c>
      <c r="C153" s="27">
        <v>4155</v>
      </c>
      <c r="E153" t="s">
        <v>824</v>
      </c>
      <c r="F153" s="27">
        <v>3423</v>
      </c>
      <c r="G153" t="b">
        <f t="shared" si="12"/>
        <v>1</v>
      </c>
      <c r="J153" s="24">
        <f t="shared" si="13"/>
        <v>-732</v>
      </c>
      <c r="K153" s="4">
        <f t="shared" si="14"/>
        <v>-0.17617328519855591</v>
      </c>
      <c r="M153" s="119">
        <v>9389.32</v>
      </c>
      <c r="N153" s="119">
        <v>8439.32</v>
      </c>
      <c r="Q153" s="119">
        <v>44418.6</v>
      </c>
      <c r="U153" s="141">
        <f t="shared" si="15"/>
        <v>-950</v>
      </c>
      <c r="V153" s="4">
        <f t="shared" si="16"/>
        <v>-0.10117878611017628</v>
      </c>
      <c r="W153" s="17">
        <v>132032.5</v>
      </c>
      <c r="X153" s="17">
        <v>108623.75</v>
      </c>
      <c r="Y153" s="4">
        <f t="shared" si="17"/>
        <v>-0.17729536288413839</v>
      </c>
      <c r="Z153" s="4"/>
    </row>
    <row r="154" spans="1:26">
      <c r="A154" s="123" t="s">
        <v>172</v>
      </c>
      <c r="B154" s="123" t="s">
        <v>173</v>
      </c>
      <c r="C154" s="27">
        <v>447</v>
      </c>
      <c r="E154" s="123" t="s">
        <v>173</v>
      </c>
      <c r="F154" s="27">
        <v>439</v>
      </c>
      <c r="G154" t="b">
        <f t="shared" si="12"/>
        <v>1</v>
      </c>
      <c r="J154" s="24">
        <f t="shared" si="13"/>
        <v>-8</v>
      </c>
      <c r="K154" s="4">
        <f t="shared" si="14"/>
        <v>-1.7897091722595126E-2</v>
      </c>
      <c r="M154" s="118">
        <v>1672.41</v>
      </c>
      <c r="N154" s="118">
        <v>1050.02</v>
      </c>
      <c r="Q154" s="118">
        <v>5515.39</v>
      </c>
      <c r="U154" s="141">
        <f t="shared" si="15"/>
        <v>-622.3900000000001</v>
      </c>
      <c r="V154" s="4">
        <f t="shared" si="16"/>
        <v>-0.37215156570458208</v>
      </c>
      <c r="W154" s="17">
        <v>7707.93</v>
      </c>
      <c r="X154" s="17">
        <v>8074.82</v>
      </c>
      <c r="Y154" s="4">
        <f t="shared" si="17"/>
        <v>4.7599031127682823E-2</v>
      </c>
      <c r="Z154" s="4"/>
    </row>
    <row r="155" spans="1:26" ht="15" customHeight="1">
      <c r="A155" t="s">
        <v>791</v>
      </c>
      <c r="B155" t="s">
        <v>792</v>
      </c>
      <c r="C155" s="27">
        <v>1989</v>
      </c>
      <c r="E155" t="s">
        <v>792</v>
      </c>
      <c r="F155" s="27">
        <v>1834</v>
      </c>
      <c r="G155" t="b">
        <f t="shared" si="12"/>
        <v>1</v>
      </c>
      <c r="J155" s="24">
        <f t="shared" si="13"/>
        <v>-155</v>
      </c>
      <c r="K155" s="4">
        <f t="shared" si="14"/>
        <v>-7.7928607340371991E-2</v>
      </c>
      <c r="M155" s="119">
        <v>5071.38</v>
      </c>
      <c r="N155" s="119">
        <v>4137.88</v>
      </c>
      <c r="Q155" s="119">
        <v>22555.64</v>
      </c>
      <c r="U155" s="141">
        <f t="shared" si="15"/>
        <v>-933.5</v>
      </c>
      <c r="V155" s="4">
        <f t="shared" si="16"/>
        <v>-0.1840721854800863</v>
      </c>
      <c r="W155" s="17">
        <v>44837.8</v>
      </c>
      <c r="X155" s="17">
        <v>42059.71</v>
      </c>
      <c r="Y155" s="4">
        <f t="shared" si="17"/>
        <v>-6.1958659880725686E-2</v>
      </c>
      <c r="Z155" s="4"/>
    </row>
    <row r="156" spans="1:26" ht="15" customHeight="1">
      <c r="A156" s="38" t="s">
        <v>256</v>
      </c>
      <c r="B156" s="26" t="s">
        <v>257</v>
      </c>
      <c r="C156" s="27">
        <v>493</v>
      </c>
      <c r="E156" s="26" t="s">
        <v>257</v>
      </c>
      <c r="F156" s="27">
        <v>368</v>
      </c>
      <c r="G156" t="b">
        <f t="shared" si="12"/>
        <v>1</v>
      </c>
      <c r="J156" s="24">
        <f t="shared" si="13"/>
        <v>-125</v>
      </c>
      <c r="K156" s="4">
        <f t="shared" si="14"/>
        <v>-0.25354969574036512</v>
      </c>
      <c r="M156" s="118">
        <v>1324.91</v>
      </c>
      <c r="N156" s="118">
        <v>427.27</v>
      </c>
      <c r="Q156" s="118">
        <v>1657.19</v>
      </c>
      <c r="U156" s="141">
        <f t="shared" si="15"/>
        <v>-897.6400000000001</v>
      </c>
      <c r="V156" s="4">
        <f t="shared" si="16"/>
        <v>-0.67751017050214735</v>
      </c>
      <c r="W156" s="17">
        <v>7916.47</v>
      </c>
      <c r="X156" s="17">
        <v>6652.13</v>
      </c>
      <c r="Y156" s="4">
        <f t="shared" si="17"/>
        <v>-0.15971007279759797</v>
      </c>
      <c r="Z156" s="4"/>
    </row>
    <row r="157" spans="1:26" ht="15" customHeight="1">
      <c r="A157" s="38" t="s">
        <v>490</v>
      </c>
      <c r="B157" s="35" t="s">
        <v>491</v>
      </c>
      <c r="C157" s="27">
        <v>1555</v>
      </c>
      <c r="E157" s="35" t="s">
        <v>491</v>
      </c>
      <c r="F157" s="27">
        <v>1525</v>
      </c>
      <c r="G157" t="b">
        <f t="shared" si="12"/>
        <v>1</v>
      </c>
      <c r="J157" s="24">
        <f t="shared" si="13"/>
        <v>-30</v>
      </c>
      <c r="K157" s="4">
        <f t="shared" si="14"/>
        <v>-1.9292604501607746E-2</v>
      </c>
      <c r="M157" s="118">
        <v>2166.17</v>
      </c>
      <c r="N157" s="118">
        <v>2634.87</v>
      </c>
      <c r="Q157" s="118">
        <v>22182.95</v>
      </c>
      <c r="U157" s="141">
        <f t="shared" si="15"/>
        <v>468.69999999999982</v>
      </c>
      <c r="V157" s="4">
        <f t="shared" si="16"/>
        <v>0.2163726761980822</v>
      </c>
      <c r="W157" s="17">
        <v>45011.32</v>
      </c>
      <c r="X157" s="17">
        <v>44104.92</v>
      </c>
      <c r="Y157" s="4">
        <f t="shared" si="17"/>
        <v>-2.0137156608604267E-2</v>
      </c>
      <c r="Z157" s="4"/>
    </row>
    <row r="158" spans="1:26" ht="15" customHeight="1">
      <c r="A158" s="23" t="s">
        <v>532</v>
      </c>
      <c r="B158" s="22" t="s">
        <v>533</v>
      </c>
      <c r="C158" s="27">
        <v>1238</v>
      </c>
      <c r="E158" s="22" t="s">
        <v>533</v>
      </c>
      <c r="F158" s="27">
        <v>966</v>
      </c>
      <c r="G158" t="b">
        <f t="shared" si="12"/>
        <v>1</v>
      </c>
      <c r="J158" s="24">
        <f t="shared" si="13"/>
        <v>-272</v>
      </c>
      <c r="K158" s="4">
        <f t="shared" si="14"/>
        <v>-0.21970920840064623</v>
      </c>
      <c r="M158" s="119">
        <v>2994.02</v>
      </c>
      <c r="N158" s="119">
        <v>2864.28</v>
      </c>
      <c r="Q158" s="119">
        <v>13113.53</v>
      </c>
      <c r="U158" s="141">
        <f t="shared" si="15"/>
        <v>-129.73999999999978</v>
      </c>
      <c r="V158" s="4">
        <f t="shared" si="16"/>
        <v>-4.3333043867442411E-2</v>
      </c>
      <c r="W158" s="17">
        <v>24198.62</v>
      </c>
      <c r="X158" s="17">
        <v>19923.740000000002</v>
      </c>
      <c r="Y158" s="4">
        <f t="shared" si="17"/>
        <v>-0.17665800777069096</v>
      </c>
      <c r="Z158" s="4"/>
    </row>
    <row r="159" spans="1:26" ht="15" customHeight="1">
      <c r="A159" s="39" t="s">
        <v>478</v>
      </c>
      <c r="B159" s="35" t="s">
        <v>479</v>
      </c>
      <c r="C159" s="27">
        <v>1069</v>
      </c>
      <c r="E159" s="35" t="s">
        <v>479</v>
      </c>
      <c r="F159" s="27">
        <v>820</v>
      </c>
      <c r="G159" t="b">
        <f t="shared" si="12"/>
        <v>1</v>
      </c>
      <c r="J159" s="24">
        <f t="shared" si="13"/>
        <v>-249</v>
      </c>
      <c r="K159" s="4">
        <f t="shared" si="14"/>
        <v>-0.23292797006548172</v>
      </c>
      <c r="M159" s="119">
        <v>2273.4899999999998</v>
      </c>
      <c r="N159" s="119">
        <v>2143.29</v>
      </c>
      <c r="Q159" s="119">
        <v>16890.68</v>
      </c>
      <c r="U159" s="141">
        <f t="shared" si="15"/>
        <v>-130.19999999999982</v>
      </c>
      <c r="V159" s="4">
        <f t="shared" si="16"/>
        <v>-5.7268780597231506E-2</v>
      </c>
      <c r="W159" s="17">
        <v>30977.55</v>
      </c>
      <c r="X159" s="17">
        <v>23759.94</v>
      </c>
      <c r="Y159" s="4">
        <f t="shared" si="17"/>
        <v>-0.2329948624084216</v>
      </c>
      <c r="Z159" s="4"/>
    </row>
    <row r="160" spans="1:26" ht="15" customHeight="1">
      <c r="A160" t="s">
        <v>678</v>
      </c>
      <c r="B160" t="s">
        <v>679</v>
      </c>
      <c r="C160" s="27">
        <v>2449</v>
      </c>
      <c r="E160" t="s">
        <v>679</v>
      </c>
      <c r="F160" s="27">
        <v>1899</v>
      </c>
      <c r="G160" t="b">
        <f t="shared" si="12"/>
        <v>1</v>
      </c>
      <c r="J160" s="24">
        <f t="shared" si="13"/>
        <v>-550</v>
      </c>
      <c r="K160" s="4">
        <f t="shared" si="14"/>
        <v>-0.22458146182115146</v>
      </c>
      <c r="M160" s="119">
        <v>2244.2399999999998</v>
      </c>
      <c r="N160" s="119">
        <v>1741.85</v>
      </c>
      <c r="Q160" s="119">
        <v>18362.990000000002</v>
      </c>
      <c r="U160" s="141">
        <f t="shared" si="15"/>
        <v>-502.38999999999987</v>
      </c>
      <c r="V160" s="4">
        <f t="shared" si="16"/>
        <v>-0.22385751969486323</v>
      </c>
      <c r="W160" s="17">
        <v>69874.850000000006</v>
      </c>
      <c r="X160" s="17">
        <v>56838.5</v>
      </c>
      <c r="Y160" s="4">
        <f t="shared" si="17"/>
        <v>-0.18656712679884113</v>
      </c>
      <c r="Z160" s="4"/>
    </row>
    <row r="161" spans="1:26">
      <c r="A161" t="s">
        <v>468</v>
      </c>
      <c r="B161" t="s">
        <v>469</v>
      </c>
      <c r="C161" s="27">
        <v>8</v>
      </c>
      <c r="E161" t="s">
        <v>469</v>
      </c>
      <c r="F161" s="27">
        <v>0</v>
      </c>
      <c r="G161" t="b">
        <f t="shared" si="12"/>
        <v>1</v>
      </c>
      <c r="J161" s="24">
        <f t="shared" si="13"/>
        <v>-8</v>
      </c>
      <c r="K161" s="4">
        <f t="shared" si="14"/>
        <v>-1</v>
      </c>
      <c r="M161" s="119">
        <v>7.13</v>
      </c>
      <c r="N161" s="119">
        <v>0</v>
      </c>
      <c r="Q161" s="119">
        <v>0</v>
      </c>
      <c r="U161" s="141">
        <f t="shared" si="15"/>
        <v>-7.13</v>
      </c>
      <c r="V161" s="4">
        <f t="shared" si="16"/>
        <v>-1</v>
      </c>
      <c r="W161" s="17">
        <v>319.60000000000002</v>
      </c>
      <c r="X161" s="17">
        <v>0</v>
      </c>
      <c r="Y161" s="4">
        <f t="shared" si="17"/>
        <v>-1</v>
      </c>
      <c r="Z161" s="4"/>
    </row>
    <row r="162" spans="1:26" ht="15" customHeight="1">
      <c r="A162" s="38" t="s">
        <v>578</v>
      </c>
      <c r="B162" s="35" t="s">
        <v>579</v>
      </c>
      <c r="C162" s="18">
        <v>980</v>
      </c>
      <c r="E162" s="35" t="s">
        <v>579</v>
      </c>
      <c r="F162" s="18">
        <v>750</v>
      </c>
      <c r="G162" t="b">
        <f t="shared" si="12"/>
        <v>1</v>
      </c>
      <c r="J162" s="24">
        <f t="shared" si="13"/>
        <v>-230</v>
      </c>
      <c r="K162" s="4">
        <f t="shared" si="14"/>
        <v>-0.23469387755102045</v>
      </c>
      <c r="M162" s="118">
        <v>2015</v>
      </c>
      <c r="N162" s="118">
        <v>1582.86</v>
      </c>
      <c r="Q162" s="118">
        <v>6614.5</v>
      </c>
      <c r="U162" s="141">
        <f t="shared" si="15"/>
        <v>-432.1400000000001</v>
      </c>
      <c r="V162" s="4">
        <f t="shared" si="16"/>
        <v>-0.21446153846153848</v>
      </c>
      <c r="W162">
        <v>22124.26</v>
      </c>
      <c r="X162">
        <v>17634.53</v>
      </c>
      <c r="Y162" s="4">
        <f t="shared" si="17"/>
        <v>-0.20293243706230168</v>
      </c>
      <c r="Z162" s="4"/>
    </row>
    <row r="163" spans="1:26" ht="15" customHeight="1">
      <c r="A163" t="s">
        <v>196</v>
      </c>
      <c r="B163" t="s">
        <v>197</v>
      </c>
      <c r="C163" s="27">
        <v>1177</v>
      </c>
      <c r="E163" t="s">
        <v>197</v>
      </c>
      <c r="F163" s="27">
        <v>646</v>
      </c>
      <c r="G163" t="b">
        <f t="shared" si="12"/>
        <v>1</v>
      </c>
      <c r="J163" s="24">
        <f t="shared" si="13"/>
        <v>-531</v>
      </c>
      <c r="K163" s="4">
        <f t="shared" si="14"/>
        <v>-0.45114698385726426</v>
      </c>
      <c r="M163" s="119">
        <v>1728.63</v>
      </c>
      <c r="N163" s="119">
        <v>1158.29</v>
      </c>
      <c r="Q163" s="119">
        <v>5036.2700000000004</v>
      </c>
      <c r="U163" s="141">
        <f t="shared" si="15"/>
        <v>-570.34000000000015</v>
      </c>
      <c r="V163" s="4">
        <f t="shared" si="16"/>
        <v>-0.32993758062743339</v>
      </c>
      <c r="W163" s="17">
        <v>15517.26</v>
      </c>
      <c r="X163" s="17">
        <v>10082.15</v>
      </c>
      <c r="Y163" s="4">
        <f t="shared" si="17"/>
        <v>-0.35026222412977548</v>
      </c>
      <c r="Z163" s="4"/>
    </row>
    <row r="164" spans="1:26" ht="15" customHeight="1">
      <c r="A164" t="s">
        <v>422</v>
      </c>
      <c r="B164" t="s">
        <v>423</v>
      </c>
      <c r="C164" s="27">
        <v>431</v>
      </c>
      <c r="E164" t="s">
        <v>423</v>
      </c>
      <c r="F164" s="27">
        <v>500</v>
      </c>
      <c r="G164" t="b">
        <f t="shared" si="12"/>
        <v>1</v>
      </c>
      <c r="J164" s="24">
        <f t="shared" si="13"/>
        <v>69</v>
      </c>
      <c r="K164" s="4">
        <f t="shared" si="14"/>
        <v>0.16009280742459397</v>
      </c>
      <c r="M164" s="119">
        <v>212.58</v>
      </c>
      <c r="N164" s="119">
        <v>191.85</v>
      </c>
      <c r="Q164" s="119">
        <v>2212.52</v>
      </c>
      <c r="U164" s="141">
        <f t="shared" si="15"/>
        <v>-20.730000000000018</v>
      </c>
      <c r="V164" s="4">
        <f t="shared" si="16"/>
        <v>-9.7516229184307135E-2</v>
      </c>
      <c r="W164" s="17">
        <v>16742.98</v>
      </c>
      <c r="X164" s="17">
        <v>19341.04</v>
      </c>
      <c r="Y164" s="4">
        <f t="shared" si="17"/>
        <v>0.15517309343975816</v>
      </c>
      <c r="Z164" s="4"/>
    </row>
    <row r="165" spans="1:26" ht="15" customHeight="1">
      <c r="A165" t="s">
        <v>538</v>
      </c>
      <c r="B165" t="s">
        <v>539</v>
      </c>
      <c r="C165" s="27">
        <v>790</v>
      </c>
      <c r="E165" t="s">
        <v>539</v>
      </c>
      <c r="F165" s="27">
        <v>514</v>
      </c>
      <c r="G165" t="b">
        <f t="shared" si="12"/>
        <v>1</v>
      </c>
      <c r="J165" s="24">
        <f t="shared" si="13"/>
        <v>-276</v>
      </c>
      <c r="K165" s="4">
        <f t="shared" si="14"/>
        <v>-0.34936708860759491</v>
      </c>
      <c r="M165" s="119">
        <v>1253.27</v>
      </c>
      <c r="N165" s="119">
        <v>719.43</v>
      </c>
      <c r="Q165" s="119">
        <v>5234.49</v>
      </c>
      <c r="U165" s="141">
        <f t="shared" si="15"/>
        <v>-533.84</v>
      </c>
      <c r="V165" s="4">
        <f t="shared" si="16"/>
        <v>-0.4259576946707414</v>
      </c>
      <c r="W165" s="17">
        <v>19726.099999999999</v>
      </c>
      <c r="X165" s="17">
        <v>12834.63</v>
      </c>
      <c r="Y165" s="4">
        <f t="shared" si="17"/>
        <v>-0.34935795722418517</v>
      </c>
      <c r="Z165" s="4"/>
    </row>
    <row r="166" spans="1:26" ht="15" customHeight="1">
      <c r="A166" t="s">
        <v>430</v>
      </c>
      <c r="B166" t="s">
        <v>431</v>
      </c>
      <c r="C166" s="27">
        <v>1732</v>
      </c>
      <c r="E166" t="s">
        <v>431</v>
      </c>
      <c r="F166" s="27">
        <v>1683</v>
      </c>
      <c r="G166" t="b">
        <f t="shared" si="12"/>
        <v>1</v>
      </c>
      <c r="J166" s="24">
        <f t="shared" si="13"/>
        <v>-49</v>
      </c>
      <c r="K166" s="4">
        <f t="shared" si="14"/>
        <v>-2.8290993071593551E-2</v>
      </c>
      <c r="M166" s="119">
        <v>1371.6299999999999</v>
      </c>
      <c r="N166" s="119">
        <v>1390.99</v>
      </c>
      <c r="Q166" s="119">
        <v>8337.77</v>
      </c>
      <c r="U166" s="141">
        <f t="shared" si="15"/>
        <v>19.360000000000127</v>
      </c>
      <c r="V166" s="4">
        <f t="shared" si="16"/>
        <v>1.4114593585733859E-2</v>
      </c>
      <c r="W166" s="17">
        <v>34574.339999999997</v>
      </c>
      <c r="X166" s="17">
        <v>33565.18</v>
      </c>
      <c r="Y166" s="4">
        <f t="shared" si="17"/>
        <v>-2.9188120438452203E-2</v>
      </c>
      <c r="Z166" s="4"/>
    </row>
    <row r="167" spans="1:26" ht="15" customHeight="1">
      <c r="A167" s="38" t="s">
        <v>164</v>
      </c>
      <c r="B167" s="35" t="s">
        <v>165</v>
      </c>
      <c r="C167" s="18">
        <v>1821</v>
      </c>
      <c r="E167" s="35" t="s">
        <v>165</v>
      </c>
      <c r="F167" s="18">
        <v>2108</v>
      </c>
      <c r="G167" t="b">
        <f t="shared" si="12"/>
        <v>1</v>
      </c>
      <c r="J167" s="24">
        <f t="shared" si="13"/>
        <v>287</v>
      </c>
      <c r="K167" s="4">
        <f t="shared" si="14"/>
        <v>0.15760571114772093</v>
      </c>
      <c r="M167" s="118">
        <v>3889.48</v>
      </c>
      <c r="N167" s="118">
        <v>3606.42</v>
      </c>
      <c r="Q167" s="118">
        <v>21396.61</v>
      </c>
      <c r="U167" s="141">
        <f t="shared" si="15"/>
        <v>-283.05999999999995</v>
      </c>
      <c r="V167" s="4">
        <f t="shared" si="16"/>
        <v>-7.2775795221983408E-2</v>
      </c>
      <c r="W167">
        <v>53918.71</v>
      </c>
      <c r="X167">
        <v>58516.08</v>
      </c>
      <c r="Y167" s="4">
        <f t="shared" si="17"/>
        <v>8.5264836640194241E-2</v>
      </c>
      <c r="Z167" s="4"/>
    </row>
    <row r="168" spans="1:26" ht="15" customHeight="1">
      <c r="A168" t="s">
        <v>592</v>
      </c>
      <c r="B168" t="s">
        <v>593</v>
      </c>
      <c r="C168" s="27">
        <v>1105</v>
      </c>
      <c r="E168" t="s">
        <v>593</v>
      </c>
      <c r="F168" s="27">
        <v>1223</v>
      </c>
      <c r="G168" t="b">
        <f t="shared" si="12"/>
        <v>1</v>
      </c>
      <c r="J168" s="24">
        <f t="shared" si="13"/>
        <v>118</v>
      </c>
      <c r="K168" s="4">
        <f t="shared" si="14"/>
        <v>0.10678733031674215</v>
      </c>
      <c r="M168" s="119">
        <v>926.51</v>
      </c>
      <c r="N168" s="119">
        <v>1008.74</v>
      </c>
      <c r="Q168" s="119">
        <v>9104.08</v>
      </c>
      <c r="U168" s="141">
        <f t="shared" si="15"/>
        <v>82.230000000000018</v>
      </c>
      <c r="V168" s="4">
        <f t="shared" si="16"/>
        <v>8.8752414976632776E-2</v>
      </c>
      <c r="W168" s="17">
        <v>29585.69</v>
      </c>
      <c r="X168" s="17">
        <v>31179.46</v>
      </c>
      <c r="Y168" s="4">
        <f t="shared" si="17"/>
        <v>5.3869624132477645E-2</v>
      </c>
      <c r="Z168" s="4"/>
    </row>
    <row r="169" spans="1:26" ht="15" customHeight="1">
      <c r="A169" t="s">
        <v>618</v>
      </c>
      <c r="B169" t="s">
        <v>619</v>
      </c>
      <c r="C169" s="27">
        <v>1441</v>
      </c>
      <c r="E169" t="s">
        <v>619</v>
      </c>
      <c r="F169" s="27">
        <v>1382</v>
      </c>
      <c r="G169" t="b">
        <f t="shared" si="12"/>
        <v>1</v>
      </c>
      <c r="J169" s="24">
        <f t="shared" si="13"/>
        <v>-59</v>
      </c>
      <c r="K169" s="4">
        <f t="shared" si="14"/>
        <v>-4.0943789035392086E-2</v>
      </c>
      <c r="M169" s="119">
        <v>3335.47</v>
      </c>
      <c r="N169" s="119">
        <v>2616.5500000000002</v>
      </c>
      <c r="Q169" s="119">
        <v>13577.46</v>
      </c>
      <c r="U169" s="141">
        <f t="shared" si="15"/>
        <v>-718.91999999999962</v>
      </c>
      <c r="V169" s="4">
        <f t="shared" si="16"/>
        <v>-0.21553784024440326</v>
      </c>
      <c r="W169" s="17">
        <v>43141.85</v>
      </c>
      <c r="X169" s="17">
        <v>41300.6</v>
      </c>
      <c r="Y169" s="4">
        <f t="shared" si="17"/>
        <v>-4.2678976446304473E-2</v>
      </c>
      <c r="Z169" s="4"/>
    </row>
    <row r="170" spans="1:26" ht="15" customHeight="1">
      <c r="A170" t="s">
        <v>528</v>
      </c>
      <c r="B170" t="s">
        <v>529</v>
      </c>
      <c r="C170" s="27">
        <v>1373</v>
      </c>
      <c r="E170" t="s">
        <v>529</v>
      </c>
      <c r="F170" s="27">
        <v>1388</v>
      </c>
      <c r="G170" t="b">
        <f t="shared" si="12"/>
        <v>1</v>
      </c>
      <c r="J170" s="24">
        <f t="shared" si="13"/>
        <v>15</v>
      </c>
      <c r="K170" s="4">
        <f t="shared" si="14"/>
        <v>1.0924981791696986E-2</v>
      </c>
      <c r="M170" s="119">
        <v>1541.1999999999998</v>
      </c>
      <c r="N170" s="119">
        <v>1313.39</v>
      </c>
      <c r="Q170" s="119">
        <v>9744.84</v>
      </c>
      <c r="U170" s="141">
        <f t="shared" si="15"/>
        <v>-227.80999999999972</v>
      </c>
      <c r="V170" s="4">
        <f t="shared" si="16"/>
        <v>-0.14781339216195155</v>
      </c>
      <c r="W170" s="17">
        <v>40268.17</v>
      </c>
      <c r="X170" s="17">
        <v>39457.75</v>
      </c>
      <c r="Y170" s="4">
        <f t="shared" si="17"/>
        <v>-2.0125573126367535E-2</v>
      </c>
      <c r="Z170" s="4"/>
    </row>
    <row r="171" spans="1:26" ht="15" customHeight="1">
      <c r="A171" t="s">
        <v>572</v>
      </c>
      <c r="B171" t="s">
        <v>573</v>
      </c>
      <c r="C171" s="27">
        <v>980</v>
      </c>
      <c r="E171" t="s">
        <v>573</v>
      </c>
      <c r="F171" s="27">
        <v>910</v>
      </c>
      <c r="G171" t="b">
        <f t="shared" si="12"/>
        <v>1</v>
      </c>
      <c r="J171" s="24">
        <f t="shared" si="13"/>
        <v>-70</v>
      </c>
      <c r="K171" s="4">
        <f t="shared" si="14"/>
        <v>-7.1428571428571397E-2</v>
      </c>
      <c r="M171" s="119">
        <v>1989.26</v>
      </c>
      <c r="N171" s="119">
        <v>1993.87</v>
      </c>
      <c r="Q171" s="119">
        <v>15243.21</v>
      </c>
      <c r="U171" s="141">
        <f t="shared" si="15"/>
        <v>4.6099999999999</v>
      </c>
      <c r="V171" s="4">
        <f t="shared" si="16"/>
        <v>2.3174446779203883E-3</v>
      </c>
      <c r="W171" s="17">
        <v>29371.22</v>
      </c>
      <c r="X171" s="17">
        <v>26854.539999999997</v>
      </c>
      <c r="Y171" s="4">
        <f t="shared" si="17"/>
        <v>-8.5685238815411902E-2</v>
      </c>
      <c r="Z171" s="4"/>
    </row>
    <row r="172" spans="1:26" ht="15" customHeight="1">
      <c r="A172" t="s">
        <v>388</v>
      </c>
      <c r="B172" t="s">
        <v>389</v>
      </c>
      <c r="C172" s="27">
        <v>864</v>
      </c>
      <c r="E172" t="s">
        <v>389</v>
      </c>
      <c r="F172" s="27">
        <v>972</v>
      </c>
      <c r="G172" t="b">
        <f t="shared" si="12"/>
        <v>1</v>
      </c>
      <c r="J172" s="24">
        <f t="shared" si="13"/>
        <v>108</v>
      </c>
      <c r="K172" s="4">
        <f t="shared" si="14"/>
        <v>0.125</v>
      </c>
      <c r="M172" s="119">
        <v>802.52</v>
      </c>
      <c r="N172" s="119">
        <v>864.2</v>
      </c>
      <c r="Q172" s="119">
        <v>6275.92</v>
      </c>
      <c r="U172" s="141">
        <f t="shared" si="15"/>
        <v>61.680000000000064</v>
      </c>
      <c r="V172" s="4">
        <f t="shared" si="16"/>
        <v>7.685789762248918E-2</v>
      </c>
      <c r="W172" s="17">
        <v>25566.23</v>
      </c>
      <c r="X172" s="17">
        <v>27561.78</v>
      </c>
      <c r="Y172" s="4">
        <f t="shared" si="17"/>
        <v>7.8054136257085904E-2</v>
      </c>
      <c r="Z172" s="4"/>
    </row>
    <row r="173" spans="1:26" ht="15" customHeight="1">
      <c r="A173" s="123" t="s">
        <v>448</v>
      </c>
      <c r="B173" s="35" t="s">
        <v>449</v>
      </c>
      <c r="C173" s="27">
        <v>119</v>
      </c>
      <c r="E173" s="35" t="s">
        <v>449</v>
      </c>
      <c r="F173" s="27">
        <v>97</v>
      </c>
      <c r="G173" t="b">
        <f t="shared" si="12"/>
        <v>1</v>
      </c>
      <c r="J173" s="24">
        <f t="shared" si="13"/>
        <v>-22</v>
      </c>
      <c r="K173" s="4">
        <f t="shared" si="14"/>
        <v>-0.18487394957983194</v>
      </c>
      <c r="M173" s="118">
        <v>0</v>
      </c>
      <c r="N173" s="118">
        <v>0</v>
      </c>
      <c r="Q173" s="118">
        <v>0</v>
      </c>
      <c r="U173" s="141">
        <f t="shared" si="15"/>
        <v>0</v>
      </c>
      <c r="V173" s="4">
        <f t="shared" si="16"/>
        <v>0</v>
      </c>
      <c r="W173" s="17">
        <v>2480.81</v>
      </c>
      <c r="X173" s="17">
        <v>2305.0300000000002</v>
      </c>
      <c r="Y173" s="4">
        <f t="shared" si="17"/>
        <v>-7.085588981018287E-2</v>
      </c>
      <c r="Z173" s="4"/>
    </row>
    <row r="174" spans="1:26" ht="15" customHeight="1">
      <c r="A174" t="s">
        <v>476</v>
      </c>
      <c r="B174" t="s">
        <v>477</v>
      </c>
      <c r="C174" s="27">
        <v>1017</v>
      </c>
      <c r="E174" t="s">
        <v>477</v>
      </c>
      <c r="F174" s="27">
        <v>863</v>
      </c>
      <c r="G174" t="b">
        <f t="shared" si="12"/>
        <v>1</v>
      </c>
      <c r="J174" s="24">
        <f t="shared" si="13"/>
        <v>-154</v>
      </c>
      <c r="K174" s="4">
        <f t="shared" si="14"/>
        <v>-0.15142576204523106</v>
      </c>
      <c r="M174" s="119">
        <v>551.61</v>
      </c>
      <c r="N174" s="119">
        <v>491.22</v>
      </c>
      <c r="Q174" s="119">
        <v>6871.76</v>
      </c>
      <c r="U174" s="141">
        <f t="shared" si="15"/>
        <v>-60.389999999999986</v>
      </c>
      <c r="V174" s="4">
        <f t="shared" si="16"/>
        <v>-0.10947952357643986</v>
      </c>
      <c r="W174" s="17">
        <v>28866.63</v>
      </c>
      <c r="X174" s="17">
        <v>25820.33</v>
      </c>
      <c r="Y174" s="4">
        <f t="shared" si="17"/>
        <v>-0.10553015713992242</v>
      </c>
      <c r="Z174" s="4"/>
    </row>
    <row r="175" spans="1:26" ht="15" customHeight="1">
      <c r="A175" t="s">
        <v>162</v>
      </c>
      <c r="B175" t="s">
        <v>163</v>
      </c>
      <c r="C175" s="27">
        <v>449</v>
      </c>
      <c r="E175" t="s">
        <v>163</v>
      </c>
      <c r="F175" s="27">
        <v>395</v>
      </c>
      <c r="G175" t="b">
        <f t="shared" si="12"/>
        <v>1</v>
      </c>
      <c r="J175" s="24">
        <f t="shared" si="13"/>
        <v>-54</v>
      </c>
      <c r="K175" s="4">
        <f t="shared" si="14"/>
        <v>-0.12026726057906456</v>
      </c>
      <c r="M175" s="119">
        <v>1221.98</v>
      </c>
      <c r="N175" s="119">
        <v>865.06</v>
      </c>
      <c r="Q175" s="119">
        <v>3355.5</v>
      </c>
      <c r="U175" s="141">
        <f t="shared" si="15"/>
        <v>-356.92000000000007</v>
      </c>
      <c r="V175" s="4">
        <f t="shared" si="16"/>
        <v>-0.29208334015286674</v>
      </c>
      <c r="W175" s="17">
        <v>10033.51</v>
      </c>
      <c r="X175" s="17">
        <v>9159.31</v>
      </c>
      <c r="Y175" s="4">
        <f t="shared" si="17"/>
        <v>-8.7128033958206119E-2</v>
      </c>
      <c r="Z175" s="4"/>
    </row>
    <row r="176" spans="1:26" ht="15" customHeight="1">
      <c r="A176" t="s">
        <v>586</v>
      </c>
      <c r="B176" t="s">
        <v>587</v>
      </c>
      <c r="C176" s="27">
        <v>1561</v>
      </c>
      <c r="E176" t="s">
        <v>587</v>
      </c>
      <c r="F176" s="27">
        <v>1423</v>
      </c>
      <c r="G176" t="b">
        <f t="shared" si="12"/>
        <v>1</v>
      </c>
      <c r="J176" s="24">
        <f t="shared" si="13"/>
        <v>-138</v>
      </c>
      <c r="K176" s="4">
        <f t="shared" si="14"/>
        <v>-8.840486867392694E-2</v>
      </c>
      <c r="M176" s="119">
        <v>2428.42</v>
      </c>
      <c r="N176" s="119">
        <v>2437.9699999999998</v>
      </c>
      <c r="Q176" s="119">
        <v>17593.849999999999</v>
      </c>
      <c r="U176" s="141">
        <f t="shared" si="15"/>
        <v>9.5499999999997272</v>
      </c>
      <c r="V176" s="4">
        <f t="shared" si="16"/>
        <v>3.9325981502373875E-3</v>
      </c>
      <c r="W176" s="17">
        <v>38879.300000000003</v>
      </c>
      <c r="X176" s="17">
        <v>35484.69</v>
      </c>
      <c r="Y176" s="4">
        <f t="shared" si="17"/>
        <v>-8.7311499949844773E-2</v>
      </c>
      <c r="Z176" s="4"/>
    </row>
    <row r="177" spans="1:26" ht="15" customHeight="1">
      <c r="A177" s="38" t="s">
        <v>158</v>
      </c>
      <c r="B177" s="35" t="s">
        <v>159</v>
      </c>
      <c r="C177" s="27">
        <v>173</v>
      </c>
      <c r="E177" s="35" t="s">
        <v>159</v>
      </c>
      <c r="F177" s="27">
        <v>72</v>
      </c>
      <c r="G177" t="b">
        <f t="shared" si="12"/>
        <v>1</v>
      </c>
      <c r="J177" s="24">
        <f t="shared" si="13"/>
        <v>-101</v>
      </c>
      <c r="K177" s="4">
        <f t="shared" si="14"/>
        <v>-0.58381502890173409</v>
      </c>
      <c r="M177" s="118">
        <v>0</v>
      </c>
      <c r="N177" s="118">
        <v>0</v>
      </c>
      <c r="Q177" s="118">
        <v>0</v>
      </c>
      <c r="U177" s="141">
        <f t="shared" si="15"/>
        <v>0</v>
      </c>
      <c r="V177" s="4">
        <f t="shared" si="16"/>
        <v>0</v>
      </c>
      <c r="W177" s="17">
        <v>2056.4299999999998</v>
      </c>
      <c r="X177" s="17">
        <v>1058.43</v>
      </c>
      <c r="Y177" s="4">
        <f t="shared" si="17"/>
        <v>-0.48530706126636936</v>
      </c>
      <c r="Z177" s="4"/>
    </row>
    <row r="178" spans="1:26" ht="15" customHeight="1">
      <c r="A178" s="22" t="s">
        <v>100</v>
      </c>
      <c r="B178" s="22" t="s">
        <v>101</v>
      </c>
      <c r="C178" s="27">
        <v>288</v>
      </c>
      <c r="E178" s="22" t="s">
        <v>101</v>
      </c>
      <c r="F178" s="27">
        <v>321</v>
      </c>
      <c r="G178" t="b">
        <f t="shared" si="12"/>
        <v>1</v>
      </c>
      <c r="J178" s="24">
        <f t="shared" si="13"/>
        <v>33</v>
      </c>
      <c r="K178" s="4">
        <f t="shared" si="14"/>
        <v>0.11458333333333326</v>
      </c>
      <c r="M178" s="119">
        <v>997.04</v>
      </c>
      <c r="N178" s="119">
        <v>956.42</v>
      </c>
      <c r="Q178" s="119">
        <v>3925.22</v>
      </c>
      <c r="U178" s="141">
        <f t="shared" si="15"/>
        <v>-40.620000000000005</v>
      </c>
      <c r="V178" s="4">
        <f t="shared" si="16"/>
        <v>-4.0740592152772259E-2</v>
      </c>
      <c r="W178" s="17">
        <v>5671.43</v>
      </c>
      <c r="X178" s="17">
        <v>5876.06</v>
      </c>
      <c r="Y178" s="4">
        <f t="shared" si="17"/>
        <v>3.6080847334799104E-2</v>
      </c>
      <c r="Z178" s="4"/>
    </row>
    <row r="179" spans="1:26" ht="15" customHeight="1">
      <c r="A179" s="122" t="s">
        <v>410</v>
      </c>
      <c r="B179" s="35" t="s">
        <v>411</v>
      </c>
      <c r="C179" s="27">
        <v>1196</v>
      </c>
      <c r="E179" s="35" t="s">
        <v>411</v>
      </c>
      <c r="F179" s="27">
        <v>566</v>
      </c>
      <c r="G179" t="b">
        <f t="shared" si="12"/>
        <v>1</v>
      </c>
      <c r="J179" s="24">
        <f t="shared" si="13"/>
        <v>-630</v>
      </c>
      <c r="K179" s="4">
        <f t="shared" si="14"/>
        <v>-0.52675585284280935</v>
      </c>
      <c r="M179" s="118">
        <v>1261.6400000000001</v>
      </c>
      <c r="N179" s="118">
        <v>488.86</v>
      </c>
      <c r="Q179" s="118">
        <v>3059.16</v>
      </c>
      <c r="U179" s="141">
        <f t="shared" si="15"/>
        <v>-772.78000000000009</v>
      </c>
      <c r="V179" s="4">
        <f t="shared" si="16"/>
        <v>-0.61252021178783167</v>
      </c>
      <c r="W179" s="17">
        <v>30160.98</v>
      </c>
      <c r="X179" s="17">
        <v>15275.26</v>
      </c>
      <c r="Y179" s="4">
        <f t="shared" si="17"/>
        <v>-0.49354231858513875</v>
      </c>
      <c r="Z179" s="4"/>
    </row>
    <row r="180" spans="1:26" ht="15" customHeight="1">
      <c r="A180" t="s">
        <v>282</v>
      </c>
      <c r="B180" t="s">
        <v>283</v>
      </c>
      <c r="C180" s="27">
        <v>1414</v>
      </c>
      <c r="E180" t="s">
        <v>283</v>
      </c>
      <c r="F180" s="27">
        <v>1423</v>
      </c>
      <c r="G180" t="b">
        <f t="shared" si="12"/>
        <v>1</v>
      </c>
      <c r="J180" s="24">
        <f t="shared" si="13"/>
        <v>9</v>
      </c>
      <c r="K180" s="4">
        <f t="shared" si="14"/>
        <v>6.3649222065063071E-3</v>
      </c>
      <c r="M180" s="119">
        <v>2084.29</v>
      </c>
      <c r="N180" s="119">
        <v>1922.9</v>
      </c>
      <c r="Q180" s="119">
        <v>11987.98</v>
      </c>
      <c r="U180" s="141">
        <f t="shared" si="15"/>
        <v>-161.38999999999987</v>
      </c>
      <c r="V180" s="4">
        <f t="shared" si="16"/>
        <v>-7.7431643389355598E-2</v>
      </c>
      <c r="W180" s="17">
        <v>36221.71</v>
      </c>
      <c r="X180" s="17">
        <v>34639.550000000003</v>
      </c>
      <c r="Y180" s="4">
        <f t="shared" si="17"/>
        <v>-4.3679881485440553E-2</v>
      </c>
      <c r="Z180" s="4"/>
    </row>
    <row r="181" spans="1:26" ht="15" customHeight="1">
      <c r="A181" t="s">
        <v>236</v>
      </c>
      <c r="B181" t="s">
        <v>237</v>
      </c>
      <c r="C181" s="27">
        <v>6</v>
      </c>
      <c r="E181" t="s">
        <v>237</v>
      </c>
      <c r="F181" s="27">
        <v>1</v>
      </c>
      <c r="G181" t="b">
        <f t="shared" si="12"/>
        <v>1</v>
      </c>
      <c r="J181" s="24">
        <f t="shared" si="13"/>
        <v>-5</v>
      </c>
      <c r="K181" s="4">
        <f t="shared" si="14"/>
        <v>-0.83333333333333337</v>
      </c>
      <c r="M181" s="119">
        <v>6.38</v>
      </c>
      <c r="N181" s="119">
        <v>0</v>
      </c>
      <c r="Q181" s="119">
        <v>0</v>
      </c>
      <c r="U181" s="141">
        <f t="shared" si="15"/>
        <v>-6.38</v>
      </c>
      <c r="V181" s="4">
        <f t="shared" si="16"/>
        <v>-1</v>
      </c>
      <c r="W181" s="17">
        <v>131.69999999999999</v>
      </c>
      <c r="X181" s="17">
        <v>21.95</v>
      </c>
      <c r="Y181" s="4">
        <f t="shared" si="17"/>
        <v>-0.83333333333333326</v>
      </c>
      <c r="Z181" s="4"/>
    </row>
    <row r="182" spans="1:26" ht="14.25" customHeight="1">
      <c r="A182" t="s">
        <v>440</v>
      </c>
      <c r="B182" t="s">
        <v>441</v>
      </c>
      <c r="C182" s="27">
        <v>1116</v>
      </c>
      <c r="E182" t="s">
        <v>441</v>
      </c>
      <c r="F182" s="27">
        <v>1049</v>
      </c>
      <c r="G182" t="b">
        <f t="shared" si="12"/>
        <v>1</v>
      </c>
      <c r="J182" s="24">
        <f t="shared" si="13"/>
        <v>-67</v>
      </c>
      <c r="K182" s="4">
        <f t="shared" si="14"/>
        <v>-6.0035842293906794E-2</v>
      </c>
      <c r="M182" s="119">
        <v>1636.96</v>
      </c>
      <c r="N182" s="119">
        <v>1586.97</v>
      </c>
      <c r="Q182" s="119">
        <v>13983.88</v>
      </c>
      <c r="U182" s="141">
        <f t="shared" si="15"/>
        <v>-49.990000000000009</v>
      </c>
      <c r="V182" s="4">
        <f t="shared" si="16"/>
        <v>-3.0538314925227295E-2</v>
      </c>
      <c r="W182" s="17">
        <v>33381.5</v>
      </c>
      <c r="X182" s="17">
        <v>31309.01</v>
      </c>
      <c r="Y182" s="4">
        <f t="shared" si="17"/>
        <v>-6.2084987193505414E-2</v>
      </c>
      <c r="Z182" s="4"/>
    </row>
    <row r="183" spans="1:26" ht="15" customHeight="1">
      <c r="A183" s="22" t="s">
        <v>506</v>
      </c>
      <c r="B183" s="22" t="s">
        <v>507</v>
      </c>
      <c r="C183" s="27">
        <v>323</v>
      </c>
      <c r="E183" s="22" t="s">
        <v>507</v>
      </c>
      <c r="F183" s="27">
        <v>314</v>
      </c>
      <c r="G183" t="b">
        <f t="shared" si="12"/>
        <v>1</v>
      </c>
      <c r="J183" s="24">
        <f t="shared" si="13"/>
        <v>-9</v>
      </c>
      <c r="K183" s="4">
        <f t="shared" si="14"/>
        <v>-2.786377708978327E-2</v>
      </c>
      <c r="M183" s="119">
        <v>1057.42</v>
      </c>
      <c r="N183" s="119">
        <v>490.05</v>
      </c>
      <c r="Q183" s="119">
        <v>1915.58</v>
      </c>
      <c r="U183" s="141">
        <f t="shared" si="15"/>
        <v>-567.37000000000012</v>
      </c>
      <c r="V183" s="4">
        <f t="shared" si="16"/>
        <v>-0.5365606854419247</v>
      </c>
      <c r="W183" s="17">
        <v>6943.77</v>
      </c>
      <c r="X183" s="17">
        <v>6465.56</v>
      </c>
      <c r="Y183" s="4">
        <f t="shared" si="17"/>
        <v>-6.8868928550340769E-2</v>
      </c>
      <c r="Z183" s="4"/>
    </row>
    <row r="184" spans="1:26" ht="15" customHeight="1">
      <c r="A184" t="s">
        <v>622</v>
      </c>
      <c r="B184" t="s">
        <v>623</v>
      </c>
      <c r="C184" s="27">
        <v>1015</v>
      </c>
      <c r="E184" t="s">
        <v>623</v>
      </c>
      <c r="F184" s="27">
        <v>945</v>
      </c>
      <c r="G184" t="b">
        <f t="shared" si="12"/>
        <v>1</v>
      </c>
      <c r="J184" s="24">
        <f t="shared" si="13"/>
        <v>-70</v>
      </c>
      <c r="K184" s="4">
        <f t="shared" si="14"/>
        <v>-6.8965517241379337E-2</v>
      </c>
      <c r="M184" s="119">
        <v>1213.1300000000001</v>
      </c>
      <c r="N184" s="119">
        <v>1058.5999999999999</v>
      </c>
      <c r="Q184" s="119">
        <v>8205.8700000000008</v>
      </c>
      <c r="U184" s="141">
        <f t="shared" si="15"/>
        <v>-154.5300000000002</v>
      </c>
      <c r="V184" s="4">
        <f t="shared" si="16"/>
        <v>-0.1273812369655356</v>
      </c>
      <c r="W184" s="17">
        <v>25296.799999999999</v>
      </c>
      <c r="X184" s="17">
        <v>23450.02</v>
      </c>
      <c r="Y184" s="4">
        <f t="shared" si="17"/>
        <v>-7.3004490686569001E-2</v>
      </c>
      <c r="Z184" s="4"/>
    </row>
    <row r="185" spans="1:26" ht="15" customHeight="1">
      <c r="A185" s="35" t="s">
        <v>374</v>
      </c>
      <c r="B185" s="35" t="s">
        <v>375</v>
      </c>
      <c r="C185" s="27">
        <v>616</v>
      </c>
      <c r="E185" s="35" t="s">
        <v>375</v>
      </c>
      <c r="F185" s="27">
        <v>838</v>
      </c>
      <c r="G185" t="b">
        <f t="shared" si="12"/>
        <v>1</v>
      </c>
      <c r="J185" s="24">
        <f t="shared" si="13"/>
        <v>222</v>
      </c>
      <c r="K185" s="4">
        <f t="shared" si="14"/>
        <v>0.36038961038961048</v>
      </c>
      <c r="M185" s="119">
        <v>846.14</v>
      </c>
      <c r="N185" s="119">
        <v>473.7</v>
      </c>
      <c r="Q185" s="119">
        <v>3384.52</v>
      </c>
      <c r="U185" s="141">
        <f t="shared" si="15"/>
        <v>-372.44</v>
      </c>
      <c r="V185" s="4">
        <f t="shared" si="16"/>
        <v>-0.44016356631290332</v>
      </c>
      <c r="W185" s="17">
        <v>14776.64</v>
      </c>
      <c r="X185" s="17">
        <v>17286.91</v>
      </c>
      <c r="Y185" s="4">
        <f t="shared" si="17"/>
        <v>0.16988097429456217</v>
      </c>
      <c r="Z185" s="4"/>
    </row>
    <row r="186" spans="1:26" ht="15" customHeight="1">
      <c r="A186" t="s">
        <v>260</v>
      </c>
      <c r="B186" t="s">
        <v>261</v>
      </c>
      <c r="C186" s="27">
        <v>335</v>
      </c>
      <c r="E186" t="s">
        <v>261</v>
      </c>
      <c r="F186" s="27">
        <v>436</v>
      </c>
      <c r="G186" t="b">
        <f t="shared" si="12"/>
        <v>1</v>
      </c>
      <c r="J186" s="24">
        <f t="shared" si="13"/>
        <v>101</v>
      </c>
      <c r="K186" s="4">
        <f t="shared" si="14"/>
        <v>0.30149253731343273</v>
      </c>
      <c r="M186" s="119">
        <v>315.39999999999998</v>
      </c>
      <c r="N186" s="119">
        <v>384.14</v>
      </c>
      <c r="Q186" s="119">
        <v>6248.76</v>
      </c>
      <c r="U186" s="141">
        <f t="shared" si="15"/>
        <v>68.740000000000009</v>
      </c>
      <c r="V186" s="4">
        <f t="shared" si="16"/>
        <v>0.21794546607482568</v>
      </c>
      <c r="W186" s="17">
        <v>16692.539999999997</v>
      </c>
      <c r="X186" s="17">
        <v>21791.279999999999</v>
      </c>
      <c r="Y186" s="4">
        <f t="shared" si="17"/>
        <v>0.30545021907990044</v>
      </c>
      <c r="Z186" s="4"/>
    </row>
    <row r="187" spans="1:26" ht="15" customHeight="1">
      <c r="A187" s="38" t="s">
        <v>518</v>
      </c>
      <c r="B187" s="35" t="s">
        <v>519</v>
      </c>
      <c r="C187" s="27">
        <v>582</v>
      </c>
      <c r="E187" s="35" t="s">
        <v>519</v>
      </c>
      <c r="F187" s="27">
        <v>559</v>
      </c>
      <c r="G187" t="b">
        <f t="shared" si="12"/>
        <v>1</v>
      </c>
      <c r="J187" s="24">
        <f t="shared" si="13"/>
        <v>-23</v>
      </c>
      <c r="K187" s="4">
        <f t="shared" si="14"/>
        <v>-3.9518900343642582E-2</v>
      </c>
      <c r="M187" s="118">
        <v>648.41</v>
      </c>
      <c r="N187" s="118">
        <v>638.23</v>
      </c>
      <c r="Q187" s="118">
        <v>3320.87</v>
      </c>
      <c r="U187" s="141">
        <f t="shared" si="15"/>
        <v>-10.17999999999995</v>
      </c>
      <c r="V187" s="4">
        <f t="shared" si="16"/>
        <v>-1.5699942937339006E-2</v>
      </c>
      <c r="W187" s="17">
        <v>5793.6</v>
      </c>
      <c r="X187" s="17">
        <v>5582.25</v>
      </c>
      <c r="Y187" s="4">
        <f t="shared" si="17"/>
        <v>-3.6479908864954447E-2</v>
      </c>
      <c r="Z187" s="4"/>
    </row>
    <row r="188" spans="1:26" ht="15" customHeight="1">
      <c r="A188" s="22" t="s">
        <v>346</v>
      </c>
      <c r="B188" s="22" t="s">
        <v>347</v>
      </c>
      <c r="C188" s="27">
        <v>279</v>
      </c>
      <c r="E188" s="22" t="s">
        <v>347</v>
      </c>
      <c r="F188" s="27">
        <v>179</v>
      </c>
      <c r="G188" t="b">
        <f t="shared" si="12"/>
        <v>1</v>
      </c>
      <c r="J188" s="24">
        <f t="shared" si="13"/>
        <v>-100</v>
      </c>
      <c r="K188" s="4">
        <f t="shared" si="14"/>
        <v>-0.35842293906810041</v>
      </c>
      <c r="M188" s="119">
        <v>1148.51</v>
      </c>
      <c r="N188" s="119">
        <v>714.29</v>
      </c>
      <c r="Q188" s="119">
        <v>4183.92</v>
      </c>
      <c r="U188" s="141">
        <f t="shared" si="15"/>
        <v>-434.22</v>
      </c>
      <c r="V188" s="4">
        <f t="shared" si="16"/>
        <v>-0.37807245909918075</v>
      </c>
      <c r="W188" s="17">
        <v>4412.41</v>
      </c>
      <c r="X188" s="17">
        <v>3277.61</v>
      </c>
      <c r="Y188" s="4">
        <f t="shared" si="17"/>
        <v>-0.25718371592848344</v>
      </c>
      <c r="Z188" s="4"/>
    </row>
    <row r="189" spans="1:26" ht="12" customHeight="1">
      <c r="A189" s="38" t="s">
        <v>414</v>
      </c>
      <c r="B189" s="35" t="s">
        <v>415</v>
      </c>
      <c r="C189" s="18">
        <v>1091</v>
      </c>
      <c r="E189" s="35" t="s">
        <v>415</v>
      </c>
      <c r="F189" s="18">
        <v>882</v>
      </c>
      <c r="G189" t="b">
        <f t="shared" si="12"/>
        <v>1</v>
      </c>
      <c r="J189" s="24">
        <f t="shared" si="13"/>
        <v>-209</v>
      </c>
      <c r="K189" s="4">
        <f t="shared" si="14"/>
        <v>-0.19156736938588448</v>
      </c>
      <c r="M189" s="118">
        <v>1112.8800000000001</v>
      </c>
      <c r="N189" s="118">
        <v>738.37</v>
      </c>
      <c r="Q189" s="118">
        <v>3304.71</v>
      </c>
      <c r="U189" s="141">
        <f t="shared" si="15"/>
        <v>-374.5100000000001</v>
      </c>
      <c r="V189" s="4">
        <f t="shared" si="16"/>
        <v>-0.336523254978075</v>
      </c>
      <c r="W189">
        <v>19667.91</v>
      </c>
      <c r="X189">
        <v>17628.599999999999</v>
      </c>
      <c r="Y189" s="4">
        <f t="shared" si="17"/>
        <v>-0.10368717367529146</v>
      </c>
      <c r="Z189" s="4"/>
    </row>
    <row r="190" spans="1:26" ht="15" customHeight="1">
      <c r="A190" t="s">
        <v>456</v>
      </c>
      <c r="B190" t="s">
        <v>457</v>
      </c>
      <c r="C190" s="27">
        <v>1246</v>
      </c>
      <c r="E190" t="s">
        <v>457</v>
      </c>
      <c r="F190" s="27">
        <v>1418</v>
      </c>
      <c r="G190" t="b">
        <f t="shared" si="12"/>
        <v>1</v>
      </c>
      <c r="J190" s="24">
        <f t="shared" si="13"/>
        <v>172</v>
      </c>
      <c r="K190" s="4">
        <f t="shared" si="14"/>
        <v>0.13804173354735161</v>
      </c>
      <c r="M190" s="119">
        <v>2841.57</v>
      </c>
      <c r="N190" s="119">
        <v>3757.34</v>
      </c>
      <c r="Q190" s="119">
        <v>18012.39</v>
      </c>
      <c r="U190" s="141">
        <f t="shared" si="15"/>
        <v>915.77</v>
      </c>
      <c r="V190" s="4">
        <f t="shared" si="16"/>
        <v>0.32227606569607636</v>
      </c>
      <c r="W190" s="17">
        <v>49765.55</v>
      </c>
      <c r="X190" s="17">
        <v>56503.94</v>
      </c>
      <c r="Y190" s="4">
        <f t="shared" si="17"/>
        <v>0.13540270327565951</v>
      </c>
      <c r="Z190" s="4"/>
    </row>
    <row r="191" spans="1:26" ht="15" customHeight="1">
      <c r="A191" t="s">
        <v>514</v>
      </c>
      <c r="B191" t="s">
        <v>515</v>
      </c>
      <c r="C191" s="27">
        <v>328</v>
      </c>
      <c r="E191" t="s">
        <v>515</v>
      </c>
      <c r="F191" s="27">
        <v>363</v>
      </c>
      <c r="G191" t="b">
        <f t="shared" si="12"/>
        <v>1</v>
      </c>
      <c r="J191" s="24">
        <f t="shared" si="13"/>
        <v>35</v>
      </c>
      <c r="K191" s="4">
        <f t="shared" si="14"/>
        <v>0.10670731707317072</v>
      </c>
      <c r="M191" s="119">
        <v>762.29</v>
      </c>
      <c r="N191" s="119">
        <v>744.57</v>
      </c>
      <c r="Q191" s="119">
        <v>4727.41</v>
      </c>
      <c r="U191" s="141">
        <f t="shared" si="15"/>
        <v>-17.719999999999914</v>
      </c>
      <c r="V191" s="4">
        <f t="shared" si="16"/>
        <v>-2.3245746369491838E-2</v>
      </c>
      <c r="W191" s="17">
        <v>7853.12</v>
      </c>
      <c r="X191" s="17">
        <v>8332.35</v>
      </c>
      <c r="Y191" s="4">
        <f t="shared" si="17"/>
        <v>6.1024153457479358E-2</v>
      </c>
      <c r="Z191" s="4"/>
    </row>
    <row r="192" spans="1:26" ht="15" customHeight="1">
      <c r="A192" t="s">
        <v>40</v>
      </c>
      <c r="B192" t="s">
        <v>41</v>
      </c>
      <c r="C192" s="27">
        <v>2404</v>
      </c>
      <c r="E192" t="s">
        <v>41</v>
      </c>
      <c r="F192" s="27">
        <v>2765</v>
      </c>
      <c r="G192" t="b">
        <f t="shared" si="12"/>
        <v>1</v>
      </c>
      <c r="J192" s="24">
        <f t="shared" si="13"/>
        <v>361</v>
      </c>
      <c r="K192" s="4">
        <f t="shared" si="14"/>
        <v>0.15016638935108162</v>
      </c>
      <c r="M192" s="119">
        <v>4595.79</v>
      </c>
      <c r="N192" s="119">
        <v>4125.79</v>
      </c>
      <c r="Q192" s="119">
        <v>23741.56</v>
      </c>
      <c r="U192" s="141">
        <f t="shared" si="15"/>
        <v>-470</v>
      </c>
      <c r="V192" s="4">
        <f t="shared" si="16"/>
        <v>-0.10226751004723889</v>
      </c>
      <c r="W192" s="17">
        <v>66648.37</v>
      </c>
      <c r="X192" s="17">
        <v>75073.039999999994</v>
      </c>
      <c r="Y192" s="4">
        <f t="shared" si="17"/>
        <v>0.12640474178138184</v>
      </c>
      <c r="Z192" s="4"/>
    </row>
    <row r="193" spans="1:26" ht="15" customHeight="1">
      <c r="A193" t="s">
        <v>310</v>
      </c>
      <c r="B193" t="s">
        <v>311</v>
      </c>
      <c r="C193" s="27">
        <v>564</v>
      </c>
      <c r="E193" t="s">
        <v>311</v>
      </c>
      <c r="F193" s="27">
        <v>634</v>
      </c>
      <c r="G193" t="b">
        <f t="shared" si="12"/>
        <v>1</v>
      </c>
      <c r="J193" s="24">
        <f t="shared" si="13"/>
        <v>70</v>
      </c>
      <c r="K193" s="4">
        <f t="shared" si="14"/>
        <v>0.12411347517730498</v>
      </c>
      <c r="M193" s="119">
        <v>216.32</v>
      </c>
      <c r="N193" s="119">
        <v>272.01</v>
      </c>
      <c r="Q193" s="119">
        <v>3489.17</v>
      </c>
      <c r="U193" s="141">
        <f t="shared" si="15"/>
        <v>55.69</v>
      </c>
      <c r="V193" s="4">
        <f t="shared" si="16"/>
        <v>0.25744267751479288</v>
      </c>
      <c r="W193" s="17">
        <v>14204.56</v>
      </c>
      <c r="X193" s="17">
        <v>15574.07</v>
      </c>
      <c r="Y193" s="4">
        <f t="shared" si="17"/>
        <v>9.6413405272673058E-2</v>
      </c>
      <c r="Z193" s="4"/>
    </row>
    <row r="194" spans="1:26" ht="15" customHeight="1">
      <c r="A194" t="s">
        <v>378</v>
      </c>
      <c r="B194" t="s">
        <v>379</v>
      </c>
      <c r="C194" s="27">
        <v>1068</v>
      </c>
      <c r="E194" t="s">
        <v>379</v>
      </c>
      <c r="F194" s="27">
        <v>931</v>
      </c>
      <c r="G194" t="b">
        <f t="shared" ref="G194:G257" si="18">IF(B194=E194,TRUE,FALSE)</f>
        <v>1</v>
      </c>
      <c r="J194" s="24">
        <f t="shared" ref="J194:J257" si="19">F194-C194</f>
        <v>-137</v>
      </c>
      <c r="K194" s="4">
        <f t="shared" ref="K194:K257" si="20">F194/C194-1</f>
        <v>-0.12827715355805247</v>
      </c>
      <c r="M194" s="119">
        <v>601.28</v>
      </c>
      <c r="N194" s="119">
        <v>482.7</v>
      </c>
      <c r="Q194" s="119">
        <v>5385.72</v>
      </c>
      <c r="U194" s="141">
        <f t="shared" ref="U194:U257" si="21">N194-M194</f>
        <v>-118.57999999999998</v>
      </c>
      <c r="V194" s="4">
        <f t="shared" ref="V194:V257" si="22">IF(M194=0,0,N194/M194-1)</f>
        <v>-0.19721261309207028</v>
      </c>
      <c r="W194" s="17">
        <v>49798.12</v>
      </c>
      <c r="X194" s="17">
        <v>43532.32</v>
      </c>
      <c r="Y194" s="4">
        <f t="shared" ref="Y194:Y257" si="23">X194/W194-1</f>
        <v>-0.12582402709178586</v>
      </c>
      <c r="Z194" s="4"/>
    </row>
    <row r="195" spans="1:26" ht="15" customHeight="1">
      <c r="A195" t="s">
        <v>66</v>
      </c>
      <c r="B195" t="s">
        <v>67</v>
      </c>
      <c r="C195" s="27">
        <v>0</v>
      </c>
      <c r="E195" t="s">
        <v>67</v>
      </c>
      <c r="F195" s="27">
        <v>0</v>
      </c>
      <c r="G195" t="b">
        <f t="shared" si="18"/>
        <v>1</v>
      </c>
      <c r="J195" s="24">
        <f t="shared" si="19"/>
        <v>0</v>
      </c>
      <c r="K195" s="4" t="e">
        <f t="shared" si="20"/>
        <v>#DIV/0!</v>
      </c>
      <c r="M195" s="119">
        <v>0</v>
      </c>
      <c r="N195" s="119">
        <v>0</v>
      </c>
      <c r="Q195" s="119">
        <v>0</v>
      </c>
      <c r="U195" s="141">
        <f t="shared" si="21"/>
        <v>0</v>
      </c>
      <c r="V195" s="4">
        <f t="shared" si="22"/>
        <v>0</v>
      </c>
      <c r="W195" s="17">
        <v>0</v>
      </c>
      <c r="X195" s="17">
        <v>0</v>
      </c>
      <c r="Y195" s="4" t="e">
        <f t="shared" si="23"/>
        <v>#DIV/0!</v>
      </c>
      <c r="Z195" s="4"/>
    </row>
    <row r="196" spans="1:26" ht="15" customHeight="1">
      <c r="A196" t="s">
        <v>522</v>
      </c>
      <c r="B196" t="s">
        <v>523</v>
      </c>
      <c r="C196" s="27">
        <v>1206</v>
      </c>
      <c r="E196" t="s">
        <v>523</v>
      </c>
      <c r="F196" s="27">
        <v>1265</v>
      </c>
      <c r="G196" t="b">
        <f t="shared" si="18"/>
        <v>1</v>
      </c>
      <c r="J196" s="24">
        <f t="shared" si="19"/>
        <v>59</v>
      </c>
      <c r="K196" s="4">
        <f t="shared" si="20"/>
        <v>4.8922056384743007E-2</v>
      </c>
      <c r="M196" s="119">
        <v>1971.5</v>
      </c>
      <c r="N196" s="119">
        <v>2462.09</v>
      </c>
      <c r="Q196" s="119">
        <v>14850.41</v>
      </c>
      <c r="U196" s="141">
        <f t="shared" si="21"/>
        <v>490.59000000000015</v>
      </c>
      <c r="V196" s="4">
        <f t="shared" si="22"/>
        <v>0.24884098402231802</v>
      </c>
      <c r="W196" s="17">
        <v>36131.01</v>
      </c>
      <c r="X196" s="17">
        <v>37901.1</v>
      </c>
      <c r="Y196" s="4">
        <f t="shared" si="23"/>
        <v>4.8990880686700988E-2</v>
      </c>
      <c r="Z196" s="4"/>
    </row>
    <row r="197" spans="1:26" ht="15" customHeight="1">
      <c r="A197" t="s">
        <v>48</v>
      </c>
      <c r="B197" t="s">
        <v>49</v>
      </c>
      <c r="C197" s="27">
        <v>2852</v>
      </c>
      <c r="E197" t="s">
        <v>49</v>
      </c>
      <c r="F197" s="27">
        <v>3197</v>
      </c>
      <c r="G197" t="b">
        <f t="shared" si="18"/>
        <v>1</v>
      </c>
      <c r="J197" s="24">
        <f t="shared" si="19"/>
        <v>345</v>
      </c>
      <c r="K197" s="4">
        <f t="shared" si="20"/>
        <v>0.12096774193548376</v>
      </c>
      <c r="M197" s="119">
        <v>3740.1600000000003</v>
      </c>
      <c r="N197" s="119">
        <v>5281.89</v>
      </c>
      <c r="Q197" s="119">
        <v>27278.920000000002</v>
      </c>
      <c r="U197" s="141">
        <f t="shared" si="21"/>
        <v>1541.73</v>
      </c>
      <c r="V197" s="4">
        <f t="shared" si="22"/>
        <v>0.41220963809034905</v>
      </c>
      <c r="W197" s="17">
        <v>76920.509999999995</v>
      </c>
      <c r="X197" s="17">
        <v>79494.41</v>
      </c>
      <c r="Y197" s="4">
        <f t="shared" si="23"/>
        <v>3.3461816620820706E-2</v>
      </c>
      <c r="Z197" s="4"/>
    </row>
    <row r="198" spans="1:26" ht="15" customHeight="1">
      <c r="A198" s="123" t="s">
        <v>94</v>
      </c>
      <c r="B198" s="123" t="s">
        <v>95</v>
      </c>
      <c r="C198" s="27">
        <v>1451</v>
      </c>
      <c r="E198" s="123" t="s">
        <v>95</v>
      </c>
      <c r="F198" s="27">
        <v>1486</v>
      </c>
      <c r="G198" t="b">
        <f t="shared" si="18"/>
        <v>1</v>
      </c>
      <c r="J198" s="24">
        <f t="shared" si="19"/>
        <v>35</v>
      </c>
      <c r="K198" s="4">
        <f t="shared" si="20"/>
        <v>2.4121295658166675E-2</v>
      </c>
      <c r="M198" s="118">
        <v>4325.8900000000003</v>
      </c>
      <c r="N198" s="118">
        <v>4429.1000000000004</v>
      </c>
      <c r="Q198" s="118">
        <v>20358.8</v>
      </c>
      <c r="U198" s="141">
        <f t="shared" si="21"/>
        <v>103.21000000000004</v>
      </c>
      <c r="V198" s="4">
        <f t="shared" si="22"/>
        <v>2.3858674168783844E-2</v>
      </c>
      <c r="W198" s="17">
        <v>31903.09</v>
      </c>
      <c r="X198" s="17">
        <v>32628.32</v>
      </c>
      <c r="Y198" s="4">
        <f t="shared" si="23"/>
        <v>2.2732280791609938E-2</v>
      </c>
      <c r="Z198" s="4"/>
    </row>
    <row r="199" spans="1:26" ht="15" customHeight="1">
      <c r="A199" t="s">
        <v>542</v>
      </c>
      <c r="B199" t="s">
        <v>543</v>
      </c>
      <c r="C199" s="27">
        <v>1669</v>
      </c>
      <c r="E199" t="s">
        <v>543</v>
      </c>
      <c r="F199" s="27">
        <v>1566</v>
      </c>
      <c r="G199" t="b">
        <f t="shared" si="18"/>
        <v>1</v>
      </c>
      <c r="J199" s="24">
        <f t="shared" si="19"/>
        <v>-103</v>
      </c>
      <c r="K199" s="4">
        <f t="shared" si="20"/>
        <v>-6.1713600958657855E-2</v>
      </c>
      <c r="M199" s="119">
        <v>657.7</v>
      </c>
      <c r="N199" s="119">
        <v>570.20000000000005</v>
      </c>
      <c r="Q199" s="119">
        <v>6094.42</v>
      </c>
      <c r="U199" s="141">
        <f t="shared" si="21"/>
        <v>-87.5</v>
      </c>
      <c r="V199" s="4">
        <f t="shared" si="22"/>
        <v>-0.13303937965637824</v>
      </c>
      <c r="W199" s="17">
        <v>49985.23</v>
      </c>
      <c r="X199" s="17">
        <v>46926.55</v>
      </c>
      <c r="Y199" s="4">
        <f t="shared" si="23"/>
        <v>-6.1191676021096653E-2</v>
      </c>
      <c r="Z199" s="4"/>
    </row>
    <row r="200" spans="1:26" ht="15" customHeight="1">
      <c r="A200" s="123" t="s">
        <v>390</v>
      </c>
      <c r="B200" s="123" t="s">
        <v>391</v>
      </c>
      <c r="C200" s="27">
        <v>514</v>
      </c>
      <c r="E200" s="123" t="s">
        <v>391</v>
      </c>
      <c r="F200" s="27">
        <v>555</v>
      </c>
      <c r="G200" t="b">
        <f t="shared" si="18"/>
        <v>1</v>
      </c>
      <c r="J200" s="24">
        <f t="shared" si="19"/>
        <v>41</v>
      </c>
      <c r="K200" s="4">
        <f t="shared" si="20"/>
        <v>7.9766536964980483E-2</v>
      </c>
      <c r="M200" s="118">
        <v>1177.68</v>
      </c>
      <c r="N200" s="118">
        <v>1230</v>
      </c>
      <c r="Q200" s="118">
        <v>6916.63</v>
      </c>
      <c r="U200" s="141">
        <f t="shared" si="21"/>
        <v>52.319999999999936</v>
      </c>
      <c r="V200" s="4">
        <f t="shared" si="22"/>
        <v>4.4426329733034287E-2</v>
      </c>
      <c r="W200" s="17">
        <v>12305.91</v>
      </c>
      <c r="X200" s="17">
        <v>12559.41</v>
      </c>
      <c r="Y200" s="4">
        <f t="shared" si="23"/>
        <v>2.0599858116953529E-2</v>
      </c>
      <c r="Z200" s="4"/>
    </row>
    <row r="201" spans="1:26" ht="15" customHeight="1">
      <c r="A201" t="s">
        <v>530</v>
      </c>
      <c r="B201" t="s">
        <v>531</v>
      </c>
      <c r="C201" s="27">
        <v>1291</v>
      </c>
      <c r="E201" t="s">
        <v>531</v>
      </c>
      <c r="F201" s="27">
        <v>1405</v>
      </c>
      <c r="G201" t="b">
        <f t="shared" si="18"/>
        <v>1</v>
      </c>
      <c r="J201" s="24">
        <f t="shared" si="19"/>
        <v>114</v>
      </c>
      <c r="K201" s="4">
        <f t="shared" si="20"/>
        <v>8.8303640588691001E-2</v>
      </c>
      <c r="M201" s="119">
        <v>2355.29</v>
      </c>
      <c r="N201" s="119">
        <v>2327.8200000000002</v>
      </c>
      <c r="Q201" s="119">
        <v>17437.96</v>
      </c>
      <c r="U201" s="141">
        <f t="shared" si="21"/>
        <v>-27.4699999999998</v>
      </c>
      <c r="V201" s="4">
        <f t="shared" si="22"/>
        <v>-1.1663107303134579E-2</v>
      </c>
      <c r="W201" s="17">
        <v>32194.1</v>
      </c>
      <c r="X201" s="17">
        <v>32939.480000000003</v>
      </c>
      <c r="Y201" s="4">
        <f t="shared" si="23"/>
        <v>2.315268946794613E-2</v>
      </c>
      <c r="Z201" s="4"/>
    </row>
    <row r="202" spans="1:26" ht="15" customHeight="1">
      <c r="A202" t="s">
        <v>330</v>
      </c>
      <c r="B202" t="s">
        <v>331</v>
      </c>
      <c r="C202" s="27">
        <v>729</v>
      </c>
      <c r="E202" t="s">
        <v>331</v>
      </c>
      <c r="F202" s="27">
        <v>632</v>
      </c>
      <c r="G202" t="b">
        <f t="shared" si="18"/>
        <v>1</v>
      </c>
      <c r="J202" s="24">
        <f t="shared" si="19"/>
        <v>-97</v>
      </c>
      <c r="K202" s="4">
        <f t="shared" si="20"/>
        <v>-0.13305898491083679</v>
      </c>
      <c r="M202" s="119">
        <v>1257.97</v>
      </c>
      <c r="N202" s="119">
        <v>928.38</v>
      </c>
      <c r="Q202" s="119">
        <v>4065.62</v>
      </c>
      <c r="U202" s="141">
        <f t="shared" si="21"/>
        <v>-329.59000000000003</v>
      </c>
      <c r="V202" s="4">
        <f t="shared" si="22"/>
        <v>-0.26200147857262102</v>
      </c>
      <c r="W202" s="17">
        <v>11653.27</v>
      </c>
      <c r="X202" s="17">
        <v>10101.84</v>
      </c>
      <c r="Y202" s="4">
        <f t="shared" si="23"/>
        <v>-0.13313258853523524</v>
      </c>
      <c r="Z202" s="4"/>
    </row>
    <row r="203" spans="1:26" ht="15" customHeight="1">
      <c r="A203" s="38" t="s">
        <v>60</v>
      </c>
      <c r="B203" s="35" t="s">
        <v>61</v>
      </c>
      <c r="C203" s="27">
        <v>1097</v>
      </c>
      <c r="E203" s="35" t="s">
        <v>61</v>
      </c>
      <c r="F203" s="27">
        <v>1086</v>
      </c>
      <c r="G203" t="b">
        <f t="shared" si="18"/>
        <v>1</v>
      </c>
      <c r="J203" s="24">
        <f t="shared" si="19"/>
        <v>-11</v>
      </c>
      <c r="K203" s="4">
        <f t="shared" si="20"/>
        <v>-1.0027347310847756E-2</v>
      </c>
      <c r="M203" s="118">
        <v>1906.17</v>
      </c>
      <c r="N203" s="118">
        <v>2349.92</v>
      </c>
      <c r="Q203" s="118">
        <v>9928.39</v>
      </c>
      <c r="U203" s="141">
        <f t="shared" si="21"/>
        <v>443.75</v>
      </c>
      <c r="V203" s="4">
        <f t="shared" si="22"/>
        <v>0.23279665507273739</v>
      </c>
      <c r="W203" s="17">
        <v>27407.53</v>
      </c>
      <c r="X203" s="17">
        <v>27086.86</v>
      </c>
      <c r="Y203" s="4">
        <f t="shared" si="23"/>
        <v>-1.170006928752787E-2</v>
      </c>
      <c r="Z203" s="4"/>
    </row>
    <row r="204" spans="1:26" ht="15" customHeight="1">
      <c r="A204" t="s">
        <v>338</v>
      </c>
      <c r="B204" t="s">
        <v>339</v>
      </c>
      <c r="C204" s="27">
        <v>281</v>
      </c>
      <c r="E204" t="s">
        <v>339</v>
      </c>
      <c r="F204" s="27">
        <v>275</v>
      </c>
      <c r="G204" t="b">
        <f t="shared" si="18"/>
        <v>1</v>
      </c>
      <c r="J204" s="24">
        <f t="shared" si="19"/>
        <v>-6</v>
      </c>
      <c r="K204" s="4">
        <f t="shared" si="20"/>
        <v>-2.1352313167259829E-2</v>
      </c>
      <c r="M204" s="119">
        <v>316.92</v>
      </c>
      <c r="N204" s="119">
        <v>195.67</v>
      </c>
      <c r="Q204" s="119">
        <v>1046.1400000000001</v>
      </c>
      <c r="U204" s="141">
        <f t="shared" si="21"/>
        <v>-121.25000000000003</v>
      </c>
      <c r="V204" s="4">
        <f t="shared" si="22"/>
        <v>-0.38258866590937779</v>
      </c>
      <c r="W204" s="17">
        <v>4745.9399999999996</v>
      </c>
      <c r="X204" s="17">
        <v>5004.95</v>
      </c>
      <c r="Y204" s="4">
        <f t="shared" si="23"/>
        <v>5.4575068374231428E-2</v>
      </c>
      <c r="Z204" s="4"/>
    </row>
    <row r="205" spans="1:26" ht="15" customHeight="1">
      <c r="A205" t="s">
        <v>194</v>
      </c>
      <c r="B205" t="s">
        <v>195</v>
      </c>
      <c r="C205" s="27">
        <v>867</v>
      </c>
      <c r="E205" t="s">
        <v>195</v>
      </c>
      <c r="F205" s="27">
        <v>768</v>
      </c>
      <c r="G205" t="b">
        <f t="shared" si="18"/>
        <v>1</v>
      </c>
      <c r="J205" s="24">
        <f t="shared" si="19"/>
        <v>-99</v>
      </c>
      <c r="K205" s="4">
        <f t="shared" si="20"/>
        <v>-0.11418685121107264</v>
      </c>
      <c r="M205" s="119">
        <v>1892.33</v>
      </c>
      <c r="N205" s="119">
        <v>1633.14</v>
      </c>
      <c r="Q205" s="119">
        <v>10732.57</v>
      </c>
      <c r="U205" s="141">
        <f t="shared" si="21"/>
        <v>-259.18999999999983</v>
      </c>
      <c r="V205" s="4">
        <f t="shared" si="22"/>
        <v>-0.13696871053146109</v>
      </c>
      <c r="W205" s="17">
        <v>33766.14</v>
      </c>
      <c r="X205" s="17">
        <v>29638.7</v>
      </c>
      <c r="Y205" s="4">
        <f t="shared" si="23"/>
        <v>-0.12223606251706587</v>
      </c>
      <c r="Z205" s="4"/>
    </row>
    <row r="206" spans="1:26" ht="15" customHeight="1">
      <c r="A206" t="s">
        <v>360</v>
      </c>
      <c r="B206" t="s">
        <v>361</v>
      </c>
      <c r="C206" s="27">
        <v>442</v>
      </c>
      <c r="E206" t="s">
        <v>361</v>
      </c>
      <c r="F206" s="27">
        <v>446</v>
      </c>
      <c r="G206" t="b">
        <f t="shared" si="18"/>
        <v>1</v>
      </c>
      <c r="J206" s="24">
        <f t="shared" si="19"/>
        <v>4</v>
      </c>
      <c r="K206" s="4">
        <f t="shared" si="20"/>
        <v>9.0497737556560764E-3</v>
      </c>
      <c r="M206" s="119">
        <v>710.4</v>
      </c>
      <c r="N206" s="119">
        <v>578</v>
      </c>
      <c r="Q206" s="119">
        <v>3607.04</v>
      </c>
      <c r="U206" s="141">
        <f t="shared" si="21"/>
        <v>-132.39999999999998</v>
      </c>
      <c r="V206" s="4">
        <f t="shared" si="22"/>
        <v>-0.18637387387387383</v>
      </c>
      <c r="W206" s="17">
        <v>8832.4600000000009</v>
      </c>
      <c r="X206" s="17">
        <v>8751.39</v>
      </c>
      <c r="Y206" s="4">
        <f t="shared" si="23"/>
        <v>-9.1786433224720909E-3</v>
      </c>
      <c r="Z206" s="4"/>
    </row>
    <row r="207" spans="1:26" ht="15" customHeight="1">
      <c r="A207" s="38" t="s">
        <v>288</v>
      </c>
      <c r="B207" s="35" t="s">
        <v>289</v>
      </c>
      <c r="C207" s="18">
        <v>367</v>
      </c>
      <c r="E207" s="35" t="s">
        <v>289</v>
      </c>
      <c r="F207" s="18">
        <v>299</v>
      </c>
      <c r="G207" t="b">
        <f t="shared" si="18"/>
        <v>1</v>
      </c>
      <c r="J207" s="24">
        <f t="shared" si="19"/>
        <v>-68</v>
      </c>
      <c r="K207" s="4">
        <f t="shared" si="20"/>
        <v>-0.18528610354223429</v>
      </c>
      <c r="M207" s="118">
        <v>378.85</v>
      </c>
      <c r="N207" s="118">
        <v>262.45</v>
      </c>
      <c r="Q207" s="118">
        <v>1944.85</v>
      </c>
      <c r="U207" s="141">
        <f t="shared" si="21"/>
        <v>-116.40000000000003</v>
      </c>
      <c r="V207" s="4">
        <f t="shared" si="22"/>
        <v>-0.30724561171967801</v>
      </c>
      <c r="W207">
        <v>6065.33</v>
      </c>
      <c r="X207">
        <v>5289.63</v>
      </c>
      <c r="Y207" s="4">
        <f t="shared" si="23"/>
        <v>-0.1278908155038555</v>
      </c>
      <c r="Z207" s="4"/>
    </row>
    <row r="208" spans="1:26" ht="15" customHeight="1">
      <c r="A208" t="s">
        <v>444</v>
      </c>
      <c r="B208" t="s">
        <v>445</v>
      </c>
      <c r="C208" s="27">
        <v>403</v>
      </c>
      <c r="E208" t="s">
        <v>445</v>
      </c>
      <c r="F208" s="27">
        <v>461</v>
      </c>
      <c r="G208" t="b">
        <f t="shared" si="18"/>
        <v>1</v>
      </c>
      <c r="J208" s="24">
        <f t="shared" si="19"/>
        <v>58</v>
      </c>
      <c r="K208" s="4">
        <f t="shared" si="20"/>
        <v>0.14392059553349879</v>
      </c>
      <c r="M208" s="119">
        <v>934.09</v>
      </c>
      <c r="N208" s="119">
        <v>899.55</v>
      </c>
      <c r="Q208" s="119">
        <v>5011.16</v>
      </c>
      <c r="U208" s="141">
        <f t="shared" si="21"/>
        <v>-34.540000000000077</v>
      </c>
      <c r="V208" s="4">
        <f t="shared" si="22"/>
        <v>-3.6977164941279783E-2</v>
      </c>
      <c r="W208" s="17">
        <v>8859.11</v>
      </c>
      <c r="X208" s="17">
        <v>10134.11</v>
      </c>
      <c r="Y208" s="4">
        <f t="shared" si="23"/>
        <v>0.14391964881348129</v>
      </c>
      <c r="Z208" s="4"/>
    </row>
    <row r="209" spans="1:26" ht="15" customHeight="1">
      <c r="A209" s="38" t="s">
        <v>426</v>
      </c>
      <c r="B209" s="35" t="s">
        <v>427</v>
      </c>
      <c r="C209" s="18">
        <v>444</v>
      </c>
      <c r="E209" s="35" t="s">
        <v>427</v>
      </c>
      <c r="F209" s="18">
        <v>351</v>
      </c>
      <c r="G209" t="b">
        <f t="shared" si="18"/>
        <v>1</v>
      </c>
      <c r="J209" s="24">
        <f t="shared" si="19"/>
        <v>-93</v>
      </c>
      <c r="K209" s="4">
        <f t="shared" si="20"/>
        <v>-0.20945945945945943</v>
      </c>
      <c r="M209" s="118">
        <v>1210.1099999999999</v>
      </c>
      <c r="N209" s="118">
        <v>674.07</v>
      </c>
      <c r="Q209" s="118">
        <v>3420.74</v>
      </c>
      <c r="U209" s="141">
        <f t="shared" si="21"/>
        <v>-536.03999999999985</v>
      </c>
      <c r="V209" s="4">
        <f t="shared" si="22"/>
        <v>-0.44296799464511483</v>
      </c>
      <c r="W209">
        <v>7962.76</v>
      </c>
      <c r="X209">
        <v>6555.89</v>
      </c>
      <c r="Y209" s="4">
        <f t="shared" si="23"/>
        <v>-0.17668120099061124</v>
      </c>
      <c r="Z209" s="4"/>
    </row>
    <row r="210" spans="1:26" ht="15" customHeight="1">
      <c r="A210" t="s">
        <v>306</v>
      </c>
      <c r="B210" t="s">
        <v>307</v>
      </c>
      <c r="C210" s="27">
        <v>610</v>
      </c>
      <c r="E210" t="s">
        <v>307</v>
      </c>
      <c r="F210" s="27">
        <v>637</v>
      </c>
      <c r="G210" t="b">
        <f t="shared" si="18"/>
        <v>1</v>
      </c>
      <c r="J210" s="24">
        <f t="shared" si="19"/>
        <v>27</v>
      </c>
      <c r="K210" s="4">
        <f t="shared" si="20"/>
        <v>4.4262295081967107E-2</v>
      </c>
      <c r="M210" s="119">
        <v>663.74</v>
      </c>
      <c r="N210" s="119">
        <v>904.27</v>
      </c>
      <c r="Q210" s="119">
        <v>5923.15</v>
      </c>
      <c r="U210" s="141">
        <f t="shared" si="21"/>
        <v>240.52999999999997</v>
      </c>
      <c r="V210" s="4">
        <f t="shared" si="22"/>
        <v>0.362385873986802</v>
      </c>
      <c r="W210" s="17">
        <v>17673.46</v>
      </c>
      <c r="X210" s="17">
        <v>18364.41</v>
      </c>
      <c r="Y210" s="4">
        <f t="shared" si="23"/>
        <v>3.9095344092215045E-2</v>
      </c>
      <c r="Z210" s="4"/>
    </row>
    <row r="211" spans="1:26" ht="15" customHeight="1">
      <c r="A211" t="s">
        <v>214</v>
      </c>
      <c r="B211" t="s">
        <v>215</v>
      </c>
      <c r="C211" s="27">
        <v>393</v>
      </c>
      <c r="E211" t="s">
        <v>215</v>
      </c>
      <c r="F211" s="27">
        <v>360</v>
      </c>
      <c r="G211" t="b">
        <f t="shared" si="18"/>
        <v>1</v>
      </c>
      <c r="J211" s="24">
        <f t="shared" si="19"/>
        <v>-33</v>
      </c>
      <c r="K211" s="4">
        <f t="shared" si="20"/>
        <v>-8.3969465648854991E-2</v>
      </c>
      <c r="M211" s="119">
        <v>357.45</v>
      </c>
      <c r="N211" s="119">
        <v>333.18</v>
      </c>
      <c r="Q211" s="119">
        <v>3339.96</v>
      </c>
      <c r="U211" s="141">
        <f t="shared" si="21"/>
        <v>-24.269999999999982</v>
      </c>
      <c r="V211" s="4">
        <f t="shared" si="22"/>
        <v>-6.7897608057070902E-2</v>
      </c>
      <c r="W211" s="17">
        <v>9030.0300000000007</v>
      </c>
      <c r="X211" s="17">
        <v>8273.02</v>
      </c>
      <c r="Y211" s="4">
        <f t="shared" si="23"/>
        <v>-8.3832501110184587E-2</v>
      </c>
      <c r="Z211" s="4"/>
    </row>
    <row r="212" spans="1:26" ht="15" customHeight="1">
      <c r="A212" t="s">
        <v>384</v>
      </c>
      <c r="B212" t="s">
        <v>385</v>
      </c>
      <c r="C212" s="27">
        <v>935</v>
      </c>
      <c r="E212" t="s">
        <v>385</v>
      </c>
      <c r="F212" s="27">
        <v>595</v>
      </c>
      <c r="G212" t="b">
        <f t="shared" si="18"/>
        <v>1</v>
      </c>
      <c r="J212" s="24">
        <f t="shared" si="19"/>
        <v>-340</v>
      </c>
      <c r="K212" s="4">
        <f t="shared" si="20"/>
        <v>-0.36363636363636365</v>
      </c>
      <c r="M212" s="119">
        <v>1284.0999999999999</v>
      </c>
      <c r="N212" s="119">
        <v>908.78</v>
      </c>
      <c r="Q212" s="119">
        <v>4056.42</v>
      </c>
      <c r="U212" s="141">
        <f t="shared" si="21"/>
        <v>-375.31999999999994</v>
      </c>
      <c r="V212" s="4">
        <f t="shared" si="22"/>
        <v>-0.29228253251304415</v>
      </c>
      <c r="W212" s="17">
        <v>14881.86</v>
      </c>
      <c r="X212" s="17">
        <v>10609.09</v>
      </c>
      <c r="Y212" s="4">
        <f t="shared" si="23"/>
        <v>-0.28711263242632312</v>
      </c>
      <c r="Z212" s="4"/>
    </row>
    <row r="213" spans="1:26" ht="15" customHeight="1">
      <c r="A213" t="s">
        <v>847</v>
      </c>
      <c r="B213" t="s">
        <v>848</v>
      </c>
      <c r="C213" s="27">
        <v>2588</v>
      </c>
      <c r="E213" t="s">
        <v>848</v>
      </c>
      <c r="F213" s="27">
        <v>2359</v>
      </c>
      <c r="G213" t="b">
        <f t="shared" si="18"/>
        <v>1</v>
      </c>
      <c r="J213" s="24">
        <f t="shared" si="19"/>
        <v>-229</v>
      </c>
      <c r="K213" s="4">
        <f t="shared" si="20"/>
        <v>-8.8485316846986128E-2</v>
      </c>
      <c r="M213" s="119">
        <v>910.8</v>
      </c>
      <c r="N213" s="119">
        <v>870.31</v>
      </c>
      <c r="Q213" s="119">
        <v>15189.4</v>
      </c>
      <c r="U213" s="141">
        <f t="shared" si="21"/>
        <v>-40.490000000000009</v>
      </c>
      <c r="V213" s="4">
        <f t="shared" si="22"/>
        <v>-4.4455423803249849E-2</v>
      </c>
      <c r="W213" s="17">
        <v>74932.759999999995</v>
      </c>
      <c r="X213" s="17">
        <v>68163.08</v>
      </c>
      <c r="Y213" s="4">
        <f t="shared" si="23"/>
        <v>-9.034339586584017E-2</v>
      </c>
      <c r="Z213" s="4"/>
    </row>
    <row r="214" spans="1:26" ht="15" customHeight="1">
      <c r="A214" t="s">
        <v>328</v>
      </c>
      <c r="B214" t="s">
        <v>329</v>
      </c>
      <c r="C214" s="27">
        <v>2870</v>
      </c>
      <c r="E214" t="s">
        <v>329</v>
      </c>
      <c r="F214" s="27">
        <v>2695</v>
      </c>
      <c r="G214" t="b">
        <f t="shared" si="18"/>
        <v>1</v>
      </c>
      <c r="J214" s="24">
        <f t="shared" si="19"/>
        <v>-175</v>
      </c>
      <c r="K214" s="4">
        <f t="shared" si="20"/>
        <v>-6.0975609756097615E-2</v>
      </c>
      <c r="M214" s="119">
        <v>3143.26</v>
      </c>
      <c r="N214" s="119">
        <v>3414.9</v>
      </c>
      <c r="Q214" s="119">
        <v>24899.09</v>
      </c>
      <c r="U214" s="141">
        <f t="shared" si="21"/>
        <v>271.63999999999987</v>
      </c>
      <c r="V214" s="4">
        <f t="shared" si="22"/>
        <v>8.6419831639762412E-2</v>
      </c>
      <c r="W214" s="17">
        <v>85908.91</v>
      </c>
      <c r="X214" s="17">
        <v>80778.98</v>
      </c>
      <c r="Y214" s="4">
        <f t="shared" si="23"/>
        <v>-5.9713596645563416E-2</v>
      </c>
      <c r="Z214" s="4"/>
    </row>
    <row r="215" spans="1:26" ht="15" customHeight="1">
      <c r="A215" t="s">
        <v>294</v>
      </c>
      <c r="B215" t="s">
        <v>295</v>
      </c>
      <c r="C215" s="27">
        <v>307</v>
      </c>
      <c r="E215" t="s">
        <v>295</v>
      </c>
      <c r="F215" s="27">
        <v>360</v>
      </c>
      <c r="G215" t="b">
        <f t="shared" si="18"/>
        <v>1</v>
      </c>
      <c r="J215" s="24">
        <f t="shared" si="19"/>
        <v>53</v>
      </c>
      <c r="K215" s="4">
        <f t="shared" si="20"/>
        <v>0.17263843648208477</v>
      </c>
      <c r="M215" s="119">
        <v>444.42</v>
      </c>
      <c r="N215" s="119">
        <v>385.85</v>
      </c>
      <c r="Q215" s="119">
        <v>3115.7</v>
      </c>
      <c r="U215" s="141">
        <f t="shared" si="21"/>
        <v>-58.569999999999993</v>
      </c>
      <c r="V215" s="4">
        <f t="shared" si="22"/>
        <v>-0.13178974843616398</v>
      </c>
      <c r="W215" s="17">
        <v>6748.69</v>
      </c>
      <c r="X215" s="17">
        <v>7430.47</v>
      </c>
      <c r="Y215" s="4">
        <f t="shared" si="23"/>
        <v>0.10102405059352271</v>
      </c>
      <c r="Z215" s="4"/>
    </row>
    <row r="216" spans="1:26" ht="15" customHeight="1">
      <c r="A216" s="38" t="s">
        <v>86</v>
      </c>
      <c r="B216" s="35" t="s">
        <v>87</v>
      </c>
      <c r="C216" s="18">
        <v>1983</v>
      </c>
      <c r="E216" s="35" t="s">
        <v>87</v>
      </c>
      <c r="F216" s="18">
        <v>1812</v>
      </c>
      <c r="G216" t="b">
        <f t="shared" si="18"/>
        <v>1</v>
      </c>
      <c r="J216" s="24">
        <f t="shared" si="19"/>
        <v>-171</v>
      </c>
      <c r="K216" s="4">
        <f t="shared" si="20"/>
        <v>-8.6232980332829001E-2</v>
      </c>
      <c r="M216" s="118">
        <v>3840.32</v>
      </c>
      <c r="N216" s="118">
        <v>3526.85</v>
      </c>
      <c r="Q216" s="118">
        <v>19003.57</v>
      </c>
      <c r="U216" s="141">
        <f t="shared" si="21"/>
        <v>-313.47000000000025</v>
      </c>
      <c r="V216" s="4">
        <f t="shared" si="22"/>
        <v>-8.162601033247241E-2</v>
      </c>
      <c r="W216">
        <v>45388.43</v>
      </c>
      <c r="X216">
        <v>43387.4</v>
      </c>
      <c r="Y216" s="4">
        <f t="shared" si="23"/>
        <v>-4.4086785993699196E-2</v>
      </c>
      <c r="Z216" s="4"/>
    </row>
    <row r="217" spans="1:26" ht="15" customHeight="1">
      <c r="A217" s="38" t="s">
        <v>512</v>
      </c>
      <c r="B217" s="35" t="s">
        <v>513</v>
      </c>
      <c r="C217" s="18">
        <v>943</v>
      </c>
      <c r="E217" s="35" t="s">
        <v>513</v>
      </c>
      <c r="F217" s="18">
        <v>532</v>
      </c>
      <c r="G217" t="b">
        <f t="shared" si="18"/>
        <v>1</v>
      </c>
      <c r="J217" s="24">
        <f t="shared" si="19"/>
        <v>-411</v>
      </c>
      <c r="K217" s="4">
        <f t="shared" si="20"/>
        <v>-0.43584305408271473</v>
      </c>
      <c r="M217" s="118">
        <v>1779.92</v>
      </c>
      <c r="N217" s="118">
        <v>1028.48</v>
      </c>
      <c r="Q217" s="118">
        <v>7895.32</v>
      </c>
      <c r="U217" s="141">
        <f t="shared" si="21"/>
        <v>-751.44</v>
      </c>
      <c r="V217" s="4">
        <f t="shared" si="22"/>
        <v>-0.42217627758550946</v>
      </c>
      <c r="W217">
        <v>20350.25</v>
      </c>
      <c r="X217">
        <v>12759.34</v>
      </c>
      <c r="Y217" s="4">
        <f t="shared" si="23"/>
        <v>-0.37301310794707676</v>
      </c>
      <c r="Z217" s="4"/>
    </row>
    <row r="218" spans="1:26" ht="15" customHeight="1">
      <c r="A218" t="s">
        <v>738</v>
      </c>
      <c r="B218" t="s">
        <v>739</v>
      </c>
      <c r="C218" s="27">
        <v>1723</v>
      </c>
      <c r="E218" t="s">
        <v>739</v>
      </c>
      <c r="F218" s="27">
        <v>1579</v>
      </c>
      <c r="G218" t="b">
        <f t="shared" si="18"/>
        <v>1</v>
      </c>
      <c r="J218" s="24">
        <f t="shared" si="19"/>
        <v>-144</v>
      </c>
      <c r="K218" s="4">
        <f t="shared" si="20"/>
        <v>-8.3575159605339566E-2</v>
      </c>
      <c r="M218" s="119">
        <v>1790.42</v>
      </c>
      <c r="N218" s="119">
        <v>1436.5</v>
      </c>
      <c r="Q218" s="119">
        <v>15804.34</v>
      </c>
      <c r="U218" s="141">
        <f t="shared" si="21"/>
        <v>-353.92000000000007</v>
      </c>
      <c r="V218" s="4">
        <f t="shared" si="22"/>
        <v>-0.19767428871437986</v>
      </c>
      <c r="W218" s="17">
        <v>59981.75</v>
      </c>
      <c r="X218" s="17">
        <v>58651.56</v>
      </c>
      <c r="Y218" s="4">
        <f t="shared" si="23"/>
        <v>-2.217657870935752E-2</v>
      </c>
      <c r="Z218" s="4"/>
    </row>
    <row r="219" spans="1:26" ht="15" customHeight="1">
      <c r="A219" t="s">
        <v>120</v>
      </c>
      <c r="B219" t="s">
        <v>121</v>
      </c>
      <c r="C219" s="27">
        <v>776</v>
      </c>
      <c r="E219" t="s">
        <v>121</v>
      </c>
      <c r="F219" s="27">
        <v>627</v>
      </c>
      <c r="G219" t="b">
        <f t="shared" si="18"/>
        <v>1</v>
      </c>
      <c r="J219" s="24">
        <f t="shared" si="19"/>
        <v>-149</v>
      </c>
      <c r="K219" s="4">
        <f t="shared" si="20"/>
        <v>-0.1920103092783505</v>
      </c>
      <c r="M219" s="119">
        <v>1655.66</v>
      </c>
      <c r="N219" s="119">
        <v>1303.43</v>
      </c>
      <c r="Q219" s="119">
        <v>5850.61</v>
      </c>
      <c r="U219" s="141">
        <f t="shared" si="21"/>
        <v>-352.23</v>
      </c>
      <c r="V219" s="4">
        <f t="shared" si="22"/>
        <v>-0.21274295447132863</v>
      </c>
      <c r="W219" s="17">
        <v>13581.55</v>
      </c>
      <c r="X219" s="17">
        <v>11740.37</v>
      </c>
      <c r="Y219" s="4">
        <f t="shared" si="23"/>
        <v>-0.13556479194200943</v>
      </c>
      <c r="Z219" s="4"/>
    </row>
    <row r="220" spans="1:26" ht="15" customHeight="1">
      <c r="A220" s="38" t="s">
        <v>136</v>
      </c>
      <c r="B220" s="35" t="s">
        <v>137</v>
      </c>
      <c r="C220" s="18">
        <v>1839</v>
      </c>
      <c r="E220" s="35" t="s">
        <v>137</v>
      </c>
      <c r="F220" s="18">
        <v>1647</v>
      </c>
      <c r="G220" t="b">
        <f t="shared" si="18"/>
        <v>1</v>
      </c>
      <c r="J220" s="24">
        <f t="shared" si="19"/>
        <v>-192</v>
      </c>
      <c r="K220" s="4">
        <f t="shared" si="20"/>
        <v>-0.10440456769983686</v>
      </c>
      <c r="M220" s="118">
        <v>3481.89</v>
      </c>
      <c r="N220" s="118">
        <v>3342.79</v>
      </c>
      <c r="Q220" s="118">
        <v>19723.849999999999</v>
      </c>
      <c r="U220" s="141">
        <f t="shared" si="21"/>
        <v>-139.09999999999991</v>
      </c>
      <c r="V220" s="4">
        <f t="shared" si="22"/>
        <v>-3.9949567619884552E-2</v>
      </c>
      <c r="W220">
        <v>41046.71</v>
      </c>
      <c r="X220">
        <v>40305.949999999997</v>
      </c>
      <c r="Y220" s="4">
        <f t="shared" si="23"/>
        <v>-1.8046756975163225E-2</v>
      </c>
      <c r="Z220" s="4"/>
    </row>
    <row r="221" spans="1:26" ht="15" customHeight="1">
      <c r="A221" t="s">
        <v>38</v>
      </c>
      <c r="B221" t="s">
        <v>39</v>
      </c>
      <c r="C221" s="27">
        <v>1302</v>
      </c>
      <c r="E221" t="s">
        <v>39</v>
      </c>
      <c r="F221" s="27">
        <v>1004</v>
      </c>
      <c r="G221" t="b">
        <f t="shared" si="18"/>
        <v>1</v>
      </c>
      <c r="J221" s="24">
        <f t="shared" si="19"/>
        <v>-298</v>
      </c>
      <c r="K221" s="4">
        <f t="shared" si="20"/>
        <v>-0.22887864823348691</v>
      </c>
      <c r="M221" s="119">
        <v>2993.12</v>
      </c>
      <c r="N221" s="119">
        <v>2320.71</v>
      </c>
      <c r="Q221" s="119">
        <v>15406.2</v>
      </c>
      <c r="U221" s="141">
        <f t="shared" si="21"/>
        <v>-672.40999999999985</v>
      </c>
      <c r="V221" s="4">
        <f t="shared" si="22"/>
        <v>-0.22465186828459927</v>
      </c>
      <c r="W221" s="17">
        <v>37173.81</v>
      </c>
      <c r="X221" s="17">
        <v>28387.98</v>
      </c>
      <c r="Y221" s="4">
        <f t="shared" si="23"/>
        <v>-0.23634462004298185</v>
      </c>
      <c r="Z221" s="4"/>
    </row>
    <row r="222" spans="1:26" ht="15" customHeight="1">
      <c r="A222" s="123" t="s">
        <v>208</v>
      </c>
      <c r="B222" s="123" t="s">
        <v>209</v>
      </c>
      <c r="C222" s="27">
        <v>233</v>
      </c>
      <c r="E222" s="123" t="s">
        <v>209</v>
      </c>
      <c r="F222" s="27">
        <v>116</v>
      </c>
      <c r="G222" t="b">
        <f t="shared" si="18"/>
        <v>1</v>
      </c>
      <c r="J222" s="24">
        <f t="shared" si="19"/>
        <v>-117</v>
      </c>
      <c r="K222" s="4">
        <f t="shared" si="20"/>
        <v>-0.50214592274678105</v>
      </c>
      <c r="M222" s="118">
        <v>539.84</v>
      </c>
      <c r="N222" s="118">
        <v>203.72</v>
      </c>
      <c r="Q222" s="118">
        <v>480.5</v>
      </c>
      <c r="U222" s="141">
        <f t="shared" si="21"/>
        <v>-336.12</v>
      </c>
      <c r="V222" s="4">
        <f t="shared" si="22"/>
        <v>-0.62262892708950801</v>
      </c>
      <c r="W222" s="17">
        <v>3055.47</v>
      </c>
      <c r="X222" s="17">
        <v>1768.84</v>
      </c>
      <c r="Y222" s="4">
        <f t="shared" si="23"/>
        <v>-0.42109069963049872</v>
      </c>
      <c r="Z222" s="4"/>
    </row>
    <row r="223" spans="1:26" ht="15" customHeight="1">
      <c r="A223" s="23" t="s">
        <v>324</v>
      </c>
      <c r="B223" s="22" t="s">
        <v>325</v>
      </c>
      <c r="C223" s="27">
        <v>183</v>
      </c>
      <c r="E223" s="22" t="s">
        <v>325</v>
      </c>
      <c r="F223" s="27">
        <v>68</v>
      </c>
      <c r="G223" t="b">
        <f t="shared" si="18"/>
        <v>1</v>
      </c>
      <c r="J223" s="24">
        <f t="shared" si="19"/>
        <v>-115</v>
      </c>
      <c r="K223" s="4">
        <f t="shared" si="20"/>
        <v>-0.62841530054644812</v>
      </c>
      <c r="M223" s="119">
        <v>537.1</v>
      </c>
      <c r="N223" s="119">
        <v>228.48</v>
      </c>
      <c r="Q223" s="119">
        <v>688.07</v>
      </c>
      <c r="U223" s="141">
        <f t="shared" si="21"/>
        <v>-308.62</v>
      </c>
      <c r="V223" s="4">
        <f t="shared" si="22"/>
        <v>-0.57460435673059029</v>
      </c>
      <c r="W223" s="17">
        <v>2275.73</v>
      </c>
      <c r="X223" s="17">
        <v>970.9</v>
      </c>
      <c r="Y223" s="4">
        <f t="shared" si="23"/>
        <v>-0.57336766663883676</v>
      </c>
      <c r="Z223" s="4"/>
    </row>
    <row r="224" spans="1:26" ht="15" customHeight="1">
      <c r="A224" s="167" t="s">
        <v>606</v>
      </c>
      <c r="B224" s="26" t="s">
        <v>607</v>
      </c>
      <c r="C224" s="27">
        <v>404</v>
      </c>
      <c r="E224" s="26" t="s">
        <v>607</v>
      </c>
      <c r="F224" s="27">
        <v>298</v>
      </c>
      <c r="G224" t="b">
        <f t="shared" si="18"/>
        <v>1</v>
      </c>
      <c r="J224" s="24">
        <f t="shared" si="19"/>
        <v>-106</v>
      </c>
      <c r="K224" s="4">
        <f t="shared" si="20"/>
        <v>-0.26237623762376239</v>
      </c>
      <c r="M224" s="118">
        <v>1249.96</v>
      </c>
      <c r="N224" s="118">
        <v>1594.71</v>
      </c>
      <c r="Q224" s="118">
        <v>9166.81</v>
      </c>
      <c r="U224" s="141">
        <f t="shared" si="21"/>
        <v>344.75</v>
      </c>
      <c r="V224" s="4">
        <f t="shared" si="22"/>
        <v>0.27580882588242828</v>
      </c>
      <c r="W224" s="17">
        <v>9808.76</v>
      </c>
      <c r="X224" s="17">
        <v>8936.1200000000008</v>
      </c>
      <c r="Y224" s="4">
        <f t="shared" si="23"/>
        <v>-8.8965373808717829E-2</v>
      </c>
      <c r="Z224" s="4"/>
    </row>
    <row r="225" spans="1:26" ht="15" customHeight="1">
      <c r="A225" s="123" t="s">
        <v>226</v>
      </c>
      <c r="B225" s="35" t="s">
        <v>227</v>
      </c>
      <c r="C225" s="27">
        <v>207</v>
      </c>
      <c r="E225" s="35" t="s">
        <v>227</v>
      </c>
      <c r="F225" s="27">
        <v>7</v>
      </c>
      <c r="G225" t="b">
        <f t="shared" si="18"/>
        <v>1</v>
      </c>
      <c r="J225" s="24">
        <f t="shared" si="19"/>
        <v>-200</v>
      </c>
      <c r="K225" s="4">
        <f t="shared" si="20"/>
        <v>-0.96618357487922701</v>
      </c>
      <c r="M225" s="118">
        <v>495.66</v>
      </c>
      <c r="N225" s="118">
        <v>0</v>
      </c>
      <c r="Q225" s="118">
        <v>0</v>
      </c>
      <c r="U225" s="141">
        <f t="shared" si="21"/>
        <v>-495.66</v>
      </c>
      <c r="V225" s="4">
        <f t="shared" si="22"/>
        <v>-1</v>
      </c>
      <c r="W225" s="17">
        <v>4096.72</v>
      </c>
      <c r="X225" s="17">
        <v>139.93</v>
      </c>
      <c r="Y225" s="4">
        <f t="shared" si="23"/>
        <v>-0.96584340643246303</v>
      </c>
      <c r="Z225" s="4"/>
    </row>
    <row r="226" spans="1:26" ht="15" customHeight="1">
      <c r="A226" t="s">
        <v>630</v>
      </c>
      <c r="B226" t="s">
        <v>631</v>
      </c>
      <c r="C226" s="27">
        <v>2119</v>
      </c>
      <c r="E226" t="s">
        <v>631</v>
      </c>
      <c r="F226" s="27">
        <v>1824</v>
      </c>
      <c r="G226" t="b">
        <f t="shared" si="18"/>
        <v>1</v>
      </c>
      <c r="J226" s="24">
        <f t="shared" si="19"/>
        <v>-295</v>
      </c>
      <c r="K226" s="4">
        <f t="shared" si="20"/>
        <v>-0.1392166116092497</v>
      </c>
      <c r="M226" s="119">
        <v>3112.92</v>
      </c>
      <c r="N226" s="119">
        <v>2658.01</v>
      </c>
      <c r="Q226" s="119">
        <v>18740.990000000002</v>
      </c>
      <c r="U226" s="141">
        <f t="shared" si="21"/>
        <v>-454.90999999999985</v>
      </c>
      <c r="V226" s="4">
        <f t="shared" si="22"/>
        <v>-0.14613610372254981</v>
      </c>
      <c r="W226" s="17">
        <v>63416.4</v>
      </c>
      <c r="X226" s="17">
        <v>54527.01</v>
      </c>
      <c r="Y226" s="4">
        <f t="shared" si="23"/>
        <v>-0.14017493897477618</v>
      </c>
      <c r="Z226" s="4"/>
    </row>
    <row r="227" spans="1:26" ht="15" customHeight="1">
      <c r="A227" t="s">
        <v>144</v>
      </c>
      <c r="B227" t="s">
        <v>145</v>
      </c>
      <c r="C227" s="27">
        <v>1639</v>
      </c>
      <c r="E227" t="s">
        <v>145</v>
      </c>
      <c r="F227" s="27">
        <v>1612</v>
      </c>
      <c r="G227" t="b">
        <f t="shared" si="18"/>
        <v>1</v>
      </c>
      <c r="J227" s="24">
        <f t="shared" si="19"/>
        <v>-27</v>
      </c>
      <c r="K227" s="4">
        <f t="shared" si="20"/>
        <v>-1.6473459426479597E-2</v>
      </c>
      <c r="M227" s="119">
        <v>1822.38</v>
      </c>
      <c r="N227" s="119">
        <v>2114.16</v>
      </c>
      <c r="Q227" s="119">
        <v>15564.91</v>
      </c>
      <c r="U227" s="141">
        <f t="shared" si="21"/>
        <v>291.77999999999975</v>
      </c>
      <c r="V227" s="4">
        <f t="shared" si="22"/>
        <v>0.16010930760873121</v>
      </c>
      <c r="W227" s="17">
        <v>57158.6</v>
      </c>
      <c r="X227" s="17">
        <v>56247.23</v>
      </c>
      <c r="Y227" s="4">
        <f t="shared" si="23"/>
        <v>-1.5944582267585217E-2</v>
      </c>
      <c r="Z227" s="4"/>
    </row>
    <row r="228" spans="1:26" ht="15" customHeight="1">
      <c r="A228" s="23" t="s">
        <v>682</v>
      </c>
      <c r="B228" s="22" t="s">
        <v>683</v>
      </c>
      <c r="C228" s="27">
        <v>517</v>
      </c>
      <c r="E228" s="22" t="s">
        <v>683</v>
      </c>
      <c r="F228" s="27">
        <v>559</v>
      </c>
      <c r="G228" t="b">
        <f t="shared" si="18"/>
        <v>1</v>
      </c>
      <c r="J228" s="24">
        <f t="shared" si="19"/>
        <v>42</v>
      </c>
      <c r="K228" s="4">
        <f t="shared" si="20"/>
        <v>8.1237911025145104E-2</v>
      </c>
      <c r="M228" s="119">
        <v>1408.4</v>
      </c>
      <c r="N228" s="119">
        <v>923.12</v>
      </c>
      <c r="Q228" s="119">
        <v>7279.03</v>
      </c>
      <c r="U228" s="141">
        <f t="shared" si="21"/>
        <v>-485.28000000000009</v>
      </c>
      <c r="V228" s="4">
        <f t="shared" si="22"/>
        <v>-0.34456120420335135</v>
      </c>
      <c r="W228" s="17">
        <v>15504.03</v>
      </c>
      <c r="X228" s="17">
        <v>16763.41</v>
      </c>
      <c r="Y228" s="4">
        <f t="shared" si="23"/>
        <v>8.1229202987868288E-2</v>
      </c>
      <c r="Z228" s="4"/>
    </row>
    <row r="229" spans="1:26" ht="15" customHeight="1">
      <c r="A229" t="s">
        <v>454</v>
      </c>
      <c r="B229" t="s">
        <v>455</v>
      </c>
      <c r="C229" s="27">
        <v>256</v>
      </c>
      <c r="E229" t="s">
        <v>455</v>
      </c>
      <c r="F229" s="27">
        <v>258</v>
      </c>
      <c r="G229" t="b">
        <f t="shared" si="18"/>
        <v>1</v>
      </c>
      <c r="J229" s="24">
        <f t="shared" si="19"/>
        <v>2</v>
      </c>
      <c r="K229" s="4">
        <f t="shared" si="20"/>
        <v>7.8125E-3</v>
      </c>
      <c r="M229" s="119">
        <v>0</v>
      </c>
      <c r="N229" s="119">
        <v>0</v>
      </c>
      <c r="Q229" s="119">
        <v>0</v>
      </c>
      <c r="U229" s="141">
        <f t="shared" si="21"/>
        <v>0</v>
      </c>
      <c r="V229" s="4">
        <f t="shared" si="22"/>
        <v>0</v>
      </c>
      <c r="W229" s="17">
        <v>7402.3</v>
      </c>
      <c r="X229" s="17">
        <v>7458.06</v>
      </c>
      <c r="Y229" s="4">
        <f t="shared" si="23"/>
        <v>7.5327938613674039E-3</v>
      </c>
      <c r="Z229" s="4"/>
    </row>
    <row r="230" spans="1:26" ht="15" customHeight="1">
      <c r="A230" t="s">
        <v>146</v>
      </c>
      <c r="B230" t="s">
        <v>147</v>
      </c>
      <c r="C230" s="27">
        <v>2921</v>
      </c>
      <c r="E230" t="s">
        <v>147</v>
      </c>
      <c r="F230" s="27">
        <v>2452</v>
      </c>
      <c r="G230" t="b">
        <f t="shared" si="18"/>
        <v>1</v>
      </c>
      <c r="J230" s="24">
        <f t="shared" si="19"/>
        <v>-469</v>
      </c>
      <c r="K230" s="4">
        <f t="shared" si="20"/>
        <v>-0.16056145155768575</v>
      </c>
      <c r="M230" s="119">
        <v>3789.33</v>
      </c>
      <c r="N230" s="119">
        <v>2771.71</v>
      </c>
      <c r="Q230" s="119">
        <v>22444.98</v>
      </c>
      <c r="U230" s="141">
        <f t="shared" si="21"/>
        <v>-1017.6199999999999</v>
      </c>
      <c r="V230" s="4">
        <f t="shared" si="22"/>
        <v>-0.26854879358620121</v>
      </c>
      <c r="W230" s="17">
        <v>87337</v>
      </c>
      <c r="X230" s="17">
        <v>73200.39</v>
      </c>
      <c r="Y230" s="4">
        <f t="shared" si="23"/>
        <v>-0.16186278438691504</v>
      </c>
      <c r="Z230" s="4"/>
    </row>
    <row r="231" spans="1:26" ht="15" customHeight="1">
      <c r="A231" t="s">
        <v>300</v>
      </c>
      <c r="B231" t="s">
        <v>301</v>
      </c>
      <c r="C231" s="27">
        <v>300</v>
      </c>
      <c r="E231" t="s">
        <v>301</v>
      </c>
      <c r="F231" s="27">
        <v>231</v>
      </c>
      <c r="G231" t="b">
        <f t="shared" si="18"/>
        <v>1</v>
      </c>
      <c r="J231" s="24">
        <f t="shared" si="19"/>
        <v>-69</v>
      </c>
      <c r="K231" s="4">
        <f t="shared" si="20"/>
        <v>-0.22999999999999998</v>
      </c>
      <c r="M231" s="119">
        <v>252.25</v>
      </c>
      <c r="N231" s="119">
        <v>238.95</v>
      </c>
      <c r="Q231" s="119">
        <v>1980.67</v>
      </c>
      <c r="U231" s="141">
        <f t="shared" si="21"/>
        <v>-13.300000000000011</v>
      </c>
      <c r="V231" s="4">
        <f t="shared" si="22"/>
        <v>-5.2725470763131832E-2</v>
      </c>
      <c r="W231" s="17">
        <v>6594.76</v>
      </c>
      <c r="X231" s="17">
        <v>5079.0099999999993</v>
      </c>
      <c r="Y231" s="4">
        <f t="shared" si="23"/>
        <v>-0.22984157118682114</v>
      </c>
      <c r="Z231" s="4"/>
    </row>
    <row r="232" spans="1:26" ht="15" customHeight="1">
      <c r="A232" t="s">
        <v>180</v>
      </c>
      <c r="B232" t="s">
        <v>181</v>
      </c>
      <c r="C232" s="27">
        <v>220</v>
      </c>
      <c r="E232" t="s">
        <v>181</v>
      </c>
      <c r="F232" s="27">
        <v>233</v>
      </c>
      <c r="G232" t="b">
        <f t="shared" si="18"/>
        <v>1</v>
      </c>
      <c r="J232" s="24">
        <f t="shared" si="19"/>
        <v>13</v>
      </c>
      <c r="K232" s="4">
        <f t="shared" si="20"/>
        <v>5.9090909090909083E-2</v>
      </c>
      <c r="M232" s="119">
        <v>0</v>
      </c>
      <c r="N232" s="119">
        <v>0</v>
      </c>
      <c r="Q232" s="119">
        <v>0</v>
      </c>
      <c r="U232" s="141">
        <f t="shared" si="21"/>
        <v>0</v>
      </c>
      <c r="V232" s="4">
        <f t="shared" si="22"/>
        <v>0</v>
      </c>
      <c r="W232" s="17">
        <v>4790.96</v>
      </c>
      <c r="X232" s="17">
        <v>4648.99</v>
      </c>
      <c r="Y232" s="4">
        <f t="shared" si="23"/>
        <v>-2.9632891946499318E-2</v>
      </c>
      <c r="Z232" s="4"/>
    </row>
    <row r="233" spans="1:26" ht="15" customHeight="1">
      <c r="A233" t="s">
        <v>598</v>
      </c>
      <c r="B233" t="s">
        <v>599</v>
      </c>
      <c r="C233" s="27">
        <v>1053</v>
      </c>
      <c r="E233" t="s">
        <v>599</v>
      </c>
      <c r="F233" s="27">
        <v>953</v>
      </c>
      <c r="G233" t="b">
        <f t="shared" si="18"/>
        <v>1</v>
      </c>
      <c r="J233" s="24">
        <f t="shared" si="19"/>
        <v>-100</v>
      </c>
      <c r="K233" s="4">
        <f t="shared" si="20"/>
        <v>-9.496676163342832E-2</v>
      </c>
      <c r="M233" s="119">
        <v>2668.93</v>
      </c>
      <c r="N233" s="119">
        <v>2259.13</v>
      </c>
      <c r="Q233" s="119">
        <v>10615.49</v>
      </c>
      <c r="U233" s="141">
        <f t="shared" si="21"/>
        <v>-409.79999999999973</v>
      </c>
      <c r="V233" s="4">
        <f t="shared" si="22"/>
        <v>-0.15354467895373791</v>
      </c>
      <c r="W233" s="17">
        <v>21044.35</v>
      </c>
      <c r="X233" s="17">
        <v>19041.13</v>
      </c>
      <c r="Y233" s="4">
        <f t="shared" si="23"/>
        <v>-9.5190395521838278E-2</v>
      </c>
      <c r="Z233" s="4"/>
    </row>
    <row r="234" spans="1:26" ht="15" customHeight="1">
      <c r="A234" t="s">
        <v>150</v>
      </c>
      <c r="B234" t="s">
        <v>151</v>
      </c>
      <c r="C234" s="27">
        <v>317</v>
      </c>
      <c r="E234" t="s">
        <v>151</v>
      </c>
      <c r="F234" s="27">
        <v>274</v>
      </c>
      <c r="G234" t="b">
        <f t="shared" si="18"/>
        <v>1</v>
      </c>
      <c r="J234" s="24">
        <f t="shared" si="19"/>
        <v>-43</v>
      </c>
      <c r="K234" s="4">
        <f t="shared" si="20"/>
        <v>-0.13564668769716093</v>
      </c>
      <c r="M234" s="119">
        <v>447.9</v>
      </c>
      <c r="N234" s="119">
        <v>566.91</v>
      </c>
      <c r="Q234" s="119">
        <v>4255.12</v>
      </c>
      <c r="U234" s="141">
        <f t="shared" si="21"/>
        <v>119.00999999999999</v>
      </c>
      <c r="V234" s="4">
        <f t="shared" si="22"/>
        <v>0.26570663094440716</v>
      </c>
      <c r="W234" s="17">
        <v>11083.699999999999</v>
      </c>
      <c r="X234" s="17">
        <v>9584.6200000000008</v>
      </c>
      <c r="Y234" s="4">
        <f t="shared" si="23"/>
        <v>-0.13525086388119478</v>
      </c>
      <c r="Z234" s="4"/>
    </row>
    <row r="235" spans="1:26" ht="15" customHeight="1">
      <c r="A235" t="s">
        <v>78</v>
      </c>
      <c r="B235" t="s">
        <v>79</v>
      </c>
      <c r="C235" s="27">
        <v>135</v>
      </c>
      <c r="E235" t="s">
        <v>79</v>
      </c>
      <c r="F235" s="27">
        <v>462</v>
      </c>
      <c r="G235" t="b">
        <f t="shared" si="18"/>
        <v>1</v>
      </c>
      <c r="J235" s="24">
        <f t="shared" si="19"/>
        <v>327</v>
      </c>
      <c r="K235" s="4">
        <f t="shared" si="20"/>
        <v>2.4222222222222221</v>
      </c>
      <c r="M235" s="119">
        <v>0</v>
      </c>
      <c r="N235" s="119">
        <v>0</v>
      </c>
      <c r="Q235" s="119">
        <v>0</v>
      </c>
      <c r="U235" s="141">
        <f t="shared" si="21"/>
        <v>0</v>
      </c>
      <c r="V235" s="4">
        <f t="shared" si="22"/>
        <v>0</v>
      </c>
      <c r="W235" s="17">
        <v>2698.25</v>
      </c>
      <c r="X235" s="17">
        <v>8485.7800000000007</v>
      </c>
      <c r="Y235" s="4">
        <f t="shared" si="23"/>
        <v>2.1449198554618736</v>
      </c>
      <c r="Z235" s="4"/>
    </row>
    <row r="236" spans="1:26" ht="15" customHeight="1">
      <c r="A236" t="s">
        <v>434</v>
      </c>
      <c r="B236" t="s">
        <v>435</v>
      </c>
      <c r="C236" s="27">
        <v>756</v>
      </c>
      <c r="E236" t="s">
        <v>435</v>
      </c>
      <c r="F236" s="27">
        <v>827</v>
      </c>
      <c r="G236" t="b">
        <f t="shared" si="18"/>
        <v>1</v>
      </c>
      <c r="J236" s="24">
        <f t="shared" si="19"/>
        <v>71</v>
      </c>
      <c r="K236" s="4">
        <f t="shared" si="20"/>
        <v>9.3915343915343952E-2</v>
      </c>
      <c r="M236" s="119">
        <v>379.93</v>
      </c>
      <c r="N236" s="119">
        <v>379.09</v>
      </c>
      <c r="Q236" s="119">
        <v>2846.26</v>
      </c>
      <c r="U236" s="141">
        <f t="shared" si="21"/>
        <v>-0.84000000000003183</v>
      </c>
      <c r="V236" s="4">
        <f t="shared" si="22"/>
        <v>-2.2109335930303731E-3</v>
      </c>
      <c r="W236" s="17">
        <v>20369.88</v>
      </c>
      <c r="X236" s="17">
        <v>20877.349999999999</v>
      </c>
      <c r="Y236" s="4">
        <f t="shared" si="23"/>
        <v>2.4912763354521417E-2</v>
      </c>
      <c r="Z236" s="4"/>
    </row>
    <row r="237" spans="1:26" ht="15" customHeight="1">
      <c r="A237" t="s">
        <v>628</v>
      </c>
      <c r="B237" t="s">
        <v>629</v>
      </c>
      <c r="C237" s="27">
        <v>853</v>
      </c>
      <c r="E237" t="s">
        <v>629</v>
      </c>
      <c r="F237" s="27">
        <v>777</v>
      </c>
      <c r="G237" t="b">
        <f t="shared" si="18"/>
        <v>1</v>
      </c>
      <c r="J237" s="24">
        <f t="shared" si="19"/>
        <v>-76</v>
      </c>
      <c r="K237" s="4">
        <f t="shared" si="20"/>
        <v>-8.9097303634232072E-2</v>
      </c>
      <c r="M237" s="119">
        <v>900.99</v>
      </c>
      <c r="N237" s="119">
        <v>977.81</v>
      </c>
      <c r="Q237" s="119">
        <v>6499.55</v>
      </c>
      <c r="U237" s="141">
        <f t="shared" si="21"/>
        <v>76.819999999999936</v>
      </c>
      <c r="V237" s="4">
        <f t="shared" si="22"/>
        <v>8.5261767611183092E-2</v>
      </c>
      <c r="W237" s="17">
        <v>18732.62</v>
      </c>
      <c r="X237" s="17">
        <v>17039.16</v>
      </c>
      <c r="Y237" s="4">
        <f t="shared" si="23"/>
        <v>-9.0401662981472897E-2</v>
      </c>
      <c r="Z237" s="4"/>
    </row>
    <row r="238" spans="1:26" ht="15" customHeight="1">
      <c r="A238" s="123" t="s">
        <v>216</v>
      </c>
      <c r="B238" s="35" t="s">
        <v>217</v>
      </c>
      <c r="C238" s="27">
        <v>147</v>
      </c>
      <c r="E238" s="35" t="s">
        <v>217</v>
      </c>
      <c r="F238" s="27">
        <v>195</v>
      </c>
      <c r="G238" t="b">
        <f t="shared" si="18"/>
        <v>1</v>
      </c>
      <c r="J238" s="24">
        <f t="shared" si="19"/>
        <v>48</v>
      </c>
      <c r="K238" s="4">
        <f t="shared" si="20"/>
        <v>0.32653061224489788</v>
      </c>
      <c r="M238" s="118">
        <v>819.33</v>
      </c>
      <c r="N238" s="118">
        <v>685.96</v>
      </c>
      <c r="Q238" s="118">
        <v>2415.54</v>
      </c>
      <c r="U238" s="141">
        <f t="shared" si="21"/>
        <v>-133.37</v>
      </c>
      <c r="V238" s="4">
        <f t="shared" si="22"/>
        <v>-0.16277934409822659</v>
      </c>
      <c r="W238" s="17">
        <v>2730.77</v>
      </c>
      <c r="X238" s="17">
        <v>3109.87</v>
      </c>
      <c r="Y238" s="4">
        <f t="shared" si="23"/>
        <v>0.13882531300695411</v>
      </c>
      <c r="Z238" s="4"/>
    </row>
    <row r="239" spans="1:26" ht="15" customHeight="1">
      <c r="A239" t="s">
        <v>394</v>
      </c>
      <c r="B239" t="s">
        <v>395</v>
      </c>
      <c r="C239" s="27">
        <v>201</v>
      </c>
      <c r="E239" t="s">
        <v>395</v>
      </c>
      <c r="F239" s="27">
        <v>238</v>
      </c>
      <c r="G239" t="b">
        <f t="shared" si="18"/>
        <v>1</v>
      </c>
      <c r="J239" s="24">
        <f t="shared" si="19"/>
        <v>37</v>
      </c>
      <c r="K239" s="4">
        <f t="shared" si="20"/>
        <v>0.18407960199004969</v>
      </c>
      <c r="M239" s="119">
        <v>1329.41</v>
      </c>
      <c r="N239" s="119">
        <v>820.32</v>
      </c>
      <c r="Q239" s="119">
        <v>3607.39</v>
      </c>
      <c r="U239" s="141">
        <f t="shared" si="21"/>
        <v>-509.09000000000003</v>
      </c>
      <c r="V239" s="4">
        <f t="shared" si="22"/>
        <v>-0.38294431364289416</v>
      </c>
      <c r="W239" s="17">
        <v>3450.74</v>
      </c>
      <c r="X239" s="17">
        <v>4088.37</v>
      </c>
      <c r="Y239" s="4">
        <f t="shared" si="23"/>
        <v>0.18478065574340574</v>
      </c>
      <c r="Z239" s="4"/>
    </row>
    <row r="240" spans="1:26" ht="13.5" customHeight="1">
      <c r="A240" s="123" t="s">
        <v>550</v>
      </c>
      <c r="B240" s="35" t="s">
        <v>551</v>
      </c>
      <c r="C240" s="27">
        <v>1643</v>
      </c>
      <c r="E240" s="35" t="s">
        <v>551</v>
      </c>
      <c r="F240" s="27">
        <v>1237</v>
      </c>
      <c r="G240" t="b">
        <f t="shared" si="18"/>
        <v>1</v>
      </c>
      <c r="J240" s="24">
        <f t="shared" si="19"/>
        <v>-406</v>
      </c>
      <c r="K240" s="4">
        <f t="shared" si="20"/>
        <v>-0.24710894704808273</v>
      </c>
      <c r="M240" s="118">
        <v>1936.54</v>
      </c>
      <c r="N240" s="118">
        <v>1482.65</v>
      </c>
      <c r="Q240" s="118">
        <v>7282.91</v>
      </c>
      <c r="U240" s="141">
        <f t="shared" si="21"/>
        <v>-453.88999999999987</v>
      </c>
      <c r="V240" s="4">
        <f t="shared" si="22"/>
        <v>-0.23438193892199488</v>
      </c>
      <c r="W240" s="17">
        <v>36298.82</v>
      </c>
      <c r="X240" s="17">
        <v>30834.66</v>
      </c>
      <c r="Y240" s="4">
        <f t="shared" si="23"/>
        <v>-0.15053271704149063</v>
      </c>
      <c r="Z240" s="4"/>
    </row>
    <row r="241" spans="1:26" ht="17.25" customHeight="1">
      <c r="A241" t="s">
        <v>416</v>
      </c>
      <c r="B241" t="s">
        <v>417</v>
      </c>
      <c r="C241" s="27">
        <v>565</v>
      </c>
      <c r="E241" t="s">
        <v>417</v>
      </c>
      <c r="F241" s="27">
        <v>613</v>
      </c>
      <c r="G241" t="b">
        <f t="shared" si="18"/>
        <v>1</v>
      </c>
      <c r="J241" s="24">
        <f t="shared" si="19"/>
        <v>48</v>
      </c>
      <c r="K241" s="4">
        <f t="shared" si="20"/>
        <v>8.4955752212389379E-2</v>
      </c>
      <c r="M241" s="119">
        <v>548.53</v>
      </c>
      <c r="N241" s="119">
        <v>517.65</v>
      </c>
      <c r="Q241" s="119">
        <v>4988.8900000000003</v>
      </c>
      <c r="U241" s="141">
        <f t="shared" si="21"/>
        <v>-30.879999999999995</v>
      </c>
      <c r="V241" s="4">
        <f t="shared" si="22"/>
        <v>-5.6295918181320959E-2</v>
      </c>
      <c r="W241" s="17">
        <v>16907.080000000002</v>
      </c>
      <c r="X241" s="17">
        <v>17364.12</v>
      </c>
      <c r="Y241" s="4">
        <f t="shared" si="23"/>
        <v>2.7032462140121005E-2</v>
      </c>
      <c r="Z241" s="4"/>
    </row>
    <row r="242" spans="1:26" ht="17.25" customHeight="1">
      <c r="A242" t="s">
        <v>268</v>
      </c>
      <c r="B242" t="s">
        <v>269</v>
      </c>
      <c r="C242" s="27">
        <v>839</v>
      </c>
      <c r="E242" t="s">
        <v>269</v>
      </c>
      <c r="F242" s="27">
        <v>572</v>
      </c>
      <c r="G242" t="b">
        <f t="shared" si="18"/>
        <v>1</v>
      </c>
      <c r="J242" s="24">
        <f t="shared" si="19"/>
        <v>-267</v>
      </c>
      <c r="K242" s="4">
        <f t="shared" si="20"/>
        <v>-0.31823599523241952</v>
      </c>
      <c r="M242" s="119">
        <v>1908.02</v>
      </c>
      <c r="N242" s="119">
        <v>1664.36</v>
      </c>
      <c r="Q242" s="119">
        <v>7919.9</v>
      </c>
      <c r="U242" s="141">
        <f t="shared" si="21"/>
        <v>-243.66000000000008</v>
      </c>
      <c r="V242" s="4">
        <f t="shared" si="22"/>
        <v>-0.1277030639091834</v>
      </c>
      <c r="W242" s="17">
        <v>16329.14</v>
      </c>
      <c r="X242" s="17">
        <v>12544.29</v>
      </c>
      <c r="Y242" s="4">
        <f t="shared" si="23"/>
        <v>-0.23178501745958446</v>
      </c>
      <c r="Z242" s="4"/>
    </row>
    <row r="243" spans="1:26" ht="17.25" customHeight="1">
      <c r="A243" t="s">
        <v>504</v>
      </c>
      <c r="B243" t="s">
        <v>505</v>
      </c>
      <c r="C243" s="27">
        <v>440</v>
      </c>
      <c r="E243" t="s">
        <v>505</v>
      </c>
      <c r="F243" s="27">
        <v>489</v>
      </c>
      <c r="G243" t="b">
        <f t="shared" si="18"/>
        <v>1</v>
      </c>
      <c r="J243" s="24">
        <f t="shared" si="19"/>
        <v>49</v>
      </c>
      <c r="K243" s="4">
        <f t="shared" si="20"/>
        <v>0.11136363636363633</v>
      </c>
      <c r="M243" s="119">
        <v>0</v>
      </c>
      <c r="N243" s="119">
        <v>0</v>
      </c>
      <c r="Q243" s="119">
        <v>0</v>
      </c>
      <c r="U243" s="141">
        <f t="shared" si="21"/>
        <v>0</v>
      </c>
      <c r="V243" s="4">
        <f t="shared" si="22"/>
        <v>0</v>
      </c>
      <c r="W243" s="17">
        <v>8749.25</v>
      </c>
      <c r="X243" s="17">
        <v>9173.08</v>
      </c>
      <c r="Y243" s="4">
        <f t="shared" si="23"/>
        <v>4.844186644569537E-2</v>
      </c>
      <c r="Z243" s="4"/>
    </row>
    <row r="244" spans="1:26" ht="17.25" customHeight="1">
      <c r="A244" t="s">
        <v>304</v>
      </c>
      <c r="B244" t="s">
        <v>305</v>
      </c>
      <c r="C244" s="27">
        <v>659</v>
      </c>
      <c r="E244" t="s">
        <v>305</v>
      </c>
      <c r="F244" s="27">
        <v>578</v>
      </c>
      <c r="G244" t="b">
        <f t="shared" si="18"/>
        <v>1</v>
      </c>
      <c r="J244" s="24">
        <f t="shared" si="19"/>
        <v>-81</v>
      </c>
      <c r="K244" s="4">
        <f t="shared" si="20"/>
        <v>-0.12291350531107736</v>
      </c>
      <c r="M244" s="119">
        <v>900.89</v>
      </c>
      <c r="N244" s="119">
        <v>744.38</v>
      </c>
      <c r="Q244" s="119">
        <v>6329.7</v>
      </c>
      <c r="U244" s="141">
        <f t="shared" si="21"/>
        <v>-156.51</v>
      </c>
      <c r="V244" s="4">
        <f t="shared" si="22"/>
        <v>-0.17372820211124551</v>
      </c>
      <c r="W244" s="17">
        <v>18949.45</v>
      </c>
      <c r="X244" s="17">
        <v>17072.52</v>
      </c>
      <c r="Y244" s="4">
        <f t="shared" si="23"/>
        <v>-9.9049312776887999E-2</v>
      </c>
      <c r="Z244" s="4"/>
    </row>
    <row r="245" spans="1:26" ht="17.25" customHeight="1">
      <c r="A245" t="s">
        <v>114</v>
      </c>
      <c r="B245" t="s">
        <v>115</v>
      </c>
      <c r="C245" s="27">
        <v>605</v>
      </c>
      <c r="E245" t="s">
        <v>115</v>
      </c>
      <c r="F245" s="27">
        <v>534</v>
      </c>
      <c r="G245" t="b">
        <f t="shared" si="18"/>
        <v>1</v>
      </c>
      <c r="J245" s="24">
        <f t="shared" si="19"/>
        <v>-71</v>
      </c>
      <c r="K245" s="4">
        <f t="shared" si="20"/>
        <v>-0.11735537190082646</v>
      </c>
      <c r="M245" s="119">
        <v>1006.68</v>
      </c>
      <c r="N245" s="119">
        <v>974.94</v>
      </c>
      <c r="Q245" s="119">
        <v>5968.98</v>
      </c>
      <c r="U245" s="141">
        <f t="shared" si="21"/>
        <v>-31.739999999999895</v>
      </c>
      <c r="V245" s="4">
        <f t="shared" si="22"/>
        <v>-3.152938371677183E-2</v>
      </c>
      <c r="W245" s="17">
        <v>12062.25</v>
      </c>
      <c r="X245" s="17">
        <v>11362.77</v>
      </c>
      <c r="Y245" s="4">
        <f t="shared" si="23"/>
        <v>-5.7989181122924838E-2</v>
      </c>
      <c r="Z245" s="4"/>
    </row>
    <row r="246" spans="1:26" ht="17.25" customHeight="1">
      <c r="A246" s="38" t="s">
        <v>450</v>
      </c>
      <c r="B246" s="35" t="s">
        <v>451</v>
      </c>
      <c r="C246" s="27">
        <v>1222</v>
      </c>
      <c r="E246" s="35" t="s">
        <v>451</v>
      </c>
      <c r="F246" s="27">
        <v>824</v>
      </c>
      <c r="G246" t="b">
        <f t="shared" si="18"/>
        <v>1</v>
      </c>
      <c r="J246" s="24">
        <f t="shared" si="19"/>
        <v>-398</v>
      </c>
      <c r="K246" s="4">
        <f t="shared" si="20"/>
        <v>-0.32569558101472995</v>
      </c>
      <c r="M246" s="119">
        <v>2328.37</v>
      </c>
      <c r="N246" s="119">
        <v>2010.35</v>
      </c>
      <c r="Q246" s="119">
        <v>10285.459999999999</v>
      </c>
      <c r="U246" s="141">
        <f t="shared" si="21"/>
        <v>-318.02</v>
      </c>
      <c r="V246" s="4">
        <f t="shared" si="22"/>
        <v>-0.13658482114096981</v>
      </c>
      <c r="W246" s="17">
        <v>21545</v>
      </c>
      <c r="X246" s="17">
        <v>16468.759999999998</v>
      </c>
      <c r="Y246" s="4">
        <f t="shared" si="23"/>
        <v>-0.23561104664655375</v>
      </c>
      <c r="Z246" s="4"/>
    </row>
    <row r="247" spans="1:26" ht="13.5" customHeight="1">
      <c r="A247" t="s">
        <v>258</v>
      </c>
      <c r="B247" t="s">
        <v>259</v>
      </c>
      <c r="C247" s="27">
        <v>415</v>
      </c>
      <c r="E247" t="s">
        <v>259</v>
      </c>
      <c r="F247" s="27">
        <v>216</v>
      </c>
      <c r="G247" t="b">
        <f t="shared" si="18"/>
        <v>1</v>
      </c>
      <c r="J247" s="24">
        <f t="shared" si="19"/>
        <v>-199</v>
      </c>
      <c r="K247" s="4">
        <f t="shared" si="20"/>
        <v>-0.47951807228915666</v>
      </c>
      <c r="M247" s="119">
        <v>1140.8699999999999</v>
      </c>
      <c r="N247" s="119">
        <v>693.95</v>
      </c>
      <c r="Q247" s="119">
        <v>3484.14</v>
      </c>
      <c r="U247" s="141">
        <f t="shared" si="21"/>
        <v>-446.91999999999985</v>
      </c>
      <c r="V247" s="4">
        <f t="shared" si="22"/>
        <v>-0.39173613119812067</v>
      </c>
      <c r="W247" s="17">
        <v>5531.61</v>
      </c>
      <c r="X247" s="17">
        <v>4018.88</v>
      </c>
      <c r="Y247" s="4">
        <f t="shared" si="23"/>
        <v>-0.27347011087187989</v>
      </c>
      <c r="Z247" s="4"/>
    </row>
    <row r="248" spans="1:26" ht="15" customHeight="1">
      <c r="A248" t="s">
        <v>358</v>
      </c>
      <c r="B248" t="s">
        <v>359</v>
      </c>
      <c r="C248" s="27">
        <v>318</v>
      </c>
      <c r="E248" t="s">
        <v>359</v>
      </c>
      <c r="F248" s="27">
        <v>314</v>
      </c>
      <c r="G248" t="b">
        <f t="shared" si="18"/>
        <v>1</v>
      </c>
      <c r="J248" s="24">
        <f t="shared" si="19"/>
        <v>-4</v>
      </c>
      <c r="K248" s="4">
        <f t="shared" si="20"/>
        <v>-1.2578616352201255E-2</v>
      </c>
      <c r="M248" s="119">
        <v>288.39999999999998</v>
      </c>
      <c r="N248" s="119">
        <v>271.59000000000003</v>
      </c>
      <c r="Q248" s="119">
        <v>1908.06</v>
      </c>
      <c r="U248" s="141">
        <f t="shared" si="21"/>
        <v>-16.809999999999945</v>
      </c>
      <c r="V248" s="4">
        <f t="shared" si="22"/>
        <v>-5.8287101248266082E-2</v>
      </c>
      <c r="W248" s="17">
        <v>7626.58</v>
      </c>
      <c r="X248" s="17">
        <v>7215.3</v>
      </c>
      <c r="Y248" s="4">
        <f t="shared" si="23"/>
        <v>-5.3927186235507851E-2</v>
      </c>
      <c r="Z248" s="4"/>
    </row>
    <row r="249" spans="1:26" ht="15" customHeight="1">
      <c r="A249" s="38" t="s">
        <v>774</v>
      </c>
      <c r="B249" s="35" t="s">
        <v>775</v>
      </c>
      <c r="C249" s="27">
        <v>1243</v>
      </c>
      <c r="E249" s="35" t="s">
        <v>775</v>
      </c>
      <c r="F249" s="27">
        <v>927</v>
      </c>
      <c r="G249" t="b">
        <f t="shared" si="18"/>
        <v>1</v>
      </c>
      <c r="J249" s="24">
        <f t="shared" si="19"/>
        <v>-316</v>
      </c>
      <c r="K249" s="4">
        <f t="shared" si="20"/>
        <v>-0.2542236524537409</v>
      </c>
      <c r="M249" s="119">
        <v>2364.02</v>
      </c>
      <c r="N249" s="119">
        <v>1849.78</v>
      </c>
      <c r="Q249" s="119">
        <v>7533.79</v>
      </c>
      <c r="U249" s="141">
        <f t="shared" si="21"/>
        <v>-514.24</v>
      </c>
      <c r="V249" s="4">
        <f t="shared" si="22"/>
        <v>-0.21752777049263539</v>
      </c>
      <c r="W249" s="17">
        <v>18632.150000000001</v>
      </c>
      <c r="X249" s="17">
        <v>15007.34</v>
      </c>
      <c r="Y249" s="4">
        <f t="shared" si="23"/>
        <v>-0.19454598637301657</v>
      </c>
      <c r="Z249" s="4"/>
    </row>
    <row r="250" spans="1:26" ht="15" customHeight="1">
      <c r="A250" t="s">
        <v>462</v>
      </c>
      <c r="B250" t="s">
        <v>463</v>
      </c>
      <c r="C250" s="27">
        <v>1304</v>
      </c>
      <c r="E250" t="s">
        <v>463</v>
      </c>
      <c r="F250" s="27">
        <v>1219</v>
      </c>
      <c r="G250" t="b">
        <f t="shared" si="18"/>
        <v>1</v>
      </c>
      <c r="J250" s="24">
        <f t="shared" si="19"/>
        <v>-85</v>
      </c>
      <c r="K250" s="4">
        <f t="shared" si="20"/>
        <v>-6.5184049079754613E-2</v>
      </c>
      <c r="M250" s="119">
        <v>1183.1099999999999</v>
      </c>
      <c r="N250" s="119">
        <v>1191.68</v>
      </c>
      <c r="Q250" s="119">
        <v>10490.41</v>
      </c>
      <c r="U250" s="141">
        <f t="shared" si="21"/>
        <v>8.5700000000001637</v>
      </c>
      <c r="V250" s="4">
        <f t="shared" si="22"/>
        <v>7.243620626991687E-3</v>
      </c>
      <c r="W250" s="17">
        <v>50752.11</v>
      </c>
      <c r="X250" s="17">
        <v>47423.63</v>
      </c>
      <c r="Y250" s="4">
        <f t="shared" si="23"/>
        <v>-6.5583086102233068E-2</v>
      </c>
      <c r="Z250" s="4"/>
    </row>
    <row r="251" spans="1:26" ht="15" customHeight="1">
      <c r="A251" s="123" t="s">
        <v>626</v>
      </c>
      <c r="B251" s="123" t="s">
        <v>627</v>
      </c>
      <c r="C251" s="27">
        <v>786</v>
      </c>
      <c r="E251" s="123" t="s">
        <v>627</v>
      </c>
      <c r="F251" s="27">
        <v>520</v>
      </c>
      <c r="G251" t="b">
        <f t="shared" si="18"/>
        <v>1</v>
      </c>
      <c r="J251" s="24">
        <f t="shared" si="19"/>
        <v>-266</v>
      </c>
      <c r="K251" s="4">
        <f t="shared" si="20"/>
        <v>-0.33842239185750633</v>
      </c>
      <c r="M251" s="118">
        <v>2089.35</v>
      </c>
      <c r="N251" s="118">
        <v>1943.24</v>
      </c>
      <c r="Q251" s="118">
        <v>12386.58</v>
      </c>
      <c r="U251" s="141">
        <f t="shared" si="21"/>
        <v>-146.1099999999999</v>
      </c>
      <c r="V251" s="4">
        <f t="shared" si="22"/>
        <v>-6.9930839734845707E-2</v>
      </c>
      <c r="W251" s="17">
        <v>24816.82</v>
      </c>
      <c r="X251" s="17">
        <v>17792.84</v>
      </c>
      <c r="Y251" s="4">
        <f t="shared" si="23"/>
        <v>-0.28303303968840487</v>
      </c>
      <c r="Z251" s="4"/>
    </row>
    <row r="252" spans="1:26" ht="15" customHeight="1">
      <c r="A252" s="123" t="s">
        <v>92</v>
      </c>
      <c r="B252" s="123" t="s">
        <v>93</v>
      </c>
      <c r="C252" s="27">
        <v>724</v>
      </c>
      <c r="E252" s="123" t="s">
        <v>93</v>
      </c>
      <c r="F252" s="27">
        <v>619</v>
      </c>
      <c r="G252" t="b">
        <f t="shared" si="18"/>
        <v>1</v>
      </c>
      <c r="J252" s="24">
        <f t="shared" si="19"/>
        <v>-105</v>
      </c>
      <c r="K252" s="4">
        <f t="shared" si="20"/>
        <v>-0.14502762430939231</v>
      </c>
      <c r="M252" s="118">
        <v>2323.0500000000002</v>
      </c>
      <c r="N252" s="118">
        <v>2377.3200000000002</v>
      </c>
      <c r="Q252" s="118">
        <v>12159.55</v>
      </c>
      <c r="U252" s="141">
        <f t="shared" si="21"/>
        <v>54.269999999999982</v>
      </c>
      <c r="V252" s="4">
        <f t="shared" si="22"/>
        <v>2.3361529024342964E-2</v>
      </c>
      <c r="W252" s="17">
        <v>25290.77</v>
      </c>
      <c r="X252" s="17">
        <v>21554.01</v>
      </c>
      <c r="Y252" s="4">
        <f t="shared" si="23"/>
        <v>-0.1477519268887425</v>
      </c>
      <c r="Z252" s="4"/>
    </row>
    <row r="253" spans="1:26" ht="15" customHeight="1">
      <c r="A253" t="s">
        <v>356</v>
      </c>
      <c r="B253" t="s">
        <v>357</v>
      </c>
      <c r="C253" s="27">
        <v>614</v>
      </c>
      <c r="E253" t="s">
        <v>357</v>
      </c>
      <c r="F253" s="27">
        <v>609</v>
      </c>
      <c r="G253" t="b">
        <f t="shared" si="18"/>
        <v>1</v>
      </c>
      <c r="J253" s="24">
        <f t="shared" si="19"/>
        <v>-5</v>
      </c>
      <c r="K253" s="4">
        <f t="shared" si="20"/>
        <v>-8.1433224755700362E-3</v>
      </c>
      <c r="M253" s="119">
        <v>425.77</v>
      </c>
      <c r="N253" s="119">
        <v>395.57</v>
      </c>
      <c r="Q253" s="119">
        <v>2877.83</v>
      </c>
      <c r="U253" s="141">
        <f t="shared" si="21"/>
        <v>-30.199999999999989</v>
      </c>
      <c r="V253" s="4">
        <f t="shared" si="22"/>
        <v>-7.0930314489043411E-2</v>
      </c>
      <c r="W253" s="17">
        <v>14700.74</v>
      </c>
      <c r="X253" s="17">
        <v>14382.49</v>
      </c>
      <c r="Y253" s="4">
        <f t="shared" si="23"/>
        <v>-2.1648570071982731E-2</v>
      </c>
      <c r="Z253" s="4"/>
    </row>
    <row r="254" spans="1:26" ht="15" customHeight="1">
      <c r="A254" s="38" t="s">
        <v>544</v>
      </c>
      <c r="B254" s="35" t="s">
        <v>545</v>
      </c>
      <c r="C254" s="18">
        <v>3670</v>
      </c>
      <c r="E254" s="35" t="s">
        <v>545</v>
      </c>
      <c r="F254" s="18">
        <v>2556</v>
      </c>
      <c r="G254" t="b">
        <f t="shared" si="18"/>
        <v>1</v>
      </c>
      <c r="J254" s="24">
        <f t="shared" si="19"/>
        <v>-1114</v>
      </c>
      <c r="K254" s="4">
        <f t="shared" si="20"/>
        <v>-0.30354223433242511</v>
      </c>
      <c r="M254" s="118">
        <v>8130.56</v>
      </c>
      <c r="N254" s="118">
        <v>5625.16</v>
      </c>
      <c r="Q254" s="118">
        <v>28223.91</v>
      </c>
      <c r="U254" s="141">
        <f t="shared" si="21"/>
        <v>-2505.4000000000005</v>
      </c>
      <c r="V254" s="4">
        <f t="shared" si="22"/>
        <v>-0.30814605636020154</v>
      </c>
      <c r="W254">
        <v>86242.19</v>
      </c>
      <c r="X254">
        <v>64292.04</v>
      </c>
      <c r="Y254" s="4">
        <f t="shared" si="23"/>
        <v>-0.25451753950125799</v>
      </c>
      <c r="Z254" s="4"/>
    </row>
    <row r="255" spans="1:26" ht="15" customHeight="1">
      <c r="A255" t="s">
        <v>322</v>
      </c>
      <c r="B255" t="s">
        <v>323</v>
      </c>
      <c r="C255" s="27">
        <v>407</v>
      </c>
      <c r="E255" t="s">
        <v>323</v>
      </c>
      <c r="F255" s="27">
        <v>347</v>
      </c>
      <c r="G255" t="b">
        <f t="shared" si="18"/>
        <v>1</v>
      </c>
      <c r="J255" s="24">
        <f t="shared" si="19"/>
        <v>-60</v>
      </c>
      <c r="K255" s="4">
        <f t="shared" si="20"/>
        <v>-0.14742014742014742</v>
      </c>
      <c r="M255" s="119">
        <v>919.96</v>
      </c>
      <c r="N255" s="119">
        <v>592.59</v>
      </c>
      <c r="Q255" s="119">
        <v>2748.64</v>
      </c>
      <c r="U255" s="141">
        <f t="shared" si="21"/>
        <v>-327.37</v>
      </c>
      <c r="V255" s="4">
        <f t="shared" si="22"/>
        <v>-0.3558524283664507</v>
      </c>
      <c r="W255" s="17">
        <v>8094.4699999999993</v>
      </c>
      <c r="X255" s="17">
        <v>6929.36</v>
      </c>
      <c r="Y255" s="4">
        <f t="shared" si="23"/>
        <v>-0.14393901021314548</v>
      </c>
      <c r="Z255" s="4"/>
    </row>
    <row r="256" spans="1:26" ht="15" customHeight="1">
      <c r="A256" t="s">
        <v>54</v>
      </c>
      <c r="B256" t="s">
        <v>55</v>
      </c>
      <c r="C256" s="27">
        <v>938</v>
      </c>
      <c r="E256" t="s">
        <v>55</v>
      </c>
      <c r="F256" s="27">
        <v>900</v>
      </c>
      <c r="G256" t="b">
        <f t="shared" si="18"/>
        <v>1</v>
      </c>
      <c r="J256" s="24">
        <f t="shared" si="19"/>
        <v>-38</v>
      </c>
      <c r="K256" s="4">
        <f t="shared" si="20"/>
        <v>-4.051172707889128E-2</v>
      </c>
      <c r="M256" s="119">
        <v>1282.51</v>
      </c>
      <c r="N256" s="119">
        <v>1048.0999999999999</v>
      </c>
      <c r="Q256" s="119">
        <v>8654.73</v>
      </c>
      <c r="U256" s="141">
        <f t="shared" si="21"/>
        <v>-234.41000000000008</v>
      </c>
      <c r="V256" s="4">
        <f t="shared" si="22"/>
        <v>-0.18277440331849271</v>
      </c>
      <c r="W256" s="17">
        <v>16434.11</v>
      </c>
      <c r="X256" s="17">
        <v>16067.48</v>
      </c>
      <c r="Y256" s="4">
        <f t="shared" si="23"/>
        <v>-2.2309087623242241E-2</v>
      </c>
      <c r="Z256" s="4"/>
    </row>
    <row r="257" spans="1:26" ht="15" customHeight="1">
      <c r="A257" t="s">
        <v>460</v>
      </c>
      <c r="B257" t="s">
        <v>461</v>
      </c>
      <c r="C257" s="27">
        <v>574</v>
      </c>
      <c r="E257" t="s">
        <v>461</v>
      </c>
      <c r="F257" s="27">
        <v>423</v>
      </c>
      <c r="G257" t="b">
        <f t="shared" si="18"/>
        <v>1</v>
      </c>
      <c r="J257" s="24">
        <f t="shared" si="19"/>
        <v>-151</v>
      </c>
      <c r="K257" s="4">
        <f t="shared" si="20"/>
        <v>-0.26306620209059228</v>
      </c>
      <c r="M257" s="119">
        <v>428.22</v>
      </c>
      <c r="N257" s="119">
        <v>317.3</v>
      </c>
      <c r="Q257" s="119">
        <v>3094.01</v>
      </c>
      <c r="U257" s="141">
        <f t="shared" si="21"/>
        <v>-110.92000000000002</v>
      </c>
      <c r="V257" s="4">
        <f t="shared" si="22"/>
        <v>-0.25902573443557053</v>
      </c>
      <c r="W257" s="17">
        <v>20209.769999999997</v>
      </c>
      <c r="X257" s="17">
        <v>15639.619999999999</v>
      </c>
      <c r="Y257" s="4">
        <f t="shared" si="23"/>
        <v>-0.22613567596266548</v>
      </c>
      <c r="Z257" s="4"/>
    </row>
    <row r="258" spans="1:26" ht="15" customHeight="1">
      <c r="A258" t="s">
        <v>264</v>
      </c>
      <c r="B258" t="s">
        <v>265</v>
      </c>
      <c r="C258" s="27">
        <v>745</v>
      </c>
      <c r="E258" t="s">
        <v>265</v>
      </c>
      <c r="F258" s="27">
        <v>729</v>
      </c>
      <c r="G258" t="b">
        <f t="shared" ref="G258:G321" si="24">IF(B258=E258,TRUE,FALSE)</f>
        <v>1</v>
      </c>
      <c r="J258" s="24">
        <f t="shared" ref="J258:J321" si="25">F258-C258</f>
        <v>-16</v>
      </c>
      <c r="K258" s="4">
        <f t="shared" ref="K258:K321" si="26">F258/C258-1</f>
        <v>-2.1476510067114041E-2</v>
      </c>
      <c r="M258" s="119">
        <v>478.34</v>
      </c>
      <c r="N258" s="119">
        <v>436.55</v>
      </c>
      <c r="Q258" s="119">
        <v>5283.24</v>
      </c>
      <c r="U258" s="141">
        <f t="shared" ref="U258:U321" si="27">N258-M258</f>
        <v>-41.789999999999964</v>
      </c>
      <c r="V258" s="4">
        <f t="shared" ref="V258:V321" si="28">IF(M258=0,0,N258/M258-1)</f>
        <v>-8.7364636032947196E-2</v>
      </c>
      <c r="W258" s="17">
        <v>22269.3</v>
      </c>
      <c r="X258" s="17">
        <v>21786.74</v>
      </c>
      <c r="Y258" s="4">
        <f t="shared" ref="Y258:Y321" si="29">X258/W258-1</f>
        <v>-2.1669293601505157E-2</v>
      </c>
      <c r="Z258" s="4"/>
    </row>
    <row r="259" spans="1:26" ht="15" customHeight="1">
      <c r="A259" s="38" t="s">
        <v>298</v>
      </c>
      <c r="B259" s="35" t="s">
        <v>299</v>
      </c>
      <c r="C259" s="18">
        <v>198</v>
      </c>
      <c r="E259" s="35" t="s">
        <v>299</v>
      </c>
      <c r="F259" s="18">
        <v>119</v>
      </c>
      <c r="G259" t="b">
        <f t="shared" si="24"/>
        <v>1</v>
      </c>
      <c r="J259" s="24">
        <f t="shared" si="25"/>
        <v>-79</v>
      </c>
      <c r="K259" s="4">
        <f t="shared" si="26"/>
        <v>-0.39898989898989901</v>
      </c>
      <c r="M259" s="118">
        <v>183.48</v>
      </c>
      <c r="N259" s="118">
        <v>93.26</v>
      </c>
      <c r="Q259" s="118">
        <v>1266.8800000000001</v>
      </c>
      <c r="U259" s="141">
        <f t="shared" si="27"/>
        <v>-90.219999999999985</v>
      </c>
      <c r="V259" s="4">
        <f t="shared" si="28"/>
        <v>-0.49171571833442329</v>
      </c>
      <c r="W259">
        <v>4557.7700000000004</v>
      </c>
      <c r="X259">
        <v>2971.6</v>
      </c>
      <c r="Y259" s="4">
        <f t="shared" si="29"/>
        <v>-0.34801448954203484</v>
      </c>
      <c r="Z259" s="4"/>
    </row>
    <row r="260" spans="1:26" ht="15" customHeight="1">
      <c r="A260" t="s">
        <v>148</v>
      </c>
      <c r="B260" t="s">
        <v>149</v>
      </c>
      <c r="C260" s="27">
        <v>514</v>
      </c>
      <c r="E260" t="s">
        <v>149</v>
      </c>
      <c r="F260" s="27">
        <v>419</v>
      </c>
      <c r="G260" t="b">
        <f t="shared" si="24"/>
        <v>1</v>
      </c>
      <c r="J260" s="24">
        <f t="shared" si="25"/>
        <v>-95</v>
      </c>
      <c r="K260" s="4">
        <f t="shared" si="26"/>
        <v>-0.18482490272373542</v>
      </c>
      <c r="M260" s="119">
        <v>1372.79</v>
      </c>
      <c r="N260" s="119">
        <v>922.62</v>
      </c>
      <c r="Q260" s="119">
        <v>4666.38</v>
      </c>
      <c r="U260" s="141">
        <f t="shared" si="27"/>
        <v>-450.16999999999996</v>
      </c>
      <c r="V260" s="4">
        <f t="shared" si="28"/>
        <v>-0.3279234260156324</v>
      </c>
      <c r="W260" s="17">
        <v>7015.88</v>
      </c>
      <c r="X260" s="17">
        <v>6363.23</v>
      </c>
      <c r="Y260" s="4">
        <f t="shared" si="29"/>
        <v>-9.3024681151901212E-2</v>
      </c>
      <c r="Z260" s="4"/>
    </row>
    <row r="261" spans="1:26" ht="15" customHeight="1">
      <c r="A261" s="123" t="s">
        <v>418</v>
      </c>
      <c r="B261" s="123" t="s">
        <v>419</v>
      </c>
      <c r="C261" s="27">
        <v>241</v>
      </c>
      <c r="E261" s="123" t="s">
        <v>419</v>
      </c>
      <c r="F261" s="27">
        <v>403</v>
      </c>
      <c r="G261" t="b">
        <f t="shared" si="24"/>
        <v>1</v>
      </c>
      <c r="J261" s="24">
        <f t="shared" si="25"/>
        <v>162</v>
      </c>
      <c r="K261" s="4">
        <f t="shared" si="26"/>
        <v>0.67219917012448138</v>
      </c>
      <c r="M261" s="118">
        <v>1187.4000000000001</v>
      </c>
      <c r="N261" s="118">
        <v>1301.5899999999999</v>
      </c>
      <c r="Q261" s="118">
        <v>8930.44</v>
      </c>
      <c r="U261" s="141">
        <f t="shared" si="27"/>
        <v>114.18999999999983</v>
      </c>
      <c r="V261" s="4">
        <f t="shared" si="28"/>
        <v>9.6168098366178123E-2</v>
      </c>
      <c r="W261" s="17">
        <v>8728.4</v>
      </c>
      <c r="X261" s="17">
        <v>12081.19</v>
      </c>
      <c r="Y261" s="4">
        <f t="shared" si="29"/>
        <v>0.38412423811924312</v>
      </c>
      <c r="Z261" s="4"/>
    </row>
    <row r="262" spans="1:26" ht="15" customHeight="1">
      <c r="A262" t="s">
        <v>210</v>
      </c>
      <c r="B262" t="s">
        <v>211</v>
      </c>
      <c r="C262" s="27">
        <v>3649</v>
      </c>
      <c r="E262" t="s">
        <v>211</v>
      </c>
      <c r="F262" s="27">
        <v>3405</v>
      </c>
      <c r="G262" t="b">
        <f t="shared" si="24"/>
        <v>1</v>
      </c>
      <c r="J262" s="24">
        <f t="shared" si="25"/>
        <v>-244</v>
      </c>
      <c r="K262" s="4">
        <f t="shared" si="26"/>
        <v>-6.6867634968484468E-2</v>
      </c>
      <c r="M262" s="119">
        <v>8771.57</v>
      </c>
      <c r="N262" s="119">
        <v>7688.7</v>
      </c>
      <c r="Q262" s="119">
        <v>27779.68</v>
      </c>
      <c r="U262" s="141">
        <f t="shared" si="27"/>
        <v>-1082.8699999999999</v>
      </c>
      <c r="V262" s="4">
        <f t="shared" si="28"/>
        <v>-0.12345224401104937</v>
      </c>
      <c r="W262" s="17">
        <v>79988.91</v>
      </c>
      <c r="X262" s="17">
        <v>74657.95</v>
      </c>
      <c r="Y262" s="4">
        <f t="shared" si="29"/>
        <v>-6.664623883485854E-2</v>
      </c>
      <c r="Z262" s="4"/>
    </row>
    <row r="263" spans="1:26" ht="15" customHeight="1">
      <c r="A263" s="38" t="s">
        <v>138</v>
      </c>
      <c r="B263" s="35" t="s">
        <v>139</v>
      </c>
      <c r="C263" s="27">
        <v>2135</v>
      </c>
      <c r="E263" s="35" t="s">
        <v>139</v>
      </c>
      <c r="F263" s="27">
        <v>1591</v>
      </c>
      <c r="G263" t="b">
        <f t="shared" si="24"/>
        <v>1</v>
      </c>
      <c r="J263" s="24">
        <f t="shared" si="25"/>
        <v>-544</v>
      </c>
      <c r="K263" s="4">
        <f t="shared" si="26"/>
        <v>-0.25480093676814985</v>
      </c>
      <c r="M263" s="118">
        <v>4817.54</v>
      </c>
      <c r="N263" s="118">
        <v>3669.67</v>
      </c>
      <c r="Q263" s="118">
        <v>18797.490000000002</v>
      </c>
      <c r="U263" s="141">
        <f t="shared" si="27"/>
        <v>-1147.8699999999999</v>
      </c>
      <c r="V263" s="4">
        <f t="shared" si="28"/>
        <v>-0.23826890902825926</v>
      </c>
      <c r="W263" s="17">
        <v>55983.47</v>
      </c>
      <c r="X263" s="17">
        <v>47540.45</v>
      </c>
      <c r="Y263" s="4">
        <f t="shared" si="29"/>
        <v>-0.15081273097219594</v>
      </c>
      <c r="Z263" s="4"/>
    </row>
    <row r="264" spans="1:26" ht="15" customHeight="1">
      <c r="A264" t="s">
        <v>272</v>
      </c>
      <c r="B264" t="s">
        <v>273</v>
      </c>
      <c r="C264" s="27">
        <v>354</v>
      </c>
      <c r="E264" t="s">
        <v>273</v>
      </c>
      <c r="F264" s="27">
        <v>312</v>
      </c>
      <c r="G264" t="b">
        <f t="shared" si="24"/>
        <v>1</v>
      </c>
      <c r="J264" s="24">
        <f t="shared" si="25"/>
        <v>-42</v>
      </c>
      <c r="K264" s="4">
        <f t="shared" si="26"/>
        <v>-0.11864406779661019</v>
      </c>
      <c r="M264" s="119">
        <v>1235.8499999999999</v>
      </c>
      <c r="N264" s="119">
        <v>829.78</v>
      </c>
      <c r="Q264" s="119">
        <v>4727.82</v>
      </c>
      <c r="U264" s="141">
        <f t="shared" si="27"/>
        <v>-406.06999999999994</v>
      </c>
      <c r="V264" s="4">
        <f t="shared" si="28"/>
        <v>-0.32857547436986689</v>
      </c>
      <c r="W264" s="17">
        <v>9468.94</v>
      </c>
      <c r="X264" s="17">
        <v>8380.3700000000008</v>
      </c>
      <c r="Y264" s="4">
        <f t="shared" si="29"/>
        <v>-0.11496218161694971</v>
      </c>
      <c r="Z264" s="4"/>
    </row>
    <row r="265" spans="1:26" ht="15" customHeight="1">
      <c r="A265" s="123" t="s">
        <v>560</v>
      </c>
      <c r="B265" s="35" t="s">
        <v>561</v>
      </c>
      <c r="C265" s="27">
        <v>1274</v>
      </c>
      <c r="E265" s="35" t="s">
        <v>561</v>
      </c>
      <c r="F265" s="27">
        <v>1420</v>
      </c>
      <c r="G265" t="b">
        <f t="shared" si="24"/>
        <v>1</v>
      </c>
      <c r="J265" s="24">
        <f t="shared" si="25"/>
        <v>146</v>
      </c>
      <c r="K265" s="4">
        <f t="shared" si="26"/>
        <v>0.11459968602825743</v>
      </c>
      <c r="M265" s="118">
        <v>1640.54</v>
      </c>
      <c r="N265" s="118">
        <v>1550.4</v>
      </c>
      <c r="Q265" s="118">
        <v>6365.92</v>
      </c>
      <c r="U265" s="141">
        <f t="shared" si="27"/>
        <v>-90.139999999999873</v>
      </c>
      <c r="V265" s="4">
        <f t="shared" si="28"/>
        <v>-5.4945322881490122E-2</v>
      </c>
      <c r="W265" s="17">
        <v>20683.29</v>
      </c>
      <c r="X265" s="17">
        <v>25466.6</v>
      </c>
      <c r="Y265" s="4">
        <f t="shared" si="29"/>
        <v>0.23126446517937893</v>
      </c>
      <c r="Z265" s="4"/>
    </row>
    <row r="266" spans="1:26" ht="15" customHeight="1">
      <c r="A266" t="s">
        <v>76</v>
      </c>
      <c r="B266" t="s">
        <v>77</v>
      </c>
      <c r="C266" s="27">
        <v>1356</v>
      </c>
      <c r="E266" t="s">
        <v>77</v>
      </c>
      <c r="F266" s="27">
        <v>1018</v>
      </c>
      <c r="G266" t="b">
        <f t="shared" si="24"/>
        <v>1</v>
      </c>
      <c r="J266" s="24">
        <f t="shared" si="25"/>
        <v>-338</v>
      </c>
      <c r="K266" s="4">
        <f t="shared" si="26"/>
        <v>-0.24926253687315636</v>
      </c>
      <c r="M266" s="119">
        <v>2244.02</v>
      </c>
      <c r="N266" s="119">
        <v>2150.58</v>
      </c>
      <c r="Q266" s="119">
        <v>10235.48</v>
      </c>
      <c r="U266" s="141">
        <f t="shared" si="27"/>
        <v>-93.440000000000055</v>
      </c>
      <c r="V266" s="4">
        <f t="shared" si="28"/>
        <v>-4.1639557579700726E-2</v>
      </c>
      <c r="W266" s="17">
        <v>26989.27</v>
      </c>
      <c r="X266" s="17">
        <v>22332.7</v>
      </c>
      <c r="Y266" s="4">
        <f t="shared" si="29"/>
        <v>-0.1725341218936266</v>
      </c>
      <c r="Z266" s="4"/>
    </row>
    <row r="267" spans="1:26" ht="15" customHeight="1">
      <c r="A267" t="s">
        <v>278</v>
      </c>
      <c r="B267" t="s">
        <v>279</v>
      </c>
      <c r="C267" s="27">
        <v>465</v>
      </c>
      <c r="E267" t="s">
        <v>279</v>
      </c>
      <c r="F267" s="27">
        <v>592</v>
      </c>
      <c r="G267" t="b">
        <f t="shared" si="24"/>
        <v>1</v>
      </c>
      <c r="J267" s="24">
        <f t="shared" si="25"/>
        <v>127</v>
      </c>
      <c r="K267" s="4">
        <f t="shared" si="26"/>
        <v>0.27311827956989254</v>
      </c>
      <c r="M267" s="119">
        <v>673.21999999999991</v>
      </c>
      <c r="N267" s="119">
        <v>586.29</v>
      </c>
      <c r="Q267" s="119">
        <v>4624.1099999999997</v>
      </c>
      <c r="U267" s="141">
        <f t="shared" si="27"/>
        <v>-86.92999999999995</v>
      </c>
      <c r="V267" s="4">
        <f t="shared" si="28"/>
        <v>-0.12912569442381383</v>
      </c>
      <c r="W267" s="17">
        <v>12049.28</v>
      </c>
      <c r="X267" s="17">
        <v>14388.75</v>
      </c>
      <c r="Y267" s="4">
        <f t="shared" si="29"/>
        <v>0.1941584891379402</v>
      </c>
      <c r="Z267" s="4"/>
    </row>
    <row r="268" spans="1:26" ht="15" customHeight="1">
      <c r="A268" t="s">
        <v>184</v>
      </c>
      <c r="B268" t="s">
        <v>185</v>
      </c>
      <c r="C268" s="27">
        <v>1696</v>
      </c>
      <c r="E268" t="s">
        <v>185</v>
      </c>
      <c r="F268" s="27">
        <v>1674</v>
      </c>
      <c r="G268" t="b">
        <f t="shared" si="24"/>
        <v>1</v>
      </c>
      <c r="J268" s="24">
        <f t="shared" si="25"/>
        <v>-22</v>
      </c>
      <c r="K268" s="4">
        <f t="shared" si="26"/>
        <v>-1.297169811320753E-2</v>
      </c>
      <c r="L268" s="5"/>
      <c r="M268" s="119">
        <v>3368.47</v>
      </c>
      <c r="N268" s="119">
        <v>3153.79</v>
      </c>
      <c r="O268" s="5"/>
      <c r="P268" s="5"/>
      <c r="Q268" s="119">
        <v>16706.57</v>
      </c>
      <c r="R268" s="5"/>
      <c r="S268" s="5"/>
      <c r="T268" s="5"/>
      <c r="U268" s="141">
        <f t="shared" si="27"/>
        <v>-214.67999999999984</v>
      </c>
      <c r="V268" s="4">
        <f t="shared" si="28"/>
        <v>-6.3732198891484848E-2</v>
      </c>
      <c r="W268" s="17">
        <v>40952.800000000003</v>
      </c>
      <c r="X268" s="17">
        <v>41750.79</v>
      </c>
      <c r="Y268" s="4">
        <f t="shared" si="29"/>
        <v>1.9485602938016378E-2</v>
      </c>
      <c r="Z268" s="4"/>
    </row>
    <row r="269" spans="1:26" ht="15" customHeight="1">
      <c r="A269" s="38" t="s">
        <v>280</v>
      </c>
      <c r="B269" s="35" t="s">
        <v>281</v>
      </c>
      <c r="C269" s="18">
        <v>1163</v>
      </c>
      <c r="E269" s="35" t="s">
        <v>281</v>
      </c>
      <c r="F269" s="18">
        <v>663</v>
      </c>
      <c r="G269" t="b">
        <f t="shared" si="24"/>
        <v>1</v>
      </c>
      <c r="J269" s="24">
        <f t="shared" si="25"/>
        <v>-500</v>
      </c>
      <c r="K269" s="4">
        <f t="shared" si="26"/>
        <v>-0.42992261392949271</v>
      </c>
      <c r="M269" s="118">
        <v>1485.2</v>
      </c>
      <c r="N269" s="118">
        <v>868.15</v>
      </c>
      <c r="Q269" s="118">
        <v>5679.15</v>
      </c>
      <c r="U269" s="141">
        <f t="shared" si="27"/>
        <v>-617.05000000000007</v>
      </c>
      <c r="V269" s="4">
        <f t="shared" si="28"/>
        <v>-0.41546593051440883</v>
      </c>
      <c r="W269">
        <v>13381.25</v>
      </c>
      <c r="X269">
        <v>9274.9500000000007</v>
      </c>
      <c r="Y269" s="4">
        <f t="shared" si="29"/>
        <v>-0.30686968706212048</v>
      </c>
      <c r="Z269" s="4"/>
    </row>
    <row r="270" spans="1:26" ht="15" customHeight="1">
      <c r="A270" s="22" t="s">
        <v>314</v>
      </c>
      <c r="B270" s="22" t="s">
        <v>315</v>
      </c>
      <c r="C270" s="27">
        <v>437</v>
      </c>
      <c r="E270" s="22" t="s">
        <v>315</v>
      </c>
      <c r="F270" s="27">
        <v>178</v>
      </c>
      <c r="G270" t="b">
        <f t="shared" si="24"/>
        <v>1</v>
      </c>
      <c r="J270" s="24">
        <f t="shared" si="25"/>
        <v>-259</v>
      </c>
      <c r="K270" s="4">
        <f t="shared" si="26"/>
        <v>-0.59267734553775742</v>
      </c>
      <c r="M270" s="119">
        <v>1223.18</v>
      </c>
      <c r="N270" s="119">
        <v>659.6</v>
      </c>
      <c r="Q270" s="119">
        <v>1876.21</v>
      </c>
      <c r="U270" s="141">
        <f t="shared" si="27"/>
        <v>-563.58000000000004</v>
      </c>
      <c r="V270" s="4">
        <f t="shared" si="28"/>
        <v>-0.46074984875488478</v>
      </c>
      <c r="W270" s="17">
        <v>5189.63</v>
      </c>
      <c r="X270" s="17">
        <v>2448.2199999999998</v>
      </c>
      <c r="Y270" s="4">
        <f t="shared" si="29"/>
        <v>-0.52824767854355703</v>
      </c>
      <c r="Z270" s="4"/>
    </row>
    <row r="271" spans="1:26" ht="15" customHeight="1">
      <c r="A271" s="167" t="s">
        <v>516</v>
      </c>
      <c r="B271" s="166" t="s">
        <v>517</v>
      </c>
      <c r="C271" s="27">
        <v>207</v>
      </c>
      <c r="E271" s="166" t="s">
        <v>517</v>
      </c>
      <c r="F271" s="27">
        <v>330</v>
      </c>
      <c r="G271" t="b">
        <f t="shared" si="24"/>
        <v>1</v>
      </c>
      <c r="J271" s="24">
        <f t="shared" si="25"/>
        <v>123</v>
      </c>
      <c r="K271" s="4">
        <f t="shared" si="26"/>
        <v>0.59420289855072461</v>
      </c>
      <c r="M271" s="119">
        <v>831.18</v>
      </c>
      <c r="N271" s="119">
        <v>1230.73</v>
      </c>
      <c r="Q271" s="119">
        <v>4791.68</v>
      </c>
      <c r="U271" s="141">
        <f t="shared" si="27"/>
        <v>399.55000000000007</v>
      </c>
      <c r="V271" s="4">
        <f t="shared" si="28"/>
        <v>0.48070213431507036</v>
      </c>
      <c r="W271" s="17">
        <v>3346.59</v>
      </c>
      <c r="X271" s="17">
        <v>4945.45</v>
      </c>
      <c r="Y271" s="4">
        <f t="shared" si="29"/>
        <v>0.4777579566065755</v>
      </c>
      <c r="Z271" s="4"/>
    </row>
    <row r="272" spans="1:26" ht="15" customHeight="1">
      <c r="A272" s="38" t="s">
        <v>178</v>
      </c>
      <c r="B272" s="35" t="s">
        <v>179</v>
      </c>
      <c r="C272" s="27">
        <v>588</v>
      </c>
      <c r="E272" s="35" t="s">
        <v>179</v>
      </c>
      <c r="F272" s="27">
        <v>665</v>
      </c>
      <c r="G272" t="b">
        <f t="shared" si="24"/>
        <v>1</v>
      </c>
      <c r="J272" s="24">
        <f t="shared" si="25"/>
        <v>77</v>
      </c>
      <c r="K272" s="4">
        <f t="shared" si="26"/>
        <v>0.13095238095238093</v>
      </c>
      <c r="M272" s="118">
        <v>1149.18</v>
      </c>
      <c r="N272" s="118">
        <v>1080.04</v>
      </c>
      <c r="Q272" s="118">
        <v>5337.59</v>
      </c>
      <c r="U272" s="141">
        <f t="shared" si="27"/>
        <v>-69.1400000000001</v>
      </c>
      <c r="V272" s="4">
        <f t="shared" si="28"/>
        <v>-6.0164639133991282E-2</v>
      </c>
      <c r="W272" s="17">
        <v>5630.52</v>
      </c>
      <c r="X272" s="17">
        <v>6632.76</v>
      </c>
      <c r="Y272" s="4">
        <f t="shared" si="29"/>
        <v>0.17800132136996227</v>
      </c>
      <c r="Z272" s="4"/>
    </row>
    <row r="273" spans="1:26" ht="15" customHeight="1">
      <c r="A273" s="123" t="s">
        <v>222</v>
      </c>
      <c r="B273" s="123" t="s">
        <v>223</v>
      </c>
      <c r="C273" s="27">
        <v>128</v>
      </c>
      <c r="E273" s="123" t="s">
        <v>223</v>
      </c>
      <c r="F273" s="27">
        <v>58</v>
      </c>
      <c r="G273" t="b">
        <f t="shared" si="24"/>
        <v>1</v>
      </c>
      <c r="J273" s="24">
        <f t="shared" si="25"/>
        <v>-70</v>
      </c>
      <c r="K273" s="4">
        <f t="shared" si="26"/>
        <v>-0.546875</v>
      </c>
      <c r="M273" s="118">
        <v>870.05</v>
      </c>
      <c r="N273" s="118">
        <v>133.05000000000001</v>
      </c>
      <c r="Q273" s="118">
        <v>154.94</v>
      </c>
      <c r="U273" s="141">
        <f t="shared" si="27"/>
        <v>-737</v>
      </c>
      <c r="V273" s="4">
        <f t="shared" si="28"/>
        <v>-0.84707775415206021</v>
      </c>
      <c r="W273" s="17">
        <v>1538.72</v>
      </c>
      <c r="X273" s="17">
        <v>959.42</v>
      </c>
      <c r="Y273" s="4">
        <f t="shared" si="29"/>
        <v>-0.37648175106582094</v>
      </c>
      <c r="Z273" s="4"/>
    </row>
    <row r="274" spans="1:26" ht="15" customHeight="1">
      <c r="A274" s="167" t="s">
        <v>716</v>
      </c>
      <c r="B274" s="26" t="s">
        <v>717</v>
      </c>
      <c r="C274" s="27">
        <v>575</v>
      </c>
      <c r="E274" s="26" t="s">
        <v>717</v>
      </c>
      <c r="F274" s="27">
        <v>676</v>
      </c>
      <c r="G274" t="b">
        <f t="shared" si="24"/>
        <v>1</v>
      </c>
      <c r="J274" s="24">
        <f t="shared" si="25"/>
        <v>101</v>
      </c>
      <c r="K274" s="4">
        <f t="shared" si="26"/>
        <v>0.17565217391304344</v>
      </c>
      <c r="M274" s="118">
        <v>1700.8</v>
      </c>
      <c r="N274" s="118">
        <v>1756.04</v>
      </c>
      <c r="Q274" s="118">
        <v>10453.129999999999</v>
      </c>
      <c r="U274" s="141">
        <f t="shared" si="27"/>
        <v>55.240000000000009</v>
      </c>
      <c r="V274" s="4">
        <f t="shared" si="28"/>
        <v>3.2478833490122261E-2</v>
      </c>
      <c r="W274" s="17">
        <v>10320.25</v>
      </c>
      <c r="X274" s="17">
        <v>12217.44</v>
      </c>
      <c r="Y274" s="4">
        <f t="shared" si="29"/>
        <v>0.18383178702066338</v>
      </c>
      <c r="Z274" s="4"/>
    </row>
    <row r="275" spans="1:26" ht="15" customHeight="1">
      <c r="A275" t="s">
        <v>72</v>
      </c>
      <c r="B275" t="s">
        <v>73</v>
      </c>
      <c r="C275" s="27">
        <v>0</v>
      </c>
      <c r="E275" t="s">
        <v>73</v>
      </c>
      <c r="F275" s="27">
        <v>0</v>
      </c>
      <c r="G275" t="b">
        <f t="shared" si="24"/>
        <v>1</v>
      </c>
      <c r="J275" s="24">
        <f t="shared" si="25"/>
        <v>0</v>
      </c>
      <c r="K275" s="4" t="e">
        <f t="shared" si="26"/>
        <v>#DIV/0!</v>
      </c>
      <c r="M275" s="119">
        <v>0</v>
      </c>
      <c r="N275" s="119">
        <v>0</v>
      </c>
      <c r="Q275" s="119">
        <v>0</v>
      </c>
      <c r="U275" s="141">
        <f t="shared" si="27"/>
        <v>0</v>
      </c>
      <c r="V275" s="4">
        <f t="shared" si="28"/>
        <v>0</v>
      </c>
      <c r="W275" s="17">
        <v>0</v>
      </c>
      <c r="X275" s="17">
        <v>0</v>
      </c>
      <c r="Y275" s="4" t="e">
        <f t="shared" si="29"/>
        <v>#DIV/0!</v>
      </c>
      <c r="Z275" s="4"/>
    </row>
    <row r="276" spans="1:26" ht="15" customHeight="1">
      <c r="A276" t="s">
        <v>698</v>
      </c>
      <c r="B276" t="s">
        <v>699</v>
      </c>
      <c r="C276" s="27">
        <v>1514</v>
      </c>
      <c r="E276" t="s">
        <v>699</v>
      </c>
      <c r="F276" s="27">
        <v>1265</v>
      </c>
      <c r="G276" t="b">
        <f t="shared" si="24"/>
        <v>1</v>
      </c>
      <c r="J276" s="24">
        <f t="shared" si="25"/>
        <v>-249</v>
      </c>
      <c r="K276" s="4">
        <f t="shared" si="26"/>
        <v>-0.16446499339498022</v>
      </c>
      <c r="M276" s="119">
        <v>2318.31</v>
      </c>
      <c r="N276" s="119">
        <v>2195.86</v>
      </c>
      <c r="Q276" s="119">
        <v>12493.93</v>
      </c>
      <c r="U276" s="141">
        <f t="shared" si="27"/>
        <v>-122.44999999999982</v>
      </c>
      <c r="V276" s="4">
        <f t="shared" si="28"/>
        <v>-5.2818648066910723E-2</v>
      </c>
      <c r="W276" s="17">
        <v>40673.31</v>
      </c>
      <c r="X276" s="17">
        <v>33905.39</v>
      </c>
      <c r="Y276" s="4">
        <f t="shared" si="29"/>
        <v>-0.16639707955905236</v>
      </c>
      <c r="Z276" s="4"/>
    </row>
    <row r="277" spans="1:26" ht="15" customHeight="1">
      <c r="A277" s="35" t="s">
        <v>122</v>
      </c>
      <c r="B277" s="35" t="s">
        <v>123</v>
      </c>
      <c r="C277" s="27">
        <v>0</v>
      </c>
      <c r="E277" s="35" t="s">
        <v>123</v>
      </c>
      <c r="F277" s="27">
        <v>0</v>
      </c>
      <c r="G277" t="b">
        <f t="shared" si="24"/>
        <v>1</v>
      </c>
      <c r="J277" s="24">
        <f t="shared" si="25"/>
        <v>0</v>
      </c>
      <c r="K277" s="4" t="e">
        <f t="shared" si="26"/>
        <v>#DIV/0!</v>
      </c>
      <c r="M277" s="119">
        <v>0</v>
      </c>
      <c r="N277" s="119">
        <v>0</v>
      </c>
      <c r="Q277" s="119">
        <v>0</v>
      </c>
      <c r="U277" s="141">
        <f t="shared" si="27"/>
        <v>0</v>
      </c>
      <c r="V277" s="4">
        <f t="shared" si="28"/>
        <v>0</v>
      </c>
      <c r="W277" s="17">
        <v>0</v>
      </c>
      <c r="X277" s="17">
        <v>0</v>
      </c>
      <c r="Y277" s="4" t="e">
        <f t="shared" si="29"/>
        <v>#DIV/0!</v>
      </c>
      <c r="Z277" s="4"/>
    </row>
    <row r="278" spans="1:26" ht="15" customHeight="1">
      <c r="A278" t="s">
        <v>200</v>
      </c>
      <c r="B278" t="s">
        <v>201</v>
      </c>
      <c r="C278" s="27">
        <v>174</v>
      </c>
      <c r="E278" t="s">
        <v>201</v>
      </c>
      <c r="F278" s="27">
        <v>144</v>
      </c>
      <c r="G278" t="b">
        <f t="shared" si="24"/>
        <v>1</v>
      </c>
      <c r="J278" s="24">
        <f t="shared" si="25"/>
        <v>-30</v>
      </c>
      <c r="K278" s="4">
        <f t="shared" si="26"/>
        <v>-0.17241379310344829</v>
      </c>
      <c r="M278" s="119">
        <v>0</v>
      </c>
      <c r="N278" s="119">
        <v>0</v>
      </c>
      <c r="Q278" s="119">
        <v>0</v>
      </c>
      <c r="U278" s="141">
        <f t="shared" si="27"/>
        <v>0</v>
      </c>
      <c r="V278" s="4">
        <f t="shared" si="28"/>
        <v>0</v>
      </c>
      <c r="W278" s="17">
        <v>3396.02</v>
      </c>
      <c r="X278" s="17">
        <v>2677.58</v>
      </c>
      <c r="Y278" s="4">
        <f t="shared" si="29"/>
        <v>-0.21155352441976194</v>
      </c>
      <c r="Z278" s="4"/>
    </row>
    <row r="279" spans="1:26" ht="15" customHeight="1">
      <c r="A279" s="167" t="s">
        <v>608</v>
      </c>
      <c r="B279" s="35" t="s">
        <v>609</v>
      </c>
      <c r="C279" s="27">
        <v>810</v>
      </c>
      <c r="E279" s="35" t="s">
        <v>609</v>
      </c>
      <c r="F279" s="27">
        <v>505</v>
      </c>
      <c r="G279" t="b">
        <f t="shared" si="24"/>
        <v>1</v>
      </c>
      <c r="J279" s="24">
        <f t="shared" si="25"/>
        <v>-305</v>
      </c>
      <c r="K279" s="4">
        <f t="shared" si="26"/>
        <v>-0.37654320987654322</v>
      </c>
      <c r="M279" s="119">
        <v>2044.11</v>
      </c>
      <c r="N279" s="119">
        <v>1746.13</v>
      </c>
      <c r="Q279" s="119">
        <v>8354.2999999999993</v>
      </c>
      <c r="U279" s="141">
        <f t="shared" si="27"/>
        <v>-297.97999999999979</v>
      </c>
      <c r="V279" s="4">
        <f t="shared" si="28"/>
        <v>-0.14577493383428475</v>
      </c>
      <c r="W279" s="17">
        <v>13303.5</v>
      </c>
      <c r="X279" s="17">
        <v>10092.57</v>
      </c>
      <c r="Y279" s="4">
        <f t="shared" si="29"/>
        <v>-0.24135979253579887</v>
      </c>
      <c r="Z279" s="4"/>
    </row>
    <row r="280" spans="1:26" ht="15" customHeight="1">
      <c r="A280" s="35" t="s">
        <v>768</v>
      </c>
      <c r="B280" s="35" t="s">
        <v>769</v>
      </c>
      <c r="C280" s="27">
        <v>585</v>
      </c>
      <c r="E280" s="35" t="s">
        <v>769</v>
      </c>
      <c r="F280" s="27">
        <v>596</v>
      </c>
      <c r="G280" t="b">
        <f t="shared" si="24"/>
        <v>1</v>
      </c>
      <c r="J280" s="24">
        <f t="shared" si="25"/>
        <v>11</v>
      </c>
      <c r="K280" s="4">
        <f t="shared" si="26"/>
        <v>1.8803418803418737E-2</v>
      </c>
      <c r="M280" s="119">
        <v>1283.52</v>
      </c>
      <c r="N280" s="119">
        <v>1102.2</v>
      </c>
      <c r="Q280" s="119">
        <v>7547.97</v>
      </c>
      <c r="U280" s="141">
        <f t="shared" si="27"/>
        <v>-181.31999999999994</v>
      </c>
      <c r="V280" s="4">
        <f t="shared" si="28"/>
        <v>-0.14126776364996252</v>
      </c>
      <c r="W280" s="17">
        <v>15287.53</v>
      </c>
      <c r="X280" s="17">
        <v>15951.64</v>
      </c>
      <c r="Y280" s="4">
        <f t="shared" si="29"/>
        <v>4.34412884226556E-2</v>
      </c>
      <c r="Z280" s="4"/>
    </row>
    <row r="281" spans="1:26" ht="15" customHeight="1">
      <c r="A281" t="s">
        <v>156</v>
      </c>
      <c r="B281" t="s">
        <v>157</v>
      </c>
      <c r="C281" s="27">
        <v>551</v>
      </c>
      <c r="E281" t="s">
        <v>157</v>
      </c>
      <c r="F281" s="27">
        <v>651</v>
      </c>
      <c r="G281" t="b">
        <f t="shared" si="24"/>
        <v>1</v>
      </c>
      <c r="J281" s="24">
        <f t="shared" si="25"/>
        <v>100</v>
      </c>
      <c r="K281" s="4">
        <f t="shared" si="26"/>
        <v>0.18148820326678772</v>
      </c>
      <c r="M281" s="119">
        <v>940.71</v>
      </c>
      <c r="N281" s="119">
        <v>1019.73</v>
      </c>
      <c r="Q281" s="119">
        <v>7641.86</v>
      </c>
      <c r="U281" s="141">
        <f t="shared" si="27"/>
        <v>79.019999999999982</v>
      </c>
      <c r="V281" s="4">
        <f t="shared" si="28"/>
        <v>8.4000382689670472E-2</v>
      </c>
      <c r="W281" s="17">
        <v>13738.03</v>
      </c>
      <c r="X281" s="17">
        <v>16243.44</v>
      </c>
      <c r="Y281" s="4">
        <f t="shared" si="29"/>
        <v>0.18237039808473265</v>
      </c>
      <c r="Z281" s="4"/>
    </row>
    <row r="282" spans="1:26" ht="15" customHeight="1">
      <c r="A282" s="38" t="s">
        <v>496</v>
      </c>
      <c r="B282" s="35" t="s">
        <v>497</v>
      </c>
      <c r="C282" s="27">
        <v>1607</v>
      </c>
      <c r="E282" s="35" t="s">
        <v>497</v>
      </c>
      <c r="F282" s="27">
        <v>1466</v>
      </c>
      <c r="G282" t="b">
        <f t="shared" si="24"/>
        <v>1</v>
      </c>
      <c r="J282" s="24">
        <f t="shared" si="25"/>
        <v>-141</v>
      </c>
      <c r="K282" s="4">
        <f t="shared" si="26"/>
        <v>-8.7741132545115175E-2</v>
      </c>
      <c r="M282" s="119">
        <v>3993.37</v>
      </c>
      <c r="N282" s="119">
        <v>3223.12</v>
      </c>
      <c r="Q282" s="119">
        <v>13898.75</v>
      </c>
      <c r="U282" s="141">
        <f t="shared" si="27"/>
        <v>-770.25</v>
      </c>
      <c r="V282" s="4">
        <f t="shared" si="28"/>
        <v>-0.19288220225022978</v>
      </c>
      <c r="W282" s="17">
        <v>38491.47</v>
      </c>
      <c r="X282" s="17">
        <v>35117.99</v>
      </c>
      <c r="Y282" s="4">
        <f t="shared" si="29"/>
        <v>-8.7642275028727235E-2</v>
      </c>
      <c r="Z282" s="4"/>
    </row>
    <row r="283" spans="1:26" ht="15" customHeight="1">
      <c r="A283" s="38" t="s">
        <v>366</v>
      </c>
      <c r="B283" s="35" t="s">
        <v>367</v>
      </c>
      <c r="C283" s="27">
        <v>1100</v>
      </c>
      <c r="E283" s="35" t="s">
        <v>367</v>
      </c>
      <c r="F283" s="27">
        <v>995</v>
      </c>
      <c r="G283" t="b">
        <f t="shared" si="24"/>
        <v>1</v>
      </c>
      <c r="J283" s="24">
        <f t="shared" si="25"/>
        <v>-105</v>
      </c>
      <c r="K283" s="4">
        <f t="shared" si="26"/>
        <v>-9.5454545454545459E-2</v>
      </c>
      <c r="M283" s="118">
        <v>3418.03</v>
      </c>
      <c r="N283" s="118">
        <v>2578.8200000000002</v>
      </c>
      <c r="Q283" s="118">
        <v>11152.52</v>
      </c>
      <c r="U283" s="141">
        <f t="shared" si="27"/>
        <v>-839.21</v>
      </c>
      <c r="V283" s="4">
        <f t="shared" si="28"/>
        <v>-0.2455244687729482</v>
      </c>
      <c r="W283" s="17">
        <v>15387.46</v>
      </c>
      <c r="X283" s="17">
        <v>13889.03</v>
      </c>
      <c r="Y283" s="4">
        <f t="shared" si="29"/>
        <v>-9.7379944448271472E-2</v>
      </c>
      <c r="Z283" s="4"/>
    </row>
    <row r="284" spans="1:26" ht="15" customHeight="1">
      <c r="A284" s="22" t="s">
        <v>242</v>
      </c>
      <c r="B284" s="22" t="s">
        <v>243</v>
      </c>
      <c r="C284" s="27">
        <v>205</v>
      </c>
      <c r="E284" s="22" t="s">
        <v>243</v>
      </c>
      <c r="F284" s="27">
        <v>700</v>
      </c>
      <c r="G284" t="b">
        <f t="shared" si="24"/>
        <v>1</v>
      </c>
      <c r="J284" s="24">
        <f t="shared" si="25"/>
        <v>495</v>
      </c>
      <c r="K284" s="4">
        <f t="shared" si="26"/>
        <v>2.4146341463414633</v>
      </c>
      <c r="M284" s="119">
        <v>1447.82</v>
      </c>
      <c r="N284" s="119">
        <v>471.76</v>
      </c>
      <c r="Q284" s="119">
        <v>1001.49</v>
      </c>
      <c r="U284" s="141">
        <f t="shared" si="27"/>
        <v>-976.06</v>
      </c>
      <c r="V284" s="4">
        <f t="shared" si="28"/>
        <v>-0.67415838985509247</v>
      </c>
      <c r="W284" s="17">
        <v>3992.41</v>
      </c>
      <c r="X284" s="17">
        <v>18860.88</v>
      </c>
      <c r="Y284" s="4">
        <f t="shared" si="29"/>
        <v>3.7241841394045201</v>
      </c>
      <c r="Z284" s="4"/>
    </row>
    <row r="285" spans="1:26" ht="15" customHeight="1">
      <c r="A285" t="s">
        <v>712</v>
      </c>
      <c r="B285" t="s">
        <v>713</v>
      </c>
      <c r="C285" s="27">
        <v>3109</v>
      </c>
      <c r="E285" t="s">
        <v>713</v>
      </c>
      <c r="F285" s="27">
        <v>2790</v>
      </c>
      <c r="G285" t="b">
        <f t="shared" si="24"/>
        <v>1</v>
      </c>
      <c r="J285" s="24">
        <f t="shared" si="25"/>
        <v>-319</v>
      </c>
      <c r="K285" s="4">
        <f t="shared" si="26"/>
        <v>-0.10260533933740756</v>
      </c>
      <c r="M285" s="119">
        <v>5709.2300000000005</v>
      </c>
      <c r="N285" s="119">
        <v>5275.41</v>
      </c>
      <c r="Q285" s="119">
        <v>37857.490000000005</v>
      </c>
      <c r="U285" s="141">
        <f t="shared" si="27"/>
        <v>-433.82000000000062</v>
      </c>
      <c r="V285" s="4">
        <f t="shared" si="28"/>
        <v>-7.5985728373178296E-2</v>
      </c>
      <c r="W285" s="17">
        <v>76841.990000000005</v>
      </c>
      <c r="X285" s="17">
        <v>69686.31</v>
      </c>
      <c r="Y285" s="4">
        <f t="shared" si="29"/>
        <v>-9.3122002696702788E-2</v>
      </c>
      <c r="Z285" s="4"/>
    </row>
    <row r="286" spans="1:26" ht="15" customHeight="1">
      <c r="A286" t="s">
        <v>74</v>
      </c>
      <c r="B286" t="s">
        <v>75</v>
      </c>
      <c r="C286" s="27">
        <v>2119</v>
      </c>
      <c r="E286" t="s">
        <v>75</v>
      </c>
      <c r="F286" s="27">
        <v>1337</v>
      </c>
      <c r="G286" t="b">
        <f t="shared" si="24"/>
        <v>1</v>
      </c>
      <c r="J286" s="24">
        <f t="shared" si="25"/>
        <v>-782</v>
      </c>
      <c r="K286" s="4">
        <f t="shared" si="26"/>
        <v>-0.36904200094384143</v>
      </c>
      <c r="M286" s="119">
        <v>3139.16</v>
      </c>
      <c r="N286" s="119">
        <v>2865.26</v>
      </c>
      <c r="Q286" s="119">
        <v>14738.55</v>
      </c>
      <c r="U286" s="141">
        <f t="shared" si="27"/>
        <v>-273.89999999999964</v>
      </c>
      <c r="V286" s="4">
        <f t="shared" si="28"/>
        <v>-8.7252640833853534E-2</v>
      </c>
      <c r="W286" s="17">
        <v>37741.06</v>
      </c>
      <c r="X286" s="17">
        <v>26703.64</v>
      </c>
      <c r="Y286" s="4">
        <f t="shared" si="29"/>
        <v>-0.29245124540752165</v>
      </c>
      <c r="Z286" s="4"/>
    </row>
    <row r="287" spans="1:26" ht="15" customHeight="1">
      <c r="A287" s="26" t="s">
        <v>90</v>
      </c>
      <c r="B287" s="129" t="s">
        <v>91</v>
      </c>
      <c r="C287" s="27">
        <v>3</v>
      </c>
      <c r="E287" s="129" t="s">
        <v>91</v>
      </c>
      <c r="F287" s="27">
        <v>0</v>
      </c>
      <c r="G287" t="b">
        <f t="shared" si="24"/>
        <v>1</v>
      </c>
      <c r="J287" s="24">
        <f t="shared" si="25"/>
        <v>-3</v>
      </c>
      <c r="K287" s="4">
        <f t="shared" si="26"/>
        <v>-1</v>
      </c>
      <c r="M287" s="118">
        <v>25.38</v>
      </c>
      <c r="N287" s="118">
        <v>0</v>
      </c>
      <c r="Q287" s="118">
        <v>0</v>
      </c>
      <c r="U287" s="141">
        <f t="shared" si="27"/>
        <v>-25.38</v>
      </c>
      <c r="V287" s="4">
        <f t="shared" si="28"/>
        <v>-1</v>
      </c>
      <c r="W287" s="17">
        <v>116.97</v>
      </c>
      <c r="X287" s="17">
        <v>0</v>
      </c>
      <c r="Y287" s="4">
        <f t="shared" si="29"/>
        <v>-1</v>
      </c>
      <c r="Z287" s="4"/>
    </row>
    <row r="288" spans="1:26" ht="15" customHeight="1">
      <c r="A288" s="167" t="s">
        <v>368</v>
      </c>
      <c r="B288" s="166" t="s">
        <v>369</v>
      </c>
      <c r="C288" s="27">
        <v>178</v>
      </c>
      <c r="E288" s="166" t="s">
        <v>369</v>
      </c>
      <c r="F288" s="27">
        <v>125</v>
      </c>
      <c r="G288" t="b">
        <f t="shared" si="24"/>
        <v>1</v>
      </c>
      <c r="J288" s="24">
        <f t="shared" si="25"/>
        <v>-53</v>
      </c>
      <c r="K288" s="4">
        <f t="shared" si="26"/>
        <v>-0.297752808988764</v>
      </c>
      <c r="M288" s="119">
        <v>374.97</v>
      </c>
      <c r="N288" s="119">
        <v>304.69</v>
      </c>
      <c r="Q288" s="119">
        <v>1253.6300000000001</v>
      </c>
      <c r="U288" s="141">
        <f t="shared" si="27"/>
        <v>-70.28000000000003</v>
      </c>
      <c r="V288" s="4">
        <f t="shared" si="28"/>
        <v>-0.18742832759954131</v>
      </c>
      <c r="W288" s="17">
        <v>3125.62</v>
      </c>
      <c r="X288" s="17">
        <v>2204.5500000000002</v>
      </c>
      <c r="Y288" s="4">
        <f t="shared" si="29"/>
        <v>-0.29468393470735399</v>
      </c>
      <c r="Z288" s="4"/>
    </row>
    <row r="289" spans="1:26" ht="15" customHeight="1">
      <c r="A289" s="123" t="s">
        <v>604</v>
      </c>
      <c r="B289" s="35" t="s">
        <v>605</v>
      </c>
      <c r="C289" s="27">
        <v>1590</v>
      </c>
      <c r="E289" s="35" t="s">
        <v>605</v>
      </c>
      <c r="F289" s="27">
        <v>2011</v>
      </c>
      <c r="G289" t="b">
        <f t="shared" si="24"/>
        <v>1</v>
      </c>
      <c r="J289" s="24">
        <f t="shared" si="25"/>
        <v>421</v>
      </c>
      <c r="K289" s="4">
        <f t="shared" si="26"/>
        <v>0.26477987421383653</v>
      </c>
      <c r="M289" s="118">
        <v>3384.31</v>
      </c>
      <c r="N289" s="118">
        <v>4533.95</v>
      </c>
      <c r="Q289" s="118">
        <v>27660.79</v>
      </c>
      <c r="U289" s="141">
        <f t="shared" si="27"/>
        <v>1149.6399999999999</v>
      </c>
      <c r="V289" s="4">
        <f t="shared" si="28"/>
        <v>0.33969701357145166</v>
      </c>
      <c r="W289" s="17">
        <v>42314.95</v>
      </c>
      <c r="X289" s="17">
        <v>54095.02</v>
      </c>
      <c r="Y289" s="4">
        <f t="shared" si="29"/>
        <v>0.2783902615978513</v>
      </c>
      <c r="Z289" s="4"/>
    </row>
    <row r="290" spans="1:26" ht="15" customHeight="1">
      <c r="A290" s="35" t="s">
        <v>250</v>
      </c>
      <c r="B290" s="35" t="s">
        <v>251</v>
      </c>
      <c r="C290" s="27">
        <v>0</v>
      </c>
      <c r="E290" s="35" t="s">
        <v>251</v>
      </c>
      <c r="F290" s="27">
        <v>0</v>
      </c>
      <c r="G290" t="b">
        <f t="shared" si="24"/>
        <v>1</v>
      </c>
      <c r="J290" s="24">
        <f t="shared" si="25"/>
        <v>0</v>
      </c>
      <c r="K290" s="4" t="e">
        <f t="shared" si="26"/>
        <v>#DIV/0!</v>
      </c>
      <c r="M290" s="119">
        <v>0</v>
      </c>
      <c r="N290" s="119">
        <v>0</v>
      </c>
      <c r="Q290" s="119">
        <v>0</v>
      </c>
      <c r="U290" s="141">
        <f t="shared" si="27"/>
        <v>0</v>
      </c>
      <c r="V290" s="4">
        <f t="shared" si="28"/>
        <v>0</v>
      </c>
      <c r="W290" s="17">
        <v>0</v>
      </c>
      <c r="X290" s="17">
        <v>0</v>
      </c>
      <c r="Y290" s="4" t="e">
        <f t="shared" si="29"/>
        <v>#DIV/0!</v>
      </c>
      <c r="Z290" s="4"/>
    </row>
    <row r="291" spans="1:26" ht="15" customHeight="1">
      <c r="A291" s="38" t="s">
        <v>262</v>
      </c>
      <c r="B291" s="26" t="s">
        <v>263</v>
      </c>
      <c r="C291" s="27">
        <v>763</v>
      </c>
      <c r="E291" s="26" t="s">
        <v>263</v>
      </c>
      <c r="F291" s="27">
        <v>690</v>
      </c>
      <c r="G291" t="b">
        <f t="shared" si="24"/>
        <v>1</v>
      </c>
      <c r="J291" s="24">
        <f t="shared" si="25"/>
        <v>-73</v>
      </c>
      <c r="K291" s="4">
        <f t="shared" si="26"/>
        <v>-9.5674967234600228E-2</v>
      </c>
      <c r="M291" s="118">
        <v>1995.39</v>
      </c>
      <c r="N291" s="118">
        <v>1960.25</v>
      </c>
      <c r="Q291" s="118">
        <v>11414.99</v>
      </c>
      <c r="U291" s="141">
        <f t="shared" si="27"/>
        <v>-35.1400000000001</v>
      </c>
      <c r="V291" s="4">
        <f t="shared" si="28"/>
        <v>-1.7610592415517767E-2</v>
      </c>
      <c r="W291" s="17">
        <v>13689.97</v>
      </c>
      <c r="X291" s="17">
        <v>12987.71</v>
      </c>
      <c r="Y291" s="4">
        <f t="shared" si="29"/>
        <v>-5.1297409709444186E-2</v>
      </c>
      <c r="Z291" s="4"/>
    </row>
    <row r="292" spans="1:26" ht="15" customHeight="1">
      <c r="A292" t="s">
        <v>238</v>
      </c>
      <c r="B292" t="s">
        <v>239</v>
      </c>
      <c r="C292" s="27">
        <v>0</v>
      </c>
      <c r="E292" t="s">
        <v>239</v>
      </c>
      <c r="F292" s="27">
        <v>0</v>
      </c>
      <c r="G292" t="b">
        <f t="shared" si="24"/>
        <v>1</v>
      </c>
      <c r="J292" s="24">
        <f t="shared" si="25"/>
        <v>0</v>
      </c>
      <c r="K292" s="4" t="e">
        <f t="shared" si="26"/>
        <v>#DIV/0!</v>
      </c>
      <c r="M292" s="119">
        <v>0</v>
      </c>
      <c r="N292" s="119">
        <v>0</v>
      </c>
      <c r="Q292" s="119">
        <v>0</v>
      </c>
      <c r="U292" s="141">
        <f t="shared" si="27"/>
        <v>0</v>
      </c>
      <c r="V292" s="4">
        <f t="shared" si="28"/>
        <v>0</v>
      </c>
      <c r="W292" s="17">
        <v>0</v>
      </c>
      <c r="X292" s="17">
        <v>0</v>
      </c>
      <c r="Y292" s="4" t="e">
        <f t="shared" si="29"/>
        <v>#DIV/0!</v>
      </c>
      <c r="Z292" s="4"/>
    </row>
    <row r="293" spans="1:26" ht="15" customHeight="1">
      <c r="A293" s="123" t="s">
        <v>246</v>
      </c>
      <c r="B293" s="35" t="s">
        <v>247</v>
      </c>
      <c r="C293" s="27">
        <v>0</v>
      </c>
      <c r="E293" s="35" t="s">
        <v>247</v>
      </c>
      <c r="F293" s="27">
        <v>0</v>
      </c>
      <c r="G293" t="b">
        <f t="shared" si="24"/>
        <v>1</v>
      </c>
      <c r="J293" s="24">
        <f t="shared" si="25"/>
        <v>0</v>
      </c>
      <c r="K293" s="4" t="e">
        <f t="shared" si="26"/>
        <v>#DIV/0!</v>
      </c>
      <c r="M293" s="118">
        <v>0</v>
      </c>
      <c r="N293" s="118">
        <v>0</v>
      </c>
      <c r="Q293" s="118">
        <v>0</v>
      </c>
      <c r="U293" s="141">
        <f t="shared" si="27"/>
        <v>0</v>
      </c>
      <c r="V293" s="4">
        <f t="shared" si="28"/>
        <v>0</v>
      </c>
      <c r="W293" s="17">
        <v>0</v>
      </c>
      <c r="X293" s="17">
        <v>0</v>
      </c>
      <c r="Y293" s="4" t="e">
        <f t="shared" si="29"/>
        <v>#DIV/0!</v>
      </c>
      <c r="Z293" s="4"/>
    </row>
    <row r="294" spans="1:26" ht="15" customHeight="1">
      <c r="A294" s="38" t="s">
        <v>252</v>
      </c>
      <c r="B294" s="35" t="s">
        <v>253</v>
      </c>
      <c r="C294" s="27">
        <v>0</v>
      </c>
      <c r="E294" s="35" t="s">
        <v>253</v>
      </c>
      <c r="F294" s="27">
        <v>0</v>
      </c>
      <c r="G294" t="b">
        <f t="shared" si="24"/>
        <v>1</v>
      </c>
      <c r="J294" s="24">
        <f t="shared" si="25"/>
        <v>0</v>
      </c>
      <c r="K294" s="4" t="e">
        <f t="shared" si="26"/>
        <v>#DIV/0!</v>
      </c>
      <c r="M294" s="118">
        <v>0</v>
      </c>
      <c r="N294" s="118">
        <v>0</v>
      </c>
      <c r="Q294" s="118">
        <v>0</v>
      </c>
      <c r="U294" s="141">
        <f t="shared" si="27"/>
        <v>0</v>
      </c>
      <c r="V294" s="4">
        <f t="shared" si="28"/>
        <v>0</v>
      </c>
      <c r="W294" s="17">
        <v>0</v>
      </c>
      <c r="X294" s="17">
        <v>0</v>
      </c>
      <c r="Y294" s="4" t="e">
        <f t="shared" si="29"/>
        <v>#DIV/0!</v>
      </c>
      <c r="Z294" s="4"/>
    </row>
    <row r="295" spans="1:26" ht="15" customHeight="1">
      <c r="A295" s="26" t="s">
        <v>1828</v>
      </c>
      <c r="B295" s="26" t="s">
        <v>1843</v>
      </c>
      <c r="C295" s="27">
        <v>500</v>
      </c>
      <c r="E295" s="26" t="s">
        <v>1843</v>
      </c>
      <c r="F295" s="27">
        <v>1381</v>
      </c>
      <c r="G295" t="b">
        <f t="shared" si="24"/>
        <v>1</v>
      </c>
      <c r="J295" s="24">
        <f t="shared" si="25"/>
        <v>881</v>
      </c>
      <c r="K295" s="4">
        <f t="shared" si="26"/>
        <v>1.762</v>
      </c>
      <c r="M295" s="119">
        <v>1196.94</v>
      </c>
      <c r="N295" s="119">
        <v>2931.06</v>
      </c>
      <c r="Q295" s="119">
        <v>13854.83</v>
      </c>
      <c r="U295" s="141">
        <f t="shared" si="27"/>
        <v>1734.12</v>
      </c>
      <c r="V295" s="4">
        <f t="shared" si="28"/>
        <v>1.4487944257857537</v>
      </c>
      <c r="W295" s="17">
        <v>9993.7999999999993</v>
      </c>
      <c r="X295" s="17">
        <v>27560.25</v>
      </c>
      <c r="Y295" s="4">
        <f t="shared" si="29"/>
        <v>1.7577347955732554</v>
      </c>
      <c r="Z295" s="4"/>
    </row>
    <row r="296" spans="1:26" ht="15" customHeight="1">
      <c r="A296" s="26" t="s">
        <v>1829</v>
      </c>
      <c r="B296" s="26" t="s">
        <v>1844</v>
      </c>
      <c r="C296" s="27">
        <v>81</v>
      </c>
      <c r="E296" s="26" t="s">
        <v>1844</v>
      </c>
      <c r="F296" s="27">
        <v>147</v>
      </c>
      <c r="G296" t="b">
        <f t="shared" si="24"/>
        <v>1</v>
      </c>
      <c r="J296" s="24">
        <f t="shared" si="25"/>
        <v>66</v>
      </c>
      <c r="K296" s="4">
        <f t="shared" si="26"/>
        <v>0.81481481481481488</v>
      </c>
      <c r="M296" s="119">
        <v>753.25</v>
      </c>
      <c r="N296" s="119">
        <v>549.21</v>
      </c>
      <c r="Q296" s="119">
        <v>2984.67</v>
      </c>
      <c r="U296" s="141">
        <f t="shared" si="27"/>
        <v>-204.03999999999996</v>
      </c>
      <c r="V296" s="4">
        <f t="shared" si="28"/>
        <v>-0.2708795220710255</v>
      </c>
      <c r="W296" s="17">
        <v>1456.83</v>
      </c>
      <c r="X296" s="17">
        <v>2050.5299999999997</v>
      </c>
      <c r="Y296" s="4">
        <f t="shared" si="29"/>
        <v>0.40752867527439696</v>
      </c>
      <c r="Z296" s="4"/>
    </row>
    <row r="297" spans="1:26" ht="15" customHeight="1">
      <c r="A297" s="26" t="s">
        <v>1851</v>
      </c>
      <c r="B297" s="26" t="s">
        <v>1845</v>
      </c>
      <c r="C297">
        <v>88</v>
      </c>
      <c r="E297" s="26" t="s">
        <v>1845</v>
      </c>
      <c r="F297">
        <v>112</v>
      </c>
      <c r="G297" t="b">
        <f t="shared" si="24"/>
        <v>1</v>
      </c>
      <c r="J297" s="24">
        <f t="shared" si="25"/>
        <v>24</v>
      </c>
      <c r="K297" s="4">
        <f t="shared" si="26"/>
        <v>0.27272727272727271</v>
      </c>
      <c r="M297" s="5">
        <v>266.06</v>
      </c>
      <c r="N297" s="5">
        <v>258.72000000000003</v>
      </c>
      <c r="Q297" s="5">
        <v>1507.79</v>
      </c>
      <c r="U297" s="141">
        <f t="shared" si="27"/>
        <v>-7.339999999999975</v>
      </c>
      <c r="V297" s="4">
        <f t="shared" si="28"/>
        <v>-2.7587762158911455E-2</v>
      </c>
      <c r="W297">
        <v>2199.12</v>
      </c>
      <c r="X297">
        <v>2797.65</v>
      </c>
      <c r="Y297" s="4">
        <f t="shared" si="29"/>
        <v>0.27216795809232797</v>
      </c>
    </row>
    <row r="298" spans="1:26" ht="15" customHeight="1">
      <c r="A298" s="26" t="s">
        <v>1852</v>
      </c>
      <c r="B298" s="26" t="s">
        <v>1846</v>
      </c>
      <c r="C298">
        <v>240</v>
      </c>
      <c r="E298" s="26" t="s">
        <v>1846</v>
      </c>
      <c r="F298">
        <v>492</v>
      </c>
      <c r="G298" t="b">
        <f t="shared" si="24"/>
        <v>1</v>
      </c>
      <c r="J298" s="24">
        <f t="shared" si="25"/>
        <v>252</v>
      </c>
      <c r="K298" s="4">
        <f t="shared" si="26"/>
        <v>1.0499999999999998</v>
      </c>
      <c r="M298" s="5">
        <v>757.12</v>
      </c>
      <c r="N298" s="5">
        <v>1205.08</v>
      </c>
      <c r="Q298" s="5">
        <v>8300.25</v>
      </c>
      <c r="U298" s="141">
        <f t="shared" si="27"/>
        <v>447.95999999999992</v>
      </c>
      <c r="V298" s="4">
        <f t="shared" si="28"/>
        <v>0.59166314454775981</v>
      </c>
      <c r="W298">
        <v>4797</v>
      </c>
      <c r="X298">
        <v>9116.68</v>
      </c>
      <c r="Y298" s="4">
        <f t="shared" si="29"/>
        <v>0.90049614342297279</v>
      </c>
    </row>
    <row r="299" spans="1:26" ht="15" customHeight="1">
      <c r="A299" s="26" t="s">
        <v>1853</v>
      </c>
      <c r="B299" s="26" t="s">
        <v>1847</v>
      </c>
      <c r="C299">
        <v>111</v>
      </c>
      <c r="E299" s="26" t="s">
        <v>1847</v>
      </c>
      <c r="F299">
        <v>167</v>
      </c>
      <c r="G299" t="b">
        <f t="shared" si="24"/>
        <v>1</v>
      </c>
      <c r="J299" s="24">
        <f t="shared" si="25"/>
        <v>56</v>
      </c>
      <c r="K299" s="4">
        <f t="shared" si="26"/>
        <v>0.50450450450450446</v>
      </c>
      <c r="M299" s="5">
        <v>715.01</v>
      </c>
      <c r="N299" s="5">
        <v>1285.3800000000001</v>
      </c>
      <c r="Q299" s="5">
        <v>3916.58</v>
      </c>
      <c r="U299" s="141">
        <f t="shared" si="27"/>
        <v>570.37000000000012</v>
      </c>
      <c r="V299" s="4">
        <f t="shared" si="28"/>
        <v>0.79770912294932961</v>
      </c>
      <c r="W299">
        <v>2218.69</v>
      </c>
      <c r="X299">
        <v>3133.93</v>
      </c>
      <c r="Y299" s="4">
        <f t="shared" si="29"/>
        <v>0.41251369051106734</v>
      </c>
    </row>
    <row r="300" spans="1:26" ht="15" customHeight="1">
      <c r="A300" s="26" t="s">
        <v>1854</v>
      </c>
      <c r="B300" s="26" t="s">
        <v>1848</v>
      </c>
      <c r="C300">
        <v>52</v>
      </c>
      <c r="E300" s="26" t="s">
        <v>1848</v>
      </c>
      <c r="F300">
        <v>270</v>
      </c>
      <c r="G300" t="b">
        <f t="shared" si="24"/>
        <v>1</v>
      </c>
      <c r="J300" s="24">
        <f t="shared" si="25"/>
        <v>218</v>
      </c>
      <c r="K300" s="4">
        <f t="shared" si="26"/>
        <v>4.1923076923076925</v>
      </c>
      <c r="M300" s="5">
        <v>404.05</v>
      </c>
      <c r="N300" s="5">
        <v>616.41999999999996</v>
      </c>
      <c r="Q300" s="5">
        <v>3419.59</v>
      </c>
      <c r="U300" s="141">
        <f t="shared" si="27"/>
        <v>212.36999999999995</v>
      </c>
      <c r="V300" s="4">
        <f t="shared" si="28"/>
        <v>0.52560326692241044</v>
      </c>
      <c r="W300">
        <v>1819.48</v>
      </c>
      <c r="X300">
        <v>7751.8</v>
      </c>
      <c r="Y300" s="4">
        <f t="shared" si="29"/>
        <v>3.2604480400993694</v>
      </c>
    </row>
    <row r="301" spans="1:26" ht="15" customHeight="1">
      <c r="A301" s="26" t="s">
        <v>1855</v>
      </c>
      <c r="B301" s="26" t="s">
        <v>1849</v>
      </c>
      <c r="C301">
        <v>59</v>
      </c>
      <c r="E301" s="26" t="s">
        <v>1849</v>
      </c>
      <c r="F301">
        <v>166</v>
      </c>
      <c r="G301" t="b">
        <f t="shared" si="24"/>
        <v>1</v>
      </c>
      <c r="J301" s="24">
        <f t="shared" si="25"/>
        <v>107</v>
      </c>
      <c r="K301" s="4">
        <f t="shared" si="26"/>
        <v>1.8135593220338984</v>
      </c>
      <c r="M301" s="5">
        <v>215.76</v>
      </c>
      <c r="N301" s="5">
        <v>739.2</v>
      </c>
      <c r="Q301" s="5">
        <v>1752.87</v>
      </c>
      <c r="U301" s="141">
        <f t="shared" si="27"/>
        <v>523.44000000000005</v>
      </c>
      <c r="V301" s="4">
        <f t="shared" si="28"/>
        <v>2.4260289210233594</v>
      </c>
      <c r="W301">
        <v>589.21</v>
      </c>
      <c r="X301">
        <v>1658.14</v>
      </c>
      <c r="Y301" s="4">
        <f t="shared" si="29"/>
        <v>1.8141749121705333</v>
      </c>
    </row>
    <row r="302" spans="1:26" ht="15" customHeight="1">
      <c r="A302" s="26" t="s">
        <v>1856</v>
      </c>
      <c r="B302" s="26" t="s">
        <v>1850</v>
      </c>
      <c r="C302">
        <v>64</v>
      </c>
      <c r="E302" s="26" t="s">
        <v>1850</v>
      </c>
      <c r="F302">
        <v>276</v>
      </c>
      <c r="G302" t="b">
        <f t="shared" si="24"/>
        <v>1</v>
      </c>
      <c r="J302" s="24">
        <f t="shared" si="25"/>
        <v>212</v>
      </c>
      <c r="K302" s="4">
        <f t="shared" si="26"/>
        <v>3.3125</v>
      </c>
      <c r="M302" s="5">
        <v>294.45999999999998</v>
      </c>
      <c r="N302" s="5">
        <v>1845.07</v>
      </c>
      <c r="Q302" s="5">
        <v>12234.21</v>
      </c>
      <c r="U302" s="141">
        <f t="shared" si="27"/>
        <v>1550.61</v>
      </c>
      <c r="V302" s="4">
        <f t="shared" si="28"/>
        <v>5.2659444406710589</v>
      </c>
      <c r="W302">
        <v>1599.36</v>
      </c>
      <c r="X302">
        <v>6316</v>
      </c>
      <c r="Y302" s="4">
        <f t="shared" si="29"/>
        <v>2.9490796318527415</v>
      </c>
    </row>
    <row r="303" spans="1:26" ht="15" customHeight="1">
      <c r="A303" s="38" t="s">
        <v>240</v>
      </c>
      <c r="B303" s="35" t="s">
        <v>241</v>
      </c>
      <c r="C303" s="27">
        <v>0</v>
      </c>
      <c r="E303" s="35" t="s">
        <v>241</v>
      </c>
      <c r="F303" s="27">
        <v>0</v>
      </c>
      <c r="G303" t="b">
        <f t="shared" si="24"/>
        <v>1</v>
      </c>
      <c r="J303" s="24">
        <f t="shared" si="25"/>
        <v>0</v>
      </c>
      <c r="K303" s="4" t="e">
        <f t="shared" si="26"/>
        <v>#DIV/0!</v>
      </c>
      <c r="M303" s="119">
        <v>0</v>
      </c>
      <c r="N303" s="119">
        <v>0</v>
      </c>
      <c r="Q303" s="119">
        <v>0</v>
      </c>
      <c r="U303" s="141">
        <f t="shared" si="27"/>
        <v>0</v>
      </c>
      <c r="V303" s="4">
        <f t="shared" si="28"/>
        <v>0</v>
      </c>
      <c r="W303" s="17">
        <v>0</v>
      </c>
      <c r="X303" s="17">
        <v>0</v>
      </c>
      <c r="Y303" s="4" t="e">
        <f t="shared" si="29"/>
        <v>#DIV/0!</v>
      </c>
      <c r="Z303" s="4"/>
    </row>
    <row r="304" spans="1:26" ht="15" customHeight="1">
      <c r="A304" s="26" t="s">
        <v>1825</v>
      </c>
      <c r="B304" s="26" t="s">
        <v>1840</v>
      </c>
      <c r="C304" s="27">
        <v>90</v>
      </c>
      <c r="E304" s="26" t="s">
        <v>1840</v>
      </c>
      <c r="F304" s="27">
        <v>126</v>
      </c>
      <c r="G304" t="b">
        <f t="shared" si="24"/>
        <v>1</v>
      </c>
      <c r="J304" s="24">
        <f t="shared" si="25"/>
        <v>36</v>
      </c>
      <c r="K304" s="4">
        <f t="shared" si="26"/>
        <v>0.39999999999999991</v>
      </c>
      <c r="M304" s="119">
        <v>663.1</v>
      </c>
      <c r="N304" s="119">
        <v>1158.78</v>
      </c>
      <c r="Q304" s="119">
        <v>3954.9</v>
      </c>
      <c r="U304" s="141">
        <f t="shared" si="27"/>
        <v>495.67999999999995</v>
      </c>
      <c r="V304" s="4">
        <f t="shared" si="28"/>
        <v>0.74751922786909963</v>
      </c>
      <c r="W304" s="17">
        <v>1798.5</v>
      </c>
      <c r="X304" s="17">
        <v>2318.54</v>
      </c>
      <c r="Y304" s="4">
        <f t="shared" si="29"/>
        <v>0.28915207117041986</v>
      </c>
      <c r="Z304" s="4"/>
    </row>
    <row r="305" spans="1:26" ht="15" customHeight="1">
      <c r="A305" s="38" t="s">
        <v>266</v>
      </c>
      <c r="B305" s="35" t="s">
        <v>267</v>
      </c>
      <c r="C305" s="27">
        <v>0</v>
      </c>
      <c r="E305" s="35" t="s">
        <v>267</v>
      </c>
      <c r="F305" s="27">
        <v>0</v>
      </c>
      <c r="G305" t="b">
        <f t="shared" si="24"/>
        <v>1</v>
      </c>
      <c r="J305" s="24">
        <f t="shared" si="25"/>
        <v>0</v>
      </c>
      <c r="K305" s="4" t="e">
        <f t="shared" si="26"/>
        <v>#DIV/0!</v>
      </c>
      <c r="M305" s="118">
        <v>0</v>
      </c>
      <c r="N305" s="118">
        <v>0</v>
      </c>
      <c r="Q305" s="118">
        <v>0</v>
      </c>
      <c r="U305" s="141">
        <f t="shared" si="27"/>
        <v>0</v>
      </c>
      <c r="V305" s="4">
        <f t="shared" si="28"/>
        <v>0</v>
      </c>
      <c r="W305" s="17">
        <v>0</v>
      </c>
      <c r="X305" s="17">
        <v>0</v>
      </c>
      <c r="Y305" s="4" t="e">
        <f t="shared" si="29"/>
        <v>#DIV/0!</v>
      </c>
      <c r="Z305" s="4"/>
    </row>
    <row r="306" spans="1:26" ht="15" customHeight="1">
      <c r="A306" s="26" t="s">
        <v>1822</v>
      </c>
      <c r="B306" s="26" t="s">
        <v>1837</v>
      </c>
      <c r="C306" s="27">
        <v>303</v>
      </c>
      <c r="E306" s="26" t="s">
        <v>1837</v>
      </c>
      <c r="F306" s="27">
        <v>271</v>
      </c>
      <c r="G306" t="b">
        <f t="shared" si="24"/>
        <v>1</v>
      </c>
      <c r="J306" s="24">
        <f t="shared" si="25"/>
        <v>-32</v>
      </c>
      <c r="K306" s="4">
        <f t="shared" si="26"/>
        <v>-0.10561056105610556</v>
      </c>
      <c r="M306" s="119">
        <v>1166.98</v>
      </c>
      <c r="N306" s="119">
        <v>1371.66</v>
      </c>
      <c r="Q306" s="119">
        <v>7780.01</v>
      </c>
      <c r="U306" s="141">
        <f t="shared" si="27"/>
        <v>204.68000000000006</v>
      </c>
      <c r="V306" s="4">
        <f t="shared" si="28"/>
        <v>0.17539289447976825</v>
      </c>
      <c r="W306" s="17">
        <v>4720.37</v>
      </c>
      <c r="X306" s="17">
        <v>5416.89</v>
      </c>
      <c r="Y306" s="4">
        <f t="shared" si="29"/>
        <v>0.14755622970233273</v>
      </c>
      <c r="Z306" s="4"/>
    </row>
    <row r="307" spans="1:26" ht="15" customHeight="1">
      <c r="A307" t="s">
        <v>254</v>
      </c>
      <c r="B307" t="s">
        <v>255</v>
      </c>
      <c r="C307" s="27">
        <v>3</v>
      </c>
      <c r="E307" t="s">
        <v>255</v>
      </c>
      <c r="F307" s="27">
        <v>3</v>
      </c>
      <c r="G307" t="b">
        <f t="shared" si="24"/>
        <v>1</v>
      </c>
      <c r="J307" s="24">
        <f t="shared" si="25"/>
        <v>0</v>
      </c>
      <c r="K307" s="4">
        <f t="shared" si="26"/>
        <v>0</v>
      </c>
      <c r="M307" s="119">
        <v>1.33</v>
      </c>
      <c r="N307" s="119">
        <v>0.8</v>
      </c>
      <c r="Q307" s="119">
        <v>0</v>
      </c>
      <c r="U307" s="141">
        <f t="shared" si="27"/>
        <v>-0.53</v>
      </c>
      <c r="V307" s="4">
        <f t="shared" si="28"/>
        <v>-0.39849624060150379</v>
      </c>
      <c r="W307" s="17">
        <v>110.85</v>
      </c>
      <c r="X307" s="17">
        <v>110.85</v>
      </c>
      <c r="Y307" s="4">
        <f t="shared" si="29"/>
        <v>0</v>
      </c>
      <c r="Z307" s="4"/>
    </row>
    <row r="308" spans="1:26" ht="15" customHeight="1">
      <c r="A308" t="s">
        <v>362</v>
      </c>
      <c r="B308" t="s">
        <v>363</v>
      </c>
      <c r="C308" s="27">
        <v>745</v>
      </c>
      <c r="E308" t="s">
        <v>363</v>
      </c>
      <c r="F308" s="27">
        <v>724</v>
      </c>
      <c r="G308" t="b">
        <f t="shared" si="24"/>
        <v>1</v>
      </c>
      <c r="J308" s="24">
        <f t="shared" si="25"/>
        <v>-21</v>
      </c>
      <c r="K308" s="4">
        <f t="shared" si="26"/>
        <v>-2.8187919463087296E-2</v>
      </c>
      <c r="M308" s="119">
        <v>356.91</v>
      </c>
      <c r="N308" s="119">
        <v>327.96</v>
      </c>
      <c r="Q308" s="119">
        <v>2806.52</v>
      </c>
      <c r="U308" s="141">
        <f t="shared" si="27"/>
        <v>-28.950000000000045</v>
      </c>
      <c r="V308" s="4">
        <f t="shared" si="28"/>
        <v>-8.1112885601412277E-2</v>
      </c>
      <c r="W308" s="17">
        <v>14870.24</v>
      </c>
      <c r="X308" s="17">
        <v>14471.76</v>
      </c>
      <c r="Y308" s="4">
        <f t="shared" si="29"/>
        <v>-2.6797146515456394E-2</v>
      </c>
      <c r="Z308" s="4"/>
    </row>
    <row r="309" spans="1:26" ht="15" customHeight="1">
      <c r="A309" t="s">
        <v>492</v>
      </c>
      <c r="B309" t="s">
        <v>493</v>
      </c>
      <c r="C309" s="27">
        <v>2027</v>
      </c>
      <c r="E309" t="s">
        <v>493</v>
      </c>
      <c r="F309" s="27">
        <v>1790</v>
      </c>
      <c r="G309" t="b">
        <f t="shared" si="24"/>
        <v>1</v>
      </c>
      <c r="J309" s="24">
        <f t="shared" si="25"/>
        <v>-237</v>
      </c>
      <c r="K309" s="4">
        <f t="shared" si="26"/>
        <v>-0.11692155895411938</v>
      </c>
      <c r="M309" s="119">
        <v>2646.36</v>
      </c>
      <c r="N309" s="119">
        <v>2566.77</v>
      </c>
      <c r="Q309" s="119">
        <v>22371.24</v>
      </c>
      <c r="U309" s="141">
        <f t="shared" si="27"/>
        <v>-79.590000000000146</v>
      </c>
      <c r="V309" s="4">
        <f t="shared" si="28"/>
        <v>-3.0075273205459663E-2</v>
      </c>
      <c r="W309" s="17">
        <v>54584.84</v>
      </c>
      <c r="X309" s="17">
        <v>48232.09</v>
      </c>
      <c r="Y309" s="4">
        <f t="shared" si="29"/>
        <v>-0.11638304701451907</v>
      </c>
      <c r="Z309" s="4"/>
    </row>
    <row r="310" spans="1:26" ht="15" customHeight="1">
      <c r="A310" t="s">
        <v>232</v>
      </c>
      <c r="B310" t="s">
        <v>233</v>
      </c>
      <c r="C310" s="27">
        <v>102</v>
      </c>
      <c r="E310" t="s">
        <v>233</v>
      </c>
      <c r="F310" s="27">
        <v>90</v>
      </c>
      <c r="G310" t="b">
        <f t="shared" si="24"/>
        <v>1</v>
      </c>
      <c r="J310" s="24">
        <f t="shared" si="25"/>
        <v>-12</v>
      </c>
      <c r="K310" s="4">
        <f t="shared" si="26"/>
        <v>-0.11764705882352944</v>
      </c>
      <c r="M310" s="119">
        <v>124.52</v>
      </c>
      <c r="N310" s="119">
        <v>80.42</v>
      </c>
      <c r="Q310" s="119">
        <v>779.66</v>
      </c>
      <c r="U310" s="141">
        <f t="shared" si="27"/>
        <v>-44.099999999999994</v>
      </c>
      <c r="V310" s="4">
        <f t="shared" si="28"/>
        <v>-0.35415997430131707</v>
      </c>
      <c r="W310" s="17">
        <v>2895.18</v>
      </c>
      <c r="X310" s="17">
        <v>2695.22</v>
      </c>
      <c r="Y310" s="4">
        <f t="shared" si="29"/>
        <v>-6.9066517453146292E-2</v>
      </c>
      <c r="Z310" s="4"/>
    </row>
    <row r="311" spans="1:26" ht="15" customHeight="1">
      <c r="A311" t="s">
        <v>234</v>
      </c>
      <c r="B311" t="s">
        <v>235</v>
      </c>
      <c r="C311" s="27">
        <v>447</v>
      </c>
      <c r="E311" t="s">
        <v>235</v>
      </c>
      <c r="F311" s="27">
        <v>316</v>
      </c>
      <c r="G311" t="b">
        <f t="shared" si="24"/>
        <v>1</v>
      </c>
      <c r="J311" s="24">
        <f t="shared" si="25"/>
        <v>-131</v>
      </c>
      <c r="K311" s="4">
        <f t="shared" si="26"/>
        <v>-0.29306487695749439</v>
      </c>
      <c r="M311" s="119">
        <v>530.15</v>
      </c>
      <c r="N311" s="119">
        <v>281.22000000000003</v>
      </c>
      <c r="Q311" s="119">
        <v>2101.44</v>
      </c>
      <c r="U311" s="141">
        <f t="shared" si="27"/>
        <v>-248.92999999999995</v>
      </c>
      <c r="V311" s="4">
        <f t="shared" si="28"/>
        <v>-0.46954635480524376</v>
      </c>
      <c r="W311" s="17">
        <v>13396.970000000001</v>
      </c>
      <c r="X311" s="17">
        <v>9471.2200000000012</v>
      </c>
      <c r="Y311" s="4">
        <f t="shared" si="29"/>
        <v>-0.29303267828471657</v>
      </c>
      <c r="Z311" s="4"/>
    </row>
    <row r="312" spans="1:26" ht="15" customHeight="1">
      <c r="A312" s="130" t="s">
        <v>276</v>
      </c>
      <c r="B312" s="129" t="s">
        <v>277</v>
      </c>
      <c r="C312" s="27">
        <v>920</v>
      </c>
      <c r="E312" s="129" t="s">
        <v>277</v>
      </c>
      <c r="F312" s="27">
        <v>638</v>
      </c>
      <c r="G312" t="b">
        <f t="shared" si="24"/>
        <v>1</v>
      </c>
      <c r="J312" s="24">
        <f t="shared" si="25"/>
        <v>-282</v>
      </c>
      <c r="K312" s="4">
        <f t="shared" si="26"/>
        <v>-0.30652173913043479</v>
      </c>
      <c r="M312" s="118">
        <v>1942.59</v>
      </c>
      <c r="N312" s="118">
        <v>1734.89</v>
      </c>
      <c r="Q312" s="118">
        <v>7733.62</v>
      </c>
      <c r="U312" s="141">
        <f t="shared" si="27"/>
        <v>-207.69999999999982</v>
      </c>
      <c r="V312" s="4">
        <f t="shared" si="28"/>
        <v>-0.10691911314276292</v>
      </c>
      <c r="W312" s="17">
        <v>16114.6</v>
      </c>
      <c r="X312" s="17">
        <v>12732.63</v>
      </c>
      <c r="Y312" s="4">
        <f t="shared" si="29"/>
        <v>-0.20986993161480905</v>
      </c>
      <c r="Z312" s="4"/>
    </row>
    <row r="313" spans="1:26" ht="15" customHeight="1">
      <c r="A313" s="122" t="s">
        <v>424</v>
      </c>
      <c r="B313" s="35" t="s">
        <v>425</v>
      </c>
      <c r="C313" s="27">
        <v>936</v>
      </c>
      <c r="E313" s="35" t="s">
        <v>425</v>
      </c>
      <c r="F313" s="27">
        <v>803</v>
      </c>
      <c r="G313" t="b">
        <f t="shared" si="24"/>
        <v>1</v>
      </c>
      <c r="J313" s="24">
        <f t="shared" si="25"/>
        <v>-133</v>
      </c>
      <c r="K313" s="4">
        <f t="shared" si="26"/>
        <v>-0.14209401709401714</v>
      </c>
      <c r="M313" s="118">
        <v>1222.1199999999999</v>
      </c>
      <c r="N313" s="118">
        <v>1172.4000000000001</v>
      </c>
      <c r="Q313" s="118">
        <v>3976.46</v>
      </c>
      <c r="U313" s="141">
        <f t="shared" si="27"/>
        <v>-49.7199999999998</v>
      </c>
      <c r="V313" s="4">
        <f t="shared" si="28"/>
        <v>-4.0683402611854658E-2</v>
      </c>
      <c r="W313" s="17">
        <v>12417.74</v>
      </c>
      <c r="X313" s="17">
        <v>11203.93</v>
      </c>
      <c r="Y313" s="4">
        <f t="shared" si="29"/>
        <v>-9.7748060436117945E-2</v>
      </c>
      <c r="Z313" s="4"/>
    </row>
    <row r="314" spans="1:26" ht="15" customHeight="1">
      <c r="A314" s="167" t="s">
        <v>554</v>
      </c>
      <c r="B314" s="26" t="s">
        <v>555</v>
      </c>
      <c r="C314" s="27">
        <v>512</v>
      </c>
      <c r="E314" s="26" t="s">
        <v>555</v>
      </c>
      <c r="F314" s="27">
        <v>442</v>
      </c>
      <c r="G314" t="b">
        <f t="shared" si="24"/>
        <v>1</v>
      </c>
      <c r="J314" s="24">
        <f t="shared" si="25"/>
        <v>-70</v>
      </c>
      <c r="K314" s="4">
        <f t="shared" si="26"/>
        <v>-0.13671875</v>
      </c>
      <c r="M314" s="119">
        <v>1896.23</v>
      </c>
      <c r="N314" s="119">
        <v>1358.64</v>
      </c>
      <c r="Q314" s="119">
        <v>6033.57</v>
      </c>
      <c r="U314" s="141">
        <f t="shared" si="27"/>
        <v>-537.58999999999992</v>
      </c>
      <c r="V314" s="4">
        <f t="shared" si="28"/>
        <v>-0.28350463815043525</v>
      </c>
      <c r="W314" s="17">
        <v>9189.68</v>
      </c>
      <c r="X314" s="17">
        <v>8214.3799999999992</v>
      </c>
      <c r="Y314" s="4">
        <f t="shared" si="29"/>
        <v>-0.10612991964899765</v>
      </c>
      <c r="Z314" s="4"/>
    </row>
    <row r="315" spans="1:26" ht="15" customHeight="1">
      <c r="A315" t="s">
        <v>326</v>
      </c>
      <c r="B315" t="s">
        <v>327</v>
      </c>
      <c r="C315" s="27">
        <v>556</v>
      </c>
      <c r="E315" t="s">
        <v>327</v>
      </c>
      <c r="F315" s="27">
        <v>490</v>
      </c>
      <c r="G315" t="b">
        <f t="shared" si="24"/>
        <v>1</v>
      </c>
      <c r="J315" s="24">
        <f t="shared" si="25"/>
        <v>-66</v>
      </c>
      <c r="K315" s="4">
        <f t="shared" si="26"/>
        <v>-0.11870503597122306</v>
      </c>
      <c r="M315" s="119">
        <v>370.42</v>
      </c>
      <c r="N315" s="119">
        <v>405.01</v>
      </c>
      <c r="Q315" s="119">
        <v>2245.81</v>
      </c>
      <c r="U315" s="141">
        <f t="shared" si="27"/>
        <v>34.589999999999975</v>
      </c>
      <c r="V315" s="4">
        <f t="shared" si="28"/>
        <v>9.3380487014739888E-2</v>
      </c>
      <c r="W315" s="17">
        <v>14965.69</v>
      </c>
      <c r="X315" s="17">
        <v>13192.73</v>
      </c>
      <c r="Y315" s="4">
        <f t="shared" si="29"/>
        <v>-0.11846830984739098</v>
      </c>
      <c r="Z315" s="4"/>
    </row>
    <row r="316" spans="1:26" ht="15" customHeight="1">
      <c r="A316" t="s">
        <v>582</v>
      </c>
      <c r="B316" t="s">
        <v>583</v>
      </c>
      <c r="C316" s="27">
        <v>1617</v>
      </c>
      <c r="E316" t="s">
        <v>583</v>
      </c>
      <c r="F316" s="27">
        <v>1469</v>
      </c>
      <c r="G316" t="b">
        <f t="shared" si="24"/>
        <v>1</v>
      </c>
      <c r="J316" s="24">
        <f t="shared" si="25"/>
        <v>-148</v>
      </c>
      <c r="K316" s="4">
        <f t="shared" si="26"/>
        <v>-9.1527520098948711E-2</v>
      </c>
      <c r="M316" s="119">
        <v>1193.32</v>
      </c>
      <c r="N316" s="119">
        <v>1729.8300000000002</v>
      </c>
      <c r="Q316" s="119">
        <v>15707.86</v>
      </c>
      <c r="U316" s="141">
        <f t="shared" si="27"/>
        <v>536.51000000000022</v>
      </c>
      <c r="V316" s="4">
        <f t="shared" si="28"/>
        <v>0.44959440887607705</v>
      </c>
      <c r="W316" s="17">
        <v>51614.57</v>
      </c>
      <c r="X316" s="17">
        <v>46729.74</v>
      </c>
      <c r="Y316" s="4">
        <f t="shared" si="29"/>
        <v>-9.4640524952547378E-2</v>
      </c>
      <c r="Z316" s="4"/>
    </row>
    <row r="317" spans="1:26" ht="15" customHeight="1">
      <c r="A317" s="38" t="s">
        <v>662</v>
      </c>
      <c r="B317" s="35" t="s">
        <v>663</v>
      </c>
      <c r="C317" s="27">
        <v>1256</v>
      </c>
      <c r="E317" s="35" t="s">
        <v>663</v>
      </c>
      <c r="F317" s="27">
        <v>919</v>
      </c>
      <c r="G317" t="b">
        <f t="shared" si="24"/>
        <v>1</v>
      </c>
      <c r="J317" s="24">
        <f t="shared" si="25"/>
        <v>-337</v>
      </c>
      <c r="K317" s="4">
        <f t="shared" si="26"/>
        <v>-0.26831210191082799</v>
      </c>
      <c r="M317" s="118">
        <v>2776.96</v>
      </c>
      <c r="N317" s="118">
        <v>2618.94</v>
      </c>
      <c r="Q317" s="118">
        <v>13282.02</v>
      </c>
      <c r="U317" s="141">
        <f t="shared" si="27"/>
        <v>-158.01999999999998</v>
      </c>
      <c r="V317" s="4">
        <f t="shared" si="28"/>
        <v>-5.6903952523622903E-2</v>
      </c>
      <c r="W317" s="17">
        <v>22029.66</v>
      </c>
      <c r="X317" s="17">
        <v>18348.02</v>
      </c>
      <c r="Y317" s="4">
        <f t="shared" si="29"/>
        <v>-0.16712196193677065</v>
      </c>
      <c r="Z317" s="4"/>
    </row>
    <row r="318" spans="1:26" ht="15" customHeight="1">
      <c r="A318" t="s">
        <v>486</v>
      </c>
      <c r="B318" t="s">
        <v>487</v>
      </c>
      <c r="C318" s="27">
        <v>748</v>
      </c>
      <c r="E318" t="s">
        <v>487</v>
      </c>
      <c r="F318" s="27">
        <v>928</v>
      </c>
      <c r="G318" t="b">
        <f t="shared" si="24"/>
        <v>1</v>
      </c>
      <c r="J318" s="24">
        <f t="shared" si="25"/>
        <v>180</v>
      </c>
      <c r="K318" s="4">
        <f t="shared" si="26"/>
        <v>0.2406417112299466</v>
      </c>
      <c r="M318" s="119">
        <v>1548.08</v>
      </c>
      <c r="N318" s="119">
        <v>1975.97</v>
      </c>
      <c r="Q318" s="119">
        <v>10244.67</v>
      </c>
      <c r="U318" s="141">
        <f t="shared" si="27"/>
        <v>427.8900000000001</v>
      </c>
      <c r="V318" s="4">
        <f t="shared" si="28"/>
        <v>0.27640044442147693</v>
      </c>
      <c r="W318" s="17">
        <v>22309.87</v>
      </c>
      <c r="X318" s="17">
        <v>25708</v>
      </c>
      <c r="Y318" s="4">
        <f t="shared" si="29"/>
        <v>0.15231509641248464</v>
      </c>
      <c r="Z318" s="4"/>
    </row>
    <row r="319" spans="1:26" ht="15" customHeight="1">
      <c r="A319" s="26" t="s">
        <v>1809</v>
      </c>
      <c r="B319" s="26" t="s">
        <v>1610</v>
      </c>
      <c r="C319" s="27">
        <v>37</v>
      </c>
      <c r="E319" s="26" t="s">
        <v>1610</v>
      </c>
      <c r="F319" s="27">
        <v>42</v>
      </c>
      <c r="G319" t="b">
        <f t="shared" si="24"/>
        <v>1</v>
      </c>
      <c r="J319" s="24">
        <f t="shared" si="25"/>
        <v>5</v>
      </c>
      <c r="K319" s="4">
        <f t="shared" si="26"/>
        <v>0.13513513513513509</v>
      </c>
      <c r="M319" s="119">
        <v>147.80000000000001</v>
      </c>
      <c r="N319" s="119">
        <v>129.38</v>
      </c>
      <c r="Q319" s="119">
        <v>658.2</v>
      </c>
      <c r="U319" s="141">
        <f t="shared" si="27"/>
        <v>-18.420000000000016</v>
      </c>
      <c r="V319" s="4">
        <f t="shared" si="28"/>
        <v>-0.12462787550744259</v>
      </c>
      <c r="W319" s="17">
        <v>700.77</v>
      </c>
      <c r="X319" s="17">
        <v>795.71</v>
      </c>
      <c r="Y319" s="4">
        <f t="shared" si="29"/>
        <v>0.1354795439302483</v>
      </c>
      <c r="Z319" s="4"/>
    </row>
    <row r="320" spans="1:26" ht="15" customHeight="1">
      <c r="A320" s="38" t="s">
        <v>340</v>
      </c>
      <c r="B320" s="35" t="s">
        <v>341</v>
      </c>
      <c r="C320" s="27">
        <v>273</v>
      </c>
      <c r="E320" s="35" t="s">
        <v>341</v>
      </c>
      <c r="F320" s="27">
        <v>214</v>
      </c>
      <c r="G320" t="b">
        <f t="shared" si="24"/>
        <v>1</v>
      </c>
      <c r="J320" s="24">
        <f t="shared" si="25"/>
        <v>-59</v>
      </c>
      <c r="K320" s="4">
        <f t="shared" si="26"/>
        <v>-0.21611721611721613</v>
      </c>
      <c r="M320" s="119">
        <v>1234.3800000000001</v>
      </c>
      <c r="N320" s="119">
        <v>935.62</v>
      </c>
      <c r="Q320" s="119">
        <v>4211.4399999999996</v>
      </c>
      <c r="U320" s="141">
        <f t="shared" si="27"/>
        <v>-298.7600000000001</v>
      </c>
      <c r="V320" s="4">
        <f t="shared" si="28"/>
        <v>-0.24203243733696278</v>
      </c>
      <c r="W320" s="17">
        <v>5117.2299999999996</v>
      </c>
      <c r="X320" s="17">
        <v>4325.8999999999996</v>
      </c>
      <c r="Y320" s="4">
        <f t="shared" si="29"/>
        <v>-0.15464030344541868</v>
      </c>
      <c r="Z320" s="4"/>
    </row>
    <row r="321" spans="1:26" ht="15" customHeight="1">
      <c r="A321" s="26" t="s">
        <v>1827</v>
      </c>
      <c r="B321" s="26" t="s">
        <v>1842</v>
      </c>
      <c r="C321" s="27">
        <v>133</v>
      </c>
      <c r="E321" s="26" t="s">
        <v>1842</v>
      </c>
      <c r="F321" s="27">
        <v>95</v>
      </c>
      <c r="G321" t="b">
        <f t="shared" si="24"/>
        <v>1</v>
      </c>
      <c r="J321" s="24">
        <f t="shared" si="25"/>
        <v>-38</v>
      </c>
      <c r="K321" s="4">
        <f t="shared" si="26"/>
        <v>-0.2857142857142857</v>
      </c>
      <c r="M321" s="119">
        <v>504.15</v>
      </c>
      <c r="N321" s="119">
        <v>396.81</v>
      </c>
      <c r="Q321" s="119">
        <v>3111.8</v>
      </c>
      <c r="U321" s="141">
        <f t="shared" si="27"/>
        <v>-107.33999999999997</v>
      </c>
      <c r="V321" s="4">
        <f t="shared" si="28"/>
        <v>-0.21291282356441532</v>
      </c>
      <c r="W321" s="17">
        <v>4327.67</v>
      </c>
      <c r="X321" s="17">
        <v>3512.57</v>
      </c>
      <c r="Y321" s="4">
        <f t="shared" si="29"/>
        <v>-0.1883461539350274</v>
      </c>
      <c r="Z321" s="4"/>
    </row>
    <row r="322" spans="1:26" ht="15" customHeight="1">
      <c r="A322" t="s">
        <v>438</v>
      </c>
      <c r="B322" t="s">
        <v>439</v>
      </c>
      <c r="C322" s="27">
        <v>558</v>
      </c>
      <c r="E322" t="s">
        <v>439</v>
      </c>
      <c r="F322" s="27">
        <v>632</v>
      </c>
      <c r="G322" t="b">
        <f t="shared" ref="G322:G385" si="30">IF(B322=E322,TRUE,FALSE)</f>
        <v>1</v>
      </c>
      <c r="J322" s="24">
        <f t="shared" ref="J322:J385" si="31">F322-C322</f>
        <v>74</v>
      </c>
      <c r="K322" s="4">
        <f t="shared" ref="K322:K385" si="32">F322/C322-1</f>
        <v>0.13261648745519716</v>
      </c>
      <c r="M322" s="119">
        <v>750.07</v>
      </c>
      <c r="N322" s="119">
        <v>833.95</v>
      </c>
      <c r="Q322" s="119">
        <v>5808.65</v>
      </c>
      <c r="U322" s="141">
        <f t="shared" ref="U322:U385" si="33">N322-M322</f>
        <v>83.88</v>
      </c>
      <c r="V322" s="4">
        <f t="shared" ref="V322:V385" si="34">IF(M322=0,0,N322/M322-1)</f>
        <v>0.11182956257415966</v>
      </c>
      <c r="W322" s="17">
        <v>13864.619999999999</v>
      </c>
      <c r="X322" s="17">
        <v>14905.58</v>
      </c>
      <c r="Y322" s="4">
        <f t="shared" ref="Y322:Y385" si="35">X322/W322-1</f>
        <v>7.5080312334560917E-2</v>
      </c>
      <c r="Z322" s="4"/>
    </row>
    <row r="323" spans="1:26" ht="15" customHeight="1">
      <c r="A323" s="26" t="s">
        <v>1824</v>
      </c>
      <c r="B323" s="26" t="s">
        <v>1839</v>
      </c>
      <c r="C323" s="27">
        <v>431</v>
      </c>
      <c r="E323" s="26" t="s">
        <v>1839</v>
      </c>
      <c r="F323" s="27">
        <v>285</v>
      </c>
      <c r="G323" t="b">
        <f t="shared" si="30"/>
        <v>1</v>
      </c>
      <c r="J323" s="24">
        <f t="shared" si="31"/>
        <v>-146</v>
      </c>
      <c r="K323" s="4">
        <f t="shared" si="32"/>
        <v>-0.33874709976798145</v>
      </c>
      <c r="M323" s="119">
        <v>1582.89</v>
      </c>
      <c r="N323" s="119">
        <v>1320.37</v>
      </c>
      <c r="Q323" s="119">
        <v>6090.78</v>
      </c>
      <c r="U323" s="141">
        <f t="shared" si="33"/>
        <v>-262.52000000000021</v>
      </c>
      <c r="V323" s="4">
        <f t="shared" si="34"/>
        <v>-0.16584854285515749</v>
      </c>
      <c r="W323" s="17">
        <v>9647.65</v>
      </c>
      <c r="X323" s="17">
        <v>7691.34</v>
      </c>
      <c r="Y323" s="4">
        <f t="shared" si="35"/>
        <v>-0.20277580550704055</v>
      </c>
      <c r="Z323" s="4"/>
    </row>
    <row r="324" spans="1:26" ht="15" customHeight="1">
      <c r="A324" s="26" t="s">
        <v>1826</v>
      </c>
      <c r="B324" s="26" t="s">
        <v>1841</v>
      </c>
      <c r="C324" s="27">
        <v>436</v>
      </c>
      <c r="E324" s="26" t="s">
        <v>1841</v>
      </c>
      <c r="F324" s="27">
        <v>156</v>
      </c>
      <c r="G324" t="b">
        <f t="shared" si="30"/>
        <v>1</v>
      </c>
      <c r="J324" s="24">
        <f t="shared" si="31"/>
        <v>-280</v>
      </c>
      <c r="K324" s="4">
        <f t="shared" si="32"/>
        <v>-0.64220183486238525</v>
      </c>
      <c r="M324" s="119">
        <v>1111.47</v>
      </c>
      <c r="N324" s="119">
        <v>587.49</v>
      </c>
      <c r="Q324" s="119">
        <v>3430.94</v>
      </c>
      <c r="U324" s="141">
        <f t="shared" si="33"/>
        <v>-523.98</v>
      </c>
      <c r="V324" s="4">
        <f t="shared" si="34"/>
        <v>-0.47142972819779216</v>
      </c>
      <c r="W324" s="17">
        <v>5741.05</v>
      </c>
      <c r="X324" s="17">
        <v>3117.44</v>
      </c>
      <c r="Y324" s="4">
        <f t="shared" si="35"/>
        <v>-0.45699131691937889</v>
      </c>
      <c r="Z324" s="4"/>
    </row>
    <row r="325" spans="1:26" ht="15" customHeight="1">
      <c r="A325" s="26" t="s">
        <v>1821</v>
      </c>
      <c r="B325" s="26" t="s">
        <v>1836</v>
      </c>
      <c r="C325" s="27">
        <v>90</v>
      </c>
      <c r="E325" s="26" t="s">
        <v>1836</v>
      </c>
      <c r="F325" s="27">
        <v>47</v>
      </c>
      <c r="G325" t="b">
        <f t="shared" si="30"/>
        <v>1</v>
      </c>
      <c r="J325" s="24">
        <f t="shared" si="31"/>
        <v>-43</v>
      </c>
      <c r="K325" s="4">
        <f t="shared" si="32"/>
        <v>-0.47777777777777775</v>
      </c>
      <c r="M325" s="119">
        <v>469.14</v>
      </c>
      <c r="N325" s="119">
        <v>182.36</v>
      </c>
      <c r="Q325" s="119">
        <v>841.54</v>
      </c>
      <c r="U325" s="141">
        <f t="shared" si="33"/>
        <v>-286.77999999999997</v>
      </c>
      <c r="V325" s="4">
        <f t="shared" si="34"/>
        <v>-0.6112887411007375</v>
      </c>
      <c r="W325" s="17">
        <v>1427.1</v>
      </c>
      <c r="X325" s="17">
        <v>836.93</v>
      </c>
      <c r="Y325" s="4">
        <f t="shared" si="35"/>
        <v>-0.41354495129983881</v>
      </c>
      <c r="Z325" s="4"/>
    </row>
    <row r="326" spans="1:26" ht="15" customHeight="1">
      <c r="A326" t="s">
        <v>654</v>
      </c>
      <c r="B326" t="s">
        <v>655</v>
      </c>
      <c r="C326" s="27">
        <v>3066</v>
      </c>
      <c r="E326" t="s">
        <v>655</v>
      </c>
      <c r="F326" s="27">
        <v>2102</v>
      </c>
      <c r="G326" t="b">
        <f t="shared" si="30"/>
        <v>1</v>
      </c>
      <c r="J326" s="24">
        <f t="shared" si="31"/>
        <v>-964</v>
      </c>
      <c r="K326" s="4">
        <f t="shared" si="32"/>
        <v>-0.31441617742987604</v>
      </c>
      <c r="M326" s="119">
        <v>4548.57</v>
      </c>
      <c r="N326" s="119">
        <v>4845.57</v>
      </c>
      <c r="Q326" s="119">
        <v>31173.59</v>
      </c>
      <c r="U326" s="141">
        <f t="shared" si="33"/>
        <v>297</v>
      </c>
      <c r="V326" s="4">
        <f t="shared" si="34"/>
        <v>6.5295246637954385E-2</v>
      </c>
      <c r="W326" s="17">
        <v>86444.04</v>
      </c>
      <c r="X326" s="17">
        <v>62741.279999999999</v>
      </c>
      <c r="Y326" s="4">
        <f t="shared" si="35"/>
        <v>-0.27419773532102387</v>
      </c>
      <c r="Z326" s="4"/>
    </row>
    <row r="327" spans="1:26" ht="15" customHeight="1">
      <c r="A327" t="s">
        <v>160</v>
      </c>
      <c r="B327" t="s">
        <v>161</v>
      </c>
      <c r="C327" s="27">
        <v>1134</v>
      </c>
      <c r="E327" t="s">
        <v>161</v>
      </c>
      <c r="F327" s="27">
        <v>739</v>
      </c>
      <c r="G327" t="b">
        <f t="shared" si="30"/>
        <v>1</v>
      </c>
      <c r="J327" s="24">
        <f t="shared" si="31"/>
        <v>-395</v>
      </c>
      <c r="K327" s="4">
        <f t="shared" si="32"/>
        <v>-0.34832451499118167</v>
      </c>
      <c r="M327" s="119">
        <v>2121.63</v>
      </c>
      <c r="N327" s="119">
        <v>1208.8900000000001</v>
      </c>
      <c r="Q327" s="119">
        <v>7550.54</v>
      </c>
      <c r="U327" s="141">
        <f t="shared" si="33"/>
        <v>-912.74</v>
      </c>
      <c r="V327" s="4">
        <f t="shared" si="34"/>
        <v>-0.43020696351390197</v>
      </c>
      <c r="W327" s="17">
        <v>27194.34</v>
      </c>
      <c r="X327" s="17">
        <v>17724.310000000001</v>
      </c>
      <c r="Y327" s="4">
        <f t="shared" si="35"/>
        <v>-0.34823533132262074</v>
      </c>
      <c r="Z327" s="4"/>
    </row>
    <row r="328" spans="1:26" ht="15" customHeight="1">
      <c r="A328" s="38" t="s">
        <v>670</v>
      </c>
      <c r="B328" s="35" t="s">
        <v>671</v>
      </c>
      <c r="C328" s="18">
        <v>599</v>
      </c>
      <c r="E328" s="35" t="s">
        <v>671</v>
      </c>
      <c r="F328" s="18">
        <v>638</v>
      </c>
      <c r="G328" t="b">
        <f t="shared" si="30"/>
        <v>1</v>
      </c>
      <c r="J328" s="24">
        <f t="shared" si="31"/>
        <v>39</v>
      </c>
      <c r="K328" s="4">
        <f t="shared" si="32"/>
        <v>6.5108514190317157E-2</v>
      </c>
      <c r="M328" s="118">
        <v>1143.99</v>
      </c>
      <c r="N328" s="118">
        <v>1007.84</v>
      </c>
      <c r="Q328" s="118">
        <v>6171.8</v>
      </c>
      <c r="U328" s="141">
        <f t="shared" si="33"/>
        <v>-136.14999999999998</v>
      </c>
      <c r="V328" s="4">
        <f t="shared" si="34"/>
        <v>-0.11901327808809514</v>
      </c>
      <c r="W328">
        <v>11943.62</v>
      </c>
      <c r="X328">
        <v>11813.08</v>
      </c>
      <c r="Y328" s="4">
        <f t="shared" si="35"/>
        <v>-1.0929684634976788E-2</v>
      </c>
      <c r="Z328" s="4"/>
    </row>
    <row r="329" spans="1:26" ht="15" customHeight="1">
      <c r="A329" t="s">
        <v>404</v>
      </c>
      <c r="B329" t="s">
        <v>405</v>
      </c>
      <c r="C329" s="27">
        <v>530</v>
      </c>
      <c r="E329" t="s">
        <v>405</v>
      </c>
      <c r="F329" s="27">
        <v>1</v>
      </c>
      <c r="G329" t="b">
        <f t="shared" si="30"/>
        <v>1</v>
      </c>
      <c r="J329" s="24">
        <f t="shared" si="31"/>
        <v>-529</v>
      </c>
      <c r="K329" s="4">
        <f t="shared" si="32"/>
        <v>-0.99811320754716981</v>
      </c>
      <c r="M329" s="119">
        <v>697.28</v>
      </c>
      <c r="N329" s="119">
        <v>0</v>
      </c>
      <c r="Q329" s="119">
        <v>0</v>
      </c>
      <c r="U329" s="141">
        <f t="shared" si="33"/>
        <v>-697.28</v>
      </c>
      <c r="V329" s="4">
        <f t="shared" si="34"/>
        <v>-1</v>
      </c>
      <c r="W329" s="17">
        <v>15357.74</v>
      </c>
      <c r="X329" s="17">
        <v>28.99</v>
      </c>
      <c r="Y329" s="4">
        <f t="shared" si="35"/>
        <v>-0.99811235246852725</v>
      </c>
      <c r="Z329" s="4"/>
    </row>
    <row r="330" spans="1:26" ht="15" customHeight="1">
      <c r="A330" s="26" t="s">
        <v>1818</v>
      </c>
      <c r="B330" s="26" t="s">
        <v>1833</v>
      </c>
      <c r="C330" s="27">
        <v>122</v>
      </c>
      <c r="E330" s="26" t="s">
        <v>1833</v>
      </c>
      <c r="F330" s="27">
        <v>68</v>
      </c>
      <c r="G330" t="b">
        <f t="shared" si="30"/>
        <v>1</v>
      </c>
      <c r="J330" s="24">
        <f t="shared" si="31"/>
        <v>-54</v>
      </c>
      <c r="K330" s="4">
        <f t="shared" si="32"/>
        <v>-0.44262295081967218</v>
      </c>
      <c r="M330" s="119">
        <v>839.45</v>
      </c>
      <c r="N330" s="119">
        <v>455.03</v>
      </c>
      <c r="Q330" s="119">
        <v>2583.5</v>
      </c>
      <c r="U330" s="141">
        <f t="shared" si="33"/>
        <v>-384.42000000000007</v>
      </c>
      <c r="V330" s="4">
        <f t="shared" si="34"/>
        <v>-0.45794270057775932</v>
      </c>
      <c r="W330" s="17">
        <v>2078.56</v>
      </c>
      <c r="X330" s="17">
        <v>1380.92</v>
      </c>
      <c r="Y330" s="4">
        <f t="shared" si="35"/>
        <v>-0.33563620968362706</v>
      </c>
      <c r="Z330" s="4"/>
    </row>
    <row r="331" spans="1:26" ht="15" customHeight="1">
      <c r="A331" t="s">
        <v>204</v>
      </c>
      <c r="B331" t="s">
        <v>205</v>
      </c>
      <c r="C331" s="27">
        <v>476</v>
      </c>
      <c r="E331" t="s">
        <v>205</v>
      </c>
      <c r="F331" s="27">
        <v>519</v>
      </c>
      <c r="G331" t="b">
        <f t="shared" si="30"/>
        <v>1</v>
      </c>
      <c r="J331" s="24">
        <f t="shared" si="31"/>
        <v>43</v>
      </c>
      <c r="K331" s="4">
        <f t="shared" si="32"/>
        <v>9.0336134453781414E-2</v>
      </c>
      <c r="M331" s="119">
        <v>903</v>
      </c>
      <c r="N331" s="119">
        <v>898.13</v>
      </c>
      <c r="Q331" s="119">
        <v>3395.75</v>
      </c>
      <c r="U331" s="141">
        <f t="shared" si="33"/>
        <v>-4.8700000000000045</v>
      </c>
      <c r="V331" s="4">
        <f t="shared" si="34"/>
        <v>-5.3931339977851822E-3</v>
      </c>
      <c r="W331" s="17">
        <v>10446.66</v>
      </c>
      <c r="X331" s="17">
        <v>11389.63</v>
      </c>
      <c r="Y331" s="4">
        <f t="shared" si="35"/>
        <v>9.0265213953550694E-2</v>
      </c>
      <c r="Z331" s="4"/>
    </row>
    <row r="332" spans="1:26" ht="15" customHeight="1">
      <c r="A332" s="26" t="s">
        <v>1817</v>
      </c>
      <c r="B332" s="26" t="s">
        <v>1832</v>
      </c>
      <c r="C332" s="27">
        <v>146</v>
      </c>
      <c r="E332" s="26" t="s">
        <v>1832</v>
      </c>
      <c r="F332" s="27">
        <v>29</v>
      </c>
      <c r="G332" t="b">
        <f t="shared" si="30"/>
        <v>1</v>
      </c>
      <c r="J332" s="24">
        <f t="shared" si="31"/>
        <v>-117</v>
      </c>
      <c r="K332" s="4">
        <f t="shared" si="32"/>
        <v>-0.80136986301369861</v>
      </c>
      <c r="M332" s="119">
        <v>262.10000000000002</v>
      </c>
      <c r="N332" s="119">
        <v>168.52</v>
      </c>
      <c r="Q332" s="119">
        <v>542.19000000000005</v>
      </c>
      <c r="U332" s="141">
        <f t="shared" si="33"/>
        <v>-93.580000000000013</v>
      </c>
      <c r="V332" s="4">
        <f t="shared" si="34"/>
        <v>-0.35703929797787104</v>
      </c>
      <c r="W332" s="17">
        <v>1716.54</v>
      </c>
      <c r="X332" s="17">
        <v>579.51</v>
      </c>
      <c r="Y332" s="4">
        <f t="shared" si="35"/>
        <v>-0.66239644866999892</v>
      </c>
      <c r="Z332" s="4"/>
    </row>
    <row r="333" spans="1:26" ht="15" customHeight="1">
      <c r="A333" s="26" t="s">
        <v>1823</v>
      </c>
      <c r="B333" s="26" t="s">
        <v>1838</v>
      </c>
      <c r="C333" s="27">
        <v>163</v>
      </c>
      <c r="E333" s="26" t="s">
        <v>1838</v>
      </c>
      <c r="F333" s="27">
        <v>210</v>
      </c>
      <c r="G333" t="b">
        <f t="shared" si="30"/>
        <v>1</v>
      </c>
      <c r="J333" s="24">
        <f t="shared" si="31"/>
        <v>47</v>
      </c>
      <c r="K333" s="4">
        <f t="shared" si="32"/>
        <v>0.28834355828220848</v>
      </c>
      <c r="M333" s="119">
        <v>640.61</v>
      </c>
      <c r="N333" s="119">
        <v>776.94</v>
      </c>
      <c r="Q333" s="119">
        <v>3946.99</v>
      </c>
      <c r="U333" s="141">
        <f t="shared" si="33"/>
        <v>136.33000000000004</v>
      </c>
      <c r="V333" s="4">
        <f t="shared" si="34"/>
        <v>0.21281278781161705</v>
      </c>
      <c r="W333" s="17">
        <v>2644.37</v>
      </c>
      <c r="X333" s="17">
        <v>3643.3</v>
      </c>
      <c r="Y333" s="4">
        <f t="shared" si="35"/>
        <v>0.37775727299886186</v>
      </c>
      <c r="Z333" s="4"/>
    </row>
    <row r="334" spans="1:26" ht="15" customHeight="1">
      <c r="A334" s="123" t="s">
        <v>62</v>
      </c>
      <c r="B334" s="123" t="s">
        <v>63</v>
      </c>
      <c r="C334" s="27">
        <v>594</v>
      </c>
      <c r="E334" s="123" t="s">
        <v>63</v>
      </c>
      <c r="F334" s="27">
        <v>844</v>
      </c>
      <c r="G334" t="b">
        <f t="shared" si="30"/>
        <v>1</v>
      </c>
      <c r="J334" s="24">
        <f t="shared" si="31"/>
        <v>250</v>
      </c>
      <c r="K334" s="4">
        <f t="shared" si="32"/>
        <v>0.42087542087542085</v>
      </c>
      <c r="M334" s="118">
        <v>2771.32</v>
      </c>
      <c r="N334" s="118">
        <v>2777.22</v>
      </c>
      <c r="Q334" s="118">
        <v>14193.66</v>
      </c>
      <c r="U334" s="141">
        <f t="shared" si="33"/>
        <v>5.8999999999996362</v>
      </c>
      <c r="V334" s="4">
        <f t="shared" si="34"/>
        <v>2.1289493815219718E-3</v>
      </c>
      <c r="W334" s="17">
        <v>20653.759999999998</v>
      </c>
      <c r="X334" s="17">
        <v>25305.88</v>
      </c>
      <c r="Y334" s="4">
        <f t="shared" si="35"/>
        <v>0.22524324868692203</v>
      </c>
      <c r="Z334" s="4"/>
    </row>
    <row r="335" spans="1:26" ht="15" customHeight="1">
      <c r="A335" s="123" t="s">
        <v>68</v>
      </c>
      <c r="B335" s="123" t="s">
        <v>69</v>
      </c>
      <c r="C335" s="27">
        <v>748</v>
      </c>
      <c r="E335" s="123" t="s">
        <v>69</v>
      </c>
      <c r="F335" s="27">
        <v>776</v>
      </c>
      <c r="G335" t="b">
        <f t="shared" si="30"/>
        <v>1</v>
      </c>
      <c r="J335" s="24">
        <f t="shared" si="31"/>
        <v>28</v>
      </c>
      <c r="K335" s="4">
        <f t="shared" si="32"/>
        <v>3.7433155080213831E-2</v>
      </c>
      <c r="M335" s="118">
        <v>1804.08</v>
      </c>
      <c r="N335" s="118">
        <v>2141.52</v>
      </c>
      <c r="Q335" s="118">
        <v>15544.81</v>
      </c>
      <c r="U335" s="141">
        <f t="shared" si="33"/>
        <v>337.44000000000005</v>
      </c>
      <c r="V335" s="4">
        <f t="shared" si="34"/>
        <v>0.1870427032060662</v>
      </c>
      <c r="W335" s="17">
        <v>27796.41</v>
      </c>
      <c r="X335" s="17">
        <v>28368.3</v>
      </c>
      <c r="Y335" s="4">
        <f t="shared" si="35"/>
        <v>2.0574239623030399E-2</v>
      </c>
      <c r="Z335" s="4"/>
    </row>
    <row r="336" spans="1:26" ht="15" customHeight="1">
      <c r="A336" t="s">
        <v>244</v>
      </c>
      <c r="B336" t="s">
        <v>245</v>
      </c>
      <c r="C336" s="27">
        <v>1325</v>
      </c>
      <c r="E336" t="s">
        <v>245</v>
      </c>
      <c r="F336" s="27">
        <v>1397</v>
      </c>
      <c r="G336" t="b">
        <f t="shared" si="30"/>
        <v>1</v>
      </c>
      <c r="J336" s="24">
        <f t="shared" si="31"/>
        <v>72</v>
      </c>
      <c r="K336" s="4">
        <f t="shared" si="32"/>
        <v>5.4339622641509377E-2</v>
      </c>
      <c r="M336" s="119">
        <v>2465.2600000000002</v>
      </c>
      <c r="N336" s="119">
        <v>2529.63</v>
      </c>
      <c r="Q336" s="119">
        <v>16407.350000000002</v>
      </c>
      <c r="U336" s="141">
        <f t="shared" si="33"/>
        <v>64.369999999999891</v>
      </c>
      <c r="V336" s="4">
        <f t="shared" si="34"/>
        <v>2.6110836179551011E-2</v>
      </c>
      <c r="W336" s="17">
        <v>39725.050000000003</v>
      </c>
      <c r="X336" s="17">
        <v>39641.840000000004</v>
      </c>
      <c r="Y336" s="4">
        <f t="shared" si="35"/>
        <v>-2.0946480872899853E-3</v>
      </c>
      <c r="Z336" s="4"/>
    </row>
    <row r="337" spans="1:26" ht="15" customHeight="1">
      <c r="A337" s="167" t="s">
        <v>420</v>
      </c>
      <c r="B337" s="26" t="s">
        <v>421</v>
      </c>
      <c r="C337" s="27">
        <v>173</v>
      </c>
      <c r="E337" s="26" t="s">
        <v>421</v>
      </c>
      <c r="F337" s="27">
        <v>200</v>
      </c>
      <c r="G337" t="b">
        <f t="shared" si="30"/>
        <v>1</v>
      </c>
      <c r="J337" s="24">
        <f t="shared" si="31"/>
        <v>27</v>
      </c>
      <c r="K337" s="4">
        <f t="shared" si="32"/>
        <v>0.1560693641618498</v>
      </c>
      <c r="M337" s="119">
        <v>1131.32</v>
      </c>
      <c r="N337" s="119">
        <v>1147.8</v>
      </c>
      <c r="Q337" s="119">
        <v>3408.75</v>
      </c>
      <c r="U337" s="141">
        <f t="shared" si="33"/>
        <v>16.480000000000018</v>
      </c>
      <c r="V337" s="4">
        <f t="shared" si="34"/>
        <v>1.4567054414312608E-2</v>
      </c>
      <c r="W337" s="17">
        <v>2934.08</v>
      </c>
      <c r="X337" s="17">
        <v>3355.8</v>
      </c>
      <c r="Y337" s="4">
        <f t="shared" si="35"/>
        <v>0.14373159559384896</v>
      </c>
      <c r="Z337" s="4"/>
    </row>
    <row r="338" spans="1:26" ht="15" customHeight="1">
      <c r="A338" s="26" t="s">
        <v>1820</v>
      </c>
      <c r="B338" s="26" t="s">
        <v>1835</v>
      </c>
      <c r="C338" s="27">
        <v>275</v>
      </c>
      <c r="E338" s="26" t="s">
        <v>1835</v>
      </c>
      <c r="F338" s="27">
        <v>188</v>
      </c>
      <c r="G338" t="b">
        <f t="shared" si="30"/>
        <v>1</v>
      </c>
      <c r="J338" s="24">
        <f t="shared" si="31"/>
        <v>-87</v>
      </c>
      <c r="K338" s="4">
        <f t="shared" si="32"/>
        <v>-0.3163636363636364</v>
      </c>
      <c r="M338" s="119">
        <v>1505.92</v>
      </c>
      <c r="N338" s="119">
        <v>864.51</v>
      </c>
      <c r="Q338" s="119">
        <v>4822.01</v>
      </c>
      <c r="U338" s="141">
        <f t="shared" si="33"/>
        <v>-641.41000000000008</v>
      </c>
      <c r="V338" s="4">
        <f t="shared" si="34"/>
        <v>-0.42592567998300046</v>
      </c>
      <c r="W338" s="17">
        <v>4527.25</v>
      </c>
      <c r="X338" s="17">
        <v>3525.92</v>
      </c>
      <c r="Y338" s="4">
        <f t="shared" si="35"/>
        <v>-0.22117841957037931</v>
      </c>
      <c r="Z338" s="4"/>
    </row>
    <row r="339" spans="1:26" ht="15" customHeight="1">
      <c r="A339" s="167" t="s">
        <v>494</v>
      </c>
      <c r="B339" s="26" t="s">
        <v>495</v>
      </c>
      <c r="C339" s="27">
        <v>777</v>
      </c>
      <c r="E339" s="26" t="s">
        <v>495</v>
      </c>
      <c r="F339" s="27">
        <v>1042</v>
      </c>
      <c r="G339" t="b">
        <f t="shared" si="30"/>
        <v>1</v>
      </c>
      <c r="J339" s="24">
        <f t="shared" si="31"/>
        <v>265</v>
      </c>
      <c r="K339" s="4">
        <f t="shared" si="32"/>
        <v>0.34105534105534097</v>
      </c>
      <c r="M339" s="119">
        <v>1344.33</v>
      </c>
      <c r="N339" s="119">
        <v>1129.1600000000001</v>
      </c>
      <c r="Q339" s="119">
        <v>6144.87</v>
      </c>
      <c r="U339" s="141">
        <f t="shared" si="33"/>
        <v>-215.16999999999985</v>
      </c>
      <c r="V339" s="4">
        <f t="shared" si="34"/>
        <v>-0.1600574263759641</v>
      </c>
      <c r="W339" s="17">
        <v>22437.1</v>
      </c>
      <c r="X339" s="17">
        <v>28321.07</v>
      </c>
      <c r="Y339" s="4">
        <f t="shared" si="35"/>
        <v>0.2622428923523985</v>
      </c>
      <c r="Z339" s="4"/>
    </row>
    <row r="340" spans="1:26" ht="15" customHeight="1">
      <c r="A340" s="26" t="s">
        <v>1819</v>
      </c>
      <c r="B340" s="26" t="s">
        <v>1834</v>
      </c>
      <c r="C340" s="27">
        <v>193</v>
      </c>
      <c r="E340" s="26" t="s">
        <v>1834</v>
      </c>
      <c r="F340" s="27">
        <v>218</v>
      </c>
      <c r="G340" t="b">
        <f t="shared" si="30"/>
        <v>1</v>
      </c>
      <c r="J340" s="24">
        <f t="shared" si="31"/>
        <v>25</v>
      </c>
      <c r="K340" s="4">
        <f t="shared" si="32"/>
        <v>0.1295336787564767</v>
      </c>
      <c r="M340" s="119">
        <v>1544.31</v>
      </c>
      <c r="N340" s="119">
        <v>976.06</v>
      </c>
      <c r="Q340" s="119">
        <v>5600.32</v>
      </c>
      <c r="U340" s="141">
        <f t="shared" si="33"/>
        <v>-568.25</v>
      </c>
      <c r="V340" s="4">
        <f t="shared" si="34"/>
        <v>-0.36796368604749052</v>
      </c>
      <c r="W340" s="17">
        <v>3911.06</v>
      </c>
      <c r="X340" s="17">
        <v>5343.01</v>
      </c>
      <c r="Y340" s="4">
        <f t="shared" si="35"/>
        <v>0.3661283641774864</v>
      </c>
      <c r="Z340" s="4"/>
    </row>
    <row r="341" spans="1:26" ht="15" customHeight="1">
      <c r="A341" t="s">
        <v>286</v>
      </c>
      <c r="B341" t="s">
        <v>287</v>
      </c>
      <c r="C341" s="27">
        <v>481</v>
      </c>
      <c r="E341" t="s">
        <v>287</v>
      </c>
      <c r="F341" s="27">
        <v>430</v>
      </c>
      <c r="G341" t="b">
        <f t="shared" si="30"/>
        <v>1</v>
      </c>
      <c r="J341" s="24">
        <f t="shared" si="31"/>
        <v>-51</v>
      </c>
      <c r="K341" s="4">
        <f t="shared" si="32"/>
        <v>-0.10602910602910598</v>
      </c>
      <c r="M341" s="119">
        <v>930.71</v>
      </c>
      <c r="N341" s="119">
        <v>901.42</v>
      </c>
      <c r="Q341" s="119">
        <v>5988.58</v>
      </c>
      <c r="U341" s="141">
        <f t="shared" si="33"/>
        <v>-29.290000000000077</v>
      </c>
      <c r="V341" s="4">
        <f t="shared" si="34"/>
        <v>-3.147059771572247E-2</v>
      </c>
      <c r="W341" s="17">
        <v>11510.76</v>
      </c>
      <c r="X341" s="17">
        <v>10286.91</v>
      </c>
      <c r="Y341" s="4">
        <f t="shared" si="35"/>
        <v>-0.10632225847815435</v>
      </c>
      <c r="Z341" s="4"/>
    </row>
    <row r="342" spans="1:26" ht="15" customHeight="1">
      <c r="A342" s="26" t="s">
        <v>1816</v>
      </c>
      <c r="B342" s="26" t="s">
        <v>1831</v>
      </c>
      <c r="C342" s="27">
        <v>522</v>
      </c>
      <c r="E342" s="26" t="s">
        <v>1831</v>
      </c>
      <c r="F342" s="27">
        <v>67</v>
      </c>
      <c r="G342" t="b">
        <f t="shared" si="30"/>
        <v>1</v>
      </c>
      <c r="J342" s="24">
        <f t="shared" si="31"/>
        <v>-455</v>
      </c>
      <c r="K342" s="4">
        <f t="shared" si="32"/>
        <v>-0.87164750957854409</v>
      </c>
      <c r="M342" s="119">
        <v>1827.05</v>
      </c>
      <c r="N342" s="119">
        <v>461.23</v>
      </c>
      <c r="Q342" s="119">
        <v>3075.93</v>
      </c>
      <c r="U342" s="141">
        <f t="shared" si="33"/>
        <v>-1365.82</v>
      </c>
      <c r="V342" s="4">
        <f t="shared" si="34"/>
        <v>-0.74755480145589881</v>
      </c>
      <c r="W342" s="17">
        <v>8764.18</v>
      </c>
      <c r="X342" s="17">
        <v>1807.79</v>
      </c>
      <c r="Y342" s="4">
        <f t="shared" si="35"/>
        <v>-0.79372970431917189</v>
      </c>
      <c r="Z342" s="4"/>
    </row>
    <row r="343" spans="1:26" ht="14.25" customHeight="1">
      <c r="A343" s="26" t="s">
        <v>1811</v>
      </c>
      <c r="B343" s="26" t="s">
        <v>1797</v>
      </c>
      <c r="C343" s="27">
        <v>228</v>
      </c>
      <c r="E343" s="26" t="s">
        <v>1797</v>
      </c>
      <c r="F343" s="27">
        <v>129</v>
      </c>
      <c r="G343" t="b">
        <f t="shared" si="30"/>
        <v>1</v>
      </c>
      <c r="J343" s="24">
        <f t="shared" si="31"/>
        <v>-99</v>
      </c>
      <c r="K343" s="4">
        <f t="shared" si="32"/>
        <v>-0.43421052631578949</v>
      </c>
      <c r="M343" s="119">
        <v>768.58</v>
      </c>
      <c r="N343" s="119">
        <v>300.43</v>
      </c>
      <c r="Q343" s="119">
        <v>2426.13</v>
      </c>
      <c r="U343" s="141">
        <f t="shared" si="33"/>
        <v>-468.15000000000003</v>
      </c>
      <c r="V343" s="4">
        <f t="shared" si="34"/>
        <v>-0.60911030731999272</v>
      </c>
      <c r="W343" s="17">
        <v>2999.52</v>
      </c>
      <c r="X343" s="17">
        <v>2048.5100000000002</v>
      </c>
      <c r="Y343" s="4">
        <f t="shared" si="35"/>
        <v>-0.31705406198325059</v>
      </c>
      <c r="Z343" s="4"/>
    </row>
    <row r="344" spans="1:26" ht="15" customHeight="1">
      <c r="A344" t="s">
        <v>248</v>
      </c>
      <c r="B344" t="s">
        <v>249</v>
      </c>
      <c r="C344" s="27">
        <v>356</v>
      </c>
      <c r="E344" t="s">
        <v>249</v>
      </c>
      <c r="F344" s="27">
        <v>374</v>
      </c>
      <c r="G344" t="b">
        <f t="shared" si="30"/>
        <v>1</v>
      </c>
      <c r="J344" s="24">
        <f t="shared" si="31"/>
        <v>18</v>
      </c>
      <c r="K344" s="4">
        <f t="shared" si="32"/>
        <v>5.0561797752809001E-2</v>
      </c>
      <c r="M344" s="119">
        <v>255.67</v>
      </c>
      <c r="N344" s="119">
        <v>276.02</v>
      </c>
      <c r="Q344" s="119">
        <v>2000.72</v>
      </c>
      <c r="U344" s="141">
        <f t="shared" si="33"/>
        <v>20.349999999999994</v>
      </c>
      <c r="V344" s="4">
        <f t="shared" si="34"/>
        <v>7.9594790159189577E-2</v>
      </c>
      <c r="W344" s="17">
        <v>7823</v>
      </c>
      <c r="X344" s="17">
        <v>7781.92</v>
      </c>
      <c r="Y344" s="4">
        <f t="shared" si="35"/>
        <v>-5.251182410839772E-3</v>
      </c>
      <c r="Z344" s="4"/>
    </row>
    <row r="345" spans="1:26" ht="15" customHeight="1">
      <c r="A345" s="39" t="s">
        <v>574</v>
      </c>
      <c r="B345" s="35" t="s">
        <v>575</v>
      </c>
      <c r="C345" s="27">
        <v>862</v>
      </c>
      <c r="E345" s="35" t="s">
        <v>575</v>
      </c>
      <c r="F345" s="27">
        <v>712</v>
      </c>
      <c r="G345" t="b">
        <f t="shared" si="30"/>
        <v>1</v>
      </c>
      <c r="J345" s="24">
        <f t="shared" si="31"/>
        <v>-150</v>
      </c>
      <c r="K345" s="4">
        <f t="shared" si="32"/>
        <v>-0.17401392111368907</v>
      </c>
      <c r="M345" s="119">
        <v>2105.9899999999998</v>
      </c>
      <c r="N345" s="119">
        <v>1930.25</v>
      </c>
      <c r="Q345" s="119">
        <v>11858.87</v>
      </c>
      <c r="U345" s="141">
        <f t="shared" si="33"/>
        <v>-175.73999999999978</v>
      </c>
      <c r="V345" s="4">
        <f t="shared" si="34"/>
        <v>-8.3447689685136162E-2</v>
      </c>
      <c r="W345" s="17">
        <v>15653.6</v>
      </c>
      <c r="X345" s="17">
        <v>14229.28</v>
      </c>
      <c r="Y345" s="4">
        <f t="shared" si="35"/>
        <v>-9.098993202841521E-2</v>
      </c>
      <c r="Z345" s="4"/>
    </row>
    <row r="346" spans="1:26" ht="15" customHeight="1">
      <c r="A346" t="s">
        <v>370</v>
      </c>
      <c r="B346" t="s">
        <v>371</v>
      </c>
      <c r="C346" s="27">
        <v>1399</v>
      </c>
      <c r="E346" t="s">
        <v>371</v>
      </c>
      <c r="F346" s="27">
        <v>1460</v>
      </c>
      <c r="G346" t="b">
        <f t="shared" si="30"/>
        <v>1</v>
      </c>
      <c r="J346" s="24">
        <f t="shared" si="31"/>
        <v>61</v>
      </c>
      <c r="K346" s="4">
        <f t="shared" si="32"/>
        <v>4.3602573266618982E-2</v>
      </c>
      <c r="M346" s="119">
        <v>2799.74</v>
      </c>
      <c r="N346" s="119">
        <v>2692.2</v>
      </c>
      <c r="Q346" s="119">
        <v>21956.62</v>
      </c>
      <c r="U346" s="141">
        <f t="shared" si="33"/>
        <v>-107.53999999999996</v>
      </c>
      <c r="V346" s="4">
        <f t="shared" si="34"/>
        <v>-3.8410709565888213E-2</v>
      </c>
      <c r="W346" s="17">
        <v>34890.050000000003</v>
      </c>
      <c r="X346" s="17">
        <v>36385.64</v>
      </c>
      <c r="Y346" s="4">
        <f t="shared" si="35"/>
        <v>4.2865802714527446E-2</v>
      </c>
      <c r="Z346" s="4"/>
    </row>
    <row r="347" spans="1:26" ht="15" customHeight="1">
      <c r="A347" t="s">
        <v>432</v>
      </c>
      <c r="B347" t="s">
        <v>433</v>
      </c>
      <c r="C347" s="27">
        <v>585</v>
      </c>
      <c r="E347" t="s">
        <v>433</v>
      </c>
      <c r="F347" s="27">
        <v>605</v>
      </c>
      <c r="G347" t="b">
        <f t="shared" si="30"/>
        <v>1</v>
      </c>
      <c r="J347" s="24">
        <f t="shared" si="31"/>
        <v>20</v>
      </c>
      <c r="K347" s="4">
        <f t="shared" si="32"/>
        <v>3.4188034188034289E-2</v>
      </c>
      <c r="M347" s="119">
        <v>194.96</v>
      </c>
      <c r="N347" s="119">
        <v>198.58</v>
      </c>
      <c r="Q347" s="119">
        <v>1490.41</v>
      </c>
      <c r="U347" s="141">
        <f t="shared" si="33"/>
        <v>3.6200000000000045</v>
      </c>
      <c r="V347" s="4">
        <f t="shared" si="34"/>
        <v>1.8567911366434098E-2</v>
      </c>
      <c r="W347" s="17">
        <v>17533.77</v>
      </c>
      <c r="X347" s="17">
        <v>17767.329999999998</v>
      </c>
      <c r="Y347" s="4">
        <f t="shared" si="35"/>
        <v>1.332058079922338E-2</v>
      </c>
      <c r="Z347" s="4"/>
    </row>
    <row r="348" spans="1:26" ht="15" customHeight="1">
      <c r="A348" t="s">
        <v>98</v>
      </c>
      <c r="B348" t="s">
        <v>99</v>
      </c>
      <c r="C348" s="27">
        <v>27456</v>
      </c>
      <c r="E348" t="s">
        <v>99</v>
      </c>
      <c r="F348" s="27">
        <v>26470</v>
      </c>
      <c r="G348" t="b">
        <f t="shared" si="30"/>
        <v>1</v>
      </c>
      <c r="J348" s="24">
        <f t="shared" si="31"/>
        <v>-986</v>
      </c>
      <c r="K348" s="4">
        <f t="shared" si="32"/>
        <v>-3.5912004662004615E-2</v>
      </c>
      <c r="M348" s="119">
        <v>32086.82</v>
      </c>
      <c r="N348" s="119">
        <v>28514.86</v>
      </c>
      <c r="Q348" s="119">
        <v>187430.83</v>
      </c>
      <c r="U348" s="141">
        <f t="shared" si="33"/>
        <v>-3571.9599999999991</v>
      </c>
      <c r="V348" s="4">
        <f t="shared" si="34"/>
        <v>-0.11132172025772569</v>
      </c>
      <c r="W348" s="17">
        <v>924845.06</v>
      </c>
      <c r="X348" s="17">
        <v>877707.18</v>
      </c>
      <c r="Y348" s="4">
        <f t="shared" si="35"/>
        <v>-5.0968407616298506E-2</v>
      </c>
      <c r="Z348" s="4"/>
    </row>
    <row r="349" spans="1:26" ht="15" customHeight="1">
      <c r="A349" s="38" t="s">
        <v>364</v>
      </c>
      <c r="B349" s="35" t="s">
        <v>365</v>
      </c>
      <c r="C349" s="27">
        <v>2147</v>
      </c>
      <c r="E349" s="35" t="s">
        <v>365</v>
      </c>
      <c r="F349" s="27">
        <v>2370</v>
      </c>
      <c r="G349" t="b">
        <f t="shared" si="30"/>
        <v>1</v>
      </c>
      <c r="J349" s="24">
        <f t="shared" si="31"/>
        <v>223</v>
      </c>
      <c r="K349" s="4">
        <f t="shared" si="32"/>
        <v>0.10386585933861192</v>
      </c>
      <c r="M349" s="118">
        <v>4115.1499999999996</v>
      </c>
      <c r="N349" s="118">
        <v>3653.1</v>
      </c>
      <c r="Q349" s="118">
        <v>25941.3</v>
      </c>
      <c r="U349" s="141">
        <f t="shared" si="33"/>
        <v>-462.04999999999973</v>
      </c>
      <c r="V349" s="4">
        <f t="shared" si="34"/>
        <v>-0.11228023279831834</v>
      </c>
      <c r="W349" s="17">
        <v>58474.38</v>
      </c>
      <c r="X349" s="17">
        <v>65664.33</v>
      </c>
      <c r="Y349" s="4">
        <f t="shared" si="35"/>
        <v>0.12295897793187383</v>
      </c>
      <c r="Z349" s="4"/>
    </row>
    <row r="350" spans="1:26" ht="15" customHeight="1">
      <c r="A350" t="s">
        <v>1802</v>
      </c>
      <c r="B350" t="s">
        <v>1801</v>
      </c>
      <c r="C350" s="27">
        <v>311</v>
      </c>
      <c r="E350" t="s">
        <v>1801</v>
      </c>
      <c r="F350" s="27">
        <v>408</v>
      </c>
      <c r="G350" t="b">
        <f t="shared" si="30"/>
        <v>1</v>
      </c>
      <c r="J350" s="24">
        <f t="shared" si="31"/>
        <v>97</v>
      </c>
      <c r="K350" s="4">
        <f t="shared" si="32"/>
        <v>0.31189710610932475</v>
      </c>
      <c r="M350" s="119">
        <v>1615.08</v>
      </c>
      <c r="N350" s="119">
        <v>1541.6</v>
      </c>
      <c r="Q350" s="119">
        <v>7038.11</v>
      </c>
      <c r="U350" s="141">
        <f t="shared" si="33"/>
        <v>-73.480000000000018</v>
      </c>
      <c r="V350" s="4">
        <f t="shared" si="34"/>
        <v>-4.5496198330732818E-2</v>
      </c>
      <c r="W350" s="17">
        <v>5390.49</v>
      </c>
      <c r="X350" s="17">
        <v>7109.53</v>
      </c>
      <c r="Y350" s="4">
        <f t="shared" si="35"/>
        <v>0.3189023632359953</v>
      </c>
      <c r="Z350" s="4"/>
    </row>
    <row r="351" spans="1:26" ht="15" customHeight="1">
      <c r="A351" s="26" t="s">
        <v>1812</v>
      </c>
      <c r="B351" s="26" t="s">
        <v>1803</v>
      </c>
      <c r="C351" s="27">
        <v>513</v>
      </c>
      <c r="E351" s="26" t="s">
        <v>1803</v>
      </c>
      <c r="F351" s="27">
        <v>192</v>
      </c>
      <c r="G351" t="b">
        <f t="shared" si="30"/>
        <v>1</v>
      </c>
      <c r="J351" s="24">
        <f t="shared" si="31"/>
        <v>-321</v>
      </c>
      <c r="K351" s="4">
        <f t="shared" si="32"/>
        <v>-0.6257309941520468</v>
      </c>
      <c r="M351" s="119">
        <v>1640.47</v>
      </c>
      <c r="N351" s="119">
        <v>973.87</v>
      </c>
      <c r="Q351" s="119">
        <v>5755.59</v>
      </c>
      <c r="U351" s="141">
        <f t="shared" si="33"/>
        <v>-666.6</v>
      </c>
      <c r="V351" s="4">
        <f t="shared" si="34"/>
        <v>-0.4063469615415094</v>
      </c>
      <c r="W351" s="17">
        <v>6596.47</v>
      </c>
      <c r="X351" s="17">
        <v>3837.88</v>
      </c>
      <c r="Y351" s="4">
        <f t="shared" si="35"/>
        <v>-0.41819185109611656</v>
      </c>
      <c r="Z351" s="4"/>
    </row>
    <row r="352" spans="1:26" ht="15" customHeight="1">
      <c r="A352" s="26" t="s">
        <v>1813</v>
      </c>
      <c r="B352" s="26" t="s">
        <v>1804</v>
      </c>
      <c r="C352" s="27">
        <v>195</v>
      </c>
      <c r="E352" s="26" t="s">
        <v>1804</v>
      </c>
      <c r="F352" s="27">
        <v>243</v>
      </c>
      <c r="G352" t="b">
        <f t="shared" si="30"/>
        <v>1</v>
      </c>
      <c r="J352" s="24">
        <f t="shared" si="31"/>
        <v>48</v>
      </c>
      <c r="K352" s="4">
        <f t="shared" si="32"/>
        <v>0.24615384615384617</v>
      </c>
      <c r="M352" s="119">
        <v>1068.93</v>
      </c>
      <c r="N352" s="119">
        <v>1127.8399999999999</v>
      </c>
      <c r="Q352" s="119">
        <v>6699.47</v>
      </c>
      <c r="U352" s="141">
        <f t="shared" si="33"/>
        <v>58.909999999999854</v>
      </c>
      <c r="V352" s="4">
        <f t="shared" si="34"/>
        <v>5.511118595230724E-2</v>
      </c>
      <c r="W352" s="17">
        <v>3363.85</v>
      </c>
      <c r="X352" s="17">
        <v>4280.7700000000004</v>
      </c>
      <c r="Y352" s="4">
        <f t="shared" si="35"/>
        <v>0.27258052529096144</v>
      </c>
      <c r="Z352" s="4"/>
    </row>
    <row r="353" spans="1:26" ht="15" customHeight="1">
      <c r="A353" t="s">
        <v>726</v>
      </c>
      <c r="B353" t="s">
        <v>727</v>
      </c>
      <c r="C353" s="27">
        <v>4384</v>
      </c>
      <c r="E353" t="s">
        <v>727</v>
      </c>
      <c r="F353" s="27">
        <v>3312</v>
      </c>
      <c r="G353" t="b">
        <f t="shared" si="30"/>
        <v>1</v>
      </c>
      <c r="J353" s="24">
        <f t="shared" si="31"/>
        <v>-1072</v>
      </c>
      <c r="K353" s="4">
        <f t="shared" si="32"/>
        <v>-0.24452554744525545</v>
      </c>
      <c r="M353" s="119">
        <v>4755.68</v>
      </c>
      <c r="N353" s="119">
        <v>3863.36</v>
      </c>
      <c r="Q353" s="119">
        <v>23423.89</v>
      </c>
      <c r="U353" s="141">
        <f t="shared" si="33"/>
        <v>-892.32000000000016</v>
      </c>
      <c r="V353" s="4">
        <f t="shared" si="34"/>
        <v>-0.18763247316892639</v>
      </c>
      <c r="W353" s="17">
        <v>124906.2</v>
      </c>
      <c r="X353" s="17">
        <v>99029.63</v>
      </c>
      <c r="Y353" s="4">
        <f t="shared" si="35"/>
        <v>-0.20716801888136849</v>
      </c>
      <c r="Z353" s="4"/>
    </row>
    <row r="354" spans="1:26" ht="15" customHeight="1">
      <c r="A354" t="s">
        <v>744</v>
      </c>
      <c r="B354" t="s">
        <v>745</v>
      </c>
      <c r="C354" s="27">
        <v>1059</v>
      </c>
      <c r="E354" t="s">
        <v>745</v>
      </c>
      <c r="F354" s="27">
        <v>990</v>
      </c>
      <c r="G354" t="b">
        <f t="shared" si="30"/>
        <v>1</v>
      </c>
      <c r="J354" s="24">
        <f t="shared" si="31"/>
        <v>-69</v>
      </c>
      <c r="K354" s="4">
        <f t="shared" si="32"/>
        <v>-6.5155807365439133E-2</v>
      </c>
      <c r="M354" s="119">
        <v>1267.99</v>
      </c>
      <c r="N354" s="119">
        <v>1163.93</v>
      </c>
      <c r="Q354" s="119">
        <v>5585.16</v>
      </c>
      <c r="U354" s="141">
        <f t="shared" si="33"/>
        <v>-104.05999999999995</v>
      </c>
      <c r="V354" s="4">
        <f t="shared" si="34"/>
        <v>-8.2066893272028874E-2</v>
      </c>
      <c r="W354" s="17">
        <v>16191.08</v>
      </c>
      <c r="X354" s="17">
        <v>15865.62</v>
      </c>
      <c r="Y354" s="4">
        <f t="shared" si="35"/>
        <v>-2.0101191520269124E-2</v>
      </c>
      <c r="Z354" s="4"/>
    </row>
    <row r="355" spans="1:26" ht="15" customHeight="1">
      <c r="A355" t="s">
        <v>392</v>
      </c>
      <c r="B355" t="s">
        <v>393</v>
      </c>
      <c r="C355" s="27">
        <v>988</v>
      </c>
      <c r="E355" t="s">
        <v>393</v>
      </c>
      <c r="F355" s="27">
        <v>1085</v>
      </c>
      <c r="G355" t="b">
        <f t="shared" si="30"/>
        <v>1</v>
      </c>
      <c r="J355" s="24">
        <f t="shared" si="31"/>
        <v>97</v>
      </c>
      <c r="K355" s="4">
        <f t="shared" si="32"/>
        <v>9.8178137651821817E-2</v>
      </c>
      <c r="M355" s="119">
        <v>1447.31</v>
      </c>
      <c r="N355" s="119">
        <v>1456.33</v>
      </c>
      <c r="Q355" s="119">
        <v>10599.33</v>
      </c>
      <c r="U355" s="141">
        <f t="shared" si="33"/>
        <v>9.0199999999999818</v>
      </c>
      <c r="V355" s="4">
        <f t="shared" si="34"/>
        <v>6.2322515563355552E-3</v>
      </c>
      <c r="W355" s="17">
        <v>25622.74</v>
      </c>
      <c r="X355" s="17">
        <v>26666.799999999999</v>
      </c>
      <c r="Y355" s="4">
        <f t="shared" si="35"/>
        <v>4.0747398599837448E-2</v>
      </c>
      <c r="Z355" s="4"/>
    </row>
    <row r="356" spans="1:26" ht="15" customHeight="1">
      <c r="A356" t="s">
        <v>108</v>
      </c>
      <c r="B356" t="s">
        <v>109</v>
      </c>
      <c r="C356" s="27">
        <v>1174</v>
      </c>
      <c r="E356" t="s">
        <v>109</v>
      </c>
      <c r="F356" s="27">
        <v>1330</v>
      </c>
      <c r="G356" t="b">
        <f t="shared" si="30"/>
        <v>1</v>
      </c>
      <c r="J356" s="24">
        <f t="shared" si="31"/>
        <v>156</v>
      </c>
      <c r="K356" s="4">
        <f t="shared" si="32"/>
        <v>0.13287904599659295</v>
      </c>
      <c r="M356" s="119">
        <v>2388.91</v>
      </c>
      <c r="N356" s="119">
        <v>3270.51</v>
      </c>
      <c r="Q356" s="119">
        <v>21288.52</v>
      </c>
      <c r="U356" s="141">
        <f t="shared" si="33"/>
        <v>881.60000000000036</v>
      </c>
      <c r="V356" s="4">
        <f t="shared" si="34"/>
        <v>0.3690385991937748</v>
      </c>
      <c r="W356" s="17">
        <v>25601.52</v>
      </c>
      <c r="X356" s="17">
        <v>32846.559999999998</v>
      </c>
      <c r="Y356" s="4">
        <f t="shared" si="35"/>
        <v>0.28299257231601871</v>
      </c>
      <c r="Z356" s="4"/>
    </row>
    <row r="357" spans="1:26" ht="15" customHeight="1">
      <c r="A357" s="35" t="s">
        <v>212</v>
      </c>
      <c r="B357" s="35" t="s">
        <v>213</v>
      </c>
      <c r="C357" s="27">
        <v>1126</v>
      </c>
      <c r="E357" s="35" t="s">
        <v>213</v>
      </c>
      <c r="F357" s="27">
        <v>1034</v>
      </c>
      <c r="G357" t="b">
        <f t="shared" si="30"/>
        <v>1</v>
      </c>
      <c r="J357" s="24">
        <f t="shared" si="31"/>
        <v>-92</v>
      </c>
      <c r="K357" s="4">
        <f t="shared" si="32"/>
        <v>-8.1705150976909446E-2</v>
      </c>
      <c r="M357" s="119">
        <v>1770.42</v>
      </c>
      <c r="N357" s="119">
        <v>1840.49</v>
      </c>
      <c r="Q357" s="119">
        <v>13281.56</v>
      </c>
      <c r="U357" s="141">
        <f t="shared" si="33"/>
        <v>70.069999999999936</v>
      </c>
      <c r="V357" s="4">
        <f t="shared" si="34"/>
        <v>3.9578179189118989E-2</v>
      </c>
      <c r="W357" s="17">
        <v>50563.360000000001</v>
      </c>
      <c r="X357" s="17">
        <v>46463.46</v>
      </c>
      <c r="Y357" s="4">
        <f t="shared" si="35"/>
        <v>-8.1084405783160007E-2</v>
      </c>
      <c r="Z357" s="4"/>
    </row>
    <row r="358" spans="1:26" ht="15" customHeight="1">
      <c r="A358" s="35" t="s">
        <v>474</v>
      </c>
      <c r="B358" s="35" t="s">
        <v>475</v>
      </c>
      <c r="C358" s="27">
        <v>221</v>
      </c>
      <c r="E358" s="35" t="s">
        <v>475</v>
      </c>
      <c r="F358" s="27">
        <v>273</v>
      </c>
      <c r="G358" t="b">
        <f t="shared" si="30"/>
        <v>1</v>
      </c>
      <c r="J358" s="24">
        <f t="shared" si="31"/>
        <v>52</v>
      </c>
      <c r="K358" s="4">
        <f t="shared" si="32"/>
        <v>0.23529411764705888</v>
      </c>
      <c r="M358" s="118">
        <v>0</v>
      </c>
      <c r="N358" s="118">
        <v>0</v>
      </c>
      <c r="Q358" s="118">
        <v>0</v>
      </c>
      <c r="U358" s="141">
        <f t="shared" si="33"/>
        <v>0</v>
      </c>
      <c r="V358" s="4">
        <f t="shared" si="34"/>
        <v>0</v>
      </c>
      <c r="W358" s="17">
        <v>2207.4899999999998</v>
      </c>
      <c r="X358" s="17">
        <v>2687.21</v>
      </c>
      <c r="Y358" s="4">
        <f t="shared" si="35"/>
        <v>0.21731468772225493</v>
      </c>
      <c r="Z358" s="4"/>
    </row>
    <row r="359" spans="1:26" ht="15" customHeight="1">
      <c r="A359" t="s">
        <v>484</v>
      </c>
      <c r="B359" t="s">
        <v>485</v>
      </c>
      <c r="C359" s="27">
        <v>1070</v>
      </c>
      <c r="E359" t="s">
        <v>485</v>
      </c>
      <c r="F359" s="27">
        <v>1082</v>
      </c>
      <c r="G359" t="b">
        <f t="shared" si="30"/>
        <v>1</v>
      </c>
      <c r="J359" s="24">
        <f t="shared" si="31"/>
        <v>12</v>
      </c>
      <c r="K359" s="4">
        <f t="shared" si="32"/>
        <v>1.121495327102795E-2</v>
      </c>
      <c r="M359" s="119">
        <v>1861.3</v>
      </c>
      <c r="N359" s="119">
        <v>1794.6</v>
      </c>
      <c r="Q359" s="119">
        <v>13387.98</v>
      </c>
      <c r="U359" s="141">
        <f t="shared" si="33"/>
        <v>-66.700000000000045</v>
      </c>
      <c r="V359" s="4">
        <f t="shared" si="34"/>
        <v>-3.5835168967925712E-2</v>
      </c>
      <c r="W359" s="17">
        <v>26690.560000000001</v>
      </c>
      <c r="X359" s="17">
        <v>26940.91</v>
      </c>
      <c r="Y359" s="4">
        <f t="shared" si="35"/>
        <v>9.3797207701897811E-3</v>
      </c>
      <c r="Z359" s="4"/>
    </row>
    <row r="360" spans="1:26" ht="15" customHeight="1">
      <c r="A360" t="s">
        <v>584</v>
      </c>
      <c r="B360" t="s">
        <v>585</v>
      </c>
      <c r="C360" s="27">
        <v>2157</v>
      </c>
      <c r="E360" t="s">
        <v>585</v>
      </c>
      <c r="F360" s="27">
        <v>2082</v>
      </c>
      <c r="G360" t="b">
        <f t="shared" si="30"/>
        <v>1</v>
      </c>
      <c r="J360" s="24">
        <f t="shared" si="31"/>
        <v>-75</v>
      </c>
      <c r="K360" s="4">
        <f t="shared" si="32"/>
        <v>-3.4770514603616132E-2</v>
      </c>
      <c r="M360" s="119">
        <v>2079.15</v>
      </c>
      <c r="N360" s="119">
        <v>1842.85</v>
      </c>
      <c r="Q360" s="119">
        <v>13453.65</v>
      </c>
      <c r="U360" s="141">
        <f t="shared" si="33"/>
        <v>-236.30000000000018</v>
      </c>
      <c r="V360" s="4">
        <f t="shared" si="34"/>
        <v>-0.11365221364499922</v>
      </c>
      <c r="W360" s="17">
        <v>49436.45</v>
      </c>
      <c r="X360" s="17">
        <v>47653.77</v>
      </c>
      <c r="Y360" s="4">
        <f t="shared" si="35"/>
        <v>-3.6060032627747374E-2</v>
      </c>
      <c r="Z360" s="4"/>
    </row>
    <row r="361" spans="1:26" ht="15" customHeight="1">
      <c r="A361" s="167" t="s">
        <v>382</v>
      </c>
      <c r="B361" s="166" t="s">
        <v>383</v>
      </c>
      <c r="C361" s="27">
        <v>136</v>
      </c>
      <c r="E361" s="166" t="s">
        <v>383</v>
      </c>
      <c r="F361" s="27">
        <v>156</v>
      </c>
      <c r="G361" t="b">
        <f t="shared" si="30"/>
        <v>1</v>
      </c>
      <c r="J361" s="24">
        <f t="shared" si="31"/>
        <v>20</v>
      </c>
      <c r="K361" s="4">
        <f t="shared" si="32"/>
        <v>0.14705882352941169</v>
      </c>
      <c r="M361" s="119">
        <v>488.63</v>
      </c>
      <c r="N361" s="119">
        <v>372.9</v>
      </c>
      <c r="Q361" s="119">
        <v>2115.2199999999998</v>
      </c>
      <c r="U361" s="141">
        <f t="shared" si="33"/>
        <v>-115.73000000000002</v>
      </c>
      <c r="V361" s="4">
        <f t="shared" si="34"/>
        <v>-0.23684587520209566</v>
      </c>
      <c r="W361" s="17">
        <v>2635.64</v>
      </c>
      <c r="X361" s="17">
        <v>3393.94</v>
      </c>
      <c r="Y361" s="4">
        <f t="shared" si="35"/>
        <v>0.2877100059188662</v>
      </c>
      <c r="Z361" s="4"/>
    </row>
    <row r="362" spans="1:26" ht="15" customHeight="1">
      <c r="A362" t="s">
        <v>634</v>
      </c>
      <c r="B362" t="s">
        <v>635</v>
      </c>
      <c r="C362" s="27">
        <v>1010</v>
      </c>
      <c r="E362" t="s">
        <v>635</v>
      </c>
      <c r="F362" s="27">
        <v>921</v>
      </c>
      <c r="G362" t="b">
        <f t="shared" si="30"/>
        <v>1</v>
      </c>
      <c r="J362" s="24">
        <f t="shared" si="31"/>
        <v>-89</v>
      </c>
      <c r="K362" s="4">
        <f t="shared" si="32"/>
        <v>-8.8118811881188086E-2</v>
      </c>
      <c r="M362" s="119">
        <v>2762.44</v>
      </c>
      <c r="N362" s="119">
        <v>2070.5</v>
      </c>
      <c r="Q362" s="119">
        <v>13569.05</v>
      </c>
      <c r="U362" s="141">
        <f t="shared" si="33"/>
        <v>-691.94</v>
      </c>
      <c r="V362" s="4">
        <f t="shared" si="34"/>
        <v>-0.25048145842081637</v>
      </c>
      <c r="W362" s="17">
        <v>30146.19</v>
      </c>
      <c r="X362" s="17">
        <v>27443.25</v>
      </c>
      <c r="Y362" s="4">
        <f t="shared" si="35"/>
        <v>-8.9661081549608723E-2</v>
      </c>
      <c r="Z362" s="4"/>
    </row>
    <row r="363" spans="1:26" ht="15" customHeight="1">
      <c r="A363" t="s">
        <v>684</v>
      </c>
      <c r="B363" t="s">
        <v>685</v>
      </c>
      <c r="C363" s="27">
        <v>1215</v>
      </c>
      <c r="E363" t="s">
        <v>685</v>
      </c>
      <c r="F363" s="27">
        <v>1184</v>
      </c>
      <c r="G363" t="b">
        <f t="shared" si="30"/>
        <v>1</v>
      </c>
      <c r="J363" s="24">
        <f t="shared" si="31"/>
        <v>-31</v>
      </c>
      <c r="K363" s="4">
        <f t="shared" si="32"/>
        <v>-2.551440329218102E-2</v>
      </c>
      <c r="M363" s="119">
        <v>1279.6499999999999</v>
      </c>
      <c r="N363" s="119">
        <v>1271.19</v>
      </c>
      <c r="Q363" s="119">
        <v>7074.41</v>
      </c>
      <c r="U363" s="141">
        <f t="shared" si="33"/>
        <v>-8.459999999999809</v>
      </c>
      <c r="V363" s="4">
        <f t="shared" si="34"/>
        <v>-6.6111827452817185E-3</v>
      </c>
      <c r="W363" s="17">
        <v>33153.090000000004</v>
      </c>
      <c r="X363" s="17">
        <v>31888.019999999997</v>
      </c>
      <c r="Y363" s="4">
        <f t="shared" si="35"/>
        <v>-3.8158434100712957E-2</v>
      </c>
      <c r="Z363" s="4"/>
    </row>
    <row r="364" spans="1:26" ht="15" customHeight="1">
      <c r="A364" s="26" t="s">
        <v>1815</v>
      </c>
      <c r="B364" s="26" t="s">
        <v>1806</v>
      </c>
      <c r="C364" s="27">
        <v>260</v>
      </c>
      <c r="E364" s="26" t="s">
        <v>1806</v>
      </c>
      <c r="F364" s="27">
        <v>249</v>
      </c>
      <c r="G364" t="b">
        <f t="shared" si="30"/>
        <v>1</v>
      </c>
      <c r="J364" s="24">
        <f t="shared" si="31"/>
        <v>-11</v>
      </c>
      <c r="K364" s="4">
        <f t="shared" si="32"/>
        <v>-4.2307692307692268E-2</v>
      </c>
      <c r="M364" s="119">
        <v>1210.01</v>
      </c>
      <c r="N364" s="119">
        <v>1069.53</v>
      </c>
      <c r="Q364" s="119">
        <v>7905.42</v>
      </c>
      <c r="U364" s="141">
        <f t="shared" si="33"/>
        <v>-140.48000000000002</v>
      </c>
      <c r="V364" s="4">
        <f t="shared" si="34"/>
        <v>-0.11609821406434662</v>
      </c>
      <c r="W364" s="17">
        <v>4438.6000000000004</v>
      </c>
      <c r="X364" s="17">
        <v>4406.91</v>
      </c>
      <c r="Y364" s="4">
        <f t="shared" si="35"/>
        <v>-7.1396386247917221E-3</v>
      </c>
      <c r="Z364" s="4"/>
    </row>
    <row r="365" spans="1:26" ht="15" customHeight="1">
      <c r="A365" t="s">
        <v>174</v>
      </c>
      <c r="B365" t="s">
        <v>175</v>
      </c>
      <c r="C365" s="27">
        <v>568</v>
      </c>
      <c r="E365" t="s">
        <v>175</v>
      </c>
      <c r="F365" s="27">
        <v>498</v>
      </c>
      <c r="G365" t="b">
        <f t="shared" si="30"/>
        <v>1</v>
      </c>
      <c r="J365" s="24">
        <f t="shared" si="31"/>
        <v>-70</v>
      </c>
      <c r="K365" s="4">
        <f t="shared" si="32"/>
        <v>-0.12323943661971826</v>
      </c>
      <c r="M365" s="119">
        <v>813.94</v>
      </c>
      <c r="N365" s="119">
        <v>618.91</v>
      </c>
      <c r="Q365" s="119">
        <v>3017.87</v>
      </c>
      <c r="U365" s="141">
        <f t="shared" si="33"/>
        <v>-195.03000000000009</v>
      </c>
      <c r="V365" s="4">
        <f t="shared" si="34"/>
        <v>-0.23961225643167805</v>
      </c>
      <c r="W365" s="17">
        <v>11309.65</v>
      </c>
      <c r="X365" s="17">
        <v>9892.6</v>
      </c>
      <c r="Y365" s="4">
        <f t="shared" si="35"/>
        <v>-0.1252956545958539</v>
      </c>
      <c r="Z365" s="4"/>
    </row>
    <row r="366" spans="1:26" ht="15" customHeight="1">
      <c r="A366" s="38" t="s">
        <v>540</v>
      </c>
      <c r="B366" s="35" t="s">
        <v>541</v>
      </c>
      <c r="C366" s="18">
        <v>4096</v>
      </c>
      <c r="E366" s="35" t="s">
        <v>541</v>
      </c>
      <c r="F366" s="18">
        <v>3441</v>
      </c>
      <c r="G366" t="b">
        <f t="shared" si="30"/>
        <v>1</v>
      </c>
      <c r="J366" s="24">
        <f t="shared" si="31"/>
        <v>-655</v>
      </c>
      <c r="K366" s="4">
        <f t="shared" si="32"/>
        <v>-0.159912109375</v>
      </c>
      <c r="M366" s="118">
        <v>2162.4700000000003</v>
      </c>
      <c r="N366" s="118">
        <v>1787.57</v>
      </c>
      <c r="Q366" s="118">
        <v>14826.73</v>
      </c>
      <c r="U366" s="141">
        <f t="shared" si="33"/>
        <v>-374.90000000000032</v>
      </c>
      <c r="V366" s="4">
        <f t="shared" si="34"/>
        <v>-0.17336656693503272</v>
      </c>
      <c r="W366">
        <v>163606.39999999999</v>
      </c>
      <c r="X366">
        <v>136670.06</v>
      </c>
      <c r="Y366" s="4">
        <f t="shared" si="35"/>
        <v>-0.16464111428403783</v>
      </c>
      <c r="Z366" s="4"/>
    </row>
    <row r="367" spans="1:26" ht="15" customHeight="1">
      <c r="A367" s="26" t="s">
        <v>398</v>
      </c>
      <c r="B367" s="26" t="s">
        <v>399</v>
      </c>
      <c r="C367" s="27">
        <v>355</v>
      </c>
      <c r="E367" s="26" t="s">
        <v>399</v>
      </c>
      <c r="F367" s="27">
        <v>258</v>
      </c>
      <c r="G367" t="b">
        <f t="shared" si="30"/>
        <v>1</v>
      </c>
      <c r="J367" s="24">
        <f t="shared" si="31"/>
        <v>-97</v>
      </c>
      <c r="K367" s="4">
        <f t="shared" si="32"/>
        <v>-0.27323943661971828</v>
      </c>
      <c r="M367" s="118">
        <v>1627.38</v>
      </c>
      <c r="N367" s="118">
        <v>1222.31</v>
      </c>
      <c r="Q367" s="118">
        <v>5163.55</v>
      </c>
      <c r="U367" s="141">
        <f t="shared" si="33"/>
        <v>-405.07000000000016</v>
      </c>
      <c r="V367" s="4">
        <f t="shared" si="34"/>
        <v>-0.24890928977866267</v>
      </c>
      <c r="W367" s="17">
        <v>5516.46</v>
      </c>
      <c r="X367" s="17">
        <v>4848.82</v>
      </c>
      <c r="Y367" s="4">
        <f t="shared" si="35"/>
        <v>-0.12102689043335768</v>
      </c>
      <c r="Z367" s="4"/>
    </row>
    <row r="368" spans="1:26" ht="15" customHeight="1">
      <c r="A368" t="s">
        <v>564</v>
      </c>
      <c r="B368" t="s">
        <v>565</v>
      </c>
      <c r="C368" s="27">
        <v>899</v>
      </c>
      <c r="E368" t="s">
        <v>565</v>
      </c>
      <c r="F368" s="27">
        <v>824</v>
      </c>
      <c r="G368" t="b">
        <f t="shared" si="30"/>
        <v>1</v>
      </c>
      <c r="J368" s="24">
        <f t="shared" si="31"/>
        <v>-75</v>
      </c>
      <c r="K368" s="4">
        <f t="shared" si="32"/>
        <v>-8.3426028921023354E-2</v>
      </c>
      <c r="M368" s="119">
        <v>1157.3599999999999</v>
      </c>
      <c r="N368" s="119">
        <v>1176.5899999999999</v>
      </c>
      <c r="Q368" s="119">
        <v>10192.51</v>
      </c>
      <c r="U368" s="141">
        <f t="shared" si="33"/>
        <v>19.230000000000018</v>
      </c>
      <c r="V368" s="4">
        <f t="shared" si="34"/>
        <v>1.6615400566807326E-2</v>
      </c>
      <c r="W368" s="17">
        <v>21519.02</v>
      </c>
      <c r="X368" s="17">
        <v>19723.75</v>
      </c>
      <c r="Y368" s="4">
        <f t="shared" si="35"/>
        <v>-8.3427126328243562E-2</v>
      </c>
      <c r="Z368" s="4"/>
    </row>
    <row r="369" spans="1:26" ht="15" customHeight="1">
      <c r="A369" s="26" t="s">
        <v>302</v>
      </c>
      <c r="B369" s="26" t="s">
        <v>303</v>
      </c>
      <c r="C369" s="27">
        <v>238</v>
      </c>
      <c r="E369" s="26" t="s">
        <v>303</v>
      </c>
      <c r="F369" s="27">
        <v>136</v>
      </c>
      <c r="G369" t="b">
        <f t="shared" si="30"/>
        <v>1</v>
      </c>
      <c r="J369" s="24">
        <f t="shared" si="31"/>
        <v>-102</v>
      </c>
      <c r="K369" s="4">
        <f t="shared" si="32"/>
        <v>-0.4285714285714286</v>
      </c>
      <c r="M369" s="118">
        <v>840.03</v>
      </c>
      <c r="N369" s="118">
        <v>414.89</v>
      </c>
      <c r="Q369" s="118">
        <v>2350.1999999999998</v>
      </c>
      <c r="U369" s="141">
        <f t="shared" si="33"/>
        <v>-425.14</v>
      </c>
      <c r="V369" s="4">
        <f t="shared" si="34"/>
        <v>-0.50610097258431241</v>
      </c>
      <c r="W369" s="17">
        <v>3939.4</v>
      </c>
      <c r="X369" s="17">
        <v>2628.43</v>
      </c>
      <c r="Y369" s="4">
        <f t="shared" si="35"/>
        <v>-0.33278418033203028</v>
      </c>
      <c r="Z369" s="4"/>
    </row>
    <row r="370" spans="1:26" ht="15" customHeight="1">
      <c r="A370" t="s">
        <v>182</v>
      </c>
      <c r="B370" t="s">
        <v>183</v>
      </c>
      <c r="C370" s="27">
        <v>310</v>
      </c>
      <c r="E370" t="s">
        <v>183</v>
      </c>
      <c r="F370" s="27">
        <v>1</v>
      </c>
      <c r="G370" t="b">
        <f t="shared" si="30"/>
        <v>1</v>
      </c>
      <c r="J370" s="24">
        <f t="shared" si="31"/>
        <v>-309</v>
      </c>
      <c r="K370" s="4">
        <f t="shared" si="32"/>
        <v>-0.99677419354838714</v>
      </c>
      <c r="M370" s="119">
        <v>236.39999999999998</v>
      </c>
      <c r="N370" s="119">
        <v>0</v>
      </c>
      <c r="Q370" s="119">
        <v>0</v>
      </c>
      <c r="U370" s="141">
        <f t="shared" si="33"/>
        <v>-236.39999999999998</v>
      </c>
      <c r="V370" s="4">
        <f t="shared" si="34"/>
        <v>-1</v>
      </c>
      <c r="W370" s="17">
        <v>8361.33</v>
      </c>
      <c r="X370" s="17">
        <v>26.99</v>
      </c>
      <c r="Y370" s="4">
        <f t="shared" si="35"/>
        <v>-0.9967720446388314</v>
      </c>
      <c r="Z370" s="4"/>
    </row>
    <row r="371" spans="1:26" ht="15" customHeight="1">
      <c r="A371" t="s">
        <v>488</v>
      </c>
      <c r="B371" t="s">
        <v>489</v>
      </c>
      <c r="C371" s="27">
        <v>598</v>
      </c>
      <c r="E371" t="s">
        <v>489</v>
      </c>
      <c r="F371" s="27">
        <v>526</v>
      </c>
      <c r="G371" t="b">
        <f t="shared" si="30"/>
        <v>1</v>
      </c>
      <c r="J371" s="24">
        <f t="shared" si="31"/>
        <v>-72</v>
      </c>
      <c r="K371" s="4">
        <f t="shared" si="32"/>
        <v>-0.12040133779264217</v>
      </c>
      <c r="M371" s="119">
        <v>926.32</v>
      </c>
      <c r="N371" s="119">
        <v>900.39</v>
      </c>
      <c r="Q371" s="119">
        <v>4706.62</v>
      </c>
      <c r="U371" s="141">
        <f t="shared" si="33"/>
        <v>-25.930000000000064</v>
      </c>
      <c r="V371" s="4">
        <f t="shared" si="34"/>
        <v>-2.7992486397789174E-2</v>
      </c>
      <c r="W371" s="17">
        <v>10755.88</v>
      </c>
      <c r="X371" s="17">
        <v>9451.2400000000016</v>
      </c>
      <c r="Y371" s="4">
        <f t="shared" si="35"/>
        <v>-0.12129551463943422</v>
      </c>
      <c r="Z371" s="4"/>
    </row>
    <row r="372" spans="1:26" ht="15" customHeight="1">
      <c r="A372" s="167" t="s">
        <v>590</v>
      </c>
      <c r="B372" s="166" t="s">
        <v>591</v>
      </c>
      <c r="C372" s="27">
        <v>725</v>
      </c>
      <c r="E372" s="166" t="s">
        <v>591</v>
      </c>
      <c r="F372" s="27">
        <v>627</v>
      </c>
      <c r="G372" t="b">
        <f t="shared" si="30"/>
        <v>1</v>
      </c>
      <c r="J372" s="24">
        <f t="shared" si="31"/>
        <v>-98</v>
      </c>
      <c r="K372" s="4">
        <f t="shared" si="32"/>
        <v>-0.13517241379310341</v>
      </c>
      <c r="M372" s="119">
        <v>1506.4</v>
      </c>
      <c r="N372" s="119">
        <v>1584.93</v>
      </c>
      <c r="Q372" s="119">
        <v>5038.3999999999996</v>
      </c>
      <c r="U372" s="141">
        <f t="shared" si="33"/>
        <v>78.529999999999973</v>
      </c>
      <c r="V372" s="4">
        <f t="shared" si="34"/>
        <v>5.2130908125331832E-2</v>
      </c>
      <c r="W372" s="17">
        <v>13492.8</v>
      </c>
      <c r="X372" s="17">
        <v>12468.78</v>
      </c>
      <c r="Y372" s="4">
        <f t="shared" si="35"/>
        <v>-7.5893810032017006E-2</v>
      </c>
      <c r="Z372" s="4"/>
    </row>
    <row r="373" spans="1:26" ht="15" customHeight="1">
      <c r="A373" s="38" t="s">
        <v>126</v>
      </c>
      <c r="B373" s="35" t="s">
        <v>127</v>
      </c>
      <c r="C373" s="27">
        <v>1805</v>
      </c>
      <c r="E373" s="35" t="s">
        <v>127</v>
      </c>
      <c r="F373" s="27">
        <v>1875</v>
      </c>
      <c r="G373" t="b">
        <f t="shared" si="30"/>
        <v>1</v>
      </c>
      <c r="J373" s="24">
        <f t="shared" si="31"/>
        <v>70</v>
      </c>
      <c r="K373" s="4">
        <f t="shared" si="32"/>
        <v>3.8781163434903121E-2</v>
      </c>
      <c r="M373" s="118">
        <v>3960.38</v>
      </c>
      <c r="N373" s="118">
        <v>4035.72</v>
      </c>
      <c r="Q373" s="118">
        <v>22111.17</v>
      </c>
      <c r="U373" s="141">
        <f t="shared" si="33"/>
        <v>75.339999999999691</v>
      </c>
      <c r="V373" s="4">
        <f t="shared" si="34"/>
        <v>1.9023427044879471E-2</v>
      </c>
      <c r="W373" s="17">
        <v>34079.96</v>
      </c>
      <c r="X373" s="17">
        <v>35352.86</v>
      </c>
      <c r="Y373" s="4">
        <f t="shared" si="35"/>
        <v>3.7350395951168958E-2</v>
      </c>
      <c r="Z373" s="4"/>
    </row>
    <row r="374" spans="1:26" ht="15" customHeight="1">
      <c r="A374" s="167" t="s">
        <v>312</v>
      </c>
      <c r="B374" s="26" t="s">
        <v>313</v>
      </c>
      <c r="C374" s="27">
        <v>327</v>
      </c>
      <c r="E374" s="26" t="s">
        <v>313</v>
      </c>
      <c r="F374" s="27">
        <v>213</v>
      </c>
      <c r="G374" t="b">
        <f t="shared" si="30"/>
        <v>1</v>
      </c>
      <c r="J374" s="24">
        <f t="shared" si="31"/>
        <v>-114</v>
      </c>
      <c r="K374" s="4">
        <f t="shared" si="32"/>
        <v>-0.34862385321100919</v>
      </c>
      <c r="M374" s="119">
        <v>1230.45</v>
      </c>
      <c r="N374" s="119">
        <v>1201</v>
      </c>
      <c r="Q374" s="119">
        <v>4240.45</v>
      </c>
      <c r="U374" s="141">
        <f t="shared" si="33"/>
        <v>-29.450000000000045</v>
      </c>
      <c r="V374" s="4">
        <f t="shared" si="34"/>
        <v>-2.3934332967613492E-2</v>
      </c>
      <c r="W374" s="17">
        <v>3882.9</v>
      </c>
      <c r="X374" s="17">
        <v>2974.7</v>
      </c>
      <c r="Y374" s="4">
        <f t="shared" si="35"/>
        <v>-0.23389734476808577</v>
      </c>
      <c r="Z374" s="4"/>
    </row>
    <row r="375" spans="1:26" ht="15" customHeight="1">
      <c r="A375" t="s">
        <v>666</v>
      </c>
      <c r="B375" t="s">
        <v>667</v>
      </c>
      <c r="C375" s="27">
        <v>1392</v>
      </c>
      <c r="E375" t="s">
        <v>667</v>
      </c>
      <c r="F375" s="27">
        <v>1248</v>
      </c>
      <c r="G375" t="b">
        <f t="shared" si="30"/>
        <v>1</v>
      </c>
      <c r="J375" s="24">
        <f t="shared" si="31"/>
        <v>-144</v>
      </c>
      <c r="K375" s="4">
        <f t="shared" si="32"/>
        <v>-0.10344827586206895</v>
      </c>
      <c r="M375" s="119">
        <v>3212.26</v>
      </c>
      <c r="N375" s="119">
        <v>3218.16</v>
      </c>
      <c r="Q375" s="119">
        <v>18860.03</v>
      </c>
      <c r="U375" s="141">
        <f t="shared" si="33"/>
        <v>5.8999999999996362</v>
      </c>
      <c r="V375" s="4">
        <f t="shared" si="34"/>
        <v>1.8367130929624054E-3</v>
      </c>
      <c r="W375" s="17">
        <v>41643.050000000003</v>
      </c>
      <c r="X375" s="17">
        <v>37341.25</v>
      </c>
      <c r="Y375" s="4">
        <f t="shared" si="35"/>
        <v>-0.10330175143271214</v>
      </c>
      <c r="Z375" s="4"/>
    </row>
    <row r="376" spans="1:26" ht="15" customHeight="1">
      <c r="A376" s="167" t="s">
        <v>612</v>
      </c>
      <c r="B376" s="26" t="s">
        <v>613</v>
      </c>
      <c r="C376" s="27">
        <v>500</v>
      </c>
      <c r="E376" s="26" t="s">
        <v>613</v>
      </c>
      <c r="F376" s="27">
        <v>539</v>
      </c>
      <c r="G376" t="b">
        <f t="shared" si="30"/>
        <v>1</v>
      </c>
      <c r="J376" s="24">
        <f t="shared" si="31"/>
        <v>39</v>
      </c>
      <c r="K376" s="4">
        <f t="shared" si="32"/>
        <v>7.8000000000000069E-2</v>
      </c>
      <c r="M376" s="118">
        <v>1560.2</v>
      </c>
      <c r="N376" s="118">
        <v>1681.49</v>
      </c>
      <c r="Q376" s="118">
        <v>13200.54</v>
      </c>
      <c r="U376" s="141">
        <f t="shared" si="33"/>
        <v>121.28999999999996</v>
      </c>
      <c r="V376" s="4">
        <f t="shared" si="34"/>
        <v>7.7740033329060321E-2</v>
      </c>
      <c r="W376" s="17">
        <v>11209.51</v>
      </c>
      <c r="X376" s="17">
        <v>12688.37</v>
      </c>
      <c r="Y376" s="4">
        <f t="shared" si="35"/>
        <v>0.13192904953026496</v>
      </c>
      <c r="Z376" s="4"/>
    </row>
    <row r="377" spans="1:26" ht="15" customHeight="1">
      <c r="A377" t="s">
        <v>772</v>
      </c>
      <c r="B377" t="s">
        <v>773</v>
      </c>
      <c r="C377" s="27">
        <v>1993</v>
      </c>
      <c r="E377" t="s">
        <v>773</v>
      </c>
      <c r="F377" s="27">
        <v>1731</v>
      </c>
      <c r="G377" t="b">
        <f t="shared" si="30"/>
        <v>1</v>
      </c>
      <c r="J377" s="24">
        <f t="shared" si="31"/>
        <v>-262</v>
      </c>
      <c r="K377" s="4">
        <f t="shared" si="32"/>
        <v>-0.13146011038635219</v>
      </c>
      <c r="M377" s="119">
        <v>1699.75</v>
      </c>
      <c r="N377" s="119">
        <v>1617.66</v>
      </c>
      <c r="Q377" s="119">
        <v>13559.59</v>
      </c>
      <c r="U377" s="141">
        <f t="shared" si="33"/>
        <v>-82.089999999999918</v>
      </c>
      <c r="V377" s="4">
        <f t="shared" si="34"/>
        <v>-4.829533754963955E-2</v>
      </c>
      <c r="W377" s="17">
        <v>69360.820000000007</v>
      </c>
      <c r="X377" s="17">
        <v>63535.86</v>
      </c>
      <c r="Y377" s="4">
        <f t="shared" si="35"/>
        <v>-8.3980552709728706E-2</v>
      </c>
      <c r="Z377" s="4"/>
    </row>
    <row r="378" spans="1:26" ht="15" customHeight="1">
      <c r="A378" s="26" t="s">
        <v>1808</v>
      </c>
      <c r="B378" s="26" t="s">
        <v>1796</v>
      </c>
      <c r="C378" s="27">
        <v>338</v>
      </c>
      <c r="E378" s="26" t="s">
        <v>1796</v>
      </c>
      <c r="F378" s="27">
        <v>281</v>
      </c>
      <c r="G378" t="b">
        <f t="shared" si="30"/>
        <v>1</v>
      </c>
      <c r="J378" s="24">
        <f t="shared" si="31"/>
        <v>-57</v>
      </c>
      <c r="K378" s="4">
        <f t="shared" si="32"/>
        <v>-0.16863905325443784</v>
      </c>
      <c r="M378" s="119">
        <v>1398.61</v>
      </c>
      <c r="N378" s="119">
        <v>509.54</v>
      </c>
      <c r="Q378" s="119">
        <v>1925.02</v>
      </c>
      <c r="U378" s="141">
        <f t="shared" si="33"/>
        <v>-889.06999999999994</v>
      </c>
      <c r="V378" s="4">
        <f t="shared" si="34"/>
        <v>-0.63568114056098546</v>
      </c>
      <c r="W378" s="17">
        <v>3931.02</v>
      </c>
      <c r="X378" s="17">
        <v>3683.01</v>
      </c>
      <c r="Y378" s="4">
        <f t="shared" si="35"/>
        <v>-6.3090495596562657E-2</v>
      </c>
      <c r="Z378" s="4"/>
    </row>
    <row r="379" spans="1:26" ht="15" customHeight="1">
      <c r="A379" t="s">
        <v>80</v>
      </c>
      <c r="B379" t="s">
        <v>81</v>
      </c>
      <c r="C379" s="27">
        <v>1514</v>
      </c>
      <c r="E379" t="s">
        <v>81</v>
      </c>
      <c r="F379" s="27">
        <v>1386</v>
      </c>
      <c r="G379" t="b">
        <f t="shared" si="30"/>
        <v>1</v>
      </c>
      <c r="J379" s="24">
        <f t="shared" si="31"/>
        <v>-128</v>
      </c>
      <c r="K379" s="4">
        <f t="shared" si="32"/>
        <v>-8.4544253632760857E-2</v>
      </c>
      <c r="M379" s="119">
        <v>4385.58</v>
      </c>
      <c r="N379" s="119">
        <v>3347.06</v>
      </c>
      <c r="Q379" s="119">
        <v>18135.53</v>
      </c>
      <c r="U379" s="141">
        <f t="shared" si="33"/>
        <v>-1038.52</v>
      </c>
      <c r="V379" s="4">
        <f t="shared" si="34"/>
        <v>-0.23680334186128171</v>
      </c>
      <c r="W379" s="17">
        <v>33801.75</v>
      </c>
      <c r="X379" s="17">
        <v>32186.83</v>
      </c>
      <c r="Y379" s="4">
        <f t="shared" si="35"/>
        <v>-4.7776224603755635E-2</v>
      </c>
      <c r="Z379" s="4"/>
    </row>
    <row r="380" spans="1:26" ht="15" customHeight="1">
      <c r="A380" s="122" t="s">
        <v>42</v>
      </c>
      <c r="B380" s="122" t="s">
        <v>43</v>
      </c>
      <c r="C380" s="27">
        <v>915</v>
      </c>
      <c r="E380" s="122" t="s">
        <v>43</v>
      </c>
      <c r="F380" s="27">
        <v>735</v>
      </c>
      <c r="G380" t="b">
        <f t="shared" si="30"/>
        <v>1</v>
      </c>
      <c r="J380" s="24">
        <f t="shared" si="31"/>
        <v>-180</v>
      </c>
      <c r="K380" s="4">
        <f t="shared" si="32"/>
        <v>-0.19672131147540983</v>
      </c>
      <c r="M380" s="118">
        <v>1364.11</v>
      </c>
      <c r="N380" s="118">
        <v>1008.9</v>
      </c>
      <c r="Q380" s="118">
        <v>7231.7</v>
      </c>
      <c r="U380" s="141">
        <f t="shared" si="33"/>
        <v>-355.20999999999992</v>
      </c>
      <c r="V380" s="4">
        <f t="shared" si="34"/>
        <v>-0.26039688881395195</v>
      </c>
      <c r="W380" s="17">
        <v>34823.620000000003</v>
      </c>
      <c r="X380" s="17">
        <v>29348.26</v>
      </c>
      <c r="Y380" s="4">
        <f t="shared" si="35"/>
        <v>-0.15723121260799433</v>
      </c>
      <c r="Z380" s="4"/>
    </row>
    <row r="381" spans="1:26" ht="15" customHeight="1">
      <c r="A381" s="38" t="s">
        <v>380</v>
      </c>
      <c r="B381" s="35" t="s">
        <v>381</v>
      </c>
      <c r="C381" s="27">
        <v>1234</v>
      </c>
      <c r="E381" s="35" t="s">
        <v>381</v>
      </c>
      <c r="F381" s="27">
        <v>927</v>
      </c>
      <c r="G381" t="b">
        <f t="shared" si="30"/>
        <v>1</v>
      </c>
      <c r="J381" s="24">
        <f t="shared" si="31"/>
        <v>-307</v>
      </c>
      <c r="K381" s="4">
        <f t="shared" si="32"/>
        <v>-0.24878444084278772</v>
      </c>
      <c r="M381" s="118">
        <v>2618.3200000000002</v>
      </c>
      <c r="N381" s="118">
        <v>2245.7199999999998</v>
      </c>
      <c r="Q381" s="118">
        <v>11548.45</v>
      </c>
      <c r="U381" s="141">
        <f t="shared" si="33"/>
        <v>-372.60000000000036</v>
      </c>
      <c r="V381" s="4">
        <f t="shared" si="34"/>
        <v>-0.14230498945888981</v>
      </c>
      <c r="W381" s="17">
        <v>32526.49</v>
      </c>
      <c r="X381" s="17">
        <v>27757.61</v>
      </c>
      <c r="Y381" s="4">
        <f t="shared" si="35"/>
        <v>-0.14661526651046575</v>
      </c>
      <c r="Z381" s="4"/>
    </row>
    <row r="382" spans="1:26" ht="15" customHeight="1">
      <c r="A382" t="s">
        <v>190</v>
      </c>
      <c r="B382" t="s">
        <v>191</v>
      </c>
      <c r="C382" s="27">
        <v>524</v>
      </c>
      <c r="E382" t="s">
        <v>191</v>
      </c>
      <c r="F382" s="27">
        <v>483</v>
      </c>
      <c r="G382" t="b">
        <f t="shared" si="30"/>
        <v>1</v>
      </c>
      <c r="J382" s="24">
        <f t="shared" si="31"/>
        <v>-41</v>
      </c>
      <c r="K382" s="4">
        <f t="shared" si="32"/>
        <v>-7.8244274809160297E-2</v>
      </c>
      <c r="M382" s="119">
        <v>478.73</v>
      </c>
      <c r="N382" s="119">
        <v>490.06</v>
      </c>
      <c r="Q382" s="119">
        <v>4058.42</v>
      </c>
      <c r="U382" s="141">
        <f t="shared" si="33"/>
        <v>11.329999999999984</v>
      </c>
      <c r="V382" s="4">
        <f t="shared" si="34"/>
        <v>2.3666785035406201E-2</v>
      </c>
      <c r="W382" s="17">
        <v>10469.68</v>
      </c>
      <c r="X382" s="17">
        <v>9645.93</v>
      </c>
      <c r="Y382" s="4">
        <f t="shared" si="35"/>
        <v>-7.867957759931532E-2</v>
      </c>
      <c r="Z382" s="4"/>
    </row>
    <row r="383" spans="1:26" ht="15" customHeight="1">
      <c r="A383" t="s">
        <v>412</v>
      </c>
      <c r="B383" t="s">
        <v>413</v>
      </c>
      <c r="C383" s="27">
        <v>1275</v>
      </c>
      <c r="E383" t="s">
        <v>413</v>
      </c>
      <c r="F383" s="27">
        <v>1047</v>
      </c>
      <c r="G383" t="b">
        <f t="shared" si="30"/>
        <v>1</v>
      </c>
      <c r="J383" s="24">
        <f t="shared" si="31"/>
        <v>-228</v>
      </c>
      <c r="K383" s="4">
        <f t="shared" si="32"/>
        <v>-0.17882352941176471</v>
      </c>
      <c r="M383" s="119">
        <v>2457.9299999999998</v>
      </c>
      <c r="N383" s="119">
        <v>1607.97</v>
      </c>
      <c r="Q383" s="119">
        <v>9692.7800000000007</v>
      </c>
      <c r="U383" s="141">
        <f t="shared" si="33"/>
        <v>-849.95999999999981</v>
      </c>
      <c r="V383" s="4">
        <f t="shared" si="34"/>
        <v>-0.3458031758430874</v>
      </c>
      <c r="W383" s="17">
        <v>38230.35</v>
      </c>
      <c r="X383" s="17">
        <v>29385.97</v>
      </c>
      <c r="Y383" s="4">
        <f t="shared" si="35"/>
        <v>-0.23134446846549916</v>
      </c>
      <c r="Z383" s="4"/>
    </row>
    <row r="384" spans="1:26" ht="15" customHeight="1">
      <c r="A384" t="s">
        <v>562</v>
      </c>
      <c r="B384" t="s">
        <v>563</v>
      </c>
      <c r="C384" s="27">
        <v>705</v>
      </c>
      <c r="E384" t="s">
        <v>563</v>
      </c>
      <c r="F384" s="27">
        <v>489</v>
      </c>
      <c r="G384" t="b">
        <f t="shared" si="30"/>
        <v>1</v>
      </c>
      <c r="J384" s="24">
        <f t="shared" si="31"/>
        <v>-216</v>
      </c>
      <c r="K384" s="4">
        <f t="shared" si="32"/>
        <v>-0.30638297872340425</v>
      </c>
      <c r="M384" s="119">
        <v>1198.93</v>
      </c>
      <c r="N384" s="119">
        <v>1033.17</v>
      </c>
      <c r="Q384" s="119">
        <v>5835.69</v>
      </c>
      <c r="U384" s="141">
        <f t="shared" si="33"/>
        <v>-165.76</v>
      </c>
      <c r="V384" s="4">
        <f t="shared" si="34"/>
        <v>-0.13825661214583007</v>
      </c>
      <c r="W384" s="17">
        <v>14060.95</v>
      </c>
      <c r="X384" s="17">
        <v>9713.65</v>
      </c>
      <c r="Y384" s="4">
        <f t="shared" si="35"/>
        <v>-0.3091754113342271</v>
      </c>
      <c r="Z384" s="4"/>
    </row>
    <row r="385" spans="1:26" ht="15" customHeight="1">
      <c r="A385" s="23" t="s">
        <v>746</v>
      </c>
      <c r="B385" s="22" t="s">
        <v>747</v>
      </c>
      <c r="C385" s="27">
        <v>1621</v>
      </c>
      <c r="E385" s="22" t="s">
        <v>747</v>
      </c>
      <c r="F385" s="27">
        <v>1470</v>
      </c>
      <c r="G385" t="b">
        <f t="shared" si="30"/>
        <v>1</v>
      </c>
      <c r="J385" s="24">
        <f t="shared" si="31"/>
        <v>-151</v>
      </c>
      <c r="K385" s="4">
        <f t="shared" si="32"/>
        <v>-9.3152375077112937E-2</v>
      </c>
      <c r="M385" s="119">
        <v>4407.66</v>
      </c>
      <c r="N385" s="119">
        <v>3717.62</v>
      </c>
      <c r="Q385" s="119">
        <v>25508.18</v>
      </c>
      <c r="U385" s="141">
        <f t="shared" si="33"/>
        <v>-690.04</v>
      </c>
      <c r="V385" s="4">
        <f t="shared" si="34"/>
        <v>-0.15655472518297686</v>
      </c>
      <c r="W385" s="17">
        <v>32378.6</v>
      </c>
      <c r="X385" s="17">
        <v>29346.880000000001</v>
      </c>
      <c r="Y385" s="4">
        <f t="shared" si="35"/>
        <v>-9.3633449253519241E-2</v>
      </c>
      <c r="Z385" s="4"/>
    </row>
    <row r="386" spans="1:26" ht="15" customHeight="1">
      <c r="A386" s="35" t="s">
        <v>408</v>
      </c>
      <c r="B386" s="35" t="s">
        <v>409</v>
      </c>
      <c r="C386" s="27">
        <v>1225</v>
      </c>
      <c r="E386" s="35" t="s">
        <v>409</v>
      </c>
      <c r="F386" s="27">
        <v>888</v>
      </c>
      <c r="G386" t="b">
        <f t="shared" ref="G386:G448" si="36">IF(B386=E386,TRUE,FALSE)</f>
        <v>1</v>
      </c>
      <c r="J386" s="24">
        <f t="shared" ref="J386:J448" si="37">F386-C386</f>
        <v>-337</v>
      </c>
      <c r="K386" s="4">
        <f t="shared" ref="K386:K448" si="38">F386/C386-1</f>
        <v>-0.2751020408163265</v>
      </c>
      <c r="M386" s="119">
        <v>2337.81</v>
      </c>
      <c r="N386" s="119">
        <v>1841.37</v>
      </c>
      <c r="Q386" s="119">
        <v>7990.91</v>
      </c>
      <c r="U386" s="141">
        <f t="shared" ref="U386:U449" si="39">N386-M386</f>
        <v>-496.44000000000005</v>
      </c>
      <c r="V386" s="4">
        <f t="shared" ref="V386:V449" si="40">IF(M386=0,0,N386/M386-1)</f>
        <v>-0.21235258639495946</v>
      </c>
      <c r="W386" s="17">
        <v>12226.46</v>
      </c>
      <c r="X386" s="17">
        <v>8870.32</v>
      </c>
      <c r="Y386" s="4">
        <f t="shared" ref="Y386:Y448" si="41">X386/W386-1</f>
        <v>-0.27449809675081749</v>
      </c>
      <c r="Z386" s="4"/>
    </row>
    <row r="387" spans="1:26" ht="15" customHeight="1">
      <c r="A387" t="s">
        <v>690</v>
      </c>
      <c r="B387" t="s">
        <v>691</v>
      </c>
      <c r="C387" s="27">
        <v>5963</v>
      </c>
      <c r="E387" t="s">
        <v>691</v>
      </c>
      <c r="F387" s="27">
        <v>5038</v>
      </c>
      <c r="G387" t="b">
        <f t="shared" si="36"/>
        <v>1</v>
      </c>
      <c r="J387" s="24">
        <f t="shared" si="37"/>
        <v>-925</v>
      </c>
      <c r="K387" s="4">
        <f t="shared" si="38"/>
        <v>-0.15512326010397448</v>
      </c>
      <c r="M387" s="119">
        <v>10008.06</v>
      </c>
      <c r="N387" s="119">
        <v>7028.41</v>
      </c>
      <c r="Q387" s="119">
        <v>60251.23</v>
      </c>
      <c r="U387" s="141">
        <f t="shared" si="39"/>
        <v>-2979.6499999999996</v>
      </c>
      <c r="V387" s="4">
        <f t="shared" si="40"/>
        <v>-0.29772503362289993</v>
      </c>
      <c r="W387" s="17">
        <v>178360.85</v>
      </c>
      <c r="X387" s="17">
        <v>150661.93</v>
      </c>
      <c r="Y387" s="4">
        <f t="shared" si="41"/>
        <v>-0.15529708453396585</v>
      </c>
      <c r="Z387" s="4"/>
    </row>
    <row r="388" spans="1:26" ht="15" customHeight="1">
      <c r="A388" t="s">
        <v>688</v>
      </c>
      <c r="B388" t="s">
        <v>689</v>
      </c>
      <c r="C388" s="27">
        <v>2160</v>
      </c>
      <c r="E388" t="s">
        <v>689</v>
      </c>
      <c r="F388" s="27">
        <v>2035</v>
      </c>
      <c r="G388" t="b">
        <f t="shared" si="36"/>
        <v>1</v>
      </c>
      <c r="J388" s="24">
        <f t="shared" si="37"/>
        <v>-125</v>
      </c>
      <c r="K388" s="4">
        <f t="shared" si="38"/>
        <v>-5.787037037037035E-2</v>
      </c>
      <c r="M388" s="119">
        <v>1234.1500000000001</v>
      </c>
      <c r="N388" s="119">
        <v>1359.88</v>
      </c>
      <c r="Q388" s="119">
        <v>7541.01</v>
      </c>
      <c r="U388" s="141">
        <f t="shared" si="39"/>
        <v>125.73000000000002</v>
      </c>
      <c r="V388" s="4">
        <f t="shared" si="40"/>
        <v>0.10187578495320659</v>
      </c>
      <c r="W388" s="17">
        <v>56705.11</v>
      </c>
      <c r="X388" s="17">
        <v>59819.12</v>
      </c>
      <c r="Y388" s="4">
        <f t="shared" si="41"/>
        <v>5.4915862080154643E-2</v>
      </c>
      <c r="Z388" s="4"/>
    </row>
    <row r="389" spans="1:26" ht="15" customHeight="1">
      <c r="A389" s="26" t="s">
        <v>334</v>
      </c>
      <c r="B389" s="26" t="s">
        <v>335</v>
      </c>
      <c r="C389" s="27">
        <v>360</v>
      </c>
      <c r="E389" s="26" t="s">
        <v>335</v>
      </c>
      <c r="F389" s="27">
        <v>250</v>
      </c>
      <c r="G389" t="b">
        <f t="shared" si="36"/>
        <v>1</v>
      </c>
      <c r="J389" s="24">
        <f t="shared" si="37"/>
        <v>-110</v>
      </c>
      <c r="K389" s="4">
        <f t="shared" si="38"/>
        <v>-0.30555555555555558</v>
      </c>
      <c r="M389" s="118">
        <v>863.69</v>
      </c>
      <c r="N389" s="118">
        <v>687.08</v>
      </c>
      <c r="Q389" s="118">
        <v>3770.56</v>
      </c>
      <c r="U389" s="141">
        <f t="shared" si="39"/>
        <v>-176.61</v>
      </c>
      <c r="V389" s="4">
        <f t="shared" si="40"/>
        <v>-0.20448308999756859</v>
      </c>
      <c r="W389" s="17">
        <v>6243.18</v>
      </c>
      <c r="X389" s="17">
        <v>5000.0600000000004</v>
      </c>
      <c r="Y389" s="4">
        <f t="shared" si="41"/>
        <v>-0.19911647589850046</v>
      </c>
      <c r="Z389" s="4"/>
    </row>
    <row r="390" spans="1:26" ht="15" customHeight="1">
      <c r="A390" s="167" t="s">
        <v>520</v>
      </c>
      <c r="B390" s="35" t="s">
        <v>521</v>
      </c>
      <c r="C390" s="27">
        <v>527</v>
      </c>
      <c r="E390" s="35" t="s">
        <v>521</v>
      </c>
      <c r="F390" s="27">
        <v>307</v>
      </c>
      <c r="G390" t="b">
        <f t="shared" si="36"/>
        <v>1</v>
      </c>
      <c r="J390" s="24">
        <f t="shared" si="37"/>
        <v>-220</v>
      </c>
      <c r="K390" s="4">
        <f t="shared" si="38"/>
        <v>-0.41745730550284632</v>
      </c>
      <c r="M390" s="119">
        <v>1326.64</v>
      </c>
      <c r="N390" s="119">
        <v>803.99</v>
      </c>
      <c r="Q390" s="119">
        <v>3089.82</v>
      </c>
      <c r="U390" s="141">
        <f t="shared" si="39"/>
        <v>-522.65000000000009</v>
      </c>
      <c r="V390" s="4">
        <f t="shared" si="40"/>
        <v>-0.3939652053307604</v>
      </c>
      <c r="W390" s="17">
        <v>8100.23</v>
      </c>
      <c r="X390" s="17">
        <v>5802.73</v>
      </c>
      <c r="Y390" s="4">
        <f t="shared" si="41"/>
        <v>-0.28363392150593258</v>
      </c>
      <c r="Z390" s="4"/>
    </row>
    <row r="391" spans="1:26" ht="15" customHeight="1">
      <c r="A391" s="26" t="s">
        <v>350</v>
      </c>
      <c r="B391" s="26" t="s">
        <v>351</v>
      </c>
      <c r="C391" s="27">
        <v>393</v>
      </c>
      <c r="E391" s="26" t="s">
        <v>351</v>
      </c>
      <c r="F391" s="27">
        <v>443</v>
      </c>
      <c r="G391" t="b">
        <f t="shared" si="36"/>
        <v>1</v>
      </c>
      <c r="J391" s="24">
        <f t="shared" si="37"/>
        <v>50</v>
      </c>
      <c r="K391" s="4">
        <f t="shared" si="38"/>
        <v>0.12722646310432562</v>
      </c>
      <c r="M391" s="118">
        <v>1039.02</v>
      </c>
      <c r="N391" s="118">
        <v>856.73</v>
      </c>
      <c r="Q391" s="118">
        <v>3733.67</v>
      </c>
      <c r="U391" s="141">
        <f t="shared" si="39"/>
        <v>-182.28999999999996</v>
      </c>
      <c r="V391" s="4">
        <f t="shared" si="40"/>
        <v>-0.17544416854343514</v>
      </c>
      <c r="W391" s="17">
        <v>6595.68</v>
      </c>
      <c r="X391" s="17">
        <v>7588.77</v>
      </c>
      <c r="Y391" s="4">
        <f t="shared" si="41"/>
        <v>0.15056673458991332</v>
      </c>
      <c r="Z391" s="4"/>
    </row>
    <row r="392" spans="1:26" ht="15" customHeight="1">
      <c r="A392" t="s">
        <v>756</v>
      </c>
      <c r="B392" t="s">
        <v>757</v>
      </c>
      <c r="C392" s="27">
        <v>2267</v>
      </c>
      <c r="E392" t="s">
        <v>757</v>
      </c>
      <c r="F392" s="27">
        <v>2054</v>
      </c>
      <c r="G392" t="b">
        <f t="shared" si="36"/>
        <v>1</v>
      </c>
      <c r="J392" s="24">
        <f t="shared" si="37"/>
        <v>-213</v>
      </c>
      <c r="K392" s="4">
        <f t="shared" si="38"/>
        <v>-9.3956771063078981E-2</v>
      </c>
      <c r="M392" s="119">
        <v>3352.55</v>
      </c>
      <c r="N392" s="119">
        <v>2175.31</v>
      </c>
      <c r="Q392" s="119">
        <v>15641.12</v>
      </c>
      <c r="U392" s="141">
        <f t="shared" si="39"/>
        <v>-1177.2400000000002</v>
      </c>
      <c r="V392" s="4">
        <f t="shared" si="40"/>
        <v>-0.35114763389062065</v>
      </c>
      <c r="W392" s="17">
        <v>65600.570000000007</v>
      </c>
      <c r="X392" s="17">
        <v>58680.97</v>
      </c>
      <c r="Y392" s="4">
        <f t="shared" si="41"/>
        <v>-0.10548079079190931</v>
      </c>
      <c r="Z392" s="4"/>
    </row>
    <row r="393" spans="1:26" ht="15" customHeight="1">
      <c r="A393" s="38" t="s">
        <v>865</v>
      </c>
      <c r="B393" s="35" t="s">
        <v>866</v>
      </c>
      <c r="C393" s="27">
        <v>11883</v>
      </c>
      <c r="E393" s="35" t="s">
        <v>866</v>
      </c>
      <c r="F393" s="27">
        <v>9907</v>
      </c>
      <c r="G393" t="b">
        <f t="shared" si="36"/>
        <v>1</v>
      </c>
      <c r="J393" s="24">
        <f t="shared" si="37"/>
        <v>-1976</v>
      </c>
      <c r="K393" s="4">
        <f t="shared" si="38"/>
        <v>-0.16628797441723475</v>
      </c>
      <c r="M393" s="118">
        <v>22639.16</v>
      </c>
      <c r="N393" s="118">
        <v>17627.84</v>
      </c>
      <c r="Q393" s="118">
        <v>74954.429999999993</v>
      </c>
      <c r="U393" s="141">
        <f t="shared" si="39"/>
        <v>-5011.32</v>
      </c>
      <c r="V393" s="4">
        <f t="shared" si="40"/>
        <v>-0.22135626940222164</v>
      </c>
      <c r="W393" s="17">
        <v>310930.92</v>
      </c>
      <c r="X393" s="17">
        <v>257173.34</v>
      </c>
      <c r="Y393" s="4">
        <f t="shared" si="41"/>
        <v>-0.17289235821255733</v>
      </c>
      <c r="Z393" s="4"/>
    </row>
    <row r="394" spans="1:26" ht="15" customHeight="1">
      <c r="A394" s="38" t="s">
        <v>594</v>
      </c>
      <c r="B394" s="35" t="s">
        <v>595</v>
      </c>
      <c r="C394" s="27">
        <v>1028</v>
      </c>
      <c r="E394" s="35" t="s">
        <v>595</v>
      </c>
      <c r="F394" s="27">
        <v>1154</v>
      </c>
      <c r="G394" t="b">
        <f t="shared" si="36"/>
        <v>1</v>
      </c>
      <c r="J394" s="24">
        <f t="shared" si="37"/>
        <v>126</v>
      </c>
      <c r="K394" s="4">
        <f t="shared" si="38"/>
        <v>0.12256809338521402</v>
      </c>
      <c r="M394" s="118">
        <v>2558.2199999999998</v>
      </c>
      <c r="N394" s="118">
        <v>2384.5100000000002</v>
      </c>
      <c r="Q394" s="118">
        <v>17552.009999999998</v>
      </c>
      <c r="U394" s="141">
        <f t="shared" si="39"/>
        <v>-173.70999999999958</v>
      </c>
      <c r="V394" s="4">
        <f t="shared" si="40"/>
        <v>-6.7902682333810027E-2</v>
      </c>
      <c r="W394" s="17">
        <v>27077.49</v>
      </c>
      <c r="X394" s="17">
        <v>32042.32</v>
      </c>
      <c r="Y394" s="4">
        <f t="shared" si="41"/>
        <v>0.18335635983985221</v>
      </c>
      <c r="Z394" s="4"/>
    </row>
    <row r="395" spans="1:26" ht="15" customHeight="1">
      <c r="A395" s="35" t="s">
        <v>428</v>
      </c>
      <c r="B395" s="35" t="s">
        <v>429</v>
      </c>
      <c r="C395" s="27">
        <v>1392</v>
      </c>
      <c r="E395" s="35" t="s">
        <v>429</v>
      </c>
      <c r="F395" s="27">
        <v>1124</v>
      </c>
      <c r="G395" t="b">
        <f t="shared" si="36"/>
        <v>1</v>
      </c>
      <c r="J395" s="24">
        <f t="shared" si="37"/>
        <v>-268</v>
      </c>
      <c r="K395" s="4">
        <f t="shared" si="38"/>
        <v>-0.19252873563218387</v>
      </c>
      <c r="M395" s="119">
        <v>3055.66</v>
      </c>
      <c r="N395" s="119">
        <v>2002.96</v>
      </c>
      <c r="Q395" s="119">
        <v>12104.94</v>
      </c>
      <c r="U395" s="141">
        <f t="shared" si="39"/>
        <v>-1052.6999999999998</v>
      </c>
      <c r="V395" s="4">
        <f t="shared" si="40"/>
        <v>-0.34450822408252224</v>
      </c>
      <c r="W395" s="17">
        <v>30410.720000000001</v>
      </c>
      <c r="X395" s="17">
        <v>28036.78</v>
      </c>
      <c r="Y395" s="4">
        <f t="shared" si="41"/>
        <v>-7.8062604239557687E-2</v>
      </c>
      <c r="Z395" s="4"/>
    </row>
    <row r="396" spans="1:26" ht="15" customHeight="1">
      <c r="A396" s="38" t="s">
        <v>436</v>
      </c>
      <c r="B396" s="35" t="s">
        <v>437</v>
      </c>
      <c r="C396" s="27">
        <v>679</v>
      </c>
      <c r="E396" s="35" t="s">
        <v>437</v>
      </c>
      <c r="F396" s="27">
        <v>527</v>
      </c>
      <c r="G396" t="b">
        <f t="shared" si="36"/>
        <v>1</v>
      </c>
      <c r="J396" s="24">
        <f t="shared" si="37"/>
        <v>-152</v>
      </c>
      <c r="K396" s="4">
        <f t="shared" si="38"/>
        <v>-0.22385861561119291</v>
      </c>
      <c r="M396" s="118">
        <v>1277.7</v>
      </c>
      <c r="N396" s="118">
        <v>1102.0999999999999</v>
      </c>
      <c r="Q396" s="118">
        <v>5705.38</v>
      </c>
      <c r="U396" s="141">
        <f t="shared" si="39"/>
        <v>-175.60000000000014</v>
      </c>
      <c r="V396" s="4">
        <f t="shared" si="40"/>
        <v>-0.13743445253189335</v>
      </c>
      <c r="W396" s="17">
        <v>37130.910000000003</v>
      </c>
      <c r="X396" s="17">
        <v>28972.58</v>
      </c>
      <c r="Y396" s="4">
        <f t="shared" si="41"/>
        <v>-0.21971801929982326</v>
      </c>
      <c r="Z396" s="4"/>
    </row>
    <row r="397" spans="1:26" ht="15" customHeight="1">
      <c r="A397" t="s">
        <v>32</v>
      </c>
      <c r="B397" s="26" t="s">
        <v>33</v>
      </c>
      <c r="C397" s="27">
        <v>2339</v>
      </c>
      <c r="D397" s="18"/>
      <c r="E397" s="26" t="s">
        <v>33</v>
      </c>
      <c r="F397" s="27">
        <v>2619</v>
      </c>
      <c r="G397" t="b">
        <f t="shared" si="36"/>
        <v>1</v>
      </c>
      <c r="H397" s="18"/>
      <c r="I397" s="18"/>
      <c r="J397" s="24">
        <f t="shared" si="37"/>
        <v>280</v>
      </c>
      <c r="K397" s="4">
        <f t="shared" si="38"/>
        <v>0.11970927746900384</v>
      </c>
      <c r="M397" s="119">
        <v>2761.24</v>
      </c>
      <c r="N397" s="119">
        <v>2909.22</v>
      </c>
      <c r="Q397" s="119">
        <v>14590.86</v>
      </c>
      <c r="U397" s="141">
        <f t="shared" si="39"/>
        <v>147.98000000000002</v>
      </c>
      <c r="V397" s="4">
        <f t="shared" si="40"/>
        <v>5.3591864524633825E-2</v>
      </c>
      <c r="W397" s="17">
        <v>56107.09</v>
      </c>
      <c r="X397" s="17">
        <v>60167.21</v>
      </c>
      <c r="Y397" s="4">
        <f t="shared" si="41"/>
        <v>7.2363760088074436E-2</v>
      </c>
      <c r="Z397" s="4"/>
    </row>
    <row r="398" spans="1:26" ht="15" customHeight="1">
      <c r="A398" t="s">
        <v>154</v>
      </c>
      <c r="B398" t="s">
        <v>155</v>
      </c>
      <c r="C398" s="27">
        <v>2299</v>
      </c>
      <c r="E398" t="s">
        <v>155</v>
      </c>
      <c r="F398" s="27">
        <v>2218</v>
      </c>
      <c r="G398" t="b">
        <f t="shared" si="36"/>
        <v>1</v>
      </c>
      <c r="J398" s="24">
        <f t="shared" si="37"/>
        <v>-81</v>
      </c>
      <c r="K398" s="4">
        <f t="shared" si="38"/>
        <v>-3.5232709873858181E-2</v>
      </c>
      <c r="M398" s="119">
        <v>4105.95</v>
      </c>
      <c r="N398" s="119">
        <v>4181.16</v>
      </c>
      <c r="Q398" s="119">
        <v>28897.33</v>
      </c>
      <c r="U398" s="141">
        <f t="shared" si="39"/>
        <v>75.210000000000036</v>
      </c>
      <c r="V398" s="4">
        <f t="shared" si="40"/>
        <v>1.8317319986848268E-2</v>
      </c>
      <c r="W398" s="17">
        <v>66305.47</v>
      </c>
      <c r="X398" s="17">
        <v>64225.03</v>
      </c>
      <c r="Y398" s="4">
        <f t="shared" si="41"/>
        <v>-3.1376596832810355E-2</v>
      </c>
      <c r="Z398" s="4"/>
    </row>
    <row r="399" spans="1:26" ht="15" customHeight="1">
      <c r="A399" t="s">
        <v>400</v>
      </c>
      <c r="B399" t="s">
        <v>401</v>
      </c>
      <c r="C399" s="27">
        <v>707</v>
      </c>
      <c r="E399" t="s">
        <v>401</v>
      </c>
      <c r="F399" s="27">
        <v>477</v>
      </c>
      <c r="G399" t="b">
        <f t="shared" si="36"/>
        <v>1</v>
      </c>
      <c r="J399" s="24">
        <f t="shared" si="37"/>
        <v>-230</v>
      </c>
      <c r="K399" s="4">
        <f t="shared" si="38"/>
        <v>-0.32531824611032534</v>
      </c>
      <c r="M399" s="119">
        <v>501.66</v>
      </c>
      <c r="N399" s="119">
        <v>373.35999999999996</v>
      </c>
      <c r="Q399" s="119">
        <v>2571.94</v>
      </c>
      <c r="U399" s="141">
        <f t="shared" si="39"/>
        <v>-128.30000000000007</v>
      </c>
      <c r="V399" s="4">
        <f t="shared" si="40"/>
        <v>-0.25575090698879732</v>
      </c>
      <c r="W399" s="17">
        <v>14564.53</v>
      </c>
      <c r="X399" s="17">
        <v>11440.59</v>
      </c>
      <c r="Y399" s="4">
        <f t="shared" si="41"/>
        <v>-0.21448958531445916</v>
      </c>
      <c r="Z399" s="4"/>
    </row>
    <row r="400" spans="1:26" ht="15" customHeight="1">
      <c r="A400" s="38" t="s">
        <v>558</v>
      </c>
      <c r="B400" s="35" t="s">
        <v>559</v>
      </c>
      <c r="C400" s="27">
        <v>542</v>
      </c>
      <c r="E400" s="35" t="s">
        <v>559</v>
      </c>
      <c r="F400" s="27">
        <v>170</v>
      </c>
      <c r="G400" t="b">
        <f t="shared" si="36"/>
        <v>1</v>
      </c>
      <c r="J400" s="24">
        <f t="shared" si="37"/>
        <v>-372</v>
      </c>
      <c r="K400" s="4">
        <f t="shared" si="38"/>
        <v>-0.68634686346863472</v>
      </c>
      <c r="M400" s="119">
        <v>1162.76</v>
      </c>
      <c r="N400" s="119">
        <v>782.39</v>
      </c>
      <c r="Q400" s="119">
        <v>2878.94</v>
      </c>
      <c r="U400" s="141">
        <f t="shared" si="39"/>
        <v>-380.37</v>
      </c>
      <c r="V400" s="4">
        <f t="shared" si="40"/>
        <v>-0.32712683614847438</v>
      </c>
      <c r="W400" s="17">
        <v>6394.38</v>
      </c>
      <c r="X400" s="17">
        <v>3397.9</v>
      </c>
      <c r="Y400" s="4">
        <f t="shared" si="41"/>
        <v>-0.46861149947297465</v>
      </c>
      <c r="Z400" s="4"/>
    </row>
    <row r="401" spans="1:26" ht="15" customHeight="1">
      <c r="A401" t="s">
        <v>308</v>
      </c>
      <c r="B401" t="s">
        <v>309</v>
      </c>
      <c r="C401" s="27">
        <v>1034</v>
      </c>
      <c r="E401" t="s">
        <v>309</v>
      </c>
      <c r="F401" s="27">
        <v>810</v>
      </c>
      <c r="G401" t="b">
        <f t="shared" si="36"/>
        <v>1</v>
      </c>
      <c r="J401" s="24">
        <f t="shared" si="37"/>
        <v>-224</v>
      </c>
      <c r="K401" s="4">
        <f t="shared" si="38"/>
        <v>-0.2166344294003868</v>
      </c>
      <c r="M401" s="119">
        <v>1856.4</v>
      </c>
      <c r="N401" s="119">
        <v>1371.15</v>
      </c>
      <c r="Q401" s="119">
        <v>11000.9</v>
      </c>
      <c r="U401" s="141">
        <f t="shared" si="39"/>
        <v>-485.25</v>
      </c>
      <c r="V401" s="4">
        <f t="shared" si="40"/>
        <v>-0.26139301874595988</v>
      </c>
      <c r="W401" s="17">
        <v>27903.61</v>
      </c>
      <c r="X401" s="17">
        <v>21857.87</v>
      </c>
      <c r="Y401" s="4">
        <f t="shared" si="41"/>
        <v>-0.21666515551213628</v>
      </c>
      <c r="Z401" s="4"/>
    </row>
    <row r="402" spans="1:26" ht="15" customHeight="1">
      <c r="A402" s="167" t="s">
        <v>694</v>
      </c>
      <c r="B402" s="35" t="s">
        <v>695</v>
      </c>
      <c r="C402" s="27">
        <v>1105</v>
      </c>
      <c r="E402" s="35" t="s">
        <v>695</v>
      </c>
      <c r="F402" s="27">
        <v>588</v>
      </c>
      <c r="G402" t="b">
        <f t="shared" si="36"/>
        <v>1</v>
      </c>
      <c r="J402" s="24">
        <f t="shared" si="37"/>
        <v>-517</v>
      </c>
      <c r="K402" s="4">
        <f t="shared" si="38"/>
        <v>-0.46787330316742082</v>
      </c>
      <c r="M402" s="119">
        <v>2448.62</v>
      </c>
      <c r="N402" s="119">
        <v>1644.98</v>
      </c>
      <c r="Q402" s="119">
        <v>7068.07</v>
      </c>
      <c r="U402" s="141">
        <f t="shared" si="39"/>
        <v>-803.63999999999987</v>
      </c>
      <c r="V402" s="4">
        <f t="shared" si="40"/>
        <v>-0.3282011908748601</v>
      </c>
      <c r="W402" s="17">
        <v>17589.97</v>
      </c>
      <c r="X402" s="17">
        <v>11751.32</v>
      </c>
      <c r="Y402" s="4">
        <f t="shared" si="41"/>
        <v>-0.33193064001814676</v>
      </c>
      <c r="Z402" s="4"/>
    </row>
    <row r="403" spans="1:26" ht="15" customHeight="1">
      <c r="A403" s="26" t="s">
        <v>292</v>
      </c>
      <c r="B403" s="26" t="s">
        <v>293</v>
      </c>
      <c r="C403" s="27">
        <v>471</v>
      </c>
      <c r="E403" s="26" t="s">
        <v>293</v>
      </c>
      <c r="F403" s="27">
        <v>281</v>
      </c>
      <c r="G403" t="b">
        <f t="shared" si="36"/>
        <v>1</v>
      </c>
      <c r="J403" s="24">
        <f t="shared" si="37"/>
        <v>-190</v>
      </c>
      <c r="K403" s="4">
        <f t="shared" si="38"/>
        <v>-0.40339702760084928</v>
      </c>
      <c r="M403" s="118">
        <v>990.24</v>
      </c>
      <c r="N403" s="118">
        <v>632.73</v>
      </c>
      <c r="Q403" s="118">
        <v>3213.07</v>
      </c>
      <c r="U403" s="141">
        <f t="shared" si="39"/>
        <v>-357.51</v>
      </c>
      <c r="V403" s="4">
        <f t="shared" si="40"/>
        <v>-0.36103368880271447</v>
      </c>
      <c r="W403" s="17">
        <v>7902.33</v>
      </c>
      <c r="X403" s="17">
        <v>5009.01</v>
      </c>
      <c r="Y403" s="4">
        <f t="shared" si="41"/>
        <v>-0.36613505130765223</v>
      </c>
      <c r="Z403" s="4"/>
    </row>
    <row r="404" spans="1:26" ht="15" customHeight="1">
      <c r="A404" s="38" t="s">
        <v>650</v>
      </c>
      <c r="B404" s="35" t="s">
        <v>651</v>
      </c>
      <c r="C404" s="27">
        <v>2048</v>
      </c>
      <c r="E404" s="35" t="s">
        <v>651</v>
      </c>
      <c r="F404" s="27">
        <v>1809</v>
      </c>
      <c r="G404" t="b">
        <f t="shared" si="36"/>
        <v>1</v>
      </c>
      <c r="J404" s="24">
        <f t="shared" si="37"/>
        <v>-239</v>
      </c>
      <c r="K404" s="4">
        <f t="shared" si="38"/>
        <v>-0.11669921875</v>
      </c>
      <c r="M404" s="118">
        <v>4498.4699999999993</v>
      </c>
      <c r="N404" s="118">
        <v>5208.0700000000006</v>
      </c>
      <c r="Q404" s="118">
        <v>31331.52</v>
      </c>
      <c r="U404" s="141">
        <f t="shared" si="39"/>
        <v>709.60000000000127</v>
      </c>
      <c r="V404" s="4">
        <f t="shared" si="40"/>
        <v>0.15774252134614697</v>
      </c>
      <c r="W404" s="17">
        <v>47837.54</v>
      </c>
      <c r="X404" s="17">
        <v>40838.35</v>
      </c>
      <c r="Y404" s="4">
        <f t="shared" si="41"/>
        <v>-0.14631166234718596</v>
      </c>
      <c r="Z404" s="4"/>
    </row>
    <row r="405" spans="1:26" ht="15" customHeight="1">
      <c r="A405" s="26" t="s">
        <v>348</v>
      </c>
      <c r="B405" s="26" t="s">
        <v>349</v>
      </c>
      <c r="C405" s="27">
        <v>607</v>
      </c>
      <c r="E405" s="26" t="s">
        <v>349</v>
      </c>
      <c r="F405" s="27">
        <v>551</v>
      </c>
      <c r="G405" t="b">
        <f t="shared" si="36"/>
        <v>1</v>
      </c>
      <c r="J405" s="24">
        <f t="shared" si="37"/>
        <v>-56</v>
      </c>
      <c r="K405" s="4">
        <f t="shared" si="38"/>
        <v>-9.2257001647446435E-2</v>
      </c>
      <c r="M405" s="118">
        <v>804.55</v>
      </c>
      <c r="N405" s="118">
        <v>1016.72</v>
      </c>
      <c r="Q405" s="118">
        <v>3934.9</v>
      </c>
      <c r="U405" s="141">
        <f t="shared" si="39"/>
        <v>212.17000000000007</v>
      </c>
      <c r="V405" s="4">
        <f t="shared" si="40"/>
        <v>0.26371263439189629</v>
      </c>
      <c r="W405" s="17">
        <v>11563.83</v>
      </c>
      <c r="X405" s="17">
        <v>10441.65</v>
      </c>
      <c r="Y405" s="4">
        <f t="shared" si="41"/>
        <v>-9.7042242924705757E-2</v>
      </c>
      <c r="Z405" s="4"/>
    </row>
    <row r="406" spans="1:26" ht="15" customHeight="1">
      <c r="A406" t="s">
        <v>110</v>
      </c>
      <c r="B406" t="s">
        <v>111</v>
      </c>
      <c r="C406" s="27">
        <v>2101</v>
      </c>
      <c r="E406" t="s">
        <v>111</v>
      </c>
      <c r="F406" s="27">
        <v>2070</v>
      </c>
      <c r="G406" t="b">
        <f t="shared" si="36"/>
        <v>1</v>
      </c>
      <c r="J406" s="24">
        <f t="shared" si="37"/>
        <v>-31</v>
      </c>
      <c r="K406" s="4">
        <f t="shared" si="38"/>
        <v>-1.47548786292242E-2</v>
      </c>
      <c r="M406" s="119">
        <v>2484.0500000000002</v>
      </c>
      <c r="N406" s="119">
        <v>2436.3200000000002</v>
      </c>
      <c r="Q406" s="119">
        <v>20278.13</v>
      </c>
      <c r="U406" s="141">
        <f t="shared" si="39"/>
        <v>-47.730000000000018</v>
      </c>
      <c r="V406" s="4">
        <f t="shared" si="40"/>
        <v>-1.9214589078319633E-2</v>
      </c>
      <c r="W406" s="17">
        <v>44670.84</v>
      </c>
      <c r="X406" s="17">
        <v>46264.6</v>
      </c>
      <c r="Y406" s="4">
        <f t="shared" si="41"/>
        <v>3.5677860546163842E-2</v>
      </c>
      <c r="Z406" s="4"/>
    </row>
    <row r="407" spans="1:26" ht="15" customHeight="1">
      <c r="A407" s="26" t="s">
        <v>342</v>
      </c>
      <c r="B407" s="26" t="s">
        <v>343</v>
      </c>
      <c r="C407" s="27">
        <v>465</v>
      </c>
      <c r="E407" s="26" t="s">
        <v>343</v>
      </c>
      <c r="F407" s="27">
        <v>335</v>
      </c>
      <c r="G407" t="b">
        <f t="shared" si="36"/>
        <v>1</v>
      </c>
      <c r="J407" s="24">
        <f t="shared" si="37"/>
        <v>-130</v>
      </c>
      <c r="K407" s="4">
        <f t="shared" si="38"/>
        <v>-0.27956989247311825</v>
      </c>
      <c r="M407" s="118">
        <v>1090.08</v>
      </c>
      <c r="N407" s="118">
        <v>1086.98</v>
      </c>
      <c r="Q407" s="118">
        <v>4305.21</v>
      </c>
      <c r="U407" s="141">
        <f t="shared" si="39"/>
        <v>-3.0999999999999091</v>
      </c>
      <c r="V407" s="4">
        <f t="shared" si="40"/>
        <v>-2.8438279759283036E-3</v>
      </c>
      <c r="W407" s="17">
        <v>7374.95</v>
      </c>
      <c r="X407" s="17">
        <v>6059.75</v>
      </c>
      <c r="Y407" s="4">
        <f t="shared" si="41"/>
        <v>-0.17833341242991474</v>
      </c>
      <c r="Z407" s="4"/>
    </row>
    <row r="408" spans="1:26" ht="15" customHeight="1">
      <c r="A408" t="s">
        <v>24</v>
      </c>
      <c r="B408" t="s">
        <v>25</v>
      </c>
      <c r="C408" s="27">
        <v>3471</v>
      </c>
      <c r="E408" t="s">
        <v>25</v>
      </c>
      <c r="F408" s="27">
        <v>2838</v>
      </c>
      <c r="G408" t="b">
        <f t="shared" si="36"/>
        <v>1</v>
      </c>
      <c r="J408" s="24">
        <f t="shared" si="37"/>
        <v>-633</v>
      </c>
      <c r="K408" s="4">
        <f t="shared" si="38"/>
        <v>-0.18236819360414869</v>
      </c>
      <c r="M408" s="119">
        <v>4698.51</v>
      </c>
      <c r="N408" s="119">
        <v>3964.08</v>
      </c>
      <c r="Q408" s="119">
        <v>19256.75</v>
      </c>
      <c r="U408" s="141">
        <f t="shared" si="39"/>
        <v>-734.43000000000029</v>
      </c>
      <c r="V408" s="4">
        <f t="shared" si="40"/>
        <v>-0.15631125612162156</v>
      </c>
      <c r="W408" s="17">
        <v>81050.81</v>
      </c>
      <c r="X408" s="17">
        <v>67490.740000000005</v>
      </c>
      <c r="Y408" s="4">
        <f t="shared" si="41"/>
        <v>-0.16730332491433453</v>
      </c>
      <c r="Z408" s="4"/>
    </row>
    <row r="409" spans="1:26" ht="15" customHeight="1">
      <c r="A409" t="s">
        <v>402</v>
      </c>
      <c r="B409" t="s">
        <v>403</v>
      </c>
      <c r="C409" s="27">
        <v>1033</v>
      </c>
      <c r="E409" t="s">
        <v>403</v>
      </c>
      <c r="F409" s="27">
        <v>994</v>
      </c>
      <c r="G409" t="b">
        <f t="shared" si="36"/>
        <v>1</v>
      </c>
      <c r="J409" s="24">
        <f t="shared" si="37"/>
        <v>-39</v>
      </c>
      <c r="K409" s="4">
        <f t="shared" si="38"/>
        <v>-3.7754114230396874E-2</v>
      </c>
      <c r="M409" s="119">
        <v>2183.48</v>
      </c>
      <c r="N409" s="119">
        <v>2548.3000000000002</v>
      </c>
      <c r="Q409" s="119">
        <v>13332.27</v>
      </c>
      <c r="U409" s="141">
        <f t="shared" si="39"/>
        <v>364.82000000000016</v>
      </c>
      <c r="V409" s="4">
        <f t="shared" si="40"/>
        <v>0.16708190594830286</v>
      </c>
      <c r="W409" s="17">
        <v>25761.94</v>
      </c>
      <c r="X409" s="17">
        <v>23423.11</v>
      </c>
      <c r="Y409" s="4">
        <f t="shared" si="41"/>
        <v>-9.0786252898655828E-2</v>
      </c>
      <c r="Z409" s="4"/>
    </row>
    <row r="410" spans="1:26" ht="15" customHeight="1">
      <c r="A410" s="26" t="s">
        <v>1814</v>
      </c>
      <c r="B410" s="26" t="s">
        <v>1805</v>
      </c>
      <c r="C410" s="27">
        <v>669</v>
      </c>
      <c r="E410" s="26" t="s">
        <v>1805</v>
      </c>
      <c r="F410" s="27">
        <v>578</v>
      </c>
      <c r="G410" t="b">
        <f t="shared" si="36"/>
        <v>1</v>
      </c>
      <c r="J410" s="24">
        <f t="shared" si="37"/>
        <v>-91</v>
      </c>
      <c r="K410" s="4">
        <f t="shared" si="38"/>
        <v>-0.13602391629297461</v>
      </c>
      <c r="M410" s="119">
        <v>2283.19</v>
      </c>
      <c r="N410" s="119">
        <v>2005.18</v>
      </c>
      <c r="Q410" s="119">
        <v>10664.26</v>
      </c>
      <c r="U410" s="141">
        <f t="shared" si="39"/>
        <v>-278.01</v>
      </c>
      <c r="V410" s="4">
        <f t="shared" si="40"/>
        <v>-0.12176384794957928</v>
      </c>
      <c r="W410" s="17">
        <v>14516.92</v>
      </c>
      <c r="X410" s="17">
        <v>13245.03</v>
      </c>
      <c r="Y410" s="4">
        <f t="shared" si="41"/>
        <v>-8.7614314882220157E-2</v>
      </c>
      <c r="Z410" s="4"/>
    </row>
    <row r="411" spans="1:26" ht="15" customHeight="1">
      <c r="A411" s="167" t="s">
        <v>354</v>
      </c>
      <c r="B411" s="26" t="s">
        <v>355</v>
      </c>
      <c r="C411" s="27">
        <v>513</v>
      </c>
      <c r="E411" s="26" t="s">
        <v>355</v>
      </c>
      <c r="F411" s="27">
        <v>458</v>
      </c>
      <c r="G411" t="b">
        <f t="shared" si="36"/>
        <v>1</v>
      </c>
      <c r="J411" s="24">
        <f t="shared" si="37"/>
        <v>-55</v>
      </c>
      <c r="K411" s="4">
        <f t="shared" si="38"/>
        <v>-0.10721247563352831</v>
      </c>
      <c r="M411" s="118">
        <v>2156.48</v>
      </c>
      <c r="N411" s="118">
        <v>1564.61</v>
      </c>
      <c r="Q411" s="118">
        <v>8799.5499999999993</v>
      </c>
      <c r="U411" s="141">
        <f t="shared" si="39"/>
        <v>-591.87000000000012</v>
      </c>
      <c r="V411" s="4">
        <f t="shared" si="40"/>
        <v>-0.2744611589256567</v>
      </c>
      <c r="W411" s="17">
        <v>11527.52</v>
      </c>
      <c r="X411" s="17">
        <v>10897.34</v>
      </c>
      <c r="Y411" s="4">
        <f t="shared" si="41"/>
        <v>-5.466743931045015E-2</v>
      </c>
      <c r="Z411" s="4"/>
    </row>
    <row r="412" spans="1:26" ht="15" customHeight="1">
      <c r="A412" s="26" t="s">
        <v>1807</v>
      </c>
      <c r="B412" s="26" t="s">
        <v>1795</v>
      </c>
      <c r="C412" s="27">
        <v>460</v>
      </c>
      <c r="E412" s="26" t="s">
        <v>1795</v>
      </c>
      <c r="F412" s="27">
        <v>448</v>
      </c>
      <c r="G412" t="b">
        <f t="shared" si="36"/>
        <v>1</v>
      </c>
      <c r="J412" s="24">
        <f t="shared" si="37"/>
        <v>-12</v>
      </c>
      <c r="K412" s="4">
        <f t="shared" si="38"/>
        <v>-2.6086956521739091E-2</v>
      </c>
      <c r="M412" s="119">
        <v>1381.19</v>
      </c>
      <c r="N412" s="119">
        <v>1540.55</v>
      </c>
      <c r="Q412" s="119">
        <v>8040.51</v>
      </c>
      <c r="U412" s="141">
        <f t="shared" si="39"/>
        <v>159.3599999999999</v>
      </c>
      <c r="V412" s="4">
        <f t="shared" si="40"/>
        <v>0.11537876758447418</v>
      </c>
      <c r="W412" s="17">
        <v>8911.65</v>
      </c>
      <c r="X412" s="17">
        <v>10032.6</v>
      </c>
      <c r="Y412" s="4">
        <f t="shared" si="41"/>
        <v>0.12578478732894594</v>
      </c>
      <c r="Z412" s="4"/>
    </row>
    <row r="413" spans="1:26" ht="15" customHeight="1">
      <c r="A413" s="167" t="s">
        <v>458</v>
      </c>
      <c r="B413" s="166" t="s">
        <v>459</v>
      </c>
      <c r="C413" s="27">
        <v>449</v>
      </c>
      <c r="E413" s="166" t="s">
        <v>459</v>
      </c>
      <c r="F413" s="27">
        <v>534</v>
      </c>
      <c r="G413" t="b">
        <f t="shared" si="36"/>
        <v>1</v>
      </c>
      <c r="J413" s="24">
        <f t="shared" si="37"/>
        <v>85</v>
      </c>
      <c r="K413" s="4">
        <f t="shared" si="38"/>
        <v>0.18930957683741645</v>
      </c>
      <c r="M413" s="119">
        <v>1883.41</v>
      </c>
      <c r="N413" s="119">
        <v>1960.25</v>
      </c>
      <c r="Q413" s="119">
        <v>9835.1200000000008</v>
      </c>
      <c r="U413" s="141">
        <f t="shared" si="39"/>
        <v>76.839999999999918</v>
      </c>
      <c r="V413" s="4">
        <f t="shared" si="40"/>
        <v>4.0798339182652743E-2</v>
      </c>
      <c r="W413" s="17">
        <v>8527.76</v>
      </c>
      <c r="X413" s="17">
        <v>11503.41</v>
      </c>
      <c r="Y413" s="4">
        <f t="shared" si="41"/>
        <v>0.34893688377721688</v>
      </c>
      <c r="Z413" s="4"/>
    </row>
    <row r="414" spans="1:26" ht="15" customHeight="1">
      <c r="A414" s="38" t="s">
        <v>863</v>
      </c>
      <c r="B414" s="35" t="s">
        <v>864</v>
      </c>
      <c r="C414" s="27">
        <v>4174</v>
      </c>
      <c r="E414" s="35" t="s">
        <v>864</v>
      </c>
      <c r="F414" s="27">
        <v>3759</v>
      </c>
      <c r="G414" t="b">
        <f t="shared" si="36"/>
        <v>1</v>
      </c>
      <c r="J414" s="24">
        <f t="shared" si="37"/>
        <v>-415</v>
      </c>
      <c r="K414" s="4">
        <f t="shared" si="38"/>
        <v>-9.9425011978917066E-2</v>
      </c>
      <c r="M414" s="119">
        <v>7946.59</v>
      </c>
      <c r="N414" s="119">
        <v>6729.41</v>
      </c>
      <c r="Q414" s="119">
        <v>35474.29</v>
      </c>
      <c r="U414" s="141">
        <f t="shared" si="39"/>
        <v>-1217.1800000000003</v>
      </c>
      <c r="V414" s="4">
        <f t="shared" si="40"/>
        <v>-0.15317010189276159</v>
      </c>
      <c r="W414" s="17">
        <v>103887.94</v>
      </c>
      <c r="X414" s="17">
        <v>93660.85</v>
      </c>
      <c r="Y414" s="4">
        <f t="shared" si="41"/>
        <v>-9.84434766922897E-2</v>
      </c>
      <c r="Z414" s="4"/>
    </row>
    <row r="415" spans="1:26" ht="15" customHeight="1">
      <c r="A415" s="26" t="s">
        <v>1800</v>
      </c>
      <c r="B415" s="26" t="s">
        <v>1799</v>
      </c>
      <c r="C415" s="27">
        <v>737</v>
      </c>
      <c r="E415" s="26" t="s">
        <v>1799</v>
      </c>
      <c r="F415" s="27">
        <v>755</v>
      </c>
      <c r="G415" t="b">
        <f t="shared" si="36"/>
        <v>1</v>
      </c>
      <c r="J415" s="24">
        <f t="shared" si="37"/>
        <v>18</v>
      </c>
      <c r="K415" s="4">
        <f t="shared" si="38"/>
        <v>2.4423337856173788E-2</v>
      </c>
      <c r="M415" s="119">
        <v>1782.85</v>
      </c>
      <c r="N415" s="119">
        <v>2095.0500000000002</v>
      </c>
      <c r="Q415" s="119">
        <v>17368.54</v>
      </c>
      <c r="U415" s="141">
        <f t="shared" si="39"/>
        <v>312.20000000000027</v>
      </c>
      <c r="V415" s="4">
        <f t="shared" si="40"/>
        <v>0.17511288106122236</v>
      </c>
      <c r="W415" s="17">
        <v>27565.03</v>
      </c>
      <c r="X415" s="17">
        <v>28123.69</v>
      </c>
      <c r="Y415" s="4">
        <f t="shared" si="41"/>
        <v>2.0266983202993138E-2</v>
      </c>
      <c r="Z415" s="4"/>
    </row>
    <row r="416" spans="1:26" ht="15" customHeight="1">
      <c r="A416" t="s">
        <v>600</v>
      </c>
      <c r="B416" t="s">
        <v>601</v>
      </c>
      <c r="C416" s="27">
        <v>3634</v>
      </c>
      <c r="E416" t="s">
        <v>601</v>
      </c>
      <c r="F416" s="27">
        <v>3112</v>
      </c>
      <c r="G416" t="b">
        <f t="shared" si="36"/>
        <v>1</v>
      </c>
      <c r="J416" s="24">
        <f t="shared" si="37"/>
        <v>-522</v>
      </c>
      <c r="K416" s="4">
        <f t="shared" si="38"/>
        <v>-0.14364336818932311</v>
      </c>
      <c r="M416" s="119">
        <v>3615.08</v>
      </c>
      <c r="N416" s="119">
        <v>3721.65</v>
      </c>
      <c r="Q416" s="119">
        <v>17152.23</v>
      </c>
      <c r="U416" s="141">
        <f t="shared" si="39"/>
        <v>106.57000000000016</v>
      </c>
      <c r="V416" s="4">
        <f t="shared" si="40"/>
        <v>2.9479292297819093E-2</v>
      </c>
      <c r="W416" s="17">
        <v>88944.76</v>
      </c>
      <c r="X416" s="17">
        <v>83752.070000000007</v>
      </c>
      <c r="Y416" s="4">
        <f t="shared" si="41"/>
        <v>-5.8381067080286564E-2</v>
      </c>
      <c r="Z416" s="4"/>
    </row>
    <row r="417" spans="1:26" ht="15" customHeight="1">
      <c r="A417" t="s">
        <v>318</v>
      </c>
      <c r="B417" t="s">
        <v>319</v>
      </c>
      <c r="C417" s="27">
        <v>971</v>
      </c>
      <c r="E417" t="s">
        <v>319</v>
      </c>
      <c r="F417" s="27">
        <v>938</v>
      </c>
      <c r="G417" t="b">
        <f t="shared" si="36"/>
        <v>1</v>
      </c>
      <c r="J417" s="24">
        <f t="shared" si="37"/>
        <v>-33</v>
      </c>
      <c r="K417" s="4">
        <f t="shared" si="38"/>
        <v>-3.3985581874356297E-2</v>
      </c>
      <c r="M417" s="119">
        <v>804.4</v>
      </c>
      <c r="N417" s="119">
        <v>607.25</v>
      </c>
      <c r="Q417" s="119">
        <v>5860.18</v>
      </c>
      <c r="U417" s="141">
        <f t="shared" si="39"/>
        <v>-197.14999999999998</v>
      </c>
      <c r="V417" s="4">
        <f t="shared" si="40"/>
        <v>-0.24508950770760818</v>
      </c>
      <c r="W417" s="17">
        <v>34324.699999999997</v>
      </c>
      <c r="X417" s="17">
        <v>37422.68</v>
      </c>
      <c r="Y417" s="4">
        <f t="shared" si="41"/>
        <v>9.0255122404566013E-2</v>
      </c>
      <c r="Z417" s="4"/>
    </row>
    <row r="418" spans="1:26" ht="15" customHeight="1">
      <c r="A418" s="167" t="s">
        <v>524</v>
      </c>
      <c r="B418" s="166" t="s">
        <v>525</v>
      </c>
      <c r="C418" s="27">
        <v>0</v>
      </c>
      <c r="E418" s="166" t="s">
        <v>525</v>
      </c>
      <c r="F418" s="27">
        <v>186</v>
      </c>
      <c r="G418" t="b">
        <f t="shared" si="36"/>
        <v>1</v>
      </c>
      <c r="J418" s="24">
        <f t="shared" si="37"/>
        <v>186</v>
      </c>
      <c r="K418" s="4" t="e">
        <f t="shared" si="38"/>
        <v>#DIV/0!</v>
      </c>
      <c r="M418" s="119">
        <v>0</v>
      </c>
      <c r="N418" s="119">
        <v>748.73</v>
      </c>
      <c r="Q418" s="119">
        <v>3126.7</v>
      </c>
      <c r="U418" s="141">
        <f t="shared" si="39"/>
        <v>748.73</v>
      </c>
      <c r="V418" s="4">
        <f t="shared" si="40"/>
        <v>0</v>
      </c>
      <c r="W418" s="17">
        <v>0</v>
      </c>
      <c r="X418" s="17">
        <v>2518.14</v>
      </c>
      <c r="Y418" s="4" t="e">
        <f t="shared" si="41"/>
        <v>#DIV/0!</v>
      </c>
      <c r="Z418" s="4"/>
    </row>
    <row r="419" spans="1:26" ht="15" customHeight="1">
      <c r="A419" s="123" t="s">
        <v>44</v>
      </c>
      <c r="B419" s="123" t="s">
        <v>45</v>
      </c>
      <c r="C419" s="27">
        <v>978</v>
      </c>
      <c r="E419" s="123" t="s">
        <v>45</v>
      </c>
      <c r="F419" s="27">
        <v>780</v>
      </c>
      <c r="G419" t="b">
        <f t="shared" si="36"/>
        <v>1</v>
      </c>
      <c r="J419" s="24">
        <f t="shared" si="37"/>
        <v>-198</v>
      </c>
      <c r="K419" s="4">
        <f t="shared" si="38"/>
        <v>-0.2024539877300614</v>
      </c>
      <c r="M419" s="118">
        <v>0</v>
      </c>
      <c r="N419" s="118">
        <v>0</v>
      </c>
      <c r="Q419" s="118">
        <v>0</v>
      </c>
      <c r="U419" s="141">
        <f t="shared" si="39"/>
        <v>0</v>
      </c>
      <c r="V419" s="4">
        <f t="shared" si="40"/>
        <v>0</v>
      </c>
      <c r="W419" s="17">
        <v>9768.82</v>
      </c>
      <c r="X419" s="17">
        <v>7781.33</v>
      </c>
      <c r="Y419" s="4">
        <f t="shared" si="41"/>
        <v>-0.20345241288098259</v>
      </c>
      <c r="Z419" s="4"/>
    </row>
    <row r="420" spans="1:26" ht="15" customHeight="1">
      <c r="A420" t="s">
        <v>70</v>
      </c>
      <c r="B420" t="s">
        <v>71</v>
      </c>
      <c r="C420" s="27">
        <v>2929</v>
      </c>
      <c r="E420" t="s">
        <v>71</v>
      </c>
      <c r="F420" s="27">
        <v>2923</v>
      </c>
      <c r="G420" t="b">
        <f t="shared" si="36"/>
        <v>1</v>
      </c>
      <c r="J420" s="24">
        <f t="shared" si="37"/>
        <v>-6</v>
      </c>
      <c r="K420" s="4">
        <f t="shared" si="38"/>
        <v>-2.048480710139966E-3</v>
      </c>
      <c r="M420" s="119">
        <v>3075.1</v>
      </c>
      <c r="N420" s="119">
        <v>2412.81</v>
      </c>
      <c r="Q420" s="119">
        <v>15400.69</v>
      </c>
      <c r="U420" s="141">
        <f t="shared" si="39"/>
        <v>-662.29</v>
      </c>
      <c r="V420" s="4">
        <f t="shared" si="40"/>
        <v>-0.21537185782576174</v>
      </c>
      <c r="W420" s="17">
        <v>62962.85</v>
      </c>
      <c r="X420" s="17">
        <v>66030.33</v>
      </c>
      <c r="Y420" s="4">
        <f t="shared" si="41"/>
        <v>4.871888740741559E-2</v>
      </c>
      <c r="Z420" s="4"/>
    </row>
    <row r="421" spans="1:26" ht="15" customHeight="1">
      <c r="A421" t="s">
        <v>290</v>
      </c>
      <c r="B421" t="s">
        <v>291</v>
      </c>
      <c r="C421" s="27">
        <v>1090</v>
      </c>
      <c r="E421" t="s">
        <v>291</v>
      </c>
      <c r="F421" s="27">
        <v>928</v>
      </c>
      <c r="G421" t="b">
        <f t="shared" si="36"/>
        <v>1</v>
      </c>
      <c r="J421" s="24">
        <f t="shared" si="37"/>
        <v>-162</v>
      </c>
      <c r="K421" s="4">
        <f t="shared" si="38"/>
        <v>-0.14862385321100913</v>
      </c>
      <c r="M421" s="119">
        <v>875.99</v>
      </c>
      <c r="N421" s="119">
        <v>741.69</v>
      </c>
      <c r="Q421" s="119">
        <v>6204.07</v>
      </c>
      <c r="U421" s="141">
        <f t="shared" si="39"/>
        <v>-134.29999999999995</v>
      </c>
      <c r="V421" s="4">
        <f t="shared" si="40"/>
        <v>-0.15331225242297286</v>
      </c>
      <c r="W421" s="17">
        <v>32548.75</v>
      </c>
      <c r="X421" s="17">
        <v>27728.3</v>
      </c>
      <c r="Y421" s="4">
        <f t="shared" si="41"/>
        <v>-0.14809938937747225</v>
      </c>
      <c r="Z421" s="4"/>
    </row>
    <row r="422" spans="1:26" ht="15" customHeight="1">
      <c r="A422" t="s">
        <v>112</v>
      </c>
      <c r="B422" t="s">
        <v>113</v>
      </c>
      <c r="C422" s="27">
        <v>687</v>
      </c>
      <c r="E422" t="s">
        <v>113</v>
      </c>
      <c r="F422" s="27">
        <v>536</v>
      </c>
      <c r="G422" t="b">
        <f t="shared" si="36"/>
        <v>1</v>
      </c>
      <c r="J422" s="24">
        <f t="shared" si="37"/>
        <v>-151</v>
      </c>
      <c r="K422" s="4">
        <f t="shared" si="38"/>
        <v>-0.2197962154294032</v>
      </c>
      <c r="M422" s="119">
        <v>1486.11</v>
      </c>
      <c r="N422" s="119">
        <v>901.27</v>
      </c>
      <c r="Q422" s="119">
        <v>2953.3</v>
      </c>
      <c r="U422" s="141">
        <f t="shared" si="39"/>
        <v>-584.83999999999992</v>
      </c>
      <c r="V422" s="4">
        <f t="shared" si="40"/>
        <v>-0.39353749049531994</v>
      </c>
      <c r="W422" s="17">
        <v>9608.19</v>
      </c>
      <c r="X422" s="17">
        <v>7494.8</v>
      </c>
      <c r="Y422" s="4">
        <f t="shared" si="41"/>
        <v>-0.2199571407309806</v>
      </c>
      <c r="Z422" s="4"/>
    </row>
    <row r="423" spans="1:26" ht="15" customHeight="1">
      <c r="A423" t="s">
        <v>50</v>
      </c>
      <c r="B423" t="s">
        <v>51</v>
      </c>
      <c r="C423" s="27">
        <v>1899</v>
      </c>
      <c r="E423" t="s">
        <v>51</v>
      </c>
      <c r="F423" s="27">
        <v>1425</v>
      </c>
      <c r="G423" t="b">
        <f t="shared" si="36"/>
        <v>1</v>
      </c>
      <c r="J423" s="24">
        <f t="shared" si="37"/>
        <v>-474</v>
      </c>
      <c r="K423" s="4">
        <f t="shared" si="38"/>
        <v>-0.24960505529225907</v>
      </c>
      <c r="M423" s="119">
        <v>3418.31</v>
      </c>
      <c r="N423" s="119">
        <v>3005.84</v>
      </c>
      <c r="Q423" s="119">
        <v>16499.260000000002</v>
      </c>
      <c r="U423" s="141">
        <f t="shared" si="39"/>
        <v>-412.4699999999998</v>
      </c>
      <c r="V423" s="4">
        <f t="shared" si="40"/>
        <v>-0.12066488996024349</v>
      </c>
      <c r="W423" s="17">
        <v>43683.22</v>
      </c>
      <c r="X423" s="17">
        <v>34155.519999999997</v>
      </c>
      <c r="Y423" s="4">
        <f t="shared" si="41"/>
        <v>-0.2181089214577131</v>
      </c>
      <c r="Z423" s="4"/>
    </row>
    <row r="424" spans="1:26" ht="15" customHeight="1">
      <c r="A424" t="s">
        <v>466</v>
      </c>
      <c r="B424" t="s">
        <v>467</v>
      </c>
      <c r="C424" s="27">
        <v>5494</v>
      </c>
      <c r="E424" t="s">
        <v>467</v>
      </c>
      <c r="F424" s="27">
        <v>5562</v>
      </c>
      <c r="G424" t="b">
        <f t="shared" si="36"/>
        <v>1</v>
      </c>
      <c r="J424" s="24">
        <f t="shared" si="37"/>
        <v>68</v>
      </c>
      <c r="K424" s="4">
        <f t="shared" si="38"/>
        <v>1.2377138696760159E-2</v>
      </c>
      <c r="M424" s="119">
        <v>8729.19</v>
      </c>
      <c r="N424" s="119">
        <v>6692.3899999999994</v>
      </c>
      <c r="Q424" s="119">
        <v>41310.06</v>
      </c>
      <c r="U424" s="141">
        <f t="shared" si="39"/>
        <v>-2036.8000000000011</v>
      </c>
      <c r="V424" s="4">
        <f t="shared" si="40"/>
        <v>-0.2333320731935038</v>
      </c>
      <c r="W424" s="17">
        <v>135821.5</v>
      </c>
      <c r="X424" s="17">
        <v>139715.60999999999</v>
      </c>
      <c r="Y424" s="4">
        <f t="shared" si="41"/>
        <v>2.8670792179441351E-2</v>
      </c>
      <c r="Z424" s="4"/>
    </row>
    <row r="425" spans="1:26" ht="15" customHeight="1">
      <c r="A425" t="s">
        <v>104</v>
      </c>
      <c r="B425" t="s">
        <v>105</v>
      </c>
      <c r="C425" s="27">
        <v>808</v>
      </c>
      <c r="E425" t="s">
        <v>105</v>
      </c>
      <c r="F425" s="27">
        <v>803</v>
      </c>
      <c r="G425" t="b">
        <f t="shared" si="36"/>
        <v>1</v>
      </c>
      <c r="J425" s="24">
        <f t="shared" si="37"/>
        <v>-5</v>
      </c>
      <c r="K425" s="4">
        <f t="shared" si="38"/>
        <v>-6.1881188118811936E-3</v>
      </c>
      <c r="M425" s="119">
        <v>1023.56</v>
      </c>
      <c r="N425" s="119">
        <v>1066.1300000000001</v>
      </c>
      <c r="Q425" s="119">
        <v>7584.61</v>
      </c>
      <c r="U425" s="141">
        <f t="shared" si="39"/>
        <v>42.570000000000164</v>
      </c>
      <c r="V425" s="4">
        <f t="shared" si="40"/>
        <v>4.1590136386728815E-2</v>
      </c>
      <c r="W425" s="17">
        <v>12693.4</v>
      </c>
      <c r="X425" s="17">
        <v>13589.73</v>
      </c>
      <c r="Y425" s="4">
        <f t="shared" si="41"/>
        <v>7.0613862322151721E-2</v>
      </c>
      <c r="Z425" s="4"/>
    </row>
    <row r="426" spans="1:26" ht="15" customHeight="1">
      <c r="A426" s="167" t="s">
        <v>464</v>
      </c>
      <c r="B426" s="26" t="s">
        <v>465</v>
      </c>
      <c r="C426" s="27">
        <v>546</v>
      </c>
      <c r="E426" s="26" t="s">
        <v>465</v>
      </c>
      <c r="F426" s="27">
        <v>412</v>
      </c>
      <c r="G426" t="b">
        <f t="shared" si="36"/>
        <v>1</v>
      </c>
      <c r="J426" s="24">
        <f t="shared" si="37"/>
        <v>-134</v>
      </c>
      <c r="K426" s="4">
        <f t="shared" si="38"/>
        <v>-0.24542124542124544</v>
      </c>
      <c r="M426" s="118">
        <v>1535.75</v>
      </c>
      <c r="N426" s="118">
        <v>1438.28</v>
      </c>
      <c r="Q426" s="118">
        <v>6086.16</v>
      </c>
      <c r="U426" s="141">
        <f t="shared" si="39"/>
        <v>-97.470000000000027</v>
      </c>
      <c r="V426" s="4">
        <f t="shared" si="40"/>
        <v>-6.3467361224157637E-2</v>
      </c>
      <c r="W426" s="17">
        <v>9905.94</v>
      </c>
      <c r="X426" s="17">
        <v>8214.69</v>
      </c>
      <c r="Y426" s="4">
        <f t="shared" si="41"/>
        <v>-0.17073089479645542</v>
      </c>
      <c r="Z426" s="4"/>
    </row>
    <row r="427" spans="1:26" ht="15" customHeight="1">
      <c r="A427" s="35" t="s">
        <v>620</v>
      </c>
      <c r="B427" s="35" t="s">
        <v>621</v>
      </c>
      <c r="C427" s="27">
        <v>4813</v>
      </c>
      <c r="E427" s="35" t="s">
        <v>621</v>
      </c>
      <c r="F427" s="27">
        <v>4493</v>
      </c>
      <c r="G427" t="b">
        <f t="shared" si="36"/>
        <v>1</v>
      </c>
      <c r="J427" s="24">
        <f t="shared" si="37"/>
        <v>-320</v>
      </c>
      <c r="K427" s="4">
        <f t="shared" si="38"/>
        <v>-6.6486598794930352E-2</v>
      </c>
      <c r="M427" s="119">
        <v>9743.81</v>
      </c>
      <c r="N427" s="119">
        <v>11604.88</v>
      </c>
      <c r="Q427" s="119">
        <v>43553.84</v>
      </c>
      <c r="U427" s="141">
        <f t="shared" si="39"/>
        <v>1861.0699999999997</v>
      </c>
      <c r="V427" s="4">
        <f t="shared" si="40"/>
        <v>0.19100023502100316</v>
      </c>
      <c r="W427" s="17">
        <v>106011.37</v>
      </c>
      <c r="X427" s="17">
        <v>111558.94</v>
      </c>
      <c r="Y427" s="4">
        <f t="shared" si="41"/>
        <v>5.2329952909768052E-2</v>
      </c>
      <c r="Z427" s="4"/>
    </row>
    <row r="428" spans="1:26" ht="15" customHeight="1">
      <c r="A428" s="167" t="s">
        <v>660</v>
      </c>
      <c r="B428" s="26" t="s">
        <v>661</v>
      </c>
      <c r="C428" s="27">
        <v>903</v>
      </c>
      <c r="E428" s="26" t="s">
        <v>661</v>
      </c>
      <c r="F428" s="27">
        <v>991</v>
      </c>
      <c r="G428" t="b">
        <f t="shared" si="36"/>
        <v>1</v>
      </c>
      <c r="J428" s="24">
        <f t="shared" si="37"/>
        <v>88</v>
      </c>
      <c r="K428" s="4">
        <f t="shared" si="38"/>
        <v>9.7452934662237034E-2</v>
      </c>
      <c r="M428" s="119">
        <v>3284.35</v>
      </c>
      <c r="N428" s="119">
        <v>3303.83</v>
      </c>
      <c r="Q428" s="119">
        <v>26071.67</v>
      </c>
      <c r="U428" s="141">
        <f t="shared" si="39"/>
        <v>19.480000000000018</v>
      </c>
      <c r="V428" s="4">
        <f t="shared" si="40"/>
        <v>5.9311583722807537E-3</v>
      </c>
      <c r="W428" s="17">
        <v>20244.23</v>
      </c>
      <c r="X428" s="17">
        <v>24738.1</v>
      </c>
      <c r="Y428" s="4">
        <f t="shared" si="41"/>
        <v>0.22198275755610353</v>
      </c>
      <c r="Z428" s="4"/>
    </row>
    <row r="429" spans="1:26" ht="15" customHeight="1">
      <c r="A429" s="167" t="s">
        <v>646</v>
      </c>
      <c r="B429" s="26" t="s">
        <v>647</v>
      </c>
      <c r="C429" s="27">
        <v>2094</v>
      </c>
      <c r="E429" s="26" t="s">
        <v>647</v>
      </c>
      <c r="F429" s="27">
        <v>2641</v>
      </c>
      <c r="G429" t="b">
        <f t="shared" si="36"/>
        <v>1</v>
      </c>
      <c r="J429" s="24">
        <f t="shared" si="37"/>
        <v>547</v>
      </c>
      <c r="K429" s="4">
        <f t="shared" si="38"/>
        <v>0.26122254059216821</v>
      </c>
      <c r="M429" s="119">
        <v>2309.71</v>
      </c>
      <c r="N429" s="119">
        <v>2238.1999999999998</v>
      </c>
      <c r="Q429" s="119">
        <v>22243.72</v>
      </c>
      <c r="U429" s="141">
        <f t="shared" si="39"/>
        <v>-71.510000000000218</v>
      </c>
      <c r="V429" s="4">
        <f t="shared" si="40"/>
        <v>-3.0960596784877836E-2</v>
      </c>
      <c r="W429" s="17">
        <v>56455.519999999997</v>
      </c>
      <c r="X429" s="17">
        <v>71265.3</v>
      </c>
      <c r="Y429" s="4">
        <f t="shared" si="41"/>
        <v>0.26232651829263132</v>
      </c>
      <c r="Z429" s="4"/>
    </row>
    <row r="430" spans="1:26" ht="15" customHeight="1">
      <c r="A430" t="s">
        <v>648</v>
      </c>
      <c r="B430" t="s">
        <v>649</v>
      </c>
      <c r="C430" s="27">
        <v>2763</v>
      </c>
      <c r="E430" t="s">
        <v>649</v>
      </c>
      <c r="F430" s="27">
        <v>2368</v>
      </c>
      <c r="G430" t="b">
        <f t="shared" si="36"/>
        <v>1</v>
      </c>
      <c r="J430" s="24">
        <f t="shared" si="37"/>
        <v>-395</v>
      </c>
      <c r="K430" s="4">
        <f t="shared" si="38"/>
        <v>-0.14296055012667386</v>
      </c>
      <c r="M430" s="119">
        <v>5474.87</v>
      </c>
      <c r="N430" s="119">
        <v>5002.17</v>
      </c>
      <c r="Q430" s="119">
        <v>26391.73</v>
      </c>
      <c r="U430" s="141">
        <f t="shared" si="39"/>
        <v>-472.69999999999982</v>
      </c>
      <c r="V430" s="4">
        <f t="shared" si="40"/>
        <v>-8.6339949624374634E-2</v>
      </c>
      <c r="W430" s="17">
        <v>79993.259999999995</v>
      </c>
      <c r="X430" s="17">
        <v>68591.539999999994</v>
      </c>
      <c r="Y430" s="4">
        <f t="shared" si="41"/>
        <v>-0.14253350844808677</v>
      </c>
      <c r="Z430" s="4"/>
    </row>
    <row r="431" spans="1:26" ht="15" customHeight="1">
      <c r="A431" t="s">
        <v>186</v>
      </c>
      <c r="B431" t="s">
        <v>187</v>
      </c>
      <c r="C431" s="27">
        <v>1454</v>
      </c>
      <c r="E431" t="s">
        <v>187</v>
      </c>
      <c r="F431" s="27">
        <v>685</v>
      </c>
      <c r="G431" t="b">
        <f t="shared" si="36"/>
        <v>1</v>
      </c>
      <c r="J431" s="24">
        <f t="shared" si="37"/>
        <v>-769</v>
      </c>
      <c r="K431" s="4">
        <f t="shared" si="38"/>
        <v>-0.52888583218707019</v>
      </c>
      <c r="M431" s="119">
        <v>1051.3900000000001</v>
      </c>
      <c r="N431" s="119">
        <v>579.46</v>
      </c>
      <c r="Q431" s="119">
        <v>3634.36</v>
      </c>
      <c r="U431" s="141">
        <f t="shared" si="39"/>
        <v>-471.93000000000006</v>
      </c>
      <c r="V431" s="4">
        <f t="shared" si="40"/>
        <v>-0.44886293383045306</v>
      </c>
      <c r="W431" s="17">
        <v>43511.35</v>
      </c>
      <c r="X431" s="17">
        <v>20480.7</v>
      </c>
      <c r="Y431" s="4">
        <f t="shared" si="41"/>
        <v>-0.52930212461805937</v>
      </c>
      <c r="Z431" s="4"/>
    </row>
    <row r="432" spans="1:26" ht="15" customHeight="1">
      <c r="A432" s="26" t="s">
        <v>274</v>
      </c>
      <c r="B432" s="26" t="s">
        <v>275</v>
      </c>
      <c r="C432" s="27">
        <v>1066</v>
      </c>
      <c r="E432" s="26" t="s">
        <v>275</v>
      </c>
      <c r="F432" s="27">
        <v>188</v>
      </c>
      <c r="G432" t="b">
        <f t="shared" si="36"/>
        <v>1</v>
      </c>
      <c r="J432" s="24">
        <f t="shared" si="37"/>
        <v>-878</v>
      </c>
      <c r="K432" s="4">
        <f t="shared" si="38"/>
        <v>-0.82363977485928708</v>
      </c>
      <c r="M432" s="118">
        <v>1438.11</v>
      </c>
      <c r="N432" s="118">
        <v>530.30999999999995</v>
      </c>
      <c r="Q432" s="118">
        <v>2132.31</v>
      </c>
      <c r="U432" s="141">
        <f t="shared" si="39"/>
        <v>-907.8</v>
      </c>
      <c r="V432" s="4">
        <f t="shared" si="40"/>
        <v>-0.63124517596011431</v>
      </c>
      <c r="W432" s="17">
        <v>11757.85</v>
      </c>
      <c r="X432" s="17">
        <v>4472.96</v>
      </c>
      <c r="Y432" s="4">
        <f t="shared" si="41"/>
        <v>-0.61957670832677736</v>
      </c>
      <c r="Z432" s="4"/>
    </row>
    <row r="433" spans="1:26" ht="15" customHeight="1">
      <c r="A433" t="s">
        <v>762</v>
      </c>
      <c r="B433" t="s">
        <v>763</v>
      </c>
      <c r="C433" s="27">
        <v>2100</v>
      </c>
      <c r="E433" t="s">
        <v>763</v>
      </c>
      <c r="F433" s="27">
        <v>962</v>
      </c>
      <c r="G433" t="b">
        <f t="shared" si="36"/>
        <v>1</v>
      </c>
      <c r="J433" s="24">
        <f t="shared" si="37"/>
        <v>-1138</v>
      </c>
      <c r="K433" s="4">
        <f t="shared" si="38"/>
        <v>-0.54190476190476189</v>
      </c>
      <c r="M433" s="119">
        <v>3211.14</v>
      </c>
      <c r="N433" s="119">
        <v>2082.35</v>
      </c>
      <c r="Q433" s="119">
        <v>12078.98</v>
      </c>
      <c r="U433" s="141">
        <f t="shared" si="39"/>
        <v>-1128.79</v>
      </c>
      <c r="V433" s="4">
        <f t="shared" si="40"/>
        <v>-0.35152313508598187</v>
      </c>
      <c r="W433" s="17">
        <v>43677.27</v>
      </c>
      <c r="X433" s="17">
        <v>24006.66</v>
      </c>
      <c r="Y433" s="4">
        <f t="shared" si="41"/>
        <v>-0.45036262568608332</v>
      </c>
      <c r="Z433" s="4"/>
    </row>
    <row r="434" spans="1:26" ht="15" customHeight="1">
      <c r="A434" s="26" t="s">
        <v>296</v>
      </c>
      <c r="B434" s="26" t="s">
        <v>297</v>
      </c>
      <c r="C434" s="27">
        <v>1728</v>
      </c>
      <c r="E434" s="26" t="s">
        <v>297</v>
      </c>
      <c r="F434" s="27">
        <v>1222</v>
      </c>
      <c r="G434" t="b">
        <f t="shared" si="36"/>
        <v>1</v>
      </c>
      <c r="J434" s="24">
        <f t="shared" si="37"/>
        <v>-506</v>
      </c>
      <c r="K434" s="4">
        <f t="shared" si="38"/>
        <v>-0.29282407407407407</v>
      </c>
      <c r="M434" s="118">
        <v>2816.21</v>
      </c>
      <c r="N434" s="118">
        <v>3695.69</v>
      </c>
      <c r="Q434" s="118">
        <v>23350.46</v>
      </c>
      <c r="U434" s="141">
        <f t="shared" si="39"/>
        <v>879.48</v>
      </c>
      <c r="V434" s="4">
        <f t="shared" si="40"/>
        <v>0.31229205208418409</v>
      </c>
      <c r="W434" s="17">
        <v>33217.480000000003</v>
      </c>
      <c r="X434" s="17">
        <v>28537.19</v>
      </c>
      <c r="Y434" s="4">
        <f t="shared" si="41"/>
        <v>-0.14089840650163721</v>
      </c>
      <c r="Z434" s="4"/>
    </row>
    <row r="435" spans="1:26" ht="15" customHeight="1">
      <c r="A435" t="s">
        <v>734</v>
      </c>
      <c r="B435" t="s">
        <v>735</v>
      </c>
      <c r="C435" s="27">
        <v>2753</v>
      </c>
      <c r="E435" t="s">
        <v>735</v>
      </c>
      <c r="F435" s="27">
        <v>2604</v>
      </c>
      <c r="G435" t="b">
        <f t="shared" si="36"/>
        <v>1</v>
      </c>
      <c r="J435" s="24">
        <f t="shared" si="37"/>
        <v>-149</v>
      </c>
      <c r="K435" s="4">
        <f t="shared" si="38"/>
        <v>-5.4122775154377023E-2</v>
      </c>
      <c r="M435" s="119">
        <v>3463.68</v>
      </c>
      <c r="N435" s="119">
        <v>2730.42</v>
      </c>
      <c r="Q435" s="119">
        <v>17706.759999999998</v>
      </c>
      <c r="U435" s="141">
        <f t="shared" si="39"/>
        <v>-733.25999999999976</v>
      </c>
      <c r="V435" s="4">
        <f t="shared" si="40"/>
        <v>-0.21169969512195119</v>
      </c>
      <c r="W435" s="17">
        <v>79440.929999999993</v>
      </c>
      <c r="X435" s="17">
        <v>75284.52</v>
      </c>
      <c r="Y435" s="4">
        <f t="shared" si="41"/>
        <v>-5.2320762105881546E-2</v>
      </c>
      <c r="Z435" s="4"/>
    </row>
    <row r="436" spans="1:26" ht="15" customHeight="1">
      <c r="A436" s="167" t="s">
        <v>386</v>
      </c>
      <c r="B436" s="26" t="s">
        <v>387</v>
      </c>
      <c r="C436" s="27">
        <v>623</v>
      </c>
      <c r="E436" s="26" t="s">
        <v>387</v>
      </c>
      <c r="F436" s="27">
        <v>743</v>
      </c>
      <c r="G436" t="b">
        <f t="shared" si="36"/>
        <v>1</v>
      </c>
      <c r="J436" s="24">
        <f t="shared" si="37"/>
        <v>120</v>
      </c>
      <c r="K436" s="4">
        <f t="shared" si="38"/>
        <v>0.19261637239165319</v>
      </c>
      <c r="M436" s="119">
        <v>1232.44</v>
      </c>
      <c r="N436" s="119">
        <v>1710.94</v>
      </c>
      <c r="Q436" s="119">
        <v>8064.9199999999992</v>
      </c>
      <c r="U436" s="141">
        <f t="shared" si="39"/>
        <v>478.5</v>
      </c>
      <c r="V436" s="4">
        <f t="shared" si="40"/>
        <v>0.38825419493038194</v>
      </c>
      <c r="W436" s="17">
        <v>15542.03</v>
      </c>
      <c r="X436" s="17">
        <v>18566.32</v>
      </c>
      <c r="Y436" s="4">
        <f t="shared" si="41"/>
        <v>0.19458783698139803</v>
      </c>
      <c r="Z436" s="4"/>
    </row>
    <row r="437" spans="1:26" ht="15" customHeight="1">
      <c r="A437" t="s">
        <v>118</v>
      </c>
      <c r="B437" t="s">
        <v>119</v>
      </c>
      <c r="C437" s="27">
        <v>21933</v>
      </c>
      <c r="E437" t="s">
        <v>119</v>
      </c>
      <c r="F437" s="27">
        <v>21402</v>
      </c>
      <c r="G437" t="b">
        <f t="shared" si="36"/>
        <v>1</v>
      </c>
      <c r="J437" s="24">
        <f t="shared" si="37"/>
        <v>-531</v>
      </c>
      <c r="K437" s="4">
        <f t="shared" si="38"/>
        <v>-2.4210094378333991E-2</v>
      </c>
      <c r="M437" s="119">
        <v>27474.080000000002</v>
      </c>
      <c r="N437" s="119">
        <v>26981.03</v>
      </c>
      <c r="Q437" s="119">
        <v>125356.4</v>
      </c>
      <c r="U437" s="141">
        <f t="shared" si="39"/>
        <v>-493.05000000000291</v>
      </c>
      <c r="V437" s="4">
        <f t="shared" si="40"/>
        <v>-1.7946005835318357E-2</v>
      </c>
      <c r="W437" s="17">
        <v>545695.64</v>
      </c>
      <c r="X437" s="17">
        <v>500943.79</v>
      </c>
      <c r="Y437" s="4">
        <f t="shared" si="41"/>
        <v>-8.2008809892635481E-2</v>
      </c>
      <c r="Z437" s="4"/>
    </row>
    <row r="438" spans="1:26" ht="15" customHeight="1">
      <c r="A438" t="s">
        <v>344</v>
      </c>
      <c r="B438" t="s">
        <v>345</v>
      </c>
      <c r="C438" s="27">
        <v>1430</v>
      </c>
      <c r="E438" t="s">
        <v>345</v>
      </c>
      <c r="F438" s="27">
        <v>1209</v>
      </c>
      <c r="G438" t="b">
        <f t="shared" si="36"/>
        <v>1</v>
      </c>
      <c r="J438" s="24">
        <f t="shared" si="37"/>
        <v>-221</v>
      </c>
      <c r="K438" s="4">
        <f t="shared" si="38"/>
        <v>-0.15454545454545454</v>
      </c>
      <c r="M438" s="119">
        <v>1022.64</v>
      </c>
      <c r="N438" s="119">
        <v>795.57</v>
      </c>
      <c r="Q438" s="119">
        <v>7554.09</v>
      </c>
      <c r="U438" s="141">
        <f t="shared" si="39"/>
        <v>-227.06999999999994</v>
      </c>
      <c r="V438" s="4">
        <f t="shared" si="40"/>
        <v>-0.22204294766486732</v>
      </c>
      <c r="W438" s="17">
        <v>42745.35</v>
      </c>
      <c r="X438" s="17">
        <v>36167.550000000003</v>
      </c>
      <c r="Y438" s="4">
        <f t="shared" si="41"/>
        <v>-0.15388340486158136</v>
      </c>
      <c r="Z438" s="4"/>
    </row>
    <row r="439" spans="1:26" ht="15" customHeight="1">
      <c r="A439" t="s">
        <v>130</v>
      </c>
      <c r="B439" t="s">
        <v>131</v>
      </c>
      <c r="C439" s="27">
        <v>1005</v>
      </c>
      <c r="E439" t="s">
        <v>131</v>
      </c>
      <c r="F439" s="27">
        <v>588</v>
      </c>
      <c r="G439" t="b">
        <f t="shared" si="36"/>
        <v>1</v>
      </c>
      <c r="J439" s="24">
        <f t="shared" si="37"/>
        <v>-417</v>
      </c>
      <c r="K439" s="4">
        <f t="shared" si="38"/>
        <v>-0.41492537313432831</v>
      </c>
      <c r="M439" s="119">
        <v>2376.4</v>
      </c>
      <c r="N439" s="119">
        <v>1243.3699999999999</v>
      </c>
      <c r="Q439" s="119">
        <v>6422.27</v>
      </c>
      <c r="U439" s="141">
        <f t="shared" si="39"/>
        <v>-1133.0300000000002</v>
      </c>
      <c r="V439" s="4">
        <f t="shared" si="40"/>
        <v>-0.47678421141222027</v>
      </c>
      <c r="W439" s="17">
        <v>32019.37</v>
      </c>
      <c r="X439" s="17">
        <v>20454.36</v>
      </c>
      <c r="Y439" s="4">
        <f t="shared" si="41"/>
        <v>-0.36118793093055857</v>
      </c>
      <c r="Z439" s="4"/>
    </row>
    <row r="440" spans="1:26" ht="15" customHeight="1">
      <c r="A440" t="s">
        <v>873</v>
      </c>
      <c r="B440" t="s">
        <v>874</v>
      </c>
      <c r="C440" s="27">
        <v>4256</v>
      </c>
      <c r="E440" t="s">
        <v>874</v>
      </c>
      <c r="F440" s="27">
        <v>3977</v>
      </c>
      <c r="G440" t="b">
        <f t="shared" si="36"/>
        <v>1</v>
      </c>
      <c r="J440" s="24">
        <f t="shared" si="37"/>
        <v>-279</v>
      </c>
      <c r="K440" s="4">
        <f t="shared" si="38"/>
        <v>-6.5554511278195449E-2</v>
      </c>
      <c r="M440" s="119">
        <v>10863.87</v>
      </c>
      <c r="N440" s="119">
        <v>8561.5400000000009</v>
      </c>
      <c r="Q440" s="119">
        <v>41770.35</v>
      </c>
      <c r="U440" s="141">
        <f t="shared" si="39"/>
        <v>-2302.33</v>
      </c>
      <c r="V440" s="4">
        <f t="shared" si="40"/>
        <v>-0.21192540043281072</v>
      </c>
      <c r="W440" s="17">
        <v>127292.85</v>
      </c>
      <c r="X440" s="17">
        <v>112613.81</v>
      </c>
      <c r="Y440" s="4">
        <f t="shared" si="41"/>
        <v>-0.11531708183138334</v>
      </c>
      <c r="Z440" s="4"/>
    </row>
    <row r="441" spans="1:26" ht="15" customHeight="1">
      <c r="A441" t="s">
        <v>764</v>
      </c>
      <c r="B441" t="s">
        <v>765</v>
      </c>
      <c r="C441" s="27">
        <v>1841</v>
      </c>
      <c r="E441" t="s">
        <v>765</v>
      </c>
      <c r="F441" s="27">
        <v>1659</v>
      </c>
      <c r="G441" t="b">
        <f t="shared" si="36"/>
        <v>1</v>
      </c>
      <c r="J441" s="24">
        <f t="shared" si="37"/>
        <v>-182</v>
      </c>
      <c r="K441" s="4">
        <f t="shared" si="38"/>
        <v>-9.8859315589353569E-2</v>
      </c>
      <c r="M441" s="119">
        <v>844.93</v>
      </c>
      <c r="N441" s="119">
        <v>545.39</v>
      </c>
      <c r="Q441" s="119">
        <v>4797.91</v>
      </c>
      <c r="U441" s="141">
        <f t="shared" si="39"/>
        <v>-299.53999999999996</v>
      </c>
      <c r="V441" s="4">
        <f t="shared" si="40"/>
        <v>-0.35451457517190776</v>
      </c>
      <c r="W441" s="17">
        <v>49166.51</v>
      </c>
      <c r="X441" s="17">
        <v>46837.919999999998</v>
      </c>
      <c r="Y441" s="4">
        <f t="shared" si="41"/>
        <v>-4.7361303456356807E-2</v>
      </c>
      <c r="Z441" s="4"/>
    </row>
    <row r="442" spans="1:26" ht="15" customHeight="1">
      <c r="A442" s="38" t="s">
        <v>710</v>
      </c>
      <c r="B442" s="35" t="s">
        <v>711</v>
      </c>
      <c r="C442" s="27">
        <v>876</v>
      </c>
      <c r="E442" s="35" t="s">
        <v>711</v>
      </c>
      <c r="F442" s="27">
        <v>832</v>
      </c>
      <c r="G442" t="b">
        <f t="shared" si="36"/>
        <v>1</v>
      </c>
      <c r="J442" s="24">
        <f t="shared" si="37"/>
        <v>-44</v>
      </c>
      <c r="K442" s="4">
        <f t="shared" si="38"/>
        <v>-5.0228310502283158E-2</v>
      </c>
      <c r="M442" s="119">
        <v>2328.86</v>
      </c>
      <c r="N442" s="119">
        <v>1890.75</v>
      </c>
      <c r="Q442" s="119">
        <v>7850.39</v>
      </c>
      <c r="U442" s="141">
        <f t="shared" si="39"/>
        <v>-438.11000000000013</v>
      </c>
      <c r="V442" s="4">
        <f t="shared" si="40"/>
        <v>-0.18812208548388487</v>
      </c>
      <c r="W442" s="17">
        <v>23607.07</v>
      </c>
      <c r="X442" s="17">
        <v>21156.73</v>
      </c>
      <c r="Y442" s="4">
        <f t="shared" si="41"/>
        <v>-0.10379687102211332</v>
      </c>
      <c r="Z442" s="4"/>
    </row>
    <row r="443" spans="1:26" ht="15" customHeight="1">
      <c r="A443" s="26" t="s">
        <v>1830</v>
      </c>
      <c r="B443" s="26" t="s">
        <v>657</v>
      </c>
      <c r="C443">
        <v>1025</v>
      </c>
      <c r="E443" s="26" t="s">
        <v>657</v>
      </c>
      <c r="F443">
        <v>1319</v>
      </c>
      <c r="G443" t="b">
        <f t="shared" si="36"/>
        <v>1</v>
      </c>
      <c r="J443" s="24">
        <f t="shared" si="37"/>
        <v>294</v>
      </c>
      <c r="K443" s="4">
        <f t="shared" si="38"/>
        <v>0.28682926829268296</v>
      </c>
      <c r="M443" s="5">
        <v>1762.68</v>
      </c>
      <c r="N443" s="5">
        <v>1801.17</v>
      </c>
      <c r="Q443" s="5">
        <v>10958.48</v>
      </c>
      <c r="U443" s="141">
        <f t="shared" si="39"/>
        <v>38.490000000000009</v>
      </c>
      <c r="V443" s="4">
        <f t="shared" si="40"/>
        <v>2.1836067805841131E-2</v>
      </c>
      <c r="W443">
        <v>17409.68</v>
      </c>
      <c r="X443">
        <v>22400.880000000001</v>
      </c>
      <c r="Y443" s="4">
        <f t="shared" si="41"/>
        <v>0.2866910822025448</v>
      </c>
    </row>
    <row r="444" spans="1:26" ht="15" customHeight="1">
      <c r="A444" s="123" t="s">
        <v>510</v>
      </c>
      <c r="B444" s="123" t="s">
        <v>511</v>
      </c>
      <c r="C444" s="27">
        <v>2661</v>
      </c>
      <c r="E444" s="123" t="s">
        <v>511</v>
      </c>
      <c r="F444" s="27">
        <v>1518</v>
      </c>
      <c r="G444" t="b">
        <f t="shared" si="36"/>
        <v>1</v>
      </c>
      <c r="J444" s="24">
        <f t="shared" si="37"/>
        <v>-1143</v>
      </c>
      <c r="K444" s="4">
        <f t="shared" si="38"/>
        <v>-0.42953776775648256</v>
      </c>
      <c r="M444" s="118">
        <v>3055.7</v>
      </c>
      <c r="N444" s="118">
        <v>2549.13</v>
      </c>
      <c r="Q444" s="118">
        <v>19627.05</v>
      </c>
      <c r="U444" s="141">
        <f t="shared" si="39"/>
        <v>-506.56999999999971</v>
      </c>
      <c r="V444" s="4">
        <f t="shared" si="40"/>
        <v>-0.16577870864286404</v>
      </c>
      <c r="W444" s="17">
        <v>58434.51</v>
      </c>
      <c r="X444" s="17">
        <v>37905.58</v>
      </c>
      <c r="Y444" s="4">
        <f t="shared" si="41"/>
        <v>-0.35131517317420813</v>
      </c>
      <c r="Z444" s="4"/>
    </row>
    <row r="445" spans="1:26" ht="15" customHeight="1">
      <c r="A445" t="s">
        <v>732</v>
      </c>
      <c r="B445" t="s">
        <v>733</v>
      </c>
      <c r="C445" s="27">
        <v>6182</v>
      </c>
      <c r="E445" t="s">
        <v>733</v>
      </c>
      <c r="F445" s="27">
        <v>5000</v>
      </c>
      <c r="G445" t="b">
        <f t="shared" si="36"/>
        <v>1</v>
      </c>
      <c r="J445" s="24">
        <f t="shared" si="37"/>
        <v>-1182</v>
      </c>
      <c r="K445" s="4">
        <f t="shared" si="38"/>
        <v>-0.19120025881591718</v>
      </c>
      <c r="M445" s="119">
        <v>8659.17</v>
      </c>
      <c r="N445" s="119">
        <v>7502.84</v>
      </c>
      <c r="Q445" s="119">
        <v>56754.47</v>
      </c>
      <c r="U445" s="141">
        <f t="shared" si="39"/>
        <v>-1156.33</v>
      </c>
      <c r="V445" s="4">
        <f t="shared" si="40"/>
        <v>-0.13353820285316031</v>
      </c>
      <c r="W445" s="17">
        <v>166743.26</v>
      </c>
      <c r="X445" s="17">
        <v>133454.39999999999</v>
      </c>
      <c r="Y445" s="4">
        <f t="shared" si="41"/>
        <v>-0.19964141279233727</v>
      </c>
      <c r="Z445" s="4"/>
    </row>
    <row r="446" spans="1:26" ht="15" customHeight="1">
      <c r="A446" s="26" t="s">
        <v>316</v>
      </c>
      <c r="B446" s="26" t="s">
        <v>317</v>
      </c>
      <c r="C446" s="27">
        <v>891</v>
      </c>
      <c r="E446" s="26" t="s">
        <v>317</v>
      </c>
      <c r="F446" s="27">
        <v>534</v>
      </c>
      <c r="G446" t="b">
        <f t="shared" si="36"/>
        <v>1</v>
      </c>
      <c r="J446" s="24">
        <f t="shared" si="37"/>
        <v>-357</v>
      </c>
      <c r="K446" s="4">
        <f t="shared" si="38"/>
        <v>-0.40067340067340063</v>
      </c>
      <c r="M446" s="118">
        <v>2237.35</v>
      </c>
      <c r="N446" s="118">
        <v>1676.36</v>
      </c>
      <c r="Q446" s="118">
        <v>10526.58</v>
      </c>
      <c r="U446" s="141">
        <f t="shared" si="39"/>
        <v>-560.99</v>
      </c>
      <c r="V446" s="4">
        <f t="shared" si="40"/>
        <v>-0.25073859700091627</v>
      </c>
      <c r="W446" s="17">
        <v>14058.53</v>
      </c>
      <c r="X446" s="17">
        <v>10653.67</v>
      </c>
      <c r="Y446" s="4">
        <f t="shared" si="41"/>
        <v>-0.24219175120016112</v>
      </c>
      <c r="Z446" s="4"/>
    </row>
    <row r="447" spans="1:26" ht="15" customHeight="1">
      <c r="A447" t="s">
        <v>30</v>
      </c>
      <c r="B447" t="s">
        <v>31</v>
      </c>
      <c r="C447" s="27">
        <v>3424</v>
      </c>
      <c r="E447" t="s">
        <v>31</v>
      </c>
      <c r="F447" s="27">
        <v>3222</v>
      </c>
      <c r="G447" t="b">
        <f t="shared" si="36"/>
        <v>1</v>
      </c>
      <c r="J447" s="24">
        <f t="shared" si="37"/>
        <v>-202</v>
      </c>
      <c r="K447" s="4">
        <f t="shared" si="38"/>
        <v>-5.8995327102803752E-2</v>
      </c>
      <c r="M447" s="119">
        <v>3785.13</v>
      </c>
      <c r="N447" s="119">
        <v>5836.99</v>
      </c>
      <c r="Q447" s="119">
        <v>23523.09</v>
      </c>
      <c r="U447" s="141">
        <f t="shared" si="39"/>
        <v>2051.8599999999997</v>
      </c>
      <c r="V447" s="4">
        <f t="shared" si="40"/>
        <v>0.54208441982177624</v>
      </c>
      <c r="W447" s="17">
        <v>77824.83</v>
      </c>
      <c r="X447" s="17">
        <v>83594.820000000007</v>
      </c>
      <c r="Y447" s="4">
        <f t="shared" si="41"/>
        <v>7.4140733747828369E-2</v>
      </c>
      <c r="Z447" s="4"/>
    </row>
    <row r="448" spans="1:26" ht="15" customHeight="1">
      <c r="A448" s="167" t="s">
        <v>596</v>
      </c>
      <c r="B448" s="26" t="s">
        <v>597</v>
      </c>
      <c r="C448" s="27">
        <v>806</v>
      </c>
      <c r="E448" s="26" t="s">
        <v>597</v>
      </c>
      <c r="F448" s="27">
        <v>960</v>
      </c>
      <c r="G448" t="b">
        <f t="shared" si="36"/>
        <v>1</v>
      </c>
      <c r="J448" s="24">
        <f t="shared" si="37"/>
        <v>154</v>
      </c>
      <c r="K448" s="4">
        <f t="shared" si="38"/>
        <v>0.19106699751861034</v>
      </c>
      <c r="M448" s="118">
        <v>652.04</v>
      </c>
      <c r="N448" s="118">
        <v>1142.8599999999999</v>
      </c>
      <c r="Q448" s="118">
        <v>9997.4500000000007</v>
      </c>
      <c r="U448" s="141">
        <f t="shared" si="39"/>
        <v>490.81999999999994</v>
      </c>
      <c r="V448" s="4">
        <f t="shared" si="40"/>
        <v>0.7527452303539659</v>
      </c>
      <c r="W448" s="17">
        <v>37864.07</v>
      </c>
      <c r="X448" s="17">
        <v>45053.11</v>
      </c>
      <c r="Y448" s="4">
        <f t="shared" si="41"/>
        <v>0.18986442820330729</v>
      </c>
      <c r="Z448" s="4"/>
    </row>
    <row r="449" spans="1:26" ht="15" customHeight="1">
      <c r="A449" t="s">
        <v>664</v>
      </c>
      <c r="B449" t="s">
        <v>665</v>
      </c>
      <c r="C449" s="27">
        <v>1248</v>
      </c>
      <c r="E449" t="s">
        <v>665</v>
      </c>
      <c r="F449" s="27">
        <v>1463</v>
      </c>
      <c r="G449" t="b">
        <f t="shared" ref="G449:G488" si="42">IF(B449=E449,TRUE,FALSE)</f>
        <v>1</v>
      </c>
      <c r="J449" s="24">
        <f t="shared" ref="J449:J473" si="43">F449-C449</f>
        <v>215</v>
      </c>
      <c r="K449" s="4">
        <f t="shared" ref="K449:K473" si="44">F449/C449-1</f>
        <v>0.17227564102564097</v>
      </c>
      <c r="M449" s="119">
        <v>5190.03</v>
      </c>
      <c r="N449" s="119">
        <v>2370.16</v>
      </c>
      <c r="Q449" s="119">
        <v>13675.55</v>
      </c>
      <c r="U449" s="141">
        <f t="shared" si="39"/>
        <v>-2819.87</v>
      </c>
      <c r="V449" s="4">
        <f t="shared" si="40"/>
        <v>-0.5433244123829728</v>
      </c>
      <c r="W449" s="17">
        <v>37367.65</v>
      </c>
      <c r="X449" s="17">
        <v>41408.879999999997</v>
      </c>
      <c r="Y449" s="4">
        <f t="shared" ref="Y449:Y488" si="45">X449/W449-1</f>
        <v>0.10814782305015158</v>
      </c>
      <c r="Z449" s="4"/>
    </row>
    <row r="450" spans="1:26" ht="15" customHeight="1">
      <c r="A450" s="167" t="s">
        <v>811</v>
      </c>
      <c r="B450" s="26" t="s">
        <v>812</v>
      </c>
      <c r="C450" s="27">
        <v>1403</v>
      </c>
      <c r="E450" s="26" t="s">
        <v>812</v>
      </c>
      <c r="F450" s="27">
        <v>2054</v>
      </c>
      <c r="G450" t="b">
        <f t="shared" si="42"/>
        <v>1</v>
      </c>
      <c r="J450" s="24">
        <f t="shared" si="43"/>
        <v>651</v>
      </c>
      <c r="K450" s="4">
        <f t="shared" si="44"/>
        <v>0.4640057020669992</v>
      </c>
      <c r="M450" s="118">
        <v>2307.37</v>
      </c>
      <c r="N450" s="118">
        <v>3628.55</v>
      </c>
      <c r="Q450" s="118">
        <v>29440.87</v>
      </c>
      <c r="U450" s="141"/>
      <c r="V450" s="4"/>
      <c r="W450" s="17">
        <v>42064.27</v>
      </c>
      <c r="X450" s="17">
        <v>60948.78</v>
      </c>
      <c r="Y450" s="4">
        <f t="shared" si="45"/>
        <v>0.44894419896030535</v>
      </c>
      <c r="Z450" s="4"/>
    </row>
    <row r="451" spans="1:26" ht="15" customHeight="1">
      <c r="A451" s="167" t="s">
        <v>837</v>
      </c>
      <c r="B451" s="26" t="s">
        <v>838</v>
      </c>
      <c r="C451" s="27">
        <v>3203</v>
      </c>
      <c r="E451" s="26" t="s">
        <v>838</v>
      </c>
      <c r="F451" s="27">
        <v>3029</v>
      </c>
      <c r="G451" t="b">
        <f t="shared" si="42"/>
        <v>1</v>
      </c>
      <c r="J451" s="24">
        <f t="shared" si="43"/>
        <v>-174</v>
      </c>
      <c r="K451" s="4">
        <f t="shared" si="44"/>
        <v>-5.4324071183265654E-2</v>
      </c>
      <c r="M451" s="118">
        <v>3889.16</v>
      </c>
      <c r="N451" s="118">
        <v>5856.75</v>
      </c>
      <c r="Q451" s="118">
        <v>35448.67</v>
      </c>
      <c r="U451" s="141">
        <f t="shared" ref="U451:U473" si="46">N451-M451</f>
        <v>1967.5900000000001</v>
      </c>
      <c r="V451" s="4">
        <f t="shared" ref="V451:V473" si="47">IF(M451=0,0,N451/M451-1)</f>
        <v>0.50591644468214225</v>
      </c>
      <c r="W451" s="17">
        <v>55394.400000000001</v>
      </c>
      <c r="X451" s="17">
        <v>60502.77</v>
      </c>
      <c r="Y451" s="4">
        <f t="shared" si="45"/>
        <v>9.2218166457259221E-2</v>
      </c>
      <c r="Z451" s="4"/>
    </row>
    <row r="452" spans="1:26" ht="15" customHeight="1">
      <c r="A452" s="26" t="s">
        <v>332</v>
      </c>
      <c r="B452" s="26" t="s">
        <v>333</v>
      </c>
      <c r="C452" s="27">
        <v>744</v>
      </c>
      <c r="E452" s="26" t="s">
        <v>333</v>
      </c>
      <c r="F452" s="27">
        <v>778</v>
      </c>
      <c r="G452" t="b">
        <f t="shared" si="42"/>
        <v>1</v>
      </c>
      <c r="J452" s="24">
        <f t="shared" si="43"/>
        <v>34</v>
      </c>
      <c r="K452" s="4">
        <f t="shared" si="44"/>
        <v>4.5698924731182755E-2</v>
      </c>
      <c r="M452" s="118">
        <v>2189.64</v>
      </c>
      <c r="N452" s="118">
        <v>1813.19</v>
      </c>
      <c r="Q452" s="118">
        <v>9673.83</v>
      </c>
      <c r="U452" s="141">
        <f t="shared" si="46"/>
        <v>-376.44999999999982</v>
      </c>
      <c r="V452" s="4">
        <f t="shared" si="47"/>
        <v>-0.17192323852322744</v>
      </c>
      <c r="W452" s="17">
        <v>14870.36</v>
      </c>
      <c r="X452" s="17">
        <v>14772.89</v>
      </c>
      <c r="Y452" s="4">
        <f t="shared" si="45"/>
        <v>-6.554649652059652E-3</v>
      </c>
      <c r="Z452" s="4"/>
    </row>
    <row r="453" spans="1:26" ht="15" customHeight="1">
      <c r="A453" s="26" t="s">
        <v>1810</v>
      </c>
      <c r="B453" s="26" t="s">
        <v>1798</v>
      </c>
      <c r="C453" s="27">
        <v>1785</v>
      </c>
      <c r="E453" s="26" t="s">
        <v>1798</v>
      </c>
      <c r="F453" s="27">
        <v>1813</v>
      </c>
      <c r="G453" t="b">
        <f t="shared" si="42"/>
        <v>1</v>
      </c>
      <c r="J453" s="24">
        <f t="shared" si="43"/>
        <v>28</v>
      </c>
      <c r="K453" s="4">
        <f t="shared" si="44"/>
        <v>1.5686274509803866E-2</v>
      </c>
      <c r="M453" s="119">
        <v>3343.6</v>
      </c>
      <c r="N453" s="119">
        <v>1015.74</v>
      </c>
      <c r="Q453" s="119">
        <v>8602.84</v>
      </c>
      <c r="U453" s="141">
        <f t="shared" si="46"/>
        <v>-2327.8599999999997</v>
      </c>
      <c r="V453" s="4">
        <f t="shared" si="47"/>
        <v>-0.69621366192128242</v>
      </c>
      <c r="W453" s="17">
        <v>66801.63</v>
      </c>
      <c r="X453" s="17">
        <v>70510.73</v>
      </c>
      <c r="Y453" s="4">
        <f t="shared" si="45"/>
        <v>5.5524094247400679E-2</v>
      </c>
      <c r="Z453" s="4"/>
    </row>
    <row r="454" spans="1:26" ht="15" customHeight="1">
      <c r="A454" s="167" t="s">
        <v>500</v>
      </c>
      <c r="B454" s="26" t="s">
        <v>501</v>
      </c>
      <c r="C454" s="27">
        <v>1155</v>
      </c>
      <c r="E454" s="26" t="s">
        <v>501</v>
      </c>
      <c r="F454" s="27">
        <v>994</v>
      </c>
      <c r="G454" t="b">
        <f t="shared" si="42"/>
        <v>1</v>
      </c>
      <c r="J454" s="24">
        <f t="shared" si="43"/>
        <v>-161</v>
      </c>
      <c r="K454" s="4">
        <f t="shared" si="44"/>
        <v>-0.1393939393939394</v>
      </c>
      <c r="M454" s="118">
        <v>2338.7199999999998</v>
      </c>
      <c r="N454" s="118">
        <v>2305.39</v>
      </c>
      <c r="Q454" s="118">
        <v>13475.28</v>
      </c>
      <c r="U454" s="141">
        <f t="shared" si="46"/>
        <v>-33.329999999999927</v>
      </c>
      <c r="V454" s="4">
        <f t="shared" si="47"/>
        <v>-1.4251385373195591E-2</v>
      </c>
      <c r="W454" s="17">
        <v>23041.27</v>
      </c>
      <c r="X454" s="17">
        <v>18837.28</v>
      </c>
      <c r="Y454" s="4">
        <f t="shared" si="45"/>
        <v>-0.1824547865634143</v>
      </c>
      <c r="Z454" s="4"/>
    </row>
    <row r="455" spans="1:26" ht="15" customHeight="1">
      <c r="A455" t="s">
        <v>799</v>
      </c>
      <c r="B455" t="s">
        <v>800</v>
      </c>
      <c r="C455" s="27">
        <v>2137</v>
      </c>
      <c r="E455" t="s">
        <v>800</v>
      </c>
      <c r="F455" s="27">
        <v>2167</v>
      </c>
      <c r="G455" t="b">
        <f t="shared" si="42"/>
        <v>1</v>
      </c>
      <c r="J455" s="24">
        <f t="shared" si="43"/>
        <v>30</v>
      </c>
      <c r="K455" s="4">
        <f t="shared" si="44"/>
        <v>1.4038371548900308E-2</v>
      </c>
      <c r="M455" s="119">
        <v>2633.15</v>
      </c>
      <c r="N455" s="119">
        <v>2846.77</v>
      </c>
      <c r="Q455" s="119">
        <v>18416.18</v>
      </c>
      <c r="U455" s="141">
        <f t="shared" si="46"/>
        <v>213.61999999999989</v>
      </c>
      <c r="V455" s="4">
        <f t="shared" si="47"/>
        <v>8.1127167081252338E-2</v>
      </c>
      <c r="W455" s="17">
        <v>63929.68</v>
      </c>
      <c r="X455" s="17">
        <v>64979.35</v>
      </c>
      <c r="Y455" s="4">
        <f t="shared" si="45"/>
        <v>1.6419134273783387E-2</v>
      </c>
      <c r="Z455" s="4"/>
    </row>
    <row r="456" spans="1:26" ht="15" customHeight="1">
      <c r="A456" s="167" t="s">
        <v>376</v>
      </c>
      <c r="B456" s="26" t="s">
        <v>377</v>
      </c>
      <c r="C456" s="27">
        <v>1404</v>
      </c>
      <c r="E456" s="26" t="s">
        <v>377</v>
      </c>
      <c r="F456" s="27">
        <v>919</v>
      </c>
      <c r="G456" t="b">
        <f t="shared" si="42"/>
        <v>1</v>
      </c>
      <c r="J456" s="24">
        <f t="shared" si="43"/>
        <v>-485</v>
      </c>
      <c r="K456" s="4">
        <f t="shared" si="44"/>
        <v>-0.34544159544159547</v>
      </c>
      <c r="M456" s="118">
        <v>517.42999999999995</v>
      </c>
      <c r="N456" s="118">
        <v>798.86</v>
      </c>
      <c r="Q456" s="118">
        <v>4541.66</v>
      </c>
      <c r="U456" s="141">
        <f t="shared" si="46"/>
        <v>281.43000000000006</v>
      </c>
      <c r="V456" s="4">
        <f t="shared" si="47"/>
        <v>0.54389965792474371</v>
      </c>
      <c r="W456" s="17">
        <v>57824.1</v>
      </c>
      <c r="X456" s="17">
        <v>42257.77</v>
      </c>
      <c r="Y456" s="4">
        <f t="shared" si="45"/>
        <v>-0.26920142293611149</v>
      </c>
      <c r="Z456" s="4"/>
    </row>
    <row r="457" spans="1:26" ht="15" customHeight="1">
      <c r="A457" s="26" t="s">
        <v>128</v>
      </c>
      <c r="B457" s="26" t="s">
        <v>129</v>
      </c>
      <c r="C457" s="27">
        <v>2246</v>
      </c>
      <c r="D457" s="18"/>
      <c r="E457" s="26" t="s">
        <v>129</v>
      </c>
      <c r="F457" s="27">
        <v>2580</v>
      </c>
      <c r="G457" t="b">
        <f t="shared" si="42"/>
        <v>1</v>
      </c>
      <c r="H457" s="18"/>
      <c r="I457" s="18"/>
      <c r="J457" s="24">
        <f t="shared" si="43"/>
        <v>334</v>
      </c>
      <c r="K457" s="4">
        <f t="shared" si="44"/>
        <v>0.14870881567230643</v>
      </c>
      <c r="M457" s="119">
        <v>3865.93</v>
      </c>
      <c r="N457" s="119">
        <v>3067.06</v>
      </c>
      <c r="O457" s="17"/>
      <c r="P457" s="17"/>
      <c r="Q457" s="119">
        <v>17698.379999999997</v>
      </c>
      <c r="U457" s="141">
        <f t="shared" si="46"/>
        <v>-798.86999999999989</v>
      </c>
      <c r="V457" s="4">
        <f t="shared" si="47"/>
        <v>-0.20664367952859986</v>
      </c>
      <c r="W457" s="17">
        <v>53713.61</v>
      </c>
      <c r="X457" s="17">
        <v>57523.58</v>
      </c>
      <c r="Y457" s="4">
        <f t="shared" si="45"/>
        <v>7.0931184852405238E-2</v>
      </c>
      <c r="Z457" s="4"/>
    </row>
    <row r="458" spans="1:26" ht="15" customHeight="1">
      <c r="A458" s="167" t="s">
        <v>526</v>
      </c>
      <c r="B458" s="26" t="s">
        <v>527</v>
      </c>
      <c r="C458" s="27">
        <v>1692</v>
      </c>
      <c r="E458" s="26" t="s">
        <v>527</v>
      </c>
      <c r="F458" s="27">
        <v>1201</v>
      </c>
      <c r="G458" t="b">
        <f t="shared" si="42"/>
        <v>1</v>
      </c>
      <c r="J458" s="24">
        <f t="shared" si="43"/>
        <v>-491</v>
      </c>
      <c r="K458" s="4">
        <f t="shared" si="44"/>
        <v>-0.29018912529550822</v>
      </c>
      <c r="M458" s="118">
        <v>1443.31</v>
      </c>
      <c r="N458" s="118">
        <v>1033.5899999999999</v>
      </c>
      <c r="Q458" s="118">
        <v>4037.08</v>
      </c>
      <c r="U458" s="141">
        <f t="shared" si="46"/>
        <v>-409.72</v>
      </c>
      <c r="V458" s="4">
        <f t="shared" si="47"/>
        <v>-0.28387525895337806</v>
      </c>
      <c r="W458" s="17">
        <v>22161.03</v>
      </c>
      <c r="X458" s="17">
        <v>17972.11</v>
      </c>
      <c r="Y458" s="4">
        <f t="shared" si="45"/>
        <v>-0.1890219001553628</v>
      </c>
      <c r="Z458" s="4"/>
    </row>
    <row r="459" spans="1:26" ht="15" customHeight="1">
      <c r="A459" s="39" t="s">
        <v>795</v>
      </c>
      <c r="B459" s="22" t="s">
        <v>796</v>
      </c>
      <c r="C459" s="27">
        <v>2723</v>
      </c>
      <c r="E459" s="22" t="s">
        <v>796</v>
      </c>
      <c r="F459" s="27">
        <v>7643</v>
      </c>
      <c r="G459" t="b">
        <f t="shared" si="42"/>
        <v>1</v>
      </c>
      <c r="J459" s="24">
        <f t="shared" si="43"/>
        <v>4920</v>
      </c>
      <c r="K459" s="4">
        <f t="shared" si="44"/>
        <v>1.806830701432244</v>
      </c>
      <c r="M459" s="119">
        <v>5714.87</v>
      </c>
      <c r="N459" s="119">
        <v>10106.59</v>
      </c>
      <c r="Q459" s="119">
        <v>70533.38</v>
      </c>
      <c r="U459" s="141">
        <f t="shared" si="46"/>
        <v>4391.72</v>
      </c>
      <c r="V459" s="4">
        <f t="shared" si="47"/>
        <v>0.76847242369467739</v>
      </c>
      <c r="W459" s="17">
        <v>54390.400000000001</v>
      </c>
      <c r="X459" s="17">
        <v>183022.78</v>
      </c>
      <c r="Y459" s="4">
        <f t="shared" si="45"/>
        <v>2.3649831587927279</v>
      </c>
      <c r="Z459" s="4"/>
    </row>
    <row r="460" spans="1:26" ht="15" customHeight="1">
      <c r="A460" t="s">
        <v>34</v>
      </c>
      <c r="B460" t="s">
        <v>35</v>
      </c>
      <c r="C460" s="27">
        <v>4178</v>
      </c>
      <c r="E460" t="s">
        <v>35</v>
      </c>
      <c r="F460" s="27">
        <v>3098</v>
      </c>
      <c r="G460" t="b">
        <f t="shared" si="42"/>
        <v>1</v>
      </c>
      <c r="J460" s="24">
        <f t="shared" si="43"/>
        <v>-1080</v>
      </c>
      <c r="K460" s="4">
        <f t="shared" si="44"/>
        <v>-0.25849688846337959</v>
      </c>
      <c r="M460" s="119">
        <v>7375.91</v>
      </c>
      <c r="N460" s="119">
        <v>5231.21</v>
      </c>
      <c r="Q460" s="119">
        <v>37057.81</v>
      </c>
      <c r="U460" s="141">
        <f t="shared" si="46"/>
        <v>-2144.6999999999998</v>
      </c>
      <c r="V460" s="4">
        <f t="shared" si="47"/>
        <v>-0.29077090148876539</v>
      </c>
      <c r="W460" s="17">
        <v>122795.39</v>
      </c>
      <c r="X460" s="17">
        <v>92820.66</v>
      </c>
      <c r="Y460" s="4">
        <f t="shared" si="45"/>
        <v>-0.24410305631180451</v>
      </c>
      <c r="Z460" s="4"/>
    </row>
    <row r="461" spans="1:26" ht="15" customHeight="1">
      <c r="A461" t="s">
        <v>887</v>
      </c>
      <c r="B461" t="s">
        <v>888</v>
      </c>
      <c r="C461" s="27">
        <v>24604</v>
      </c>
      <c r="E461" t="s">
        <v>888</v>
      </c>
      <c r="F461" s="27">
        <v>25421</v>
      </c>
      <c r="G461" t="b">
        <f t="shared" si="42"/>
        <v>1</v>
      </c>
      <c r="J461" s="24">
        <f t="shared" si="43"/>
        <v>817</v>
      </c>
      <c r="K461" s="4">
        <f t="shared" si="44"/>
        <v>3.3205982767029685E-2</v>
      </c>
      <c r="M461" s="119">
        <v>52051.95</v>
      </c>
      <c r="N461" s="119">
        <v>43737.23</v>
      </c>
      <c r="Q461" s="119">
        <v>214747.7</v>
      </c>
      <c r="U461" s="141">
        <f t="shared" si="46"/>
        <v>-8314.7199999999939</v>
      </c>
      <c r="V461" s="4">
        <f t="shared" si="47"/>
        <v>-0.15973887625727745</v>
      </c>
      <c r="W461" s="17">
        <v>1226765.3</v>
      </c>
      <c r="X461" s="17">
        <v>1213551.29</v>
      </c>
      <c r="Y461" s="4">
        <f t="shared" si="45"/>
        <v>-1.0771424656370709E-2</v>
      </c>
      <c r="Z461" s="4"/>
    </row>
    <row r="462" spans="1:26" ht="15" customHeight="1">
      <c r="A462" t="s">
        <v>692</v>
      </c>
      <c r="B462" t="s">
        <v>693</v>
      </c>
      <c r="C462" s="27">
        <v>110</v>
      </c>
      <c r="E462" t="s">
        <v>693</v>
      </c>
      <c r="F462" s="27">
        <v>823</v>
      </c>
      <c r="G462" t="b">
        <f t="shared" si="42"/>
        <v>1</v>
      </c>
      <c r="J462" s="24">
        <f t="shared" si="43"/>
        <v>713</v>
      </c>
      <c r="K462" s="4">
        <f t="shared" si="44"/>
        <v>6.4818181818181815</v>
      </c>
      <c r="M462" s="119">
        <v>493.58</v>
      </c>
      <c r="N462" s="119">
        <v>452.56</v>
      </c>
      <c r="Q462" s="119">
        <v>2404.63</v>
      </c>
      <c r="U462" s="141">
        <f t="shared" si="46"/>
        <v>-41.019999999999982</v>
      </c>
      <c r="V462" s="4">
        <f t="shared" si="47"/>
        <v>-8.3107095101098039E-2</v>
      </c>
      <c r="W462" s="17">
        <v>4398.8999999999996</v>
      </c>
      <c r="X462" s="17">
        <v>32285.37</v>
      </c>
      <c r="Y462" s="4">
        <f t="shared" si="45"/>
        <v>6.3394189456455026</v>
      </c>
      <c r="Z462" s="4"/>
    </row>
    <row r="463" spans="1:26" ht="15" customHeight="1">
      <c r="A463" s="167" t="s">
        <v>614</v>
      </c>
      <c r="B463" s="26" t="s">
        <v>615</v>
      </c>
      <c r="C463" s="27">
        <v>5501</v>
      </c>
      <c r="E463" s="26" t="s">
        <v>615</v>
      </c>
      <c r="F463" s="27">
        <v>3386</v>
      </c>
      <c r="G463" t="b">
        <f t="shared" si="42"/>
        <v>1</v>
      </c>
      <c r="J463" s="24">
        <f t="shared" si="43"/>
        <v>-2115</v>
      </c>
      <c r="K463" s="4">
        <f t="shared" si="44"/>
        <v>-0.3844755499000182</v>
      </c>
      <c r="M463" s="118">
        <v>3776.41</v>
      </c>
      <c r="N463" s="118">
        <v>2366.7199999999998</v>
      </c>
      <c r="Q463" s="118">
        <v>15905.67</v>
      </c>
      <c r="U463" s="141">
        <f t="shared" si="46"/>
        <v>-1409.69</v>
      </c>
      <c r="V463" s="4">
        <f t="shared" si="47"/>
        <v>-0.37328838764858696</v>
      </c>
      <c r="W463" s="17">
        <v>122263.31</v>
      </c>
      <c r="X463" s="17">
        <v>84454.48</v>
      </c>
      <c r="Y463" s="4">
        <f t="shared" si="45"/>
        <v>-0.30924101433210016</v>
      </c>
      <c r="Z463" s="4"/>
    </row>
    <row r="464" spans="1:26" ht="15" customHeight="1">
      <c r="A464" t="s">
        <v>56</v>
      </c>
      <c r="B464" t="s">
        <v>57</v>
      </c>
      <c r="C464" s="27">
        <v>4619</v>
      </c>
      <c r="E464" t="s">
        <v>57</v>
      </c>
      <c r="F464" s="27">
        <v>2273</v>
      </c>
      <c r="G464" t="b">
        <f t="shared" si="42"/>
        <v>1</v>
      </c>
      <c r="J464" s="24">
        <f t="shared" si="43"/>
        <v>-2346</v>
      </c>
      <c r="K464" s="4">
        <f t="shared" si="44"/>
        <v>-0.50790214332106509</v>
      </c>
      <c r="M464" s="119">
        <v>12477.29</v>
      </c>
      <c r="N464" s="119">
        <v>6997.73</v>
      </c>
      <c r="Q464" s="119">
        <v>29802.959999999999</v>
      </c>
      <c r="U464" s="141">
        <f t="shared" si="46"/>
        <v>-5479.5600000000013</v>
      </c>
      <c r="V464" s="4">
        <f t="shared" si="47"/>
        <v>-0.43916267074020088</v>
      </c>
      <c r="W464" s="17">
        <v>118654.29</v>
      </c>
      <c r="X464" s="17">
        <v>68062.92</v>
      </c>
      <c r="Y464" s="4">
        <f t="shared" si="45"/>
        <v>-0.42637623974657801</v>
      </c>
      <c r="Z464" s="4"/>
    </row>
    <row r="465" spans="1:26" ht="15" customHeight="1">
      <c r="A465" t="s">
        <v>372</v>
      </c>
      <c r="B465" t="s">
        <v>373</v>
      </c>
      <c r="C465" s="27">
        <v>3902</v>
      </c>
      <c r="E465" t="s">
        <v>373</v>
      </c>
      <c r="F465" s="27">
        <v>2337</v>
      </c>
      <c r="G465" t="b">
        <f t="shared" si="42"/>
        <v>1</v>
      </c>
      <c r="J465" s="24">
        <f t="shared" si="43"/>
        <v>-1565</v>
      </c>
      <c r="K465" s="4">
        <f t="shared" si="44"/>
        <v>-0.40107637109174787</v>
      </c>
      <c r="M465" s="119">
        <v>9049.4500000000007</v>
      </c>
      <c r="N465" s="119">
        <v>5463.4</v>
      </c>
      <c r="Q465" s="119">
        <v>37099.61</v>
      </c>
      <c r="U465" s="141">
        <f t="shared" si="46"/>
        <v>-3586.0500000000011</v>
      </c>
      <c r="V465" s="4">
        <f t="shared" si="47"/>
        <v>-0.39627270165590178</v>
      </c>
      <c r="W465" s="17">
        <v>110083.4</v>
      </c>
      <c r="X465" s="17">
        <v>67668.22</v>
      </c>
      <c r="Y465" s="4">
        <f t="shared" si="45"/>
        <v>-0.38530041768332002</v>
      </c>
      <c r="Z465" s="4"/>
    </row>
    <row r="466" spans="1:26" ht="15" customHeight="1">
      <c r="A466" t="s">
        <v>88</v>
      </c>
      <c r="B466" t="s">
        <v>89</v>
      </c>
      <c r="C466" s="27">
        <v>1924</v>
      </c>
      <c r="E466" t="s">
        <v>89</v>
      </c>
      <c r="F466" s="27">
        <v>1527</v>
      </c>
      <c r="G466" t="b">
        <f t="shared" si="42"/>
        <v>1</v>
      </c>
      <c r="J466" s="24">
        <f t="shared" si="43"/>
        <v>-397</v>
      </c>
      <c r="K466" s="4">
        <f t="shared" si="44"/>
        <v>-0.20634095634095639</v>
      </c>
      <c r="M466" s="119">
        <v>0</v>
      </c>
      <c r="N466" s="119">
        <v>0</v>
      </c>
      <c r="Q466" s="119">
        <v>0</v>
      </c>
      <c r="U466" s="141">
        <f t="shared" si="46"/>
        <v>0</v>
      </c>
      <c r="V466" s="4">
        <f t="shared" si="47"/>
        <v>0</v>
      </c>
      <c r="W466" s="17">
        <v>19455.46</v>
      </c>
      <c r="X466" s="17">
        <v>15243.18</v>
      </c>
      <c r="Y466" s="4">
        <f t="shared" si="45"/>
        <v>-0.21650888747940167</v>
      </c>
      <c r="Z466" s="4"/>
    </row>
    <row r="467" spans="1:26" ht="15" customHeight="1">
      <c r="A467" s="167" t="s">
        <v>616</v>
      </c>
      <c r="B467" s="26" t="s">
        <v>617</v>
      </c>
      <c r="C467" s="27">
        <v>2893</v>
      </c>
      <c r="E467" s="26" t="s">
        <v>617</v>
      </c>
      <c r="F467" s="27">
        <v>4009</v>
      </c>
      <c r="G467" t="b">
        <f t="shared" si="42"/>
        <v>1</v>
      </c>
      <c r="J467" s="24">
        <f t="shared" si="43"/>
        <v>1116</v>
      </c>
      <c r="K467" s="4">
        <f t="shared" si="44"/>
        <v>0.38575872796405108</v>
      </c>
      <c r="M467" s="118">
        <v>3152.13</v>
      </c>
      <c r="N467" s="118">
        <v>5353.91</v>
      </c>
      <c r="Q467" s="118">
        <v>27664.84</v>
      </c>
      <c r="U467" s="141">
        <f t="shared" si="46"/>
        <v>2201.7799999999997</v>
      </c>
      <c r="V467" s="4">
        <f t="shared" si="47"/>
        <v>0.69850545504151151</v>
      </c>
      <c r="W467" s="17">
        <v>49130.83</v>
      </c>
      <c r="X467" s="17">
        <v>68091.179999999993</v>
      </c>
      <c r="Y467" s="4">
        <f t="shared" si="45"/>
        <v>0.38591552391848438</v>
      </c>
      <c r="Z467" s="4"/>
    </row>
    <row r="468" spans="1:26" ht="15" customHeight="1">
      <c r="A468" s="167" t="s">
        <v>570</v>
      </c>
      <c r="B468" s="26" t="s">
        <v>571</v>
      </c>
      <c r="C468" s="27">
        <v>2560</v>
      </c>
      <c r="E468" s="26" t="s">
        <v>571</v>
      </c>
      <c r="F468" s="27">
        <v>2745</v>
      </c>
      <c r="G468" t="b">
        <f t="shared" si="42"/>
        <v>1</v>
      </c>
      <c r="J468" s="24">
        <f t="shared" si="43"/>
        <v>185</v>
      </c>
      <c r="K468" s="4">
        <f t="shared" si="44"/>
        <v>7.2265625E-2</v>
      </c>
      <c r="M468" s="118">
        <v>563.6</v>
      </c>
      <c r="N468" s="118">
        <v>992.75</v>
      </c>
      <c r="Q468" s="118">
        <v>5725.1</v>
      </c>
      <c r="U468" s="141">
        <f t="shared" si="46"/>
        <v>429.15</v>
      </c>
      <c r="V468" s="4">
        <f t="shared" si="47"/>
        <v>0.76144428672817588</v>
      </c>
      <c r="W468" s="17">
        <v>43387.7</v>
      </c>
      <c r="X468" s="17">
        <v>46392.77</v>
      </c>
      <c r="Y468" s="4">
        <f t="shared" si="45"/>
        <v>6.9260873473357742E-2</v>
      </c>
      <c r="Z468" s="4"/>
    </row>
    <row r="469" spans="1:26" ht="15" customHeight="1">
      <c r="A469" s="167" t="s">
        <v>658</v>
      </c>
      <c r="B469" s="26" t="s">
        <v>659</v>
      </c>
      <c r="C469" s="27">
        <v>1954</v>
      </c>
      <c r="E469" s="26" t="s">
        <v>659</v>
      </c>
      <c r="F469" s="27">
        <v>2925</v>
      </c>
      <c r="G469" t="b">
        <f t="shared" si="42"/>
        <v>1</v>
      </c>
      <c r="J469" s="24">
        <f t="shared" si="43"/>
        <v>971</v>
      </c>
      <c r="K469" s="4">
        <f t="shared" si="44"/>
        <v>0.49692937563971351</v>
      </c>
      <c r="M469" s="118">
        <v>1198.18</v>
      </c>
      <c r="N469" s="118">
        <v>1534.41</v>
      </c>
      <c r="Q469" s="118">
        <v>5072.16</v>
      </c>
      <c r="U469" s="141">
        <f t="shared" si="46"/>
        <v>336.23</v>
      </c>
      <c r="V469" s="4">
        <f t="shared" si="47"/>
        <v>0.28061726952544697</v>
      </c>
      <c r="W469" s="17">
        <v>33161.25</v>
      </c>
      <c r="X469" s="17">
        <v>49657.18</v>
      </c>
      <c r="Y469" s="4">
        <f t="shared" si="45"/>
        <v>0.49744596479324521</v>
      </c>
      <c r="Z469" s="4"/>
    </row>
    <row r="470" spans="1:26" ht="15" customHeight="1">
      <c r="A470" s="123" t="s">
        <v>881</v>
      </c>
      <c r="B470" s="123" t="s">
        <v>882</v>
      </c>
      <c r="C470" s="27">
        <v>14025</v>
      </c>
      <c r="E470" s="123" t="s">
        <v>882</v>
      </c>
      <c r="F470" s="27">
        <v>18391</v>
      </c>
      <c r="G470" t="b">
        <f t="shared" si="42"/>
        <v>1</v>
      </c>
      <c r="J470" s="24">
        <f t="shared" si="43"/>
        <v>4366</v>
      </c>
      <c r="K470" s="4">
        <f t="shared" si="44"/>
        <v>0.31130124777183599</v>
      </c>
      <c r="M470" s="118">
        <v>21166.82</v>
      </c>
      <c r="N470" s="118">
        <v>32759.48</v>
      </c>
      <c r="Q470" s="118">
        <v>190654.46</v>
      </c>
      <c r="U470" s="141">
        <f t="shared" si="46"/>
        <v>11592.66</v>
      </c>
      <c r="V470" s="4">
        <f t="shared" si="47"/>
        <v>0.54768075695829599</v>
      </c>
      <c r="W470" s="17">
        <v>487596.75</v>
      </c>
      <c r="X470" s="17">
        <v>637866.67000000004</v>
      </c>
      <c r="Y470" s="4">
        <f t="shared" si="45"/>
        <v>0.30818482690871107</v>
      </c>
      <c r="Z470" s="4"/>
    </row>
    <row r="471" spans="1:26" ht="15" customHeight="1">
      <c r="A471" s="38" t="s">
        <v>52</v>
      </c>
      <c r="B471" s="35" t="s">
        <v>53</v>
      </c>
      <c r="C471" s="27">
        <v>3914</v>
      </c>
      <c r="E471" s="35" t="s">
        <v>53</v>
      </c>
      <c r="F471" s="27">
        <v>4950</v>
      </c>
      <c r="G471" t="b">
        <f t="shared" si="42"/>
        <v>1</v>
      </c>
      <c r="J471" s="24">
        <f t="shared" si="43"/>
        <v>1036</v>
      </c>
      <c r="K471" s="4">
        <f t="shared" si="44"/>
        <v>0.26469085334695963</v>
      </c>
      <c r="M471" s="119">
        <v>13499.06</v>
      </c>
      <c r="N471" s="119">
        <v>17220.78</v>
      </c>
      <c r="Q471" s="119">
        <v>92521.06</v>
      </c>
      <c r="U471" s="141">
        <f t="shared" si="46"/>
        <v>3721.7199999999993</v>
      </c>
      <c r="V471" s="4">
        <f t="shared" si="47"/>
        <v>0.27570216000225201</v>
      </c>
      <c r="W471" s="17">
        <v>144233.23000000001</v>
      </c>
      <c r="X471" s="17">
        <v>182866.35</v>
      </c>
      <c r="Y471" s="4">
        <f t="shared" si="45"/>
        <v>0.26785172875903829</v>
      </c>
      <c r="Z471" s="4"/>
    </row>
    <row r="472" spans="1:26" ht="15" customHeight="1">
      <c r="A472" t="s">
        <v>14</v>
      </c>
      <c r="B472" t="s">
        <v>15</v>
      </c>
      <c r="C472" s="27">
        <v>21321</v>
      </c>
      <c r="E472" t="s">
        <v>15</v>
      </c>
      <c r="F472" s="27">
        <v>25118</v>
      </c>
      <c r="G472" t="b">
        <f t="shared" si="42"/>
        <v>1</v>
      </c>
      <c r="J472" s="24">
        <f t="shared" si="43"/>
        <v>3797</v>
      </c>
      <c r="K472" s="4">
        <f t="shared" si="44"/>
        <v>0.17808733173866131</v>
      </c>
      <c r="M472" s="119">
        <v>24477.43</v>
      </c>
      <c r="N472" s="119">
        <v>37661.1</v>
      </c>
      <c r="Q472" s="119">
        <v>224703.35999999999</v>
      </c>
      <c r="U472" s="141">
        <f t="shared" si="46"/>
        <v>13183.669999999998</v>
      </c>
      <c r="V472" s="4">
        <f t="shared" si="47"/>
        <v>0.53860515585173752</v>
      </c>
      <c r="W472" s="17">
        <v>697471.89</v>
      </c>
      <c r="X472" s="17">
        <v>822648.93</v>
      </c>
      <c r="Y472" s="4">
        <f t="shared" si="45"/>
        <v>0.17947252325824925</v>
      </c>
      <c r="Z472" s="4"/>
    </row>
    <row r="473" spans="1:26" ht="15" customHeight="1">
      <c r="A473" s="137" t="s">
        <v>1891</v>
      </c>
      <c r="B473" s="26" t="s">
        <v>1880</v>
      </c>
      <c r="C473" s="27">
        <v>91</v>
      </c>
      <c r="E473" s="26" t="s">
        <v>1880</v>
      </c>
      <c r="F473" s="27">
        <v>154</v>
      </c>
      <c r="G473" t="b">
        <f t="shared" si="42"/>
        <v>1</v>
      </c>
      <c r="J473" s="24">
        <f t="shared" si="43"/>
        <v>63</v>
      </c>
      <c r="K473" s="4">
        <f t="shared" si="44"/>
        <v>0.69230769230769229</v>
      </c>
      <c r="M473" s="119">
        <v>428.12</v>
      </c>
      <c r="N473" s="119">
        <v>898.7</v>
      </c>
      <c r="Q473" s="119">
        <v>4056.72</v>
      </c>
      <c r="U473" s="141">
        <f t="shared" si="46"/>
        <v>470.58000000000004</v>
      </c>
      <c r="V473" s="4">
        <f t="shared" si="47"/>
        <v>1.0991778006166495</v>
      </c>
      <c r="W473" s="17">
        <v>1818.89</v>
      </c>
      <c r="X473" s="17">
        <v>2870.06</v>
      </c>
      <c r="Y473" s="4">
        <f t="shared" si="45"/>
        <v>0.57791840078289503</v>
      </c>
      <c r="Z473" s="4"/>
    </row>
    <row r="474" spans="1:26" ht="15" customHeight="1">
      <c r="A474" s="137" t="s">
        <v>1892</v>
      </c>
      <c r="B474" s="26" t="s">
        <v>1881</v>
      </c>
      <c r="C474" s="27">
        <v>80</v>
      </c>
      <c r="E474" s="26" t="s">
        <v>1881</v>
      </c>
      <c r="F474" s="27">
        <v>323</v>
      </c>
      <c r="G474" t="b">
        <f t="shared" si="42"/>
        <v>1</v>
      </c>
      <c r="J474" s="24">
        <f t="shared" ref="J474:J488" si="48">F474-C474</f>
        <v>243</v>
      </c>
      <c r="K474" s="4">
        <f t="shared" ref="K474:K483" si="49">F474/C474-1</f>
        <v>3.0374999999999996</v>
      </c>
      <c r="M474" s="119">
        <v>707.62</v>
      </c>
      <c r="N474" s="119">
        <v>1978.61</v>
      </c>
      <c r="Q474" s="119">
        <v>14414.49</v>
      </c>
      <c r="U474" s="141">
        <f t="shared" ref="U474:U488" si="50">N474-M474</f>
        <v>1270.9899999999998</v>
      </c>
      <c r="V474" s="4">
        <f t="shared" ref="V474:V488" si="51">IF(M474=0,0,N474/M474-1)</f>
        <v>1.7961476498685736</v>
      </c>
      <c r="W474" s="17">
        <v>1999.2</v>
      </c>
      <c r="X474" s="17">
        <v>7486.03</v>
      </c>
      <c r="Y474" s="4">
        <f t="shared" si="45"/>
        <v>2.7445128051220484</v>
      </c>
      <c r="Z474" s="4"/>
    </row>
    <row r="475" spans="1:26" ht="15" customHeight="1">
      <c r="A475" s="137" t="s">
        <v>1893</v>
      </c>
      <c r="B475" s="26" t="s">
        <v>1882</v>
      </c>
      <c r="C475" s="27">
        <v>54</v>
      </c>
      <c r="E475" s="26" t="s">
        <v>1882</v>
      </c>
      <c r="F475" s="27">
        <v>130</v>
      </c>
      <c r="G475" t="b">
        <f t="shared" si="42"/>
        <v>1</v>
      </c>
      <c r="J475" s="24">
        <f t="shared" si="48"/>
        <v>76</v>
      </c>
      <c r="K475" s="4">
        <f t="shared" si="49"/>
        <v>1.4074074074074074</v>
      </c>
      <c r="M475" s="119">
        <v>59.3</v>
      </c>
      <c r="N475" s="119">
        <v>544.91</v>
      </c>
      <c r="Q475" s="119">
        <v>1778.84</v>
      </c>
      <c r="U475" s="141">
        <f t="shared" si="50"/>
        <v>485.60999999999996</v>
      </c>
      <c r="V475" s="4">
        <f t="shared" si="51"/>
        <v>8.1890387858347378</v>
      </c>
      <c r="W475" s="17">
        <v>1349.46</v>
      </c>
      <c r="X475" s="17">
        <v>2960.2</v>
      </c>
      <c r="Y475" s="4">
        <f t="shared" si="45"/>
        <v>1.1936181880159471</v>
      </c>
      <c r="Z475" s="4"/>
    </row>
    <row r="476" spans="1:26" ht="15" customHeight="1">
      <c r="A476" s="137" t="s">
        <v>1894</v>
      </c>
      <c r="B476" s="26" t="s">
        <v>1883</v>
      </c>
      <c r="C476" s="27">
        <v>61</v>
      </c>
      <c r="E476" s="26" t="s">
        <v>1883</v>
      </c>
      <c r="F476" s="27">
        <v>98</v>
      </c>
      <c r="G476" t="b">
        <f t="shared" si="42"/>
        <v>1</v>
      </c>
      <c r="J476" s="24">
        <f t="shared" si="48"/>
        <v>37</v>
      </c>
      <c r="K476" s="4">
        <f t="shared" si="49"/>
        <v>0.60655737704918034</v>
      </c>
      <c r="M476" s="119">
        <v>161.22999999999999</v>
      </c>
      <c r="N476" s="119">
        <v>508.17</v>
      </c>
      <c r="Q476" s="119">
        <v>2234.62</v>
      </c>
      <c r="U476" s="141">
        <f t="shared" si="50"/>
        <v>346.94000000000005</v>
      </c>
      <c r="V476" s="4">
        <f t="shared" si="51"/>
        <v>2.1518327854617629</v>
      </c>
      <c r="W476" s="17">
        <v>1524.39</v>
      </c>
      <c r="X476" s="17">
        <v>2096.77</v>
      </c>
      <c r="Y476" s="4">
        <f t="shared" si="45"/>
        <v>0.37548134007701428</v>
      </c>
      <c r="Z476" s="4"/>
    </row>
    <row r="477" spans="1:26" ht="15" customHeight="1">
      <c r="A477" s="137" t="s">
        <v>1895</v>
      </c>
      <c r="B477" s="26" t="s">
        <v>1884</v>
      </c>
      <c r="C477">
        <v>30</v>
      </c>
      <c r="E477" s="26" t="s">
        <v>1884</v>
      </c>
      <c r="F477">
        <v>92</v>
      </c>
      <c r="G477" t="b">
        <f t="shared" si="42"/>
        <v>1</v>
      </c>
      <c r="J477" s="24">
        <f t="shared" si="48"/>
        <v>62</v>
      </c>
      <c r="K477" s="4">
        <f t="shared" si="49"/>
        <v>2.0666666666666669</v>
      </c>
      <c r="M477" s="5">
        <v>10.31</v>
      </c>
      <c r="N477" s="5">
        <v>346.34</v>
      </c>
      <c r="Q477" s="5">
        <v>1558.58</v>
      </c>
      <c r="U477" s="141">
        <f t="shared" si="50"/>
        <v>336.03</v>
      </c>
      <c r="V477" s="4">
        <f t="shared" si="51"/>
        <v>32.592628516003877</v>
      </c>
      <c r="W477">
        <v>899.7</v>
      </c>
      <c r="X477">
        <v>2288.7800000000002</v>
      </c>
      <c r="Y477" s="4">
        <f t="shared" si="45"/>
        <v>1.5439368678448373</v>
      </c>
    </row>
    <row r="478" spans="1:26" ht="15" customHeight="1">
      <c r="A478" s="137" t="s">
        <v>1896</v>
      </c>
      <c r="B478" s="26" t="s">
        <v>1885</v>
      </c>
      <c r="C478">
        <v>0</v>
      </c>
      <c r="E478" s="26" t="s">
        <v>1885</v>
      </c>
      <c r="F478">
        <v>196</v>
      </c>
      <c r="G478" t="b">
        <f t="shared" si="42"/>
        <v>1</v>
      </c>
      <c r="J478" s="24">
        <f t="shared" si="48"/>
        <v>196</v>
      </c>
      <c r="K478" s="4" t="e">
        <f t="shared" si="49"/>
        <v>#DIV/0!</v>
      </c>
      <c r="M478" s="5">
        <v>0</v>
      </c>
      <c r="N478" s="5">
        <v>1189.07</v>
      </c>
      <c r="Q478" s="5">
        <v>5844.66</v>
      </c>
      <c r="U478" s="141">
        <f t="shared" si="50"/>
        <v>1189.07</v>
      </c>
      <c r="V478" s="4">
        <f t="shared" si="51"/>
        <v>0</v>
      </c>
      <c r="W478">
        <v>0</v>
      </c>
      <c r="X478">
        <v>3641.64</v>
      </c>
      <c r="Y478" s="4" t="e">
        <f t="shared" si="45"/>
        <v>#DIV/0!</v>
      </c>
    </row>
    <row r="479" spans="1:26" ht="15" customHeight="1">
      <c r="A479" s="137" t="s">
        <v>1897</v>
      </c>
      <c r="B479" s="26" t="s">
        <v>1886</v>
      </c>
      <c r="C479">
        <v>0</v>
      </c>
      <c r="E479" s="26" t="s">
        <v>1886</v>
      </c>
      <c r="F479">
        <v>221</v>
      </c>
      <c r="G479" t="b">
        <f t="shared" si="42"/>
        <v>1</v>
      </c>
      <c r="J479" s="24">
        <f t="shared" si="48"/>
        <v>221</v>
      </c>
      <c r="K479" s="4" t="e">
        <f t="shared" si="49"/>
        <v>#DIV/0!</v>
      </c>
      <c r="M479" s="5">
        <v>0</v>
      </c>
      <c r="N479" s="5">
        <v>682.74</v>
      </c>
      <c r="Q479" s="5">
        <v>3999.36</v>
      </c>
      <c r="U479" s="141">
        <f t="shared" si="50"/>
        <v>682.74</v>
      </c>
      <c r="V479" s="4">
        <f t="shared" si="51"/>
        <v>0</v>
      </c>
      <c r="W479">
        <v>0</v>
      </c>
      <c r="X479">
        <v>3929.59</v>
      </c>
      <c r="Y479" s="4" t="e">
        <f t="shared" si="45"/>
        <v>#DIV/0!</v>
      </c>
    </row>
    <row r="480" spans="1:26" ht="15" customHeight="1">
      <c r="A480" s="137" t="s">
        <v>1898</v>
      </c>
      <c r="B480" s="26" t="s">
        <v>1887</v>
      </c>
      <c r="C480">
        <v>0</v>
      </c>
      <c r="E480" s="26" t="s">
        <v>1887</v>
      </c>
      <c r="F480">
        <v>142</v>
      </c>
      <c r="G480" t="b">
        <f t="shared" si="42"/>
        <v>1</v>
      </c>
      <c r="J480" s="24">
        <f t="shared" si="48"/>
        <v>142</v>
      </c>
      <c r="K480" s="4" t="e">
        <f t="shared" si="49"/>
        <v>#DIV/0!</v>
      </c>
      <c r="M480" s="5">
        <v>0</v>
      </c>
      <c r="N480" s="5">
        <v>687.62</v>
      </c>
      <c r="Q480" s="5">
        <v>2363.3000000000002</v>
      </c>
      <c r="U480" s="141">
        <f t="shared" si="50"/>
        <v>687.62</v>
      </c>
      <c r="V480" s="4">
        <f t="shared" si="51"/>
        <v>0</v>
      </c>
      <c r="W480">
        <v>0</v>
      </c>
      <c r="X480">
        <v>2384.1799999999998</v>
      </c>
      <c r="Y480" s="4" t="e">
        <f t="shared" si="45"/>
        <v>#DIV/0!</v>
      </c>
    </row>
    <row r="481" spans="1:26" ht="15" customHeight="1">
      <c r="A481" s="137" t="s">
        <v>1899</v>
      </c>
      <c r="B481" s="26" t="s">
        <v>1888</v>
      </c>
      <c r="C481">
        <v>0</v>
      </c>
      <c r="E481" s="26" t="s">
        <v>1888</v>
      </c>
      <c r="F481">
        <v>149</v>
      </c>
      <c r="G481" t="b">
        <f t="shared" si="42"/>
        <v>1</v>
      </c>
      <c r="J481" s="24">
        <f t="shared" si="48"/>
        <v>149</v>
      </c>
      <c r="K481" s="4" t="e">
        <f t="shared" si="49"/>
        <v>#DIV/0!</v>
      </c>
      <c r="M481" s="5">
        <v>0</v>
      </c>
      <c r="N481" s="5">
        <v>776.68</v>
      </c>
      <c r="Q481" s="5">
        <v>3749.18</v>
      </c>
      <c r="U481" s="141">
        <f t="shared" si="50"/>
        <v>776.68</v>
      </c>
      <c r="V481" s="4">
        <f t="shared" si="51"/>
        <v>0</v>
      </c>
      <c r="W481">
        <v>0</v>
      </c>
      <c r="X481">
        <v>3387.51</v>
      </c>
      <c r="Y481" s="4" t="e">
        <f t="shared" si="45"/>
        <v>#DIV/0!</v>
      </c>
    </row>
    <row r="482" spans="1:26" ht="15" customHeight="1">
      <c r="A482" s="137" t="s">
        <v>1900</v>
      </c>
      <c r="B482" s="26" t="s">
        <v>1889</v>
      </c>
      <c r="C482">
        <v>0</v>
      </c>
      <c r="E482" s="26" t="s">
        <v>1889</v>
      </c>
      <c r="F482">
        <v>0</v>
      </c>
      <c r="G482" t="b">
        <f t="shared" si="42"/>
        <v>1</v>
      </c>
      <c r="J482" s="24">
        <f t="shared" si="48"/>
        <v>0</v>
      </c>
      <c r="K482" s="4" t="e">
        <f t="shared" si="49"/>
        <v>#DIV/0!</v>
      </c>
      <c r="M482" s="5">
        <v>0</v>
      </c>
      <c r="N482" s="5">
        <v>0</v>
      </c>
      <c r="Q482" s="5">
        <v>0</v>
      </c>
      <c r="U482" s="141">
        <f t="shared" si="50"/>
        <v>0</v>
      </c>
      <c r="V482" s="4">
        <f t="shared" si="51"/>
        <v>0</v>
      </c>
      <c r="W482">
        <v>0</v>
      </c>
      <c r="X482">
        <v>0</v>
      </c>
      <c r="Y482" s="4" t="e">
        <f t="shared" si="45"/>
        <v>#DIV/0!</v>
      </c>
    </row>
    <row r="483" spans="1:26" ht="15" customHeight="1">
      <c r="A483" s="137" t="s">
        <v>1901</v>
      </c>
      <c r="B483" s="26" t="s">
        <v>1890</v>
      </c>
      <c r="C483">
        <v>0</v>
      </c>
      <c r="E483" s="26" t="s">
        <v>1890</v>
      </c>
      <c r="F483">
        <v>97</v>
      </c>
      <c r="G483" t="b">
        <f t="shared" si="42"/>
        <v>1</v>
      </c>
      <c r="J483" s="24">
        <f t="shared" si="48"/>
        <v>97</v>
      </c>
      <c r="K483" s="4" t="e">
        <f t="shared" si="49"/>
        <v>#DIV/0!</v>
      </c>
      <c r="M483" s="5">
        <v>0</v>
      </c>
      <c r="N483" s="5">
        <v>268.64</v>
      </c>
      <c r="Q483" s="5">
        <v>1914.92</v>
      </c>
      <c r="U483" s="141">
        <f t="shared" si="50"/>
        <v>268.64</v>
      </c>
      <c r="V483" s="4">
        <f t="shared" si="51"/>
        <v>0</v>
      </c>
      <c r="W483">
        <v>0</v>
      </c>
      <c r="X483">
        <v>1756.43</v>
      </c>
      <c r="Y483" s="4" t="e">
        <f t="shared" si="45"/>
        <v>#DIV/0!</v>
      </c>
    </row>
    <row r="484" spans="1:26" ht="15" customHeight="1">
      <c r="A484" s="26" t="s">
        <v>1931</v>
      </c>
      <c r="B484" s="166" t="s">
        <v>1926</v>
      </c>
      <c r="C484">
        <v>0</v>
      </c>
      <c r="E484" s="166" t="s">
        <v>1926</v>
      </c>
      <c r="F484">
        <v>113</v>
      </c>
      <c r="G484" t="b">
        <f t="shared" si="42"/>
        <v>1</v>
      </c>
      <c r="J484" s="24">
        <f t="shared" si="48"/>
        <v>113</v>
      </c>
      <c r="K484" s="4"/>
      <c r="M484" s="5">
        <v>0</v>
      </c>
      <c r="N484" s="5">
        <v>441.15</v>
      </c>
      <c r="Q484" s="5">
        <v>2033.89</v>
      </c>
      <c r="U484" s="141">
        <f t="shared" si="50"/>
        <v>441.15</v>
      </c>
      <c r="V484" s="4">
        <f t="shared" si="51"/>
        <v>0</v>
      </c>
      <c r="W484">
        <v>0</v>
      </c>
      <c r="X484">
        <v>1802.9</v>
      </c>
      <c r="Y484" s="4" t="e">
        <f t="shared" si="45"/>
        <v>#DIV/0!</v>
      </c>
    </row>
    <row r="485" spans="1:26" ht="15" customHeight="1">
      <c r="A485" s="168" t="s">
        <v>1932</v>
      </c>
      <c r="B485" s="166" t="s">
        <v>1927</v>
      </c>
      <c r="C485">
        <v>0</v>
      </c>
      <c r="E485" s="166" t="s">
        <v>1927</v>
      </c>
      <c r="F485">
        <v>10</v>
      </c>
      <c r="G485" t="b">
        <f t="shared" si="42"/>
        <v>1</v>
      </c>
      <c r="J485" s="24">
        <f t="shared" si="48"/>
        <v>10</v>
      </c>
      <c r="K485" s="4"/>
      <c r="M485" s="5">
        <v>0</v>
      </c>
      <c r="N485" s="5">
        <v>36.85</v>
      </c>
      <c r="Q485" s="5">
        <v>238.91</v>
      </c>
      <c r="U485" s="141">
        <f t="shared" si="50"/>
        <v>36.85</v>
      </c>
      <c r="V485" s="4">
        <f t="shared" si="51"/>
        <v>0</v>
      </c>
      <c r="W485">
        <v>0</v>
      </c>
      <c r="X485">
        <v>209.9</v>
      </c>
      <c r="Y485" s="4" t="e">
        <f t="shared" si="45"/>
        <v>#DIV/0!</v>
      </c>
    </row>
    <row r="486" spans="1:26" ht="15" customHeight="1">
      <c r="A486" s="168" t="s">
        <v>1933</v>
      </c>
      <c r="B486" s="166" t="s">
        <v>1928</v>
      </c>
      <c r="C486">
        <v>0</v>
      </c>
      <c r="E486" s="166" t="s">
        <v>1928</v>
      </c>
      <c r="F486">
        <v>1</v>
      </c>
      <c r="G486" t="b">
        <f t="shared" si="42"/>
        <v>1</v>
      </c>
      <c r="J486" s="24">
        <f t="shared" si="48"/>
        <v>1</v>
      </c>
      <c r="K486" s="4"/>
      <c r="M486" s="5">
        <v>0</v>
      </c>
      <c r="N486" s="5">
        <v>110.21</v>
      </c>
      <c r="Q486" s="5">
        <v>252.66</v>
      </c>
      <c r="U486" s="141">
        <f t="shared" si="50"/>
        <v>110.21</v>
      </c>
      <c r="V486" s="4">
        <f t="shared" si="51"/>
        <v>0</v>
      </c>
      <c r="W486">
        <v>0</v>
      </c>
      <c r="X486">
        <v>19.989999999999998</v>
      </c>
      <c r="Y486" s="4" t="e">
        <f t="shared" si="45"/>
        <v>#DIV/0!</v>
      </c>
    </row>
    <row r="487" spans="1:26" ht="15" customHeight="1">
      <c r="A487" s="166" t="s">
        <v>1934</v>
      </c>
      <c r="B487" s="166" t="s">
        <v>1929</v>
      </c>
      <c r="C487">
        <v>0</v>
      </c>
      <c r="E487" s="166" t="s">
        <v>1929</v>
      </c>
      <c r="F487">
        <v>21</v>
      </c>
      <c r="G487" t="b">
        <f t="shared" si="42"/>
        <v>1</v>
      </c>
      <c r="J487" s="24">
        <f t="shared" si="48"/>
        <v>21</v>
      </c>
      <c r="M487" s="5">
        <v>0</v>
      </c>
      <c r="N487" s="5">
        <v>2.66</v>
      </c>
      <c r="Q487" s="5">
        <v>0</v>
      </c>
      <c r="U487" s="141">
        <f t="shared" si="50"/>
        <v>2.66</v>
      </c>
      <c r="V487" s="4">
        <f t="shared" si="51"/>
        <v>0</v>
      </c>
      <c r="W487">
        <v>0</v>
      </c>
      <c r="X487">
        <v>419.79</v>
      </c>
      <c r="Y487" s="4" t="e">
        <f t="shared" si="45"/>
        <v>#DIV/0!</v>
      </c>
    </row>
    <row r="488" spans="1:26" ht="15" customHeight="1">
      <c r="A488" s="35" t="s">
        <v>1935</v>
      </c>
      <c r="B488" s="178" t="s">
        <v>1930</v>
      </c>
      <c r="C488">
        <v>0</v>
      </c>
      <c r="E488" s="178" t="s">
        <v>1930</v>
      </c>
      <c r="F488">
        <v>0</v>
      </c>
      <c r="G488" t="b">
        <f t="shared" si="42"/>
        <v>1</v>
      </c>
      <c r="J488" s="24">
        <f t="shared" si="48"/>
        <v>0</v>
      </c>
      <c r="M488" s="5">
        <v>0</v>
      </c>
      <c r="N488" s="5">
        <v>0</v>
      </c>
      <c r="Q488" s="5">
        <v>0</v>
      </c>
      <c r="U488" s="141">
        <f t="shared" si="50"/>
        <v>0</v>
      </c>
      <c r="V488" s="4">
        <f t="shared" si="51"/>
        <v>0</v>
      </c>
      <c r="W488">
        <v>0</v>
      </c>
      <c r="X488">
        <v>0</v>
      </c>
      <c r="Y488" s="4" t="e">
        <f t="shared" si="45"/>
        <v>#DIV/0!</v>
      </c>
    </row>
    <row r="489" spans="1:26" ht="15" customHeight="1">
      <c r="A489" s="38"/>
      <c r="B489" s="26"/>
      <c r="E489" s="35"/>
      <c r="U489" s="141"/>
    </row>
    <row r="490" spans="1:26" ht="15" customHeight="1">
      <c r="C490" s="3" t="s">
        <v>889</v>
      </c>
      <c r="D490" s="3"/>
      <c r="E490" s="3"/>
      <c r="F490" s="3" t="s">
        <v>889</v>
      </c>
      <c r="G490" s="3"/>
      <c r="H490" s="3"/>
      <c r="I490" s="3"/>
      <c r="J490" s="3" t="s">
        <v>890</v>
      </c>
      <c r="K490" s="29"/>
      <c r="L490" s="3"/>
      <c r="M490" s="31" t="s">
        <v>891</v>
      </c>
      <c r="N490" s="31" t="s">
        <v>891</v>
      </c>
      <c r="O490" s="3"/>
      <c r="Q490" s="31" t="s">
        <v>892</v>
      </c>
      <c r="R490" s="3"/>
      <c r="U490" s="142" t="s">
        <v>893</v>
      </c>
      <c r="V490" s="3"/>
      <c r="W490" s="33" t="s">
        <v>3</v>
      </c>
      <c r="X490" s="33" t="s">
        <v>3</v>
      </c>
      <c r="Y490" s="33"/>
      <c r="Z490" s="33"/>
    </row>
    <row r="491" spans="1:26" ht="15" customHeight="1">
      <c r="A491" s="19"/>
      <c r="C491" s="24">
        <v>953296</v>
      </c>
      <c r="F491" s="24">
        <f>SUM(F3:F488)</f>
        <v>927563</v>
      </c>
      <c r="J491" s="24">
        <f>SUM(J3:J488)</f>
        <v>-25733</v>
      </c>
      <c r="M491" s="17">
        <f>SUM(M3:M483)</f>
        <v>1617850.75</v>
      </c>
      <c r="N491" s="17">
        <f>SUM(N3:N483)</f>
        <v>1537282.6499999997</v>
      </c>
      <c r="Q491" s="17">
        <f>SUM(Q3:Q488)</f>
        <v>8584619.4700000025</v>
      </c>
      <c r="U491" s="143">
        <f>N491-M491</f>
        <v>-80568.100000000326</v>
      </c>
      <c r="V491" s="4">
        <f>IF(M491=0,0,N491/M491-1)</f>
        <v>-4.9799463887506557E-2</v>
      </c>
      <c r="W491" s="28">
        <v>26035051.659999982</v>
      </c>
      <c r="X491" s="28">
        <f>SUM(X3:X488)</f>
        <v>25845149.879999995</v>
      </c>
      <c r="Y491" s="29">
        <f>X491/W491-1</f>
        <v>-7.2940811671885486E-3</v>
      </c>
      <c r="Z491" s="29"/>
    </row>
    <row r="493" spans="1:26" ht="15" customHeight="1">
      <c r="F493" s="18">
        <f>F491-C491</f>
        <v>-25733</v>
      </c>
      <c r="N493" s="31" t="s">
        <v>894</v>
      </c>
      <c r="Q493" s="25">
        <f>N491/Q491</f>
        <v>0.17907405859656575</v>
      </c>
      <c r="W493" s="3" t="s">
        <v>895</v>
      </c>
      <c r="X493" s="3" t="s">
        <v>895</v>
      </c>
    </row>
    <row r="494" spans="1:26" ht="15" customHeight="1">
      <c r="F494" s="4">
        <f>F491/C491-1</f>
        <v>-2.6993714439166872E-2</v>
      </c>
      <c r="W494" s="30">
        <f>M491/W491</f>
        <v>6.2141253688605166E-2</v>
      </c>
      <c r="X494" s="30">
        <f>N491/X491</f>
        <v>5.9480508224470006E-2</v>
      </c>
    </row>
    <row r="497" spans="22:24" ht="15" customHeight="1">
      <c r="W497" s="33"/>
      <c r="X497" s="33"/>
    </row>
    <row r="498" spans="22:24" ht="15" customHeight="1">
      <c r="V498" s="3"/>
      <c r="W498" s="28"/>
      <c r="X498" s="28"/>
    </row>
    <row r="499" spans="22:24" ht="15" customHeight="1">
      <c r="V499" s="3"/>
    </row>
    <row r="500" spans="22:24" ht="15" customHeight="1">
      <c r="V500" s="3"/>
    </row>
    <row r="504" spans="22:24" ht="15" customHeight="1">
      <c r="W504" s="3"/>
      <c r="X504" s="3"/>
    </row>
  </sheetData>
  <autoFilter ref="A2:AA2" xr:uid="{00000000-0001-0000-0000-000000000000}">
    <sortState xmlns:xlrd2="http://schemas.microsoft.com/office/spreadsheetml/2017/richdata2" ref="A3:Z474">
      <sortCondition ref="J2"/>
    </sortState>
  </autoFilter>
  <sortState xmlns:xlrd2="http://schemas.microsoft.com/office/spreadsheetml/2017/richdata2" ref="J3:K213">
    <sortCondition descending="1" ref="J3:J213"/>
  </sortState>
  <mergeCells count="6">
    <mergeCell ref="W1:X1"/>
    <mergeCell ref="U1:V1"/>
    <mergeCell ref="B1:C1"/>
    <mergeCell ref="J1:K1"/>
    <mergeCell ref="M1:N1"/>
    <mergeCell ref="E1:F1"/>
  </mergeCells>
  <phoneticPr fontId="3" type="noConversion"/>
  <conditionalFormatting sqref="D165 H165:I165 L165 O165:P165 R165:T165 J490:J494 J498:J1048576 J2:J488">
    <cfRule type="cellIs" dxfId="43" priority="23" operator="greaterThan">
      <formula>500</formula>
    </cfRule>
  </conditionalFormatting>
  <conditionalFormatting sqref="J3:J488">
    <cfRule type="cellIs" dxfId="42" priority="29" operator="lessThan">
      <formula>-100</formula>
    </cfRule>
  </conditionalFormatting>
  <conditionalFormatting sqref="J490">
    <cfRule type="cellIs" dxfId="41" priority="2" operator="lessThan">
      <formula>-100</formula>
    </cfRule>
  </conditionalFormatting>
  <conditionalFormatting sqref="K3:K486 K490:K1048576">
    <cfRule type="cellIs" dxfId="40" priority="3" operator="lessThan">
      <formula>-0.2</formula>
    </cfRule>
  </conditionalFormatting>
  <conditionalFormatting sqref="K3:K486">
    <cfRule type="cellIs" dxfId="39" priority="15" operator="lessThan">
      <formula>-10%</formula>
    </cfRule>
    <cfRule type="cellIs" dxfId="38" priority="46" operator="greaterThan">
      <formula>0.2</formula>
    </cfRule>
  </conditionalFormatting>
  <conditionalFormatting sqref="K490">
    <cfRule type="cellIs" dxfId="37" priority="5" operator="greaterThan">
      <formula>0.2</formula>
    </cfRule>
  </conditionalFormatting>
  <conditionalFormatting sqref="V491 V3:V488">
    <cfRule type="cellIs" dxfId="36" priority="14" operator="greaterThan">
      <formula>0.5</formula>
    </cfRule>
  </conditionalFormatting>
  <conditionalFormatting sqref="Y3:Z20 Z21:Z439 Y21:Y488">
    <cfRule type="cellIs" dxfId="35" priority="9" operator="lessThan">
      <formula>-10%</formula>
    </cfRule>
    <cfRule type="cellIs" dxfId="34" priority="10" operator="lessThan">
      <formula>-0.2</formula>
    </cfRule>
    <cfRule type="cellIs" dxfId="33" priority="11" operator="greaterThan">
      <formula>0.2</formula>
    </cfRule>
  </conditionalFormatting>
  <conditionalFormatting sqref="Y491:Z491">
    <cfRule type="cellIs" dxfId="32" priority="6" operator="lessThan">
      <formula>-10%</formula>
    </cfRule>
    <cfRule type="cellIs" dxfId="31" priority="7" operator="lessThan">
      <formula>-0.2</formula>
    </cfRule>
    <cfRule type="cellIs" dxfId="30" priority="8" operator="greaterThan">
      <formula>0.2</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DC353-A3BB-4027-BC75-3196C26C68C7}">
  <sheetPr codeName="Sheet1"/>
  <dimension ref="A1:AD246"/>
  <sheetViews>
    <sheetView zoomScaleNormal="100" workbookViewId="0">
      <pane xSplit="2" ySplit="2" topLeftCell="C160" activePane="bottomRight" state="frozen"/>
      <selection pane="topRight"/>
      <selection pane="bottomLeft"/>
      <selection pane="bottomRight" activeCell="Q181" sqref="Q181"/>
    </sheetView>
  </sheetViews>
  <sheetFormatPr defaultRowHeight="15" customHeight="1"/>
  <cols>
    <col min="1" max="1" width="68.7109375" customWidth="1"/>
    <col min="2" max="2" width="16" customWidth="1"/>
    <col min="3" max="3" width="15.140625" customWidth="1"/>
    <col min="4" max="4" width="1" customWidth="1"/>
    <col min="5" max="5" width="13.85546875" bestFit="1" customWidth="1"/>
    <col min="6" max="6" width="15" customWidth="1"/>
    <col min="7" max="7" width="13.42578125" customWidth="1"/>
    <col min="8" max="9" width="1" customWidth="1"/>
    <col min="10" max="10" width="12.5703125" customWidth="1"/>
    <col min="12" max="12" width="1" customWidth="1"/>
    <col min="13" max="13" width="13.28515625" style="5" bestFit="1" customWidth="1"/>
    <col min="14" max="14" width="11.5703125" style="5" customWidth="1"/>
    <col min="15" max="16" width="1" customWidth="1"/>
    <col min="17" max="17" width="13.85546875" style="118" customWidth="1"/>
    <col min="18" max="19" width="0.85546875" customWidth="1"/>
    <col min="20" max="20" width="11.85546875" style="100" bestFit="1" customWidth="1"/>
    <col min="22" max="22" width="0.85546875" customWidth="1"/>
    <col min="23" max="24" width="7" hidden="1" customWidth="1"/>
    <col min="25" max="25" width="13.7109375" hidden="1" customWidth="1"/>
    <col min="26" max="26" width="7.42578125" style="13" hidden="1" customWidth="1"/>
    <col min="27" max="27" width="14.7109375" customWidth="1"/>
    <col min="28" max="28" width="14.140625" customWidth="1"/>
    <col min="30" max="30" width="4.28515625" customWidth="1"/>
  </cols>
  <sheetData>
    <row r="1" spans="1:30">
      <c r="B1" s="173">
        <v>46143</v>
      </c>
      <c r="C1" s="174"/>
      <c r="E1" s="173">
        <v>46174</v>
      </c>
      <c r="F1" s="174"/>
      <c r="J1" s="175"/>
      <c r="K1" s="175"/>
      <c r="M1" s="177" t="s">
        <v>0</v>
      </c>
      <c r="N1" s="177"/>
      <c r="O1" s="1"/>
      <c r="Q1" s="117" t="s">
        <v>1</v>
      </c>
      <c r="R1" s="1"/>
      <c r="T1" s="174" t="s">
        <v>2</v>
      </c>
      <c r="U1" s="174"/>
      <c r="W1" s="175" t="s">
        <v>896</v>
      </c>
      <c r="X1" s="175"/>
      <c r="Y1" s="175"/>
      <c r="Z1" s="175"/>
      <c r="AA1" s="174" t="s">
        <v>3</v>
      </c>
      <c r="AB1" s="174"/>
    </row>
    <row r="2" spans="1:30">
      <c r="A2" t="s">
        <v>4</v>
      </c>
      <c r="B2" s="3" t="s">
        <v>5</v>
      </c>
      <c r="C2" s="3" t="s">
        <v>6</v>
      </c>
      <c r="D2" s="3"/>
      <c r="E2" s="3" t="s">
        <v>5</v>
      </c>
      <c r="F2" s="3" t="s">
        <v>6</v>
      </c>
      <c r="G2" s="3" t="s">
        <v>7</v>
      </c>
      <c r="H2" s="3"/>
      <c r="I2" s="3"/>
      <c r="J2" s="3" t="s">
        <v>1955</v>
      </c>
      <c r="K2" s="3" t="s">
        <v>8</v>
      </c>
      <c r="L2" s="3"/>
      <c r="M2" s="3" t="s">
        <v>1750</v>
      </c>
      <c r="N2" s="3" t="s">
        <v>1751</v>
      </c>
      <c r="O2" s="3"/>
      <c r="P2" s="3"/>
      <c r="Q2" s="120" t="s">
        <v>1954</v>
      </c>
      <c r="R2" s="3"/>
      <c r="S2" s="3"/>
      <c r="T2" s="139" t="s">
        <v>11</v>
      </c>
      <c r="U2" s="3" t="s">
        <v>8</v>
      </c>
      <c r="V2" s="3"/>
      <c r="W2" s="3" t="s">
        <v>13</v>
      </c>
      <c r="X2" s="3" t="s">
        <v>12</v>
      </c>
      <c r="Y2" s="3" t="s">
        <v>897</v>
      </c>
      <c r="Z2" s="140" t="s">
        <v>898</v>
      </c>
      <c r="AA2" s="3" t="s">
        <v>1750</v>
      </c>
      <c r="AB2" s="3" t="s">
        <v>1751</v>
      </c>
      <c r="AC2" s="3" t="s">
        <v>8</v>
      </c>
    </row>
    <row r="3" spans="1:30" ht="13.5" customHeight="1">
      <c r="A3" s="116" t="s">
        <v>1237</v>
      </c>
      <c r="B3" s="35" t="s">
        <v>1238</v>
      </c>
      <c r="C3" s="18">
        <v>1004</v>
      </c>
      <c r="E3" s="35" t="s">
        <v>1238</v>
      </c>
      <c r="F3" s="18">
        <v>782</v>
      </c>
      <c r="G3" t="b">
        <f t="shared" ref="G3:G34" si="0">IF(B3=E3,TRUE,FALSE)</f>
        <v>1</v>
      </c>
      <c r="J3" s="24">
        <f>F3-C3</f>
        <v>-222</v>
      </c>
      <c r="K3" s="4">
        <f t="shared" ref="K3:K66" si="1">F3/C3-1</f>
        <v>-0.2211155378486056</v>
      </c>
      <c r="M3" s="5">
        <v>1304.21</v>
      </c>
      <c r="N3" s="5">
        <v>1412.1</v>
      </c>
      <c r="Q3" s="118">
        <v>5439.88</v>
      </c>
      <c r="T3" s="98">
        <f t="shared" ref="T3:T34" si="2">N3-M3</f>
        <v>107.88999999999987</v>
      </c>
      <c r="U3" s="4">
        <f t="shared" ref="U3:U34" si="3">IF(M3=0,0,N3/M3-1)</f>
        <v>8.2724407879099182E-2</v>
      </c>
      <c r="AA3" s="113">
        <v>18873.55</v>
      </c>
      <c r="AB3" s="113">
        <v>14846.78</v>
      </c>
      <c r="AC3" s="4">
        <f>AB3/AA3-1</f>
        <v>-0.21335519814767223</v>
      </c>
    </row>
    <row r="4" spans="1:30" ht="13.9" customHeight="1">
      <c r="A4" t="s">
        <v>1239</v>
      </c>
      <c r="B4" t="s">
        <v>1240</v>
      </c>
      <c r="C4" s="18">
        <v>4738</v>
      </c>
      <c r="D4" s="5"/>
      <c r="E4" t="s">
        <v>1240</v>
      </c>
      <c r="F4" s="18">
        <v>3161</v>
      </c>
      <c r="G4" t="b">
        <f t="shared" si="0"/>
        <v>1</v>
      </c>
      <c r="H4" s="5"/>
      <c r="I4" s="5"/>
      <c r="J4" s="24">
        <f t="shared" ref="J4:J67" si="4">F4-C4</f>
        <v>-1577</v>
      </c>
      <c r="K4" s="4">
        <f t="shared" si="1"/>
        <v>-0.33284086112283662</v>
      </c>
      <c r="L4" s="5"/>
      <c r="M4" s="5">
        <v>6733.39</v>
      </c>
      <c r="N4" s="5">
        <v>4355.46</v>
      </c>
      <c r="O4" s="5"/>
      <c r="P4" s="5"/>
      <c r="Q4" s="119">
        <v>20474.71</v>
      </c>
      <c r="R4" s="5"/>
      <c r="S4" s="5"/>
      <c r="T4" s="98">
        <f t="shared" si="2"/>
        <v>-2377.9300000000003</v>
      </c>
      <c r="U4" s="4">
        <f t="shared" si="3"/>
        <v>-0.3531549486959763</v>
      </c>
      <c r="V4" s="5"/>
      <c r="W4" s="5"/>
      <c r="X4" s="5"/>
      <c r="Y4" s="5"/>
      <c r="Z4" s="14"/>
      <c r="AA4" s="113">
        <v>90536.46</v>
      </c>
      <c r="AB4" s="113">
        <v>69415.33</v>
      </c>
      <c r="AC4" s="4">
        <f t="shared" ref="AC4:AC67" si="5">AB4/AA4-1</f>
        <v>-0.23328866624562083</v>
      </c>
    </row>
    <row r="5" spans="1:30" ht="14.25" customHeight="1">
      <c r="A5" s="112" t="s">
        <v>1229</v>
      </c>
      <c r="B5" s="35" t="s">
        <v>1230</v>
      </c>
      <c r="C5">
        <v>1579</v>
      </c>
      <c r="E5" s="35" t="s">
        <v>1230</v>
      </c>
      <c r="F5">
        <v>1343</v>
      </c>
      <c r="G5" t="b">
        <f t="shared" si="0"/>
        <v>1</v>
      </c>
      <c r="J5" s="24">
        <f t="shared" si="4"/>
        <v>-236</v>
      </c>
      <c r="K5" s="4">
        <f t="shared" si="1"/>
        <v>-0.14946168461051301</v>
      </c>
      <c r="M5" s="5">
        <v>1891.15</v>
      </c>
      <c r="N5" s="5">
        <v>1432.48</v>
      </c>
      <c r="Q5" s="119">
        <v>6990.81</v>
      </c>
      <c r="T5" s="98">
        <f t="shared" si="2"/>
        <v>-458.67000000000007</v>
      </c>
      <c r="U5" s="4">
        <f t="shared" si="3"/>
        <v>-0.24253496549718423</v>
      </c>
      <c r="AA5" s="113">
        <v>23643.41</v>
      </c>
      <c r="AB5" s="113">
        <v>18838.62</v>
      </c>
      <c r="AC5" s="4">
        <f t="shared" si="5"/>
        <v>-0.20321899421445555</v>
      </c>
    </row>
    <row r="6" spans="1:30" ht="13.9" customHeight="1">
      <c r="A6" s="133" t="s">
        <v>1224</v>
      </c>
      <c r="B6" t="s">
        <v>1225</v>
      </c>
      <c r="C6" s="18">
        <v>1754</v>
      </c>
      <c r="E6" t="s">
        <v>1225</v>
      </c>
      <c r="F6" s="18">
        <v>4481</v>
      </c>
      <c r="G6" t="b">
        <f t="shared" si="0"/>
        <v>1</v>
      </c>
      <c r="J6" s="24">
        <f t="shared" si="4"/>
        <v>2727</v>
      </c>
      <c r="K6" s="4">
        <f t="shared" si="1"/>
        <v>1.5547320410490308</v>
      </c>
      <c r="M6" s="5">
        <v>6403.7400000000007</v>
      </c>
      <c r="N6" s="5">
        <v>9880.9799999999977</v>
      </c>
      <c r="Q6" s="119">
        <v>32317.539999999997</v>
      </c>
      <c r="T6" s="98">
        <f t="shared" si="2"/>
        <v>3477.2399999999971</v>
      </c>
      <c r="U6" s="4">
        <f t="shared" si="3"/>
        <v>0.54300143353727615</v>
      </c>
      <c r="W6" t="s">
        <v>1226</v>
      </c>
      <c r="Y6" t="s">
        <v>1227</v>
      </c>
      <c r="Z6" s="13" t="s">
        <v>1228</v>
      </c>
      <c r="AA6" s="113">
        <v>47272.420000000006</v>
      </c>
      <c r="AB6" s="113">
        <v>112144.27000000002</v>
      </c>
      <c r="AC6" s="4">
        <f t="shared" si="5"/>
        <v>1.3722980545527395</v>
      </c>
    </row>
    <row r="7" spans="1:30" ht="13.9" customHeight="1">
      <c r="A7" s="133" t="s">
        <v>1203</v>
      </c>
      <c r="B7" t="s">
        <v>1204</v>
      </c>
      <c r="C7" s="18">
        <v>5006</v>
      </c>
      <c r="E7" t="s">
        <v>1204</v>
      </c>
      <c r="F7" s="18">
        <v>5794</v>
      </c>
      <c r="G7" t="b">
        <f t="shared" si="0"/>
        <v>1</v>
      </c>
      <c r="J7" s="24">
        <f t="shared" si="4"/>
        <v>788</v>
      </c>
      <c r="K7" s="4">
        <f t="shared" si="1"/>
        <v>0.15741110667199365</v>
      </c>
      <c r="M7" s="5">
        <v>14899.390000000001</v>
      </c>
      <c r="N7" s="5">
        <v>12433.97</v>
      </c>
      <c r="Q7" s="119">
        <v>42106.340000000011</v>
      </c>
      <c r="T7" s="98">
        <f t="shared" si="2"/>
        <v>-2465.4200000000019</v>
      </c>
      <c r="U7" s="4">
        <f t="shared" si="3"/>
        <v>-0.16547120385465452</v>
      </c>
      <c r="AA7" s="113">
        <v>149695.4</v>
      </c>
      <c r="AB7" s="113">
        <v>164913.86000000002</v>
      </c>
      <c r="AC7" s="4">
        <f t="shared" si="5"/>
        <v>0.10166284334722397</v>
      </c>
    </row>
    <row r="8" spans="1:30" ht="13.5" customHeight="1">
      <c r="A8" t="s">
        <v>956</v>
      </c>
      <c r="B8" t="s">
        <v>957</v>
      </c>
      <c r="C8" s="18">
        <v>0</v>
      </c>
      <c r="E8" t="s">
        <v>957</v>
      </c>
      <c r="F8" s="18">
        <v>0</v>
      </c>
      <c r="G8" t="b">
        <f t="shared" si="0"/>
        <v>1</v>
      </c>
      <c r="J8" s="24">
        <f t="shared" si="4"/>
        <v>0</v>
      </c>
      <c r="K8" s="4" t="e">
        <f t="shared" si="1"/>
        <v>#DIV/0!</v>
      </c>
      <c r="M8" s="5">
        <v>0</v>
      </c>
      <c r="N8" s="5">
        <v>0</v>
      </c>
      <c r="Q8" s="119">
        <v>0</v>
      </c>
      <c r="T8" s="98">
        <f t="shared" si="2"/>
        <v>0</v>
      </c>
      <c r="U8" s="4">
        <f t="shared" si="3"/>
        <v>0</v>
      </c>
      <c r="X8" t="s">
        <v>958</v>
      </c>
      <c r="Y8" t="s">
        <v>959</v>
      </c>
      <c r="Z8" s="13" t="s">
        <v>960</v>
      </c>
      <c r="AA8" s="113">
        <v>0</v>
      </c>
      <c r="AB8" s="113">
        <v>0</v>
      </c>
      <c r="AC8" s="4" t="e">
        <f t="shared" si="5"/>
        <v>#DIV/0!</v>
      </c>
    </row>
    <row r="9" spans="1:30" ht="12.75" customHeight="1">
      <c r="A9" t="s">
        <v>1213</v>
      </c>
      <c r="B9" s="26" t="s">
        <v>1214</v>
      </c>
      <c r="C9" s="18">
        <v>1065</v>
      </c>
      <c r="E9" t="s">
        <v>1214</v>
      </c>
      <c r="F9" s="18">
        <v>1042</v>
      </c>
      <c r="G9" t="b">
        <f t="shared" si="0"/>
        <v>1</v>
      </c>
      <c r="J9" s="24">
        <f t="shared" si="4"/>
        <v>-23</v>
      </c>
      <c r="K9" s="4">
        <f t="shared" si="1"/>
        <v>-2.1596244131455444E-2</v>
      </c>
      <c r="M9" s="5">
        <v>1114.3499999999999</v>
      </c>
      <c r="N9" s="5">
        <v>1103.96</v>
      </c>
      <c r="Q9" s="119">
        <v>5200.21</v>
      </c>
      <c r="T9" s="98">
        <f t="shared" si="2"/>
        <v>-10.389999999999873</v>
      </c>
      <c r="U9" s="4">
        <f t="shared" si="3"/>
        <v>-9.3238210616053419E-3</v>
      </c>
      <c r="AA9" s="113">
        <v>15103.9</v>
      </c>
      <c r="AB9" s="113">
        <v>14267.17</v>
      </c>
      <c r="AC9" s="4">
        <f t="shared" si="5"/>
        <v>-5.5398274617813881E-2</v>
      </c>
    </row>
    <row r="10" spans="1:30" ht="13.9" customHeight="1">
      <c r="A10" t="s">
        <v>935</v>
      </c>
      <c r="B10" t="s">
        <v>936</v>
      </c>
      <c r="C10" s="18">
        <v>6613</v>
      </c>
      <c r="E10" t="s">
        <v>936</v>
      </c>
      <c r="F10" s="18">
        <v>5058</v>
      </c>
      <c r="G10" t="b">
        <f t="shared" si="0"/>
        <v>1</v>
      </c>
      <c r="J10" s="24">
        <f t="shared" si="4"/>
        <v>-1555</v>
      </c>
      <c r="K10" s="4">
        <f t="shared" si="1"/>
        <v>-0.23514290034779983</v>
      </c>
      <c r="M10" s="5">
        <v>9622.99</v>
      </c>
      <c r="N10" s="5">
        <v>6902.54</v>
      </c>
      <c r="Q10" s="119">
        <v>27362.03</v>
      </c>
      <c r="T10" s="98">
        <f t="shared" si="2"/>
        <v>-2720.45</v>
      </c>
      <c r="U10" s="4">
        <f t="shared" si="3"/>
        <v>-0.28270319308239955</v>
      </c>
      <c r="AA10" s="113">
        <v>141093.26</v>
      </c>
      <c r="AB10" s="113">
        <v>115068.55</v>
      </c>
      <c r="AC10" s="4">
        <f t="shared" si="5"/>
        <v>-0.18445041244351434</v>
      </c>
    </row>
    <row r="11" spans="1:30" ht="13.9" customHeight="1">
      <c r="A11" t="s">
        <v>1207</v>
      </c>
      <c r="B11" t="s">
        <v>1208</v>
      </c>
      <c r="C11" s="18">
        <v>1795</v>
      </c>
      <c r="E11" t="s">
        <v>1208</v>
      </c>
      <c r="F11" s="18">
        <v>1799</v>
      </c>
      <c r="G11" t="b">
        <f t="shared" si="0"/>
        <v>1</v>
      </c>
      <c r="J11" s="24">
        <f t="shared" si="4"/>
        <v>4</v>
      </c>
      <c r="K11" s="4">
        <f t="shared" si="1"/>
        <v>2.2284122562674646E-3</v>
      </c>
      <c r="M11" s="5">
        <v>763.3</v>
      </c>
      <c r="N11" s="5">
        <v>506.59</v>
      </c>
      <c r="Q11" s="119">
        <v>3324.51</v>
      </c>
      <c r="T11" s="98">
        <f t="shared" si="2"/>
        <v>-256.70999999999998</v>
      </c>
      <c r="U11" s="4">
        <f t="shared" si="3"/>
        <v>-0.33631599633171749</v>
      </c>
      <c r="AA11" s="113">
        <v>35856.86</v>
      </c>
      <c r="AB11" s="113">
        <v>33696.239999999998</v>
      </c>
      <c r="AC11" s="4">
        <f t="shared" si="5"/>
        <v>-6.0256809993959437E-2</v>
      </c>
    </row>
    <row r="12" spans="1:30" ht="13.9" customHeight="1">
      <c r="A12" s="133" t="s">
        <v>1103</v>
      </c>
      <c r="B12" t="s">
        <v>1104</v>
      </c>
      <c r="C12" s="169">
        <v>4396</v>
      </c>
      <c r="E12" t="s">
        <v>1104</v>
      </c>
      <c r="F12" s="169">
        <v>4791</v>
      </c>
      <c r="G12" t="b">
        <f t="shared" si="0"/>
        <v>1</v>
      </c>
      <c r="J12" s="24">
        <f t="shared" si="4"/>
        <v>395</v>
      </c>
      <c r="K12" s="4">
        <f t="shared" si="1"/>
        <v>8.9854413102820718E-2</v>
      </c>
      <c r="M12" s="5">
        <v>9416.5300000000007</v>
      </c>
      <c r="N12" s="5">
        <v>10383.999999999998</v>
      </c>
      <c r="Q12" s="119">
        <v>37035.64</v>
      </c>
      <c r="T12" s="98">
        <f t="shared" si="2"/>
        <v>967.46999999999753</v>
      </c>
      <c r="U12" s="4">
        <f t="shared" si="3"/>
        <v>0.1027416681091653</v>
      </c>
      <c r="W12" t="s">
        <v>1105</v>
      </c>
      <c r="AA12" s="113">
        <v>109574.40999999999</v>
      </c>
      <c r="AB12" s="113">
        <v>114909.3</v>
      </c>
      <c r="AC12" s="4">
        <f t="shared" si="5"/>
        <v>4.8687371440101934E-2</v>
      </c>
    </row>
    <row r="13" spans="1:30" ht="13.9" customHeight="1">
      <c r="A13" t="s">
        <v>1201</v>
      </c>
      <c r="B13" t="s">
        <v>1202</v>
      </c>
      <c r="C13" s="18">
        <v>3011</v>
      </c>
      <c r="E13" t="s">
        <v>1202</v>
      </c>
      <c r="F13" s="18">
        <v>2473</v>
      </c>
      <c r="G13" t="b">
        <f t="shared" si="0"/>
        <v>1</v>
      </c>
      <c r="J13" s="24">
        <f t="shared" si="4"/>
        <v>-538</v>
      </c>
      <c r="K13" s="4">
        <f t="shared" si="1"/>
        <v>-0.17867818000664226</v>
      </c>
      <c r="M13" s="5">
        <v>3645.32</v>
      </c>
      <c r="N13" s="5">
        <v>2913.38</v>
      </c>
      <c r="Q13" s="119">
        <v>15132.99</v>
      </c>
      <c r="T13" s="98">
        <f t="shared" si="2"/>
        <v>-731.94</v>
      </c>
      <c r="U13" s="4">
        <f t="shared" si="3"/>
        <v>-0.20078895679940312</v>
      </c>
      <c r="AA13" s="113">
        <v>59207.98</v>
      </c>
      <c r="AB13" s="113">
        <v>53288.09</v>
      </c>
      <c r="AC13" s="4">
        <f t="shared" si="5"/>
        <v>-9.998466422938268E-2</v>
      </c>
    </row>
    <row r="14" spans="1:30" ht="13.9" customHeight="1">
      <c r="A14" t="s">
        <v>1209</v>
      </c>
      <c r="B14" t="s">
        <v>1210</v>
      </c>
      <c r="C14" s="18">
        <v>966</v>
      </c>
      <c r="E14" t="s">
        <v>1210</v>
      </c>
      <c r="F14" s="18">
        <v>1040</v>
      </c>
      <c r="G14" t="b">
        <f t="shared" si="0"/>
        <v>1</v>
      </c>
      <c r="J14" s="24">
        <f t="shared" si="4"/>
        <v>74</v>
      </c>
      <c r="K14" s="4">
        <f t="shared" si="1"/>
        <v>7.660455486542439E-2</v>
      </c>
      <c r="M14" s="5">
        <v>1073.03</v>
      </c>
      <c r="N14" s="5">
        <v>930.72</v>
      </c>
      <c r="Q14" s="119">
        <v>5234.79</v>
      </c>
      <c r="T14" s="98">
        <f t="shared" si="2"/>
        <v>-142.30999999999995</v>
      </c>
      <c r="U14" s="4">
        <f t="shared" si="3"/>
        <v>-0.13262443734098761</v>
      </c>
      <c r="AA14" s="113">
        <v>16390.93</v>
      </c>
      <c r="AB14" s="113">
        <v>16814.91</v>
      </c>
      <c r="AC14" s="4">
        <f t="shared" si="5"/>
        <v>2.586674459594418E-2</v>
      </c>
      <c r="AD14" s="5"/>
    </row>
    <row r="15" spans="1:30" ht="13.9" customHeight="1">
      <c r="A15" s="133" t="s">
        <v>1165</v>
      </c>
      <c r="B15" t="s">
        <v>1166</v>
      </c>
      <c r="C15" s="18">
        <v>4543</v>
      </c>
      <c r="E15" t="s">
        <v>1166</v>
      </c>
      <c r="F15" s="18">
        <v>4899</v>
      </c>
      <c r="G15" t="b">
        <f t="shared" si="0"/>
        <v>1</v>
      </c>
      <c r="J15" s="24">
        <f t="shared" si="4"/>
        <v>356</v>
      </c>
      <c r="K15" s="4">
        <f t="shared" si="1"/>
        <v>7.8362315650451153E-2</v>
      </c>
      <c r="M15" s="5">
        <v>8427.6600000000017</v>
      </c>
      <c r="N15" s="5">
        <v>6434.4700000000012</v>
      </c>
      <c r="Q15" s="119">
        <v>9289.1699999999983</v>
      </c>
      <c r="T15" s="98">
        <f t="shared" si="2"/>
        <v>-1993.1900000000005</v>
      </c>
      <c r="U15" s="4">
        <f t="shared" si="3"/>
        <v>-0.23650574418047243</v>
      </c>
      <c r="W15" t="s">
        <v>1167</v>
      </c>
      <c r="Y15" t="s">
        <v>1168</v>
      </c>
      <c r="AA15" s="113">
        <v>99703.81</v>
      </c>
      <c r="AB15" s="113">
        <v>103086.24</v>
      </c>
      <c r="AC15" s="4">
        <f t="shared" si="5"/>
        <v>3.3924781811246918E-2</v>
      </c>
    </row>
    <row r="16" spans="1:30" ht="13.9" customHeight="1">
      <c r="A16" t="s">
        <v>919</v>
      </c>
      <c r="B16" t="s">
        <v>920</v>
      </c>
      <c r="C16" s="18">
        <v>481</v>
      </c>
      <c r="E16" t="s">
        <v>920</v>
      </c>
      <c r="F16" s="18">
        <v>514</v>
      </c>
      <c r="G16" t="b">
        <f t="shared" si="0"/>
        <v>1</v>
      </c>
      <c r="J16" s="24">
        <f t="shared" si="4"/>
        <v>33</v>
      </c>
      <c r="K16" s="4">
        <f t="shared" si="1"/>
        <v>6.8607068607068555E-2</v>
      </c>
      <c r="M16" s="5">
        <v>0</v>
      </c>
      <c r="N16" s="5">
        <v>0</v>
      </c>
      <c r="Q16" s="119">
        <v>0</v>
      </c>
      <c r="T16" s="98">
        <f t="shared" si="2"/>
        <v>0</v>
      </c>
      <c r="U16" s="4">
        <f t="shared" si="3"/>
        <v>0</v>
      </c>
      <c r="AA16" s="113">
        <v>7210.5</v>
      </c>
      <c r="AB16" s="113">
        <v>7704.29</v>
      </c>
      <c r="AC16" s="4">
        <f t="shared" si="5"/>
        <v>6.8482074752097555E-2</v>
      </c>
    </row>
    <row r="17" spans="1:30" ht="13.9" customHeight="1">
      <c r="A17" s="23" t="s">
        <v>915</v>
      </c>
      <c r="B17" s="22" t="s">
        <v>916</v>
      </c>
      <c r="C17" s="18">
        <v>2272</v>
      </c>
      <c r="D17" s="5"/>
      <c r="E17" s="22" t="s">
        <v>916</v>
      </c>
      <c r="F17" s="18">
        <v>1760</v>
      </c>
      <c r="G17" t="b">
        <f t="shared" si="0"/>
        <v>1</v>
      </c>
      <c r="H17" s="5"/>
      <c r="I17" s="5"/>
      <c r="J17" s="24">
        <f t="shared" si="4"/>
        <v>-512</v>
      </c>
      <c r="K17" s="4">
        <f t="shared" si="1"/>
        <v>-0.22535211267605637</v>
      </c>
      <c r="L17" s="5"/>
      <c r="M17" s="5">
        <v>4402.45</v>
      </c>
      <c r="N17" s="5">
        <v>2784.21</v>
      </c>
      <c r="O17" s="5"/>
      <c r="P17" s="5"/>
      <c r="Q17" s="119">
        <v>15709.76</v>
      </c>
      <c r="R17" s="5"/>
      <c r="S17" s="5"/>
      <c r="T17" s="98">
        <f t="shared" si="2"/>
        <v>-1618.2399999999998</v>
      </c>
      <c r="U17" s="4">
        <f t="shared" si="3"/>
        <v>-0.36757714454451496</v>
      </c>
      <c r="V17" s="5"/>
      <c r="W17" s="5"/>
      <c r="X17" s="5"/>
      <c r="Y17" s="5"/>
      <c r="Z17" s="14"/>
      <c r="AA17" s="113">
        <v>58427.34</v>
      </c>
      <c r="AB17" s="113">
        <v>47581.49</v>
      </c>
      <c r="AC17" s="4">
        <f t="shared" si="5"/>
        <v>-0.18562970691460534</v>
      </c>
    </row>
    <row r="18" spans="1:30" ht="13.9" customHeight="1">
      <c r="A18" t="s">
        <v>1211</v>
      </c>
      <c r="B18" t="s">
        <v>1212</v>
      </c>
      <c r="C18" s="18">
        <v>1468</v>
      </c>
      <c r="E18" t="s">
        <v>1212</v>
      </c>
      <c r="F18" s="18">
        <v>920</v>
      </c>
      <c r="G18" t="b">
        <f t="shared" si="0"/>
        <v>1</v>
      </c>
      <c r="J18" s="24">
        <f t="shared" si="4"/>
        <v>-548</v>
      </c>
      <c r="K18" s="4">
        <f t="shared" si="1"/>
        <v>-0.3732970027247956</v>
      </c>
      <c r="M18" s="5">
        <v>1943.89</v>
      </c>
      <c r="N18" s="5">
        <v>1612.89</v>
      </c>
      <c r="Q18" s="119">
        <v>5782.57</v>
      </c>
      <c r="T18" s="98">
        <f t="shared" si="2"/>
        <v>-331</v>
      </c>
      <c r="U18" s="4">
        <f t="shared" si="3"/>
        <v>-0.17027712473442425</v>
      </c>
      <c r="AA18" s="113">
        <v>22121.29</v>
      </c>
      <c r="AB18" s="113">
        <v>16530.29</v>
      </c>
      <c r="AC18" s="4">
        <f t="shared" si="5"/>
        <v>-0.25274294582277979</v>
      </c>
    </row>
    <row r="19" spans="1:30" ht="13.9" customHeight="1">
      <c r="A19" s="133" t="s">
        <v>1231</v>
      </c>
      <c r="B19" t="s">
        <v>1232</v>
      </c>
      <c r="C19" s="169">
        <v>4608</v>
      </c>
      <c r="E19" t="s">
        <v>1232</v>
      </c>
      <c r="F19" s="169">
        <v>4987</v>
      </c>
      <c r="G19" t="b">
        <f t="shared" si="0"/>
        <v>1</v>
      </c>
      <c r="J19" s="24">
        <f t="shared" si="4"/>
        <v>379</v>
      </c>
      <c r="K19" s="4">
        <f t="shared" si="1"/>
        <v>8.224826388888884E-2</v>
      </c>
      <c r="M19" s="5">
        <v>17069.18</v>
      </c>
      <c r="N19" s="5">
        <v>12119.430000000002</v>
      </c>
      <c r="Q19" s="119">
        <v>35310.939999999995</v>
      </c>
      <c r="T19" s="98">
        <f t="shared" si="2"/>
        <v>-4949.7499999999982</v>
      </c>
      <c r="U19" s="4">
        <f t="shared" si="3"/>
        <v>-0.28998170972477866</v>
      </c>
      <c r="AA19" s="113">
        <v>123782.98</v>
      </c>
      <c r="AB19" s="113">
        <v>128422.6</v>
      </c>
      <c r="AC19" s="4">
        <f t="shared" si="5"/>
        <v>3.7481889674978008E-2</v>
      </c>
    </row>
    <row r="20" spans="1:30" ht="13.9" customHeight="1">
      <c r="A20" t="s">
        <v>1233</v>
      </c>
      <c r="B20" t="s">
        <v>1234</v>
      </c>
      <c r="C20" s="18">
        <v>3065</v>
      </c>
      <c r="D20" s="5"/>
      <c r="E20" t="s">
        <v>1234</v>
      </c>
      <c r="F20" s="18">
        <v>3712</v>
      </c>
      <c r="G20" t="b">
        <f t="shared" si="0"/>
        <v>1</v>
      </c>
      <c r="H20" s="5"/>
      <c r="I20" s="5"/>
      <c r="J20" s="24">
        <f t="shared" si="4"/>
        <v>647</v>
      </c>
      <c r="K20" s="4">
        <f t="shared" si="1"/>
        <v>0.21109298531810761</v>
      </c>
      <c r="L20" s="5"/>
      <c r="M20" s="5">
        <v>2654.76</v>
      </c>
      <c r="N20" s="5">
        <v>2008.76</v>
      </c>
      <c r="O20" s="5"/>
      <c r="P20" s="5"/>
      <c r="Q20" s="119">
        <v>13102.89</v>
      </c>
      <c r="R20" s="5"/>
      <c r="S20" s="5"/>
      <c r="T20" s="98">
        <f t="shared" si="2"/>
        <v>-646.00000000000023</v>
      </c>
      <c r="U20" s="4">
        <f t="shared" si="3"/>
        <v>-0.24333649746116415</v>
      </c>
      <c r="V20" s="5"/>
      <c r="W20" s="5"/>
      <c r="X20" s="5"/>
      <c r="Y20" s="5"/>
      <c r="Z20" s="14"/>
      <c r="AA20" s="113">
        <v>76536.62</v>
      </c>
      <c r="AB20" s="113">
        <v>86755.03</v>
      </c>
      <c r="AC20" s="4">
        <f t="shared" si="5"/>
        <v>0.13351007661430581</v>
      </c>
    </row>
    <row r="21" spans="1:30" ht="13.9" customHeight="1">
      <c r="A21" t="s">
        <v>969</v>
      </c>
      <c r="B21" t="s">
        <v>970</v>
      </c>
      <c r="C21" s="18">
        <v>695</v>
      </c>
      <c r="E21" t="s">
        <v>970</v>
      </c>
      <c r="F21" s="18">
        <v>681</v>
      </c>
      <c r="G21" t="b">
        <f t="shared" si="0"/>
        <v>1</v>
      </c>
      <c r="J21" s="24">
        <f t="shared" si="4"/>
        <v>-14</v>
      </c>
      <c r="K21" s="4">
        <f t="shared" si="1"/>
        <v>-2.0143884892086295E-2</v>
      </c>
      <c r="M21" s="5">
        <v>984.76000000000022</v>
      </c>
      <c r="N21" s="5">
        <v>499.64000000000004</v>
      </c>
      <c r="Q21" s="119">
        <v>1988.0300000000002</v>
      </c>
      <c r="T21" s="98">
        <f t="shared" si="2"/>
        <v>-485.12000000000018</v>
      </c>
      <c r="U21" s="4">
        <f t="shared" si="3"/>
        <v>-0.49262764531459446</v>
      </c>
      <c r="AA21" s="113">
        <v>20664.55</v>
      </c>
      <c r="AB21" s="113">
        <v>19084.16</v>
      </c>
      <c r="AC21" s="4">
        <f t="shared" si="5"/>
        <v>-7.647831673082639E-2</v>
      </c>
    </row>
    <row r="22" spans="1:30" ht="13.9" customHeight="1">
      <c r="A22" t="s">
        <v>1153</v>
      </c>
      <c r="B22" t="s">
        <v>1154</v>
      </c>
      <c r="C22" s="18">
        <v>850</v>
      </c>
      <c r="E22" t="s">
        <v>1154</v>
      </c>
      <c r="F22" s="18">
        <v>1587</v>
      </c>
      <c r="G22" t="b">
        <f t="shared" si="0"/>
        <v>1</v>
      </c>
      <c r="J22" s="24">
        <f t="shared" si="4"/>
        <v>737</v>
      </c>
      <c r="K22" s="4">
        <f t="shared" si="1"/>
        <v>0.86705882352941166</v>
      </c>
      <c r="M22" s="5">
        <v>363.65000000000003</v>
      </c>
      <c r="N22" s="5">
        <v>1808.4899999999998</v>
      </c>
      <c r="Q22" s="119">
        <v>9364.3499999999985</v>
      </c>
      <c r="T22" s="98">
        <f t="shared" si="2"/>
        <v>1444.8399999999997</v>
      </c>
      <c r="U22" s="4">
        <f t="shared" si="3"/>
        <v>3.9731610064622567</v>
      </c>
      <c r="AA22" s="113">
        <v>16723.509999999998</v>
      </c>
      <c r="AB22" s="113">
        <v>28306.73</v>
      </c>
      <c r="AC22" s="4">
        <f t="shared" si="5"/>
        <v>0.69263091300809476</v>
      </c>
      <c r="AD22" s="5"/>
    </row>
    <row r="23" spans="1:30" ht="13.9" customHeight="1">
      <c r="A23" s="38" t="s">
        <v>1197</v>
      </c>
      <c r="B23" s="35" t="s">
        <v>1198</v>
      </c>
      <c r="C23">
        <v>874</v>
      </c>
      <c r="E23" s="35" t="s">
        <v>1198</v>
      </c>
      <c r="F23">
        <v>755</v>
      </c>
      <c r="G23" t="b">
        <f t="shared" si="0"/>
        <v>1</v>
      </c>
      <c r="J23" s="24">
        <f t="shared" si="4"/>
        <v>-119</v>
      </c>
      <c r="K23" s="4">
        <f t="shared" si="1"/>
        <v>-0.1361556064073226</v>
      </c>
      <c r="M23" s="5">
        <v>1545.67</v>
      </c>
      <c r="N23" s="5">
        <v>1097.3900000000001</v>
      </c>
      <c r="Q23" s="119">
        <v>4119.59</v>
      </c>
      <c r="T23" s="98">
        <f t="shared" si="2"/>
        <v>-448.28</v>
      </c>
      <c r="U23" s="4">
        <f t="shared" si="3"/>
        <v>-0.29002309678003713</v>
      </c>
      <c r="AA23" s="113">
        <v>12502.15</v>
      </c>
      <c r="AB23" s="113">
        <v>10747.87</v>
      </c>
      <c r="AC23" s="4">
        <f t="shared" si="5"/>
        <v>-0.14031826525837543</v>
      </c>
    </row>
    <row r="24" spans="1:30" ht="13.9" customHeight="1">
      <c r="A24" t="s">
        <v>1169</v>
      </c>
      <c r="B24" t="s">
        <v>1170</v>
      </c>
      <c r="C24" s="18">
        <v>2926</v>
      </c>
      <c r="E24" t="s">
        <v>1170</v>
      </c>
      <c r="F24" s="18">
        <v>1999</v>
      </c>
      <c r="G24" t="b">
        <f t="shared" si="0"/>
        <v>1</v>
      </c>
      <c r="J24" s="24">
        <f t="shared" si="4"/>
        <v>-927</v>
      </c>
      <c r="K24" s="4">
        <f t="shared" si="1"/>
        <v>-0.31681476418318522</v>
      </c>
      <c r="M24" s="5">
        <v>3168.63</v>
      </c>
      <c r="N24" s="5">
        <v>1304.67</v>
      </c>
      <c r="Q24" s="119">
        <v>8172.63</v>
      </c>
      <c r="T24" s="98">
        <f t="shared" si="2"/>
        <v>-1863.96</v>
      </c>
      <c r="U24" s="4">
        <f t="shared" si="3"/>
        <v>-0.58825422974597852</v>
      </c>
      <c r="W24" t="s">
        <v>1171</v>
      </c>
      <c r="AA24" s="113">
        <v>45549.94</v>
      </c>
      <c r="AB24" s="113">
        <v>35918.43</v>
      </c>
      <c r="AC24" s="4">
        <f t="shared" si="5"/>
        <v>-0.21144945525724079</v>
      </c>
    </row>
    <row r="25" spans="1:30" ht="13.9" customHeight="1">
      <c r="A25" s="133" t="s">
        <v>1151</v>
      </c>
      <c r="B25" t="s">
        <v>1152</v>
      </c>
      <c r="C25" s="169">
        <v>3243</v>
      </c>
      <c r="E25" t="s">
        <v>1152</v>
      </c>
      <c r="F25" s="169">
        <v>3621</v>
      </c>
      <c r="G25" t="b">
        <f t="shared" si="0"/>
        <v>1</v>
      </c>
      <c r="J25" s="24">
        <f t="shared" si="4"/>
        <v>378</v>
      </c>
      <c r="K25" s="4">
        <f t="shared" si="1"/>
        <v>0.11655874190564286</v>
      </c>
      <c r="M25" s="5">
        <v>5899.73</v>
      </c>
      <c r="N25" s="5">
        <v>5396.7199999999993</v>
      </c>
      <c r="Q25" s="119">
        <v>12509.46</v>
      </c>
      <c r="T25" s="98">
        <f t="shared" si="2"/>
        <v>-503.01000000000022</v>
      </c>
      <c r="U25" s="4">
        <f t="shared" si="3"/>
        <v>-8.5259833924603345E-2</v>
      </c>
      <c r="AA25" s="113">
        <v>74323.58</v>
      </c>
      <c r="AB25" s="113">
        <v>78778.5</v>
      </c>
      <c r="AC25" s="4">
        <f t="shared" si="5"/>
        <v>5.9939523903450365E-2</v>
      </c>
    </row>
    <row r="26" spans="1:30" ht="13.9" customHeight="1">
      <c r="A26" s="133" t="s">
        <v>1122</v>
      </c>
      <c r="B26" t="s">
        <v>1123</v>
      </c>
      <c r="C26" s="169">
        <v>1592</v>
      </c>
      <c r="E26" t="s">
        <v>1123</v>
      </c>
      <c r="F26" s="169">
        <v>1717</v>
      </c>
      <c r="G26" t="b">
        <f t="shared" si="0"/>
        <v>1</v>
      </c>
      <c r="J26" s="24">
        <f t="shared" si="4"/>
        <v>125</v>
      </c>
      <c r="K26" s="4">
        <f t="shared" si="1"/>
        <v>7.851758793969843E-2</v>
      </c>
      <c r="M26" s="5">
        <v>3431.7200000000003</v>
      </c>
      <c r="N26" s="5">
        <v>4430.62</v>
      </c>
      <c r="Q26" s="119">
        <v>19509.649999999998</v>
      </c>
      <c r="T26" s="98">
        <f t="shared" si="2"/>
        <v>998.89999999999964</v>
      </c>
      <c r="U26" s="4">
        <f t="shared" si="3"/>
        <v>0.29107852622008767</v>
      </c>
      <c r="AA26" s="113">
        <v>47501.05999999999</v>
      </c>
      <c r="AB26" s="113">
        <v>49165.78</v>
      </c>
      <c r="AC26" s="4">
        <f t="shared" si="5"/>
        <v>3.5045954763956999E-2</v>
      </c>
    </row>
    <row r="27" spans="1:30" ht="13.9" customHeight="1">
      <c r="A27" s="133" t="s">
        <v>927</v>
      </c>
      <c r="B27" t="s">
        <v>928</v>
      </c>
      <c r="C27" s="169">
        <v>3906</v>
      </c>
      <c r="E27" t="s">
        <v>928</v>
      </c>
      <c r="F27" s="169">
        <v>4266</v>
      </c>
      <c r="G27" t="b">
        <f t="shared" si="0"/>
        <v>1</v>
      </c>
      <c r="J27" s="24">
        <f t="shared" si="4"/>
        <v>360</v>
      </c>
      <c r="K27" s="4">
        <f t="shared" si="1"/>
        <v>9.2165898617511566E-2</v>
      </c>
      <c r="M27" s="5">
        <v>13231.04</v>
      </c>
      <c r="N27" s="5">
        <v>10120.730000000001</v>
      </c>
      <c r="Q27" s="119">
        <v>24768.58</v>
      </c>
      <c r="T27" s="98">
        <f t="shared" si="2"/>
        <v>-3110.3099999999995</v>
      </c>
      <c r="U27" s="4">
        <f t="shared" si="3"/>
        <v>-0.23507675889423651</v>
      </c>
      <c r="AA27" s="113">
        <v>109016.84999999999</v>
      </c>
      <c r="AB27" s="113">
        <v>112873.68999999999</v>
      </c>
      <c r="AC27" s="4">
        <f t="shared" si="5"/>
        <v>3.5378384167218169E-2</v>
      </c>
    </row>
    <row r="28" spans="1:30" ht="13.9" customHeight="1">
      <c r="A28" s="133" t="s">
        <v>1182</v>
      </c>
      <c r="B28" t="s">
        <v>1183</v>
      </c>
      <c r="C28" s="18">
        <v>949</v>
      </c>
      <c r="E28" t="s">
        <v>1183</v>
      </c>
      <c r="F28" s="18">
        <v>1349</v>
      </c>
      <c r="G28" t="b">
        <f t="shared" si="0"/>
        <v>1</v>
      </c>
      <c r="J28" s="24">
        <f t="shared" si="4"/>
        <v>400</v>
      </c>
      <c r="K28" s="4">
        <f t="shared" si="1"/>
        <v>0.42149631190727077</v>
      </c>
      <c r="M28" s="5">
        <v>418.40999999999997</v>
      </c>
      <c r="N28" s="5">
        <v>757.50000000000011</v>
      </c>
      <c r="Q28" s="119">
        <v>3071.2099999999996</v>
      </c>
      <c r="T28" s="98">
        <f t="shared" si="2"/>
        <v>339.09000000000015</v>
      </c>
      <c r="U28" s="4">
        <f t="shared" si="3"/>
        <v>0.81042518104251848</v>
      </c>
      <c r="W28" t="s">
        <v>1184</v>
      </c>
      <c r="Y28" t="s">
        <v>1185</v>
      </c>
      <c r="AA28" s="113">
        <v>24203.18</v>
      </c>
      <c r="AB28" s="113">
        <v>32404.139999999996</v>
      </c>
      <c r="AC28" s="4">
        <f t="shared" si="5"/>
        <v>0.33883811961899202</v>
      </c>
    </row>
    <row r="29" spans="1:30" ht="13.9" customHeight="1">
      <c r="A29" s="23" t="s">
        <v>1180</v>
      </c>
      <c r="B29" s="22" t="s">
        <v>1181</v>
      </c>
      <c r="C29" s="18">
        <v>1315</v>
      </c>
      <c r="D29" s="5"/>
      <c r="E29" s="22" t="s">
        <v>1181</v>
      </c>
      <c r="F29" s="18">
        <v>1274</v>
      </c>
      <c r="G29" t="b">
        <f t="shared" si="0"/>
        <v>1</v>
      </c>
      <c r="H29" s="5"/>
      <c r="I29" s="5"/>
      <c r="J29" s="24">
        <f t="shared" si="4"/>
        <v>-41</v>
      </c>
      <c r="K29" s="4">
        <f t="shared" si="1"/>
        <v>-3.1178707224334579E-2</v>
      </c>
      <c r="L29" s="5"/>
      <c r="M29" s="5">
        <v>1744.08</v>
      </c>
      <c r="N29" s="5">
        <v>1781.62</v>
      </c>
      <c r="O29" s="5"/>
      <c r="P29" s="5"/>
      <c r="Q29" s="119">
        <v>7142.2</v>
      </c>
      <c r="R29" s="5"/>
      <c r="S29" s="5"/>
      <c r="T29" s="98">
        <f t="shared" si="2"/>
        <v>37.539999999999964</v>
      </c>
      <c r="U29" s="4">
        <f t="shared" si="3"/>
        <v>2.1524242007247452E-2</v>
      </c>
      <c r="V29" s="5"/>
      <c r="W29" s="5"/>
      <c r="X29" s="5"/>
      <c r="Y29" s="5"/>
      <c r="Z29" s="14"/>
      <c r="AA29" s="113">
        <v>18772.43</v>
      </c>
      <c r="AB29" s="113">
        <v>18061.11</v>
      </c>
      <c r="AC29" s="4">
        <f t="shared" si="5"/>
        <v>-3.7891738043503098E-2</v>
      </c>
    </row>
    <row r="30" spans="1:30" ht="13.9" customHeight="1">
      <c r="A30" t="s">
        <v>1163</v>
      </c>
      <c r="B30" t="s">
        <v>1164</v>
      </c>
      <c r="C30" s="18">
        <v>1029</v>
      </c>
      <c r="E30" t="s">
        <v>1164</v>
      </c>
      <c r="F30" s="18">
        <v>1183</v>
      </c>
      <c r="G30" t="b">
        <f t="shared" si="0"/>
        <v>1</v>
      </c>
      <c r="J30" s="24">
        <f t="shared" si="4"/>
        <v>154</v>
      </c>
      <c r="K30" s="4">
        <f t="shared" si="1"/>
        <v>0.14965986394557818</v>
      </c>
      <c r="M30" s="5">
        <v>962.21999999999991</v>
      </c>
      <c r="N30" s="5">
        <v>1642.8600000000001</v>
      </c>
      <c r="Q30" s="119">
        <v>5710.07</v>
      </c>
      <c r="T30" s="98">
        <f t="shared" si="2"/>
        <v>680.64000000000021</v>
      </c>
      <c r="U30" s="4">
        <f t="shared" si="3"/>
        <v>0.70736422024069379</v>
      </c>
      <c r="AA30" s="113">
        <v>20407.73</v>
      </c>
      <c r="AB30" s="113">
        <v>22499.179999999997</v>
      </c>
      <c r="AC30" s="4">
        <f t="shared" si="5"/>
        <v>0.10248322571888191</v>
      </c>
    </row>
    <row r="31" spans="1:30" ht="13.9" customHeight="1">
      <c r="A31" s="38" t="s">
        <v>1193</v>
      </c>
      <c r="B31" s="35" t="s">
        <v>1194</v>
      </c>
      <c r="C31" s="18">
        <v>1349</v>
      </c>
      <c r="E31" s="35" t="s">
        <v>1194</v>
      </c>
      <c r="F31" s="18">
        <v>1226</v>
      </c>
      <c r="G31" t="b">
        <f t="shared" si="0"/>
        <v>1</v>
      </c>
      <c r="J31" s="24">
        <f t="shared" si="4"/>
        <v>-123</v>
      </c>
      <c r="K31" s="4">
        <f t="shared" si="1"/>
        <v>-9.1178650852483334E-2</v>
      </c>
      <c r="M31" s="5">
        <v>1639.31</v>
      </c>
      <c r="N31" s="5">
        <v>1588.56</v>
      </c>
      <c r="Q31" s="119">
        <v>7180.05</v>
      </c>
      <c r="T31" s="98">
        <f t="shared" si="2"/>
        <v>-50.75</v>
      </c>
      <c r="U31" s="4">
        <f t="shared" si="3"/>
        <v>-3.0958147025272775E-2</v>
      </c>
      <c r="AA31" s="113">
        <v>18838.79</v>
      </c>
      <c r="AB31" s="113">
        <v>17134.27</v>
      </c>
      <c r="AC31" s="4">
        <f t="shared" si="5"/>
        <v>-9.0479271757899493E-2</v>
      </c>
    </row>
    <row r="32" spans="1:30" ht="13.9" customHeight="1">
      <c r="A32" s="133" t="s">
        <v>1191</v>
      </c>
      <c r="B32" t="s">
        <v>1192</v>
      </c>
      <c r="C32" s="169">
        <v>945</v>
      </c>
      <c r="E32" t="s">
        <v>1192</v>
      </c>
      <c r="F32" s="169">
        <v>747</v>
      </c>
      <c r="G32" t="b">
        <f t="shared" si="0"/>
        <v>1</v>
      </c>
      <c r="J32" s="24">
        <f t="shared" si="4"/>
        <v>-198</v>
      </c>
      <c r="K32" s="4">
        <f t="shared" si="1"/>
        <v>-0.20952380952380956</v>
      </c>
      <c r="M32" s="5">
        <v>1162.2600000000002</v>
      </c>
      <c r="N32" s="5">
        <v>1087.53</v>
      </c>
      <c r="Q32" s="119">
        <v>3759.9999999999986</v>
      </c>
      <c r="T32" s="98">
        <f t="shared" si="2"/>
        <v>-74.730000000000246</v>
      </c>
      <c r="U32" s="4">
        <f t="shared" si="3"/>
        <v>-6.4297145217077301E-2</v>
      </c>
      <c r="AA32" s="113">
        <v>18858.659999999996</v>
      </c>
      <c r="AB32" s="113">
        <v>14085</v>
      </c>
      <c r="AC32" s="4">
        <f t="shared" si="5"/>
        <v>-0.25312827104364766</v>
      </c>
    </row>
    <row r="33" spans="1:30" ht="14.25" customHeight="1">
      <c r="A33" s="133" t="s">
        <v>1220</v>
      </c>
      <c r="B33" s="5" t="s">
        <v>1221</v>
      </c>
      <c r="C33" s="18">
        <v>2885</v>
      </c>
      <c r="D33" s="5"/>
      <c r="E33" t="s">
        <v>1221</v>
      </c>
      <c r="F33" s="18">
        <v>2729</v>
      </c>
      <c r="G33" t="b">
        <f t="shared" si="0"/>
        <v>1</v>
      </c>
      <c r="H33" s="5"/>
      <c r="I33" s="5"/>
      <c r="J33" s="24">
        <f t="shared" si="4"/>
        <v>-156</v>
      </c>
      <c r="K33" s="4">
        <f t="shared" si="1"/>
        <v>-5.4072790294627415E-2</v>
      </c>
      <c r="L33" s="5"/>
      <c r="M33" s="5">
        <v>9599.2899999999991</v>
      </c>
      <c r="N33" s="5">
        <v>8155.9299999999994</v>
      </c>
      <c r="O33" s="5"/>
      <c r="P33" s="5"/>
      <c r="Q33" s="119">
        <v>20041.440000000002</v>
      </c>
      <c r="R33" s="5"/>
      <c r="S33" s="5"/>
      <c r="T33" s="98">
        <f t="shared" si="2"/>
        <v>-1443.3599999999997</v>
      </c>
      <c r="U33" s="4">
        <f t="shared" si="3"/>
        <v>-0.1503611204578672</v>
      </c>
      <c r="V33" s="5"/>
      <c r="W33" s="5"/>
      <c r="X33" s="5"/>
      <c r="Y33" s="5"/>
      <c r="Z33" s="14"/>
      <c r="AA33" s="113">
        <v>82855.13</v>
      </c>
      <c r="AB33" s="113">
        <v>74693.51999999999</v>
      </c>
      <c r="AC33" s="4">
        <f t="shared" si="5"/>
        <v>-9.8504582637188753E-2</v>
      </c>
    </row>
    <row r="34" spans="1:30">
      <c r="A34" s="133" t="s">
        <v>907</v>
      </c>
      <c r="B34" t="s">
        <v>908</v>
      </c>
      <c r="C34" s="18">
        <v>2364</v>
      </c>
      <c r="E34" t="s">
        <v>908</v>
      </c>
      <c r="F34" s="18">
        <v>2363</v>
      </c>
      <c r="G34" t="b">
        <f t="shared" si="0"/>
        <v>1</v>
      </c>
      <c r="J34" s="24">
        <f t="shared" si="4"/>
        <v>-1</v>
      </c>
      <c r="K34" s="4">
        <f t="shared" si="1"/>
        <v>-4.2301184433168881E-4</v>
      </c>
      <c r="M34" s="5">
        <v>3634.6700000000005</v>
      </c>
      <c r="N34" s="5">
        <v>2063.9600000000005</v>
      </c>
      <c r="Q34" s="119">
        <v>7622.57</v>
      </c>
      <c r="T34" s="98">
        <f t="shared" si="2"/>
        <v>-1570.71</v>
      </c>
      <c r="U34" s="4">
        <f t="shared" si="3"/>
        <v>-0.43214652224273453</v>
      </c>
      <c r="AA34" s="113">
        <v>51401.369999999995</v>
      </c>
      <c r="AB34" s="113">
        <v>51086.79</v>
      </c>
      <c r="AC34" s="4">
        <f t="shared" si="5"/>
        <v>-6.1200703405375201E-3</v>
      </c>
    </row>
    <row r="35" spans="1:30">
      <c r="A35" s="133" t="s">
        <v>1087</v>
      </c>
      <c r="B35" t="s">
        <v>1088</v>
      </c>
      <c r="C35" s="18">
        <v>1619</v>
      </c>
      <c r="E35" t="s">
        <v>1088</v>
      </c>
      <c r="F35" s="18">
        <v>1780</v>
      </c>
      <c r="G35" t="b">
        <f t="shared" ref="G35:G66" si="6">IF(B35=E35,TRUE,FALSE)</f>
        <v>1</v>
      </c>
      <c r="J35" s="24">
        <f t="shared" si="4"/>
        <v>161</v>
      </c>
      <c r="K35" s="4">
        <f t="shared" si="1"/>
        <v>9.9444101297097021E-2</v>
      </c>
      <c r="M35" s="5">
        <v>2112.9300000000003</v>
      </c>
      <c r="N35" s="5">
        <v>1523.32</v>
      </c>
      <c r="Q35" s="119">
        <v>3786.4199999999996</v>
      </c>
      <c r="T35" s="98">
        <f t="shared" ref="T35:T66" si="7">N35-M35</f>
        <v>-589.61000000000035</v>
      </c>
      <c r="U35" s="4">
        <f t="shared" ref="U35:U66" si="8">IF(M35=0,0,N35/M35-1)</f>
        <v>-0.27904852503395772</v>
      </c>
      <c r="AA35" s="113">
        <v>38453.42</v>
      </c>
      <c r="AB35" s="113">
        <v>40508.879999999997</v>
      </c>
      <c r="AC35" s="4">
        <f t="shared" si="5"/>
        <v>5.3453242910513454E-2</v>
      </c>
      <c r="AD35" s="106"/>
    </row>
    <row r="36" spans="1:30">
      <c r="A36" s="133" t="s">
        <v>917</v>
      </c>
      <c r="B36" s="26" t="s">
        <v>918</v>
      </c>
      <c r="C36" s="18">
        <v>485</v>
      </c>
      <c r="D36" s="18"/>
      <c r="E36" s="26" t="s">
        <v>918</v>
      </c>
      <c r="F36" s="18">
        <v>574</v>
      </c>
      <c r="G36" t="b">
        <f t="shared" si="6"/>
        <v>1</v>
      </c>
      <c r="J36" s="24">
        <f t="shared" si="4"/>
        <v>89</v>
      </c>
      <c r="K36" s="4">
        <f t="shared" si="1"/>
        <v>0.18350515463917527</v>
      </c>
      <c r="M36" s="5">
        <v>269.84000000000003</v>
      </c>
      <c r="N36" s="5">
        <v>255.99</v>
      </c>
      <c r="Q36" s="119">
        <v>831.3900000000001</v>
      </c>
      <c r="T36" s="98">
        <f t="shared" si="7"/>
        <v>-13.850000000000023</v>
      </c>
      <c r="U36" s="4">
        <f t="shared" si="8"/>
        <v>-5.1326712125704166E-2</v>
      </c>
      <c r="AA36" s="113">
        <v>10510.449999999999</v>
      </c>
      <c r="AB36" s="113">
        <v>11680.81</v>
      </c>
      <c r="AC36" s="4">
        <f t="shared" si="5"/>
        <v>0.11135203535528926</v>
      </c>
    </row>
    <row r="37" spans="1:30">
      <c r="A37" t="s">
        <v>1138</v>
      </c>
      <c r="B37" t="s">
        <v>1139</v>
      </c>
      <c r="C37" s="18">
        <v>845</v>
      </c>
      <c r="E37" t="s">
        <v>1139</v>
      </c>
      <c r="F37" s="18">
        <v>687</v>
      </c>
      <c r="G37" t="b">
        <f t="shared" si="6"/>
        <v>1</v>
      </c>
      <c r="J37" s="24">
        <f t="shared" si="4"/>
        <v>-158</v>
      </c>
      <c r="K37" s="4">
        <f t="shared" si="1"/>
        <v>-0.1869822485207101</v>
      </c>
      <c r="M37" s="5">
        <v>1124.23</v>
      </c>
      <c r="N37" s="5">
        <v>473.45</v>
      </c>
      <c r="Q37" s="119">
        <v>2794.52</v>
      </c>
      <c r="T37" s="98">
        <f t="shared" si="7"/>
        <v>-650.78</v>
      </c>
      <c r="U37" s="4">
        <f t="shared" si="8"/>
        <v>-0.57886731362799426</v>
      </c>
      <c r="Y37" t="s">
        <v>1140</v>
      </c>
      <c r="AA37" s="113">
        <v>14042.81</v>
      </c>
      <c r="AB37" s="113">
        <v>12472.92</v>
      </c>
      <c r="AC37" s="4">
        <f t="shared" si="5"/>
        <v>-0.11179315251007449</v>
      </c>
    </row>
    <row r="38" spans="1:30">
      <c r="A38" s="133" t="s">
        <v>1176</v>
      </c>
      <c r="B38" t="s">
        <v>1177</v>
      </c>
      <c r="C38" s="18">
        <v>2983</v>
      </c>
      <c r="E38" t="s">
        <v>1177</v>
      </c>
      <c r="F38" s="18">
        <v>3550</v>
      </c>
      <c r="G38" t="b">
        <f t="shared" si="6"/>
        <v>1</v>
      </c>
      <c r="J38" s="24">
        <f t="shared" si="4"/>
        <v>567</v>
      </c>
      <c r="K38" s="4">
        <f t="shared" si="1"/>
        <v>0.19007710358699303</v>
      </c>
      <c r="M38" s="5">
        <v>5036.1900000000005</v>
      </c>
      <c r="N38" s="5">
        <v>5120.4000000000015</v>
      </c>
      <c r="Q38" s="119">
        <v>18750.309999999998</v>
      </c>
      <c r="T38" s="98">
        <f t="shared" si="7"/>
        <v>84.210000000000946</v>
      </c>
      <c r="U38" s="4">
        <f t="shared" si="8"/>
        <v>1.6720973593133071E-2</v>
      </c>
      <c r="AA38" s="113">
        <v>67792.200000000012</v>
      </c>
      <c r="AB38" s="113">
        <v>75509.969999999987</v>
      </c>
      <c r="AC38" s="4">
        <f t="shared" si="5"/>
        <v>0.11384451308557586</v>
      </c>
    </row>
    <row r="39" spans="1:30">
      <c r="A39" s="38" t="s">
        <v>909</v>
      </c>
      <c r="B39" s="35" t="s">
        <v>910</v>
      </c>
      <c r="C39" s="18">
        <v>1678</v>
      </c>
      <c r="E39" s="35" t="s">
        <v>910</v>
      </c>
      <c r="F39" s="18">
        <v>1507</v>
      </c>
      <c r="G39" t="b">
        <f t="shared" si="6"/>
        <v>1</v>
      </c>
      <c r="J39" s="24">
        <f t="shared" si="4"/>
        <v>-171</v>
      </c>
      <c r="K39" s="4">
        <f t="shared" si="1"/>
        <v>-0.10190703218116803</v>
      </c>
      <c r="M39" s="5">
        <v>2338.23</v>
      </c>
      <c r="N39" s="5">
        <v>1556.17</v>
      </c>
      <c r="Q39" s="119">
        <v>8420.56</v>
      </c>
      <c r="T39" s="98">
        <f t="shared" si="7"/>
        <v>-782.06</v>
      </c>
      <c r="U39" s="4">
        <f t="shared" si="8"/>
        <v>-0.33446666923271018</v>
      </c>
      <c r="AA39" s="113">
        <v>33887.24</v>
      </c>
      <c r="AB39" s="113">
        <v>33234.43</v>
      </c>
      <c r="AC39" s="4">
        <f t="shared" si="5"/>
        <v>-1.9264183214684816E-2</v>
      </c>
    </row>
    <row r="40" spans="1:30">
      <c r="A40" s="26" t="s">
        <v>1157</v>
      </c>
      <c r="B40" s="26" t="s">
        <v>1158</v>
      </c>
      <c r="C40" s="18">
        <v>2346</v>
      </c>
      <c r="E40" s="26" t="s">
        <v>1158</v>
      </c>
      <c r="F40" s="18">
        <v>1524</v>
      </c>
      <c r="G40" t="b">
        <f t="shared" si="6"/>
        <v>1</v>
      </c>
      <c r="J40" s="24">
        <f t="shared" si="4"/>
        <v>-822</v>
      </c>
      <c r="K40" s="4">
        <f t="shared" si="1"/>
        <v>-0.35038363171355502</v>
      </c>
      <c r="M40" s="5">
        <v>3956.53</v>
      </c>
      <c r="N40" s="5">
        <v>2767.46</v>
      </c>
      <c r="Q40" s="119">
        <v>10918.91</v>
      </c>
      <c r="T40" s="98">
        <f t="shared" si="7"/>
        <v>-1189.0700000000002</v>
      </c>
      <c r="U40" s="4">
        <f t="shared" si="8"/>
        <v>-0.30053354833654744</v>
      </c>
      <c r="AA40" s="113">
        <v>43987.12</v>
      </c>
      <c r="AB40" s="113">
        <v>30447.53</v>
      </c>
      <c r="AC40" s="4">
        <f t="shared" si="5"/>
        <v>-0.30780805835890146</v>
      </c>
    </row>
    <row r="41" spans="1:30">
      <c r="A41" s="38" t="s">
        <v>1085</v>
      </c>
      <c r="B41" s="35" t="s">
        <v>1086</v>
      </c>
      <c r="C41" s="18">
        <v>1342</v>
      </c>
      <c r="E41" s="35" t="s">
        <v>1086</v>
      </c>
      <c r="F41" s="18">
        <v>506</v>
      </c>
      <c r="G41" t="b">
        <f t="shared" si="6"/>
        <v>1</v>
      </c>
      <c r="J41" s="24">
        <f t="shared" si="4"/>
        <v>-836</v>
      </c>
      <c r="K41" s="4">
        <f t="shared" si="1"/>
        <v>-0.62295081967213117</v>
      </c>
      <c r="M41" s="5">
        <v>1783.28</v>
      </c>
      <c r="N41" s="5">
        <v>471.94</v>
      </c>
      <c r="Q41" s="119">
        <v>1377.58</v>
      </c>
      <c r="T41" s="98">
        <f t="shared" si="7"/>
        <v>-1311.34</v>
      </c>
      <c r="U41" s="4">
        <f t="shared" si="8"/>
        <v>-0.735352832981921</v>
      </c>
      <c r="AA41" s="113">
        <v>16977.650000000001</v>
      </c>
      <c r="AB41" s="113">
        <v>7077.96</v>
      </c>
      <c r="AC41" s="4">
        <f t="shared" si="5"/>
        <v>-0.58310131260804643</v>
      </c>
    </row>
    <row r="42" spans="1:30">
      <c r="A42" t="s">
        <v>1217</v>
      </c>
      <c r="B42" t="s">
        <v>1218</v>
      </c>
      <c r="C42" s="18">
        <v>1553</v>
      </c>
      <c r="E42" t="s">
        <v>1218</v>
      </c>
      <c r="F42" s="18">
        <v>1515</v>
      </c>
      <c r="G42" t="b">
        <f t="shared" si="6"/>
        <v>1</v>
      </c>
      <c r="J42" s="24">
        <f t="shared" si="4"/>
        <v>-38</v>
      </c>
      <c r="K42" s="4">
        <f t="shared" si="1"/>
        <v>-2.446877012234383E-2</v>
      </c>
      <c r="M42" s="5">
        <v>2525.39</v>
      </c>
      <c r="N42" s="5">
        <v>2295.5500000000002</v>
      </c>
      <c r="Q42" s="119">
        <v>16121.05</v>
      </c>
      <c r="T42" s="98">
        <f t="shared" si="7"/>
        <v>-229.83999999999969</v>
      </c>
      <c r="U42" s="4">
        <f t="shared" si="8"/>
        <v>-9.1011685323850844E-2</v>
      </c>
      <c r="Y42" t="s">
        <v>1219</v>
      </c>
      <c r="AA42" s="113">
        <v>46456.9</v>
      </c>
      <c r="AB42" s="113">
        <v>45254.87</v>
      </c>
      <c r="AC42" s="4">
        <f t="shared" si="5"/>
        <v>-2.5874089747701556E-2</v>
      </c>
    </row>
    <row r="43" spans="1:30">
      <c r="A43" s="26" t="s">
        <v>1147</v>
      </c>
      <c r="B43" s="26" t="s">
        <v>1148</v>
      </c>
      <c r="C43" s="18">
        <v>930</v>
      </c>
      <c r="E43" s="26" t="s">
        <v>1148</v>
      </c>
      <c r="F43" s="18">
        <v>589</v>
      </c>
      <c r="G43" t="b">
        <f t="shared" si="6"/>
        <v>1</v>
      </c>
      <c r="J43" s="24">
        <f t="shared" si="4"/>
        <v>-341</v>
      </c>
      <c r="K43" s="4">
        <f t="shared" si="1"/>
        <v>-0.3666666666666667</v>
      </c>
      <c r="M43" s="5">
        <v>1199.99</v>
      </c>
      <c r="N43" s="5">
        <v>831.79</v>
      </c>
      <c r="Q43" s="119">
        <v>4466.5</v>
      </c>
      <c r="T43" s="98">
        <f t="shared" si="7"/>
        <v>-368.20000000000005</v>
      </c>
      <c r="U43" s="4">
        <f t="shared" si="8"/>
        <v>-0.30683589029908587</v>
      </c>
      <c r="AA43" s="113">
        <v>10517.74</v>
      </c>
      <c r="AB43" s="113">
        <v>8237.35</v>
      </c>
      <c r="AC43" s="4">
        <f t="shared" si="5"/>
        <v>-0.21681368811170454</v>
      </c>
    </row>
    <row r="44" spans="1:30">
      <c r="A44" s="26" t="s">
        <v>1116</v>
      </c>
      <c r="B44" s="26" t="s">
        <v>1117</v>
      </c>
      <c r="C44" s="18">
        <v>555</v>
      </c>
      <c r="E44" s="26" t="s">
        <v>1117</v>
      </c>
      <c r="F44" s="18">
        <v>519</v>
      </c>
      <c r="G44" t="b">
        <f t="shared" si="6"/>
        <v>1</v>
      </c>
      <c r="J44" s="24">
        <f t="shared" si="4"/>
        <v>-36</v>
      </c>
      <c r="K44" s="4">
        <f t="shared" si="1"/>
        <v>-6.4864864864864868E-2</v>
      </c>
      <c r="M44" s="5">
        <v>858.72</v>
      </c>
      <c r="N44" s="5">
        <v>752.36</v>
      </c>
      <c r="Q44" s="119">
        <v>3473.83</v>
      </c>
      <c r="T44" s="98">
        <f t="shared" si="7"/>
        <v>-106.36000000000001</v>
      </c>
      <c r="U44" s="4">
        <f t="shared" si="8"/>
        <v>-0.12385876653623995</v>
      </c>
      <c r="AA44" s="113">
        <v>8929.65</v>
      </c>
      <c r="AB44" s="113">
        <v>9037.52</v>
      </c>
      <c r="AC44" s="4">
        <f t="shared" si="5"/>
        <v>1.2079980738326945E-2</v>
      </c>
    </row>
    <row r="45" spans="1:30">
      <c r="A45" s="38" t="s">
        <v>911</v>
      </c>
      <c r="B45" s="35" t="s">
        <v>912</v>
      </c>
      <c r="C45" s="18">
        <v>1558</v>
      </c>
      <c r="E45" s="35" t="s">
        <v>912</v>
      </c>
      <c r="F45" s="18">
        <v>1638</v>
      </c>
      <c r="G45" t="b">
        <f t="shared" si="6"/>
        <v>1</v>
      </c>
      <c r="J45" s="24">
        <f t="shared" si="4"/>
        <v>80</v>
      </c>
      <c r="K45" s="4">
        <f t="shared" si="1"/>
        <v>5.1347881899871606E-2</v>
      </c>
      <c r="M45" s="5">
        <v>3191.78</v>
      </c>
      <c r="N45" s="5">
        <v>3127.62</v>
      </c>
      <c r="Q45" s="119">
        <v>16423.509999999998</v>
      </c>
      <c r="T45" s="98">
        <f t="shared" si="7"/>
        <v>-64.160000000000309</v>
      </c>
      <c r="U45" s="4">
        <f t="shared" si="8"/>
        <v>-2.0101636077674567E-2</v>
      </c>
      <c r="AA45" s="113">
        <v>26981.439999999999</v>
      </c>
      <c r="AB45" s="113">
        <v>30580.82</v>
      </c>
      <c r="AC45" s="4">
        <f t="shared" si="5"/>
        <v>0.1334020719427873</v>
      </c>
    </row>
    <row r="46" spans="1:30">
      <c r="A46" s="39" t="s">
        <v>1097</v>
      </c>
      <c r="B46" s="35" t="s">
        <v>1098</v>
      </c>
      <c r="C46" s="18">
        <v>851</v>
      </c>
      <c r="E46" s="35" t="s">
        <v>1098</v>
      </c>
      <c r="F46" s="18">
        <v>1115</v>
      </c>
      <c r="G46" t="b">
        <f t="shared" si="6"/>
        <v>1</v>
      </c>
      <c r="J46" s="24">
        <f t="shared" si="4"/>
        <v>264</v>
      </c>
      <c r="K46" s="4">
        <f t="shared" si="1"/>
        <v>0.31022326674500578</v>
      </c>
      <c r="M46" s="5">
        <v>782.05</v>
      </c>
      <c r="N46" s="5">
        <v>1686.9200000000003</v>
      </c>
      <c r="Q46" s="119">
        <v>7767.5899999999983</v>
      </c>
      <c r="T46" s="98">
        <f t="shared" si="7"/>
        <v>904.87000000000035</v>
      </c>
      <c r="U46" s="4">
        <f t="shared" si="8"/>
        <v>1.157048782047184</v>
      </c>
      <c r="AA46" s="113">
        <v>16838.189999999999</v>
      </c>
      <c r="AB46" s="113">
        <v>20539.259999999998</v>
      </c>
      <c r="AC46" s="4">
        <f t="shared" si="5"/>
        <v>0.21980212837603097</v>
      </c>
    </row>
    <row r="47" spans="1:30">
      <c r="A47" s="133" t="s">
        <v>1178</v>
      </c>
      <c r="B47" t="s">
        <v>1179</v>
      </c>
      <c r="C47" s="169">
        <v>1784</v>
      </c>
      <c r="E47" t="s">
        <v>1179</v>
      </c>
      <c r="F47" s="169">
        <v>2179</v>
      </c>
      <c r="G47" t="b">
        <f t="shared" si="6"/>
        <v>1</v>
      </c>
      <c r="J47" s="24">
        <f t="shared" si="4"/>
        <v>395</v>
      </c>
      <c r="K47" s="4">
        <f t="shared" si="1"/>
        <v>0.2214125560538116</v>
      </c>
      <c r="M47" s="5">
        <v>4344.05</v>
      </c>
      <c r="N47" s="5">
        <v>4851.6500000000005</v>
      </c>
      <c r="Q47" s="119">
        <v>20556.899999999994</v>
      </c>
      <c r="T47" s="98">
        <f t="shared" si="7"/>
        <v>507.60000000000036</v>
      </c>
      <c r="U47" s="4">
        <f t="shared" si="8"/>
        <v>0.11684948377666005</v>
      </c>
      <c r="AA47" s="113">
        <v>53344.32</v>
      </c>
      <c r="AB47" s="113">
        <v>60026.06</v>
      </c>
      <c r="AC47" s="4">
        <f t="shared" si="5"/>
        <v>0.12525682209464839</v>
      </c>
    </row>
    <row r="48" spans="1:30">
      <c r="A48" s="133" t="s">
        <v>1199</v>
      </c>
      <c r="B48" t="s">
        <v>1200</v>
      </c>
      <c r="C48" s="18">
        <v>1608</v>
      </c>
      <c r="D48" s="5"/>
      <c r="E48" t="s">
        <v>1200</v>
      </c>
      <c r="F48" s="18">
        <v>2012</v>
      </c>
      <c r="G48" t="b">
        <f t="shared" si="6"/>
        <v>1</v>
      </c>
      <c r="H48" s="5"/>
      <c r="I48" s="5"/>
      <c r="J48" s="24">
        <f t="shared" si="4"/>
        <v>404</v>
      </c>
      <c r="K48" s="4">
        <f t="shared" si="1"/>
        <v>0.25124378109452739</v>
      </c>
      <c r="L48" s="5"/>
      <c r="M48" s="5">
        <v>3582.8799999999997</v>
      </c>
      <c r="N48" s="5">
        <v>3381.1400000000003</v>
      </c>
      <c r="O48" s="5"/>
      <c r="P48" s="5"/>
      <c r="Q48" s="119">
        <v>12920.38</v>
      </c>
      <c r="R48" s="5"/>
      <c r="S48" s="5"/>
      <c r="T48" s="98">
        <f t="shared" si="7"/>
        <v>-201.73999999999933</v>
      </c>
      <c r="U48" s="4">
        <f t="shared" si="8"/>
        <v>-5.6306658330728121E-2</v>
      </c>
      <c r="V48" s="5"/>
      <c r="W48" s="5"/>
      <c r="X48" s="5"/>
      <c r="Y48" s="5"/>
      <c r="Z48" s="14"/>
      <c r="AA48" s="113">
        <v>39876.07</v>
      </c>
      <c r="AB48" s="113">
        <v>47581.32</v>
      </c>
      <c r="AC48" s="4">
        <f t="shared" si="5"/>
        <v>0.19322992461393507</v>
      </c>
    </row>
    <row r="49" spans="1:30">
      <c r="A49" s="26" t="s">
        <v>1195</v>
      </c>
      <c r="B49" s="26" t="s">
        <v>1196</v>
      </c>
      <c r="C49" s="18">
        <v>968</v>
      </c>
      <c r="E49" s="26" t="s">
        <v>1196</v>
      </c>
      <c r="F49" s="18">
        <v>944</v>
      </c>
      <c r="G49" t="b">
        <f t="shared" si="6"/>
        <v>1</v>
      </c>
      <c r="J49" s="24">
        <f t="shared" si="4"/>
        <v>-24</v>
      </c>
      <c r="K49" s="4">
        <f t="shared" si="1"/>
        <v>-2.4793388429752095E-2</v>
      </c>
      <c r="M49" s="5">
        <v>1140.2</v>
      </c>
      <c r="N49" s="5">
        <v>998.03</v>
      </c>
      <c r="Q49" s="119">
        <v>4000.5</v>
      </c>
      <c r="T49" s="98">
        <f t="shared" si="7"/>
        <v>-142.17000000000007</v>
      </c>
      <c r="U49" s="4">
        <f t="shared" si="8"/>
        <v>-0.12468865111383975</v>
      </c>
      <c r="AA49" s="113">
        <v>16143.31</v>
      </c>
      <c r="AB49" s="113">
        <v>16973.150000000001</v>
      </c>
      <c r="AC49" s="4">
        <f t="shared" si="5"/>
        <v>5.1404575641550654E-2</v>
      </c>
    </row>
    <row r="50" spans="1:30">
      <c r="A50" t="s">
        <v>1215</v>
      </c>
      <c r="B50" t="s">
        <v>1216</v>
      </c>
      <c r="C50" s="18">
        <v>1067</v>
      </c>
      <c r="E50" t="s">
        <v>1216</v>
      </c>
      <c r="F50" s="18">
        <v>1540</v>
      </c>
      <c r="G50" t="b">
        <f t="shared" si="6"/>
        <v>1</v>
      </c>
      <c r="J50" s="24">
        <f t="shared" si="4"/>
        <v>473</v>
      </c>
      <c r="K50" s="4">
        <f t="shared" si="1"/>
        <v>0.44329896907216493</v>
      </c>
      <c r="M50" s="5">
        <v>2177.4</v>
      </c>
      <c r="N50" s="5">
        <v>2994.8</v>
      </c>
      <c r="Q50" s="119">
        <v>20657.829999999998</v>
      </c>
      <c r="T50" s="98">
        <f t="shared" si="7"/>
        <v>817.40000000000009</v>
      </c>
      <c r="U50" s="4">
        <f t="shared" si="8"/>
        <v>0.37540185542390003</v>
      </c>
      <c r="AA50" s="113">
        <v>36273.29</v>
      </c>
      <c r="AB50" s="113">
        <v>53763.61</v>
      </c>
      <c r="AC50" s="4">
        <f t="shared" si="5"/>
        <v>0.4821817927185541</v>
      </c>
    </row>
    <row r="51" spans="1:30">
      <c r="A51" t="s">
        <v>1114</v>
      </c>
      <c r="B51" t="s">
        <v>1115</v>
      </c>
      <c r="C51" s="18">
        <v>1012</v>
      </c>
      <c r="E51" t="s">
        <v>1115</v>
      </c>
      <c r="F51" s="18">
        <v>750</v>
      </c>
      <c r="G51" t="b">
        <f t="shared" si="6"/>
        <v>1</v>
      </c>
      <c r="J51" s="24">
        <f t="shared" si="4"/>
        <v>-262</v>
      </c>
      <c r="K51" s="4">
        <f t="shared" si="1"/>
        <v>-0.25889328063241102</v>
      </c>
      <c r="M51" s="5">
        <v>1160.96</v>
      </c>
      <c r="N51" s="5">
        <v>758.9</v>
      </c>
      <c r="Q51" s="119">
        <v>2765.1</v>
      </c>
      <c r="T51" s="98">
        <f t="shared" si="7"/>
        <v>-402.06000000000006</v>
      </c>
      <c r="U51" s="4">
        <f t="shared" si="8"/>
        <v>-0.34631684123484019</v>
      </c>
      <c r="AA51" s="113">
        <v>14374.84</v>
      </c>
      <c r="AB51" s="113">
        <v>11362.78</v>
      </c>
      <c r="AC51" s="4">
        <f t="shared" si="5"/>
        <v>-0.20953694093290776</v>
      </c>
      <c r="AD51" s="5"/>
    </row>
    <row r="52" spans="1:30">
      <c r="A52" t="s">
        <v>1132</v>
      </c>
      <c r="B52" t="s">
        <v>1133</v>
      </c>
      <c r="C52" s="18">
        <v>666</v>
      </c>
      <c r="E52" t="s">
        <v>1133</v>
      </c>
      <c r="F52" s="18">
        <v>653</v>
      </c>
      <c r="G52" t="b">
        <f t="shared" si="6"/>
        <v>1</v>
      </c>
      <c r="J52" s="24">
        <f t="shared" si="4"/>
        <v>-13</v>
      </c>
      <c r="K52" s="4">
        <f t="shared" si="1"/>
        <v>-1.9519519519519468E-2</v>
      </c>
      <c r="M52" s="5">
        <v>0</v>
      </c>
      <c r="N52" s="5">
        <v>0</v>
      </c>
      <c r="Q52" s="119">
        <v>0</v>
      </c>
      <c r="T52" s="98">
        <f t="shared" si="7"/>
        <v>0</v>
      </c>
      <c r="U52" s="4">
        <f t="shared" si="8"/>
        <v>0</v>
      </c>
      <c r="AA52" s="113">
        <v>11827.95</v>
      </c>
      <c r="AB52" s="113">
        <v>12286.63</v>
      </c>
      <c r="AC52" s="4">
        <f t="shared" si="5"/>
        <v>3.8779332005968836E-2</v>
      </c>
    </row>
    <row r="53" spans="1:30">
      <c r="A53" t="s">
        <v>963</v>
      </c>
      <c r="B53" t="s">
        <v>964</v>
      </c>
      <c r="C53" s="18">
        <v>342</v>
      </c>
      <c r="E53" t="s">
        <v>964</v>
      </c>
      <c r="F53" s="18">
        <v>425</v>
      </c>
      <c r="G53" t="b">
        <f t="shared" si="6"/>
        <v>1</v>
      </c>
      <c r="J53" s="24">
        <f t="shared" si="4"/>
        <v>83</v>
      </c>
      <c r="K53" s="4">
        <f t="shared" si="1"/>
        <v>0.24269005847953218</v>
      </c>
      <c r="M53" s="5">
        <v>123.93</v>
      </c>
      <c r="N53" s="5">
        <v>119.91</v>
      </c>
      <c r="Q53" s="119">
        <v>2923.81</v>
      </c>
      <c r="T53" s="98">
        <f t="shared" si="7"/>
        <v>-4.0200000000000102</v>
      </c>
      <c r="U53" s="4">
        <f t="shared" si="8"/>
        <v>-3.2437666424594558E-2</v>
      </c>
      <c r="AA53" s="113">
        <v>5466.98</v>
      </c>
      <c r="AB53" s="113">
        <v>6364.13</v>
      </c>
      <c r="AC53" s="4">
        <f t="shared" si="5"/>
        <v>0.1641033989515237</v>
      </c>
    </row>
    <row r="54" spans="1:30">
      <c r="A54" s="38" t="s">
        <v>1065</v>
      </c>
      <c r="B54" s="35" t="s">
        <v>1066</v>
      </c>
      <c r="C54" s="18">
        <v>526</v>
      </c>
      <c r="E54" s="35" t="s">
        <v>1066</v>
      </c>
      <c r="F54" s="18">
        <v>260</v>
      </c>
      <c r="G54" t="b">
        <f t="shared" si="6"/>
        <v>1</v>
      </c>
      <c r="J54" s="24">
        <f t="shared" si="4"/>
        <v>-266</v>
      </c>
      <c r="K54" s="4">
        <f t="shared" si="1"/>
        <v>-0.50570342205323193</v>
      </c>
      <c r="M54" s="5">
        <v>913.67</v>
      </c>
      <c r="N54" s="5">
        <v>555.15</v>
      </c>
      <c r="Q54" s="119">
        <v>2135.04</v>
      </c>
      <c r="T54" s="98">
        <f t="shared" si="7"/>
        <v>-358.52</v>
      </c>
      <c r="U54" s="4">
        <f t="shared" si="8"/>
        <v>-0.39239550384712207</v>
      </c>
      <c r="AA54" s="113">
        <v>9327.1299999999992</v>
      </c>
      <c r="AB54" s="113">
        <v>5705.68</v>
      </c>
      <c r="AC54" s="4">
        <f t="shared" si="5"/>
        <v>-0.388270561255177</v>
      </c>
      <c r="AD54" s="132"/>
    </row>
    <row r="55" spans="1:30">
      <c r="A55" s="38" t="s">
        <v>942</v>
      </c>
      <c r="B55" s="35" t="s">
        <v>943</v>
      </c>
      <c r="C55" s="18">
        <v>695</v>
      </c>
      <c r="E55" s="35" t="s">
        <v>943</v>
      </c>
      <c r="F55" s="18">
        <v>600</v>
      </c>
      <c r="G55" t="b">
        <f t="shared" si="6"/>
        <v>1</v>
      </c>
      <c r="J55" s="24">
        <f t="shared" si="4"/>
        <v>-95</v>
      </c>
      <c r="K55" s="4">
        <f t="shared" si="1"/>
        <v>-0.13669064748201443</v>
      </c>
      <c r="M55" s="5">
        <v>1557.94</v>
      </c>
      <c r="N55" s="5">
        <v>1581.34</v>
      </c>
      <c r="Q55" s="119">
        <v>8648.2999999999993</v>
      </c>
      <c r="T55" s="98">
        <f t="shared" si="7"/>
        <v>23.399999999999864</v>
      </c>
      <c r="U55" s="4">
        <f t="shared" si="8"/>
        <v>1.5019833883204603E-2</v>
      </c>
      <c r="AA55" s="113">
        <v>11596.25</v>
      </c>
      <c r="AB55" s="113">
        <v>10797.01</v>
      </c>
      <c r="AC55" s="4">
        <f t="shared" si="5"/>
        <v>-6.8922280909776812E-2</v>
      </c>
    </row>
    <row r="56" spans="1:30">
      <c r="A56" t="s">
        <v>1071</v>
      </c>
      <c r="B56" t="s">
        <v>1072</v>
      </c>
      <c r="C56" s="18">
        <v>657</v>
      </c>
      <c r="E56" t="s">
        <v>1072</v>
      </c>
      <c r="F56" s="18">
        <v>686</v>
      </c>
      <c r="G56" t="b">
        <f t="shared" si="6"/>
        <v>1</v>
      </c>
      <c r="J56" s="24">
        <f t="shared" si="4"/>
        <v>29</v>
      </c>
      <c r="K56" s="4">
        <f t="shared" si="1"/>
        <v>4.4140030441400357E-2</v>
      </c>
      <c r="M56" s="5">
        <v>518.01</v>
      </c>
      <c r="N56" s="5">
        <v>541.26</v>
      </c>
      <c r="Q56" s="119">
        <v>2489.8000000000002</v>
      </c>
      <c r="T56" s="98">
        <f t="shared" si="7"/>
        <v>23.25</v>
      </c>
      <c r="U56" s="4">
        <f t="shared" si="8"/>
        <v>4.4883303411131115E-2</v>
      </c>
      <c r="AA56" s="113">
        <v>11160.9</v>
      </c>
      <c r="AB56" s="113">
        <v>11479.72</v>
      </c>
      <c r="AC56" s="4">
        <f t="shared" si="5"/>
        <v>2.8565796665143361E-2</v>
      </c>
    </row>
    <row r="57" spans="1:30">
      <c r="A57" t="s">
        <v>1011</v>
      </c>
      <c r="B57" t="s">
        <v>1012</v>
      </c>
      <c r="C57" s="18">
        <v>739</v>
      </c>
      <c r="E57" t="s">
        <v>1012</v>
      </c>
      <c r="F57" s="18">
        <v>562</v>
      </c>
      <c r="G57" t="b">
        <f t="shared" si="6"/>
        <v>1</v>
      </c>
      <c r="J57" s="24">
        <f t="shared" si="4"/>
        <v>-177</v>
      </c>
      <c r="K57" s="4">
        <f t="shared" si="1"/>
        <v>-0.23951285520974286</v>
      </c>
      <c r="M57" s="5">
        <v>441.78</v>
      </c>
      <c r="N57" s="5">
        <v>195.57</v>
      </c>
      <c r="Q57" s="119">
        <v>1579.33</v>
      </c>
      <c r="T57" s="98">
        <f t="shared" si="7"/>
        <v>-246.20999999999998</v>
      </c>
      <c r="U57" s="4">
        <f t="shared" si="8"/>
        <v>-0.55731359500203714</v>
      </c>
      <c r="AA57" s="113">
        <v>14343.349999999999</v>
      </c>
      <c r="AB57" s="113">
        <v>11774.72</v>
      </c>
      <c r="AC57" s="4">
        <f t="shared" si="5"/>
        <v>-0.17908159530374701</v>
      </c>
    </row>
    <row r="58" spans="1:30">
      <c r="A58" s="133" t="s">
        <v>1159</v>
      </c>
      <c r="B58" t="s">
        <v>1160</v>
      </c>
      <c r="C58" s="18">
        <v>1327</v>
      </c>
      <c r="E58" t="s">
        <v>1160</v>
      </c>
      <c r="F58" s="18">
        <v>1569</v>
      </c>
      <c r="G58" t="b">
        <f t="shared" si="6"/>
        <v>1</v>
      </c>
      <c r="J58" s="24">
        <f t="shared" si="4"/>
        <v>242</v>
      </c>
      <c r="K58" s="4">
        <f t="shared" si="1"/>
        <v>0.18236623963828191</v>
      </c>
      <c r="M58" s="5">
        <v>1666.7599999999998</v>
      </c>
      <c r="N58" s="5">
        <v>1689.24</v>
      </c>
      <c r="Q58" s="119">
        <v>6006.1399999999994</v>
      </c>
      <c r="T58" s="98">
        <f t="shared" si="7"/>
        <v>22.480000000000246</v>
      </c>
      <c r="U58" s="4">
        <f t="shared" si="8"/>
        <v>1.3487244714296187E-2</v>
      </c>
      <c r="AA58" s="113">
        <v>32851.339999999997</v>
      </c>
      <c r="AB58" s="113">
        <v>37134.33</v>
      </c>
      <c r="AC58" s="4">
        <f t="shared" si="5"/>
        <v>0.13037489490535248</v>
      </c>
    </row>
    <row r="59" spans="1:30">
      <c r="A59" s="133" t="s">
        <v>1110</v>
      </c>
      <c r="B59" t="s">
        <v>1111</v>
      </c>
      <c r="C59" s="18">
        <v>1169</v>
      </c>
      <c r="E59" t="s">
        <v>1111</v>
      </c>
      <c r="F59" s="18">
        <v>1257</v>
      </c>
      <c r="G59" t="b">
        <f t="shared" si="6"/>
        <v>1</v>
      </c>
      <c r="J59" s="24">
        <f t="shared" si="4"/>
        <v>88</v>
      </c>
      <c r="K59" s="4">
        <f t="shared" si="1"/>
        <v>7.5278015397775899E-2</v>
      </c>
      <c r="M59" s="5">
        <v>1390.1600000000003</v>
      </c>
      <c r="N59" s="5">
        <v>1211.2699999999998</v>
      </c>
      <c r="Q59" s="119">
        <v>2915.63</v>
      </c>
      <c r="T59" s="98">
        <f t="shared" si="7"/>
        <v>-178.89000000000055</v>
      </c>
      <c r="U59" s="4">
        <f t="shared" si="8"/>
        <v>-0.1286830292915927</v>
      </c>
      <c r="W59" t="s">
        <v>1112</v>
      </c>
      <c r="Y59" t="s">
        <v>1113</v>
      </c>
      <c r="AA59" s="113">
        <v>34224.31</v>
      </c>
      <c r="AB59" s="113">
        <v>35136.369999999995</v>
      </c>
      <c r="AC59" s="4">
        <f t="shared" si="5"/>
        <v>2.6649478104890933E-2</v>
      </c>
    </row>
    <row r="60" spans="1:30">
      <c r="A60" t="s">
        <v>1134</v>
      </c>
      <c r="B60" t="s">
        <v>1135</v>
      </c>
      <c r="C60" s="18">
        <v>1177</v>
      </c>
      <c r="E60" t="s">
        <v>1135</v>
      </c>
      <c r="F60" s="18">
        <v>1118</v>
      </c>
      <c r="G60" t="b">
        <f t="shared" si="6"/>
        <v>1</v>
      </c>
      <c r="J60" s="24">
        <f t="shared" si="4"/>
        <v>-59</v>
      </c>
      <c r="K60" s="4">
        <f t="shared" si="1"/>
        <v>-5.0127442650807152E-2</v>
      </c>
      <c r="M60" s="5">
        <v>0</v>
      </c>
      <c r="N60" s="5">
        <v>0</v>
      </c>
      <c r="Q60" s="119">
        <v>0</v>
      </c>
      <c r="T60" s="98">
        <f t="shared" si="7"/>
        <v>0</v>
      </c>
      <c r="U60" s="4">
        <f t="shared" si="8"/>
        <v>0</v>
      </c>
      <c r="AA60" s="113">
        <v>47050.63</v>
      </c>
      <c r="AB60" s="113">
        <v>44585.51</v>
      </c>
      <c r="AC60" s="4">
        <f t="shared" si="5"/>
        <v>-5.2392922262677333E-2</v>
      </c>
    </row>
    <row r="61" spans="1:30">
      <c r="A61" s="23" t="s">
        <v>1017</v>
      </c>
      <c r="B61" s="35" t="s">
        <v>1018</v>
      </c>
      <c r="C61" s="18">
        <v>396</v>
      </c>
      <c r="E61" s="35" t="s">
        <v>1018</v>
      </c>
      <c r="F61" s="18">
        <v>148</v>
      </c>
      <c r="G61" t="b">
        <f t="shared" si="6"/>
        <v>1</v>
      </c>
      <c r="J61" s="24">
        <f t="shared" si="4"/>
        <v>-248</v>
      </c>
      <c r="K61" s="4">
        <f t="shared" si="1"/>
        <v>-0.6262626262626263</v>
      </c>
      <c r="M61" s="5">
        <v>1242.4000000000001</v>
      </c>
      <c r="N61" s="5">
        <v>188.15</v>
      </c>
      <c r="Q61" s="119">
        <v>581.54999999999995</v>
      </c>
      <c r="T61" s="98">
        <f t="shared" si="7"/>
        <v>-1054.25</v>
      </c>
      <c r="U61" s="4">
        <f t="shared" si="8"/>
        <v>-0.84855924018029616</v>
      </c>
      <c r="AA61" s="113">
        <v>6504.04</v>
      </c>
      <c r="AB61" s="113">
        <v>2500.52</v>
      </c>
      <c r="AC61" s="4">
        <f t="shared" si="5"/>
        <v>-0.61554356984274383</v>
      </c>
    </row>
    <row r="62" spans="1:30">
      <c r="A62" s="133" t="s">
        <v>1021</v>
      </c>
      <c r="B62" t="s">
        <v>1022</v>
      </c>
      <c r="C62" s="169">
        <v>958</v>
      </c>
      <c r="E62" t="s">
        <v>1022</v>
      </c>
      <c r="F62" s="169">
        <v>1023</v>
      </c>
      <c r="G62" t="b">
        <f t="shared" si="6"/>
        <v>1</v>
      </c>
      <c r="J62" s="24">
        <f t="shared" si="4"/>
        <v>65</v>
      </c>
      <c r="K62" s="4">
        <f t="shared" si="1"/>
        <v>6.7849686847599067E-2</v>
      </c>
      <c r="M62" s="5">
        <v>985.80000000000018</v>
      </c>
      <c r="N62" s="5">
        <v>1036.6799999999998</v>
      </c>
      <c r="Q62" s="119">
        <v>3191.3099999999995</v>
      </c>
      <c r="T62" s="98">
        <f t="shared" si="7"/>
        <v>50.879999999999654</v>
      </c>
      <c r="U62" s="4">
        <f t="shared" si="8"/>
        <v>5.1612903225806139E-2</v>
      </c>
      <c r="AA62" s="113">
        <v>20982.87</v>
      </c>
      <c r="AB62" s="113">
        <v>21553.66</v>
      </c>
      <c r="AC62" s="4">
        <f t="shared" si="5"/>
        <v>2.7202665793573555E-2</v>
      </c>
    </row>
    <row r="63" spans="1:30">
      <c r="A63" s="133" t="s">
        <v>1091</v>
      </c>
      <c r="B63" s="5" t="s">
        <v>1092</v>
      </c>
      <c r="C63" s="169">
        <v>998</v>
      </c>
      <c r="E63" t="s">
        <v>1092</v>
      </c>
      <c r="F63" s="169">
        <v>1132</v>
      </c>
      <c r="G63" t="b">
        <f t="shared" si="6"/>
        <v>1</v>
      </c>
      <c r="J63" s="24">
        <f t="shared" si="4"/>
        <v>134</v>
      </c>
      <c r="K63" s="4">
        <f t="shared" si="1"/>
        <v>0.13426853707414832</v>
      </c>
      <c r="M63" s="5">
        <v>908.63999999999987</v>
      </c>
      <c r="N63" s="5">
        <v>828.51</v>
      </c>
      <c r="Q63" s="169">
        <v>2756.12</v>
      </c>
      <c r="T63" s="98">
        <f t="shared" si="7"/>
        <v>-80.129999999999882</v>
      </c>
      <c r="U63" s="4">
        <f t="shared" si="8"/>
        <v>-8.818674062334908E-2</v>
      </c>
      <c r="AA63" s="113">
        <v>22865.739999999998</v>
      </c>
      <c r="AB63" s="113">
        <v>24723.25</v>
      </c>
      <c r="AC63" s="4">
        <f t="shared" si="5"/>
        <v>8.1235507794630735E-2</v>
      </c>
    </row>
    <row r="64" spans="1:30">
      <c r="A64" s="133" t="s">
        <v>977</v>
      </c>
      <c r="B64" t="s">
        <v>978</v>
      </c>
      <c r="C64" s="18">
        <v>694</v>
      </c>
      <c r="E64" t="s">
        <v>978</v>
      </c>
      <c r="F64" s="18">
        <v>874</v>
      </c>
      <c r="G64" t="b">
        <f t="shared" si="6"/>
        <v>1</v>
      </c>
      <c r="J64" s="24">
        <f t="shared" si="4"/>
        <v>180</v>
      </c>
      <c r="K64" s="4">
        <f t="shared" si="1"/>
        <v>0.25936599423631135</v>
      </c>
      <c r="M64" s="5">
        <v>236.06000000000003</v>
      </c>
      <c r="N64" s="5">
        <v>705.78000000000009</v>
      </c>
      <c r="Q64" s="119">
        <v>2064.9700000000003</v>
      </c>
      <c r="T64" s="98">
        <f t="shared" si="7"/>
        <v>469.72</v>
      </c>
      <c r="U64" s="4">
        <f t="shared" si="8"/>
        <v>1.9898330932813693</v>
      </c>
      <c r="AA64" s="113">
        <v>13713.06</v>
      </c>
      <c r="AB64" s="113">
        <v>16466.87</v>
      </c>
      <c r="AC64" s="4">
        <f t="shared" si="5"/>
        <v>0.20081659381640571</v>
      </c>
    </row>
    <row r="65" spans="1:29">
      <c r="A65" t="s">
        <v>1081</v>
      </c>
      <c r="B65" t="s">
        <v>1082</v>
      </c>
      <c r="C65" s="18">
        <v>656</v>
      </c>
      <c r="E65" t="s">
        <v>1082</v>
      </c>
      <c r="F65" s="18">
        <v>813</v>
      </c>
      <c r="G65" t="b">
        <f t="shared" si="6"/>
        <v>1</v>
      </c>
      <c r="J65" s="24">
        <f t="shared" si="4"/>
        <v>157</v>
      </c>
      <c r="K65" s="4">
        <f t="shared" si="1"/>
        <v>0.23932926829268286</v>
      </c>
      <c r="M65" s="5">
        <v>741.13</v>
      </c>
      <c r="N65" s="5">
        <v>518.98</v>
      </c>
      <c r="Q65" s="119">
        <v>2394.0500000000002</v>
      </c>
      <c r="T65" s="98">
        <f t="shared" si="7"/>
        <v>-222.14999999999998</v>
      </c>
      <c r="U65" s="4">
        <f t="shared" si="8"/>
        <v>-0.29974498401090222</v>
      </c>
      <c r="W65" t="s">
        <v>1083</v>
      </c>
      <c r="Y65" t="s">
        <v>1084</v>
      </c>
      <c r="AA65" s="113">
        <v>13064.65</v>
      </c>
      <c r="AB65" s="113">
        <v>15037.51</v>
      </c>
      <c r="AC65" s="4">
        <f t="shared" si="5"/>
        <v>0.15100748967634048</v>
      </c>
    </row>
    <row r="66" spans="1:29">
      <c r="A66" t="s">
        <v>975</v>
      </c>
      <c r="B66" t="s">
        <v>976</v>
      </c>
      <c r="C66" s="18">
        <v>428</v>
      </c>
      <c r="D66" s="5"/>
      <c r="E66" t="s">
        <v>976</v>
      </c>
      <c r="F66" s="18">
        <v>289</v>
      </c>
      <c r="G66" t="b">
        <f t="shared" si="6"/>
        <v>1</v>
      </c>
      <c r="H66" s="5"/>
      <c r="I66" s="5"/>
      <c r="J66" s="24">
        <f t="shared" si="4"/>
        <v>-139</v>
      </c>
      <c r="K66" s="4">
        <f t="shared" si="1"/>
        <v>-0.32476635514018692</v>
      </c>
      <c r="L66" s="5"/>
      <c r="M66" s="5">
        <v>85.7</v>
      </c>
      <c r="N66" s="5">
        <v>44.760000000000005</v>
      </c>
      <c r="O66" s="5"/>
      <c r="P66" s="5"/>
      <c r="Q66" s="119">
        <v>94.949999999999989</v>
      </c>
      <c r="R66" s="5"/>
      <c r="S66" s="5"/>
      <c r="T66" s="98">
        <f t="shared" si="7"/>
        <v>-40.94</v>
      </c>
      <c r="U66" s="4">
        <f t="shared" si="8"/>
        <v>-0.47771295215869303</v>
      </c>
      <c r="V66" s="5"/>
      <c r="W66" s="5"/>
      <c r="X66" s="5"/>
      <c r="Y66" s="5"/>
      <c r="Z66" s="14"/>
      <c r="AA66" s="113">
        <v>8056.3999999999987</v>
      </c>
      <c r="AB66" s="113">
        <v>5411.66</v>
      </c>
      <c r="AC66" s="4">
        <f t="shared" si="5"/>
        <v>-0.32827813911920944</v>
      </c>
    </row>
    <row r="67" spans="1:29" ht="13.5" customHeight="1">
      <c r="A67" s="133" t="s">
        <v>1099</v>
      </c>
      <c r="B67" s="5" t="s">
        <v>1100</v>
      </c>
      <c r="C67">
        <v>1327</v>
      </c>
      <c r="D67" s="5"/>
      <c r="E67" t="s">
        <v>1100</v>
      </c>
      <c r="F67">
        <v>1592</v>
      </c>
      <c r="G67" t="b">
        <f t="shared" ref="G67:G98" si="9">IF(B67=E67,TRUE,FALSE)</f>
        <v>1</v>
      </c>
      <c r="H67" s="5"/>
      <c r="I67" s="5"/>
      <c r="J67" s="24">
        <f t="shared" si="4"/>
        <v>265</v>
      </c>
      <c r="K67" s="4">
        <f t="shared" ref="K67:K130" si="10">F67/C67-1</f>
        <v>0.19969856819894494</v>
      </c>
      <c r="L67" s="5"/>
      <c r="M67" s="5">
        <v>1559.9200000000003</v>
      </c>
      <c r="N67" s="5">
        <v>1664.5499999999997</v>
      </c>
      <c r="O67" s="5"/>
      <c r="P67" s="5"/>
      <c r="Q67" s="119">
        <v>5583.86</v>
      </c>
      <c r="R67" s="5"/>
      <c r="S67" s="5"/>
      <c r="T67" s="98">
        <f t="shared" ref="T67:T98" si="11">N67-M67</f>
        <v>104.62999999999943</v>
      </c>
      <c r="U67" s="4">
        <f t="shared" ref="U67:U98" si="12">IF(M67=0,0,N67/M67-1)</f>
        <v>6.7073952510384727E-2</v>
      </c>
      <c r="V67" s="5"/>
      <c r="W67" s="5"/>
      <c r="X67" s="5"/>
      <c r="Y67" s="5"/>
      <c r="Z67" s="14"/>
      <c r="AA67" s="113">
        <v>26394.739999999994</v>
      </c>
      <c r="AB67" s="113">
        <v>29732.129999999997</v>
      </c>
      <c r="AC67" s="4">
        <f t="shared" si="5"/>
        <v>0.12644148038586489</v>
      </c>
    </row>
    <row r="68" spans="1:29">
      <c r="A68" t="s">
        <v>1235</v>
      </c>
      <c r="B68" t="s">
        <v>1236</v>
      </c>
      <c r="C68" s="18">
        <v>3135</v>
      </c>
      <c r="D68" s="5"/>
      <c r="E68" t="s">
        <v>1236</v>
      </c>
      <c r="F68" s="18">
        <v>2325</v>
      </c>
      <c r="G68" t="b">
        <f t="shared" si="9"/>
        <v>1</v>
      </c>
      <c r="H68" s="5"/>
      <c r="I68" s="5"/>
      <c r="J68" s="24">
        <f t="shared" ref="J68:J131" si="13">F68-C68</f>
        <v>-810</v>
      </c>
      <c r="K68" s="4">
        <f t="shared" si="10"/>
        <v>-0.25837320574162681</v>
      </c>
      <c r="L68" s="5"/>
      <c r="M68" s="5">
        <v>3116.32</v>
      </c>
      <c r="N68" s="5">
        <v>2339.44</v>
      </c>
      <c r="O68" s="5"/>
      <c r="P68" s="5"/>
      <c r="Q68" s="119">
        <v>14057.66</v>
      </c>
      <c r="R68" s="5"/>
      <c r="S68" s="5"/>
      <c r="T68" s="98">
        <f t="shared" si="11"/>
        <v>-776.88000000000011</v>
      </c>
      <c r="U68" s="4">
        <f t="shared" si="12"/>
        <v>-0.24929403912306825</v>
      </c>
      <c r="V68" s="5"/>
      <c r="W68" s="5"/>
      <c r="X68" s="5"/>
      <c r="Y68" s="5"/>
      <c r="Z68" s="14"/>
      <c r="AA68" s="113">
        <v>68105.48</v>
      </c>
      <c r="AB68" s="113">
        <v>54685.89</v>
      </c>
      <c r="AC68" s="4">
        <f t="shared" ref="AC68:AC131" si="14">AB68/AA68-1</f>
        <v>-0.19704126598916849</v>
      </c>
    </row>
    <row r="69" spans="1:29">
      <c r="A69" t="s">
        <v>1126</v>
      </c>
      <c r="B69" t="s">
        <v>1127</v>
      </c>
      <c r="C69" s="18">
        <v>1568</v>
      </c>
      <c r="E69" t="s">
        <v>1127</v>
      </c>
      <c r="F69" s="18">
        <v>1804</v>
      </c>
      <c r="G69" t="b">
        <f t="shared" si="9"/>
        <v>1</v>
      </c>
      <c r="J69" s="24">
        <f t="shared" si="13"/>
        <v>236</v>
      </c>
      <c r="K69" s="4">
        <f t="shared" si="10"/>
        <v>0.15051020408163263</v>
      </c>
      <c r="M69" s="5">
        <v>3651.7500000000005</v>
      </c>
      <c r="N69" s="5">
        <v>3107.4299999999994</v>
      </c>
      <c r="Q69" s="119">
        <v>9938.1400000000012</v>
      </c>
      <c r="T69" s="98">
        <f t="shared" si="11"/>
        <v>-544.32000000000107</v>
      </c>
      <c r="U69" s="4">
        <f t="shared" si="12"/>
        <v>-0.14905730129390049</v>
      </c>
      <c r="AA69" s="113">
        <v>31094.879999999997</v>
      </c>
      <c r="AB69" s="113">
        <v>32905.629999999997</v>
      </c>
      <c r="AC69" s="4">
        <f t="shared" si="14"/>
        <v>5.8233059590517833E-2</v>
      </c>
    </row>
    <row r="70" spans="1:29" ht="13.9" customHeight="1">
      <c r="A70" s="133" t="s">
        <v>1108</v>
      </c>
      <c r="B70" t="s">
        <v>1109</v>
      </c>
      <c r="C70" s="18">
        <v>1036</v>
      </c>
      <c r="D70" s="11"/>
      <c r="E70" t="s">
        <v>1109</v>
      </c>
      <c r="F70" s="18">
        <v>1144</v>
      </c>
      <c r="G70" t="b">
        <f t="shared" si="9"/>
        <v>1</v>
      </c>
      <c r="H70" s="11"/>
      <c r="I70" s="11"/>
      <c r="J70" s="24">
        <f t="shared" si="13"/>
        <v>108</v>
      </c>
      <c r="K70" s="4">
        <f t="shared" si="10"/>
        <v>0.10424710424710426</v>
      </c>
      <c r="L70" s="11"/>
      <c r="M70" s="5">
        <v>1089.43</v>
      </c>
      <c r="N70" s="5">
        <v>358.53999999999991</v>
      </c>
      <c r="O70" s="11"/>
      <c r="P70" s="11"/>
      <c r="Q70" s="119">
        <v>1665.2700000000002</v>
      </c>
      <c r="R70" s="11"/>
      <c r="S70" s="11"/>
      <c r="T70" s="98">
        <f t="shared" si="11"/>
        <v>-730.8900000000001</v>
      </c>
      <c r="U70" s="4">
        <f t="shared" si="12"/>
        <v>-0.67089211789651482</v>
      </c>
      <c r="V70" s="5"/>
      <c r="W70" s="5"/>
      <c r="X70" s="5"/>
      <c r="Y70" s="5"/>
      <c r="Z70" s="14"/>
      <c r="AA70" s="113">
        <v>25436.399999999998</v>
      </c>
      <c r="AB70" s="113">
        <v>26885.609999999997</v>
      </c>
      <c r="AC70" s="4">
        <f t="shared" si="14"/>
        <v>5.6973864226069759E-2</v>
      </c>
    </row>
    <row r="71" spans="1:29" ht="13.9" customHeight="1">
      <c r="A71" s="5" t="s">
        <v>1141</v>
      </c>
      <c r="B71" s="26" t="s">
        <v>1142</v>
      </c>
      <c r="C71" s="18">
        <v>1064</v>
      </c>
      <c r="D71" s="5"/>
      <c r="E71" s="26" t="s">
        <v>1142</v>
      </c>
      <c r="F71" s="18">
        <v>658</v>
      </c>
      <c r="G71" t="b">
        <f t="shared" si="9"/>
        <v>1</v>
      </c>
      <c r="H71" s="5"/>
      <c r="I71" s="5"/>
      <c r="J71" s="24">
        <f t="shared" si="13"/>
        <v>-406</v>
      </c>
      <c r="K71" s="4">
        <f t="shared" si="10"/>
        <v>-0.38157894736842102</v>
      </c>
      <c r="L71" s="5"/>
      <c r="M71" s="5">
        <v>925.58999999999992</v>
      </c>
      <c r="N71" s="5">
        <v>420.64</v>
      </c>
      <c r="O71" s="5"/>
      <c r="P71" s="5"/>
      <c r="Q71" s="119">
        <v>4750.88</v>
      </c>
      <c r="R71" s="5"/>
      <c r="S71" s="5"/>
      <c r="T71" s="98">
        <f t="shared" si="11"/>
        <v>-504.94999999999993</v>
      </c>
      <c r="U71" s="4">
        <f t="shared" si="12"/>
        <v>-0.54554392333538604</v>
      </c>
      <c r="V71" s="5"/>
      <c r="W71" s="5"/>
      <c r="X71" s="5"/>
      <c r="Y71" s="5"/>
      <c r="Z71" s="14"/>
      <c r="AA71" s="113">
        <v>14386.86</v>
      </c>
      <c r="AB71" s="113">
        <v>9204.16</v>
      </c>
      <c r="AC71" s="4">
        <f t="shared" si="14"/>
        <v>-0.36023843979853842</v>
      </c>
    </row>
    <row r="72" spans="1:29" ht="13.9" customHeight="1">
      <c r="A72" s="35" t="s">
        <v>1075</v>
      </c>
      <c r="B72" s="35" t="s">
        <v>1076</v>
      </c>
      <c r="C72" s="18">
        <v>237</v>
      </c>
      <c r="E72" s="35" t="s">
        <v>1076</v>
      </c>
      <c r="F72" s="18">
        <v>5</v>
      </c>
      <c r="G72" t="b">
        <f t="shared" si="9"/>
        <v>1</v>
      </c>
      <c r="J72" s="24">
        <f t="shared" si="13"/>
        <v>-232</v>
      </c>
      <c r="K72" s="4">
        <f t="shared" si="10"/>
        <v>-0.97890295358649793</v>
      </c>
      <c r="M72" s="5">
        <v>216.16</v>
      </c>
      <c r="N72" s="5">
        <v>3.42</v>
      </c>
      <c r="Q72" s="119">
        <v>0</v>
      </c>
      <c r="T72" s="98">
        <f t="shared" si="11"/>
        <v>-212.74</v>
      </c>
      <c r="U72" s="4">
        <f t="shared" si="12"/>
        <v>-0.98417838638045896</v>
      </c>
      <c r="AA72" s="113">
        <v>4717.04</v>
      </c>
      <c r="AB72" s="113">
        <v>99.95</v>
      </c>
      <c r="AC72" s="4">
        <f t="shared" si="14"/>
        <v>-0.97881086444041177</v>
      </c>
    </row>
    <row r="73" spans="1:29" ht="13.9" customHeight="1">
      <c r="A73" t="s">
        <v>1051</v>
      </c>
      <c r="B73" t="s">
        <v>1052</v>
      </c>
      <c r="C73" s="18">
        <v>897</v>
      </c>
      <c r="D73" s="5"/>
      <c r="E73" t="s">
        <v>1052</v>
      </c>
      <c r="F73" s="18">
        <v>805</v>
      </c>
      <c r="G73" t="b">
        <f t="shared" si="9"/>
        <v>1</v>
      </c>
      <c r="H73" s="5"/>
      <c r="I73" s="5"/>
      <c r="J73" s="24">
        <f t="shared" si="13"/>
        <v>-92</v>
      </c>
      <c r="K73" s="4">
        <f t="shared" si="10"/>
        <v>-0.10256410256410253</v>
      </c>
      <c r="L73" s="5"/>
      <c r="M73" s="5">
        <v>1190.8499999999999</v>
      </c>
      <c r="N73" s="5">
        <v>861.15</v>
      </c>
      <c r="O73" s="5"/>
      <c r="P73" s="5"/>
      <c r="Q73" s="119">
        <v>5066.79</v>
      </c>
      <c r="R73" s="5"/>
      <c r="S73" s="5"/>
      <c r="T73" s="98">
        <f t="shared" si="11"/>
        <v>-329.69999999999993</v>
      </c>
      <c r="U73" s="4">
        <f t="shared" si="12"/>
        <v>-0.27686106562539359</v>
      </c>
      <c r="V73" s="5"/>
      <c r="W73" s="5"/>
      <c r="X73" s="5"/>
      <c r="Y73" s="5"/>
      <c r="Z73" s="14"/>
      <c r="AA73" s="113">
        <v>26859.15</v>
      </c>
      <c r="AB73" s="113">
        <v>24103.79</v>
      </c>
      <c r="AC73" s="4">
        <f t="shared" si="14"/>
        <v>-0.10258552485838157</v>
      </c>
    </row>
    <row r="74" spans="1:29" ht="14.45" customHeight="1">
      <c r="A74" t="s">
        <v>946</v>
      </c>
      <c r="B74" t="s">
        <v>947</v>
      </c>
      <c r="C74" s="18">
        <v>2310</v>
      </c>
      <c r="E74" t="s">
        <v>947</v>
      </c>
      <c r="F74" s="18">
        <v>922</v>
      </c>
      <c r="G74" t="b">
        <f t="shared" si="9"/>
        <v>1</v>
      </c>
      <c r="J74" s="24">
        <f t="shared" si="13"/>
        <v>-1388</v>
      </c>
      <c r="K74" s="4">
        <f t="shared" si="10"/>
        <v>-0.60086580086580088</v>
      </c>
      <c r="M74" s="5">
        <v>3306.33</v>
      </c>
      <c r="N74" s="5">
        <v>757.11</v>
      </c>
      <c r="Q74" s="119">
        <v>3975.31</v>
      </c>
      <c r="T74" s="98">
        <f t="shared" si="11"/>
        <v>-2549.2199999999998</v>
      </c>
      <c r="U74" s="4">
        <f t="shared" si="12"/>
        <v>-0.77101196795238225</v>
      </c>
      <c r="AA74" s="113">
        <v>34771.01</v>
      </c>
      <c r="AB74" s="113">
        <v>17487.7</v>
      </c>
      <c r="AC74" s="4">
        <f t="shared" si="14"/>
        <v>-0.49706091367492633</v>
      </c>
    </row>
    <row r="75" spans="1:29" ht="13.9" customHeight="1">
      <c r="A75" s="23" t="s">
        <v>937</v>
      </c>
      <c r="B75" s="22" t="s">
        <v>938</v>
      </c>
      <c r="C75" s="18">
        <v>782</v>
      </c>
      <c r="D75" s="5"/>
      <c r="E75" s="22" t="s">
        <v>938</v>
      </c>
      <c r="F75" s="18">
        <v>682</v>
      </c>
      <c r="G75" t="b">
        <f t="shared" si="9"/>
        <v>1</v>
      </c>
      <c r="H75" s="5"/>
      <c r="I75" s="5"/>
      <c r="J75" s="24">
        <f t="shared" si="13"/>
        <v>-100</v>
      </c>
      <c r="K75" s="4">
        <f t="shared" si="10"/>
        <v>-0.12787723785166238</v>
      </c>
      <c r="L75" s="5"/>
      <c r="M75" s="5">
        <v>299.09999999999997</v>
      </c>
      <c r="N75" s="5">
        <v>65.87</v>
      </c>
      <c r="O75" s="5"/>
      <c r="P75" s="5"/>
      <c r="Q75" s="119">
        <v>509.85</v>
      </c>
      <c r="R75" s="5"/>
      <c r="S75" s="5"/>
      <c r="T75" s="98">
        <f t="shared" si="11"/>
        <v>-233.22999999999996</v>
      </c>
      <c r="U75" s="4">
        <f t="shared" si="12"/>
        <v>-0.77977265128719486</v>
      </c>
      <c r="V75" s="5"/>
      <c r="W75" s="5"/>
      <c r="X75" s="5"/>
      <c r="Y75" s="5"/>
      <c r="Z75" s="14"/>
      <c r="AA75" s="113">
        <v>23125.179999999997</v>
      </c>
      <c r="AB75" s="113">
        <v>20003.18</v>
      </c>
      <c r="AC75" s="4">
        <f t="shared" si="14"/>
        <v>-0.13500435456069948</v>
      </c>
    </row>
    <row r="76" spans="1:29" ht="13.9" customHeight="1">
      <c r="A76" s="133" t="s">
        <v>1128</v>
      </c>
      <c r="B76" t="s">
        <v>1129</v>
      </c>
      <c r="C76" s="18">
        <v>1323</v>
      </c>
      <c r="D76" s="5"/>
      <c r="E76" t="s">
        <v>1129</v>
      </c>
      <c r="F76" s="18">
        <v>1343</v>
      </c>
      <c r="G76" t="b">
        <f t="shared" si="9"/>
        <v>1</v>
      </c>
      <c r="H76" s="5"/>
      <c r="I76" s="5"/>
      <c r="J76" s="24">
        <f t="shared" si="13"/>
        <v>20</v>
      </c>
      <c r="K76" s="4">
        <f t="shared" si="10"/>
        <v>1.5117157974300799E-2</v>
      </c>
      <c r="L76" s="5"/>
      <c r="M76" s="5">
        <v>2621.04</v>
      </c>
      <c r="N76" s="5">
        <v>1454.4500000000003</v>
      </c>
      <c r="O76" s="5"/>
      <c r="P76" s="5"/>
      <c r="Q76" s="119">
        <v>9509.76</v>
      </c>
      <c r="R76" s="5"/>
      <c r="S76" s="5"/>
      <c r="T76" s="98">
        <f t="shared" si="11"/>
        <v>-1166.5899999999997</v>
      </c>
      <c r="U76" s="4">
        <f t="shared" si="12"/>
        <v>-0.44508668314867372</v>
      </c>
      <c r="V76" s="5"/>
      <c r="W76" s="5"/>
      <c r="X76" s="5"/>
      <c r="Y76" s="5"/>
      <c r="Z76" s="14"/>
      <c r="AA76" s="113">
        <v>32544.609999999997</v>
      </c>
      <c r="AB76" s="113">
        <v>31538.73</v>
      </c>
      <c r="AC76" s="4">
        <f t="shared" si="14"/>
        <v>-3.0907729421246644E-2</v>
      </c>
    </row>
    <row r="77" spans="1:29" ht="13.9" customHeight="1">
      <c r="A77" s="38" t="s">
        <v>1136</v>
      </c>
      <c r="B77" s="35" t="s">
        <v>1137</v>
      </c>
      <c r="C77" s="18">
        <v>695</v>
      </c>
      <c r="E77" s="35" t="s">
        <v>1137</v>
      </c>
      <c r="F77" s="18">
        <v>485</v>
      </c>
      <c r="G77" t="b">
        <f t="shared" si="9"/>
        <v>1</v>
      </c>
      <c r="J77" s="24">
        <f t="shared" si="13"/>
        <v>-210</v>
      </c>
      <c r="K77" s="4">
        <f t="shared" si="10"/>
        <v>-0.30215827338129497</v>
      </c>
      <c r="M77" s="5">
        <v>1844.99</v>
      </c>
      <c r="N77" s="5">
        <v>1312.73</v>
      </c>
      <c r="Q77" s="119">
        <v>4931.8</v>
      </c>
      <c r="T77" s="98">
        <f t="shared" si="11"/>
        <v>-532.26</v>
      </c>
      <c r="U77" s="4">
        <f t="shared" si="12"/>
        <v>-0.28848936850606233</v>
      </c>
      <c r="AA77" s="113">
        <v>12216.26</v>
      </c>
      <c r="AB77" s="113">
        <v>9045.75</v>
      </c>
      <c r="AC77" s="4">
        <f t="shared" si="14"/>
        <v>-0.25953196804914103</v>
      </c>
    </row>
    <row r="78" spans="1:29">
      <c r="A78" t="s">
        <v>1061</v>
      </c>
      <c r="B78" t="s">
        <v>1062</v>
      </c>
      <c r="C78" s="18">
        <v>514</v>
      </c>
      <c r="E78" t="s">
        <v>1062</v>
      </c>
      <c r="F78" s="18">
        <v>484</v>
      </c>
      <c r="G78" t="b">
        <f t="shared" si="9"/>
        <v>1</v>
      </c>
      <c r="J78" s="24">
        <f t="shared" si="13"/>
        <v>-30</v>
      </c>
      <c r="K78" s="4">
        <f t="shared" si="10"/>
        <v>-5.8365758754863828E-2</v>
      </c>
      <c r="M78" s="5">
        <v>447.47</v>
      </c>
      <c r="N78" s="5">
        <v>302.13</v>
      </c>
      <c r="Q78" s="119">
        <v>1094.44</v>
      </c>
      <c r="T78" s="98">
        <f t="shared" si="11"/>
        <v>-145.34000000000003</v>
      </c>
      <c r="U78" s="4">
        <f t="shared" si="12"/>
        <v>-0.32480389746798677</v>
      </c>
      <c r="AA78" s="113">
        <v>8934.67</v>
      </c>
      <c r="AB78" s="113">
        <v>8753.0400000000009</v>
      </c>
      <c r="AC78" s="4">
        <f t="shared" si="14"/>
        <v>-2.032867470203148E-2</v>
      </c>
    </row>
    <row r="79" spans="1:29">
      <c r="A79" t="s">
        <v>1063</v>
      </c>
      <c r="B79" t="s">
        <v>1064</v>
      </c>
      <c r="C79" s="18">
        <v>440</v>
      </c>
      <c r="E79" t="s">
        <v>1064</v>
      </c>
      <c r="F79" s="18">
        <v>424</v>
      </c>
      <c r="G79" t="b">
        <f t="shared" si="9"/>
        <v>1</v>
      </c>
      <c r="J79" s="24">
        <f t="shared" si="13"/>
        <v>-16</v>
      </c>
      <c r="K79" s="4">
        <f t="shared" si="10"/>
        <v>-3.6363636363636376E-2</v>
      </c>
      <c r="M79" s="5">
        <v>319.55</v>
      </c>
      <c r="N79" s="5">
        <v>358.96</v>
      </c>
      <c r="Q79" s="119">
        <v>2623.16</v>
      </c>
      <c r="T79" s="98">
        <f t="shared" si="11"/>
        <v>39.409999999999968</v>
      </c>
      <c r="U79" s="4">
        <f t="shared" si="12"/>
        <v>0.12332968236582675</v>
      </c>
      <c r="AA79" s="113">
        <v>13161.95</v>
      </c>
      <c r="AB79" s="113">
        <v>12711.89</v>
      </c>
      <c r="AC79" s="4">
        <f t="shared" si="14"/>
        <v>-3.4194021402603858E-2</v>
      </c>
    </row>
    <row r="80" spans="1:29">
      <c r="A80" t="s">
        <v>1053</v>
      </c>
      <c r="B80" t="s">
        <v>1054</v>
      </c>
      <c r="C80" s="18">
        <v>525</v>
      </c>
      <c r="E80" t="s">
        <v>1054</v>
      </c>
      <c r="F80" s="18">
        <v>634</v>
      </c>
      <c r="G80" t="b">
        <f t="shared" si="9"/>
        <v>1</v>
      </c>
      <c r="J80" s="24">
        <f t="shared" si="13"/>
        <v>109</v>
      </c>
      <c r="K80" s="4">
        <f t="shared" si="10"/>
        <v>0.20761904761904759</v>
      </c>
      <c r="M80" s="5">
        <v>554.12</v>
      </c>
      <c r="N80" s="5">
        <v>668.59</v>
      </c>
      <c r="Q80" s="119">
        <v>1780.6200000000001</v>
      </c>
      <c r="T80" s="98">
        <f t="shared" si="11"/>
        <v>114.47000000000003</v>
      </c>
      <c r="U80" s="4">
        <f t="shared" si="12"/>
        <v>0.20657980220890781</v>
      </c>
      <c r="W80" t="s">
        <v>1055</v>
      </c>
      <c r="Y80" s="4" t="s">
        <v>1056</v>
      </c>
      <c r="AA80" s="113">
        <v>9814.9</v>
      </c>
      <c r="AB80" s="113">
        <v>11329.06</v>
      </c>
      <c r="AC80" s="4">
        <f t="shared" si="14"/>
        <v>0.15427156669960973</v>
      </c>
    </row>
    <row r="81" spans="1:30" s="5" customFormat="1">
      <c r="A81" s="5" t="s">
        <v>921</v>
      </c>
      <c r="B81" s="5" t="s">
        <v>922</v>
      </c>
      <c r="C81" s="18">
        <v>1047</v>
      </c>
      <c r="E81" t="s">
        <v>922</v>
      </c>
      <c r="F81" s="18">
        <v>1143</v>
      </c>
      <c r="G81" t="b">
        <f t="shared" si="9"/>
        <v>1</v>
      </c>
      <c r="J81" s="24">
        <f t="shared" si="13"/>
        <v>96</v>
      </c>
      <c r="K81" s="4">
        <f t="shared" si="10"/>
        <v>9.1690544412607489E-2</v>
      </c>
      <c r="M81" s="5">
        <v>0</v>
      </c>
      <c r="N81" s="5">
        <v>0</v>
      </c>
      <c r="Q81" s="119">
        <v>0</v>
      </c>
      <c r="T81" s="98">
        <f t="shared" si="11"/>
        <v>0</v>
      </c>
      <c r="U81" s="4">
        <f t="shared" si="12"/>
        <v>0</v>
      </c>
      <c r="Z81" s="14"/>
      <c r="AA81" s="113">
        <v>31365.34</v>
      </c>
      <c r="AB81" s="113">
        <v>32008.49</v>
      </c>
      <c r="AC81" s="4">
        <f t="shared" si="14"/>
        <v>2.0505118069818584E-2</v>
      </c>
      <c r="AD81"/>
    </row>
    <row r="82" spans="1:30" s="5" customFormat="1">
      <c r="A82" t="s">
        <v>1077</v>
      </c>
      <c r="B82" t="s">
        <v>1078</v>
      </c>
      <c r="C82" s="18">
        <v>429</v>
      </c>
      <c r="D82"/>
      <c r="E82" t="s">
        <v>1078</v>
      </c>
      <c r="F82" s="18">
        <v>459</v>
      </c>
      <c r="G82" t="b">
        <f t="shared" si="9"/>
        <v>1</v>
      </c>
      <c r="H82"/>
      <c r="I82"/>
      <c r="J82" s="24">
        <f t="shared" si="13"/>
        <v>30</v>
      </c>
      <c r="K82" s="4">
        <f t="shared" si="10"/>
        <v>6.9930069930070005E-2</v>
      </c>
      <c r="L82"/>
      <c r="M82" s="5">
        <v>486.17000000000007</v>
      </c>
      <c r="N82" s="5">
        <v>293.57</v>
      </c>
      <c r="O82"/>
      <c r="P82"/>
      <c r="Q82" s="119">
        <v>1766.8900000000003</v>
      </c>
      <c r="R82"/>
      <c r="S82"/>
      <c r="T82" s="98">
        <f t="shared" si="11"/>
        <v>-192.60000000000008</v>
      </c>
      <c r="U82" s="4">
        <f t="shared" si="12"/>
        <v>-0.39615772260731852</v>
      </c>
      <c r="V82"/>
      <c r="W82"/>
      <c r="X82"/>
      <c r="Y82"/>
      <c r="Z82" s="13"/>
      <c r="AA82" s="113">
        <v>11395.109999999999</v>
      </c>
      <c r="AB82" s="113">
        <v>12177.81</v>
      </c>
      <c r="AC82" s="4">
        <f t="shared" si="14"/>
        <v>6.8687357998299392E-2</v>
      </c>
      <c r="AD82"/>
    </row>
    <row r="83" spans="1:30" s="5" customFormat="1">
      <c r="A83" s="134" t="s">
        <v>973</v>
      </c>
      <c r="B83" s="26" t="s">
        <v>974</v>
      </c>
      <c r="C83" s="169">
        <v>484</v>
      </c>
      <c r="D83"/>
      <c r="E83" s="26" t="s">
        <v>974</v>
      </c>
      <c r="F83" s="169">
        <v>512</v>
      </c>
      <c r="G83" t="b">
        <f t="shared" si="9"/>
        <v>1</v>
      </c>
      <c r="H83"/>
      <c r="I83"/>
      <c r="J83" s="24">
        <f t="shared" si="13"/>
        <v>28</v>
      </c>
      <c r="K83" s="4">
        <f t="shared" si="10"/>
        <v>5.7851239669421517E-2</v>
      </c>
      <c r="L83"/>
      <c r="M83" s="5">
        <v>383.12</v>
      </c>
      <c r="N83" s="5">
        <v>859.2399999999999</v>
      </c>
      <c r="O83"/>
      <c r="P83"/>
      <c r="Q83" s="119">
        <v>2644.25</v>
      </c>
      <c r="R83"/>
      <c r="S83"/>
      <c r="T83" s="98">
        <f t="shared" si="11"/>
        <v>476.11999999999989</v>
      </c>
      <c r="U83" s="4">
        <f t="shared" si="12"/>
        <v>1.2427437878471492</v>
      </c>
      <c r="V83"/>
      <c r="W83"/>
      <c r="X83"/>
      <c r="Y83"/>
      <c r="Z83" s="13"/>
      <c r="AA83" s="113">
        <v>10627.3</v>
      </c>
      <c r="AB83" s="113">
        <v>11125.81</v>
      </c>
      <c r="AC83" s="4">
        <f t="shared" si="14"/>
        <v>4.6908433939006233E-2</v>
      </c>
      <c r="AD83"/>
    </row>
    <row r="84" spans="1:30" s="5" customFormat="1">
      <c r="A84" t="s">
        <v>1013</v>
      </c>
      <c r="B84" t="s">
        <v>1014</v>
      </c>
      <c r="C84" s="18">
        <v>520</v>
      </c>
      <c r="D84"/>
      <c r="E84" t="s">
        <v>1014</v>
      </c>
      <c r="F84" s="18">
        <v>465</v>
      </c>
      <c r="G84" t="b">
        <f t="shared" si="9"/>
        <v>1</v>
      </c>
      <c r="H84"/>
      <c r="I84"/>
      <c r="J84" s="24">
        <f t="shared" si="13"/>
        <v>-55</v>
      </c>
      <c r="K84" s="4">
        <f t="shared" si="10"/>
        <v>-0.10576923076923073</v>
      </c>
      <c r="L84"/>
      <c r="M84" s="5">
        <v>677.90999999999985</v>
      </c>
      <c r="N84" s="5">
        <v>429.57</v>
      </c>
      <c r="O84"/>
      <c r="P84"/>
      <c r="Q84" s="119">
        <v>1747.1500000000003</v>
      </c>
      <c r="R84"/>
      <c r="S84"/>
      <c r="T84" s="98">
        <f t="shared" si="11"/>
        <v>-248.33999999999986</v>
      </c>
      <c r="U84" s="4">
        <f t="shared" si="12"/>
        <v>-0.36633181395760483</v>
      </c>
      <c r="V84"/>
      <c r="W84"/>
      <c r="X84"/>
      <c r="Y84"/>
      <c r="Z84" s="13"/>
      <c r="AA84" s="113">
        <v>10259.949999999999</v>
      </c>
      <c r="AB84" s="113">
        <v>9142.3499999999985</v>
      </c>
      <c r="AC84" s="4">
        <f t="shared" si="14"/>
        <v>-0.10892840608385035</v>
      </c>
      <c r="AD84"/>
    </row>
    <row r="85" spans="1:30" s="5" customFormat="1">
      <c r="A85" s="5" t="s">
        <v>1155</v>
      </c>
      <c r="B85" t="s">
        <v>1156</v>
      </c>
      <c r="C85" s="18">
        <v>1231</v>
      </c>
      <c r="E85" t="s">
        <v>1156</v>
      </c>
      <c r="F85" s="18">
        <v>877</v>
      </c>
      <c r="G85" t="b">
        <f t="shared" si="9"/>
        <v>1</v>
      </c>
      <c r="J85" s="24">
        <f t="shared" si="13"/>
        <v>-354</v>
      </c>
      <c r="K85" s="4">
        <f t="shared" si="10"/>
        <v>-0.28757108042242074</v>
      </c>
      <c r="M85" s="5">
        <v>1929.27</v>
      </c>
      <c r="N85" s="5">
        <v>1671.28</v>
      </c>
      <c r="Q85" s="119">
        <v>10153.09</v>
      </c>
      <c r="T85" s="98">
        <f t="shared" si="11"/>
        <v>-257.99</v>
      </c>
      <c r="U85" s="4">
        <f t="shared" si="12"/>
        <v>-0.13372415473210075</v>
      </c>
      <c r="Z85" s="14"/>
      <c r="AA85" s="113">
        <v>23649.13</v>
      </c>
      <c r="AB85" s="113">
        <v>18891.669999999998</v>
      </c>
      <c r="AC85" s="4">
        <f t="shared" si="14"/>
        <v>-0.20116849964459593</v>
      </c>
    </row>
    <row r="86" spans="1:30" s="5" customFormat="1">
      <c r="A86" t="s">
        <v>967</v>
      </c>
      <c r="B86" t="s">
        <v>968</v>
      </c>
      <c r="C86" s="18">
        <v>272</v>
      </c>
      <c r="D86"/>
      <c r="E86" t="s">
        <v>968</v>
      </c>
      <c r="F86" s="18">
        <v>312</v>
      </c>
      <c r="G86" t="b">
        <f t="shared" si="9"/>
        <v>1</v>
      </c>
      <c r="H86"/>
      <c r="I86"/>
      <c r="J86" s="24">
        <f t="shared" si="13"/>
        <v>40</v>
      </c>
      <c r="K86" s="4">
        <f t="shared" si="10"/>
        <v>0.14705882352941169</v>
      </c>
      <c r="L86"/>
      <c r="M86" s="5">
        <v>0</v>
      </c>
      <c r="N86" s="5">
        <v>0</v>
      </c>
      <c r="O86"/>
      <c r="P86"/>
      <c r="Q86" s="119">
        <v>0</v>
      </c>
      <c r="R86"/>
      <c r="S86"/>
      <c r="T86" s="98">
        <f t="shared" si="11"/>
        <v>0</v>
      </c>
      <c r="U86" s="4">
        <f t="shared" si="12"/>
        <v>0</v>
      </c>
      <c r="V86"/>
      <c r="W86"/>
      <c r="X86"/>
      <c r="Y86"/>
      <c r="Z86" s="13"/>
      <c r="AA86" s="113">
        <v>8684</v>
      </c>
      <c r="AB86" s="113">
        <v>9870.9699999999993</v>
      </c>
      <c r="AC86" s="4">
        <f t="shared" si="14"/>
        <v>0.13668470750806083</v>
      </c>
      <c r="AD86"/>
    </row>
    <row r="87" spans="1:30" s="5" customFormat="1">
      <c r="A87" t="s">
        <v>1037</v>
      </c>
      <c r="B87" t="s">
        <v>1038</v>
      </c>
      <c r="C87" s="18">
        <v>736</v>
      </c>
      <c r="D87"/>
      <c r="E87" t="s">
        <v>1038</v>
      </c>
      <c r="F87" s="18">
        <v>849</v>
      </c>
      <c r="G87" t="b">
        <f t="shared" si="9"/>
        <v>1</v>
      </c>
      <c r="H87"/>
      <c r="I87"/>
      <c r="J87" s="24">
        <f t="shared" si="13"/>
        <v>113</v>
      </c>
      <c r="K87" s="4">
        <f t="shared" si="10"/>
        <v>0.15353260869565211</v>
      </c>
      <c r="L87"/>
      <c r="M87" s="5">
        <v>235.24000000000004</v>
      </c>
      <c r="N87" s="5">
        <v>275.70999999999998</v>
      </c>
      <c r="O87"/>
      <c r="P87"/>
      <c r="Q87" s="119">
        <v>1597.6000000000001</v>
      </c>
      <c r="R87"/>
      <c r="S87"/>
      <c r="T87" s="98">
        <f t="shared" si="11"/>
        <v>40.469999999999942</v>
      </c>
      <c r="U87" s="4">
        <f t="shared" si="12"/>
        <v>0.17203706852576062</v>
      </c>
      <c r="V87"/>
      <c r="W87"/>
      <c r="X87"/>
      <c r="Y87"/>
      <c r="Z87" s="13"/>
      <c r="AA87" s="113">
        <v>18193.53</v>
      </c>
      <c r="AB87" s="113">
        <v>20121.159999999996</v>
      </c>
      <c r="AC87" s="4">
        <f t="shared" si="14"/>
        <v>0.10595140140478487</v>
      </c>
      <c r="AD87"/>
    </row>
    <row r="88" spans="1:30" s="5" customFormat="1">
      <c r="A88" s="133" t="s">
        <v>954</v>
      </c>
      <c r="B88" t="s">
        <v>955</v>
      </c>
      <c r="C88" s="18">
        <v>640</v>
      </c>
      <c r="D88"/>
      <c r="E88" t="s">
        <v>955</v>
      </c>
      <c r="F88" s="18">
        <v>555</v>
      </c>
      <c r="G88" t="b">
        <f t="shared" si="9"/>
        <v>1</v>
      </c>
      <c r="H88"/>
      <c r="I88"/>
      <c r="J88" s="24">
        <f t="shared" si="13"/>
        <v>-85</v>
      </c>
      <c r="K88" s="4">
        <f t="shared" si="10"/>
        <v>-0.1328125</v>
      </c>
      <c r="L88"/>
      <c r="M88" s="5">
        <v>735.24</v>
      </c>
      <c r="N88" s="5">
        <v>191.67</v>
      </c>
      <c r="O88"/>
      <c r="P88"/>
      <c r="Q88" s="119">
        <v>260.27</v>
      </c>
      <c r="R88"/>
      <c r="S88"/>
      <c r="T88" s="98">
        <f t="shared" si="11"/>
        <v>-543.57000000000005</v>
      </c>
      <c r="U88" s="4">
        <f t="shared" si="12"/>
        <v>-0.73930961318753063</v>
      </c>
      <c r="V88"/>
      <c r="W88"/>
      <c r="X88"/>
      <c r="Y88"/>
      <c r="Z88" s="13"/>
      <c r="AA88" s="113">
        <v>12686.609999999999</v>
      </c>
      <c r="AB88" s="113">
        <v>10974.449999999999</v>
      </c>
      <c r="AC88" s="4">
        <f t="shared" si="14"/>
        <v>-0.13495803843579968</v>
      </c>
      <c r="AD88"/>
    </row>
    <row r="89" spans="1:30">
      <c r="A89" t="s">
        <v>1023</v>
      </c>
      <c r="B89" t="s">
        <v>1024</v>
      </c>
      <c r="C89" s="18">
        <v>281</v>
      </c>
      <c r="E89" t="s">
        <v>1024</v>
      </c>
      <c r="F89" s="18">
        <v>315</v>
      </c>
      <c r="G89" t="b">
        <f t="shared" si="9"/>
        <v>1</v>
      </c>
      <c r="J89" s="24">
        <f t="shared" si="13"/>
        <v>34</v>
      </c>
      <c r="K89" s="4">
        <f t="shared" si="10"/>
        <v>0.12099644128113884</v>
      </c>
      <c r="M89" s="5">
        <v>126.22</v>
      </c>
      <c r="N89" s="5">
        <v>186.55</v>
      </c>
      <c r="Q89" s="119">
        <v>1950.1</v>
      </c>
      <c r="T89" s="98">
        <f t="shared" si="11"/>
        <v>60.330000000000013</v>
      </c>
      <c r="U89" s="4">
        <f t="shared" si="12"/>
        <v>0.47797496434796405</v>
      </c>
      <c r="AA89" s="113">
        <v>8304.23</v>
      </c>
      <c r="AB89" s="113">
        <v>9445.0499999999993</v>
      </c>
      <c r="AC89" s="4">
        <f t="shared" si="14"/>
        <v>0.13737817955427523</v>
      </c>
    </row>
    <row r="90" spans="1:30" s="5" customFormat="1">
      <c r="A90" t="s">
        <v>1161</v>
      </c>
      <c r="B90" t="s">
        <v>1162</v>
      </c>
      <c r="C90" s="18">
        <v>1117</v>
      </c>
      <c r="D90"/>
      <c r="E90" t="s">
        <v>1162</v>
      </c>
      <c r="F90" s="18">
        <v>882</v>
      </c>
      <c r="G90" t="b">
        <f t="shared" si="9"/>
        <v>1</v>
      </c>
      <c r="H90"/>
      <c r="I90"/>
      <c r="J90" s="24">
        <f t="shared" si="13"/>
        <v>-235</v>
      </c>
      <c r="K90" s="4">
        <f t="shared" si="10"/>
        <v>-0.21038495971351834</v>
      </c>
      <c r="L90"/>
      <c r="M90" s="5">
        <v>712.14</v>
      </c>
      <c r="N90" s="5">
        <v>528.09</v>
      </c>
      <c r="O90"/>
      <c r="P90"/>
      <c r="Q90" s="119">
        <v>3584.7</v>
      </c>
      <c r="R90"/>
      <c r="S90"/>
      <c r="T90" s="98">
        <f t="shared" si="11"/>
        <v>-184.04999999999995</v>
      </c>
      <c r="U90" s="4">
        <f t="shared" si="12"/>
        <v>-0.25844637290420414</v>
      </c>
      <c r="V90"/>
      <c r="W90"/>
      <c r="X90"/>
      <c r="Y90"/>
      <c r="Z90" s="13"/>
      <c r="AA90" s="113">
        <v>23691.49</v>
      </c>
      <c r="AB90" s="113">
        <v>19814.54</v>
      </c>
      <c r="AC90" s="4">
        <f t="shared" si="14"/>
        <v>-0.16364314781383527</v>
      </c>
      <c r="AD90"/>
    </row>
    <row r="91" spans="1:30" s="5" customFormat="1">
      <c r="A91" t="s">
        <v>1057</v>
      </c>
      <c r="B91" t="s">
        <v>1058</v>
      </c>
      <c r="C91" s="18">
        <v>683</v>
      </c>
      <c r="D91"/>
      <c r="E91" t="s">
        <v>1058</v>
      </c>
      <c r="F91" s="18">
        <v>608</v>
      </c>
      <c r="G91" t="b">
        <f t="shared" si="9"/>
        <v>1</v>
      </c>
      <c r="H91"/>
      <c r="I91"/>
      <c r="J91" s="24">
        <f t="shared" si="13"/>
        <v>-75</v>
      </c>
      <c r="K91" s="4">
        <f t="shared" si="10"/>
        <v>-0.10980966325036601</v>
      </c>
      <c r="L91"/>
      <c r="M91" s="5">
        <v>1558.24</v>
      </c>
      <c r="N91" s="5">
        <v>918.56</v>
      </c>
      <c r="O91"/>
      <c r="P91"/>
      <c r="Q91" s="119">
        <v>4181.07</v>
      </c>
      <c r="R91"/>
      <c r="S91"/>
      <c r="T91" s="98">
        <f t="shared" si="11"/>
        <v>-639.68000000000006</v>
      </c>
      <c r="U91" s="4">
        <f t="shared" si="12"/>
        <v>-0.41051442653249826</v>
      </c>
      <c r="V91"/>
      <c r="W91"/>
      <c r="X91"/>
      <c r="Y91"/>
      <c r="Z91" s="13"/>
      <c r="AA91" s="113">
        <v>20479.87</v>
      </c>
      <c r="AB91" s="113">
        <v>18225.87</v>
      </c>
      <c r="AC91" s="4">
        <f t="shared" si="14"/>
        <v>-0.11005929236855505</v>
      </c>
      <c r="AD91"/>
    </row>
    <row r="92" spans="1:30" s="5" customFormat="1">
      <c r="A92" s="26" t="s">
        <v>1101</v>
      </c>
      <c r="B92" s="35" t="s">
        <v>1102</v>
      </c>
      <c r="C92" s="18">
        <v>1316</v>
      </c>
      <c r="D92"/>
      <c r="E92" s="35" t="s">
        <v>1102</v>
      </c>
      <c r="F92" s="18">
        <v>769</v>
      </c>
      <c r="G92" t="b">
        <f t="shared" si="9"/>
        <v>1</v>
      </c>
      <c r="H92"/>
      <c r="I92"/>
      <c r="J92" s="24">
        <f t="shared" si="13"/>
        <v>-547</v>
      </c>
      <c r="K92" s="4">
        <f t="shared" si="10"/>
        <v>-0.41565349544072949</v>
      </c>
      <c r="L92"/>
      <c r="M92" s="5">
        <v>1861.73</v>
      </c>
      <c r="N92" s="5">
        <v>1379.53</v>
      </c>
      <c r="O92"/>
      <c r="P92"/>
      <c r="Q92" s="119">
        <v>6761.5</v>
      </c>
      <c r="R92"/>
      <c r="S92"/>
      <c r="T92" s="98">
        <f t="shared" si="11"/>
        <v>-482.20000000000005</v>
      </c>
      <c r="U92" s="4">
        <f t="shared" si="12"/>
        <v>-0.25900640801834851</v>
      </c>
      <c r="V92"/>
      <c r="W92"/>
      <c r="X92"/>
      <c r="Y92"/>
      <c r="Z92" s="13"/>
      <c r="AA92" s="113">
        <v>35668.46</v>
      </c>
      <c r="AB92" s="113">
        <v>22281.48</v>
      </c>
      <c r="AC92" s="4">
        <f t="shared" si="14"/>
        <v>-0.37531701677055862</v>
      </c>
      <c r="AD92"/>
    </row>
    <row r="93" spans="1:30" s="5" customFormat="1" ht="15.75" customHeight="1">
      <c r="A93" s="133" t="s">
        <v>905</v>
      </c>
      <c r="B93" s="26" t="s">
        <v>906</v>
      </c>
      <c r="C93" s="18">
        <v>582</v>
      </c>
      <c r="D93"/>
      <c r="E93" s="26" t="s">
        <v>906</v>
      </c>
      <c r="F93" s="18">
        <v>603</v>
      </c>
      <c r="G93" t="b">
        <f t="shared" si="9"/>
        <v>1</v>
      </c>
      <c r="H93"/>
      <c r="I93"/>
      <c r="J93" s="24">
        <f t="shared" si="13"/>
        <v>21</v>
      </c>
      <c r="K93" s="4">
        <f t="shared" si="10"/>
        <v>3.6082474226804218E-2</v>
      </c>
      <c r="L93"/>
      <c r="M93" s="5">
        <v>439.06999999999994</v>
      </c>
      <c r="N93" s="5">
        <v>199.70999999999995</v>
      </c>
      <c r="O93"/>
      <c r="P93"/>
      <c r="Q93" s="119">
        <v>628.78</v>
      </c>
      <c r="R93"/>
      <c r="S93"/>
      <c r="T93" s="98">
        <f t="shared" si="11"/>
        <v>-239.35999999999999</v>
      </c>
      <c r="U93" s="4">
        <f t="shared" si="12"/>
        <v>-0.54515225362698438</v>
      </c>
      <c r="V93"/>
      <c r="W93"/>
      <c r="X93"/>
      <c r="Y93"/>
      <c r="Z93" s="13"/>
      <c r="AA93" s="113">
        <v>12545.189999999999</v>
      </c>
      <c r="AB93" s="113">
        <v>12396.69</v>
      </c>
      <c r="AC93" s="4">
        <f t="shared" si="14"/>
        <v>-1.1837206132390032E-2</v>
      </c>
      <c r="AD93"/>
    </row>
    <row r="94" spans="1:30" s="5" customFormat="1">
      <c r="A94" s="133" t="s">
        <v>965</v>
      </c>
      <c r="B94" t="s">
        <v>966</v>
      </c>
      <c r="C94" s="18">
        <v>977</v>
      </c>
      <c r="D94"/>
      <c r="E94" t="s">
        <v>966</v>
      </c>
      <c r="F94" s="18">
        <v>1144</v>
      </c>
      <c r="G94" t="b">
        <f t="shared" si="9"/>
        <v>1</v>
      </c>
      <c r="H94"/>
      <c r="I94"/>
      <c r="J94" s="24">
        <f t="shared" si="13"/>
        <v>167</v>
      </c>
      <c r="K94" s="4">
        <f t="shared" si="10"/>
        <v>0.17093142272262019</v>
      </c>
      <c r="L94"/>
      <c r="M94" s="5">
        <v>920.91</v>
      </c>
      <c r="N94" s="5">
        <v>744.07</v>
      </c>
      <c r="O94"/>
      <c r="P94"/>
      <c r="Q94" s="119">
        <v>6354.73</v>
      </c>
      <c r="R94"/>
      <c r="S94"/>
      <c r="T94" s="98">
        <f t="shared" si="11"/>
        <v>-176.83999999999992</v>
      </c>
      <c r="U94" s="4">
        <f t="shared" si="12"/>
        <v>-0.1920274511081429</v>
      </c>
      <c r="V94"/>
      <c r="W94"/>
      <c r="X94"/>
      <c r="Y94"/>
      <c r="Z94" s="13"/>
      <c r="AA94" s="113">
        <v>24104.82</v>
      </c>
      <c r="AB94" s="113">
        <v>26648.449999999997</v>
      </c>
      <c r="AC94" s="4">
        <f t="shared" si="14"/>
        <v>0.105523708536301</v>
      </c>
      <c r="AD94"/>
    </row>
    <row r="95" spans="1:30" s="5" customFormat="1">
      <c r="A95" s="133" t="s">
        <v>1039</v>
      </c>
      <c r="B95" t="s">
        <v>1040</v>
      </c>
      <c r="C95" s="18">
        <v>615</v>
      </c>
      <c r="D95"/>
      <c r="E95" t="s">
        <v>1040</v>
      </c>
      <c r="F95" s="18">
        <v>694</v>
      </c>
      <c r="G95" t="b">
        <f t="shared" si="9"/>
        <v>1</v>
      </c>
      <c r="H95"/>
      <c r="I95"/>
      <c r="J95" s="24">
        <f t="shared" si="13"/>
        <v>79</v>
      </c>
      <c r="K95" s="4">
        <f t="shared" si="10"/>
        <v>0.12845528455284549</v>
      </c>
      <c r="L95"/>
      <c r="M95" s="5">
        <v>71.38</v>
      </c>
      <c r="N95" s="5">
        <v>77.48</v>
      </c>
      <c r="O95"/>
      <c r="P95"/>
      <c r="Q95" s="119">
        <v>241.13</v>
      </c>
      <c r="R95"/>
      <c r="S95"/>
      <c r="T95" s="98">
        <f t="shared" si="11"/>
        <v>6.1000000000000085</v>
      </c>
      <c r="U95" s="4">
        <f t="shared" si="12"/>
        <v>8.5458111515830826E-2</v>
      </c>
      <c r="V95"/>
      <c r="W95"/>
      <c r="X95"/>
      <c r="Y95"/>
      <c r="Z95" s="13"/>
      <c r="AA95" s="113">
        <v>12426.789999999999</v>
      </c>
      <c r="AB95" s="113">
        <v>13615.259999999998</v>
      </c>
      <c r="AC95" s="4">
        <f t="shared" si="14"/>
        <v>9.5637731063291431E-2</v>
      </c>
      <c r="AD95"/>
    </row>
    <row r="96" spans="1:30" s="5" customFormat="1">
      <c r="A96" t="s">
        <v>1089</v>
      </c>
      <c r="B96" t="s">
        <v>1090</v>
      </c>
      <c r="C96" s="18">
        <v>672</v>
      </c>
      <c r="D96"/>
      <c r="E96" t="s">
        <v>1090</v>
      </c>
      <c r="F96" s="18">
        <v>552</v>
      </c>
      <c r="G96" t="b">
        <f t="shared" si="9"/>
        <v>1</v>
      </c>
      <c r="H96"/>
      <c r="I96"/>
      <c r="J96" s="24">
        <f t="shared" si="13"/>
        <v>-120</v>
      </c>
      <c r="K96" s="4">
        <f t="shared" si="10"/>
        <v>-0.1785714285714286</v>
      </c>
      <c r="L96"/>
      <c r="M96" s="5">
        <v>0</v>
      </c>
      <c r="N96" s="5">
        <v>0</v>
      </c>
      <c r="O96"/>
      <c r="P96"/>
      <c r="Q96" s="119">
        <v>0</v>
      </c>
      <c r="R96"/>
      <c r="S96"/>
      <c r="T96" s="98">
        <f t="shared" si="11"/>
        <v>0</v>
      </c>
      <c r="U96" s="4">
        <f t="shared" si="12"/>
        <v>0</v>
      </c>
      <c r="V96"/>
      <c r="W96"/>
      <c r="X96"/>
      <c r="Y96"/>
      <c r="Z96" s="13"/>
      <c r="AA96" s="113">
        <v>14210.67</v>
      </c>
      <c r="AB96" s="113">
        <v>13218.480000000001</v>
      </c>
      <c r="AC96" s="4">
        <f t="shared" si="14"/>
        <v>-6.9820071819273744E-2</v>
      </c>
      <c r="AD96"/>
    </row>
    <row r="97" spans="1:30" s="5" customFormat="1">
      <c r="A97" t="s">
        <v>1069</v>
      </c>
      <c r="B97" t="s">
        <v>1070</v>
      </c>
      <c r="C97" s="18">
        <v>1315</v>
      </c>
      <c r="D97"/>
      <c r="E97" t="s">
        <v>1070</v>
      </c>
      <c r="F97" s="18">
        <v>1407</v>
      </c>
      <c r="G97" t="b">
        <f t="shared" si="9"/>
        <v>1</v>
      </c>
      <c r="H97"/>
      <c r="I97"/>
      <c r="J97" s="24">
        <f t="shared" si="13"/>
        <v>92</v>
      </c>
      <c r="K97" s="4">
        <f t="shared" si="10"/>
        <v>6.9961977186311808E-2</v>
      </c>
      <c r="L97"/>
      <c r="M97" s="5">
        <v>2977.0399999999995</v>
      </c>
      <c r="N97" s="5">
        <v>3442.9199999999996</v>
      </c>
      <c r="O97"/>
      <c r="P97"/>
      <c r="Q97" s="119">
        <v>11612.99</v>
      </c>
      <c r="R97"/>
      <c r="S97"/>
      <c r="T97" s="98">
        <f t="shared" si="11"/>
        <v>465.88000000000011</v>
      </c>
      <c r="U97" s="4">
        <f t="shared" si="12"/>
        <v>0.15649101120576159</v>
      </c>
      <c r="V97"/>
      <c r="W97"/>
      <c r="X97"/>
      <c r="Y97"/>
      <c r="Z97" s="13"/>
      <c r="AA97" s="113">
        <v>38802.229999999996</v>
      </c>
      <c r="AB97" s="113">
        <v>39544.5</v>
      </c>
      <c r="AC97" s="4">
        <f t="shared" si="14"/>
        <v>1.9129570645811E-2</v>
      </c>
      <c r="AD97"/>
    </row>
    <row r="98" spans="1:30" s="5" customFormat="1">
      <c r="A98" t="s">
        <v>1035</v>
      </c>
      <c r="B98" t="s">
        <v>1036</v>
      </c>
      <c r="C98" s="18">
        <v>763</v>
      </c>
      <c r="D98"/>
      <c r="E98" t="s">
        <v>1036</v>
      </c>
      <c r="F98" s="18">
        <v>730</v>
      </c>
      <c r="G98" t="b">
        <f t="shared" si="9"/>
        <v>1</v>
      </c>
      <c r="H98"/>
      <c r="I98"/>
      <c r="J98" s="24">
        <f t="shared" si="13"/>
        <v>-33</v>
      </c>
      <c r="K98" s="4">
        <f t="shared" si="10"/>
        <v>-4.3250327653997389E-2</v>
      </c>
      <c r="L98"/>
      <c r="M98" s="5">
        <v>385.96</v>
      </c>
      <c r="N98" s="5">
        <v>389.56000000000006</v>
      </c>
      <c r="O98"/>
      <c r="P98"/>
      <c r="Q98" s="119">
        <v>1843.7900000000004</v>
      </c>
      <c r="R98"/>
      <c r="S98"/>
      <c r="T98" s="98">
        <f t="shared" si="11"/>
        <v>3.6000000000000796</v>
      </c>
      <c r="U98" s="4">
        <f t="shared" si="12"/>
        <v>9.3273914395275437E-3</v>
      </c>
      <c r="V98"/>
      <c r="W98"/>
      <c r="X98"/>
      <c r="Y98"/>
      <c r="Z98" s="13"/>
      <c r="AA98" s="113">
        <v>15033.099999999999</v>
      </c>
      <c r="AB98" s="113">
        <v>14268.73</v>
      </c>
      <c r="AC98" s="4">
        <f t="shared" si="14"/>
        <v>-5.0845800267409813E-2</v>
      </c>
      <c r="AD98"/>
    </row>
    <row r="99" spans="1:30" s="5" customFormat="1">
      <c r="A99" s="38" t="s">
        <v>901</v>
      </c>
      <c r="B99" s="35" t="s">
        <v>902</v>
      </c>
      <c r="C99">
        <v>1445</v>
      </c>
      <c r="D99"/>
      <c r="E99" s="35" t="s">
        <v>902</v>
      </c>
      <c r="F99">
        <v>1323</v>
      </c>
      <c r="G99" t="b">
        <f t="shared" ref="G99:G130" si="15">IF(B99=E99,TRUE,FALSE)</f>
        <v>1</v>
      </c>
      <c r="H99"/>
      <c r="I99"/>
      <c r="J99" s="24">
        <f t="shared" si="13"/>
        <v>-122</v>
      </c>
      <c r="K99" s="4">
        <f t="shared" si="10"/>
        <v>-8.4429065743944598E-2</v>
      </c>
      <c r="L99"/>
      <c r="M99" s="5">
        <v>2086.41</v>
      </c>
      <c r="N99" s="5">
        <v>1383.78</v>
      </c>
      <c r="O99"/>
      <c r="P99"/>
      <c r="Q99" s="119">
        <v>7035.54</v>
      </c>
      <c r="R99"/>
      <c r="S99"/>
      <c r="T99" s="98">
        <f t="shared" ref="T99:T130" si="16">N99-M99</f>
        <v>-702.62999999999988</v>
      </c>
      <c r="U99" s="4">
        <f t="shared" ref="U99:U130" si="17">IF(M99=0,0,N99/M99-1)</f>
        <v>-0.33676506535148887</v>
      </c>
      <c r="V99"/>
      <c r="W99"/>
      <c r="X99"/>
      <c r="Y99"/>
      <c r="Z99" s="13"/>
      <c r="AA99" s="113">
        <v>34571.97</v>
      </c>
      <c r="AB99" s="113">
        <v>31194.240000000002</v>
      </c>
      <c r="AC99" s="4">
        <f t="shared" si="14"/>
        <v>-9.7701403767271544E-2</v>
      </c>
      <c r="AD99"/>
    </row>
    <row r="100" spans="1:30" s="5" customFormat="1">
      <c r="A100" t="s">
        <v>971</v>
      </c>
      <c r="B100" t="s">
        <v>972</v>
      </c>
      <c r="C100" s="18">
        <v>505</v>
      </c>
      <c r="D100"/>
      <c r="E100" t="s">
        <v>972</v>
      </c>
      <c r="F100" s="18">
        <v>243</v>
      </c>
      <c r="G100" t="b">
        <f t="shared" si="15"/>
        <v>1</v>
      </c>
      <c r="H100"/>
      <c r="I100"/>
      <c r="J100" s="24">
        <f t="shared" si="13"/>
        <v>-262</v>
      </c>
      <c r="K100" s="4">
        <f t="shared" si="10"/>
        <v>-0.51881188118811883</v>
      </c>
      <c r="L100"/>
      <c r="M100" s="5">
        <v>0</v>
      </c>
      <c r="N100" s="5">
        <v>0</v>
      </c>
      <c r="O100"/>
      <c r="P100"/>
      <c r="Q100" s="119">
        <v>0</v>
      </c>
      <c r="R100"/>
      <c r="S100"/>
      <c r="T100" s="98">
        <f t="shared" si="16"/>
        <v>0</v>
      </c>
      <c r="U100" s="4">
        <f t="shared" si="17"/>
        <v>0</v>
      </c>
      <c r="V100"/>
      <c r="W100"/>
      <c r="X100"/>
      <c r="Y100"/>
      <c r="Z100" s="13"/>
      <c r="AA100" s="113">
        <v>6601.38</v>
      </c>
      <c r="AB100" s="113">
        <v>4121.8500000000004</v>
      </c>
      <c r="AC100" s="4">
        <f t="shared" si="14"/>
        <v>-0.37560782745425947</v>
      </c>
      <c r="AD100"/>
    </row>
    <row r="101" spans="1:30" s="5" customFormat="1">
      <c r="A101" t="s">
        <v>1079</v>
      </c>
      <c r="B101" t="s">
        <v>1080</v>
      </c>
      <c r="C101" s="18">
        <v>888</v>
      </c>
      <c r="D101"/>
      <c r="E101" t="s">
        <v>1080</v>
      </c>
      <c r="F101" s="18">
        <v>784</v>
      </c>
      <c r="G101" t="b">
        <f t="shared" si="15"/>
        <v>1</v>
      </c>
      <c r="H101"/>
      <c r="I101"/>
      <c r="J101" s="24">
        <f t="shared" si="13"/>
        <v>-104</v>
      </c>
      <c r="K101" s="4">
        <f t="shared" si="10"/>
        <v>-0.11711711711711714</v>
      </c>
      <c r="L101"/>
      <c r="M101" s="5">
        <v>665.12</v>
      </c>
      <c r="N101" s="5">
        <v>553.96</v>
      </c>
      <c r="O101"/>
      <c r="P101"/>
      <c r="Q101" s="119">
        <v>3599.26</v>
      </c>
      <c r="R101"/>
      <c r="S101"/>
      <c r="T101" s="98">
        <f t="shared" si="16"/>
        <v>-111.15999999999997</v>
      </c>
      <c r="U101" s="4">
        <f t="shared" si="17"/>
        <v>-0.16712773634832812</v>
      </c>
      <c r="V101"/>
      <c r="W101"/>
      <c r="X101"/>
      <c r="Y101"/>
      <c r="Z101" s="13"/>
      <c r="AA101" s="113">
        <v>34539.29</v>
      </c>
      <c r="AB101" s="113">
        <v>30529.040000000001</v>
      </c>
      <c r="AC101" s="4">
        <f t="shared" si="14"/>
        <v>-0.11610690318185468</v>
      </c>
      <c r="AD101"/>
    </row>
    <row r="102" spans="1:30" s="5" customFormat="1">
      <c r="A102" t="s">
        <v>1145</v>
      </c>
      <c r="B102" t="s">
        <v>1146</v>
      </c>
      <c r="C102" s="18">
        <v>1017</v>
      </c>
      <c r="D102"/>
      <c r="E102" t="s">
        <v>1146</v>
      </c>
      <c r="F102" s="18">
        <v>817</v>
      </c>
      <c r="G102" t="b">
        <f t="shared" si="15"/>
        <v>1</v>
      </c>
      <c r="H102"/>
      <c r="I102"/>
      <c r="J102" s="24">
        <f t="shared" si="13"/>
        <v>-200</v>
      </c>
      <c r="K102" s="4">
        <f t="shared" si="10"/>
        <v>-0.19665683382497545</v>
      </c>
      <c r="L102"/>
      <c r="M102" s="5">
        <v>1393.88</v>
      </c>
      <c r="N102" s="5">
        <v>1205.52</v>
      </c>
      <c r="O102"/>
      <c r="P102"/>
      <c r="Q102" s="119">
        <v>4110.37</v>
      </c>
      <c r="R102"/>
      <c r="S102"/>
      <c r="T102" s="98">
        <f t="shared" si="16"/>
        <v>-188.36000000000013</v>
      </c>
      <c r="U102" s="4">
        <f t="shared" si="17"/>
        <v>-0.13513358395270758</v>
      </c>
      <c r="V102"/>
      <c r="W102"/>
      <c r="X102"/>
      <c r="Y102"/>
      <c r="Z102" s="13"/>
      <c r="AA102" s="113">
        <v>19682.04</v>
      </c>
      <c r="AB102" s="113">
        <v>16859.189999999999</v>
      </c>
      <c r="AC102" s="4">
        <f t="shared" si="14"/>
        <v>-0.143422633019748</v>
      </c>
      <c r="AD102"/>
    </row>
    <row r="103" spans="1:30" s="5" customFormat="1">
      <c r="A103" s="134" t="s">
        <v>1027</v>
      </c>
      <c r="B103" s="35" t="s">
        <v>1028</v>
      </c>
      <c r="C103" s="18">
        <v>841</v>
      </c>
      <c r="D103"/>
      <c r="E103" s="35" t="s">
        <v>1028</v>
      </c>
      <c r="F103" s="18">
        <v>1088</v>
      </c>
      <c r="G103" t="b">
        <f t="shared" si="15"/>
        <v>1</v>
      </c>
      <c r="H103"/>
      <c r="I103"/>
      <c r="J103" s="24">
        <f t="shared" si="13"/>
        <v>247</v>
      </c>
      <c r="K103" s="4">
        <f t="shared" si="10"/>
        <v>0.29369797859690849</v>
      </c>
      <c r="L103"/>
      <c r="M103" s="5">
        <v>1982.8799999999999</v>
      </c>
      <c r="N103" s="5">
        <v>1991.8600000000001</v>
      </c>
      <c r="O103"/>
      <c r="P103"/>
      <c r="Q103" s="119">
        <v>5500.9099999999989</v>
      </c>
      <c r="R103"/>
      <c r="S103"/>
      <c r="T103" s="98">
        <f t="shared" si="16"/>
        <v>8.9800000000002456</v>
      </c>
      <c r="U103" s="4">
        <f t="shared" si="17"/>
        <v>4.5287662390061101E-3</v>
      </c>
      <c r="V103"/>
      <c r="W103"/>
      <c r="X103"/>
      <c r="Y103"/>
      <c r="Z103" s="13"/>
      <c r="AA103" s="113">
        <v>20789.09</v>
      </c>
      <c r="AB103" s="113">
        <v>25242.23</v>
      </c>
      <c r="AC103" s="4">
        <f t="shared" si="14"/>
        <v>0.214205624200001</v>
      </c>
      <c r="AD103"/>
    </row>
    <row r="104" spans="1:30" s="5" customFormat="1">
      <c r="A104" s="38" t="s">
        <v>981</v>
      </c>
      <c r="B104" s="35" t="s">
        <v>982</v>
      </c>
      <c r="C104" s="18">
        <v>1323</v>
      </c>
      <c r="D104"/>
      <c r="E104" s="35" t="s">
        <v>982</v>
      </c>
      <c r="F104" s="18">
        <v>570</v>
      </c>
      <c r="G104" t="b">
        <f t="shared" si="15"/>
        <v>1</v>
      </c>
      <c r="H104"/>
      <c r="I104"/>
      <c r="J104" s="24">
        <f t="shared" si="13"/>
        <v>-753</v>
      </c>
      <c r="K104" s="4">
        <f t="shared" si="10"/>
        <v>-0.56916099773242634</v>
      </c>
      <c r="L104"/>
      <c r="M104" s="5">
        <v>2864.26</v>
      </c>
      <c r="N104" s="5">
        <v>1675.18</v>
      </c>
      <c r="O104"/>
      <c r="P104"/>
      <c r="Q104" s="119">
        <v>7301.66</v>
      </c>
      <c r="R104"/>
      <c r="S104"/>
      <c r="T104" s="98">
        <f t="shared" si="16"/>
        <v>-1189.0800000000002</v>
      </c>
      <c r="U104" s="4">
        <f t="shared" si="17"/>
        <v>-0.41514387660338103</v>
      </c>
      <c r="V104"/>
      <c r="W104"/>
      <c r="X104"/>
      <c r="Y104"/>
      <c r="Z104" s="13"/>
      <c r="AA104" s="113">
        <v>20713.98</v>
      </c>
      <c r="AB104" s="113">
        <v>10150.32</v>
      </c>
      <c r="AC104" s="4">
        <f t="shared" si="14"/>
        <v>-0.50997731966526949</v>
      </c>
      <c r="AD104"/>
    </row>
    <row r="105" spans="1:30" s="5" customFormat="1">
      <c r="A105" s="116" t="s">
        <v>983</v>
      </c>
      <c r="B105" s="35" t="s">
        <v>984</v>
      </c>
      <c r="C105" s="18">
        <v>171</v>
      </c>
      <c r="D105"/>
      <c r="E105" s="35" t="s">
        <v>984</v>
      </c>
      <c r="F105" s="18">
        <v>829</v>
      </c>
      <c r="G105" t="b">
        <f t="shared" si="15"/>
        <v>1</v>
      </c>
      <c r="H105"/>
      <c r="I105"/>
      <c r="J105" s="24">
        <f t="shared" si="13"/>
        <v>658</v>
      </c>
      <c r="K105" s="4">
        <f t="shared" si="10"/>
        <v>3.8479532163742691</v>
      </c>
      <c r="L105"/>
      <c r="M105" s="5">
        <v>0</v>
      </c>
      <c r="N105" s="5">
        <v>0</v>
      </c>
      <c r="O105"/>
      <c r="P105"/>
      <c r="Q105" s="119">
        <v>0</v>
      </c>
      <c r="R105"/>
      <c r="S105"/>
      <c r="T105" s="98">
        <f t="shared" si="16"/>
        <v>0</v>
      </c>
      <c r="U105" s="4">
        <f t="shared" si="17"/>
        <v>0</v>
      </c>
      <c r="V105"/>
      <c r="W105"/>
      <c r="X105"/>
      <c r="Y105"/>
      <c r="Z105" s="13"/>
      <c r="AA105" s="113">
        <v>3210.29</v>
      </c>
      <c r="AB105" s="113">
        <v>12377.07</v>
      </c>
      <c r="AC105" s="4">
        <f t="shared" si="14"/>
        <v>2.8554367362450122</v>
      </c>
      <c r="AD105"/>
    </row>
    <row r="106" spans="1:30" s="5" customFormat="1">
      <c r="A106" s="116" t="s">
        <v>985</v>
      </c>
      <c r="B106" s="35" t="s">
        <v>986</v>
      </c>
      <c r="C106" s="18">
        <v>976</v>
      </c>
      <c r="D106"/>
      <c r="E106" s="35" t="s">
        <v>986</v>
      </c>
      <c r="F106" s="18">
        <v>419</v>
      </c>
      <c r="G106" t="b">
        <f t="shared" si="15"/>
        <v>1</v>
      </c>
      <c r="H106"/>
      <c r="I106"/>
      <c r="J106" s="24">
        <f t="shared" si="13"/>
        <v>-557</v>
      </c>
      <c r="K106" s="4">
        <f t="shared" si="10"/>
        <v>-0.57069672131147542</v>
      </c>
      <c r="L106"/>
      <c r="M106" s="5">
        <v>1564.42</v>
      </c>
      <c r="N106" s="5">
        <v>962.2</v>
      </c>
      <c r="O106"/>
      <c r="P106"/>
      <c r="Q106" s="119">
        <v>3724.3</v>
      </c>
      <c r="R106"/>
      <c r="S106"/>
      <c r="T106" s="98">
        <f t="shared" si="16"/>
        <v>-602.22</v>
      </c>
      <c r="U106" s="4">
        <f t="shared" si="17"/>
        <v>-0.38494777617263909</v>
      </c>
      <c r="V106"/>
      <c r="W106"/>
      <c r="X106"/>
      <c r="Y106"/>
      <c r="Z106" s="13"/>
      <c r="AA106" s="113">
        <v>19100.259999999998</v>
      </c>
      <c r="AB106" s="113">
        <v>9030.4</v>
      </c>
      <c r="AC106" s="4">
        <f t="shared" si="14"/>
        <v>-0.52721062435799304</v>
      </c>
      <c r="AD106"/>
    </row>
    <row r="107" spans="1:30" s="5" customFormat="1">
      <c r="A107" s="38" t="s">
        <v>987</v>
      </c>
      <c r="B107" s="35" t="s">
        <v>988</v>
      </c>
      <c r="C107" s="18">
        <v>2617</v>
      </c>
      <c r="D107"/>
      <c r="E107" s="35" t="s">
        <v>988</v>
      </c>
      <c r="F107" s="18">
        <v>1006</v>
      </c>
      <c r="G107" t="b">
        <f t="shared" si="15"/>
        <v>1</v>
      </c>
      <c r="H107"/>
      <c r="I107"/>
      <c r="J107" s="24">
        <f t="shared" si="13"/>
        <v>-1611</v>
      </c>
      <c r="K107" s="4">
        <f t="shared" si="10"/>
        <v>-0.61559037065341993</v>
      </c>
      <c r="L107"/>
      <c r="M107" s="5">
        <v>4241.01</v>
      </c>
      <c r="N107" s="5">
        <v>3273.79</v>
      </c>
      <c r="O107"/>
      <c r="P107"/>
      <c r="Q107" s="119">
        <v>10848.42</v>
      </c>
      <c r="R107"/>
      <c r="S107"/>
      <c r="T107" s="98">
        <f t="shared" si="16"/>
        <v>-967.22000000000025</v>
      </c>
      <c r="U107" s="4">
        <f t="shared" si="17"/>
        <v>-0.2280635980580098</v>
      </c>
      <c r="V107"/>
      <c r="W107"/>
      <c r="X107"/>
      <c r="Y107"/>
      <c r="Z107" s="13"/>
      <c r="AA107" s="113">
        <v>55962.84</v>
      </c>
      <c r="AB107" s="113">
        <v>23427.29</v>
      </c>
      <c r="AC107" s="4">
        <f t="shared" si="14"/>
        <v>-0.58137774994978808</v>
      </c>
      <c r="AD107"/>
    </row>
    <row r="108" spans="1:30" s="5" customFormat="1">
      <c r="A108" s="168" t="s">
        <v>989</v>
      </c>
      <c r="B108" s="123" t="s">
        <v>990</v>
      </c>
      <c r="C108" s="18">
        <v>303</v>
      </c>
      <c r="D108"/>
      <c r="E108" s="123" t="s">
        <v>990</v>
      </c>
      <c r="F108" s="18">
        <v>135</v>
      </c>
      <c r="G108" t="b">
        <f t="shared" si="15"/>
        <v>1</v>
      </c>
      <c r="H108"/>
      <c r="I108"/>
      <c r="J108" s="24">
        <f t="shared" si="13"/>
        <v>-168</v>
      </c>
      <c r="K108" s="4">
        <f t="shared" si="10"/>
        <v>-0.5544554455445545</v>
      </c>
      <c r="L108"/>
      <c r="M108" s="5">
        <v>1381.09</v>
      </c>
      <c r="N108" s="5">
        <v>713.06</v>
      </c>
      <c r="O108"/>
      <c r="P108"/>
      <c r="Q108" s="119">
        <v>2321.23</v>
      </c>
      <c r="R108"/>
      <c r="S108"/>
      <c r="T108" s="98">
        <f t="shared" si="16"/>
        <v>-668.03</v>
      </c>
      <c r="U108" s="4">
        <f t="shared" si="17"/>
        <v>-0.48369765909535223</v>
      </c>
      <c r="V108"/>
      <c r="W108"/>
      <c r="X108"/>
      <c r="Y108"/>
      <c r="Z108" s="13"/>
      <c r="AA108" s="113">
        <v>5715.97</v>
      </c>
      <c r="AB108" s="113">
        <v>2837.47</v>
      </c>
      <c r="AC108" s="4">
        <f t="shared" si="14"/>
        <v>-0.50358906712246565</v>
      </c>
      <c r="AD108"/>
    </row>
    <row r="109" spans="1:30">
      <c r="A109" s="168" t="s">
        <v>991</v>
      </c>
      <c r="B109" s="123" t="s">
        <v>992</v>
      </c>
      <c r="C109" s="18">
        <v>360</v>
      </c>
      <c r="E109" s="123" t="s">
        <v>992</v>
      </c>
      <c r="F109" s="18">
        <v>65</v>
      </c>
      <c r="G109" t="b">
        <f t="shared" si="15"/>
        <v>1</v>
      </c>
      <c r="J109" s="24">
        <f t="shared" si="13"/>
        <v>-295</v>
      </c>
      <c r="K109" s="4">
        <f t="shared" si="10"/>
        <v>-0.81944444444444442</v>
      </c>
      <c r="M109" s="5">
        <v>1453.8</v>
      </c>
      <c r="N109" s="5">
        <v>325.2</v>
      </c>
      <c r="Q109" s="119">
        <v>941.26</v>
      </c>
      <c r="T109" s="98">
        <f t="shared" si="16"/>
        <v>-1128.5999999999999</v>
      </c>
      <c r="U109" s="4">
        <f t="shared" si="17"/>
        <v>-0.77631035905901769</v>
      </c>
      <c r="AA109" s="113">
        <v>4202.3999999999996</v>
      </c>
      <c r="AB109" s="113">
        <v>1299.3499999999999</v>
      </c>
      <c r="AC109" s="4">
        <f t="shared" si="14"/>
        <v>-0.69080763373310483</v>
      </c>
    </row>
    <row r="110" spans="1:30">
      <c r="A110" s="168" t="s">
        <v>993</v>
      </c>
      <c r="B110" s="123" t="s">
        <v>994</v>
      </c>
      <c r="C110" s="18">
        <v>653</v>
      </c>
      <c r="E110" s="123" t="s">
        <v>994</v>
      </c>
      <c r="F110" s="18">
        <v>1006</v>
      </c>
      <c r="G110" t="b">
        <f t="shared" si="15"/>
        <v>1</v>
      </c>
      <c r="J110" s="24">
        <f t="shared" si="13"/>
        <v>353</v>
      </c>
      <c r="K110" s="4">
        <f t="shared" si="10"/>
        <v>0.54058192955589579</v>
      </c>
      <c r="M110" s="5">
        <v>1926.85</v>
      </c>
      <c r="N110" s="5">
        <v>1840.37</v>
      </c>
      <c r="Q110" s="119">
        <v>8099.91</v>
      </c>
      <c r="T110" s="98">
        <f t="shared" si="16"/>
        <v>-86.480000000000018</v>
      </c>
      <c r="U110" s="4">
        <f t="shared" si="17"/>
        <v>-4.488154241378417E-2</v>
      </c>
      <c r="AA110" s="113">
        <v>13049.67</v>
      </c>
      <c r="AB110" s="113">
        <v>17748.75</v>
      </c>
      <c r="AC110" s="4">
        <f t="shared" si="14"/>
        <v>0.36009186439197305</v>
      </c>
    </row>
    <row r="111" spans="1:30">
      <c r="A111" s="168" t="s">
        <v>995</v>
      </c>
      <c r="B111" s="26" t="s">
        <v>996</v>
      </c>
      <c r="C111" s="18">
        <v>363</v>
      </c>
      <c r="E111" s="26" t="s">
        <v>996</v>
      </c>
      <c r="F111" s="18">
        <v>520</v>
      </c>
      <c r="G111" t="b">
        <f t="shared" si="15"/>
        <v>1</v>
      </c>
      <c r="J111" s="24">
        <f t="shared" si="13"/>
        <v>157</v>
      </c>
      <c r="K111" s="4">
        <f t="shared" si="10"/>
        <v>0.43250688705234164</v>
      </c>
      <c r="M111" s="5">
        <v>1350.27</v>
      </c>
      <c r="N111" s="5">
        <v>1591.04</v>
      </c>
      <c r="Q111" s="119">
        <v>7881.4</v>
      </c>
      <c r="T111" s="98">
        <f t="shared" si="16"/>
        <v>240.76999999999998</v>
      </c>
      <c r="U111" s="4">
        <f t="shared" si="17"/>
        <v>0.17831248565101787</v>
      </c>
      <c r="AA111" s="113">
        <v>9796.83</v>
      </c>
      <c r="AB111" s="113">
        <v>12876.52</v>
      </c>
      <c r="AC111" s="4">
        <f t="shared" si="14"/>
        <v>0.31435576609985083</v>
      </c>
    </row>
    <row r="112" spans="1:30">
      <c r="A112" s="168" t="s">
        <v>997</v>
      </c>
      <c r="B112" s="26" t="s">
        <v>998</v>
      </c>
      <c r="C112" s="18">
        <v>215</v>
      </c>
      <c r="E112" s="26" t="s">
        <v>998</v>
      </c>
      <c r="F112" s="18">
        <v>123</v>
      </c>
      <c r="G112" t="b">
        <f t="shared" si="15"/>
        <v>1</v>
      </c>
      <c r="J112" s="24">
        <f t="shared" si="13"/>
        <v>-92</v>
      </c>
      <c r="K112" s="4">
        <f t="shared" si="10"/>
        <v>-0.4279069767441861</v>
      </c>
      <c r="M112" s="5">
        <v>791.67</v>
      </c>
      <c r="N112" s="5">
        <v>327.75</v>
      </c>
      <c r="Q112" s="119">
        <v>886.89</v>
      </c>
      <c r="T112" s="98">
        <f t="shared" si="16"/>
        <v>-463.91999999999996</v>
      </c>
      <c r="U112" s="4">
        <f t="shared" si="17"/>
        <v>-0.58600174315055509</v>
      </c>
      <c r="AA112" s="113">
        <v>3407.63</v>
      </c>
      <c r="AB112" s="113">
        <v>2173.63</v>
      </c>
      <c r="AC112" s="4">
        <f t="shared" si="14"/>
        <v>-0.36212851747402153</v>
      </c>
    </row>
    <row r="113" spans="1:29">
      <c r="A113" s="168" t="s">
        <v>999</v>
      </c>
      <c r="B113" s="26" t="s">
        <v>1000</v>
      </c>
      <c r="C113" s="18">
        <v>1057</v>
      </c>
      <c r="E113" s="26" t="s">
        <v>1000</v>
      </c>
      <c r="F113" s="18">
        <v>870</v>
      </c>
      <c r="G113" t="b">
        <f t="shared" si="15"/>
        <v>1</v>
      </c>
      <c r="J113" s="24">
        <f t="shared" si="13"/>
        <v>-187</v>
      </c>
      <c r="K113" s="4">
        <f t="shared" si="10"/>
        <v>-0.17691579943235569</v>
      </c>
      <c r="M113" s="5">
        <v>2662.25</v>
      </c>
      <c r="N113" s="5">
        <v>1783.78</v>
      </c>
      <c r="Q113" s="119">
        <v>12516.88</v>
      </c>
      <c r="T113" s="98">
        <f t="shared" si="16"/>
        <v>-878.47</v>
      </c>
      <c r="U113" s="4">
        <f t="shared" si="17"/>
        <v>-0.32997276739599968</v>
      </c>
      <c r="AA113" s="113">
        <v>31630.14</v>
      </c>
      <c r="AB113" s="113">
        <v>25888.400000000001</v>
      </c>
      <c r="AC113" s="4">
        <f t="shared" si="14"/>
        <v>-0.18152749244865807</v>
      </c>
    </row>
    <row r="114" spans="1:29">
      <c r="A114" s="168" t="s">
        <v>1001</v>
      </c>
      <c r="B114" s="26" t="s">
        <v>940</v>
      </c>
      <c r="C114" s="18">
        <v>676</v>
      </c>
      <c r="E114" s="26" t="s">
        <v>940</v>
      </c>
      <c r="F114" s="18">
        <v>635</v>
      </c>
      <c r="G114" t="b">
        <f t="shared" si="15"/>
        <v>1</v>
      </c>
      <c r="J114" s="24">
        <f t="shared" si="13"/>
        <v>-41</v>
      </c>
      <c r="K114" s="4">
        <f t="shared" si="10"/>
        <v>-6.0650887573964529E-2</v>
      </c>
      <c r="M114" s="5">
        <v>1202.6099999999999</v>
      </c>
      <c r="N114" s="5">
        <v>816.75</v>
      </c>
      <c r="Q114" s="119">
        <v>3347.37</v>
      </c>
      <c r="T114" s="98">
        <f t="shared" si="16"/>
        <v>-385.8599999999999</v>
      </c>
      <c r="U114" s="4">
        <f t="shared" si="17"/>
        <v>-0.32085214658118588</v>
      </c>
      <c r="AA114" s="113">
        <v>14344.85</v>
      </c>
      <c r="AB114" s="113">
        <v>14187.02</v>
      </c>
      <c r="AC114" s="4">
        <f t="shared" si="14"/>
        <v>-1.1002554923892571E-2</v>
      </c>
    </row>
    <row r="115" spans="1:29">
      <c r="A115" s="168" t="s">
        <v>1002</v>
      </c>
      <c r="B115" s="26" t="s">
        <v>1003</v>
      </c>
      <c r="C115" s="18">
        <v>353</v>
      </c>
      <c r="E115" s="26" t="s">
        <v>1003</v>
      </c>
      <c r="F115" s="18">
        <v>218</v>
      </c>
      <c r="G115" t="b">
        <f t="shared" si="15"/>
        <v>1</v>
      </c>
      <c r="J115" s="24">
        <f t="shared" si="13"/>
        <v>-135</v>
      </c>
      <c r="K115" s="4">
        <f t="shared" si="10"/>
        <v>-0.38243626062322944</v>
      </c>
      <c r="M115" s="5">
        <v>1185.8699999999999</v>
      </c>
      <c r="N115" s="5">
        <v>467.38</v>
      </c>
      <c r="Q115" s="118">
        <v>1907.21</v>
      </c>
      <c r="T115" s="98">
        <f t="shared" si="16"/>
        <v>-718.4899999999999</v>
      </c>
      <c r="U115" s="4">
        <f t="shared" si="17"/>
        <v>-0.60587585485761508</v>
      </c>
      <c r="AA115" s="113">
        <v>6048.47</v>
      </c>
      <c r="AB115" s="113">
        <v>3421.04</v>
      </c>
      <c r="AC115" s="4">
        <f t="shared" si="14"/>
        <v>-0.43439580588148741</v>
      </c>
    </row>
    <row r="116" spans="1:29">
      <c r="A116" s="135" t="s">
        <v>1043</v>
      </c>
      <c r="B116" s="35" t="s">
        <v>1044</v>
      </c>
      <c r="C116">
        <v>417</v>
      </c>
      <c r="E116" s="35" t="s">
        <v>1044</v>
      </c>
      <c r="F116">
        <v>442</v>
      </c>
      <c r="G116" t="b">
        <f t="shared" si="15"/>
        <v>1</v>
      </c>
      <c r="J116" s="24">
        <f t="shared" si="13"/>
        <v>25</v>
      </c>
      <c r="K116" s="4">
        <f t="shared" si="10"/>
        <v>5.9952038369304628E-2</v>
      </c>
      <c r="M116" s="5">
        <v>797.06999999999982</v>
      </c>
      <c r="N116" s="5">
        <v>1026.0900000000001</v>
      </c>
      <c r="Q116" s="119">
        <v>3399.4799999999991</v>
      </c>
      <c r="T116" s="98">
        <f t="shared" si="16"/>
        <v>229.02000000000032</v>
      </c>
      <c r="U116" s="4">
        <f t="shared" si="17"/>
        <v>0.28732733636945351</v>
      </c>
      <c r="AA116" s="113">
        <v>9129.9399999999987</v>
      </c>
      <c r="AB116" s="113">
        <v>9622.7999999999993</v>
      </c>
      <c r="AC116" s="4">
        <f t="shared" si="14"/>
        <v>5.3982830117174974E-2</v>
      </c>
    </row>
    <row r="117" spans="1:29">
      <c r="A117" t="s">
        <v>1031</v>
      </c>
      <c r="B117" t="s">
        <v>1032</v>
      </c>
      <c r="C117" s="18">
        <v>640</v>
      </c>
      <c r="E117" t="s">
        <v>1032</v>
      </c>
      <c r="F117" s="18">
        <v>684</v>
      </c>
      <c r="G117" t="b">
        <f t="shared" si="15"/>
        <v>1</v>
      </c>
      <c r="J117" s="24">
        <f t="shared" si="13"/>
        <v>44</v>
      </c>
      <c r="K117" s="4">
        <f t="shared" si="10"/>
        <v>6.8750000000000089E-2</v>
      </c>
      <c r="M117" s="5">
        <v>515.95999999999992</v>
      </c>
      <c r="N117" s="5">
        <v>203.32000000000005</v>
      </c>
      <c r="Q117" s="119">
        <v>1918.3100000000002</v>
      </c>
      <c r="T117" s="98">
        <f t="shared" si="16"/>
        <v>-312.63999999999987</v>
      </c>
      <c r="U117" s="4">
        <f t="shared" si="17"/>
        <v>-0.60593844484068515</v>
      </c>
      <c r="AA117" s="113">
        <v>18310.5</v>
      </c>
      <c r="AB117" s="113">
        <v>18479.52</v>
      </c>
      <c r="AC117" s="4">
        <f t="shared" si="14"/>
        <v>9.2307692307691536E-3</v>
      </c>
    </row>
    <row r="118" spans="1:29">
      <c r="A118" s="122" t="s">
        <v>1174</v>
      </c>
      <c r="B118" s="35" t="s">
        <v>1175</v>
      </c>
      <c r="C118">
        <v>1257</v>
      </c>
      <c r="E118" s="35" t="s">
        <v>1175</v>
      </c>
      <c r="F118">
        <v>887</v>
      </c>
      <c r="G118" t="b">
        <f t="shared" si="15"/>
        <v>1</v>
      </c>
      <c r="J118" s="24">
        <f t="shared" si="13"/>
        <v>-370</v>
      </c>
      <c r="K118" s="4">
        <f t="shared" si="10"/>
        <v>-0.294351630867144</v>
      </c>
      <c r="M118" s="5">
        <v>2095.2399999999998</v>
      </c>
      <c r="N118" s="5">
        <v>1543.59</v>
      </c>
      <c r="Q118" s="119">
        <v>7330.14</v>
      </c>
      <c r="T118" s="98">
        <f t="shared" si="16"/>
        <v>-551.64999999999986</v>
      </c>
      <c r="U118" s="4">
        <f t="shared" si="17"/>
        <v>-0.26328726064794483</v>
      </c>
      <c r="AA118" s="113">
        <v>29377.17</v>
      </c>
      <c r="AB118" s="113">
        <v>23935.02</v>
      </c>
      <c r="AC118" s="4">
        <f t="shared" si="14"/>
        <v>-0.18525099592642857</v>
      </c>
    </row>
    <row r="119" spans="1:29">
      <c r="A119" s="133" t="s">
        <v>925</v>
      </c>
      <c r="B119" t="s">
        <v>926</v>
      </c>
      <c r="C119" s="18">
        <v>458</v>
      </c>
      <c r="E119" t="s">
        <v>926</v>
      </c>
      <c r="F119" s="18">
        <v>458</v>
      </c>
      <c r="G119" t="b">
        <f t="shared" si="15"/>
        <v>1</v>
      </c>
      <c r="J119" s="24">
        <f t="shared" si="13"/>
        <v>0</v>
      </c>
      <c r="K119" s="4">
        <f t="shared" si="10"/>
        <v>0</v>
      </c>
      <c r="M119" s="5">
        <v>54.040000000000006</v>
      </c>
      <c r="N119" s="5">
        <v>40.99</v>
      </c>
      <c r="Q119" s="119">
        <v>56.97</v>
      </c>
      <c r="T119" s="98">
        <f t="shared" si="16"/>
        <v>-13.050000000000004</v>
      </c>
      <c r="U119" s="4">
        <f t="shared" si="17"/>
        <v>-0.24148778682457439</v>
      </c>
      <c r="AA119" s="113">
        <v>8605.2999999999993</v>
      </c>
      <c r="AB119" s="113">
        <v>8127.2699999999995</v>
      </c>
      <c r="AC119" s="4">
        <f t="shared" si="14"/>
        <v>-5.5550649018628051E-2</v>
      </c>
    </row>
    <row r="120" spans="1:29">
      <c r="A120" s="134" t="s">
        <v>913</v>
      </c>
      <c r="B120" t="s">
        <v>914</v>
      </c>
      <c r="C120" s="18">
        <v>662</v>
      </c>
      <c r="E120" s="26" t="s">
        <v>914</v>
      </c>
      <c r="F120" s="18">
        <v>642</v>
      </c>
      <c r="G120" t="b">
        <f t="shared" si="15"/>
        <v>1</v>
      </c>
      <c r="J120" s="24">
        <f t="shared" si="13"/>
        <v>-20</v>
      </c>
      <c r="K120" s="4">
        <f t="shared" si="10"/>
        <v>-3.0211480362537735E-2</v>
      </c>
      <c r="M120" s="5">
        <v>1334.76</v>
      </c>
      <c r="N120" s="5">
        <v>391.46000000000004</v>
      </c>
      <c r="Q120" s="119">
        <v>1286.1100000000001</v>
      </c>
      <c r="T120" s="98">
        <f t="shared" si="16"/>
        <v>-943.3</v>
      </c>
      <c r="U120" s="4">
        <f t="shared" si="17"/>
        <v>-0.70671881087236654</v>
      </c>
      <c r="AA120" s="113">
        <v>13048.14</v>
      </c>
      <c r="AB120" s="113">
        <v>12081.029999999999</v>
      </c>
      <c r="AC120" s="4">
        <f t="shared" si="14"/>
        <v>-7.4118610008782948E-2</v>
      </c>
    </row>
    <row r="121" spans="1:29">
      <c r="A121" t="s">
        <v>1067</v>
      </c>
      <c r="B121" t="s">
        <v>1068</v>
      </c>
      <c r="C121" s="18">
        <v>640</v>
      </c>
      <c r="E121" t="s">
        <v>1068</v>
      </c>
      <c r="F121" s="18">
        <v>770</v>
      </c>
      <c r="G121" t="b">
        <f t="shared" si="15"/>
        <v>1</v>
      </c>
      <c r="J121" s="24">
        <f t="shared" si="13"/>
        <v>130</v>
      </c>
      <c r="K121" s="4">
        <f t="shared" si="10"/>
        <v>0.203125</v>
      </c>
      <c r="M121" s="5">
        <v>229.05</v>
      </c>
      <c r="N121" s="5">
        <v>140.83000000000001</v>
      </c>
      <c r="Q121" s="119">
        <v>2127.54</v>
      </c>
      <c r="T121" s="98">
        <f t="shared" si="16"/>
        <v>-88.22</v>
      </c>
      <c r="U121" s="4">
        <f t="shared" si="17"/>
        <v>-0.3851560794586335</v>
      </c>
      <c r="AA121" s="113">
        <v>19158.810000000001</v>
      </c>
      <c r="AB121" s="113">
        <v>23000.01</v>
      </c>
      <c r="AC121" s="4">
        <f t="shared" si="14"/>
        <v>0.20049261932238993</v>
      </c>
    </row>
    <row r="122" spans="1:29">
      <c r="A122" s="39" t="s">
        <v>1073</v>
      </c>
      <c r="B122" s="35" t="s">
        <v>1074</v>
      </c>
      <c r="C122" s="18">
        <v>1345</v>
      </c>
      <c r="E122" s="35" t="s">
        <v>1074</v>
      </c>
      <c r="F122" s="18">
        <v>1602</v>
      </c>
      <c r="G122" t="b">
        <f t="shared" si="15"/>
        <v>1</v>
      </c>
      <c r="J122" s="24">
        <f t="shared" si="13"/>
        <v>257</v>
      </c>
      <c r="K122" s="4">
        <f t="shared" si="10"/>
        <v>0.19107806691449825</v>
      </c>
      <c r="M122" s="5">
        <v>3708.5000000000005</v>
      </c>
      <c r="N122" s="5">
        <v>2352.4300000000003</v>
      </c>
      <c r="Q122" s="119">
        <v>7951.11</v>
      </c>
      <c r="T122" s="98">
        <f t="shared" si="16"/>
        <v>-1356.0700000000002</v>
      </c>
      <c r="U122" s="4">
        <f t="shared" si="17"/>
        <v>-0.36566536335445599</v>
      </c>
      <c r="AA122" s="113">
        <v>33077.479999999996</v>
      </c>
      <c r="AB122" s="113">
        <v>37358.79</v>
      </c>
      <c r="AC122" s="4">
        <f t="shared" si="14"/>
        <v>0.12943277420166255</v>
      </c>
    </row>
    <row r="123" spans="1:29">
      <c r="A123" s="23" t="s">
        <v>1015</v>
      </c>
      <c r="B123" s="137" t="s">
        <v>1016</v>
      </c>
      <c r="C123" s="18">
        <v>35</v>
      </c>
      <c r="E123" s="35" t="s">
        <v>1016</v>
      </c>
      <c r="F123" s="18">
        <v>60</v>
      </c>
      <c r="G123" t="b">
        <f t="shared" si="15"/>
        <v>1</v>
      </c>
      <c r="J123" s="24">
        <f t="shared" si="13"/>
        <v>25</v>
      </c>
      <c r="K123" s="4">
        <f t="shared" si="10"/>
        <v>0.71428571428571419</v>
      </c>
      <c r="M123" s="5">
        <v>842.92</v>
      </c>
      <c r="N123" s="5">
        <v>1280.71</v>
      </c>
      <c r="Q123" s="119">
        <v>2327.0500000000002</v>
      </c>
      <c r="T123" s="98">
        <f t="shared" si="16"/>
        <v>437.79000000000008</v>
      </c>
      <c r="U123" s="4">
        <f t="shared" si="17"/>
        <v>0.51937313149527853</v>
      </c>
      <c r="AA123" s="113">
        <v>837.81000000000006</v>
      </c>
      <c r="AB123" s="113">
        <v>1318.22</v>
      </c>
      <c r="AC123" s="4">
        <f t="shared" si="14"/>
        <v>0.57341163270908679</v>
      </c>
    </row>
    <row r="124" spans="1:29">
      <c r="A124" t="s">
        <v>944</v>
      </c>
      <c r="B124" t="s">
        <v>945</v>
      </c>
      <c r="C124" s="18">
        <v>454</v>
      </c>
      <c r="E124" t="s">
        <v>945</v>
      </c>
      <c r="F124" s="18">
        <v>525</v>
      </c>
      <c r="G124" t="b">
        <f t="shared" si="15"/>
        <v>1</v>
      </c>
      <c r="J124" s="24">
        <f t="shared" si="13"/>
        <v>71</v>
      </c>
      <c r="K124" s="4">
        <f t="shared" si="10"/>
        <v>0.15638766519823788</v>
      </c>
      <c r="M124" s="5">
        <v>476.9899999999999</v>
      </c>
      <c r="N124" s="5">
        <v>317.51</v>
      </c>
      <c r="Q124" s="119">
        <v>1334.1599999999999</v>
      </c>
      <c r="T124" s="98">
        <f t="shared" si="16"/>
        <v>-159.4799999999999</v>
      </c>
      <c r="U124" s="4">
        <f t="shared" si="17"/>
        <v>-0.3343466320048637</v>
      </c>
      <c r="Z124" s="106"/>
      <c r="AA124" s="113">
        <v>8969.4599999999991</v>
      </c>
      <c r="AB124" s="113">
        <v>10346.75</v>
      </c>
      <c r="AC124" s="4">
        <f t="shared" si="14"/>
        <v>0.15355327968461885</v>
      </c>
    </row>
    <row r="125" spans="1:29">
      <c r="A125" t="s">
        <v>1004</v>
      </c>
      <c r="B125" t="s">
        <v>1005</v>
      </c>
      <c r="C125" s="18">
        <v>0</v>
      </c>
      <c r="E125" t="s">
        <v>1005</v>
      </c>
      <c r="F125" s="18">
        <v>4</v>
      </c>
      <c r="G125" t="b">
        <f t="shared" si="15"/>
        <v>1</v>
      </c>
      <c r="J125" s="24">
        <f t="shared" si="13"/>
        <v>4</v>
      </c>
      <c r="K125" s="4" t="e">
        <f t="shared" si="10"/>
        <v>#DIV/0!</v>
      </c>
      <c r="M125" s="5">
        <v>0</v>
      </c>
      <c r="N125" s="5">
        <v>0</v>
      </c>
      <c r="Q125" s="119">
        <v>0</v>
      </c>
      <c r="T125" s="98">
        <f t="shared" si="16"/>
        <v>0</v>
      </c>
      <c r="U125" s="4">
        <f t="shared" si="17"/>
        <v>0</v>
      </c>
      <c r="W125" t="s">
        <v>1006</v>
      </c>
      <c r="Y125" t="s">
        <v>1007</v>
      </c>
      <c r="Z125" s="106" t="s">
        <v>1008</v>
      </c>
      <c r="AA125" s="113">
        <v>0</v>
      </c>
      <c r="AB125" s="113">
        <v>91.96</v>
      </c>
      <c r="AC125" s="4" t="e">
        <f t="shared" si="14"/>
        <v>#DIV/0!</v>
      </c>
    </row>
    <row r="126" spans="1:29">
      <c r="A126" s="168" t="s">
        <v>1866</v>
      </c>
      <c r="B126" s="26" t="s">
        <v>1861</v>
      </c>
      <c r="C126" s="169">
        <v>214</v>
      </c>
      <c r="E126" s="26" t="s">
        <v>1861</v>
      </c>
      <c r="F126" s="169">
        <v>116</v>
      </c>
      <c r="G126" t="b">
        <f t="shared" si="15"/>
        <v>1</v>
      </c>
      <c r="J126" s="24">
        <f t="shared" si="13"/>
        <v>-98</v>
      </c>
      <c r="K126" s="4">
        <f t="shared" si="10"/>
        <v>-0.45794392523364491</v>
      </c>
      <c r="M126" s="113">
        <v>1045.01</v>
      </c>
      <c r="N126" s="113">
        <v>449.14</v>
      </c>
      <c r="Q126" s="118">
        <v>2597.77</v>
      </c>
      <c r="T126" s="98">
        <f t="shared" si="16"/>
        <v>-595.87</v>
      </c>
      <c r="U126" s="4">
        <f t="shared" si="17"/>
        <v>-0.57020506980794439</v>
      </c>
      <c r="Z126" s="106"/>
      <c r="AA126" s="113">
        <v>3892.96</v>
      </c>
      <c r="AB126" s="113">
        <v>2100.16</v>
      </c>
      <c r="AC126" s="4">
        <f t="shared" si="14"/>
        <v>-0.46052361185319146</v>
      </c>
    </row>
    <row r="127" spans="1:29">
      <c r="A127" s="168" t="s">
        <v>1865</v>
      </c>
      <c r="B127" s="26" t="s">
        <v>1860</v>
      </c>
      <c r="C127" s="18">
        <v>357</v>
      </c>
      <c r="E127" s="26" t="s">
        <v>1860</v>
      </c>
      <c r="F127" s="18">
        <v>362</v>
      </c>
      <c r="G127" t="b">
        <f t="shared" si="15"/>
        <v>1</v>
      </c>
      <c r="J127" s="24">
        <f t="shared" si="13"/>
        <v>5</v>
      </c>
      <c r="K127" s="4">
        <f t="shared" si="10"/>
        <v>1.4005602240896309E-2</v>
      </c>
      <c r="M127" s="113">
        <v>1596.83</v>
      </c>
      <c r="N127" s="113">
        <v>1584.02</v>
      </c>
      <c r="Q127" s="119">
        <v>5681.75</v>
      </c>
      <c r="T127" s="98">
        <f t="shared" si="16"/>
        <v>-12.809999999999945</v>
      </c>
      <c r="U127" s="4">
        <f t="shared" si="17"/>
        <v>-8.0221438725474048E-3</v>
      </c>
      <c r="Z127" s="106"/>
      <c r="AA127" s="113">
        <v>5529.63</v>
      </c>
      <c r="AB127" s="113">
        <v>6514.28</v>
      </c>
      <c r="AC127" s="4">
        <f t="shared" si="14"/>
        <v>0.17806797199812641</v>
      </c>
    </row>
    <row r="128" spans="1:29">
      <c r="A128" s="168" t="s">
        <v>1864</v>
      </c>
      <c r="B128" s="26" t="s">
        <v>1859</v>
      </c>
      <c r="C128" s="18">
        <v>38</v>
      </c>
      <c r="E128" s="26" t="s">
        <v>1859</v>
      </c>
      <c r="F128" s="18">
        <v>89</v>
      </c>
      <c r="G128" t="b">
        <f t="shared" si="15"/>
        <v>1</v>
      </c>
      <c r="J128" s="24">
        <f t="shared" si="13"/>
        <v>51</v>
      </c>
      <c r="K128" s="4">
        <f t="shared" si="10"/>
        <v>1.3421052631578947</v>
      </c>
      <c r="M128" s="118">
        <v>249.08</v>
      </c>
      <c r="N128" s="118">
        <v>223.6</v>
      </c>
      <c r="Q128" s="119">
        <v>1363.27</v>
      </c>
      <c r="T128" s="98">
        <f t="shared" si="16"/>
        <v>-25.480000000000018</v>
      </c>
      <c r="U128" s="4">
        <f t="shared" si="17"/>
        <v>-0.10229645093945727</v>
      </c>
      <c r="Z128" s="106"/>
      <c r="AA128" s="113">
        <v>839.62</v>
      </c>
      <c r="AB128" s="113">
        <v>1460.91</v>
      </c>
      <c r="AC128" s="4">
        <f t="shared" si="14"/>
        <v>0.73996569876849061</v>
      </c>
    </row>
    <row r="129" spans="1:29">
      <c r="A129" t="s">
        <v>961</v>
      </c>
      <c r="B129" t="s">
        <v>962</v>
      </c>
      <c r="C129" s="18">
        <v>529</v>
      </c>
      <c r="D129" s="5"/>
      <c r="E129" t="s">
        <v>962</v>
      </c>
      <c r="F129" s="18">
        <v>556</v>
      </c>
      <c r="G129" t="b">
        <f t="shared" si="15"/>
        <v>1</v>
      </c>
      <c r="H129" s="5"/>
      <c r="I129" s="5"/>
      <c r="J129" s="24">
        <f t="shared" si="13"/>
        <v>27</v>
      </c>
      <c r="K129" s="4">
        <f t="shared" si="10"/>
        <v>5.1039697542533125E-2</v>
      </c>
      <c r="L129" s="5"/>
      <c r="M129" s="5">
        <v>38.19</v>
      </c>
      <c r="N129" s="5">
        <v>50.41</v>
      </c>
      <c r="O129" s="5"/>
      <c r="P129" s="5"/>
      <c r="Q129" s="119">
        <v>331.78000000000003</v>
      </c>
      <c r="R129" s="5"/>
      <c r="S129" s="5"/>
      <c r="T129" s="98">
        <f t="shared" si="16"/>
        <v>12.219999999999999</v>
      </c>
      <c r="U129" s="4">
        <f t="shared" si="17"/>
        <v>0.31997905210788158</v>
      </c>
      <c r="V129" s="5"/>
      <c r="W129" s="5"/>
      <c r="X129" s="5"/>
      <c r="Y129" s="5"/>
      <c r="Z129" s="131"/>
      <c r="AA129" s="113">
        <v>10533.12</v>
      </c>
      <c r="AB129" s="113">
        <v>10904.289999999999</v>
      </c>
      <c r="AC129" s="4">
        <f t="shared" si="14"/>
        <v>3.5238371916393119E-2</v>
      </c>
    </row>
    <row r="130" spans="1:29">
      <c r="A130" t="s">
        <v>1205</v>
      </c>
      <c r="B130" t="s">
        <v>1206</v>
      </c>
      <c r="C130" s="18">
        <v>1118</v>
      </c>
      <c r="E130" t="s">
        <v>1206</v>
      </c>
      <c r="F130" s="18">
        <v>1122</v>
      </c>
      <c r="G130" t="b">
        <f t="shared" si="15"/>
        <v>1</v>
      </c>
      <c r="J130" s="24">
        <f t="shared" si="13"/>
        <v>4</v>
      </c>
      <c r="K130" s="4">
        <f t="shared" si="10"/>
        <v>3.5778175313059268E-3</v>
      </c>
      <c r="M130" s="5">
        <v>1240.99</v>
      </c>
      <c r="N130" s="5">
        <v>1392.51</v>
      </c>
      <c r="Q130" s="119">
        <v>6275.59</v>
      </c>
      <c r="T130" s="98">
        <f t="shared" si="16"/>
        <v>151.51999999999998</v>
      </c>
      <c r="U130" s="4">
        <f t="shared" si="17"/>
        <v>0.12209606846147025</v>
      </c>
      <c r="Z130" s="106"/>
      <c r="AA130" s="113">
        <v>27902.83</v>
      </c>
      <c r="AB130" s="113">
        <v>28025.600000000002</v>
      </c>
      <c r="AC130" s="4">
        <f t="shared" si="14"/>
        <v>4.3999121236089067E-3</v>
      </c>
    </row>
    <row r="131" spans="1:29">
      <c r="A131" t="s">
        <v>1025</v>
      </c>
      <c r="B131" t="s">
        <v>1026</v>
      </c>
      <c r="C131" s="18">
        <v>337</v>
      </c>
      <c r="E131" t="s">
        <v>1026</v>
      </c>
      <c r="F131" s="18">
        <v>291</v>
      </c>
      <c r="G131" t="b">
        <f t="shared" ref="G131:G177" si="18">IF(B131=E131,TRUE,FALSE)</f>
        <v>1</v>
      </c>
      <c r="J131" s="24">
        <f t="shared" si="13"/>
        <v>-46</v>
      </c>
      <c r="K131" s="4">
        <f t="shared" ref="K131:K177" si="19">F131/C131-1</f>
        <v>-0.13649851632047483</v>
      </c>
      <c r="M131" s="5">
        <v>0</v>
      </c>
      <c r="N131" s="5">
        <v>0</v>
      </c>
      <c r="Q131" s="119">
        <v>0</v>
      </c>
      <c r="T131" s="98">
        <f t="shared" ref="T131:T165" si="20">N131-M131</f>
        <v>0</v>
      </c>
      <c r="U131" s="4">
        <f t="shared" ref="U131:U165" si="21">IF(M131=0,0,N131/M131-1)</f>
        <v>0</v>
      </c>
      <c r="Z131" s="106"/>
      <c r="AA131" s="113">
        <v>6461.18</v>
      </c>
      <c r="AB131" s="113">
        <v>6131.51</v>
      </c>
      <c r="AC131" s="4">
        <f t="shared" si="14"/>
        <v>-5.1023187714937523E-2</v>
      </c>
    </row>
    <row r="132" spans="1:29">
      <c r="A132" s="133" t="s">
        <v>1041</v>
      </c>
      <c r="B132" t="s">
        <v>1042</v>
      </c>
      <c r="C132" s="18">
        <v>263</v>
      </c>
      <c r="E132" t="s">
        <v>1042</v>
      </c>
      <c r="F132" s="18">
        <v>277</v>
      </c>
      <c r="G132" t="b">
        <f t="shared" si="18"/>
        <v>1</v>
      </c>
      <c r="J132" s="24">
        <f t="shared" ref="J132:J177" si="22">F132-C132</f>
        <v>14</v>
      </c>
      <c r="K132" s="4">
        <f t="shared" si="19"/>
        <v>5.323193916349811E-2</v>
      </c>
      <c r="M132" s="5">
        <v>150.46</v>
      </c>
      <c r="N132" s="5">
        <v>303.28000000000003</v>
      </c>
      <c r="Q132" s="119">
        <v>1723.6000000000001</v>
      </c>
      <c r="T132" s="98">
        <f t="shared" si="20"/>
        <v>152.82000000000002</v>
      </c>
      <c r="U132" s="4">
        <f t="shared" si="21"/>
        <v>1.0156852319553371</v>
      </c>
      <c r="Z132" s="106"/>
      <c r="AA132" s="113">
        <v>7785.37</v>
      </c>
      <c r="AB132" s="113">
        <v>8184.23</v>
      </c>
      <c r="AC132" s="4">
        <f t="shared" ref="AC132:AC165" si="23">AB132/AA132-1</f>
        <v>5.1231990258651772E-2</v>
      </c>
    </row>
    <row r="133" spans="1:29">
      <c r="A133" s="122" t="s">
        <v>1009</v>
      </c>
      <c r="B133" s="26" t="s">
        <v>1010</v>
      </c>
      <c r="C133" s="169">
        <v>120</v>
      </c>
      <c r="E133" s="26" t="s">
        <v>1010</v>
      </c>
      <c r="F133" s="169">
        <v>39</v>
      </c>
      <c r="G133" t="b">
        <f t="shared" si="18"/>
        <v>1</v>
      </c>
      <c r="J133" s="24">
        <f t="shared" si="22"/>
        <v>-81</v>
      </c>
      <c r="K133" s="4">
        <f t="shared" si="19"/>
        <v>-0.67500000000000004</v>
      </c>
      <c r="M133" s="5">
        <v>787.85</v>
      </c>
      <c r="N133" s="5">
        <v>421.43</v>
      </c>
      <c r="Q133" s="118">
        <v>1644.8</v>
      </c>
      <c r="T133" s="98">
        <f t="shared" si="20"/>
        <v>-366.42</v>
      </c>
      <c r="U133" s="4">
        <f t="shared" si="21"/>
        <v>-0.46508853208097989</v>
      </c>
      <c r="Z133" s="106"/>
      <c r="AA133" s="113">
        <v>2639.8</v>
      </c>
      <c r="AB133" s="113">
        <v>974.61</v>
      </c>
      <c r="AC133" s="4">
        <f t="shared" si="23"/>
        <v>-0.6308015758769604</v>
      </c>
    </row>
    <row r="134" spans="1:29">
      <c r="A134" s="133" t="s">
        <v>1095</v>
      </c>
      <c r="B134" t="s">
        <v>1096</v>
      </c>
      <c r="C134" s="18">
        <v>1653</v>
      </c>
      <c r="E134" t="s">
        <v>1096</v>
      </c>
      <c r="F134" s="18">
        <v>1716</v>
      </c>
      <c r="G134" t="b">
        <f t="shared" si="18"/>
        <v>1</v>
      </c>
      <c r="J134" s="24">
        <f t="shared" si="22"/>
        <v>63</v>
      </c>
      <c r="K134" s="4">
        <f t="shared" si="19"/>
        <v>3.8112522686025496E-2</v>
      </c>
      <c r="M134" s="5">
        <v>2816.0400000000004</v>
      </c>
      <c r="N134" s="5">
        <v>2648.2800000000007</v>
      </c>
      <c r="Q134" s="119">
        <v>7951.1799999999994</v>
      </c>
      <c r="T134" s="98">
        <f t="shared" si="20"/>
        <v>-167.75999999999976</v>
      </c>
      <c r="U134" s="4">
        <f t="shared" si="21"/>
        <v>-5.9573017428729558E-2</v>
      </c>
      <c r="Z134" s="106"/>
      <c r="AA134" s="113">
        <v>36301.03</v>
      </c>
      <c r="AB134" s="113">
        <v>36163.229999999996</v>
      </c>
      <c r="AC134" s="4">
        <f t="shared" si="23"/>
        <v>-3.7960355394874856E-3</v>
      </c>
    </row>
    <row r="135" spans="1:29">
      <c r="A135" t="s">
        <v>1045</v>
      </c>
      <c r="B135" t="s">
        <v>1046</v>
      </c>
      <c r="C135" s="18">
        <v>410</v>
      </c>
      <c r="E135" t="s">
        <v>1046</v>
      </c>
      <c r="F135" s="18">
        <v>384</v>
      </c>
      <c r="G135" t="b">
        <f t="shared" si="18"/>
        <v>1</v>
      </c>
      <c r="J135" s="24">
        <f t="shared" si="22"/>
        <v>-26</v>
      </c>
      <c r="K135" s="4">
        <f t="shared" si="19"/>
        <v>-6.3414634146341409E-2</v>
      </c>
      <c r="M135" s="5">
        <v>40.33</v>
      </c>
      <c r="N135" s="5">
        <v>62.000000000000007</v>
      </c>
      <c r="Q135" s="119">
        <v>228.41</v>
      </c>
      <c r="T135" s="98">
        <f t="shared" si="20"/>
        <v>21.670000000000009</v>
      </c>
      <c r="U135" s="4">
        <f t="shared" si="21"/>
        <v>0.53731713364740918</v>
      </c>
      <c r="W135" t="s">
        <v>1047</v>
      </c>
      <c r="Z135" s="106" t="s">
        <v>1048</v>
      </c>
      <c r="AA135" s="113">
        <v>12194.189999999999</v>
      </c>
      <c r="AB135" s="113">
        <v>11300.199999999999</v>
      </c>
      <c r="AC135" s="4">
        <f t="shared" si="23"/>
        <v>-7.3312782562843459E-2</v>
      </c>
    </row>
    <row r="136" spans="1:29">
      <c r="A136" t="s">
        <v>1029</v>
      </c>
      <c r="B136" t="s">
        <v>1030</v>
      </c>
      <c r="C136" s="18">
        <v>650</v>
      </c>
      <c r="E136" t="s">
        <v>1030</v>
      </c>
      <c r="F136" s="18">
        <v>657</v>
      </c>
      <c r="G136" t="b">
        <f t="shared" si="18"/>
        <v>1</v>
      </c>
      <c r="J136" s="24">
        <f t="shared" si="22"/>
        <v>7</v>
      </c>
      <c r="K136" s="4">
        <f t="shared" si="19"/>
        <v>1.0769230769230864E-2</v>
      </c>
      <c r="L136" s="5"/>
      <c r="M136" s="5">
        <v>466.98</v>
      </c>
      <c r="N136" s="5">
        <v>408.53</v>
      </c>
      <c r="O136" s="5"/>
      <c r="P136" s="5"/>
      <c r="Q136" s="119">
        <v>3033.35</v>
      </c>
      <c r="R136" s="5"/>
      <c r="S136" s="5"/>
      <c r="T136" s="98">
        <f t="shared" si="20"/>
        <v>-58.450000000000045</v>
      </c>
      <c r="U136" s="4">
        <f t="shared" si="21"/>
        <v>-0.12516595999828695</v>
      </c>
      <c r="V136" s="5"/>
      <c r="W136" s="5"/>
      <c r="X136" s="5"/>
      <c r="Y136" s="5"/>
      <c r="Z136" s="131"/>
      <c r="AA136" s="113">
        <v>19489.599999999999</v>
      </c>
      <c r="AB136" s="113">
        <v>19682.55</v>
      </c>
      <c r="AC136" s="4">
        <f t="shared" si="23"/>
        <v>9.9001518758723428E-3</v>
      </c>
    </row>
    <row r="137" spans="1:29">
      <c r="A137" s="168" t="s">
        <v>1863</v>
      </c>
      <c r="B137" s="26" t="s">
        <v>1858</v>
      </c>
      <c r="C137" s="18">
        <v>1053</v>
      </c>
      <c r="E137" s="26" t="s">
        <v>1858</v>
      </c>
      <c r="F137" s="18">
        <v>443</v>
      </c>
      <c r="G137" t="b">
        <f t="shared" si="18"/>
        <v>1</v>
      </c>
      <c r="J137" s="24">
        <f t="shared" si="22"/>
        <v>-610</v>
      </c>
      <c r="K137" s="4">
        <f t="shared" si="19"/>
        <v>-0.57929724596391263</v>
      </c>
      <c r="M137" s="118">
        <v>1911.35</v>
      </c>
      <c r="N137" s="118">
        <v>947.34</v>
      </c>
      <c r="Q137" s="119">
        <v>4143.0200000000004</v>
      </c>
      <c r="T137" s="98">
        <f t="shared" si="20"/>
        <v>-964.00999999999988</v>
      </c>
      <c r="U137" s="4">
        <f t="shared" si="21"/>
        <v>-0.5043607921102885</v>
      </c>
      <c r="Z137" s="106"/>
      <c r="AA137" s="113">
        <v>18894.47</v>
      </c>
      <c r="AB137" s="113">
        <v>8829.98</v>
      </c>
      <c r="AC137" s="4">
        <f t="shared" si="23"/>
        <v>-0.53266855328569696</v>
      </c>
    </row>
    <row r="138" spans="1:29">
      <c r="A138" t="s">
        <v>1118</v>
      </c>
      <c r="B138" t="s">
        <v>1119</v>
      </c>
      <c r="C138" s="18">
        <v>786</v>
      </c>
      <c r="E138" t="s">
        <v>1119</v>
      </c>
      <c r="F138" s="18">
        <v>529</v>
      </c>
      <c r="G138" t="b">
        <f t="shared" si="18"/>
        <v>1</v>
      </c>
      <c r="J138" s="24">
        <f t="shared" si="22"/>
        <v>-257</v>
      </c>
      <c r="K138" s="4">
        <f t="shared" si="19"/>
        <v>-0.32697201017811706</v>
      </c>
      <c r="M138" s="5">
        <v>326.47000000000003</v>
      </c>
      <c r="N138" s="5">
        <v>116.33</v>
      </c>
      <c r="Q138" s="119">
        <v>612.45000000000005</v>
      </c>
      <c r="T138" s="98">
        <f t="shared" si="20"/>
        <v>-210.14000000000004</v>
      </c>
      <c r="U138" s="4">
        <f t="shared" si="21"/>
        <v>-0.6436732318436611</v>
      </c>
      <c r="Z138" s="106"/>
      <c r="AA138" s="113">
        <v>25084.799999999999</v>
      </c>
      <c r="AB138" s="113">
        <v>18996.18</v>
      </c>
      <c r="AC138" s="4">
        <f t="shared" si="23"/>
        <v>-0.24272148871029464</v>
      </c>
    </row>
    <row r="139" spans="1:29">
      <c r="A139" t="s">
        <v>1130</v>
      </c>
      <c r="B139" t="s">
        <v>1131</v>
      </c>
      <c r="C139" s="18">
        <v>1079</v>
      </c>
      <c r="E139" t="s">
        <v>1131</v>
      </c>
      <c r="F139" s="18">
        <v>1304</v>
      </c>
      <c r="G139" t="b">
        <f t="shared" si="18"/>
        <v>1</v>
      </c>
      <c r="J139" s="24">
        <f t="shared" si="22"/>
        <v>225</v>
      </c>
      <c r="K139" s="4">
        <f t="shared" si="19"/>
        <v>0.20852641334569055</v>
      </c>
      <c r="M139" s="5">
        <v>568.80999999999995</v>
      </c>
      <c r="N139" s="5">
        <v>766.98</v>
      </c>
      <c r="Q139" s="119">
        <v>4788.59</v>
      </c>
      <c r="T139" s="98">
        <f t="shared" si="20"/>
        <v>198.17000000000007</v>
      </c>
      <c r="U139" s="4">
        <f t="shared" si="21"/>
        <v>0.34839401557637895</v>
      </c>
      <c r="Z139" s="106"/>
      <c r="AA139" s="113">
        <v>21545.42</v>
      </c>
      <c r="AB139" s="113">
        <v>24448.58</v>
      </c>
      <c r="AC139" s="4">
        <f t="shared" si="23"/>
        <v>0.13474603883331149</v>
      </c>
    </row>
    <row r="140" spans="1:29">
      <c r="A140" s="168" t="s">
        <v>1862</v>
      </c>
      <c r="B140" s="26" t="s">
        <v>1857</v>
      </c>
      <c r="C140" s="18">
        <v>413</v>
      </c>
      <c r="E140" s="26" t="s">
        <v>1857</v>
      </c>
      <c r="F140" s="18">
        <v>259</v>
      </c>
      <c r="G140" t="b">
        <f t="shared" si="18"/>
        <v>1</v>
      </c>
      <c r="J140" s="24">
        <f t="shared" si="22"/>
        <v>-154</v>
      </c>
      <c r="K140" s="4">
        <f t="shared" si="19"/>
        <v>-0.3728813559322034</v>
      </c>
      <c r="M140" s="118">
        <v>1462.78</v>
      </c>
      <c r="N140" s="118">
        <v>1281.81</v>
      </c>
      <c r="Q140" s="119">
        <v>4742.3</v>
      </c>
      <c r="T140" s="98">
        <f t="shared" si="20"/>
        <v>-180.97000000000003</v>
      </c>
      <c r="U140" s="4">
        <f t="shared" si="21"/>
        <v>-0.12371648504901622</v>
      </c>
      <c r="Z140" s="106"/>
      <c r="AA140" s="113">
        <v>9029.68</v>
      </c>
      <c r="AB140" s="113">
        <v>6471.01</v>
      </c>
      <c r="AC140" s="4">
        <f t="shared" si="23"/>
        <v>-0.2833622010968273</v>
      </c>
    </row>
    <row r="141" spans="1:29">
      <c r="A141" s="122" t="s">
        <v>1120</v>
      </c>
      <c r="B141" s="26" t="s">
        <v>1121</v>
      </c>
      <c r="C141" s="169">
        <v>751</v>
      </c>
      <c r="E141" s="26" t="s">
        <v>1121</v>
      </c>
      <c r="F141" s="169">
        <v>687</v>
      </c>
      <c r="G141" t="b">
        <f t="shared" si="18"/>
        <v>1</v>
      </c>
      <c r="J141" s="24">
        <f t="shared" si="22"/>
        <v>-64</v>
      </c>
      <c r="K141" s="4">
        <f t="shared" si="19"/>
        <v>-8.521970705725701E-2</v>
      </c>
      <c r="M141" s="5">
        <v>809.06000000000017</v>
      </c>
      <c r="N141" s="5">
        <v>405.43</v>
      </c>
      <c r="Q141" s="118">
        <v>1246.1400000000001</v>
      </c>
      <c r="T141" s="98">
        <f t="shared" si="20"/>
        <v>-403.63000000000017</v>
      </c>
      <c r="U141" s="4">
        <f t="shared" si="21"/>
        <v>-0.49888759795318038</v>
      </c>
      <c r="Z141" s="106"/>
      <c r="AA141" s="113">
        <v>18527.489999999998</v>
      </c>
      <c r="AB141" s="113">
        <v>16845.64</v>
      </c>
      <c r="AC141" s="4">
        <f t="shared" si="23"/>
        <v>-9.0775922696490374E-2</v>
      </c>
    </row>
    <row r="142" spans="1:29">
      <c r="A142" s="38" t="s">
        <v>950</v>
      </c>
      <c r="B142" s="35" t="s">
        <v>951</v>
      </c>
      <c r="C142" s="18">
        <v>277</v>
      </c>
      <c r="E142" s="35" t="s">
        <v>951</v>
      </c>
      <c r="F142" s="18">
        <v>333</v>
      </c>
      <c r="G142" t="b">
        <f t="shared" si="18"/>
        <v>1</v>
      </c>
      <c r="J142" s="24">
        <f t="shared" si="22"/>
        <v>56</v>
      </c>
      <c r="K142" s="4">
        <f t="shared" si="19"/>
        <v>0.20216606498194944</v>
      </c>
      <c r="M142" s="5">
        <v>936.49</v>
      </c>
      <c r="N142" s="5">
        <v>843.77</v>
      </c>
      <c r="Q142" s="119">
        <v>2749.02</v>
      </c>
      <c r="T142" s="98">
        <f t="shared" si="20"/>
        <v>-92.720000000000027</v>
      </c>
      <c r="U142" s="4">
        <f t="shared" si="21"/>
        <v>-9.9007997949791315E-2</v>
      </c>
      <c r="Z142" s="106"/>
      <c r="AA142" s="113">
        <v>4703.22</v>
      </c>
      <c r="AB142" s="113">
        <v>4871.55</v>
      </c>
      <c r="AC142" s="4">
        <f t="shared" si="23"/>
        <v>3.579037340375324E-2</v>
      </c>
    </row>
    <row r="143" spans="1:29">
      <c r="A143" t="s">
        <v>1222</v>
      </c>
      <c r="B143" t="s">
        <v>1223</v>
      </c>
      <c r="C143" s="18">
        <v>2836</v>
      </c>
      <c r="D143" s="5"/>
      <c r="E143" t="s">
        <v>1223</v>
      </c>
      <c r="F143" s="18">
        <v>1769</v>
      </c>
      <c r="G143" t="b">
        <f t="shared" si="18"/>
        <v>1</v>
      </c>
      <c r="H143" s="5"/>
      <c r="I143" s="5"/>
      <c r="J143" s="24">
        <f t="shared" si="22"/>
        <v>-1067</v>
      </c>
      <c r="K143" s="4">
        <f t="shared" si="19"/>
        <v>-0.37623413258110017</v>
      </c>
      <c r="L143" s="5"/>
      <c r="M143" s="5">
        <v>3700.69</v>
      </c>
      <c r="N143" s="5">
        <v>2419.08</v>
      </c>
      <c r="O143" s="5"/>
      <c r="P143" s="5"/>
      <c r="Q143" s="119">
        <v>10340.26</v>
      </c>
      <c r="R143" s="5"/>
      <c r="S143" s="5"/>
      <c r="T143" s="98">
        <f t="shared" si="20"/>
        <v>-1281.6100000000001</v>
      </c>
      <c r="U143" s="4">
        <f t="shared" si="21"/>
        <v>-0.34631649773420636</v>
      </c>
      <c r="V143" s="5"/>
      <c r="W143" s="5"/>
      <c r="X143" s="5"/>
      <c r="Y143" s="5"/>
      <c r="Z143" s="131"/>
      <c r="AA143" s="113">
        <v>56070.3</v>
      </c>
      <c r="AB143" s="113">
        <v>38231.120000000003</v>
      </c>
      <c r="AC143" s="4">
        <f t="shared" si="23"/>
        <v>-0.31815738456901421</v>
      </c>
    </row>
    <row r="144" spans="1:29">
      <c r="A144" t="s">
        <v>1059</v>
      </c>
      <c r="B144" t="s">
        <v>1060</v>
      </c>
      <c r="C144" s="18">
        <v>2182</v>
      </c>
      <c r="E144" t="s">
        <v>1060</v>
      </c>
      <c r="F144" s="18">
        <v>2782</v>
      </c>
      <c r="G144" t="b">
        <f t="shared" si="18"/>
        <v>1</v>
      </c>
      <c r="J144" s="24">
        <f t="shared" si="22"/>
        <v>600</v>
      </c>
      <c r="K144" s="4">
        <f t="shared" si="19"/>
        <v>0.27497708524289632</v>
      </c>
      <c r="M144" s="5">
        <v>1386.91</v>
      </c>
      <c r="N144" s="5">
        <v>1779.77</v>
      </c>
      <c r="Q144" s="119">
        <v>13624.93</v>
      </c>
      <c r="T144" s="98">
        <f t="shared" si="20"/>
        <v>392.8599999999999</v>
      </c>
      <c r="U144" s="4">
        <f t="shared" si="21"/>
        <v>0.28326279282722022</v>
      </c>
      <c r="Z144" s="106"/>
      <c r="AA144" s="113">
        <v>65362.22</v>
      </c>
      <c r="AB144" s="113">
        <v>77664.41</v>
      </c>
      <c r="AC144" s="4">
        <f t="shared" si="23"/>
        <v>0.18821560834378026</v>
      </c>
    </row>
    <row r="145" spans="1:30">
      <c r="A145" t="s">
        <v>931</v>
      </c>
      <c r="B145" t="s">
        <v>932</v>
      </c>
      <c r="C145" s="18">
        <v>1173</v>
      </c>
      <c r="E145" t="s">
        <v>932</v>
      </c>
      <c r="F145" s="18">
        <v>1354</v>
      </c>
      <c r="G145" t="b">
        <f t="shared" si="18"/>
        <v>1</v>
      </c>
      <c r="J145" s="24">
        <f t="shared" si="22"/>
        <v>181</v>
      </c>
      <c r="K145" s="4">
        <f t="shared" si="19"/>
        <v>0.15430520034100592</v>
      </c>
      <c r="M145" s="5">
        <v>3080.9</v>
      </c>
      <c r="N145" s="5">
        <v>2924.65</v>
      </c>
      <c r="Q145" s="119">
        <v>11203.460000000001</v>
      </c>
      <c r="T145" s="98">
        <f t="shared" si="20"/>
        <v>-156.25</v>
      </c>
      <c r="U145" s="4">
        <f t="shared" si="21"/>
        <v>-5.0715699957804561E-2</v>
      </c>
      <c r="W145" t="s">
        <v>933</v>
      </c>
      <c r="Y145" t="s">
        <v>934</v>
      </c>
      <c r="Z145" s="106"/>
      <c r="AA145" s="113">
        <v>23262.28</v>
      </c>
      <c r="AB145" s="113">
        <v>25465.379999999997</v>
      </c>
      <c r="AC145" s="4">
        <f t="shared" si="23"/>
        <v>9.4706967674707654E-2</v>
      </c>
    </row>
    <row r="146" spans="1:30">
      <c r="A146" s="133" t="s">
        <v>929</v>
      </c>
      <c r="B146" t="s">
        <v>930</v>
      </c>
      <c r="C146" s="18">
        <v>1124</v>
      </c>
      <c r="E146" t="s">
        <v>930</v>
      </c>
      <c r="F146" s="18">
        <v>1233</v>
      </c>
      <c r="G146" t="b">
        <f t="shared" si="18"/>
        <v>1</v>
      </c>
      <c r="J146" s="24">
        <f t="shared" si="22"/>
        <v>109</v>
      </c>
      <c r="K146" s="4">
        <f t="shared" si="19"/>
        <v>9.6975088967971468E-2</v>
      </c>
      <c r="M146" s="5">
        <v>1694.0700000000002</v>
      </c>
      <c r="N146" s="5">
        <v>2161.15</v>
      </c>
      <c r="Q146" s="119">
        <v>7952.0299999999988</v>
      </c>
      <c r="T146" s="98">
        <f t="shared" si="20"/>
        <v>467.07999999999993</v>
      </c>
      <c r="U146" s="4">
        <f t="shared" si="21"/>
        <v>0.27571469892035161</v>
      </c>
      <c r="Z146" s="106"/>
      <c r="AA146" s="113">
        <v>30020.089999999997</v>
      </c>
      <c r="AB146" s="113">
        <v>31169.38</v>
      </c>
      <c r="AC146" s="4">
        <f t="shared" si="23"/>
        <v>3.8284029128493824E-2</v>
      </c>
      <c r="AD146" s="5"/>
    </row>
    <row r="147" spans="1:30" ht="12" customHeight="1">
      <c r="A147" t="s">
        <v>1093</v>
      </c>
      <c r="B147" t="s">
        <v>1094</v>
      </c>
      <c r="C147" s="18">
        <v>296</v>
      </c>
      <c r="E147" t="s">
        <v>1094</v>
      </c>
      <c r="F147" s="18">
        <v>209</v>
      </c>
      <c r="G147" t="b">
        <f t="shared" si="18"/>
        <v>1</v>
      </c>
      <c r="J147" s="24">
        <f t="shared" si="22"/>
        <v>-87</v>
      </c>
      <c r="K147" s="4">
        <f t="shared" si="19"/>
        <v>-0.29391891891891897</v>
      </c>
      <c r="M147" s="5">
        <v>166.64</v>
      </c>
      <c r="N147" s="5">
        <v>142.91</v>
      </c>
      <c r="Q147" s="119">
        <v>728.57</v>
      </c>
      <c r="T147" s="98">
        <f t="shared" si="20"/>
        <v>-23.72999999999999</v>
      </c>
      <c r="U147" s="4">
        <f t="shared" si="21"/>
        <v>-0.14240278444551124</v>
      </c>
      <c r="Z147" s="106"/>
      <c r="AA147" s="113">
        <v>8863.1</v>
      </c>
      <c r="AB147" s="113">
        <v>6258.35</v>
      </c>
      <c r="AC147" s="4">
        <f t="shared" si="23"/>
        <v>-0.29388701470140244</v>
      </c>
    </row>
    <row r="148" spans="1:30" ht="14.25" customHeight="1">
      <c r="A148" t="s">
        <v>1106</v>
      </c>
      <c r="B148" t="s">
        <v>1107</v>
      </c>
      <c r="C148" s="18">
        <v>1175</v>
      </c>
      <c r="D148" s="5"/>
      <c r="E148" t="s">
        <v>1107</v>
      </c>
      <c r="F148" s="18">
        <v>657</v>
      </c>
      <c r="G148" t="b">
        <f t="shared" si="18"/>
        <v>1</v>
      </c>
      <c r="H148" s="5"/>
      <c r="I148" s="5"/>
      <c r="J148" s="24">
        <f t="shared" si="22"/>
        <v>-518</v>
      </c>
      <c r="K148" s="4">
        <f t="shared" si="19"/>
        <v>-0.44085106382978723</v>
      </c>
      <c r="L148" s="5"/>
      <c r="M148" s="5">
        <v>990.48</v>
      </c>
      <c r="N148" s="5">
        <v>537.13</v>
      </c>
      <c r="O148" s="5"/>
      <c r="P148" s="5"/>
      <c r="Q148" s="119">
        <v>2297.38</v>
      </c>
      <c r="R148" s="5"/>
      <c r="S148" s="5"/>
      <c r="T148" s="98">
        <f t="shared" si="20"/>
        <v>-453.35</v>
      </c>
      <c r="U148" s="4">
        <f t="shared" si="21"/>
        <v>-0.45770737420240692</v>
      </c>
      <c r="V148" s="5"/>
      <c r="W148" s="5"/>
      <c r="X148" s="5"/>
      <c r="Y148" s="5"/>
      <c r="Z148" s="131"/>
      <c r="AA148" s="113">
        <v>27472.91</v>
      </c>
      <c r="AB148" s="113">
        <v>17730.810000000001</v>
      </c>
      <c r="AC148" s="4">
        <f t="shared" si="23"/>
        <v>-0.35460750244513595</v>
      </c>
    </row>
    <row r="149" spans="1:30" ht="14.25" customHeight="1">
      <c r="A149" t="s">
        <v>939</v>
      </c>
      <c r="B149" t="s">
        <v>940</v>
      </c>
      <c r="C149" s="18">
        <v>676</v>
      </c>
      <c r="E149" t="s">
        <v>940</v>
      </c>
      <c r="F149" s="18">
        <v>635</v>
      </c>
      <c r="G149" t="b">
        <f t="shared" si="18"/>
        <v>1</v>
      </c>
      <c r="J149" s="24">
        <f t="shared" si="22"/>
        <v>-41</v>
      </c>
      <c r="K149" s="4">
        <f t="shared" si="19"/>
        <v>-6.0650887573964529E-2</v>
      </c>
      <c r="M149" s="5">
        <v>1202.6099999999999</v>
      </c>
      <c r="N149" s="5">
        <v>816.75</v>
      </c>
      <c r="Q149" s="119">
        <v>3347.37</v>
      </c>
      <c r="T149" s="98">
        <f t="shared" si="20"/>
        <v>-385.8599999999999</v>
      </c>
      <c r="U149" s="4">
        <f t="shared" si="21"/>
        <v>-0.32085214658118588</v>
      </c>
      <c r="W149" t="s">
        <v>941</v>
      </c>
      <c r="Z149" s="106"/>
      <c r="AA149" s="113">
        <v>14344.85</v>
      </c>
      <c r="AB149" s="113">
        <v>14187.02</v>
      </c>
      <c r="AC149" s="4">
        <f t="shared" si="23"/>
        <v>-1.1002554923892571E-2</v>
      </c>
    </row>
    <row r="150" spans="1:30" ht="14.25" customHeight="1">
      <c r="A150" t="s">
        <v>1186</v>
      </c>
      <c r="B150" t="s">
        <v>1187</v>
      </c>
      <c r="C150" s="18">
        <v>1375</v>
      </c>
      <c r="D150" s="5"/>
      <c r="E150" t="s">
        <v>1187</v>
      </c>
      <c r="F150" s="18">
        <v>1115</v>
      </c>
      <c r="G150" t="b">
        <f t="shared" si="18"/>
        <v>1</v>
      </c>
      <c r="H150" s="5"/>
      <c r="I150" s="5"/>
      <c r="J150" s="24">
        <f t="shared" si="22"/>
        <v>-260</v>
      </c>
      <c r="K150" s="4">
        <f t="shared" si="19"/>
        <v>-0.18909090909090909</v>
      </c>
      <c r="L150" s="5"/>
      <c r="M150" s="5">
        <v>2963.28</v>
      </c>
      <c r="N150" s="5">
        <v>2268.86</v>
      </c>
      <c r="O150" s="5"/>
      <c r="P150" s="5"/>
      <c r="Q150" s="119">
        <v>10014.65</v>
      </c>
      <c r="R150" s="5"/>
      <c r="S150" s="5"/>
      <c r="T150" s="98">
        <f t="shared" si="20"/>
        <v>-694.42000000000007</v>
      </c>
      <c r="U150" s="4">
        <f t="shared" si="21"/>
        <v>-0.23434167544072781</v>
      </c>
      <c r="V150" s="5"/>
      <c r="W150" s="5"/>
      <c r="X150" s="5"/>
      <c r="Y150" s="5"/>
      <c r="Z150" s="131"/>
      <c r="AA150" s="113">
        <v>24641.98</v>
      </c>
      <c r="AB150" s="113">
        <v>19880.53</v>
      </c>
      <c r="AC150" s="4">
        <f t="shared" si="23"/>
        <v>-0.19322513856435242</v>
      </c>
    </row>
    <row r="151" spans="1:30" ht="14.25" customHeight="1">
      <c r="A151" s="112" t="s">
        <v>1241</v>
      </c>
      <c r="B151" s="35" t="s">
        <v>1242</v>
      </c>
      <c r="C151">
        <v>2027</v>
      </c>
      <c r="E151" s="35" t="s">
        <v>1242</v>
      </c>
      <c r="F151">
        <v>1954</v>
      </c>
      <c r="G151" t="b">
        <f t="shared" si="18"/>
        <v>1</v>
      </c>
      <c r="J151" s="24">
        <f t="shared" si="22"/>
        <v>-73</v>
      </c>
      <c r="K151" s="4">
        <f t="shared" si="19"/>
        <v>-3.6013813517513538E-2</v>
      </c>
      <c r="M151" s="5">
        <v>1525.79</v>
      </c>
      <c r="N151" s="5">
        <v>1104.3499999999999</v>
      </c>
      <c r="Q151" s="119">
        <v>10613.46</v>
      </c>
      <c r="T151" s="98">
        <f t="shared" si="20"/>
        <v>-421.44000000000005</v>
      </c>
      <c r="U151" s="4">
        <f t="shared" si="21"/>
        <v>-0.27621101200034082</v>
      </c>
      <c r="Z151" s="106"/>
      <c r="AA151" s="113">
        <v>74706.87</v>
      </c>
      <c r="AB151" s="113">
        <v>71898.66</v>
      </c>
      <c r="AC151" s="4">
        <f t="shared" si="23"/>
        <v>-3.7589715644625321E-2</v>
      </c>
    </row>
    <row r="152" spans="1:30" ht="14.25" customHeight="1">
      <c r="A152" s="112" t="s">
        <v>952</v>
      </c>
      <c r="B152" s="35" t="s">
        <v>953</v>
      </c>
      <c r="C152">
        <v>349</v>
      </c>
      <c r="E152" s="35" t="s">
        <v>953</v>
      </c>
      <c r="F152">
        <v>101</v>
      </c>
      <c r="G152" t="b">
        <f t="shared" si="18"/>
        <v>1</v>
      </c>
      <c r="J152" s="24">
        <f t="shared" si="22"/>
        <v>-248</v>
      </c>
      <c r="K152" s="4">
        <f t="shared" si="19"/>
        <v>-0.71060171919770776</v>
      </c>
      <c r="M152" s="5">
        <v>0</v>
      </c>
      <c r="N152" s="5">
        <v>0</v>
      </c>
      <c r="Q152" s="119">
        <v>0</v>
      </c>
      <c r="T152" s="98">
        <f t="shared" si="20"/>
        <v>0</v>
      </c>
      <c r="U152" s="4">
        <f t="shared" si="21"/>
        <v>0</v>
      </c>
      <c r="Z152" s="106"/>
      <c r="AA152" s="113">
        <v>3934.34</v>
      </c>
      <c r="AB152" s="113">
        <v>1684.71</v>
      </c>
      <c r="AC152" s="4">
        <f t="shared" si="23"/>
        <v>-0.57179349014065894</v>
      </c>
      <c r="AD152" s="5"/>
    </row>
    <row r="153" spans="1:30" ht="14.25" customHeight="1">
      <c r="A153" t="s">
        <v>1149</v>
      </c>
      <c r="B153" t="s">
        <v>1150</v>
      </c>
      <c r="C153" s="18">
        <v>2195</v>
      </c>
      <c r="E153" t="s">
        <v>1150</v>
      </c>
      <c r="F153" s="18">
        <v>1923</v>
      </c>
      <c r="G153" t="b">
        <f t="shared" si="18"/>
        <v>1</v>
      </c>
      <c r="J153" s="24">
        <f t="shared" si="22"/>
        <v>-272</v>
      </c>
      <c r="K153" s="4">
        <f t="shared" si="19"/>
        <v>-0.12391799544419135</v>
      </c>
      <c r="M153" s="5">
        <v>1645.09</v>
      </c>
      <c r="N153" s="5">
        <v>1182.83</v>
      </c>
      <c r="Q153" s="119">
        <v>5399.79</v>
      </c>
      <c r="T153" s="98">
        <f t="shared" si="20"/>
        <v>-462.26</v>
      </c>
      <c r="U153" s="4">
        <f t="shared" si="21"/>
        <v>-0.28099374502306862</v>
      </c>
      <c r="Z153" s="106"/>
      <c r="AA153" s="113">
        <v>38956.949999999997</v>
      </c>
      <c r="AB153" s="113">
        <v>36116.11</v>
      </c>
      <c r="AC153" s="4">
        <f t="shared" si="23"/>
        <v>-7.2922546554594181E-2</v>
      </c>
      <c r="AD153" s="5"/>
    </row>
    <row r="154" spans="1:30" ht="14.25" customHeight="1">
      <c r="A154" t="s">
        <v>1019</v>
      </c>
      <c r="B154" t="s">
        <v>1020</v>
      </c>
      <c r="C154" s="18">
        <v>454</v>
      </c>
      <c r="E154" t="s">
        <v>1020</v>
      </c>
      <c r="F154" s="18">
        <v>332</v>
      </c>
      <c r="G154" t="b">
        <f t="shared" si="18"/>
        <v>1</v>
      </c>
      <c r="J154" s="24">
        <f t="shared" si="22"/>
        <v>-122</v>
      </c>
      <c r="K154" s="4">
        <f t="shared" si="19"/>
        <v>-0.2687224669603524</v>
      </c>
      <c r="M154" s="5">
        <v>462.17</v>
      </c>
      <c r="N154" s="5">
        <v>343.51</v>
      </c>
      <c r="Q154" s="119">
        <v>1909.09</v>
      </c>
      <c r="T154" s="98">
        <f t="shared" si="20"/>
        <v>-118.66000000000003</v>
      </c>
      <c r="U154" s="4">
        <f t="shared" si="21"/>
        <v>-0.25674535344137439</v>
      </c>
      <c r="Z154" s="106"/>
      <c r="AA154" s="113">
        <v>7268.1799999999994</v>
      </c>
      <c r="AB154" s="113">
        <v>6060.28</v>
      </c>
      <c r="AC154" s="4">
        <f t="shared" si="23"/>
        <v>-0.16619016039778867</v>
      </c>
    </row>
    <row r="155" spans="1:30" ht="14.25" customHeight="1">
      <c r="A155" t="s">
        <v>1188</v>
      </c>
      <c r="B155" t="s">
        <v>1189</v>
      </c>
      <c r="C155" s="18">
        <v>3634</v>
      </c>
      <c r="E155" t="s">
        <v>1189</v>
      </c>
      <c r="F155" s="18">
        <v>2773</v>
      </c>
      <c r="G155" t="b">
        <f t="shared" si="18"/>
        <v>1</v>
      </c>
      <c r="J155" s="24">
        <f t="shared" si="22"/>
        <v>-861</v>
      </c>
      <c r="K155" s="4">
        <f t="shared" si="19"/>
        <v>-0.23692900385250415</v>
      </c>
      <c r="M155" s="5">
        <v>6938.22</v>
      </c>
      <c r="N155" s="5">
        <v>4180.21</v>
      </c>
      <c r="Q155" s="119">
        <v>21827.01</v>
      </c>
      <c r="T155" s="98">
        <f t="shared" si="20"/>
        <v>-2758.01</v>
      </c>
      <c r="U155" s="4">
        <f t="shared" si="21"/>
        <v>-0.39750973592650563</v>
      </c>
      <c r="W155" t="s">
        <v>1190</v>
      </c>
      <c r="Z155" s="106"/>
      <c r="AA155" s="113">
        <v>85892.39</v>
      </c>
      <c r="AB155" s="113">
        <v>70623.38</v>
      </c>
      <c r="AC155" s="4">
        <f t="shared" si="23"/>
        <v>-0.17776906661928948</v>
      </c>
      <c r="AD155" s="5"/>
    </row>
    <row r="156" spans="1:30">
      <c r="A156" t="s">
        <v>1124</v>
      </c>
      <c r="B156" t="s">
        <v>1125</v>
      </c>
      <c r="C156" s="18">
        <v>893</v>
      </c>
      <c r="E156" t="s">
        <v>1125</v>
      </c>
      <c r="F156" s="18">
        <v>718</v>
      </c>
      <c r="G156" t="b">
        <f t="shared" si="18"/>
        <v>1</v>
      </c>
      <c r="J156" s="24">
        <f t="shared" si="22"/>
        <v>-175</v>
      </c>
      <c r="K156" s="4">
        <f t="shared" si="19"/>
        <v>-0.19596864501679734</v>
      </c>
      <c r="M156" s="5">
        <v>1191.79</v>
      </c>
      <c r="N156" s="5">
        <v>686.14</v>
      </c>
      <c r="Q156" s="119">
        <v>3425.06</v>
      </c>
      <c r="T156" s="98">
        <f t="shared" si="20"/>
        <v>-505.65</v>
      </c>
      <c r="U156" s="4">
        <f t="shared" si="21"/>
        <v>-0.42427776705627673</v>
      </c>
      <c r="Z156" s="106"/>
      <c r="AA156" s="113">
        <v>19633.77</v>
      </c>
      <c r="AB156" s="113">
        <v>15698.46</v>
      </c>
      <c r="AC156" s="4">
        <f t="shared" si="23"/>
        <v>-0.20043577978146843</v>
      </c>
    </row>
    <row r="157" spans="1:30">
      <c r="A157" t="s">
        <v>923</v>
      </c>
      <c r="B157" t="s">
        <v>924</v>
      </c>
      <c r="C157" s="18">
        <v>964</v>
      </c>
      <c r="E157" t="s">
        <v>924</v>
      </c>
      <c r="F157" s="18">
        <v>699</v>
      </c>
      <c r="G157" t="b">
        <f t="shared" si="18"/>
        <v>1</v>
      </c>
      <c r="J157" s="24">
        <f t="shared" si="22"/>
        <v>-265</v>
      </c>
      <c r="K157" s="4">
        <f t="shared" si="19"/>
        <v>-0.274896265560166</v>
      </c>
      <c r="M157" s="5">
        <v>939.6</v>
      </c>
      <c r="N157" s="5">
        <v>653.62</v>
      </c>
      <c r="Q157" s="119">
        <v>3876.43</v>
      </c>
      <c r="T157" s="98">
        <f t="shared" si="20"/>
        <v>-285.98</v>
      </c>
      <c r="U157" s="4">
        <f t="shared" si="21"/>
        <v>-0.30436355896126011</v>
      </c>
      <c r="Z157" s="106"/>
      <c r="AA157" s="113">
        <v>14277.88</v>
      </c>
      <c r="AB157" s="113">
        <v>11159.42</v>
      </c>
      <c r="AC157" s="4">
        <f t="shared" si="23"/>
        <v>-0.21841197712825711</v>
      </c>
    </row>
    <row r="158" spans="1:30">
      <c r="A158" s="122" t="s">
        <v>1143</v>
      </c>
      <c r="B158" s="26" t="s">
        <v>1144</v>
      </c>
      <c r="C158" s="169">
        <v>553</v>
      </c>
      <c r="E158" s="26" t="s">
        <v>1144</v>
      </c>
      <c r="F158" s="169">
        <v>814</v>
      </c>
      <c r="G158" t="b">
        <f t="shared" si="18"/>
        <v>1</v>
      </c>
      <c r="J158" s="24">
        <f t="shared" si="22"/>
        <v>261</v>
      </c>
      <c r="K158" s="4">
        <f t="shared" si="19"/>
        <v>0.47197106690777568</v>
      </c>
      <c r="M158" s="5">
        <v>2587.89</v>
      </c>
      <c r="N158" s="5">
        <v>1895.83</v>
      </c>
      <c r="Q158" s="118">
        <v>10089.879999999999</v>
      </c>
      <c r="T158" s="98">
        <f t="shared" si="20"/>
        <v>-692.06</v>
      </c>
      <c r="U158" s="4">
        <f t="shared" si="21"/>
        <v>-0.26742249477373459</v>
      </c>
      <c r="Z158" s="106"/>
      <c r="AA158" s="113">
        <v>14923.04</v>
      </c>
      <c r="AB158" s="113">
        <v>19942.990000000002</v>
      </c>
      <c r="AC158" s="4">
        <f t="shared" si="23"/>
        <v>0.33638923436511603</v>
      </c>
    </row>
    <row r="159" spans="1:30">
      <c r="A159" s="122" t="s">
        <v>1033</v>
      </c>
      <c r="B159" s="26" t="s">
        <v>1034</v>
      </c>
      <c r="C159" s="169">
        <v>395</v>
      </c>
      <c r="E159" s="26" t="s">
        <v>1034</v>
      </c>
      <c r="F159" s="169">
        <v>184</v>
      </c>
      <c r="G159" t="b">
        <f t="shared" si="18"/>
        <v>1</v>
      </c>
      <c r="J159" s="24">
        <f t="shared" si="22"/>
        <v>-211</v>
      </c>
      <c r="K159" s="4">
        <f t="shared" si="19"/>
        <v>-0.53417721518987338</v>
      </c>
      <c r="M159" s="5">
        <v>1865.95</v>
      </c>
      <c r="N159" s="5">
        <v>775.55</v>
      </c>
      <c r="Q159" s="118">
        <v>6108.39</v>
      </c>
      <c r="T159" s="98">
        <f t="shared" si="20"/>
        <v>-1090.4000000000001</v>
      </c>
      <c r="U159" s="4">
        <f t="shared" si="21"/>
        <v>-0.58436721241190814</v>
      </c>
      <c r="Z159" s="106"/>
      <c r="AA159" s="113">
        <v>7384.05</v>
      </c>
      <c r="AB159" s="113">
        <v>4563.9399999999996</v>
      </c>
      <c r="AC159" s="4">
        <f t="shared" si="23"/>
        <v>-0.38191913651722298</v>
      </c>
    </row>
    <row r="160" spans="1:30" ht="15.75" customHeight="1">
      <c r="A160" s="26" t="s">
        <v>1172</v>
      </c>
      <c r="B160" s="35" t="s">
        <v>1173</v>
      </c>
      <c r="C160" s="18">
        <v>1511</v>
      </c>
      <c r="E160" s="35" t="s">
        <v>1173</v>
      </c>
      <c r="F160" s="18">
        <v>897</v>
      </c>
      <c r="G160" t="b">
        <f t="shared" si="18"/>
        <v>1</v>
      </c>
      <c r="J160" s="24">
        <f t="shared" si="22"/>
        <v>-614</v>
      </c>
      <c r="K160" s="4">
        <f t="shared" si="19"/>
        <v>-0.40635340833884848</v>
      </c>
      <c r="M160" s="5">
        <v>651.34</v>
      </c>
      <c r="N160" s="5">
        <v>402.46</v>
      </c>
      <c r="Q160" s="119">
        <v>1386.02</v>
      </c>
      <c r="T160" s="98">
        <f t="shared" si="20"/>
        <v>-248.88000000000005</v>
      </c>
      <c r="U160" s="4">
        <f t="shared" si="21"/>
        <v>-0.38210458439524675</v>
      </c>
      <c r="Z160" s="106"/>
      <c r="AA160" s="113">
        <v>16706.349999999999</v>
      </c>
      <c r="AB160" s="113">
        <v>12512.26</v>
      </c>
      <c r="AC160" s="4">
        <f t="shared" si="23"/>
        <v>-0.25104765553217778</v>
      </c>
    </row>
    <row r="161" spans="1:29" ht="15.75" customHeight="1">
      <c r="A161" t="s">
        <v>948</v>
      </c>
      <c r="B161" t="s">
        <v>949</v>
      </c>
      <c r="C161" s="18">
        <v>7915</v>
      </c>
      <c r="E161" t="s">
        <v>949</v>
      </c>
      <c r="F161" s="18">
        <v>8326</v>
      </c>
      <c r="G161" t="b">
        <f t="shared" si="18"/>
        <v>1</v>
      </c>
      <c r="J161" s="24">
        <f t="shared" si="22"/>
        <v>411</v>
      </c>
      <c r="K161" s="4">
        <f t="shared" si="19"/>
        <v>5.1926721415034738E-2</v>
      </c>
      <c r="M161" s="5">
        <v>2533.38</v>
      </c>
      <c r="N161" s="5">
        <v>1650.39</v>
      </c>
      <c r="Q161" s="119">
        <v>15393.74</v>
      </c>
      <c r="T161" s="98">
        <f t="shared" si="20"/>
        <v>-882.99</v>
      </c>
      <c r="U161" s="4">
        <f t="shared" si="21"/>
        <v>-0.34854226369514241</v>
      </c>
      <c r="Z161" s="106"/>
      <c r="AA161" s="113">
        <v>268923.53000000003</v>
      </c>
      <c r="AB161" s="113">
        <v>280709.69</v>
      </c>
      <c r="AC161" s="4">
        <f t="shared" si="23"/>
        <v>4.3827180165305624E-2</v>
      </c>
    </row>
    <row r="162" spans="1:29" ht="15.75" customHeight="1">
      <c r="A162" t="s">
        <v>1049</v>
      </c>
      <c r="B162" t="s">
        <v>1050</v>
      </c>
      <c r="C162" s="18">
        <v>2334</v>
      </c>
      <c r="E162" t="s">
        <v>1050</v>
      </c>
      <c r="F162" s="18">
        <v>1828</v>
      </c>
      <c r="G162" t="b">
        <f t="shared" si="18"/>
        <v>1</v>
      </c>
      <c r="J162" s="24">
        <f t="shared" si="22"/>
        <v>-506</v>
      </c>
      <c r="K162" s="4">
        <f t="shared" si="19"/>
        <v>-0.21679520137103681</v>
      </c>
      <c r="M162" s="5">
        <v>1671.02</v>
      </c>
      <c r="N162" s="5">
        <v>841.19</v>
      </c>
      <c r="Q162" s="119">
        <v>3590.01</v>
      </c>
      <c r="T162" s="98">
        <f t="shared" si="20"/>
        <v>-829.82999999999993</v>
      </c>
      <c r="U162" s="4">
        <f t="shared" si="21"/>
        <v>-0.49660087850534396</v>
      </c>
      <c r="Z162" s="106"/>
      <c r="AA162" s="113">
        <v>69830.5</v>
      </c>
      <c r="AB162" s="113">
        <v>54704</v>
      </c>
      <c r="AC162" s="4">
        <f t="shared" si="23"/>
        <v>-0.21661738065744907</v>
      </c>
    </row>
    <row r="163" spans="1:29" ht="15.75" customHeight="1">
      <c r="A163" s="122" t="s">
        <v>903</v>
      </c>
      <c r="B163" s="35" t="s">
        <v>904</v>
      </c>
      <c r="C163">
        <v>5065</v>
      </c>
      <c r="E163" s="35" t="s">
        <v>904</v>
      </c>
      <c r="F163">
        <v>3606</v>
      </c>
      <c r="G163" t="b">
        <f t="shared" si="18"/>
        <v>1</v>
      </c>
      <c r="J163" s="24">
        <f t="shared" si="22"/>
        <v>-1459</v>
      </c>
      <c r="K163" s="4">
        <f t="shared" si="19"/>
        <v>-0.28805528134254688</v>
      </c>
      <c r="M163" s="5">
        <v>8925.43</v>
      </c>
      <c r="N163" s="5">
        <v>4153.7</v>
      </c>
      <c r="Q163" s="119">
        <v>22030.82</v>
      </c>
      <c r="T163" s="98">
        <f t="shared" si="20"/>
        <v>-4771.7300000000005</v>
      </c>
      <c r="U163" s="4">
        <f t="shared" si="21"/>
        <v>-0.53462186135569945</v>
      </c>
      <c r="Z163" s="106"/>
      <c r="AA163" s="113">
        <v>127917.64</v>
      </c>
      <c r="AB163" s="113">
        <v>94241.72</v>
      </c>
      <c r="AC163" s="4">
        <f t="shared" si="23"/>
        <v>-0.26326251797641043</v>
      </c>
    </row>
    <row r="164" spans="1:29" ht="15.75" customHeight="1">
      <c r="A164" s="26" t="s">
        <v>899</v>
      </c>
      <c r="B164" s="26" t="s">
        <v>900</v>
      </c>
      <c r="C164" s="18">
        <v>5801</v>
      </c>
      <c r="E164" s="26" t="s">
        <v>900</v>
      </c>
      <c r="F164" s="18">
        <v>7012</v>
      </c>
      <c r="G164" t="b">
        <f t="shared" si="18"/>
        <v>1</v>
      </c>
      <c r="J164" s="24">
        <f t="shared" si="22"/>
        <v>1211</v>
      </c>
      <c r="K164" s="4">
        <f t="shared" si="19"/>
        <v>0.208757110842958</v>
      </c>
      <c r="M164" s="5">
        <v>6089.13</v>
      </c>
      <c r="N164" s="5">
        <v>7221.92</v>
      </c>
      <c r="Q164" s="119">
        <v>37614.730000000003</v>
      </c>
      <c r="T164" s="98">
        <f t="shared" si="20"/>
        <v>1132.79</v>
      </c>
      <c r="U164" s="4">
        <f t="shared" si="21"/>
        <v>0.18603478657870665</v>
      </c>
      <c r="Z164" s="106"/>
      <c r="AA164" s="113">
        <v>156432.14000000001</v>
      </c>
      <c r="AB164" s="113">
        <v>178027.56</v>
      </c>
      <c r="AC164" s="4">
        <f t="shared" si="23"/>
        <v>0.13804976394237123</v>
      </c>
    </row>
    <row r="165" spans="1:29">
      <c r="A165" t="s">
        <v>1243</v>
      </c>
      <c r="B165" t="s">
        <v>1244</v>
      </c>
      <c r="C165" s="18">
        <v>90694</v>
      </c>
      <c r="E165" t="s">
        <v>1244</v>
      </c>
      <c r="F165" s="18">
        <v>68576</v>
      </c>
      <c r="G165" t="b">
        <f t="shared" si="18"/>
        <v>1</v>
      </c>
      <c r="J165" s="24">
        <f t="shared" si="22"/>
        <v>-22118</v>
      </c>
      <c r="K165" s="4">
        <f t="shared" si="19"/>
        <v>-0.24387500826956576</v>
      </c>
      <c r="M165" s="5">
        <v>116406.1</v>
      </c>
      <c r="N165" s="5">
        <v>56652.83</v>
      </c>
      <c r="Q165" s="119">
        <v>191599.23</v>
      </c>
      <c r="T165" s="98">
        <f t="shared" si="20"/>
        <v>-59753.270000000004</v>
      </c>
      <c r="U165" s="4">
        <f t="shared" si="21"/>
        <v>-0.51331734333510015</v>
      </c>
      <c r="W165" t="s">
        <v>1245</v>
      </c>
      <c r="Z165" s="106"/>
      <c r="AA165" s="113">
        <v>1576113.81</v>
      </c>
      <c r="AB165" s="113">
        <v>1262829.53</v>
      </c>
      <c r="AC165" s="4">
        <f t="shared" si="23"/>
        <v>-0.19877008754843661</v>
      </c>
    </row>
    <row r="166" spans="1:29">
      <c r="A166" s="137" t="s">
        <v>1910</v>
      </c>
      <c r="B166" s="26" t="s">
        <v>1902</v>
      </c>
      <c r="C166" s="18">
        <v>74</v>
      </c>
      <c r="E166" s="26" t="s">
        <v>1902</v>
      </c>
      <c r="F166" s="18">
        <v>102</v>
      </c>
      <c r="G166" t="b">
        <f t="shared" si="18"/>
        <v>1</v>
      </c>
      <c r="J166" s="24">
        <f t="shared" si="22"/>
        <v>28</v>
      </c>
      <c r="K166" s="4">
        <f t="shared" si="19"/>
        <v>0.37837837837837829</v>
      </c>
      <c r="M166" s="5">
        <v>621.57000000000005</v>
      </c>
      <c r="N166" s="5">
        <v>527.78</v>
      </c>
      <c r="Q166" s="119">
        <v>5886.49</v>
      </c>
      <c r="T166" s="98">
        <f t="shared" ref="T166:T174" si="24">N166-M166</f>
        <v>-93.790000000000077</v>
      </c>
      <c r="U166" s="4">
        <f t="shared" ref="U166:U174" si="25">IF(M166=0,0,N166/M166-1)</f>
        <v>-0.15089209582187058</v>
      </c>
      <c r="Z166" s="106"/>
      <c r="AA166" s="113">
        <v>2219.2600000000002</v>
      </c>
      <c r="AB166" s="113">
        <v>2776.38</v>
      </c>
      <c r="AC166" s="4">
        <f>AB166/AA166-1</f>
        <v>0.25103863449978814</v>
      </c>
    </row>
    <row r="167" spans="1:29">
      <c r="A167" s="137" t="s">
        <v>1911</v>
      </c>
      <c r="B167" s="26" t="s">
        <v>1903</v>
      </c>
      <c r="C167" s="18">
        <v>44</v>
      </c>
      <c r="E167" s="26" t="s">
        <v>1903</v>
      </c>
      <c r="F167" s="18">
        <v>60</v>
      </c>
      <c r="G167" t="b">
        <f t="shared" si="18"/>
        <v>1</v>
      </c>
      <c r="J167" s="24">
        <f t="shared" si="22"/>
        <v>16</v>
      </c>
      <c r="K167" s="4">
        <f t="shared" si="19"/>
        <v>0.36363636363636354</v>
      </c>
      <c r="M167" s="5">
        <v>75.25</v>
      </c>
      <c r="N167" s="5">
        <v>314.77999999999997</v>
      </c>
      <c r="Q167" s="119">
        <v>1399.86</v>
      </c>
      <c r="T167" s="98">
        <f t="shared" si="24"/>
        <v>239.52999999999997</v>
      </c>
      <c r="U167" s="4">
        <f t="shared" si="25"/>
        <v>3.1831229235880398</v>
      </c>
      <c r="Z167" s="106"/>
      <c r="AA167" s="113">
        <v>1098.81</v>
      </c>
      <c r="AB167" s="113">
        <v>1499.15</v>
      </c>
      <c r="AC167" s="4">
        <f t="shared" ref="AC167:AC177" si="26">AB167/AA167-1</f>
        <v>0.36433960375315122</v>
      </c>
    </row>
    <row r="168" spans="1:29">
      <c r="A168" s="137" t="s">
        <v>1912</v>
      </c>
      <c r="B168" s="26" t="s">
        <v>1904</v>
      </c>
      <c r="C168" s="18">
        <v>45</v>
      </c>
      <c r="E168" s="26" t="s">
        <v>1904</v>
      </c>
      <c r="F168" s="18">
        <v>38</v>
      </c>
      <c r="G168" t="b">
        <f t="shared" si="18"/>
        <v>1</v>
      </c>
      <c r="J168" s="24">
        <f t="shared" si="22"/>
        <v>-7</v>
      </c>
      <c r="K168" s="4">
        <f t="shared" si="19"/>
        <v>-0.15555555555555556</v>
      </c>
      <c r="M168" s="113">
        <v>65.69</v>
      </c>
      <c r="N168" s="113">
        <v>178.68</v>
      </c>
      <c r="Q168" s="119">
        <v>581.83000000000004</v>
      </c>
      <c r="T168" s="98">
        <f t="shared" si="24"/>
        <v>112.99000000000001</v>
      </c>
      <c r="U168" s="4">
        <f t="shared" si="25"/>
        <v>1.7200487136550464</v>
      </c>
      <c r="Z168" s="106"/>
      <c r="AA168" s="113">
        <v>899.55</v>
      </c>
      <c r="AB168" s="113">
        <v>719.62</v>
      </c>
      <c r="AC168" s="4">
        <f t="shared" si="26"/>
        <v>-0.20002223333889158</v>
      </c>
    </row>
    <row r="169" spans="1:29">
      <c r="A169" s="137" t="s">
        <v>1913</v>
      </c>
      <c r="B169" s="26" t="s">
        <v>1905</v>
      </c>
      <c r="C169" s="169">
        <v>165</v>
      </c>
      <c r="E169" s="26" t="s">
        <v>1905</v>
      </c>
      <c r="F169" s="169">
        <v>319</v>
      </c>
      <c r="G169" t="b">
        <f t="shared" si="18"/>
        <v>1</v>
      </c>
      <c r="J169" s="24">
        <f t="shared" si="22"/>
        <v>154</v>
      </c>
      <c r="K169" s="4">
        <f t="shared" si="19"/>
        <v>0.93333333333333335</v>
      </c>
      <c r="M169" s="113">
        <v>766.17</v>
      </c>
      <c r="N169" s="113">
        <v>1522.77</v>
      </c>
      <c r="Q169" s="118">
        <v>6830.6</v>
      </c>
      <c r="T169" s="98">
        <f t="shared" si="24"/>
        <v>756.6</v>
      </c>
      <c r="U169" s="4">
        <f t="shared" si="25"/>
        <v>0.98750929950272148</v>
      </c>
      <c r="Z169" s="106"/>
      <c r="AA169" s="113">
        <v>4122.1000000000004</v>
      </c>
      <c r="AB169" s="113">
        <v>7460.61</v>
      </c>
      <c r="AC169" s="4">
        <f t="shared" si="26"/>
        <v>0.80990514543557879</v>
      </c>
    </row>
    <row r="170" spans="1:29">
      <c r="A170" s="137" t="s">
        <v>1914</v>
      </c>
      <c r="B170" s="26" t="s">
        <v>1906</v>
      </c>
      <c r="C170" s="169">
        <v>34</v>
      </c>
      <c r="E170" s="26" t="s">
        <v>1906</v>
      </c>
      <c r="F170" s="169">
        <v>62</v>
      </c>
      <c r="G170" t="b">
        <f t="shared" si="18"/>
        <v>1</v>
      </c>
      <c r="J170" s="24">
        <f t="shared" si="22"/>
        <v>28</v>
      </c>
      <c r="K170" s="4">
        <f t="shared" si="19"/>
        <v>0.82352941176470584</v>
      </c>
      <c r="M170" s="113">
        <v>88.82</v>
      </c>
      <c r="N170" s="113">
        <v>486.64</v>
      </c>
      <c r="Q170" s="118">
        <v>2033.19</v>
      </c>
      <c r="T170" s="98">
        <f t="shared" si="24"/>
        <v>397.82</v>
      </c>
      <c r="U170" s="4">
        <f t="shared" si="25"/>
        <v>4.4789461832920514</v>
      </c>
      <c r="Z170" s="106"/>
      <c r="AA170" s="113">
        <v>849.66</v>
      </c>
      <c r="AB170" s="113">
        <v>1421.38</v>
      </c>
      <c r="AC170" s="4">
        <f t="shared" si="26"/>
        <v>0.67288091707271169</v>
      </c>
    </row>
    <row r="171" spans="1:29" ht="30">
      <c r="A171" s="137" t="s">
        <v>1915</v>
      </c>
      <c r="B171" s="26" t="s">
        <v>1907</v>
      </c>
      <c r="C171" s="169">
        <v>45</v>
      </c>
      <c r="E171" s="26" t="s">
        <v>1907</v>
      </c>
      <c r="F171" s="169">
        <v>38</v>
      </c>
      <c r="G171" t="b">
        <f t="shared" si="18"/>
        <v>1</v>
      </c>
      <c r="J171" s="24">
        <f t="shared" si="22"/>
        <v>-7</v>
      </c>
      <c r="K171" s="4">
        <f t="shared" si="19"/>
        <v>-0.15555555555555556</v>
      </c>
      <c r="M171" s="113">
        <v>59.87</v>
      </c>
      <c r="N171" s="113">
        <v>355.96</v>
      </c>
      <c r="Q171" s="118">
        <v>703.12</v>
      </c>
      <c r="T171" s="98">
        <f t="shared" si="24"/>
        <v>296.08999999999997</v>
      </c>
      <c r="U171" s="4">
        <f t="shared" si="25"/>
        <v>4.9455486888257889</v>
      </c>
      <c r="Z171" s="106"/>
      <c r="AA171" s="113">
        <v>899.35</v>
      </c>
      <c r="AB171" s="113">
        <v>667.62</v>
      </c>
      <c r="AC171" s="4">
        <f t="shared" si="26"/>
        <v>-0.25766386834936339</v>
      </c>
    </row>
    <row r="172" spans="1:29">
      <c r="A172" s="137" t="s">
        <v>1916</v>
      </c>
      <c r="B172" s="26" t="s">
        <v>1908</v>
      </c>
      <c r="C172" s="169">
        <v>29</v>
      </c>
      <c r="E172" s="26" t="s">
        <v>1908</v>
      </c>
      <c r="F172" s="169">
        <v>6</v>
      </c>
      <c r="G172" t="b">
        <f t="shared" si="18"/>
        <v>1</v>
      </c>
      <c r="J172" s="24">
        <f t="shared" si="22"/>
        <v>-23</v>
      </c>
      <c r="K172" s="4">
        <f t="shared" si="19"/>
        <v>-0.7931034482758621</v>
      </c>
      <c r="M172" s="113">
        <v>23.86</v>
      </c>
      <c r="N172" s="113">
        <v>82.18</v>
      </c>
      <c r="Q172" s="118">
        <v>112.73</v>
      </c>
      <c r="T172" s="98">
        <f t="shared" si="24"/>
        <v>58.320000000000007</v>
      </c>
      <c r="U172" s="4">
        <f t="shared" si="25"/>
        <v>2.4442581726739316</v>
      </c>
      <c r="Z172" s="106"/>
      <c r="AA172" s="113">
        <v>869.71</v>
      </c>
      <c r="AB172" s="113">
        <v>179.94</v>
      </c>
      <c r="AC172" s="4">
        <f t="shared" si="26"/>
        <v>-0.7931034482758621</v>
      </c>
    </row>
    <row r="173" spans="1:29">
      <c r="A173" s="137" t="s">
        <v>1917</v>
      </c>
      <c r="B173" s="26" t="s">
        <v>1909</v>
      </c>
      <c r="C173" s="169">
        <v>17</v>
      </c>
      <c r="E173" s="26" t="s">
        <v>1909</v>
      </c>
      <c r="F173" s="169">
        <v>71</v>
      </c>
      <c r="G173" t="b">
        <f t="shared" si="18"/>
        <v>1</v>
      </c>
      <c r="J173" s="24">
        <f t="shared" si="22"/>
        <v>54</v>
      </c>
      <c r="K173" s="4">
        <f t="shared" si="19"/>
        <v>3.1764705882352944</v>
      </c>
      <c r="M173" s="113">
        <v>1.96</v>
      </c>
      <c r="N173" s="113">
        <v>557.74</v>
      </c>
      <c r="Q173" s="118">
        <v>1602.67</v>
      </c>
      <c r="T173" s="98">
        <f t="shared" si="24"/>
        <v>555.78</v>
      </c>
      <c r="U173" s="4">
        <f t="shared" si="25"/>
        <v>283.5612244897959</v>
      </c>
      <c r="Z173" s="106"/>
      <c r="AA173" s="113">
        <v>339.83</v>
      </c>
      <c r="AB173" s="113">
        <v>1351.09</v>
      </c>
      <c r="AC173" s="4">
        <f t="shared" si="26"/>
        <v>2.9757820086513846</v>
      </c>
    </row>
    <row r="174" spans="1:29">
      <c r="A174" s="137" t="s">
        <v>1941</v>
      </c>
      <c r="B174" s="137" t="s">
        <v>1937</v>
      </c>
      <c r="C174" s="18">
        <v>0</v>
      </c>
      <c r="E174" s="137" t="s">
        <v>1937</v>
      </c>
      <c r="F174" s="169">
        <v>43</v>
      </c>
      <c r="G174" t="b">
        <f t="shared" si="18"/>
        <v>1</v>
      </c>
      <c r="J174" s="24">
        <f t="shared" si="22"/>
        <v>43</v>
      </c>
      <c r="K174" s="4" t="e">
        <f t="shared" si="19"/>
        <v>#DIV/0!</v>
      </c>
      <c r="M174" s="5">
        <v>0</v>
      </c>
      <c r="N174" s="113">
        <v>169.52</v>
      </c>
      <c r="Q174" s="118">
        <v>1602.71</v>
      </c>
      <c r="T174" s="98">
        <f t="shared" si="24"/>
        <v>169.52</v>
      </c>
      <c r="U174" s="4">
        <f t="shared" si="25"/>
        <v>0</v>
      </c>
      <c r="Z174" s="106"/>
      <c r="AA174" s="113"/>
      <c r="AB174" s="113">
        <v>1011.77</v>
      </c>
      <c r="AC174" s="4" t="e">
        <f t="shared" si="26"/>
        <v>#DIV/0!</v>
      </c>
    </row>
    <row r="175" spans="1:29">
      <c r="A175" s="137" t="s">
        <v>1942</v>
      </c>
      <c r="B175" s="137" t="s">
        <v>1938</v>
      </c>
      <c r="C175" s="18">
        <v>0</v>
      </c>
      <c r="E175" s="137" t="s">
        <v>1938</v>
      </c>
      <c r="F175" s="169">
        <v>34</v>
      </c>
      <c r="G175" t="b">
        <f t="shared" si="18"/>
        <v>1</v>
      </c>
      <c r="J175" s="24">
        <f t="shared" si="22"/>
        <v>34</v>
      </c>
      <c r="K175" s="4" t="e">
        <f t="shared" si="19"/>
        <v>#DIV/0!</v>
      </c>
      <c r="M175" s="5">
        <v>0</v>
      </c>
      <c r="N175" s="113">
        <v>71.17</v>
      </c>
      <c r="Q175" s="118">
        <v>332.07</v>
      </c>
      <c r="T175" s="98">
        <f t="shared" ref="T175:T177" si="27">N175-M175</f>
        <v>71.17</v>
      </c>
      <c r="U175" s="4">
        <f t="shared" ref="U175:U177" si="28">IF(M175=0,0,N175/M175-1)</f>
        <v>0</v>
      </c>
      <c r="Z175" s="106"/>
      <c r="AA175" s="113"/>
      <c r="AB175" s="113">
        <v>1001.66</v>
      </c>
      <c r="AC175" s="4" t="e">
        <f t="shared" si="26"/>
        <v>#DIV/0!</v>
      </c>
    </row>
    <row r="176" spans="1:29">
      <c r="A176" s="137" t="s">
        <v>1943</v>
      </c>
      <c r="B176" s="137" t="s">
        <v>1939</v>
      </c>
      <c r="C176" s="18">
        <v>0</v>
      </c>
      <c r="E176" s="137" t="s">
        <v>1939</v>
      </c>
      <c r="F176" s="169">
        <v>38</v>
      </c>
      <c r="G176" t="b">
        <f t="shared" si="18"/>
        <v>1</v>
      </c>
      <c r="J176" s="24">
        <f t="shared" si="22"/>
        <v>38</v>
      </c>
      <c r="K176" s="4" t="e">
        <f t="shared" si="19"/>
        <v>#DIV/0!</v>
      </c>
      <c r="M176" s="5">
        <v>0</v>
      </c>
      <c r="N176" s="113">
        <v>108.94</v>
      </c>
      <c r="Q176" s="118">
        <v>132.94</v>
      </c>
      <c r="T176" s="98">
        <f t="shared" si="27"/>
        <v>108.94</v>
      </c>
      <c r="U176" s="4">
        <f t="shared" si="28"/>
        <v>0</v>
      </c>
      <c r="Z176" s="106"/>
      <c r="AA176" s="113"/>
      <c r="AB176" s="113">
        <v>911.38</v>
      </c>
      <c r="AC176" s="4" t="e">
        <f t="shared" si="26"/>
        <v>#DIV/0!</v>
      </c>
    </row>
    <row r="177" spans="1:29">
      <c r="A177" s="137" t="s">
        <v>1944</v>
      </c>
      <c r="B177" s="137" t="s">
        <v>1940</v>
      </c>
      <c r="C177" s="18">
        <v>0</v>
      </c>
      <c r="E177" s="137" t="s">
        <v>1940</v>
      </c>
      <c r="F177" s="169">
        <v>9</v>
      </c>
      <c r="G177" t="b">
        <f t="shared" si="18"/>
        <v>1</v>
      </c>
      <c r="J177" s="24">
        <f t="shared" si="22"/>
        <v>9</v>
      </c>
      <c r="K177" s="4" t="e">
        <f t="shared" si="19"/>
        <v>#DIV/0!</v>
      </c>
      <c r="M177" s="5">
        <v>0</v>
      </c>
      <c r="N177" s="113">
        <v>8.9</v>
      </c>
      <c r="Q177" s="118">
        <v>73.930000000000007</v>
      </c>
      <c r="T177" s="98">
        <f t="shared" si="27"/>
        <v>8.9</v>
      </c>
      <c r="U177" s="4">
        <f t="shared" si="28"/>
        <v>0</v>
      </c>
      <c r="Z177" s="106"/>
      <c r="AA177" s="113"/>
      <c r="AB177" s="113">
        <v>224.91</v>
      </c>
      <c r="AC177" s="4" t="e">
        <f t="shared" si="26"/>
        <v>#DIV/0!</v>
      </c>
    </row>
    <row r="178" spans="1:29">
      <c r="A178" s="137"/>
      <c r="B178" s="26"/>
      <c r="C178" s="18"/>
      <c r="E178" s="26"/>
      <c r="F178" s="169"/>
      <c r="J178" s="24"/>
      <c r="K178" s="4"/>
      <c r="N178" s="113"/>
      <c r="T178" s="98"/>
      <c r="U178" s="4"/>
      <c r="Z178" s="106"/>
      <c r="AA178" s="113"/>
      <c r="AB178" s="113"/>
      <c r="AC178" s="4"/>
    </row>
    <row r="179" spans="1:29">
      <c r="A179" s="122"/>
      <c r="E179" s="26"/>
      <c r="F179" s="169"/>
      <c r="K179" s="4"/>
      <c r="N179" s="4"/>
      <c r="Z179" s="106"/>
      <c r="AB179" s="169"/>
    </row>
    <row r="180" spans="1:29">
      <c r="C180" s="3" t="s">
        <v>889</v>
      </c>
      <c r="D180" s="3"/>
      <c r="E180" s="3"/>
      <c r="F180" s="3" t="s">
        <v>889</v>
      </c>
      <c r="G180" s="3"/>
      <c r="H180" s="3"/>
      <c r="I180" s="3"/>
      <c r="J180" s="3" t="s">
        <v>890</v>
      </c>
      <c r="K180" s="29"/>
      <c r="L180" s="3"/>
      <c r="M180" s="31" t="s">
        <v>891</v>
      </c>
      <c r="N180" s="31" t="s">
        <v>891</v>
      </c>
      <c r="O180" s="3"/>
      <c r="Q180" s="120" t="s">
        <v>1246</v>
      </c>
      <c r="R180" s="3"/>
      <c r="T180" s="99" t="s">
        <v>893</v>
      </c>
      <c r="U180" s="3"/>
      <c r="V180" s="3"/>
      <c r="W180" s="3"/>
      <c r="X180" s="3"/>
      <c r="Y180" s="32"/>
      <c r="Z180" s="33" t="s">
        <v>3</v>
      </c>
      <c r="AA180" s="33" t="s">
        <v>3</v>
      </c>
      <c r="AB180" s="33" t="s">
        <v>3</v>
      </c>
    </row>
    <row r="181" spans="1:29">
      <c r="C181" s="18">
        <f>SUM(C3:C173)</f>
        <v>303224</v>
      </c>
      <c r="F181" s="18">
        <f>SUM(F3:F177)</f>
        <v>270780</v>
      </c>
      <c r="J181" s="18">
        <f>SUM(J3:J177)</f>
        <v>-32444</v>
      </c>
      <c r="K181" s="4"/>
      <c r="M181" s="18">
        <f>SUM(M3:M165)</f>
        <v>442061.79000000004</v>
      </c>
      <c r="N181" s="18">
        <f>SUM(N3:N177)</f>
        <v>324572.07</v>
      </c>
      <c r="Q181" s="114">
        <f>SUM(Q3:Q177)</f>
        <v>1301935.0200000012</v>
      </c>
      <c r="T181" s="101">
        <f>SUM(T3:T177)</f>
        <v>-119192.91</v>
      </c>
      <c r="U181" s="4">
        <f>IF(M181=0,0,N181/M181-1)</f>
        <v>-0.26577669153445727</v>
      </c>
      <c r="AA181" s="28">
        <f>SUM(AA3:AA173)</f>
        <v>6498236.7999999961</v>
      </c>
      <c r="AB181" s="28">
        <f>SUM(AB2:AB177)</f>
        <v>6030842.2200000007</v>
      </c>
      <c r="AC181" s="4">
        <f>AB181/AA181-1</f>
        <v>-7.1926369319135208E-2</v>
      </c>
    </row>
    <row r="182" spans="1:29">
      <c r="K182" s="4"/>
      <c r="P182" s="118"/>
      <c r="U182" s="4"/>
    </row>
    <row r="183" spans="1:29">
      <c r="F183" s="24">
        <f>F181-C181</f>
        <v>-32444</v>
      </c>
      <c r="K183" s="4"/>
      <c r="N183" s="31" t="s">
        <v>894</v>
      </c>
      <c r="Q183" s="25">
        <f>N181/Q181</f>
        <v>0.24929974615783798</v>
      </c>
      <c r="U183" s="4"/>
      <c r="AA183" s="3" t="s">
        <v>895</v>
      </c>
      <c r="AB183" s="3" t="s">
        <v>895</v>
      </c>
    </row>
    <row r="184" spans="1:29">
      <c r="F184" s="4">
        <f>F181/C181-1</f>
        <v>-0.10699680764055619</v>
      </c>
      <c r="K184" s="4"/>
      <c r="U184" s="4"/>
      <c r="AA184" s="30">
        <f>M181/AA181</f>
        <v>6.8027959522804757E-2</v>
      </c>
      <c r="AB184" s="30">
        <f>N181/AB181</f>
        <v>5.381869698458136E-2</v>
      </c>
    </row>
    <row r="185" spans="1:29">
      <c r="K185" s="4"/>
      <c r="U185" s="4"/>
    </row>
    <row r="186" spans="1:29">
      <c r="K186" s="4"/>
    </row>
    <row r="187" spans="1:29">
      <c r="K187" s="4"/>
      <c r="U187" s="4"/>
    </row>
    <row r="188" spans="1:29">
      <c r="K188" s="4"/>
      <c r="U188" s="4"/>
    </row>
    <row r="189" spans="1:29">
      <c r="K189" s="4"/>
      <c r="U189" s="4"/>
    </row>
    <row r="190" spans="1:29">
      <c r="K190" s="4"/>
      <c r="U190" s="4"/>
    </row>
    <row r="191" spans="1:29">
      <c r="K191" s="4"/>
      <c r="U191" s="4"/>
    </row>
    <row r="192" spans="1:29">
      <c r="K192" s="4"/>
      <c r="U192" s="4"/>
    </row>
    <row r="193" spans="11:21">
      <c r="K193" s="4"/>
      <c r="U193" s="4"/>
    </row>
    <row r="194" spans="11:21">
      <c r="K194" s="4"/>
      <c r="U194" s="4"/>
    </row>
    <row r="195" spans="11:21">
      <c r="K195" s="4"/>
      <c r="U195" s="4"/>
    </row>
    <row r="196" spans="11:21">
      <c r="K196" s="4"/>
      <c r="U196" s="4"/>
    </row>
    <row r="197" spans="11:21">
      <c r="K197" s="4"/>
      <c r="U197" s="4"/>
    </row>
    <row r="198" spans="11:21">
      <c r="K198" s="4"/>
      <c r="U198" s="4"/>
    </row>
    <row r="199" spans="11:21">
      <c r="K199" s="4"/>
      <c r="U199" s="4"/>
    </row>
    <row r="200" spans="11:21">
      <c r="K200" s="4"/>
      <c r="U200" s="4"/>
    </row>
    <row r="201" spans="11:21">
      <c r="K201" s="4"/>
      <c r="U201" s="4"/>
    </row>
    <row r="202" spans="11:21">
      <c r="K202" s="4"/>
      <c r="U202" s="4"/>
    </row>
    <row r="203" spans="11:21">
      <c r="K203" s="4"/>
      <c r="U203" s="4"/>
    </row>
    <row r="204" spans="11:21">
      <c r="K204" s="4"/>
      <c r="U204" s="4"/>
    </row>
    <row r="205" spans="11:21">
      <c r="K205" s="4"/>
      <c r="U205" s="4"/>
    </row>
    <row r="206" spans="11:21">
      <c r="K206" s="4"/>
      <c r="U206" s="4"/>
    </row>
    <row r="207" spans="11:21">
      <c r="K207" s="4"/>
      <c r="U207" s="4"/>
    </row>
    <row r="208" spans="11:21">
      <c r="K208" s="4"/>
      <c r="U208" s="4"/>
    </row>
    <row r="209" spans="11:21">
      <c r="K209" s="4"/>
      <c r="U209" s="4"/>
    </row>
    <row r="210" spans="11:21">
      <c r="K210" s="4"/>
      <c r="U210" s="4"/>
    </row>
    <row r="211" spans="11:21">
      <c r="K211" s="4"/>
      <c r="U211" s="4"/>
    </row>
    <row r="212" spans="11:21">
      <c r="K212" s="4"/>
      <c r="U212" s="4"/>
    </row>
    <row r="213" spans="11:21">
      <c r="K213" s="4"/>
      <c r="U213" s="4"/>
    </row>
    <row r="214" spans="11:21">
      <c r="K214" s="4"/>
      <c r="U214" s="4"/>
    </row>
    <row r="215" spans="11:21">
      <c r="K215" s="4"/>
      <c r="U215" s="4"/>
    </row>
    <row r="216" spans="11:21">
      <c r="K216" s="4"/>
      <c r="U216" s="4"/>
    </row>
    <row r="217" spans="11:21">
      <c r="K217" s="4"/>
      <c r="U217" s="4"/>
    </row>
    <row r="218" spans="11:21">
      <c r="K218" s="4"/>
      <c r="U218" s="4"/>
    </row>
    <row r="219" spans="11:21">
      <c r="K219" s="4"/>
      <c r="U219" s="4"/>
    </row>
    <row r="220" spans="11:21">
      <c r="K220" s="4"/>
      <c r="U220" s="4"/>
    </row>
    <row r="221" spans="11:21">
      <c r="K221" s="4"/>
      <c r="U221" s="4"/>
    </row>
    <row r="222" spans="11:21">
      <c r="K222" s="4"/>
      <c r="U222" s="4"/>
    </row>
    <row r="223" spans="11:21">
      <c r="K223" s="4"/>
      <c r="U223" s="4"/>
    </row>
    <row r="224" spans="11:21">
      <c r="K224" s="4"/>
      <c r="U224" s="4"/>
    </row>
    <row r="225" spans="3:21">
      <c r="K225" s="4"/>
      <c r="U225" s="4"/>
    </row>
    <row r="226" spans="3:21">
      <c r="K226" s="4"/>
      <c r="U226" s="4"/>
    </row>
    <row r="227" spans="3:21">
      <c r="K227" s="4"/>
      <c r="U227" s="4"/>
    </row>
    <row r="228" spans="3:21">
      <c r="K228" s="6"/>
      <c r="M228" s="10"/>
      <c r="N228" s="10"/>
      <c r="T228" s="102"/>
      <c r="U228" s="6"/>
    </row>
    <row r="229" spans="3:21" ht="15" customHeight="1">
      <c r="K229" s="6"/>
      <c r="M229" s="10"/>
      <c r="N229" s="10"/>
      <c r="T229" s="102"/>
      <c r="U229" s="6"/>
    </row>
    <row r="230" spans="3:21" ht="15" customHeight="1">
      <c r="K230" s="6"/>
      <c r="M230" s="10"/>
      <c r="N230" s="10"/>
      <c r="T230" s="102"/>
      <c r="U230" s="6"/>
    </row>
    <row r="231" spans="3:21" ht="15" customHeight="1">
      <c r="K231" s="6"/>
      <c r="M231" s="10"/>
      <c r="N231" s="10"/>
      <c r="T231" s="102"/>
      <c r="U231" s="6"/>
    </row>
    <row r="232" spans="3:21" ht="15" customHeight="1">
      <c r="K232" s="6"/>
      <c r="M232" s="10"/>
      <c r="N232" s="10"/>
      <c r="T232" s="102"/>
      <c r="U232" s="6"/>
    </row>
    <row r="233" spans="3:21" ht="15" customHeight="1">
      <c r="K233" s="6"/>
      <c r="M233" s="10"/>
      <c r="N233" s="10"/>
      <c r="T233" s="102"/>
      <c r="U233" s="6"/>
    </row>
    <row r="234" spans="3:21" ht="15" customHeight="1">
      <c r="K234" s="6"/>
      <c r="M234" s="10"/>
      <c r="N234" s="10"/>
      <c r="T234" s="102"/>
      <c r="U234" s="6"/>
    </row>
    <row r="235" spans="3:21" ht="15" customHeight="1">
      <c r="K235" s="6"/>
      <c r="M235" s="10"/>
      <c r="N235" s="10"/>
      <c r="T235" s="102"/>
      <c r="U235" s="6"/>
    </row>
    <row r="236" spans="3:21" ht="15" customHeight="1">
      <c r="K236" s="6"/>
      <c r="M236" s="10"/>
      <c r="N236" s="10"/>
      <c r="T236" s="102"/>
      <c r="U236" s="6"/>
    </row>
    <row r="237" spans="3:21">
      <c r="M237" s="10"/>
      <c r="N237" s="10"/>
      <c r="T237" s="102"/>
    </row>
    <row r="238" spans="3:21" ht="15" customHeight="1">
      <c r="C238" s="8"/>
      <c r="F238" s="8"/>
      <c r="J238" s="8"/>
      <c r="M238" s="10"/>
      <c r="N238" s="10"/>
      <c r="T238" s="102"/>
    </row>
    <row r="239" spans="3:21">
      <c r="M239" s="10"/>
      <c r="N239" s="10"/>
      <c r="T239" s="102"/>
    </row>
    <row r="240" spans="3:21" ht="15" customHeight="1">
      <c r="M240" s="10"/>
      <c r="N240" s="10"/>
      <c r="T240" s="102"/>
    </row>
    <row r="241" spans="3:14" ht="15" customHeight="1">
      <c r="C241" s="9"/>
      <c r="F241" s="9"/>
      <c r="M241" s="7"/>
      <c r="N241" s="7"/>
    </row>
    <row r="243" spans="3:14" ht="15" customHeight="1">
      <c r="C243" s="8"/>
      <c r="F243" s="8"/>
    </row>
    <row r="246" spans="3:14" ht="15" customHeight="1">
      <c r="C246" s="9"/>
      <c r="F246" s="9"/>
      <c r="M246" s="7"/>
      <c r="N246" s="7"/>
    </row>
  </sheetData>
  <autoFilter ref="A2:AD165" xr:uid="{97EDC353-A3BB-4027-BC75-3196C26C68C7}">
    <sortState xmlns:xlrd2="http://schemas.microsoft.com/office/spreadsheetml/2017/richdata2" ref="A3:AD165">
      <sortCondition ref="J2:J165"/>
    </sortState>
  </autoFilter>
  <mergeCells count="7">
    <mergeCell ref="AA1:AB1"/>
    <mergeCell ref="W1:Z1"/>
    <mergeCell ref="B1:C1"/>
    <mergeCell ref="E1:F1"/>
    <mergeCell ref="J1:K1"/>
    <mergeCell ref="T1:U1"/>
    <mergeCell ref="M1:N1"/>
  </mergeCells>
  <phoneticPr fontId="3" type="noConversion"/>
  <conditionalFormatting sqref="D84 H84:I84 L84 O84:P84 R84:S84">
    <cfRule type="cellIs" dxfId="29" priority="15" operator="greaterThan">
      <formula>500</formula>
    </cfRule>
    <cfRule type="cellIs" dxfId="28" priority="21" operator="lessThan">
      <formula>-100</formula>
    </cfRule>
  </conditionalFormatting>
  <conditionalFormatting sqref="J2:J237">
    <cfRule type="cellIs" dxfId="27" priority="1" operator="greaterThan">
      <formula>500</formula>
    </cfRule>
  </conditionalFormatting>
  <conditionalFormatting sqref="J3:J236">
    <cfRule type="cellIs" dxfId="26" priority="2" operator="lessThan">
      <formula>-100</formula>
    </cfRule>
  </conditionalFormatting>
  <conditionalFormatting sqref="J239:J1048576">
    <cfRule type="cellIs" dxfId="25" priority="19" operator="greaterThan">
      <formula>500</formula>
    </cfRule>
  </conditionalFormatting>
  <conditionalFormatting sqref="K2">
    <cfRule type="cellIs" dxfId="24" priority="20" operator="lessThan">
      <formula>-20%</formula>
    </cfRule>
  </conditionalFormatting>
  <conditionalFormatting sqref="K3:K236">
    <cfRule type="cellIs" dxfId="23" priority="5" operator="greaterThan">
      <formula>0.2</formula>
    </cfRule>
  </conditionalFormatting>
  <conditionalFormatting sqref="K3:K1048576">
    <cfRule type="cellIs" dxfId="22" priority="3" operator="lessThan">
      <formula>-0.2</formula>
    </cfRule>
  </conditionalFormatting>
  <conditionalFormatting sqref="U181:U185 U187:U236 U3:U178">
    <cfRule type="cellIs" dxfId="21" priority="12" operator="greaterThan">
      <formula>0.5</formula>
    </cfRule>
  </conditionalFormatting>
  <conditionalFormatting sqref="AC3:AC178">
    <cfRule type="cellIs" dxfId="20" priority="9" operator="lessThan">
      <formula>-10%</formula>
    </cfRule>
    <cfRule type="cellIs" dxfId="19" priority="10" operator="lessThan">
      <formula>-0.2</formula>
    </cfRule>
    <cfRule type="cellIs" dxfId="18" priority="11" operator="greaterThan">
      <formula>0.2</formula>
    </cfRule>
  </conditionalFormatting>
  <conditionalFormatting sqref="AC181">
    <cfRule type="cellIs" dxfId="17" priority="6" operator="lessThan">
      <formula>-10%</formula>
    </cfRule>
    <cfRule type="cellIs" dxfId="16" priority="7" operator="lessThan">
      <formula>-0.2</formula>
    </cfRule>
    <cfRule type="cellIs" dxfId="15" priority="8" operator="greaterThan">
      <formula>0.2</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72D2E-CA91-4628-AF55-6EA17D54F5B9}">
  <dimension ref="A1:AE218"/>
  <sheetViews>
    <sheetView zoomScaleNormal="100" workbookViewId="0">
      <pane xSplit="2" ySplit="2" topLeftCell="C130" activePane="bottomRight" state="frozen"/>
      <selection activeCell="AP35" sqref="AP35"/>
      <selection pane="topRight" activeCell="AP35" sqref="AP35"/>
      <selection pane="bottomLeft" activeCell="AP35" sqref="AP35"/>
      <selection pane="bottomRight" activeCell="AP35" sqref="AP35"/>
    </sheetView>
  </sheetViews>
  <sheetFormatPr defaultRowHeight="15" customHeight="1"/>
  <cols>
    <col min="1" max="1" width="66" customWidth="1"/>
    <col min="2" max="2" width="14.5703125" customWidth="1"/>
    <col min="3" max="3" width="18.85546875" customWidth="1"/>
    <col min="4" max="4" width="2" customWidth="1"/>
    <col min="5" max="5" width="13" customWidth="1"/>
    <col min="6" max="6" width="16.140625" customWidth="1"/>
    <col min="7" max="7" width="14.140625" bestFit="1" customWidth="1"/>
    <col min="8" max="9" width="1" customWidth="1"/>
    <col min="10" max="10" width="11.7109375" customWidth="1"/>
    <col min="12" max="13" width="1" customWidth="1"/>
    <col min="14" max="14" width="13.28515625" style="5" bestFit="1" customWidth="1"/>
    <col min="15" max="15" width="12.28515625" style="5" customWidth="1"/>
    <col min="16" max="16" width="1" customWidth="1"/>
    <col min="17" max="17" width="14.140625" style="5" customWidth="1"/>
    <col min="18" max="19" width="1" customWidth="1"/>
    <col min="20" max="20" width="10.7109375" style="98" bestFit="1" customWidth="1"/>
    <col min="22" max="23" width="0.85546875" customWidth="1"/>
    <col min="24" max="24" width="19.140625" hidden="1" customWidth="1"/>
    <col min="25" max="26" width="7" hidden="1" customWidth="1"/>
    <col min="27" max="27" width="7" style="15" hidden="1" customWidth="1"/>
    <col min="28" max="29" width="13.28515625" customWidth="1"/>
    <col min="30" max="30" width="8.28515625" customWidth="1"/>
    <col min="31" max="31" width="3.140625" customWidth="1"/>
  </cols>
  <sheetData>
    <row r="1" spans="1:31">
      <c r="B1" s="173">
        <v>46143</v>
      </c>
      <c r="C1" s="174"/>
      <c r="E1" s="173">
        <v>46174</v>
      </c>
      <c r="F1" s="174"/>
      <c r="J1" s="175"/>
      <c r="K1" s="175"/>
      <c r="L1" s="1"/>
      <c r="N1" s="176" t="s">
        <v>0</v>
      </c>
      <c r="O1" s="176"/>
      <c r="Q1" s="138" t="s">
        <v>1</v>
      </c>
      <c r="R1" s="1"/>
      <c r="T1" s="172" t="s">
        <v>2</v>
      </c>
      <c r="U1" s="172"/>
      <c r="X1" s="175" t="s">
        <v>896</v>
      </c>
      <c r="Y1" s="175"/>
      <c r="Z1" s="175"/>
      <c r="AA1" s="175"/>
      <c r="AB1" s="171" t="s">
        <v>3</v>
      </c>
      <c r="AC1" s="171"/>
    </row>
    <row r="2" spans="1:31">
      <c r="A2" s="3" t="s">
        <v>4</v>
      </c>
      <c r="B2" s="3" t="s">
        <v>5</v>
      </c>
      <c r="C2" s="3" t="s">
        <v>6</v>
      </c>
      <c r="D2" s="3"/>
      <c r="E2" s="3" t="s">
        <v>5</v>
      </c>
      <c r="F2" s="3" t="s">
        <v>6</v>
      </c>
      <c r="G2" s="3" t="s">
        <v>7</v>
      </c>
      <c r="H2" s="3"/>
      <c r="I2" s="3"/>
      <c r="J2" s="3" t="s">
        <v>1936</v>
      </c>
      <c r="K2" s="3" t="s">
        <v>8</v>
      </c>
      <c r="L2" s="3"/>
      <c r="M2" s="3"/>
      <c r="N2" s="3" t="s">
        <v>1750</v>
      </c>
      <c r="O2" s="3" t="s">
        <v>1751</v>
      </c>
      <c r="P2" s="3"/>
      <c r="Q2" s="31" t="s">
        <v>1879</v>
      </c>
      <c r="R2" s="3"/>
      <c r="S2" s="3"/>
      <c r="T2" s="99" t="s">
        <v>11</v>
      </c>
      <c r="U2" s="3" t="s">
        <v>8</v>
      </c>
      <c r="V2" s="3"/>
      <c r="W2" s="3"/>
      <c r="X2" s="3" t="s">
        <v>13</v>
      </c>
      <c r="Y2" s="3" t="s">
        <v>12</v>
      </c>
      <c r="Z2" s="3" t="s">
        <v>1247</v>
      </c>
      <c r="AA2" s="32"/>
      <c r="AB2" s="3" t="s">
        <v>1750</v>
      </c>
      <c r="AC2" s="3" t="s">
        <v>1751</v>
      </c>
      <c r="AD2" s="3" t="s">
        <v>8</v>
      </c>
      <c r="AE2" s="3"/>
    </row>
    <row r="3" spans="1:31" ht="13.9" customHeight="1">
      <c r="A3" s="38" t="s">
        <v>1248</v>
      </c>
      <c r="B3" s="121" t="s">
        <v>1249</v>
      </c>
      <c r="C3">
        <v>1027</v>
      </c>
      <c r="E3" s="121" t="s">
        <v>1249</v>
      </c>
      <c r="F3">
        <v>695</v>
      </c>
      <c r="G3" t="b">
        <f t="shared" ref="G3:G34" si="0">IF(B3=E3,TRUE,FALSE)</f>
        <v>1</v>
      </c>
      <c r="J3">
        <f>F3-C3</f>
        <v>-332</v>
      </c>
      <c r="K3" s="4">
        <f t="shared" ref="K3:K34" si="1">F3/C3-1</f>
        <v>-0.32327166504381699</v>
      </c>
      <c r="L3" s="4"/>
      <c r="N3" s="5">
        <v>1779.79</v>
      </c>
      <c r="O3" s="5">
        <v>1372.47</v>
      </c>
      <c r="Q3" s="5">
        <v>6885.71</v>
      </c>
      <c r="T3" s="98">
        <f t="shared" ref="T3:T47" si="2">O3-N3</f>
        <v>-407.31999999999994</v>
      </c>
      <c r="U3" s="4">
        <f>IF(N3=0,0,O3/N3-1)</f>
        <v>-0.22885846082964845</v>
      </c>
      <c r="AB3" s="17">
        <v>22183.98</v>
      </c>
      <c r="AC3" s="17">
        <v>16010.83</v>
      </c>
      <c r="AD3" s="4">
        <f>AC3/AB3-1</f>
        <v>-0.27827062592014595</v>
      </c>
    </row>
    <row r="4" spans="1:31" ht="13.9" customHeight="1">
      <c r="A4" s="38" t="s">
        <v>1250</v>
      </c>
      <c r="B4" s="35" t="s">
        <v>1251</v>
      </c>
      <c r="C4">
        <v>1486</v>
      </c>
      <c r="E4" s="35" t="s">
        <v>1251</v>
      </c>
      <c r="F4">
        <v>395</v>
      </c>
      <c r="G4" t="b">
        <f t="shared" si="0"/>
        <v>1</v>
      </c>
      <c r="J4">
        <f t="shared" ref="J3:J34" si="3">F4-C4</f>
        <v>-1091</v>
      </c>
      <c r="K4" s="4">
        <f t="shared" si="1"/>
        <v>-0.73418573351278593</v>
      </c>
      <c r="L4" s="4"/>
      <c r="N4" s="5">
        <v>1663.1</v>
      </c>
      <c r="O4" s="5">
        <v>1174.8800000000001</v>
      </c>
      <c r="Q4" s="5">
        <v>4804.4799999999996</v>
      </c>
      <c r="T4" s="98">
        <f t="shared" si="2"/>
        <v>-488.2199999999998</v>
      </c>
      <c r="U4" s="4">
        <f>IF(N4=0,0,O4/N4-1)</f>
        <v>-0.29356021886837824</v>
      </c>
      <c r="AB4" s="17">
        <v>37402.94</v>
      </c>
      <c r="AC4" s="17">
        <v>11844.25</v>
      </c>
      <c r="AD4" s="4">
        <f>AC4/AB4-1</f>
        <v>-0.68333371654741581</v>
      </c>
    </row>
    <row r="5" spans="1:31" ht="13.9" customHeight="1">
      <c r="A5" s="39" t="s">
        <v>1252</v>
      </c>
      <c r="B5" s="35" t="s">
        <v>1253</v>
      </c>
      <c r="C5">
        <v>581</v>
      </c>
      <c r="E5" s="35" t="s">
        <v>1253</v>
      </c>
      <c r="F5">
        <v>462</v>
      </c>
      <c r="G5" t="b">
        <f t="shared" si="0"/>
        <v>1</v>
      </c>
      <c r="J5">
        <f t="shared" si="3"/>
        <v>-119</v>
      </c>
      <c r="K5" s="4">
        <f t="shared" si="1"/>
        <v>-0.20481927710843373</v>
      </c>
      <c r="L5" s="4"/>
      <c r="N5" s="5">
        <v>1162.27</v>
      </c>
      <c r="O5" s="5">
        <v>698.46</v>
      </c>
      <c r="Q5" s="5">
        <v>2671.2</v>
      </c>
      <c r="T5" s="98">
        <f t="shared" si="2"/>
        <v>-463.80999999999995</v>
      </c>
      <c r="U5" s="4">
        <f>IF(N5=0,0,O5/N5-1)</f>
        <v>-0.3990552969619795</v>
      </c>
      <c r="AB5" s="17">
        <v>8919.7099999999991</v>
      </c>
      <c r="AC5" s="17">
        <v>7848.87</v>
      </c>
      <c r="AD5" s="4">
        <f t="shared" ref="AD5:AD36" si="4">AC5/AB5-1</f>
        <v>-0.12005323043013727</v>
      </c>
    </row>
    <row r="6" spans="1:31" ht="13.9" customHeight="1">
      <c r="A6" s="39" t="s">
        <v>1254</v>
      </c>
      <c r="B6" s="35" t="s">
        <v>1255</v>
      </c>
      <c r="C6">
        <v>1893</v>
      </c>
      <c r="E6" s="35" t="s">
        <v>1255</v>
      </c>
      <c r="F6">
        <v>1244</v>
      </c>
      <c r="G6" t="b">
        <f t="shared" si="0"/>
        <v>1</v>
      </c>
      <c r="J6">
        <f t="shared" si="3"/>
        <v>-649</v>
      </c>
      <c r="K6" s="4">
        <f t="shared" si="1"/>
        <v>-0.34284204965662968</v>
      </c>
      <c r="L6" s="4"/>
      <c r="N6" s="5">
        <v>2142.58</v>
      </c>
      <c r="O6" s="5">
        <v>1483.07</v>
      </c>
      <c r="Q6" s="5">
        <v>8603.02</v>
      </c>
      <c r="T6" s="98">
        <f t="shared" si="2"/>
        <v>-659.51</v>
      </c>
      <c r="U6" s="4">
        <f>IF(N7=0,0,O6/N7-1)</f>
        <v>-0.50500313739102576</v>
      </c>
      <c r="AB6" s="17">
        <v>40189.230000000003</v>
      </c>
      <c r="AC6" s="17">
        <v>28824.09</v>
      </c>
      <c r="AD6" s="4">
        <f t="shared" si="4"/>
        <v>-0.28279068795296658</v>
      </c>
    </row>
    <row r="7" spans="1:31" ht="13.9" customHeight="1">
      <c r="A7" s="38" t="s">
        <v>1097</v>
      </c>
      <c r="B7" s="35" t="s">
        <v>1256</v>
      </c>
      <c r="C7">
        <v>2508</v>
      </c>
      <c r="E7" s="35" t="s">
        <v>1256</v>
      </c>
      <c r="F7">
        <v>1063</v>
      </c>
      <c r="G7" t="b">
        <f t="shared" si="0"/>
        <v>1</v>
      </c>
      <c r="J7">
        <f t="shared" si="3"/>
        <v>-1445</v>
      </c>
      <c r="K7" s="4">
        <f t="shared" si="1"/>
        <v>-0.57615629984051031</v>
      </c>
      <c r="L7" s="4"/>
      <c r="N7" s="5">
        <v>2996.12</v>
      </c>
      <c r="O7" s="5">
        <v>2424.6</v>
      </c>
      <c r="Q7" s="5">
        <v>11660.28</v>
      </c>
      <c r="T7" s="98">
        <f t="shared" si="2"/>
        <v>-571.52</v>
      </c>
      <c r="U7" s="4">
        <f t="shared" ref="U7:U37" si="5">IF(N7=0,0,O7/N7-1)</f>
        <v>-0.19075337436417772</v>
      </c>
      <c r="AB7" s="17">
        <v>37918.71</v>
      </c>
      <c r="AC7" s="17">
        <v>20126.55</v>
      </c>
      <c r="AD7" s="4">
        <f t="shared" si="4"/>
        <v>-0.46921849398357696</v>
      </c>
    </row>
    <row r="8" spans="1:31" ht="13.9" customHeight="1">
      <c r="A8" s="38" t="s">
        <v>1257</v>
      </c>
      <c r="B8" s="35" t="s">
        <v>1258</v>
      </c>
      <c r="C8">
        <v>1776</v>
      </c>
      <c r="E8" s="35" t="s">
        <v>1258</v>
      </c>
      <c r="F8">
        <v>501</v>
      </c>
      <c r="G8" t="b">
        <f t="shared" si="0"/>
        <v>1</v>
      </c>
      <c r="J8">
        <f t="shared" si="3"/>
        <v>-1275</v>
      </c>
      <c r="K8" s="4">
        <f t="shared" si="1"/>
        <v>-0.71790540540540548</v>
      </c>
      <c r="L8" s="4"/>
      <c r="N8" s="5">
        <v>1095.54</v>
      </c>
      <c r="O8" s="5">
        <v>419.72</v>
      </c>
      <c r="Q8" s="5">
        <v>2385.46</v>
      </c>
      <c r="T8" s="98">
        <f t="shared" si="2"/>
        <v>-675.81999999999994</v>
      </c>
      <c r="U8" s="4">
        <f t="shared" si="5"/>
        <v>-0.61688299833871874</v>
      </c>
      <c r="AB8" s="17">
        <v>37302.730000000003</v>
      </c>
      <c r="AC8" s="17">
        <v>11982.16</v>
      </c>
      <c r="AD8" s="4">
        <f t="shared" si="4"/>
        <v>-0.67878597625428494</v>
      </c>
    </row>
    <row r="9" spans="1:31" ht="13.9" customHeight="1">
      <c r="A9" s="38" t="s">
        <v>1259</v>
      </c>
      <c r="B9" t="s">
        <v>1260</v>
      </c>
      <c r="C9">
        <v>4440</v>
      </c>
      <c r="E9" t="s">
        <v>1260</v>
      </c>
      <c r="F9">
        <v>4514</v>
      </c>
      <c r="G9" t="b">
        <f t="shared" si="0"/>
        <v>1</v>
      </c>
      <c r="J9">
        <f t="shared" si="3"/>
        <v>74</v>
      </c>
      <c r="K9" s="4">
        <f t="shared" si="1"/>
        <v>1.6666666666666607E-2</v>
      </c>
      <c r="L9" s="4"/>
      <c r="N9" s="5">
        <v>9082.31</v>
      </c>
      <c r="O9" s="5">
        <v>8971.66</v>
      </c>
      <c r="Q9" s="5">
        <v>58967.44</v>
      </c>
      <c r="T9" s="98">
        <f t="shared" si="2"/>
        <v>-110.64999999999964</v>
      </c>
      <c r="U9" s="4">
        <f t="shared" si="5"/>
        <v>-1.2183023922328062E-2</v>
      </c>
      <c r="AB9" s="17">
        <v>133087.81</v>
      </c>
      <c r="AC9" s="17">
        <v>135287.69</v>
      </c>
      <c r="AD9" s="4">
        <f t="shared" si="4"/>
        <v>1.6529537904335534E-2</v>
      </c>
    </row>
    <row r="10" spans="1:31" ht="13.9" customHeight="1">
      <c r="A10" s="122" t="s">
        <v>1261</v>
      </c>
      <c r="B10" s="35" t="s">
        <v>1262</v>
      </c>
      <c r="C10">
        <v>673</v>
      </c>
      <c r="E10" s="35" t="s">
        <v>1262</v>
      </c>
      <c r="F10">
        <v>599</v>
      </c>
      <c r="G10" t="b">
        <f t="shared" si="0"/>
        <v>1</v>
      </c>
      <c r="J10">
        <f t="shared" si="3"/>
        <v>-74</v>
      </c>
      <c r="K10" s="4">
        <f t="shared" si="1"/>
        <v>-0.10995542347696885</v>
      </c>
      <c r="L10" s="4"/>
      <c r="N10" s="5">
        <v>1649.08</v>
      </c>
      <c r="O10" s="5">
        <v>1519.67</v>
      </c>
      <c r="Q10" s="5">
        <v>5892.85</v>
      </c>
      <c r="T10" s="98">
        <f t="shared" si="2"/>
        <v>-129.40999999999985</v>
      </c>
      <c r="U10" s="4">
        <f t="shared" si="5"/>
        <v>-7.8474058262788859E-2</v>
      </c>
      <c r="AB10" s="17">
        <v>11034.87</v>
      </c>
      <c r="AC10" s="17">
        <v>10728.05</v>
      </c>
      <c r="AD10" s="4">
        <f t="shared" si="4"/>
        <v>-2.780458673278452E-2</v>
      </c>
    </row>
    <row r="11" spans="1:31" ht="13.9" customHeight="1">
      <c r="A11" s="122" t="s">
        <v>1263</v>
      </c>
      <c r="B11" s="35" t="s">
        <v>1264</v>
      </c>
      <c r="C11">
        <v>564</v>
      </c>
      <c r="E11" s="35" t="s">
        <v>1264</v>
      </c>
      <c r="F11">
        <v>340</v>
      </c>
      <c r="G11" t="b">
        <f t="shared" si="0"/>
        <v>1</v>
      </c>
      <c r="J11">
        <f t="shared" si="3"/>
        <v>-224</v>
      </c>
      <c r="K11" s="4">
        <f t="shared" si="1"/>
        <v>-0.3971631205673759</v>
      </c>
      <c r="L11" s="4"/>
      <c r="N11" s="5">
        <v>1992.01</v>
      </c>
      <c r="O11" s="5">
        <v>1240.69</v>
      </c>
      <c r="Q11" s="5">
        <v>3441.02</v>
      </c>
      <c r="T11" s="98">
        <f t="shared" si="2"/>
        <v>-751.31999999999994</v>
      </c>
      <c r="U11" s="4">
        <f t="shared" si="5"/>
        <v>-0.37716678129125858</v>
      </c>
      <c r="AB11" s="17">
        <v>9927.76</v>
      </c>
      <c r="AC11" s="17">
        <v>6314.44</v>
      </c>
      <c r="AD11" s="4">
        <f t="shared" si="4"/>
        <v>-0.36396125611416885</v>
      </c>
    </row>
    <row r="12" spans="1:31" ht="13.9" customHeight="1">
      <c r="A12" t="s">
        <v>1265</v>
      </c>
      <c r="B12" t="s">
        <v>1266</v>
      </c>
      <c r="C12">
        <v>123</v>
      </c>
      <c r="E12" t="s">
        <v>1266</v>
      </c>
      <c r="F12">
        <v>353</v>
      </c>
      <c r="G12" t="b">
        <f t="shared" si="0"/>
        <v>1</v>
      </c>
      <c r="J12">
        <f t="shared" si="3"/>
        <v>230</v>
      </c>
      <c r="K12" s="4">
        <f t="shared" si="1"/>
        <v>1.8699186991869921</v>
      </c>
      <c r="L12" s="4"/>
      <c r="N12" s="5">
        <v>49.52</v>
      </c>
      <c r="O12" s="5">
        <v>227.37</v>
      </c>
      <c r="Q12" s="5">
        <v>1808.92</v>
      </c>
      <c r="T12" s="98">
        <f t="shared" si="2"/>
        <v>177.85</v>
      </c>
      <c r="U12" s="4">
        <f t="shared" si="5"/>
        <v>3.5914781906300481</v>
      </c>
      <c r="AB12" s="17">
        <v>3679.65</v>
      </c>
      <c r="AC12" s="17">
        <v>9650.2000000000007</v>
      </c>
      <c r="AD12" s="4">
        <f t="shared" si="4"/>
        <v>1.6225863872922699</v>
      </c>
    </row>
    <row r="13" spans="1:31" ht="13.9" customHeight="1">
      <c r="A13" s="124" t="s">
        <v>1267</v>
      </c>
      <c r="B13" s="124" t="s">
        <v>1268</v>
      </c>
      <c r="C13">
        <v>937</v>
      </c>
      <c r="E13" s="124" t="s">
        <v>1268</v>
      </c>
      <c r="F13">
        <v>632</v>
      </c>
      <c r="G13" t="b">
        <f t="shared" si="0"/>
        <v>1</v>
      </c>
      <c r="J13">
        <f t="shared" si="3"/>
        <v>-305</v>
      </c>
      <c r="K13" s="4">
        <f t="shared" si="1"/>
        <v>-0.32550693703308431</v>
      </c>
      <c r="L13" s="4"/>
      <c r="N13" s="5">
        <v>1834.69</v>
      </c>
      <c r="O13" s="5">
        <v>1283.78</v>
      </c>
      <c r="Q13" s="5">
        <v>6442.17</v>
      </c>
      <c r="T13" s="98">
        <f t="shared" si="2"/>
        <v>-550.91000000000008</v>
      </c>
      <c r="U13" s="4">
        <f t="shared" si="5"/>
        <v>-0.30027416075740321</v>
      </c>
      <c r="AB13" s="17">
        <v>18793.63</v>
      </c>
      <c r="AC13" s="17">
        <v>14087.44</v>
      </c>
      <c r="AD13" s="4">
        <f t="shared" si="4"/>
        <v>-0.25041410307641476</v>
      </c>
    </row>
    <row r="14" spans="1:31" ht="13.9" customHeight="1">
      <c r="A14" t="s">
        <v>1269</v>
      </c>
      <c r="B14" t="s">
        <v>1270</v>
      </c>
      <c r="C14">
        <v>1492</v>
      </c>
      <c r="E14" t="s">
        <v>1270</v>
      </c>
      <c r="F14">
        <v>1460</v>
      </c>
      <c r="G14" t="b">
        <f t="shared" si="0"/>
        <v>1</v>
      </c>
      <c r="J14">
        <f t="shared" si="3"/>
        <v>-32</v>
      </c>
      <c r="K14" s="4">
        <f t="shared" si="1"/>
        <v>-2.1447721179624679E-2</v>
      </c>
      <c r="L14" s="4"/>
      <c r="N14" s="5">
        <v>1863.47</v>
      </c>
      <c r="O14" s="5">
        <v>1775.23</v>
      </c>
      <c r="Q14" s="5">
        <v>16822.05</v>
      </c>
      <c r="T14" s="98">
        <f t="shared" si="2"/>
        <v>-88.240000000000009</v>
      </c>
      <c r="U14" s="4">
        <f t="shared" si="5"/>
        <v>-4.7352519761520218E-2</v>
      </c>
      <c r="X14" t="s">
        <v>1271</v>
      </c>
      <c r="AB14" s="17">
        <v>35783.72</v>
      </c>
      <c r="AC14" s="17">
        <v>34962.379999999997</v>
      </c>
      <c r="AD14" s="4">
        <f t="shared" si="4"/>
        <v>-2.2952895897911274E-2</v>
      </c>
    </row>
    <row r="15" spans="1:31" ht="13.9" customHeight="1">
      <c r="A15" t="s">
        <v>1272</v>
      </c>
      <c r="B15" t="s">
        <v>1273</v>
      </c>
      <c r="C15">
        <v>651</v>
      </c>
      <c r="E15" t="s">
        <v>1273</v>
      </c>
      <c r="F15">
        <v>669</v>
      </c>
      <c r="G15" t="b">
        <f t="shared" si="0"/>
        <v>1</v>
      </c>
      <c r="J15">
        <f t="shared" si="3"/>
        <v>18</v>
      </c>
      <c r="K15" s="4">
        <f t="shared" si="1"/>
        <v>2.7649769585253559E-2</v>
      </c>
      <c r="N15" s="5">
        <v>396.5</v>
      </c>
      <c r="O15" s="5">
        <v>371.84</v>
      </c>
      <c r="Q15" s="5">
        <v>1625.16</v>
      </c>
      <c r="T15" s="98">
        <f t="shared" si="2"/>
        <v>-24.660000000000025</v>
      </c>
      <c r="U15" s="4">
        <f t="shared" si="5"/>
        <v>-6.2194199243379655E-2</v>
      </c>
      <c r="X15" s="5"/>
      <c r="Y15" s="5"/>
      <c r="Z15" s="5"/>
      <c r="AA15" s="16"/>
      <c r="AB15" s="17">
        <v>14291.96</v>
      </c>
      <c r="AC15" s="17">
        <v>13978.71</v>
      </c>
      <c r="AD15" s="4">
        <f t="shared" si="4"/>
        <v>-2.1917917486474869E-2</v>
      </c>
    </row>
    <row r="16" spans="1:31" ht="13.9" customHeight="1">
      <c r="A16" t="s">
        <v>1274</v>
      </c>
      <c r="B16" t="s">
        <v>1275</v>
      </c>
      <c r="C16">
        <v>284</v>
      </c>
      <c r="E16" t="s">
        <v>1275</v>
      </c>
      <c r="F16">
        <v>155</v>
      </c>
      <c r="G16" t="b">
        <f t="shared" si="0"/>
        <v>1</v>
      </c>
      <c r="J16">
        <f t="shared" si="3"/>
        <v>-129</v>
      </c>
      <c r="K16" s="4">
        <f t="shared" si="1"/>
        <v>-0.45422535211267601</v>
      </c>
      <c r="L16" s="4"/>
      <c r="N16" s="5">
        <v>353.03</v>
      </c>
      <c r="O16" s="5">
        <v>186.23</v>
      </c>
      <c r="Q16" s="5">
        <v>852.11</v>
      </c>
      <c r="T16" s="98">
        <f t="shared" si="2"/>
        <v>-166.79999999999998</v>
      </c>
      <c r="U16" s="4">
        <f t="shared" si="5"/>
        <v>-0.47248109225844825</v>
      </c>
      <c r="AB16" s="17">
        <v>4993.8</v>
      </c>
      <c r="AC16" s="17">
        <v>3401.37</v>
      </c>
      <c r="AD16" s="4">
        <f t="shared" si="4"/>
        <v>-0.31888141295206063</v>
      </c>
    </row>
    <row r="17" spans="1:30" ht="13.9" customHeight="1">
      <c r="A17" t="s">
        <v>1276</v>
      </c>
      <c r="B17" t="s">
        <v>1277</v>
      </c>
      <c r="C17">
        <v>221</v>
      </c>
      <c r="E17" t="s">
        <v>1277</v>
      </c>
      <c r="F17">
        <v>114</v>
      </c>
      <c r="G17" t="b">
        <f t="shared" si="0"/>
        <v>1</v>
      </c>
      <c r="J17">
        <f t="shared" si="3"/>
        <v>-107</v>
      </c>
      <c r="K17" s="4">
        <f t="shared" si="1"/>
        <v>-0.48416289592760176</v>
      </c>
      <c r="L17" s="4"/>
      <c r="N17" s="5">
        <v>1547.11</v>
      </c>
      <c r="O17" s="5">
        <v>701.83</v>
      </c>
      <c r="Q17" s="5">
        <v>2697.49</v>
      </c>
      <c r="T17" s="98">
        <f t="shared" si="2"/>
        <v>-845.27999999999986</v>
      </c>
      <c r="U17" s="4">
        <f t="shared" si="5"/>
        <v>-0.54636063369766852</v>
      </c>
      <c r="AB17" s="17">
        <v>3957.55</v>
      </c>
      <c r="AC17" s="17">
        <v>2133.86</v>
      </c>
      <c r="AD17" s="4">
        <f t="shared" si="4"/>
        <v>-0.46081287665348514</v>
      </c>
    </row>
    <row r="18" spans="1:30" ht="13.9" customHeight="1">
      <c r="A18" t="s">
        <v>1278</v>
      </c>
      <c r="B18" t="s">
        <v>1279</v>
      </c>
      <c r="C18">
        <v>912</v>
      </c>
      <c r="E18" t="s">
        <v>1279</v>
      </c>
      <c r="F18">
        <v>747</v>
      </c>
      <c r="G18" t="b">
        <f t="shared" si="0"/>
        <v>1</v>
      </c>
      <c r="J18">
        <f t="shared" si="3"/>
        <v>-165</v>
      </c>
      <c r="K18" s="4">
        <f t="shared" si="1"/>
        <v>-0.18092105263157898</v>
      </c>
      <c r="L18" s="4"/>
      <c r="N18" s="5">
        <v>1332.94</v>
      </c>
      <c r="O18" s="5">
        <v>817.76</v>
      </c>
      <c r="Q18" s="5">
        <v>6889.42</v>
      </c>
      <c r="T18" s="98">
        <f t="shared" si="2"/>
        <v>-515.18000000000006</v>
      </c>
      <c r="U18" s="4">
        <f t="shared" si="5"/>
        <v>-0.38649901721007696</v>
      </c>
      <c r="AB18" s="17">
        <v>21863.52</v>
      </c>
      <c r="AC18" s="17">
        <v>17875.53</v>
      </c>
      <c r="AD18" s="4">
        <f t="shared" si="4"/>
        <v>-0.18240383982085229</v>
      </c>
    </row>
    <row r="19" spans="1:30" ht="13.9" customHeight="1">
      <c r="A19" t="s">
        <v>1280</v>
      </c>
      <c r="B19" t="s">
        <v>1281</v>
      </c>
      <c r="C19">
        <v>0</v>
      </c>
      <c r="E19" t="s">
        <v>1281</v>
      </c>
      <c r="F19">
        <v>1</v>
      </c>
      <c r="G19" t="b">
        <f t="shared" si="0"/>
        <v>1</v>
      </c>
      <c r="J19">
        <f t="shared" si="3"/>
        <v>1</v>
      </c>
      <c r="K19" s="4" t="e">
        <f t="shared" si="1"/>
        <v>#DIV/0!</v>
      </c>
      <c r="L19" s="4"/>
      <c r="N19" s="5">
        <v>0</v>
      </c>
      <c r="O19" s="5">
        <v>0</v>
      </c>
      <c r="Q19" s="5">
        <v>0</v>
      </c>
      <c r="T19" s="98">
        <f t="shared" si="2"/>
        <v>0</v>
      </c>
      <c r="U19" s="4">
        <f t="shared" si="5"/>
        <v>0</v>
      </c>
      <c r="AB19" s="17">
        <v>0</v>
      </c>
      <c r="AC19" s="17">
        <v>19.95</v>
      </c>
      <c r="AD19" s="4" t="e">
        <f t="shared" si="4"/>
        <v>#DIV/0!</v>
      </c>
    </row>
    <row r="20" spans="1:30" ht="13.9" customHeight="1">
      <c r="A20" t="s">
        <v>1282</v>
      </c>
      <c r="B20" t="s">
        <v>1283</v>
      </c>
      <c r="C20">
        <v>0</v>
      </c>
      <c r="E20" t="s">
        <v>1283</v>
      </c>
      <c r="F20">
        <v>0</v>
      </c>
      <c r="G20" t="b">
        <f t="shared" si="0"/>
        <v>1</v>
      </c>
      <c r="J20">
        <f t="shared" si="3"/>
        <v>0</v>
      </c>
      <c r="K20" s="4" t="e">
        <f t="shared" si="1"/>
        <v>#DIV/0!</v>
      </c>
      <c r="L20" s="4"/>
      <c r="N20" s="5">
        <v>0</v>
      </c>
      <c r="O20" s="5">
        <v>0</v>
      </c>
      <c r="Q20" s="5">
        <v>0</v>
      </c>
      <c r="T20" s="98">
        <f t="shared" si="2"/>
        <v>0</v>
      </c>
      <c r="U20" s="4">
        <f t="shared" si="5"/>
        <v>0</v>
      </c>
      <c r="AB20" s="17">
        <v>0</v>
      </c>
      <c r="AC20" s="17">
        <v>0</v>
      </c>
      <c r="AD20" s="4" t="e">
        <f t="shared" si="4"/>
        <v>#DIV/0!</v>
      </c>
    </row>
    <row r="21" spans="1:30" ht="13.9" customHeight="1">
      <c r="A21" t="s">
        <v>1284</v>
      </c>
      <c r="B21" t="s">
        <v>1285</v>
      </c>
      <c r="C21">
        <v>322</v>
      </c>
      <c r="E21" t="s">
        <v>1285</v>
      </c>
      <c r="F21">
        <v>147</v>
      </c>
      <c r="G21" t="b">
        <f t="shared" si="0"/>
        <v>1</v>
      </c>
      <c r="J21">
        <f t="shared" si="3"/>
        <v>-175</v>
      </c>
      <c r="K21" s="4">
        <f t="shared" si="1"/>
        <v>-0.54347826086956519</v>
      </c>
      <c r="L21" s="4"/>
      <c r="N21" s="5">
        <v>1433.42</v>
      </c>
      <c r="O21" s="5">
        <v>646.30999999999995</v>
      </c>
      <c r="Q21" s="5">
        <v>2560.92</v>
      </c>
      <c r="T21" s="98">
        <f t="shared" si="2"/>
        <v>-787.11000000000013</v>
      </c>
      <c r="U21" s="4">
        <f t="shared" si="5"/>
        <v>-0.54911330942780212</v>
      </c>
      <c r="AB21" s="17">
        <v>4128.38</v>
      </c>
      <c r="AC21" s="17">
        <v>2038.53</v>
      </c>
      <c r="AD21" s="4">
        <f t="shared" si="4"/>
        <v>-0.5062155131068361</v>
      </c>
    </row>
    <row r="22" spans="1:30" ht="13.9" customHeight="1">
      <c r="A22" t="s">
        <v>1286</v>
      </c>
      <c r="B22" t="s">
        <v>1287</v>
      </c>
      <c r="C22">
        <v>0</v>
      </c>
      <c r="E22" t="s">
        <v>1287</v>
      </c>
      <c r="F22">
        <v>0</v>
      </c>
      <c r="G22" t="b">
        <f t="shared" si="0"/>
        <v>1</v>
      </c>
      <c r="J22">
        <f t="shared" si="3"/>
        <v>0</v>
      </c>
      <c r="K22" s="4" t="e">
        <f t="shared" si="1"/>
        <v>#DIV/0!</v>
      </c>
      <c r="L22" s="4"/>
      <c r="N22" s="5">
        <v>0</v>
      </c>
      <c r="O22" s="5">
        <v>0</v>
      </c>
      <c r="Q22" s="5">
        <v>0</v>
      </c>
      <c r="T22" s="98">
        <f t="shared" si="2"/>
        <v>0</v>
      </c>
      <c r="U22" s="4">
        <f t="shared" si="5"/>
        <v>0</v>
      </c>
      <c r="AB22" s="17">
        <v>0</v>
      </c>
      <c r="AC22" s="17">
        <v>0</v>
      </c>
      <c r="AD22" s="4" t="e">
        <f t="shared" si="4"/>
        <v>#DIV/0!</v>
      </c>
    </row>
    <row r="23" spans="1:30" ht="13.9" customHeight="1">
      <c r="A23" t="s">
        <v>1288</v>
      </c>
      <c r="B23" t="s">
        <v>1289</v>
      </c>
      <c r="C23">
        <v>0</v>
      </c>
      <c r="E23" t="s">
        <v>1289</v>
      </c>
      <c r="F23">
        <v>0</v>
      </c>
      <c r="G23" t="b">
        <f t="shared" si="0"/>
        <v>1</v>
      </c>
      <c r="J23">
        <f t="shared" si="3"/>
        <v>0</v>
      </c>
      <c r="K23" s="4" t="e">
        <f t="shared" si="1"/>
        <v>#DIV/0!</v>
      </c>
      <c r="N23" s="5">
        <v>0</v>
      </c>
      <c r="O23" s="5">
        <v>0</v>
      </c>
      <c r="Q23" s="5">
        <v>0</v>
      </c>
      <c r="T23" s="98">
        <f t="shared" si="2"/>
        <v>0</v>
      </c>
      <c r="U23" s="4">
        <f t="shared" si="5"/>
        <v>0</v>
      </c>
      <c r="AB23" s="17">
        <v>0</v>
      </c>
      <c r="AC23" s="17">
        <v>0</v>
      </c>
      <c r="AD23" s="4" t="e">
        <f t="shared" si="4"/>
        <v>#DIV/0!</v>
      </c>
    </row>
    <row r="24" spans="1:30" ht="13.9" customHeight="1">
      <c r="A24" s="123" t="s">
        <v>1290</v>
      </c>
      <c r="B24" s="26" t="s">
        <v>1291</v>
      </c>
      <c r="C24">
        <v>600</v>
      </c>
      <c r="E24" s="26" t="s">
        <v>1291</v>
      </c>
      <c r="F24">
        <v>459</v>
      </c>
      <c r="G24" t="b">
        <f t="shared" si="0"/>
        <v>1</v>
      </c>
      <c r="J24">
        <f t="shared" si="3"/>
        <v>-141</v>
      </c>
      <c r="K24" s="4">
        <f t="shared" si="1"/>
        <v>-0.23499999999999999</v>
      </c>
      <c r="L24" s="4"/>
      <c r="N24" s="5">
        <v>2172.23</v>
      </c>
      <c r="O24" s="5">
        <v>1924.14</v>
      </c>
      <c r="Q24" s="5">
        <v>12045.27</v>
      </c>
      <c r="T24" s="98">
        <f t="shared" si="2"/>
        <v>-248.08999999999992</v>
      </c>
      <c r="U24" s="4">
        <f t="shared" si="5"/>
        <v>-0.11420982124360679</v>
      </c>
      <c r="AB24" s="17">
        <v>14353.42</v>
      </c>
      <c r="AC24" s="17">
        <v>12346.94</v>
      </c>
      <c r="AD24" s="4">
        <f t="shared" si="4"/>
        <v>-0.13979107418301695</v>
      </c>
    </row>
    <row r="25" spans="1:30" ht="13.9" customHeight="1">
      <c r="A25" s="123" t="s">
        <v>1292</v>
      </c>
      <c r="B25" s="26" t="s">
        <v>1293</v>
      </c>
      <c r="C25">
        <v>186</v>
      </c>
      <c r="E25" s="26" t="s">
        <v>1293</v>
      </c>
      <c r="F25">
        <v>62</v>
      </c>
      <c r="G25" t="b">
        <f t="shared" si="0"/>
        <v>1</v>
      </c>
      <c r="J25">
        <f t="shared" si="3"/>
        <v>-124</v>
      </c>
      <c r="K25" s="4">
        <f t="shared" si="1"/>
        <v>-0.66666666666666674</v>
      </c>
      <c r="L25" s="4"/>
      <c r="N25" s="5">
        <v>1375.82</v>
      </c>
      <c r="O25" s="5">
        <v>486.51</v>
      </c>
      <c r="Q25" s="5">
        <v>1908.56</v>
      </c>
      <c r="T25" s="98">
        <f t="shared" si="2"/>
        <v>-889.31</v>
      </c>
      <c r="U25" s="4">
        <f t="shared" si="5"/>
        <v>-0.64638542832637991</v>
      </c>
      <c r="AB25" s="17">
        <v>3881.33</v>
      </c>
      <c r="AC25" s="17">
        <v>1673.11</v>
      </c>
      <c r="AD25" s="4">
        <f t="shared" si="4"/>
        <v>-0.5689338448418455</v>
      </c>
    </row>
    <row r="26" spans="1:30">
      <c r="A26" s="26" t="s">
        <v>1294</v>
      </c>
      <c r="B26" s="26" t="s">
        <v>1295</v>
      </c>
      <c r="C26">
        <v>0</v>
      </c>
      <c r="E26" s="26" t="s">
        <v>1295</v>
      </c>
      <c r="F26">
        <v>0</v>
      </c>
      <c r="G26" t="b">
        <f t="shared" si="0"/>
        <v>1</v>
      </c>
      <c r="J26">
        <f t="shared" si="3"/>
        <v>0</v>
      </c>
      <c r="K26" s="4" t="e">
        <f t="shared" si="1"/>
        <v>#DIV/0!</v>
      </c>
      <c r="L26" s="4"/>
      <c r="N26" s="5">
        <v>0</v>
      </c>
      <c r="O26" s="5">
        <v>0</v>
      </c>
      <c r="Q26" s="5">
        <v>0</v>
      </c>
      <c r="T26" s="98">
        <f t="shared" si="2"/>
        <v>0</v>
      </c>
      <c r="U26" s="4">
        <f t="shared" si="5"/>
        <v>0</v>
      </c>
      <c r="AB26" s="17">
        <v>0</v>
      </c>
      <c r="AC26" s="17">
        <v>0</v>
      </c>
      <c r="AD26" s="4" t="e">
        <f t="shared" si="4"/>
        <v>#DIV/0!</v>
      </c>
    </row>
    <row r="27" spans="1:30">
      <c r="A27" t="s">
        <v>1296</v>
      </c>
      <c r="B27" t="s">
        <v>1297</v>
      </c>
      <c r="C27">
        <v>15</v>
      </c>
      <c r="E27" t="s">
        <v>1297</v>
      </c>
      <c r="F27">
        <v>21</v>
      </c>
      <c r="G27" t="b">
        <f t="shared" si="0"/>
        <v>1</v>
      </c>
      <c r="J27">
        <f t="shared" si="3"/>
        <v>6</v>
      </c>
      <c r="K27" s="4">
        <f t="shared" si="1"/>
        <v>0.39999999999999991</v>
      </c>
      <c r="L27" s="4"/>
      <c r="N27" s="5">
        <v>15.57</v>
      </c>
      <c r="O27" s="5">
        <v>8.74</v>
      </c>
      <c r="Q27" s="5">
        <v>0</v>
      </c>
      <c r="T27" s="98">
        <f t="shared" si="2"/>
        <v>-6.83</v>
      </c>
      <c r="U27" s="4">
        <f t="shared" si="5"/>
        <v>-0.43866409762363523</v>
      </c>
      <c r="AB27" s="17">
        <v>584.25</v>
      </c>
      <c r="AC27" s="17">
        <v>817.95</v>
      </c>
      <c r="AD27" s="4">
        <f t="shared" si="4"/>
        <v>0.40000000000000013</v>
      </c>
    </row>
    <row r="28" spans="1:30">
      <c r="A28" t="s">
        <v>1298</v>
      </c>
      <c r="B28" t="s">
        <v>1299</v>
      </c>
      <c r="C28">
        <v>496</v>
      </c>
      <c r="E28" t="s">
        <v>1299</v>
      </c>
      <c r="F28">
        <v>376</v>
      </c>
      <c r="G28" t="b">
        <f t="shared" si="0"/>
        <v>1</v>
      </c>
      <c r="J28">
        <f t="shared" si="3"/>
        <v>-120</v>
      </c>
      <c r="K28" s="4">
        <f t="shared" si="1"/>
        <v>-0.24193548387096775</v>
      </c>
      <c r="L28" s="4"/>
      <c r="N28" s="5">
        <v>265.25</v>
      </c>
      <c r="O28" s="5">
        <v>85.15</v>
      </c>
      <c r="Q28" s="5">
        <v>490.1</v>
      </c>
      <c r="T28" s="98">
        <f t="shared" si="2"/>
        <v>-180.1</v>
      </c>
      <c r="U28" s="4">
        <f t="shared" si="5"/>
        <v>-0.67898209236569274</v>
      </c>
      <c r="AB28" s="17">
        <v>9563.5</v>
      </c>
      <c r="AC28" s="17">
        <v>7787.99</v>
      </c>
      <c r="AD28" s="4">
        <f t="shared" si="4"/>
        <v>-0.18565483348146605</v>
      </c>
    </row>
    <row r="29" spans="1:30">
      <c r="A29" s="38" t="s">
        <v>1300</v>
      </c>
      <c r="B29" s="26" t="s">
        <v>1301</v>
      </c>
      <c r="C29">
        <v>235</v>
      </c>
      <c r="E29" s="26" t="s">
        <v>1301</v>
      </c>
      <c r="F29">
        <v>69</v>
      </c>
      <c r="G29" t="b">
        <f t="shared" si="0"/>
        <v>1</v>
      </c>
      <c r="J29">
        <f t="shared" si="3"/>
        <v>-166</v>
      </c>
      <c r="K29" s="4">
        <f t="shared" si="1"/>
        <v>-0.70638297872340428</v>
      </c>
      <c r="L29" s="4"/>
      <c r="N29" s="5">
        <v>813.88</v>
      </c>
      <c r="O29" s="5">
        <v>445.97</v>
      </c>
      <c r="Q29" s="5">
        <v>1341.95</v>
      </c>
      <c r="T29" s="98">
        <f t="shared" si="2"/>
        <v>-367.90999999999997</v>
      </c>
      <c r="U29" s="4">
        <f t="shared" si="5"/>
        <v>-0.45204452744876389</v>
      </c>
      <c r="AB29" s="17">
        <v>3797.65</v>
      </c>
      <c r="AC29" s="17">
        <v>1379.31</v>
      </c>
      <c r="AD29" s="4">
        <f t="shared" si="4"/>
        <v>-0.63679907311100292</v>
      </c>
    </row>
    <row r="30" spans="1:30">
      <c r="A30" t="s">
        <v>1302</v>
      </c>
      <c r="B30" t="s">
        <v>1303</v>
      </c>
      <c r="C30">
        <v>205</v>
      </c>
      <c r="E30" t="s">
        <v>1303</v>
      </c>
      <c r="F30">
        <v>150</v>
      </c>
      <c r="G30" t="b">
        <f t="shared" si="0"/>
        <v>1</v>
      </c>
      <c r="J30">
        <f t="shared" si="3"/>
        <v>-55</v>
      </c>
      <c r="K30" s="4">
        <f t="shared" si="1"/>
        <v>-0.26829268292682928</v>
      </c>
      <c r="L30" s="4"/>
      <c r="N30" s="5">
        <v>1214.49</v>
      </c>
      <c r="O30" s="5">
        <v>979.4</v>
      </c>
      <c r="Q30" s="5">
        <v>3965.77</v>
      </c>
      <c r="T30" s="98">
        <f t="shared" si="2"/>
        <v>-235.09000000000003</v>
      </c>
      <c r="U30" s="4">
        <f t="shared" si="5"/>
        <v>-0.19357096394371298</v>
      </c>
      <c r="AB30" s="17">
        <v>4235.55</v>
      </c>
      <c r="AC30" s="17">
        <v>2997.7</v>
      </c>
      <c r="AD30" s="4">
        <f t="shared" si="4"/>
        <v>-0.29225248196810338</v>
      </c>
    </row>
    <row r="31" spans="1:30">
      <c r="A31" t="s">
        <v>1304</v>
      </c>
      <c r="B31" t="s">
        <v>1305</v>
      </c>
      <c r="C31">
        <v>225</v>
      </c>
      <c r="E31" t="s">
        <v>1305</v>
      </c>
      <c r="F31">
        <v>282</v>
      </c>
      <c r="G31" t="b">
        <f t="shared" si="0"/>
        <v>1</v>
      </c>
      <c r="J31">
        <f t="shared" si="3"/>
        <v>57</v>
      </c>
      <c r="K31" s="4">
        <f t="shared" si="1"/>
        <v>0.25333333333333341</v>
      </c>
      <c r="L31" s="4"/>
      <c r="N31" s="5">
        <v>197.77</v>
      </c>
      <c r="O31" s="5">
        <v>213.93</v>
      </c>
      <c r="Q31" s="5">
        <v>2680.63</v>
      </c>
      <c r="T31" s="98">
        <f t="shared" si="2"/>
        <v>16.159999999999997</v>
      </c>
      <c r="U31" s="4">
        <f t="shared" si="5"/>
        <v>8.1711078525559921E-2</v>
      </c>
      <c r="AB31" s="17">
        <v>6745.05</v>
      </c>
      <c r="AC31" s="17">
        <v>8416.44</v>
      </c>
      <c r="AD31" s="4">
        <f t="shared" si="4"/>
        <v>0.24779504970311561</v>
      </c>
    </row>
    <row r="32" spans="1:30">
      <c r="A32" t="s">
        <v>1306</v>
      </c>
      <c r="B32" t="s">
        <v>1307</v>
      </c>
      <c r="C32">
        <v>1142</v>
      </c>
      <c r="E32" t="s">
        <v>1307</v>
      </c>
      <c r="F32">
        <v>1057</v>
      </c>
      <c r="G32" t="b">
        <f t="shared" si="0"/>
        <v>1</v>
      </c>
      <c r="J32">
        <f t="shared" si="3"/>
        <v>-85</v>
      </c>
      <c r="K32" s="4">
        <f t="shared" si="1"/>
        <v>-7.4430823117337952E-2</v>
      </c>
      <c r="L32" s="4"/>
      <c r="N32" s="5">
        <v>1763.28</v>
      </c>
      <c r="O32" s="5">
        <v>1636.76</v>
      </c>
      <c r="Q32" s="5">
        <v>11653.78</v>
      </c>
      <c r="T32" s="98">
        <f t="shared" si="2"/>
        <v>-126.51999999999998</v>
      </c>
      <c r="U32" s="4">
        <f t="shared" si="5"/>
        <v>-7.1752642802050737E-2</v>
      </c>
      <c r="X32" s="5"/>
      <c r="Y32" s="5"/>
      <c r="Z32" s="5"/>
      <c r="AA32" s="16"/>
      <c r="AB32" s="17">
        <v>28324.639999999999</v>
      </c>
      <c r="AC32" s="17">
        <v>27011.57</v>
      </c>
      <c r="AD32" s="4">
        <f t="shared" si="4"/>
        <v>-4.6357870744341279E-2</v>
      </c>
    </row>
    <row r="33" spans="1:30">
      <c r="A33" t="s">
        <v>1308</v>
      </c>
      <c r="B33" t="s">
        <v>1309</v>
      </c>
      <c r="C33">
        <v>569</v>
      </c>
      <c r="E33" t="s">
        <v>1309</v>
      </c>
      <c r="F33">
        <v>395</v>
      </c>
      <c r="G33" t="b">
        <f t="shared" si="0"/>
        <v>1</v>
      </c>
      <c r="J33">
        <f t="shared" si="3"/>
        <v>-174</v>
      </c>
      <c r="K33" s="4">
        <f t="shared" si="1"/>
        <v>-0.30579964850615116</v>
      </c>
      <c r="L33" s="4"/>
      <c r="N33" s="5">
        <v>921.25</v>
      </c>
      <c r="O33" s="5">
        <v>459.72</v>
      </c>
      <c r="Q33" s="5">
        <v>1583</v>
      </c>
      <c r="T33" s="98">
        <f t="shared" si="2"/>
        <v>-461.53</v>
      </c>
      <c r="U33" s="4">
        <f t="shared" si="5"/>
        <v>-0.50098236092265935</v>
      </c>
      <c r="AB33" s="17">
        <v>8525.11</v>
      </c>
      <c r="AC33" s="17">
        <v>6710.54</v>
      </c>
      <c r="AD33" s="4">
        <f t="shared" si="4"/>
        <v>-0.2128500394716315</v>
      </c>
    </row>
    <row r="34" spans="1:30">
      <c r="A34" s="26" t="s">
        <v>1310</v>
      </c>
      <c r="B34" s="26" t="s">
        <v>1311</v>
      </c>
      <c r="C34">
        <v>216</v>
      </c>
      <c r="E34" s="26" t="s">
        <v>1311</v>
      </c>
      <c r="F34">
        <v>253</v>
      </c>
      <c r="G34" t="b">
        <f t="shared" si="0"/>
        <v>1</v>
      </c>
      <c r="J34">
        <f t="shared" si="3"/>
        <v>37</v>
      </c>
      <c r="K34" s="4">
        <f t="shared" si="1"/>
        <v>0.17129629629629628</v>
      </c>
      <c r="L34" s="4"/>
      <c r="N34" s="5">
        <v>0</v>
      </c>
      <c r="O34" s="5">
        <v>0</v>
      </c>
      <c r="Q34" s="5">
        <v>0</v>
      </c>
      <c r="T34" s="98">
        <f t="shared" si="2"/>
        <v>0</v>
      </c>
      <c r="U34" s="4">
        <f t="shared" si="5"/>
        <v>0</v>
      </c>
      <c r="AB34" s="17">
        <v>5828.76</v>
      </c>
      <c r="AC34" s="17">
        <v>6821.5</v>
      </c>
      <c r="AD34" s="4">
        <f t="shared" si="4"/>
        <v>0.17031752894269103</v>
      </c>
    </row>
    <row r="35" spans="1:30">
      <c r="A35" t="s">
        <v>1312</v>
      </c>
      <c r="B35" t="s">
        <v>1313</v>
      </c>
      <c r="C35">
        <v>311</v>
      </c>
      <c r="E35" t="s">
        <v>1313</v>
      </c>
      <c r="F35">
        <v>293</v>
      </c>
      <c r="G35" t="b">
        <f t="shared" ref="G35:G66" si="6">IF(B35=E35,TRUE,FALSE)</f>
        <v>1</v>
      </c>
      <c r="J35">
        <f t="shared" ref="J35:J66" si="7">F35-C35</f>
        <v>-18</v>
      </c>
      <c r="K35" s="4">
        <f t="shared" ref="K35:K66" si="8">F35/C35-1</f>
        <v>-5.7877813504823128E-2</v>
      </c>
      <c r="L35" s="4"/>
      <c r="N35" s="5">
        <v>91.62</v>
      </c>
      <c r="O35" s="5">
        <v>69.22</v>
      </c>
      <c r="Q35" s="5">
        <v>744.02</v>
      </c>
      <c r="T35" s="98">
        <f t="shared" si="2"/>
        <v>-22.400000000000006</v>
      </c>
      <c r="U35" s="4">
        <f t="shared" si="5"/>
        <v>-0.24448810303427204</v>
      </c>
      <c r="AB35" s="17">
        <v>12069.82</v>
      </c>
      <c r="AC35" s="17">
        <v>11369.92</v>
      </c>
      <c r="AD35" s="4">
        <f t="shared" si="4"/>
        <v>-5.7987608763013787E-2</v>
      </c>
    </row>
    <row r="36" spans="1:30">
      <c r="A36" s="38" t="s">
        <v>1314</v>
      </c>
      <c r="B36" s="26" t="s">
        <v>1315</v>
      </c>
      <c r="C36" s="18">
        <v>106</v>
      </c>
      <c r="E36" s="26" t="s">
        <v>1315</v>
      </c>
      <c r="F36" s="18">
        <v>40</v>
      </c>
      <c r="G36" t="b">
        <f t="shared" si="6"/>
        <v>1</v>
      </c>
      <c r="J36">
        <f t="shared" si="7"/>
        <v>-66</v>
      </c>
      <c r="K36" s="4">
        <f t="shared" si="8"/>
        <v>-0.62264150943396224</v>
      </c>
      <c r="L36" s="4"/>
      <c r="N36" s="5">
        <v>1178.83</v>
      </c>
      <c r="O36" s="5">
        <v>472.62</v>
      </c>
      <c r="Q36" s="5">
        <v>674.67</v>
      </c>
      <c r="T36" s="98">
        <f t="shared" si="2"/>
        <v>-706.20999999999992</v>
      </c>
      <c r="U36" s="4">
        <f t="shared" si="5"/>
        <v>-0.59907705097427111</v>
      </c>
      <c r="AB36" s="17">
        <v>1686.94</v>
      </c>
      <c r="AC36" s="17">
        <v>684.61</v>
      </c>
      <c r="AD36" s="4">
        <f t="shared" si="4"/>
        <v>-0.5941705099173652</v>
      </c>
    </row>
    <row r="37" spans="1:30">
      <c r="A37" t="s">
        <v>1316</v>
      </c>
      <c r="B37" t="s">
        <v>1317</v>
      </c>
      <c r="C37">
        <v>889</v>
      </c>
      <c r="E37" t="s">
        <v>1317</v>
      </c>
      <c r="F37">
        <v>715</v>
      </c>
      <c r="G37" t="b">
        <f t="shared" si="6"/>
        <v>1</v>
      </c>
      <c r="J37">
        <f t="shared" si="7"/>
        <v>-174</v>
      </c>
      <c r="K37" s="4">
        <f t="shared" si="8"/>
        <v>-0.19572553430821149</v>
      </c>
      <c r="L37" s="4"/>
      <c r="N37" s="5">
        <v>722.47</v>
      </c>
      <c r="O37" s="5">
        <v>413.8</v>
      </c>
      <c r="Q37" s="5">
        <v>2970.8</v>
      </c>
      <c r="T37" s="98">
        <f t="shared" si="2"/>
        <v>-308.67</v>
      </c>
      <c r="U37" s="4">
        <f t="shared" si="5"/>
        <v>-0.427242653674201</v>
      </c>
      <c r="AB37" s="17">
        <v>23053.75</v>
      </c>
      <c r="AC37" s="17">
        <v>20666.55</v>
      </c>
      <c r="AD37" s="4">
        <f t="shared" ref="AD37:AD68" si="9">AC37/AB37-1</f>
        <v>-0.10354931410291168</v>
      </c>
    </row>
    <row r="38" spans="1:30">
      <c r="A38" s="38" t="s">
        <v>1318</v>
      </c>
      <c r="B38" s="35" t="s">
        <v>1319</v>
      </c>
      <c r="C38">
        <v>1462</v>
      </c>
      <c r="E38" s="35" t="s">
        <v>1319</v>
      </c>
      <c r="F38">
        <v>1406</v>
      </c>
      <c r="G38" t="b">
        <f t="shared" si="6"/>
        <v>1</v>
      </c>
      <c r="J38">
        <f t="shared" si="7"/>
        <v>-56</v>
      </c>
      <c r="K38" s="4">
        <f t="shared" si="8"/>
        <v>-3.8303693570451491E-2</v>
      </c>
      <c r="L38" s="4"/>
      <c r="N38" s="5">
        <v>1331.83</v>
      </c>
      <c r="O38" s="5">
        <v>948.87</v>
      </c>
      <c r="Q38" s="5">
        <v>4449.8100000000004</v>
      </c>
      <c r="T38" s="98">
        <f t="shared" si="2"/>
        <v>-382.95999999999992</v>
      </c>
      <c r="U38" s="4">
        <f>IF(N39=0,0,O38/N39-1)</f>
        <v>0.58092302565811393</v>
      </c>
      <c r="AB38" s="17">
        <v>19892.52</v>
      </c>
      <c r="AC38" s="17">
        <v>22459.15</v>
      </c>
      <c r="AD38" s="4">
        <f t="shared" si="9"/>
        <v>0.12902487970352672</v>
      </c>
    </row>
    <row r="39" spans="1:30">
      <c r="A39" t="s">
        <v>1320</v>
      </c>
      <c r="B39" t="s">
        <v>1321</v>
      </c>
      <c r="C39">
        <v>741</v>
      </c>
      <c r="E39" t="s">
        <v>1321</v>
      </c>
      <c r="F39">
        <v>627</v>
      </c>
      <c r="G39" t="b">
        <f t="shared" si="6"/>
        <v>1</v>
      </c>
      <c r="J39">
        <f t="shared" si="7"/>
        <v>-114</v>
      </c>
      <c r="K39" s="4">
        <f t="shared" si="8"/>
        <v>-0.15384615384615385</v>
      </c>
      <c r="L39" s="4"/>
      <c r="N39" s="5">
        <v>600.20000000000005</v>
      </c>
      <c r="O39" s="5">
        <v>465.59</v>
      </c>
      <c r="Q39" s="5">
        <v>2417.36</v>
      </c>
      <c r="T39" s="98">
        <f t="shared" si="2"/>
        <v>-134.61000000000007</v>
      </c>
      <c r="U39" s="4">
        <f>IF(N39=0,0,O39/N39-1)</f>
        <v>-0.2242752415861381</v>
      </c>
      <c r="X39" t="s">
        <v>1322</v>
      </c>
      <c r="AB39" s="17">
        <v>12853.77</v>
      </c>
      <c r="AC39" s="17">
        <v>11672.88</v>
      </c>
      <c r="AD39" s="4">
        <f t="shared" si="9"/>
        <v>-9.1871100852123688E-2</v>
      </c>
    </row>
    <row r="40" spans="1:30">
      <c r="A40" s="39" t="s">
        <v>1323</v>
      </c>
      <c r="B40" s="35" t="s">
        <v>1324</v>
      </c>
      <c r="C40">
        <v>2668</v>
      </c>
      <c r="E40" s="35" t="s">
        <v>1324</v>
      </c>
      <c r="F40">
        <v>1814</v>
      </c>
      <c r="G40" t="b">
        <f t="shared" si="6"/>
        <v>1</v>
      </c>
      <c r="J40">
        <f t="shared" si="7"/>
        <v>-854</v>
      </c>
      <c r="K40" s="4">
        <f t="shared" si="8"/>
        <v>-0.32008995502248871</v>
      </c>
      <c r="L40" s="4"/>
      <c r="N40" s="5">
        <v>3349.99</v>
      </c>
      <c r="O40" s="5">
        <v>2060.67</v>
      </c>
      <c r="Q40" s="5">
        <v>10673.39</v>
      </c>
      <c r="T40" s="98">
        <f t="shared" si="2"/>
        <v>-1289.3199999999997</v>
      </c>
      <c r="U40" s="4">
        <f>IF(N41=0,0,O40/N41-1)</f>
        <v>1.2122061191626408</v>
      </c>
      <c r="AB40" s="17">
        <v>47302.76</v>
      </c>
      <c r="AC40" s="17">
        <v>36258.06</v>
      </c>
      <c r="AD40" s="4">
        <f t="shared" si="9"/>
        <v>-0.23348954691015922</v>
      </c>
    </row>
    <row r="41" spans="1:30">
      <c r="A41" s="38" t="s">
        <v>1325</v>
      </c>
      <c r="B41" s="35" t="s">
        <v>1326</v>
      </c>
      <c r="C41">
        <v>280</v>
      </c>
      <c r="E41" s="35" t="s">
        <v>1326</v>
      </c>
      <c r="F41">
        <v>501</v>
      </c>
      <c r="G41" t="b">
        <f t="shared" si="6"/>
        <v>1</v>
      </c>
      <c r="J41">
        <f t="shared" si="7"/>
        <v>221</v>
      </c>
      <c r="K41" s="4">
        <f t="shared" si="8"/>
        <v>0.78928571428571437</v>
      </c>
      <c r="L41" s="4"/>
      <c r="N41" s="5">
        <v>931.5</v>
      </c>
      <c r="O41" s="5">
        <v>897.73</v>
      </c>
      <c r="Q41" s="5">
        <v>4916.1899999999996</v>
      </c>
      <c r="T41" s="98">
        <f t="shared" si="2"/>
        <v>-33.769999999999982</v>
      </c>
      <c r="U41" s="4">
        <f t="shared" ref="U41:U47" si="10">IF(N41=0,0,O41/N41-1)</f>
        <v>-3.625335480407943E-2</v>
      </c>
      <c r="AB41" s="17">
        <v>6995.7</v>
      </c>
      <c r="AC41" s="17">
        <v>11133.99</v>
      </c>
      <c r="AD41" s="4">
        <f t="shared" si="9"/>
        <v>0.59154766499421063</v>
      </c>
    </row>
    <row r="42" spans="1:30">
      <c r="A42" t="s">
        <v>1327</v>
      </c>
      <c r="B42" t="s">
        <v>1328</v>
      </c>
      <c r="C42">
        <v>954</v>
      </c>
      <c r="E42" t="s">
        <v>1328</v>
      </c>
      <c r="F42">
        <v>960</v>
      </c>
      <c r="G42" t="b">
        <f t="shared" si="6"/>
        <v>1</v>
      </c>
      <c r="J42">
        <f t="shared" si="7"/>
        <v>6</v>
      </c>
      <c r="K42" s="4">
        <f t="shared" si="8"/>
        <v>6.2893081761006275E-3</v>
      </c>
      <c r="L42" s="4"/>
      <c r="N42" s="5">
        <v>1969.08</v>
      </c>
      <c r="O42" s="5">
        <v>1689.83</v>
      </c>
      <c r="Q42" s="5">
        <v>6154.96</v>
      </c>
      <c r="T42" s="98">
        <f t="shared" si="2"/>
        <v>-279.25</v>
      </c>
      <c r="U42" s="4">
        <f t="shared" si="10"/>
        <v>-0.14181749852723102</v>
      </c>
      <c r="X42" t="s">
        <v>1329</v>
      </c>
      <c r="AB42" s="17">
        <v>18217.86</v>
      </c>
      <c r="AC42" s="17">
        <v>18259.419999999998</v>
      </c>
      <c r="AD42" s="4">
        <f t="shared" si="9"/>
        <v>2.2812778229714947E-3</v>
      </c>
    </row>
    <row r="43" spans="1:30">
      <c r="A43" t="s">
        <v>1330</v>
      </c>
      <c r="B43" t="s">
        <v>1331</v>
      </c>
      <c r="C43">
        <v>668</v>
      </c>
      <c r="E43" t="s">
        <v>1331</v>
      </c>
      <c r="F43">
        <v>570</v>
      </c>
      <c r="G43" t="b">
        <f t="shared" si="6"/>
        <v>1</v>
      </c>
      <c r="J43">
        <f t="shared" si="7"/>
        <v>-98</v>
      </c>
      <c r="K43" s="4">
        <f t="shared" si="8"/>
        <v>-0.1467065868263473</v>
      </c>
      <c r="L43" s="4"/>
      <c r="N43" s="5">
        <v>445.27</v>
      </c>
      <c r="O43" s="5">
        <v>280.70999999999998</v>
      </c>
      <c r="Q43" s="5">
        <v>975.84</v>
      </c>
      <c r="T43" s="98">
        <f t="shared" si="2"/>
        <v>-164.56</v>
      </c>
      <c r="U43" s="4">
        <f t="shared" si="10"/>
        <v>-0.36957351719181619</v>
      </c>
      <c r="AB43" s="17">
        <v>13348.92</v>
      </c>
      <c r="AC43" s="17">
        <v>11364.58</v>
      </c>
      <c r="AD43" s="4">
        <f t="shared" si="9"/>
        <v>-0.1486517261321515</v>
      </c>
    </row>
    <row r="44" spans="1:30">
      <c r="A44" t="s">
        <v>1332</v>
      </c>
      <c r="B44" t="s">
        <v>1333</v>
      </c>
      <c r="C44">
        <v>1164</v>
      </c>
      <c r="E44" t="s">
        <v>1333</v>
      </c>
      <c r="F44">
        <v>797</v>
      </c>
      <c r="G44" t="b">
        <f t="shared" si="6"/>
        <v>1</v>
      </c>
      <c r="J44">
        <f t="shared" si="7"/>
        <v>-367</v>
      </c>
      <c r="K44" s="4">
        <f t="shared" si="8"/>
        <v>-0.31529209621993126</v>
      </c>
      <c r="N44" s="5">
        <v>1814.98</v>
      </c>
      <c r="O44" s="5">
        <v>880.02</v>
      </c>
      <c r="Q44" s="5">
        <v>4743.07</v>
      </c>
      <c r="T44" s="98">
        <f t="shared" si="2"/>
        <v>-934.96</v>
      </c>
      <c r="U44" s="4">
        <f t="shared" si="10"/>
        <v>-0.51513515300444079</v>
      </c>
      <c r="X44" s="5"/>
      <c r="Y44" s="5"/>
      <c r="Z44" s="5"/>
      <c r="AA44" s="16"/>
      <c r="AB44" s="17">
        <v>43399.16</v>
      </c>
      <c r="AC44" s="17">
        <v>31727.37</v>
      </c>
      <c r="AD44" s="4">
        <f t="shared" si="9"/>
        <v>-0.26894045875542305</v>
      </c>
    </row>
    <row r="45" spans="1:30">
      <c r="A45" t="s">
        <v>1334</v>
      </c>
      <c r="B45" t="s">
        <v>1335</v>
      </c>
      <c r="C45">
        <v>907</v>
      </c>
      <c r="E45" t="s">
        <v>1335</v>
      </c>
      <c r="F45">
        <v>523</v>
      </c>
      <c r="G45" t="b">
        <f t="shared" si="6"/>
        <v>1</v>
      </c>
      <c r="J45">
        <f t="shared" si="7"/>
        <v>-384</v>
      </c>
      <c r="K45" s="4">
        <f t="shared" si="8"/>
        <v>-0.42337375964718849</v>
      </c>
      <c r="L45" s="4"/>
      <c r="N45" s="5">
        <v>2045.56</v>
      </c>
      <c r="O45" s="5">
        <v>1522.35</v>
      </c>
      <c r="Q45" s="5">
        <v>4569.0600000000004</v>
      </c>
      <c r="T45" s="98">
        <f t="shared" si="2"/>
        <v>-523.21</v>
      </c>
      <c r="U45" s="4">
        <f t="shared" si="10"/>
        <v>-0.25577836875965509</v>
      </c>
      <c r="AB45" s="17">
        <v>17625.47</v>
      </c>
      <c r="AC45" s="17">
        <v>11500.11</v>
      </c>
      <c r="AD45" s="4">
        <f t="shared" si="9"/>
        <v>-0.34752888859133968</v>
      </c>
    </row>
    <row r="46" spans="1:30">
      <c r="A46" s="38" t="s">
        <v>1336</v>
      </c>
      <c r="B46" s="35" t="s">
        <v>1337</v>
      </c>
      <c r="C46">
        <v>2301</v>
      </c>
      <c r="E46" s="35" t="s">
        <v>1337</v>
      </c>
      <c r="F46">
        <v>1505</v>
      </c>
      <c r="G46" t="b">
        <f t="shared" si="6"/>
        <v>1</v>
      </c>
      <c r="J46">
        <f t="shared" si="7"/>
        <v>-796</v>
      </c>
      <c r="K46" s="4">
        <f t="shared" si="8"/>
        <v>-0.34593654932637985</v>
      </c>
      <c r="L46" s="4"/>
      <c r="N46" s="5">
        <v>3208.44</v>
      </c>
      <c r="O46" s="5">
        <v>1478.57</v>
      </c>
      <c r="Q46" s="5">
        <v>5297.71</v>
      </c>
      <c r="T46" s="98">
        <f t="shared" si="2"/>
        <v>-1729.8700000000001</v>
      </c>
      <c r="U46" s="4">
        <f t="shared" si="10"/>
        <v>-0.53916233434316996</v>
      </c>
      <c r="AB46" s="17">
        <v>40023.21</v>
      </c>
      <c r="AC46" s="17">
        <v>30041.39</v>
      </c>
      <c r="AD46" s="4">
        <f t="shared" si="9"/>
        <v>-0.24940078519439091</v>
      </c>
    </row>
    <row r="47" spans="1:30">
      <c r="A47" t="s">
        <v>1338</v>
      </c>
      <c r="B47" t="s">
        <v>1339</v>
      </c>
      <c r="C47">
        <v>207</v>
      </c>
      <c r="E47" t="s">
        <v>1339</v>
      </c>
      <c r="F47">
        <v>94</v>
      </c>
      <c r="G47" t="b">
        <f t="shared" si="6"/>
        <v>1</v>
      </c>
      <c r="J47">
        <f t="shared" si="7"/>
        <v>-113</v>
      </c>
      <c r="K47" s="4">
        <f t="shared" si="8"/>
        <v>-0.54589371980676327</v>
      </c>
      <c r="L47" s="4"/>
      <c r="N47" s="5">
        <v>611.30999999999995</v>
      </c>
      <c r="O47" s="5">
        <v>151.13999999999999</v>
      </c>
      <c r="Q47" s="5">
        <v>980.92</v>
      </c>
      <c r="T47" s="98">
        <f t="shared" si="2"/>
        <v>-460.16999999999996</v>
      </c>
      <c r="U47" s="4">
        <f t="shared" si="10"/>
        <v>-0.75276046523040685</v>
      </c>
      <c r="AB47" s="17">
        <v>3261.53</v>
      </c>
      <c r="AC47" s="17">
        <v>1698.28</v>
      </c>
      <c r="AD47" s="4">
        <f t="shared" si="9"/>
        <v>-0.47929959252252785</v>
      </c>
    </row>
    <row r="48" spans="1:30">
      <c r="A48" s="38" t="s">
        <v>1340</v>
      </c>
      <c r="B48" s="35" t="s">
        <v>1341</v>
      </c>
      <c r="C48">
        <v>789</v>
      </c>
      <c r="D48" s="5"/>
      <c r="E48" s="35" t="s">
        <v>1341</v>
      </c>
      <c r="F48">
        <v>451</v>
      </c>
      <c r="G48" t="b">
        <f t="shared" si="6"/>
        <v>1</v>
      </c>
      <c r="H48" s="5"/>
      <c r="I48" s="5"/>
      <c r="J48">
        <f t="shared" si="7"/>
        <v>-338</v>
      </c>
      <c r="K48" s="4">
        <f t="shared" si="8"/>
        <v>-0.42839036755386561</v>
      </c>
      <c r="L48" s="5"/>
      <c r="M48" s="5"/>
      <c r="N48" s="5">
        <v>1977.39</v>
      </c>
      <c r="O48" s="5">
        <v>970.38</v>
      </c>
      <c r="Q48" s="5">
        <v>3150.68</v>
      </c>
      <c r="T48" s="98">
        <f>O48-N49</f>
        <v>-73.750000000000114</v>
      </c>
      <c r="U48" s="4">
        <f>IF(N49=0,0,O48/N49-1)</f>
        <v>-7.0632967159261928E-2</v>
      </c>
      <c r="X48" s="5"/>
      <c r="Y48" s="5"/>
      <c r="Z48" s="5"/>
      <c r="AA48" s="16"/>
      <c r="AB48" s="17">
        <v>15267.62</v>
      </c>
      <c r="AC48" s="17">
        <v>9861.24</v>
      </c>
      <c r="AD48" s="4">
        <f t="shared" si="9"/>
        <v>-0.35410758192829006</v>
      </c>
    </row>
    <row r="49" spans="1:30">
      <c r="A49" t="s">
        <v>1342</v>
      </c>
      <c r="B49" t="s">
        <v>1343</v>
      </c>
      <c r="C49">
        <v>260</v>
      </c>
      <c r="E49" t="s">
        <v>1343</v>
      </c>
      <c r="F49">
        <v>728</v>
      </c>
      <c r="G49" t="b">
        <f t="shared" si="6"/>
        <v>1</v>
      </c>
      <c r="J49">
        <f t="shared" si="7"/>
        <v>468</v>
      </c>
      <c r="K49" s="4">
        <f t="shared" si="8"/>
        <v>1.7999999999999998</v>
      </c>
      <c r="L49" s="4"/>
      <c r="N49" s="5">
        <v>1044.1300000000001</v>
      </c>
      <c r="O49" s="5">
        <v>1008.18</v>
      </c>
      <c r="Q49" s="5">
        <v>3182.97</v>
      </c>
      <c r="T49" s="98">
        <f t="shared" ref="T49:T75" si="11">O49-N49</f>
        <v>-35.950000000000159</v>
      </c>
      <c r="U49" s="4">
        <f t="shared" ref="U49:U61" si="12">IF(N49=0,0,O49/N49-1)</f>
        <v>-3.4430578567802961E-2</v>
      </c>
      <c r="AB49" s="17">
        <v>4970.8</v>
      </c>
      <c r="AC49" s="17">
        <v>10168.629999999999</v>
      </c>
      <c r="AD49" s="4">
        <f t="shared" si="9"/>
        <v>1.0456727287358167</v>
      </c>
    </row>
    <row r="50" spans="1:30">
      <c r="A50" s="26" t="s">
        <v>1344</v>
      </c>
      <c r="B50" t="s">
        <v>1345</v>
      </c>
      <c r="C50">
        <v>442</v>
      </c>
      <c r="E50" t="s">
        <v>1345</v>
      </c>
      <c r="F50">
        <v>307</v>
      </c>
      <c r="G50" t="b">
        <f t="shared" si="6"/>
        <v>1</v>
      </c>
      <c r="J50">
        <f t="shared" si="7"/>
        <v>-135</v>
      </c>
      <c r="K50" s="4">
        <f t="shared" si="8"/>
        <v>-0.30542986425339369</v>
      </c>
      <c r="L50" s="4"/>
      <c r="N50" s="5">
        <v>1977.58</v>
      </c>
      <c r="O50" s="5">
        <v>1215.32</v>
      </c>
      <c r="Q50" s="5">
        <v>6225.63</v>
      </c>
      <c r="T50" s="98">
        <f t="shared" si="11"/>
        <v>-762.26</v>
      </c>
      <c r="U50" s="4">
        <f t="shared" si="12"/>
        <v>-0.38545090464102594</v>
      </c>
      <c r="AB50" s="17">
        <v>11882.79</v>
      </c>
      <c r="AC50" s="17">
        <v>8272.2999999999993</v>
      </c>
      <c r="AD50" s="4">
        <f t="shared" si="9"/>
        <v>-0.30384194284338961</v>
      </c>
    </row>
    <row r="51" spans="1:30">
      <c r="A51" s="38" t="s">
        <v>1346</v>
      </c>
      <c r="B51" s="35" t="s">
        <v>1347</v>
      </c>
      <c r="C51">
        <v>345</v>
      </c>
      <c r="D51" s="5"/>
      <c r="E51" s="35" t="s">
        <v>1347</v>
      </c>
      <c r="F51">
        <v>306</v>
      </c>
      <c r="G51" t="b">
        <f t="shared" si="6"/>
        <v>1</v>
      </c>
      <c r="H51" s="5"/>
      <c r="I51" s="5"/>
      <c r="J51">
        <f t="shared" si="7"/>
        <v>-39</v>
      </c>
      <c r="K51" s="4">
        <f t="shared" si="8"/>
        <v>-0.11304347826086958</v>
      </c>
      <c r="L51" s="5"/>
      <c r="M51" s="5"/>
      <c r="N51" s="5">
        <v>1627.23</v>
      </c>
      <c r="O51" s="5">
        <v>1035.56</v>
      </c>
      <c r="Q51" s="5">
        <v>3473.09</v>
      </c>
      <c r="T51" s="98">
        <f t="shared" si="11"/>
        <v>-591.67000000000007</v>
      </c>
      <c r="U51" s="4">
        <f t="shared" si="12"/>
        <v>-0.36360563657258049</v>
      </c>
      <c r="X51" s="5"/>
      <c r="Y51" s="5"/>
      <c r="Z51" s="5"/>
      <c r="AA51" s="16"/>
      <c r="AB51" s="17">
        <v>6028.55</v>
      </c>
      <c r="AC51" s="17">
        <v>5665.95</v>
      </c>
      <c r="AD51" s="4">
        <f t="shared" si="9"/>
        <v>-6.0147133224407234E-2</v>
      </c>
    </row>
    <row r="52" spans="1:30" ht="13.9" customHeight="1">
      <c r="A52" t="s">
        <v>1348</v>
      </c>
      <c r="B52" t="s">
        <v>1349</v>
      </c>
      <c r="C52">
        <v>1231</v>
      </c>
      <c r="E52" t="s">
        <v>1349</v>
      </c>
      <c r="F52">
        <v>934</v>
      </c>
      <c r="G52" t="b">
        <f t="shared" si="6"/>
        <v>1</v>
      </c>
      <c r="J52">
        <f t="shared" si="7"/>
        <v>-297</v>
      </c>
      <c r="K52" s="4">
        <f t="shared" si="8"/>
        <v>-0.24126726238830221</v>
      </c>
      <c r="L52" s="4"/>
      <c r="N52" s="5">
        <v>2414.62</v>
      </c>
      <c r="O52" s="5">
        <v>1853.62</v>
      </c>
      <c r="Q52" s="5">
        <v>12852.68</v>
      </c>
      <c r="T52" s="98">
        <f t="shared" si="11"/>
        <v>-561</v>
      </c>
      <c r="U52" s="4">
        <f t="shared" si="12"/>
        <v>-0.2323346944860889</v>
      </c>
      <c r="Y52" t="s">
        <v>1350</v>
      </c>
      <c r="AB52" s="17">
        <v>33129.14</v>
      </c>
      <c r="AC52" s="17">
        <v>25196.59</v>
      </c>
      <c r="AD52" s="4">
        <f t="shared" si="9"/>
        <v>-0.2394432816547607</v>
      </c>
    </row>
    <row r="53" spans="1:30" ht="13.9" customHeight="1">
      <c r="A53" s="38" t="s">
        <v>1351</v>
      </c>
      <c r="B53" s="35" t="s">
        <v>1352</v>
      </c>
      <c r="C53">
        <v>1709</v>
      </c>
      <c r="E53" s="35" t="s">
        <v>1352</v>
      </c>
      <c r="F53">
        <v>1166</v>
      </c>
      <c r="G53" t="b">
        <f t="shared" si="6"/>
        <v>1</v>
      </c>
      <c r="J53">
        <f t="shared" si="7"/>
        <v>-543</v>
      </c>
      <c r="K53" s="4">
        <f t="shared" si="8"/>
        <v>-0.31772966647162082</v>
      </c>
      <c r="L53" s="4"/>
      <c r="N53" s="5">
        <v>2207.88</v>
      </c>
      <c r="O53" s="5">
        <v>1904.01</v>
      </c>
      <c r="Q53" s="5">
        <v>9735.9500000000007</v>
      </c>
      <c r="T53" s="98">
        <f t="shared" si="11"/>
        <v>-303.87000000000012</v>
      </c>
      <c r="U53" s="4">
        <f t="shared" si="12"/>
        <v>-0.13762976248709169</v>
      </c>
      <c r="AB53" s="17">
        <v>32003.73</v>
      </c>
      <c r="AC53" s="17">
        <v>23497.8</v>
      </c>
      <c r="AD53" s="4">
        <f t="shared" si="9"/>
        <v>-0.26577933259654418</v>
      </c>
    </row>
    <row r="54" spans="1:30" ht="13.9" customHeight="1">
      <c r="A54" s="38" t="s">
        <v>1353</v>
      </c>
      <c r="B54" t="s">
        <v>1354</v>
      </c>
      <c r="C54">
        <v>839</v>
      </c>
      <c r="E54" t="s">
        <v>1354</v>
      </c>
      <c r="F54">
        <v>546</v>
      </c>
      <c r="G54" t="b">
        <f t="shared" si="6"/>
        <v>1</v>
      </c>
      <c r="J54">
        <f t="shared" si="7"/>
        <v>-293</v>
      </c>
      <c r="K54" s="4">
        <f t="shared" si="8"/>
        <v>-0.34922526817640043</v>
      </c>
      <c r="L54" s="4"/>
      <c r="N54" s="5">
        <v>1369.18</v>
      </c>
      <c r="O54" s="5">
        <v>809.39</v>
      </c>
      <c r="Q54" s="5">
        <v>3938.86</v>
      </c>
      <c r="T54" s="98">
        <f t="shared" si="11"/>
        <v>-559.79000000000008</v>
      </c>
      <c r="U54" s="4">
        <f t="shared" si="12"/>
        <v>-0.40885055288566885</v>
      </c>
      <c r="AB54" s="17">
        <v>14157.44</v>
      </c>
      <c r="AC54" s="17">
        <v>10356.120000000001</v>
      </c>
      <c r="AD54" s="4">
        <f t="shared" si="9"/>
        <v>-0.26850334523755703</v>
      </c>
    </row>
    <row r="55" spans="1:30" ht="13.9" customHeight="1">
      <c r="A55" t="s">
        <v>1355</v>
      </c>
      <c r="B55" t="s">
        <v>1356</v>
      </c>
      <c r="C55">
        <v>840</v>
      </c>
      <c r="E55" t="s">
        <v>1356</v>
      </c>
      <c r="F55">
        <v>707</v>
      </c>
      <c r="G55" t="b">
        <f t="shared" si="6"/>
        <v>1</v>
      </c>
      <c r="J55">
        <f t="shared" si="7"/>
        <v>-133</v>
      </c>
      <c r="K55" s="4">
        <f t="shared" si="8"/>
        <v>-0.15833333333333333</v>
      </c>
      <c r="L55" s="4"/>
      <c r="N55" s="5">
        <v>858.37</v>
      </c>
      <c r="O55" s="5">
        <v>599.53</v>
      </c>
      <c r="Q55" s="5">
        <v>3305.29</v>
      </c>
      <c r="T55" s="98">
        <f t="shared" si="11"/>
        <v>-258.84000000000003</v>
      </c>
      <c r="U55" s="4">
        <f t="shared" si="12"/>
        <v>-0.30154828337430251</v>
      </c>
      <c r="AB55" s="17">
        <v>14253.08</v>
      </c>
      <c r="AC55" s="17">
        <v>11992.9</v>
      </c>
      <c r="AD55" s="4">
        <f t="shared" si="9"/>
        <v>-0.15857484838364766</v>
      </c>
    </row>
    <row r="56" spans="1:30" ht="13.9" customHeight="1">
      <c r="A56" t="s">
        <v>1357</v>
      </c>
      <c r="B56" t="s">
        <v>1358</v>
      </c>
      <c r="C56">
        <v>5208</v>
      </c>
      <c r="E56" t="s">
        <v>1358</v>
      </c>
      <c r="F56">
        <v>4326</v>
      </c>
      <c r="G56" t="b">
        <f t="shared" si="6"/>
        <v>1</v>
      </c>
      <c r="J56">
        <f t="shared" si="7"/>
        <v>-882</v>
      </c>
      <c r="K56" s="4">
        <f t="shared" si="8"/>
        <v>-0.16935483870967738</v>
      </c>
      <c r="L56" s="4"/>
      <c r="N56" s="5">
        <v>3510.97</v>
      </c>
      <c r="O56" s="5">
        <v>2714.31</v>
      </c>
      <c r="Q56" s="5">
        <v>20546.669999999998</v>
      </c>
      <c r="T56" s="98">
        <f t="shared" si="11"/>
        <v>-796.65999999999985</v>
      </c>
      <c r="U56" s="4">
        <f t="shared" si="12"/>
        <v>-0.22690595476463771</v>
      </c>
      <c r="AB56" s="17">
        <v>156957.9</v>
      </c>
      <c r="AC56" s="17">
        <v>144866.39000000001</v>
      </c>
      <c r="AD56" s="4">
        <f t="shared" si="9"/>
        <v>-7.7036644858270775E-2</v>
      </c>
    </row>
    <row r="57" spans="1:30" ht="13.9" customHeight="1">
      <c r="A57" s="35" t="s">
        <v>1359</v>
      </c>
      <c r="B57" s="35" t="s">
        <v>1360</v>
      </c>
      <c r="C57">
        <v>767</v>
      </c>
      <c r="E57" s="35" t="s">
        <v>1360</v>
      </c>
      <c r="F57">
        <v>652</v>
      </c>
      <c r="G57" t="b">
        <f t="shared" si="6"/>
        <v>1</v>
      </c>
      <c r="J57">
        <f t="shared" si="7"/>
        <v>-115</v>
      </c>
      <c r="K57" s="4">
        <f t="shared" si="8"/>
        <v>-0.14993481095176009</v>
      </c>
      <c r="L57" s="4"/>
      <c r="N57" s="5">
        <v>1336.91</v>
      </c>
      <c r="O57" s="5">
        <v>1107.28</v>
      </c>
      <c r="Q57" s="5">
        <v>5209.88</v>
      </c>
      <c r="T57" s="98">
        <f t="shared" si="11"/>
        <v>-229.63000000000011</v>
      </c>
      <c r="U57" s="4">
        <f t="shared" si="12"/>
        <v>-0.17176174910801778</v>
      </c>
      <c r="AB57" s="17">
        <v>16190.17</v>
      </c>
      <c r="AC57" s="17">
        <v>14992.04</v>
      </c>
      <c r="AD57" s="4">
        <f t="shared" si="9"/>
        <v>-7.4003546596484115E-2</v>
      </c>
    </row>
    <row r="58" spans="1:30" ht="13.9" customHeight="1">
      <c r="A58" s="124" t="s">
        <v>1361</v>
      </c>
      <c r="B58" s="124" t="s">
        <v>1362</v>
      </c>
      <c r="C58">
        <v>409</v>
      </c>
      <c r="E58" s="124" t="s">
        <v>1362</v>
      </c>
      <c r="F58">
        <v>379</v>
      </c>
      <c r="G58" t="b">
        <f t="shared" si="6"/>
        <v>1</v>
      </c>
      <c r="J58">
        <f t="shared" si="7"/>
        <v>-30</v>
      </c>
      <c r="K58" s="4">
        <f t="shared" si="8"/>
        <v>-7.3349633251833746E-2</v>
      </c>
      <c r="L58" s="4"/>
      <c r="N58" s="5">
        <v>173.52</v>
      </c>
      <c r="O58" s="5">
        <v>120.93</v>
      </c>
      <c r="Q58" s="5">
        <v>1468.54</v>
      </c>
      <c r="T58" s="98">
        <f t="shared" si="11"/>
        <v>-52.59</v>
      </c>
      <c r="U58" s="4">
        <f t="shared" si="12"/>
        <v>-0.30307745504840944</v>
      </c>
      <c r="AB58" s="17">
        <v>15939.5</v>
      </c>
      <c r="AC58" s="17">
        <v>14744.98</v>
      </c>
      <c r="AD58" s="4">
        <f t="shared" si="9"/>
        <v>-7.494087016531259E-2</v>
      </c>
    </row>
    <row r="59" spans="1:30" ht="13.9" customHeight="1">
      <c r="A59" t="s">
        <v>1363</v>
      </c>
      <c r="B59" t="s">
        <v>1364</v>
      </c>
      <c r="C59">
        <v>3180</v>
      </c>
      <c r="E59" t="s">
        <v>1364</v>
      </c>
      <c r="F59">
        <v>2434</v>
      </c>
      <c r="G59" t="b">
        <f t="shared" si="6"/>
        <v>1</v>
      </c>
      <c r="J59">
        <f t="shared" si="7"/>
        <v>-746</v>
      </c>
      <c r="K59" s="4">
        <f t="shared" si="8"/>
        <v>-0.23459119496855341</v>
      </c>
      <c r="L59" s="6"/>
      <c r="N59" s="5">
        <v>4700.3900000000003</v>
      </c>
      <c r="O59" s="5">
        <v>4626.43</v>
      </c>
      <c r="Q59" s="5">
        <v>13922.44</v>
      </c>
      <c r="T59" s="98">
        <f t="shared" si="11"/>
        <v>-73.960000000000036</v>
      </c>
      <c r="U59" s="4">
        <f t="shared" si="12"/>
        <v>-1.573486455379236E-2</v>
      </c>
      <c r="AB59" s="17">
        <v>70023.41</v>
      </c>
      <c r="AC59" s="17">
        <v>60668.69</v>
      </c>
      <c r="AD59" s="4">
        <f t="shared" si="9"/>
        <v>-0.13359417943227847</v>
      </c>
    </row>
    <row r="60" spans="1:30" ht="13.9" customHeight="1">
      <c r="A60" t="s">
        <v>1365</v>
      </c>
      <c r="B60" t="s">
        <v>1366</v>
      </c>
      <c r="C60">
        <v>745</v>
      </c>
      <c r="E60" t="s">
        <v>1366</v>
      </c>
      <c r="F60">
        <v>676</v>
      </c>
      <c r="G60" t="b">
        <f t="shared" si="6"/>
        <v>1</v>
      </c>
      <c r="J60">
        <f t="shared" si="7"/>
        <v>-69</v>
      </c>
      <c r="K60" s="4">
        <f t="shared" si="8"/>
        <v>-9.261744966442953E-2</v>
      </c>
      <c r="L60" s="4"/>
      <c r="N60" s="5">
        <v>430.67</v>
      </c>
      <c r="O60" s="5">
        <v>282.17</v>
      </c>
      <c r="Q60" s="5">
        <v>1987.49</v>
      </c>
      <c r="T60" s="98">
        <f t="shared" si="11"/>
        <v>-148.5</v>
      </c>
      <c r="U60" s="4">
        <f t="shared" si="12"/>
        <v>-0.34481157266584628</v>
      </c>
      <c r="AB60" s="17">
        <v>14543.41</v>
      </c>
      <c r="AC60" s="17">
        <v>14073.26</v>
      </c>
      <c r="AD60" s="4">
        <f t="shared" si="9"/>
        <v>-3.2327356514049943E-2</v>
      </c>
    </row>
    <row r="61" spans="1:30" ht="13.9" customHeight="1">
      <c r="A61" t="s">
        <v>1367</v>
      </c>
      <c r="B61" t="s">
        <v>1368</v>
      </c>
      <c r="C61">
        <v>1091</v>
      </c>
      <c r="E61" t="s">
        <v>1368</v>
      </c>
      <c r="F61">
        <v>914</v>
      </c>
      <c r="G61" t="b">
        <f t="shared" si="6"/>
        <v>1</v>
      </c>
      <c r="J61">
        <f t="shared" si="7"/>
        <v>-177</v>
      </c>
      <c r="K61" s="4">
        <f t="shared" si="8"/>
        <v>-0.16223648029330884</v>
      </c>
      <c r="L61" s="4"/>
      <c r="N61" s="5">
        <v>847.4</v>
      </c>
      <c r="O61" s="5">
        <v>614.88</v>
      </c>
      <c r="Q61" s="5">
        <v>3328.77</v>
      </c>
      <c r="T61" s="98">
        <f t="shared" si="11"/>
        <v>-232.51999999999998</v>
      </c>
      <c r="U61" s="4">
        <f t="shared" si="12"/>
        <v>-0.27439225867358974</v>
      </c>
      <c r="AB61" s="17">
        <v>20664.29</v>
      </c>
      <c r="AC61" s="17">
        <v>18240.490000000002</v>
      </c>
      <c r="AD61" s="4">
        <f t="shared" si="9"/>
        <v>-0.11729413398669875</v>
      </c>
    </row>
    <row r="62" spans="1:30" ht="14.25" customHeight="1">
      <c r="A62" t="s">
        <v>1369</v>
      </c>
      <c r="B62" t="s">
        <v>1370</v>
      </c>
      <c r="C62">
        <v>530</v>
      </c>
      <c r="E62" t="s">
        <v>1370</v>
      </c>
      <c r="F62">
        <v>407</v>
      </c>
      <c r="G62" t="b">
        <f t="shared" si="6"/>
        <v>1</v>
      </c>
      <c r="J62">
        <f t="shared" si="7"/>
        <v>-123</v>
      </c>
      <c r="K62" s="4">
        <f t="shared" si="8"/>
        <v>-0.23207547169811316</v>
      </c>
      <c r="L62" s="4"/>
      <c r="N62" s="5">
        <v>412.94</v>
      </c>
      <c r="O62" s="5">
        <v>278.58999999999997</v>
      </c>
      <c r="Q62" s="5">
        <v>1402.75</v>
      </c>
      <c r="T62" s="98">
        <f t="shared" si="11"/>
        <v>-134.35000000000002</v>
      </c>
      <c r="U62" s="4" t="e">
        <f>IF(#REF!=0,0,O62/#REF!-1)</f>
        <v>#REF!</v>
      </c>
      <c r="AB62" s="17">
        <v>15891.7</v>
      </c>
      <c r="AC62" s="17">
        <v>12192.5</v>
      </c>
      <c r="AD62" s="4">
        <f t="shared" si="9"/>
        <v>-0.23277559984142671</v>
      </c>
    </row>
    <row r="63" spans="1:30" ht="13.9" customHeight="1">
      <c r="A63" s="38" t="s">
        <v>1371</v>
      </c>
      <c r="B63" s="35" t="s">
        <v>1372</v>
      </c>
      <c r="C63">
        <v>2564</v>
      </c>
      <c r="E63" s="35" t="s">
        <v>1372</v>
      </c>
      <c r="F63">
        <v>2075</v>
      </c>
      <c r="G63" t="b">
        <f t="shared" si="6"/>
        <v>1</v>
      </c>
      <c r="J63">
        <f t="shared" si="7"/>
        <v>-489</v>
      </c>
      <c r="K63" s="4">
        <f t="shared" si="8"/>
        <v>-0.19071762870514819</v>
      </c>
      <c r="L63" s="4"/>
      <c r="N63" s="5">
        <v>2559.84</v>
      </c>
      <c r="O63" s="5">
        <v>1593.5</v>
      </c>
      <c r="Q63" s="5">
        <v>6151.09</v>
      </c>
      <c r="T63" s="98">
        <f t="shared" si="11"/>
        <v>-966.34000000000015</v>
      </c>
      <c r="U63" s="4">
        <f>IF(N64=0,0,O63/N64-1)</f>
        <v>0.68154573466717316</v>
      </c>
      <c r="AB63" s="17">
        <v>58758.64</v>
      </c>
      <c r="AC63" s="17">
        <v>48287.92</v>
      </c>
      <c r="AD63" s="4">
        <f t="shared" si="9"/>
        <v>-0.17819881467644594</v>
      </c>
    </row>
    <row r="64" spans="1:30" ht="13.9" customHeight="1">
      <c r="A64" t="s">
        <v>1373</v>
      </c>
      <c r="B64" t="s">
        <v>1374</v>
      </c>
      <c r="C64">
        <v>923</v>
      </c>
      <c r="E64" t="s">
        <v>1374</v>
      </c>
      <c r="F64">
        <v>687</v>
      </c>
      <c r="G64" t="b">
        <f t="shared" si="6"/>
        <v>1</v>
      </c>
      <c r="J64">
        <f t="shared" si="7"/>
        <v>-236</v>
      </c>
      <c r="K64" s="4">
        <f t="shared" si="8"/>
        <v>-0.25568797399783316</v>
      </c>
      <c r="N64" s="5">
        <v>947.64</v>
      </c>
      <c r="O64" s="5">
        <v>726.62</v>
      </c>
      <c r="Q64" s="5">
        <v>3421.87</v>
      </c>
      <c r="T64" s="98">
        <f t="shared" si="11"/>
        <v>-221.01999999999998</v>
      </c>
      <c r="U64" s="4">
        <f t="shared" ref="U64:U69" si="13">IF(N64=0,0,O64/N64-1)</f>
        <v>-0.23323202904056395</v>
      </c>
      <c r="AB64" s="17">
        <v>16213.76</v>
      </c>
      <c r="AC64" s="17">
        <v>13683.5</v>
      </c>
      <c r="AD64" s="4">
        <f t="shared" si="9"/>
        <v>-0.1560563373332281</v>
      </c>
    </row>
    <row r="65" spans="1:30">
      <c r="A65" t="s">
        <v>1375</v>
      </c>
      <c r="B65" t="s">
        <v>1376</v>
      </c>
      <c r="C65">
        <v>1184</v>
      </c>
      <c r="E65" t="s">
        <v>1376</v>
      </c>
      <c r="F65">
        <v>1179</v>
      </c>
      <c r="G65" t="b">
        <f t="shared" si="6"/>
        <v>1</v>
      </c>
      <c r="J65">
        <f t="shared" si="7"/>
        <v>-5</v>
      </c>
      <c r="K65" s="4">
        <f t="shared" si="8"/>
        <v>-4.222972972973027E-3</v>
      </c>
      <c r="L65" s="6"/>
      <c r="N65" s="5">
        <v>2281.86</v>
      </c>
      <c r="O65" s="5">
        <v>2155.33</v>
      </c>
      <c r="Q65" s="5">
        <v>10205.36</v>
      </c>
      <c r="T65" s="98">
        <f t="shared" si="11"/>
        <v>-126.5300000000002</v>
      </c>
      <c r="U65" s="4">
        <f t="shared" si="13"/>
        <v>-5.5450378200240236E-2</v>
      </c>
      <c r="AB65" s="17">
        <v>25980.52</v>
      </c>
      <c r="AC65" s="17">
        <v>25899.01</v>
      </c>
      <c r="AD65" s="4">
        <f t="shared" si="9"/>
        <v>-3.1373505996031836E-3</v>
      </c>
    </row>
    <row r="66" spans="1:30">
      <c r="A66" t="s">
        <v>1377</v>
      </c>
      <c r="B66" t="s">
        <v>1378</v>
      </c>
      <c r="C66">
        <v>863</v>
      </c>
      <c r="E66" t="s">
        <v>1378</v>
      </c>
      <c r="F66">
        <v>839</v>
      </c>
      <c r="G66" t="b">
        <f t="shared" si="6"/>
        <v>1</v>
      </c>
      <c r="J66">
        <f t="shared" si="7"/>
        <v>-24</v>
      </c>
      <c r="K66" s="4">
        <f t="shared" si="8"/>
        <v>-2.7809965237543421E-2</v>
      </c>
      <c r="L66" s="4"/>
      <c r="N66" s="5">
        <v>1015.74</v>
      </c>
      <c r="O66" s="5">
        <v>1050.1099999999999</v>
      </c>
      <c r="Q66" s="5">
        <v>4027.07</v>
      </c>
      <c r="T66" s="98">
        <f t="shared" si="11"/>
        <v>34.369999999999891</v>
      </c>
      <c r="U66" s="4">
        <f t="shared" si="13"/>
        <v>3.383739933447516E-2</v>
      </c>
      <c r="AB66" s="17">
        <v>21486.9</v>
      </c>
      <c r="AC66" s="17">
        <v>20917.8</v>
      </c>
      <c r="AD66" s="4">
        <f t="shared" si="9"/>
        <v>-2.6485905365594919E-2</v>
      </c>
    </row>
    <row r="67" spans="1:30">
      <c r="A67" t="s">
        <v>1379</v>
      </c>
      <c r="B67" t="s">
        <v>1380</v>
      </c>
      <c r="C67">
        <v>866</v>
      </c>
      <c r="E67" t="s">
        <v>1380</v>
      </c>
      <c r="F67">
        <v>786</v>
      </c>
      <c r="G67" t="b">
        <f t="shared" ref="G67:G98" si="14">IF(B67=E67,TRUE,FALSE)</f>
        <v>1</v>
      </c>
      <c r="J67">
        <f t="shared" ref="J67:J98" si="15">F67-C67</f>
        <v>-80</v>
      </c>
      <c r="K67" s="4">
        <f t="shared" ref="K67:K98" si="16">F67/C67-1</f>
        <v>-9.2378752886836057E-2</v>
      </c>
      <c r="L67" s="4"/>
      <c r="N67" s="5">
        <v>1469.8</v>
      </c>
      <c r="O67" s="5">
        <v>1330.63</v>
      </c>
      <c r="Q67" s="5">
        <v>7140.13</v>
      </c>
      <c r="T67" s="98">
        <f t="shared" si="11"/>
        <v>-139.16999999999985</v>
      </c>
      <c r="U67" s="4">
        <f t="shared" si="13"/>
        <v>-9.4686351884610054E-2</v>
      </c>
      <c r="AB67" s="17">
        <v>22759.27</v>
      </c>
      <c r="AC67" s="17">
        <v>22396.46</v>
      </c>
      <c r="AD67" s="4">
        <f t="shared" si="9"/>
        <v>-1.5941196707978778E-2</v>
      </c>
    </row>
    <row r="68" spans="1:30">
      <c r="A68" t="s">
        <v>1381</v>
      </c>
      <c r="B68" t="s">
        <v>1382</v>
      </c>
      <c r="C68">
        <v>1244</v>
      </c>
      <c r="E68" t="s">
        <v>1382</v>
      </c>
      <c r="F68">
        <v>1054</v>
      </c>
      <c r="G68" t="b">
        <f t="shared" si="14"/>
        <v>1</v>
      </c>
      <c r="J68">
        <f t="shared" si="15"/>
        <v>-190</v>
      </c>
      <c r="K68" s="4">
        <f t="shared" si="16"/>
        <v>-0.15273311897106112</v>
      </c>
      <c r="L68" s="4"/>
      <c r="N68" s="5">
        <v>875.09</v>
      </c>
      <c r="O68" s="5">
        <v>791.78</v>
      </c>
      <c r="Q68" s="5">
        <v>5858.14</v>
      </c>
      <c r="T68" s="98">
        <f t="shared" si="11"/>
        <v>-83.310000000000059</v>
      </c>
      <c r="U68" s="4">
        <f t="shared" si="13"/>
        <v>-9.5201636403112855E-2</v>
      </c>
      <c r="AB68" s="17">
        <v>26014</v>
      </c>
      <c r="AC68" s="17">
        <v>21884.74</v>
      </c>
      <c r="AD68" s="4">
        <f t="shared" si="9"/>
        <v>-0.15873222111170904</v>
      </c>
    </row>
    <row r="69" spans="1:30">
      <c r="A69" s="35" t="s">
        <v>1383</v>
      </c>
      <c r="B69" s="35" t="s">
        <v>1384</v>
      </c>
      <c r="C69">
        <v>571</v>
      </c>
      <c r="E69" s="35" t="s">
        <v>1384</v>
      </c>
      <c r="F69">
        <v>363</v>
      </c>
      <c r="G69" t="b">
        <f t="shared" si="14"/>
        <v>1</v>
      </c>
      <c r="J69">
        <f t="shared" si="15"/>
        <v>-208</v>
      </c>
      <c r="K69" s="4">
        <f t="shared" si="16"/>
        <v>-0.36427320490367776</v>
      </c>
      <c r="L69" s="4"/>
      <c r="N69" s="5">
        <v>1511.26</v>
      </c>
      <c r="O69" s="5">
        <v>824.67</v>
      </c>
      <c r="Q69" s="5">
        <v>3577.99</v>
      </c>
      <c r="T69" s="98">
        <f t="shared" si="11"/>
        <v>-686.59</v>
      </c>
      <c r="U69" s="4">
        <f t="shared" si="13"/>
        <v>-0.45431626589733076</v>
      </c>
      <c r="AB69" s="17">
        <v>14243.05</v>
      </c>
      <c r="AC69" s="17">
        <v>9069.8700000000008</v>
      </c>
      <c r="AD69" s="4">
        <f t="shared" ref="AD69:AD100" si="17">AC69/AB69-1</f>
        <v>-0.3632073186571696</v>
      </c>
    </row>
    <row r="70" spans="1:30">
      <c r="A70" s="38" t="s">
        <v>1385</v>
      </c>
      <c r="B70" s="26" t="s">
        <v>1386</v>
      </c>
      <c r="C70">
        <v>1450</v>
      </c>
      <c r="E70" s="26" t="s">
        <v>1386</v>
      </c>
      <c r="F70">
        <v>993</v>
      </c>
      <c r="G70" t="b">
        <f t="shared" si="14"/>
        <v>1</v>
      </c>
      <c r="J70">
        <f t="shared" si="15"/>
        <v>-457</v>
      </c>
      <c r="K70" s="4">
        <f t="shared" si="16"/>
        <v>-0.31517241379310346</v>
      </c>
      <c r="L70" s="4"/>
      <c r="N70" s="5">
        <v>2120.5300000000002</v>
      </c>
      <c r="O70" s="5">
        <v>1504.4</v>
      </c>
      <c r="Q70" s="5">
        <v>5976.59</v>
      </c>
      <c r="T70" s="98">
        <f t="shared" si="11"/>
        <v>-616.13000000000011</v>
      </c>
      <c r="U70" s="4">
        <f>IF(N71=0,0,O70/N71-1)</f>
        <v>-0.20273034648690469</v>
      </c>
      <c r="AB70" s="17">
        <v>30808.48</v>
      </c>
      <c r="AC70" s="17">
        <v>23786.39</v>
      </c>
      <c r="AD70" s="4">
        <f t="shared" si="17"/>
        <v>-0.22792718108780441</v>
      </c>
    </row>
    <row r="71" spans="1:30">
      <c r="A71" t="s">
        <v>1387</v>
      </c>
      <c r="B71" t="s">
        <v>1388</v>
      </c>
      <c r="C71">
        <v>783</v>
      </c>
      <c r="E71" t="s">
        <v>1388</v>
      </c>
      <c r="F71">
        <v>843</v>
      </c>
      <c r="G71" t="b">
        <f t="shared" si="14"/>
        <v>1</v>
      </c>
      <c r="J71">
        <f t="shared" si="15"/>
        <v>60</v>
      </c>
      <c r="K71" s="4">
        <f t="shared" si="16"/>
        <v>7.6628352490421436E-2</v>
      </c>
      <c r="N71" s="5">
        <v>1886.94</v>
      </c>
      <c r="O71" s="5">
        <v>1828.17</v>
      </c>
      <c r="Q71" s="5">
        <v>6951.19</v>
      </c>
      <c r="T71" s="98">
        <f t="shared" si="11"/>
        <v>-58.769999999999982</v>
      </c>
      <c r="U71" s="4">
        <f>IF(N71=0,0,O71/N71-1)</f>
        <v>-3.1145664409043206E-2</v>
      </c>
      <c r="X71" s="5"/>
      <c r="Y71" s="5"/>
      <c r="Z71" s="5"/>
      <c r="AA71" s="16"/>
      <c r="AB71" s="17">
        <v>18756.82</v>
      </c>
      <c r="AC71" s="17">
        <v>19064.16</v>
      </c>
      <c r="AD71" s="4">
        <f t="shared" si="17"/>
        <v>1.6385506711692033E-2</v>
      </c>
    </row>
    <row r="72" spans="1:30">
      <c r="A72" t="s">
        <v>1389</v>
      </c>
      <c r="B72" t="s">
        <v>1390</v>
      </c>
      <c r="C72">
        <v>1101</v>
      </c>
      <c r="E72" t="s">
        <v>1390</v>
      </c>
      <c r="F72">
        <v>1109</v>
      </c>
      <c r="G72" t="b">
        <f t="shared" si="14"/>
        <v>1</v>
      </c>
      <c r="J72">
        <f t="shared" si="15"/>
        <v>8</v>
      </c>
      <c r="K72" s="4">
        <f t="shared" si="16"/>
        <v>7.2661217075387086E-3</v>
      </c>
      <c r="L72" s="4"/>
      <c r="N72" s="5">
        <v>504.4</v>
      </c>
      <c r="O72" s="5">
        <v>424.57</v>
      </c>
      <c r="Q72" s="5">
        <v>2687.38</v>
      </c>
      <c r="T72" s="98">
        <f t="shared" si="11"/>
        <v>-79.829999999999984</v>
      </c>
      <c r="U72" s="4">
        <f>IF(N72=0,0,O72/N72-1)</f>
        <v>-0.15826724821570182</v>
      </c>
      <c r="X72" t="s">
        <v>1391</v>
      </c>
      <c r="AB72" s="17">
        <v>26267.39</v>
      </c>
      <c r="AC72" s="17">
        <v>26558.39</v>
      </c>
      <c r="AD72" s="4">
        <f t="shared" si="17"/>
        <v>1.1078375125964213E-2</v>
      </c>
    </row>
    <row r="73" spans="1:30">
      <c r="A73" t="s">
        <v>1392</v>
      </c>
      <c r="B73" t="s">
        <v>1393</v>
      </c>
      <c r="C73">
        <v>1304</v>
      </c>
      <c r="E73" t="s">
        <v>1393</v>
      </c>
      <c r="F73">
        <v>1347</v>
      </c>
      <c r="G73" t="b">
        <f t="shared" si="14"/>
        <v>1</v>
      </c>
      <c r="J73">
        <f t="shared" si="15"/>
        <v>43</v>
      </c>
      <c r="K73" s="4">
        <f t="shared" si="16"/>
        <v>3.2975460122699474E-2</v>
      </c>
      <c r="L73" s="4"/>
      <c r="N73" s="5">
        <v>1895.98</v>
      </c>
      <c r="O73" s="5">
        <v>2136.46</v>
      </c>
      <c r="Q73" s="5">
        <v>8925.8700000000008</v>
      </c>
      <c r="T73" s="98">
        <f t="shared" si="11"/>
        <v>240.48000000000002</v>
      </c>
      <c r="U73" s="4">
        <f>IF(N73=0,0,O73/N73-1)</f>
        <v>0.12683678097870232</v>
      </c>
      <c r="AB73" s="17">
        <v>26008.6</v>
      </c>
      <c r="AC73" s="17">
        <v>26821.86</v>
      </c>
      <c r="AD73" s="4">
        <f t="shared" si="17"/>
        <v>3.1268887983205707E-2</v>
      </c>
    </row>
    <row r="74" spans="1:30">
      <c r="A74" t="s">
        <v>1394</v>
      </c>
      <c r="B74" t="s">
        <v>1395</v>
      </c>
      <c r="C74">
        <v>2072</v>
      </c>
      <c r="E74" t="s">
        <v>1395</v>
      </c>
      <c r="F74">
        <v>1460</v>
      </c>
      <c r="G74" t="b">
        <f t="shared" si="14"/>
        <v>1</v>
      </c>
      <c r="J74">
        <f t="shared" si="15"/>
        <v>-612</v>
      </c>
      <c r="K74" s="4">
        <f t="shared" si="16"/>
        <v>-0.29536679536679533</v>
      </c>
      <c r="L74" s="4"/>
      <c r="N74" s="5">
        <v>1709.63</v>
      </c>
      <c r="O74" s="5">
        <v>950.94</v>
      </c>
      <c r="Q74" s="5">
        <v>5423.72</v>
      </c>
      <c r="T74" s="98">
        <f t="shared" si="11"/>
        <v>-758.69</v>
      </c>
      <c r="U74" s="4">
        <f>IF(N74=0,0,O74/N74-1)</f>
        <v>-0.44377438393102597</v>
      </c>
      <c r="AB74" s="17">
        <v>44451.29</v>
      </c>
      <c r="AC74" s="17">
        <v>34994.71</v>
      </c>
      <c r="AD74" s="4">
        <f t="shared" si="17"/>
        <v>-0.21274028267796052</v>
      </c>
    </row>
    <row r="75" spans="1:30">
      <c r="A75" s="38" t="s">
        <v>1396</v>
      </c>
      <c r="B75" s="35" t="s">
        <v>1397</v>
      </c>
      <c r="C75">
        <v>1276</v>
      </c>
      <c r="E75" s="35" t="s">
        <v>1397</v>
      </c>
      <c r="F75">
        <v>797</v>
      </c>
      <c r="G75" t="b">
        <f t="shared" si="14"/>
        <v>1</v>
      </c>
      <c r="J75">
        <f t="shared" si="15"/>
        <v>-479</v>
      </c>
      <c r="K75" s="4">
        <f t="shared" si="16"/>
        <v>-0.37539184952978055</v>
      </c>
      <c r="L75" s="4"/>
      <c r="N75" s="5">
        <v>2489.41</v>
      </c>
      <c r="O75" s="5">
        <v>1711.94</v>
      </c>
      <c r="Q75" s="5">
        <v>7947.4</v>
      </c>
      <c r="T75" s="98">
        <f t="shared" si="11"/>
        <v>-777.4699999999998</v>
      </c>
      <c r="U75" s="4">
        <f>IF(N75=0,0,O75/N75-1)</f>
        <v>-0.31231094918072955</v>
      </c>
      <c r="AB75" s="17">
        <v>28049.52</v>
      </c>
      <c r="AC75" s="17">
        <v>19914.53</v>
      </c>
      <c r="AD75" s="4">
        <f t="shared" si="17"/>
        <v>-0.29002243175640796</v>
      </c>
    </row>
    <row r="76" spans="1:30">
      <c r="A76" s="38" t="s">
        <v>1398</v>
      </c>
      <c r="B76" s="35" t="s">
        <v>1399</v>
      </c>
      <c r="C76" s="18">
        <v>541</v>
      </c>
      <c r="E76" s="35" t="s">
        <v>1399</v>
      </c>
      <c r="F76" s="18">
        <v>249</v>
      </c>
      <c r="G76" t="b">
        <f t="shared" si="14"/>
        <v>1</v>
      </c>
      <c r="J76">
        <f t="shared" si="15"/>
        <v>-292</v>
      </c>
      <c r="K76" s="4">
        <f t="shared" si="16"/>
        <v>-0.53974121996303137</v>
      </c>
      <c r="L76" s="4"/>
      <c r="N76" s="5">
        <v>2170.6799999999998</v>
      </c>
      <c r="O76" s="5">
        <v>1217.96</v>
      </c>
      <c r="Q76" s="5">
        <v>4192.4799999999996</v>
      </c>
      <c r="U76" s="4"/>
      <c r="AB76" s="17">
        <v>11524.59</v>
      </c>
      <c r="AC76" s="17">
        <v>5757.01</v>
      </c>
      <c r="AD76" s="4">
        <f t="shared" si="17"/>
        <v>-0.50045858464379211</v>
      </c>
    </row>
    <row r="77" spans="1:30">
      <c r="A77" t="s">
        <v>1400</v>
      </c>
      <c r="B77" t="s">
        <v>1401</v>
      </c>
      <c r="C77">
        <v>3575</v>
      </c>
      <c r="E77" t="s">
        <v>1401</v>
      </c>
      <c r="F77">
        <v>2319</v>
      </c>
      <c r="G77" t="b">
        <f t="shared" si="14"/>
        <v>1</v>
      </c>
      <c r="J77">
        <f t="shared" si="15"/>
        <v>-1256</v>
      </c>
      <c r="K77" s="4">
        <f t="shared" si="16"/>
        <v>-0.35132867132867129</v>
      </c>
      <c r="L77" s="4"/>
      <c r="N77" s="5">
        <v>1979.77</v>
      </c>
      <c r="O77" s="5">
        <v>1360.21</v>
      </c>
      <c r="Q77" s="5">
        <v>8035.51</v>
      </c>
      <c r="T77" s="98">
        <f t="shared" ref="T77:T108" si="18">O77-N77</f>
        <v>-619.55999999999995</v>
      </c>
      <c r="U77" s="4">
        <f t="shared" ref="U77:U112" si="19">IF(N77=0,0,O77/N77-1)</f>
        <v>-0.31294544315753847</v>
      </c>
      <c r="AB77" s="17">
        <v>68925.240000000005</v>
      </c>
      <c r="AC77" s="17">
        <v>50910.27</v>
      </c>
      <c r="AD77" s="4">
        <f t="shared" si="17"/>
        <v>-0.26136971013811494</v>
      </c>
    </row>
    <row r="78" spans="1:30">
      <c r="A78" t="s">
        <v>1402</v>
      </c>
      <c r="B78" t="s">
        <v>1403</v>
      </c>
      <c r="C78">
        <v>1182</v>
      </c>
      <c r="E78" t="s">
        <v>1403</v>
      </c>
      <c r="F78">
        <v>861</v>
      </c>
      <c r="G78" t="b">
        <f t="shared" si="14"/>
        <v>1</v>
      </c>
      <c r="J78">
        <f t="shared" si="15"/>
        <v>-321</v>
      </c>
      <c r="K78" s="4">
        <f t="shared" si="16"/>
        <v>-0.27157360406091369</v>
      </c>
      <c r="L78" s="4"/>
      <c r="N78" s="5">
        <v>2079.9299999999998</v>
      </c>
      <c r="O78" s="5">
        <v>1635.21</v>
      </c>
      <c r="Q78" s="5">
        <v>10449.39</v>
      </c>
      <c r="T78" s="98">
        <f t="shared" si="18"/>
        <v>-444.7199999999998</v>
      </c>
      <c r="U78" s="4">
        <f t="shared" si="19"/>
        <v>-0.21381488800103843</v>
      </c>
      <c r="AB78" s="17">
        <v>27810.78</v>
      </c>
      <c r="AC78" s="17">
        <v>23146.83</v>
      </c>
      <c r="AD78" s="4">
        <f t="shared" si="17"/>
        <v>-0.1677029554726619</v>
      </c>
    </row>
    <row r="79" spans="1:30">
      <c r="A79" t="s">
        <v>1404</v>
      </c>
      <c r="B79" t="s">
        <v>1405</v>
      </c>
      <c r="C79">
        <v>570</v>
      </c>
      <c r="E79" t="s">
        <v>1405</v>
      </c>
      <c r="F79">
        <v>572</v>
      </c>
      <c r="G79" t="b">
        <f t="shared" si="14"/>
        <v>1</v>
      </c>
      <c r="J79">
        <f t="shared" si="15"/>
        <v>2</v>
      </c>
      <c r="K79" s="4">
        <f t="shared" si="16"/>
        <v>3.5087719298245723E-3</v>
      </c>
      <c r="L79" s="4"/>
      <c r="N79" s="5">
        <v>1048.3</v>
      </c>
      <c r="O79" s="5">
        <v>908.91</v>
      </c>
      <c r="Q79" s="5">
        <v>3861.25</v>
      </c>
      <c r="T79" s="98">
        <f t="shared" si="18"/>
        <v>-139.38999999999999</v>
      </c>
      <c r="U79" s="4">
        <f t="shared" si="19"/>
        <v>-0.13296766192883713</v>
      </c>
      <c r="AB79" s="17">
        <v>10799.98</v>
      </c>
      <c r="AC79" s="17">
        <v>10243.42</v>
      </c>
      <c r="AD79" s="4">
        <f t="shared" si="17"/>
        <v>-5.1533428765608735E-2</v>
      </c>
    </row>
    <row r="80" spans="1:30">
      <c r="A80" t="s">
        <v>1406</v>
      </c>
      <c r="B80" t="s">
        <v>1407</v>
      </c>
      <c r="C80">
        <v>1151</v>
      </c>
      <c r="E80" t="s">
        <v>1407</v>
      </c>
      <c r="F80">
        <v>1016</v>
      </c>
      <c r="G80" t="b">
        <f t="shared" si="14"/>
        <v>1</v>
      </c>
      <c r="J80">
        <f t="shared" si="15"/>
        <v>-135</v>
      </c>
      <c r="K80" s="4">
        <f t="shared" si="16"/>
        <v>-0.11728931364031281</v>
      </c>
      <c r="L80" s="4"/>
      <c r="N80" s="5">
        <v>1195.6600000000001</v>
      </c>
      <c r="O80" s="5">
        <v>1094.01</v>
      </c>
      <c r="Q80" s="5">
        <v>4334.17</v>
      </c>
      <c r="T80" s="98">
        <f t="shared" si="18"/>
        <v>-101.65000000000009</v>
      </c>
      <c r="U80" s="4">
        <f t="shared" si="19"/>
        <v>-8.501580716926227E-2</v>
      </c>
      <c r="AB80" s="17">
        <v>20211.509999999998</v>
      </c>
      <c r="AC80" s="17">
        <v>19039.3</v>
      </c>
      <c r="AD80" s="4">
        <f t="shared" si="17"/>
        <v>-5.7997151128243218E-2</v>
      </c>
    </row>
    <row r="81" spans="1:31">
      <c r="A81" t="s">
        <v>1408</v>
      </c>
      <c r="B81" t="s">
        <v>1409</v>
      </c>
      <c r="C81">
        <v>931</v>
      </c>
      <c r="E81" t="s">
        <v>1409</v>
      </c>
      <c r="F81">
        <v>807</v>
      </c>
      <c r="G81" t="b">
        <f t="shared" si="14"/>
        <v>1</v>
      </c>
      <c r="J81">
        <f t="shared" si="15"/>
        <v>-124</v>
      </c>
      <c r="K81" s="4">
        <f t="shared" si="16"/>
        <v>-0.13319011815252413</v>
      </c>
      <c r="L81" s="4"/>
      <c r="N81" s="5">
        <v>1168.33</v>
      </c>
      <c r="O81" s="5">
        <v>1052.18</v>
      </c>
      <c r="Q81" s="5">
        <v>4935.17</v>
      </c>
      <c r="T81" s="98">
        <f t="shared" si="18"/>
        <v>-116.14999999999986</v>
      </c>
      <c r="U81" s="4">
        <f t="shared" si="19"/>
        <v>-9.9415404894165116E-2</v>
      </c>
      <c r="AB81" s="17">
        <v>15463.5</v>
      </c>
      <c r="AC81" s="17">
        <v>14483.24</v>
      </c>
      <c r="AD81" s="4">
        <f t="shared" si="17"/>
        <v>-6.339185824683935E-2</v>
      </c>
    </row>
    <row r="82" spans="1:31">
      <c r="A82" t="s">
        <v>1410</v>
      </c>
      <c r="B82" t="s">
        <v>1411</v>
      </c>
      <c r="C82">
        <v>96</v>
      </c>
      <c r="E82" t="s">
        <v>1411</v>
      </c>
      <c r="F82">
        <v>0</v>
      </c>
      <c r="G82" t="b">
        <f t="shared" si="14"/>
        <v>1</v>
      </c>
      <c r="J82">
        <f t="shared" si="15"/>
        <v>-96</v>
      </c>
      <c r="K82" s="4">
        <f t="shared" si="16"/>
        <v>-1</v>
      </c>
      <c r="L82" s="4"/>
      <c r="N82" s="5">
        <v>83.21</v>
      </c>
      <c r="O82" s="5">
        <v>0</v>
      </c>
      <c r="Q82" s="5">
        <v>0</v>
      </c>
      <c r="T82" s="98">
        <f t="shared" si="18"/>
        <v>-83.21</v>
      </c>
      <c r="U82" s="4">
        <f t="shared" si="19"/>
        <v>-1</v>
      </c>
      <c r="AB82" s="17">
        <v>1631.04</v>
      </c>
      <c r="AC82" s="17">
        <v>0</v>
      </c>
      <c r="AD82" s="4">
        <f t="shared" si="17"/>
        <v>-1</v>
      </c>
    </row>
    <row r="83" spans="1:31">
      <c r="A83" t="s">
        <v>1412</v>
      </c>
      <c r="B83" t="s">
        <v>1413</v>
      </c>
      <c r="C83">
        <v>1750</v>
      </c>
      <c r="E83" t="s">
        <v>1413</v>
      </c>
      <c r="F83">
        <v>1522</v>
      </c>
      <c r="G83" t="b">
        <f t="shared" si="14"/>
        <v>1</v>
      </c>
      <c r="J83">
        <f t="shared" si="15"/>
        <v>-228</v>
      </c>
      <c r="K83" s="4">
        <f t="shared" si="16"/>
        <v>-0.13028571428571434</v>
      </c>
      <c r="L83" s="4"/>
      <c r="N83" s="5">
        <v>1626.89</v>
      </c>
      <c r="O83" s="5">
        <v>945.18</v>
      </c>
      <c r="Q83" s="5">
        <v>5528.41</v>
      </c>
      <c r="T83" s="98">
        <f t="shared" si="18"/>
        <v>-681.71000000000015</v>
      </c>
      <c r="U83" s="4">
        <f t="shared" si="19"/>
        <v>-0.41902648611768478</v>
      </c>
      <c r="AB83" s="17">
        <v>35743.14</v>
      </c>
      <c r="AC83" s="17">
        <v>33210.199999999997</v>
      </c>
      <c r="AD83" s="4">
        <f t="shared" si="17"/>
        <v>-7.0865066695315559E-2</v>
      </c>
    </row>
    <row r="84" spans="1:31">
      <c r="A84" t="s">
        <v>1414</v>
      </c>
      <c r="B84" t="s">
        <v>1415</v>
      </c>
      <c r="C84">
        <v>3126</v>
      </c>
      <c r="E84" t="s">
        <v>1415</v>
      </c>
      <c r="F84">
        <v>3231</v>
      </c>
      <c r="G84" t="b">
        <f t="shared" si="14"/>
        <v>1</v>
      </c>
      <c r="J84">
        <f t="shared" si="15"/>
        <v>105</v>
      </c>
      <c r="K84" s="4">
        <f t="shared" si="16"/>
        <v>3.358925143953928E-2</v>
      </c>
      <c r="L84" s="4"/>
      <c r="N84" s="5">
        <v>1854.15</v>
      </c>
      <c r="O84" s="5">
        <v>2166.77</v>
      </c>
      <c r="Q84" s="5">
        <v>7146.03</v>
      </c>
      <c r="T84" s="98">
        <f t="shared" si="18"/>
        <v>312.61999999999989</v>
      </c>
      <c r="U84" s="4">
        <f t="shared" si="19"/>
        <v>0.1686055604994201</v>
      </c>
      <c r="AB84" s="17">
        <v>31216.85</v>
      </c>
      <c r="AC84" s="17">
        <v>32252.7</v>
      </c>
      <c r="AD84" s="4">
        <f t="shared" si="17"/>
        <v>3.3182399889803094E-2</v>
      </c>
      <c r="AE84" s="106"/>
    </row>
    <row r="85" spans="1:31">
      <c r="A85" t="s">
        <v>1416</v>
      </c>
      <c r="B85" t="s">
        <v>1417</v>
      </c>
      <c r="C85">
        <v>1507</v>
      </c>
      <c r="E85" t="s">
        <v>1417</v>
      </c>
      <c r="F85">
        <v>1390</v>
      </c>
      <c r="G85" t="b">
        <f t="shared" si="14"/>
        <v>1</v>
      </c>
      <c r="J85">
        <f t="shared" si="15"/>
        <v>-117</v>
      </c>
      <c r="K85" s="4">
        <f t="shared" si="16"/>
        <v>-7.7637690776376944E-2</v>
      </c>
      <c r="L85" s="4"/>
      <c r="N85" s="5">
        <v>1703.44</v>
      </c>
      <c r="O85" s="5">
        <v>1354.98</v>
      </c>
      <c r="Q85" s="5">
        <v>8140.05</v>
      </c>
      <c r="T85" s="98">
        <f t="shared" si="18"/>
        <v>-348.46000000000004</v>
      </c>
      <c r="U85" s="4">
        <f t="shared" si="19"/>
        <v>-0.20456253228760624</v>
      </c>
      <c r="AB85" s="17">
        <v>29447.88</v>
      </c>
      <c r="AC85" s="17">
        <v>29024.78</v>
      </c>
      <c r="AD85" s="4">
        <f t="shared" si="17"/>
        <v>-1.4367757543157667E-2</v>
      </c>
    </row>
    <row r="86" spans="1:31">
      <c r="A86" s="38" t="s">
        <v>1418</v>
      </c>
      <c r="B86" s="35" t="s">
        <v>1419</v>
      </c>
      <c r="C86">
        <v>558</v>
      </c>
      <c r="D86" s="5"/>
      <c r="E86" s="35" t="s">
        <v>1419</v>
      </c>
      <c r="F86">
        <v>411</v>
      </c>
      <c r="G86" t="b">
        <f t="shared" si="14"/>
        <v>1</v>
      </c>
      <c r="H86" s="5"/>
      <c r="I86" s="5"/>
      <c r="J86">
        <f t="shared" si="15"/>
        <v>-147</v>
      </c>
      <c r="K86" s="4">
        <f t="shared" si="16"/>
        <v>-0.26344086021505375</v>
      </c>
      <c r="L86" s="5"/>
      <c r="M86" s="5"/>
      <c r="N86" s="5">
        <v>1776.14</v>
      </c>
      <c r="O86" s="5">
        <v>1459.22</v>
      </c>
      <c r="Q86" s="5">
        <v>6456.08</v>
      </c>
      <c r="T86" s="98">
        <f t="shared" si="18"/>
        <v>-316.92000000000007</v>
      </c>
      <c r="U86" s="4">
        <f t="shared" si="19"/>
        <v>-0.17843188036979074</v>
      </c>
      <c r="X86" s="5"/>
      <c r="Y86" s="5"/>
      <c r="Z86" s="5"/>
      <c r="AA86" s="16"/>
      <c r="AB86" s="17">
        <v>9713.76</v>
      </c>
      <c r="AC86" s="17">
        <v>8077.99</v>
      </c>
      <c r="AD86" s="4">
        <f t="shared" si="17"/>
        <v>-0.16839720149561044</v>
      </c>
    </row>
    <row r="87" spans="1:31">
      <c r="A87" t="s">
        <v>1420</v>
      </c>
      <c r="B87" t="s">
        <v>1421</v>
      </c>
      <c r="C87">
        <v>1555</v>
      </c>
      <c r="E87" t="s">
        <v>1421</v>
      </c>
      <c r="F87">
        <v>1482</v>
      </c>
      <c r="G87" t="b">
        <f t="shared" si="14"/>
        <v>1</v>
      </c>
      <c r="J87">
        <f t="shared" si="15"/>
        <v>-73</v>
      </c>
      <c r="K87" s="4">
        <f t="shared" si="16"/>
        <v>-4.6945337620578731E-2</v>
      </c>
      <c r="L87" s="4"/>
      <c r="N87" s="5">
        <v>1611.59</v>
      </c>
      <c r="O87" s="5">
        <v>1381.4</v>
      </c>
      <c r="Q87" s="5">
        <v>9261.75</v>
      </c>
      <c r="T87" s="98">
        <f t="shared" si="18"/>
        <v>-230.18999999999983</v>
      </c>
      <c r="U87" s="4">
        <f t="shared" si="19"/>
        <v>-0.1428340955205728</v>
      </c>
      <c r="AB87" s="17">
        <v>34368.949999999997</v>
      </c>
      <c r="AC87" s="17">
        <v>35118.19</v>
      </c>
      <c r="AD87" s="4">
        <f t="shared" si="17"/>
        <v>2.1799909511346804E-2</v>
      </c>
    </row>
    <row r="88" spans="1:31" ht="15" customHeight="1">
      <c r="A88" t="s">
        <v>1422</v>
      </c>
      <c r="B88" t="s">
        <v>1423</v>
      </c>
      <c r="C88">
        <v>1037</v>
      </c>
      <c r="E88" t="s">
        <v>1423</v>
      </c>
      <c r="F88">
        <v>1051</v>
      </c>
      <c r="G88" t="b">
        <f t="shared" si="14"/>
        <v>1</v>
      </c>
      <c r="J88">
        <f t="shared" si="15"/>
        <v>14</v>
      </c>
      <c r="K88" s="4">
        <f t="shared" si="16"/>
        <v>1.3500482160077043E-2</v>
      </c>
      <c r="L88" s="4"/>
      <c r="N88" s="5">
        <v>1544.46</v>
      </c>
      <c r="O88" s="5">
        <v>1379.68</v>
      </c>
      <c r="Q88" s="5">
        <v>7501.8</v>
      </c>
      <c r="T88" s="98">
        <f t="shared" si="18"/>
        <v>-164.77999999999997</v>
      </c>
      <c r="U88" s="4">
        <f t="shared" si="19"/>
        <v>-0.10669101174520546</v>
      </c>
      <c r="X88" s="5"/>
      <c r="Y88" s="5"/>
      <c r="Z88" s="5"/>
      <c r="AA88" s="16"/>
      <c r="AB88" s="17">
        <v>25860.65</v>
      </c>
      <c r="AC88" s="17">
        <v>26207.82</v>
      </c>
      <c r="AD88" s="4">
        <f t="shared" si="17"/>
        <v>1.3424643232091915E-2</v>
      </c>
    </row>
    <row r="89" spans="1:31" ht="15" customHeight="1">
      <c r="A89" t="s">
        <v>1424</v>
      </c>
      <c r="B89" t="s">
        <v>1425</v>
      </c>
      <c r="C89">
        <v>2397</v>
      </c>
      <c r="E89" t="s">
        <v>1425</v>
      </c>
      <c r="F89">
        <v>2156</v>
      </c>
      <c r="G89" t="b">
        <f t="shared" si="14"/>
        <v>1</v>
      </c>
      <c r="J89">
        <f t="shared" si="15"/>
        <v>-241</v>
      </c>
      <c r="K89" s="4">
        <f t="shared" si="16"/>
        <v>-0.1005423445974134</v>
      </c>
      <c r="L89" s="4"/>
      <c r="N89" s="5">
        <v>3744.98</v>
      </c>
      <c r="O89" s="5">
        <v>3284.7599999999998</v>
      </c>
      <c r="Q89" s="5">
        <v>18074.02</v>
      </c>
      <c r="T89" s="98">
        <f t="shared" si="18"/>
        <v>-460.22000000000025</v>
      </c>
      <c r="U89" s="4">
        <f t="shared" si="19"/>
        <v>-0.12288984186831442</v>
      </c>
      <c r="AB89" s="17">
        <v>93032.04</v>
      </c>
      <c r="AC89" s="17">
        <v>83639.360000000001</v>
      </c>
      <c r="AD89" s="4">
        <f t="shared" si="17"/>
        <v>-0.10096177617947533</v>
      </c>
    </row>
    <row r="90" spans="1:31" ht="15" customHeight="1">
      <c r="A90" t="s">
        <v>1426</v>
      </c>
      <c r="B90" t="s">
        <v>1427</v>
      </c>
      <c r="C90">
        <v>1720</v>
      </c>
      <c r="E90" t="s">
        <v>1427</v>
      </c>
      <c r="F90">
        <v>1843</v>
      </c>
      <c r="G90" t="b">
        <f t="shared" si="14"/>
        <v>1</v>
      </c>
      <c r="J90">
        <f t="shared" si="15"/>
        <v>123</v>
      </c>
      <c r="K90" s="4">
        <f t="shared" si="16"/>
        <v>7.1511627906976738E-2</v>
      </c>
      <c r="L90" s="4"/>
      <c r="N90" s="5">
        <v>1758.13</v>
      </c>
      <c r="O90" s="5">
        <v>1731.3</v>
      </c>
      <c r="Q90" s="5">
        <v>7982.41</v>
      </c>
      <c r="T90" s="98">
        <f t="shared" si="18"/>
        <v>-26.830000000000155</v>
      </c>
      <c r="U90" s="4">
        <f t="shared" si="19"/>
        <v>-1.5260532497596957E-2</v>
      </c>
      <c r="AB90" s="17">
        <v>34378.6</v>
      </c>
      <c r="AC90" s="17">
        <v>35076.050000000003</v>
      </c>
      <c r="AD90" s="4">
        <f t="shared" si="17"/>
        <v>2.0287329908722507E-2</v>
      </c>
    </row>
    <row r="91" spans="1:31" ht="15" customHeight="1">
      <c r="A91" t="s">
        <v>1428</v>
      </c>
      <c r="B91" t="s">
        <v>1429</v>
      </c>
      <c r="C91">
        <v>920</v>
      </c>
      <c r="E91" t="s">
        <v>1429</v>
      </c>
      <c r="F91">
        <v>706</v>
      </c>
      <c r="G91" t="b">
        <f t="shared" si="14"/>
        <v>1</v>
      </c>
      <c r="J91">
        <f t="shared" si="15"/>
        <v>-214</v>
      </c>
      <c r="K91" s="4">
        <f t="shared" si="16"/>
        <v>-0.2326086956521739</v>
      </c>
      <c r="N91" s="5">
        <v>954.78</v>
      </c>
      <c r="O91" s="5">
        <v>428.76</v>
      </c>
      <c r="Q91" s="5">
        <v>1723.53</v>
      </c>
      <c r="T91" s="98">
        <f t="shared" si="18"/>
        <v>-526.02</v>
      </c>
      <c r="U91" s="4">
        <f t="shared" si="19"/>
        <v>-0.55093319927103623</v>
      </c>
      <c r="AB91" s="17">
        <v>14253.09</v>
      </c>
      <c r="AC91" s="17">
        <v>12107.82</v>
      </c>
      <c r="AD91" s="4">
        <f t="shared" si="17"/>
        <v>-0.15051262568327295</v>
      </c>
    </row>
    <row r="92" spans="1:31" ht="15" customHeight="1">
      <c r="A92" t="s">
        <v>1430</v>
      </c>
      <c r="B92" t="s">
        <v>1431</v>
      </c>
      <c r="C92">
        <v>1487</v>
      </c>
      <c r="E92" t="s">
        <v>1431</v>
      </c>
      <c r="F92">
        <v>1851</v>
      </c>
      <c r="G92" t="b">
        <f t="shared" si="14"/>
        <v>1</v>
      </c>
      <c r="J92">
        <f t="shared" si="15"/>
        <v>364</v>
      </c>
      <c r="K92" s="4">
        <f t="shared" si="16"/>
        <v>0.24478816408876924</v>
      </c>
      <c r="L92" s="6"/>
      <c r="N92" s="5">
        <v>1819.89</v>
      </c>
      <c r="O92" s="5">
        <v>1493.24</v>
      </c>
      <c r="Q92" s="5">
        <v>10615.48</v>
      </c>
      <c r="T92" s="98">
        <f t="shared" si="18"/>
        <v>-326.65000000000009</v>
      </c>
      <c r="U92" s="4">
        <f t="shared" si="19"/>
        <v>-0.17948887020644111</v>
      </c>
      <c r="AB92" s="17">
        <v>44556.14</v>
      </c>
      <c r="AC92" s="17">
        <v>52042.62</v>
      </c>
      <c r="AD92" s="4">
        <f t="shared" si="17"/>
        <v>0.16802353166140516</v>
      </c>
    </row>
    <row r="93" spans="1:31" ht="15" customHeight="1">
      <c r="A93" t="s">
        <v>1432</v>
      </c>
      <c r="B93" t="s">
        <v>1433</v>
      </c>
      <c r="C93">
        <v>1250</v>
      </c>
      <c r="E93" t="s">
        <v>1433</v>
      </c>
      <c r="F93">
        <v>1111</v>
      </c>
      <c r="G93" t="b">
        <f t="shared" si="14"/>
        <v>1</v>
      </c>
      <c r="J93">
        <f t="shared" si="15"/>
        <v>-139</v>
      </c>
      <c r="K93" s="4">
        <f t="shared" si="16"/>
        <v>-0.11119999999999997</v>
      </c>
      <c r="L93" s="4"/>
      <c r="N93" s="5">
        <v>1616.51</v>
      </c>
      <c r="O93" s="5">
        <v>1316.04</v>
      </c>
      <c r="Q93" s="5">
        <v>6388.97</v>
      </c>
      <c r="T93" s="98">
        <f t="shared" si="18"/>
        <v>-300.47000000000003</v>
      </c>
      <c r="U93" s="4">
        <f t="shared" si="19"/>
        <v>-0.18587574465979184</v>
      </c>
      <c r="AB93" s="17">
        <v>28537.9</v>
      </c>
      <c r="AC93" s="17">
        <v>25195.62</v>
      </c>
      <c r="AD93" s="4">
        <f t="shared" si="17"/>
        <v>-0.11711723707771082</v>
      </c>
    </row>
    <row r="94" spans="1:31" ht="15" customHeight="1">
      <c r="A94" t="s">
        <v>1434</v>
      </c>
      <c r="B94" t="s">
        <v>1435</v>
      </c>
      <c r="C94">
        <v>1006</v>
      </c>
      <c r="E94" t="s">
        <v>1435</v>
      </c>
      <c r="F94">
        <v>805</v>
      </c>
      <c r="G94" t="b">
        <f t="shared" si="14"/>
        <v>1</v>
      </c>
      <c r="J94">
        <f t="shared" si="15"/>
        <v>-201</v>
      </c>
      <c r="K94" s="4">
        <f t="shared" si="16"/>
        <v>-0.1998011928429424</v>
      </c>
      <c r="L94" s="4"/>
      <c r="N94" s="5">
        <v>521.41999999999996</v>
      </c>
      <c r="O94" s="5">
        <v>450.9</v>
      </c>
      <c r="Q94" s="5">
        <v>5482.56</v>
      </c>
      <c r="T94" s="98">
        <f t="shared" si="18"/>
        <v>-70.519999999999982</v>
      </c>
      <c r="U94" s="4">
        <f t="shared" si="19"/>
        <v>-0.13524605883932339</v>
      </c>
      <c r="AB94" s="17">
        <v>40223.14</v>
      </c>
      <c r="AC94" s="17">
        <v>32115.53</v>
      </c>
      <c r="AD94" s="4">
        <f t="shared" si="17"/>
        <v>-0.20156581510046212</v>
      </c>
    </row>
    <row r="95" spans="1:31" ht="15" customHeight="1">
      <c r="A95" t="s">
        <v>1436</v>
      </c>
      <c r="B95" t="s">
        <v>1437</v>
      </c>
      <c r="C95">
        <v>2047</v>
      </c>
      <c r="E95" t="s">
        <v>1437</v>
      </c>
      <c r="F95">
        <v>2932</v>
      </c>
      <c r="G95" t="b">
        <f t="shared" si="14"/>
        <v>1</v>
      </c>
      <c r="J95">
        <f t="shared" si="15"/>
        <v>885</v>
      </c>
      <c r="K95" s="4">
        <f t="shared" si="16"/>
        <v>0.43234000977039577</v>
      </c>
      <c r="N95" s="5">
        <v>2550.3200000000002</v>
      </c>
      <c r="O95" s="5">
        <v>3749.08</v>
      </c>
      <c r="Q95" s="5">
        <v>23358.41</v>
      </c>
      <c r="T95" s="98">
        <f t="shared" si="18"/>
        <v>1198.7599999999998</v>
      </c>
      <c r="U95" s="4">
        <f t="shared" si="19"/>
        <v>0.47004297499921566</v>
      </c>
      <c r="X95" s="5"/>
      <c r="Y95" s="5"/>
      <c r="Z95" s="5"/>
      <c r="AA95" s="16"/>
      <c r="AB95" s="17">
        <v>61189.599999999999</v>
      </c>
      <c r="AC95" s="17">
        <v>83317.37</v>
      </c>
      <c r="AD95" s="4">
        <f t="shared" si="17"/>
        <v>0.36162632212009882</v>
      </c>
    </row>
    <row r="96" spans="1:31" ht="15" customHeight="1">
      <c r="A96" t="s">
        <v>1438</v>
      </c>
      <c r="B96" t="s">
        <v>1439</v>
      </c>
      <c r="C96">
        <v>1052</v>
      </c>
      <c r="E96" t="s">
        <v>1439</v>
      </c>
      <c r="F96">
        <v>936</v>
      </c>
      <c r="G96" t="b">
        <f t="shared" si="14"/>
        <v>1</v>
      </c>
      <c r="J96">
        <f t="shared" si="15"/>
        <v>-116</v>
      </c>
      <c r="K96" s="4">
        <f t="shared" si="16"/>
        <v>-0.11026615969581754</v>
      </c>
      <c r="L96" s="4"/>
      <c r="N96" s="5">
        <v>1056.77</v>
      </c>
      <c r="O96" s="5">
        <v>666.96</v>
      </c>
      <c r="Q96" s="5">
        <v>3058.57</v>
      </c>
      <c r="T96" s="98">
        <f t="shared" si="18"/>
        <v>-389.80999999999995</v>
      </c>
      <c r="U96" s="4">
        <f t="shared" si="19"/>
        <v>-0.36886929038485194</v>
      </c>
      <c r="AB96" s="17">
        <v>21006.09</v>
      </c>
      <c r="AC96" s="17">
        <v>18707.66</v>
      </c>
      <c r="AD96" s="4">
        <f t="shared" si="17"/>
        <v>-0.10941731659723442</v>
      </c>
    </row>
    <row r="97" spans="1:30" ht="15" customHeight="1">
      <c r="A97" t="s">
        <v>1440</v>
      </c>
      <c r="B97" t="s">
        <v>1441</v>
      </c>
      <c r="C97">
        <v>1015</v>
      </c>
      <c r="E97" t="s">
        <v>1441</v>
      </c>
      <c r="F97">
        <v>788</v>
      </c>
      <c r="G97" t="b">
        <f t="shared" si="14"/>
        <v>1</v>
      </c>
      <c r="J97">
        <f t="shared" si="15"/>
        <v>-227</v>
      </c>
      <c r="K97" s="4">
        <f t="shared" si="16"/>
        <v>-0.22364532019704431</v>
      </c>
      <c r="L97" s="4"/>
      <c r="N97" s="5">
        <v>868.32</v>
      </c>
      <c r="O97" s="5">
        <v>505.52</v>
      </c>
      <c r="Q97" s="5">
        <v>2156.77</v>
      </c>
      <c r="T97" s="98">
        <f t="shared" si="18"/>
        <v>-362.80000000000007</v>
      </c>
      <c r="U97" s="4">
        <f t="shared" si="19"/>
        <v>-0.41781831582826612</v>
      </c>
      <c r="AB97" s="17">
        <v>15023.99</v>
      </c>
      <c r="AC97" s="17">
        <v>12594.07</v>
      </c>
      <c r="AD97" s="4">
        <f t="shared" si="17"/>
        <v>-0.16173599689563156</v>
      </c>
    </row>
    <row r="98" spans="1:30" ht="15" customHeight="1">
      <c r="A98" t="s">
        <v>1442</v>
      </c>
      <c r="B98" t="s">
        <v>1443</v>
      </c>
      <c r="C98">
        <v>1265</v>
      </c>
      <c r="E98" t="s">
        <v>1443</v>
      </c>
      <c r="F98">
        <v>1131</v>
      </c>
      <c r="G98" t="b">
        <f t="shared" si="14"/>
        <v>1</v>
      </c>
      <c r="J98">
        <f t="shared" si="15"/>
        <v>-134</v>
      </c>
      <c r="K98" s="4">
        <f t="shared" si="16"/>
        <v>-0.10592885375494077</v>
      </c>
      <c r="L98" s="4"/>
      <c r="N98" s="5">
        <v>1653.12</v>
      </c>
      <c r="O98" s="5">
        <v>1260.8699999999999</v>
      </c>
      <c r="Q98" s="5">
        <v>8715.8799999999992</v>
      </c>
      <c r="T98" s="98">
        <f t="shared" si="18"/>
        <v>-392.25</v>
      </c>
      <c r="U98" s="4">
        <f t="shared" si="19"/>
        <v>-0.23727860046457605</v>
      </c>
      <c r="AB98" s="17">
        <v>21478.73</v>
      </c>
      <c r="AC98" s="17">
        <v>19150.07</v>
      </c>
      <c r="AD98" s="4">
        <f t="shared" si="17"/>
        <v>-0.10841702465648573</v>
      </c>
    </row>
    <row r="99" spans="1:30" ht="15" customHeight="1">
      <c r="A99" t="s">
        <v>1444</v>
      </c>
      <c r="B99" t="s">
        <v>1445</v>
      </c>
      <c r="C99">
        <v>1018</v>
      </c>
      <c r="E99" t="s">
        <v>1445</v>
      </c>
      <c r="F99">
        <v>935</v>
      </c>
      <c r="G99" t="b">
        <f t="shared" ref="G99:G148" si="20">IF(B99=E99,TRUE,FALSE)</f>
        <v>1</v>
      </c>
      <c r="J99">
        <f t="shared" ref="J99:J134" si="21">F99-C99</f>
        <v>-83</v>
      </c>
      <c r="K99" s="4">
        <f t="shared" ref="K99:K134" si="22">F99/C99-1</f>
        <v>-8.1532416502946958E-2</v>
      </c>
      <c r="L99" s="4"/>
      <c r="N99" s="5">
        <v>1011.77</v>
      </c>
      <c r="O99" s="5">
        <v>811.8</v>
      </c>
      <c r="Q99" s="5">
        <v>3002.04</v>
      </c>
      <c r="T99" s="98">
        <f t="shared" si="18"/>
        <v>-199.97000000000003</v>
      </c>
      <c r="U99" s="4">
        <f t="shared" si="19"/>
        <v>-0.19764373325953533</v>
      </c>
      <c r="AB99" s="17">
        <v>20305.64</v>
      </c>
      <c r="AC99" s="17">
        <v>18664.7</v>
      </c>
      <c r="AD99" s="4">
        <f t="shared" si="17"/>
        <v>-8.0812030549147873E-2</v>
      </c>
    </row>
    <row r="100" spans="1:30" ht="15" customHeight="1">
      <c r="A100" t="s">
        <v>1446</v>
      </c>
      <c r="B100" t="s">
        <v>1447</v>
      </c>
      <c r="C100">
        <v>2665</v>
      </c>
      <c r="E100" t="s">
        <v>1447</v>
      </c>
      <c r="F100">
        <v>2102</v>
      </c>
      <c r="G100" t="b">
        <f t="shared" si="20"/>
        <v>1</v>
      </c>
      <c r="J100">
        <f t="shared" si="21"/>
        <v>-563</v>
      </c>
      <c r="K100" s="4">
        <f t="shared" si="22"/>
        <v>-0.2112570356472796</v>
      </c>
      <c r="L100" s="6"/>
      <c r="N100" s="5">
        <v>2475.17</v>
      </c>
      <c r="O100" s="5">
        <v>2174.56</v>
      </c>
      <c r="Q100" s="5">
        <v>11138.17</v>
      </c>
      <c r="T100" s="98">
        <f t="shared" si="18"/>
        <v>-300.61000000000013</v>
      </c>
      <c r="U100" s="4">
        <f t="shared" si="19"/>
        <v>-0.12145024382163649</v>
      </c>
      <c r="AB100" s="17">
        <v>46861.7</v>
      </c>
      <c r="AC100" s="17">
        <v>39657.199999999997</v>
      </c>
      <c r="AD100" s="4">
        <f t="shared" si="17"/>
        <v>-0.15373962105514738</v>
      </c>
    </row>
    <row r="101" spans="1:30" ht="15" customHeight="1">
      <c r="A101" t="s">
        <v>1448</v>
      </c>
      <c r="B101" t="s">
        <v>1449</v>
      </c>
      <c r="C101">
        <v>2037</v>
      </c>
      <c r="E101" t="s">
        <v>1449</v>
      </c>
      <c r="F101">
        <v>2085</v>
      </c>
      <c r="G101" t="b">
        <f t="shared" si="20"/>
        <v>1</v>
      </c>
      <c r="J101">
        <f t="shared" si="21"/>
        <v>48</v>
      </c>
      <c r="K101" s="4">
        <f t="shared" si="22"/>
        <v>2.356406480117812E-2</v>
      </c>
      <c r="L101" s="4"/>
      <c r="N101" s="5">
        <v>2444.96</v>
      </c>
      <c r="O101" s="5">
        <v>2135.63</v>
      </c>
      <c r="Q101" s="5">
        <v>13876.33</v>
      </c>
      <c r="T101" s="98">
        <f t="shared" si="18"/>
        <v>-309.32999999999993</v>
      </c>
      <c r="U101" s="4">
        <f t="shared" si="19"/>
        <v>-0.12651740723774618</v>
      </c>
      <c r="AB101" s="17">
        <v>50808.91</v>
      </c>
      <c r="AC101" s="17">
        <v>49379.99</v>
      </c>
      <c r="AD101" s="4">
        <f t="shared" ref="AD101:AD132" si="23">AC101/AB101-1</f>
        <v>-2.8123413787070173E-2</v>
      </c>
    </row>
    <row r="102" spans="1:30" ht="15" customHeight="1">
      <c r="A102" t="s">
        <v>1450</v>
      </c>
      <c r="B102" t="s">
        <v>1451</v>
      </c>
      <c r="C102">
        <v>1424</v>
      </c>
      <c r="D102" s="5"/>
      <c r="E102" t="s">
        <v>1451</v>
      </c>
      <c r="F102">
        <v>1308</v>
      </c>
      <c r="G102" t="b">
        <f t="shared" si="20"/>
        <v>1</v>
      </c>
      <c r="H102" s="5"/>
      <c r="I102" s="5"/>
      <c r="J102">
        <f t="shared" si="21"/>
        <v>-116</v>
      </c>
      <c r="K102" s="4">
        <f t="shared" si="22"/>
        <v>-8.1460674157303403E-2</v>
      </c>
      <c r="L102" s="5"/>
      <c r="M102" s="5"/>
      <c r="N102" s="5">
        <v>2242.94</v>
      </c>
      <c r="O102" s="5">
        <v>2700.7</v>
      </c>
      <c r="Q102" s="5">
        <v>17634.77</v>
      </c>
      <c r="T102" s="98">
        <f t="shared" si="18"/>
        <v>457.75999999999976</v>
      </c>
      <c r="U102" s="4">
        <f t="shared" si="19"/>
        <v>0.20408927568280899</v>
      </c>
      <c r="X102" s="5"/>
      <c r="Y102" s="5"/>
      <c r="Z102" s="5"/>
      <c r="AA102" s="16"/>
      <c r="AB102" s="17">
        <v>49789.36</v>
      </c>
      <c r="AC102" s="17">
        <v>45684.1</v>
      </c>
      <c r="AD102" s="4">
        <f t="shared" si="23"/>
        <v>-8.2452556128458032E-2</v>
      </c>
    </row>
    <row r="103" spans="1:30" ht="15" customHeight="1">
      <c r="A103" t="s">
        <v>1452</v>
      </c>
      <c r="B103" t="s">
        <v>1453</v>
      </c>
      <c r="C103">
        <v>5759</v>
      </c>
      <c r="E103" t="s">
        <v>1453</v>
      </c>
      <c r="F103">
        <v>5032</v>
      </c>
      <c r="G103" t="b">
        <f t="shared" si="20"/>
        <v>1</v>
      </c>
      <c r="J103">
        <f t="shared" si="21"/>
        <v>-727</v>
      </c>
      <c r="K103" s="4">
        <f t="shared" si="22"/>
        <v>-0.12623719395728428</v>
      </c>
      <c r="L103" s="4"/>
      <c r="N103" s="5">
        <v>6453.58</v>
      </c>
      <c r="O103" s="5">
        <v>4643.42</v>
      </c>
      <c r="Q103" s="5">
        <v>29316.83</v>
      </c>
      <c r="T103" s="98">
        <f t="shared" si="18"/>
        <v>-1810.1599999999999</v>
      </c>
      <c r="U103" s="4">
        <f t="shared" si="19"/>
        <v>-0.28048927881888808</v>
      </c>
      <c r="X103" t="s">
        <v>1454</v>
      </c>
      <c r="AB103" s="17">
        <v>139341.82</v>
      </c>
      <c r="AC103" s="17">
        <v>128528.93</v>
      </c>
      <c r="AD103" s="4">
        <f t="shared" si="23"/>
        <v>-7.759974715415674E-2</v>
      </c>
    </row>
    <row r="104" spans="1:30" ht="15" customHeight="1">
      <c r="A104" t="s">
        <v>1455</v>
      </c>
      <c r="B104" t="s">
        <v>1456</v>
      </c>
      <c r="C104">
        <v>2542</v>
      </c>
      <c r="E104" t="s">
        <v>1456</v>
      </c>
      <c r="F104">
        <v>1966</v>
      </c>
      <c r="G104" t="b">
        <f t="shared" si="20"/>
        <v>1</v>
      </c>
      <c r="J104">
        <f t="shared" si="21"/>
        <v>-576</v>
      </c>
      <c r="K104" s="4">
        <f t="shared" si="22"/>
        <v>-0.2265932336742722</v>
      </c>
      <c r="L104" s="4"/>
      <c r="N104" s="5">
        <v>2419.52</v>
      </c>
      <c r="O104" s="5">
        <v>1530.55</v>
      </c>
      <c r="Q104" s="5">
        <v>16964.13</v>
      </c>
      <c r="T104" s="98">
        <f t="shared" si="18"/>
        <v>-888.97</v>
      </c>
      <c r="U104" s="4">
        <f t="shared" si="19"/>
        <v>-0.36741585107789976</v>
      </c>
      <c r="AB104" s="17">
        <v>53415.63</v>
      </c>
      <c r="AC104" s="17">
        <v>46968.53</v>
      </c>
      <c r="AD104" s="4">
        <f t="shared" si="23"/>
        <v>-0.12069688216726071</v>
      </c>
    </row>
    <row r="105" spans="1:30" ht="15" customHeight="1">
      <c r="A105" t="s">
        <v>1457</v>
      </c>
      <c r="B105" t="s">
        <v>1458</v>
      </c>
      <c r="C105">
        <v>1004</v>
      </c>
      <c r="E105" t="s">
        <v>1458</v>
      </c>
      <c r="F105">
        <v>1044</v>
      </c>
      <c r="G105" t="b">
        <f t="shared" si="20"/>
        <v>1</v>
      </c>
      <c r="J105">
        <f t="shared" si="21"/>
        <v>40</v>
      </c>
      <c r="K105" s="4">
        <f t="shared" si="22"/>
        <v>3.9840637450199168E-2</v>
      </c>
      <c r="L105" s="4"/>
      <c r="N105" s="5">
        <v>1570.35</v>
      </c>
      <c r="O105" s="5">
        <v>1664.96</v>
      </c>
      <c r="Q105" s="5">
        <v>10174.43</v>
      </c>
      <c r="T105" s="98">
        <f t="shared" si="18"/>
        <v>94.610000000000127</v>
      </c>
      <c r="U105" s="4">
        <f t="shared" si="19"/>
        <v>6.0247715477441455E-2</v>
      </c>
      <c r="X105" s="5"/>
      <c r="Y105" s="5"/>
      <c r="Z105" s="5"/>
      <c r="AA105" s="16"/>
      <c r="AB105" s="17">
        <v>37089.29</v>
      </c>
      <c r="AC105" s="17">
        <v>38528.53</v>
      </c>
      <c r="AD105" s="4">
        <f t="shared" si="23"/>
        <v>3.8804733118374513E-2</v>
      </c>
    </row>
    <row r="106" spans="1:30" ht="15" customHeight="1">
      <c r="A106" s="38" t="s">
        <v>1459</v>
      </c>
      <c r="B106" s="35" t="s">
        <v>1460</v>
      </c>
      <c r="C106">
        <v>2970</v>
      </c>
      <c r="E106" s="35" t="s">
        <v>1460</v>
      </c>
      <c r="F106">
        <v>1737</v>
      </c>
      <c r="G106" t="b">
        <f t="shared" si="20"/>
        <v>1</v>
      </c>
      <c r="J106">
        <f t="shared" si="21"/>
        <v>-1233</v>
      </c>
      <c r="K106" s="4">
        <f t="shared" si="22"/>
        <v>-0.41515151515151516</v>
      </c>
      <c r="L106" s="4"/>
      <c r="N106" s="5">
        <v>5509.78</v>
      </c>
      <c r="O106" s="5">
        <v>5026.78</v>
      </c>
      <c r="Q106" s="5">
        <v>18054.02</v>
      </c>
      <c r="T106" s="98">
        <f t="shared" si="18"/>
        <v>-483</v>
      </c>
      <c r="U106" s="4">
        <f t="shared" si="19"/>
        <v>-8.7662302306081186E-2</v>
      </c>
      <c r="AB106" s="17">
        <v>60882.62</v>
      </c>
      <c r="AC106" s="17">
        <v>38126.06</v>
      </c>
      <c r="AD106" s="4">
        <f t="shared" si="23"/>
        <v>-0.3737776068112707</v>
      </c>
    </row>
    <row r="107" spans="1:30" ht="15" customHeight="1">
      <c r="A107" t="s">
        <v>1461</v>
      </c>
      <c r="B107" t="s">
        <v>1462</v>
      </c>
      <c r="C107">
        <v>1073</v>
      </c>
      <c r="E107" t="s">
        <v>1462</v>
      </c>
      <c r="F107">
        <v>1211</v>
      </c>
      <c r="G107" t="b">
        <f t="shared" si="20"/>
        <v>1</v>
      </c>
      <c r="J107">
        <f t="shared" si="21"/>
        <v>138</v>
      </c>
      <c r="K107" s="4">
        <f t="shared" si="22"/>
        <v>0.12861136999068035</v>
      </c>
      <c r="L107" s="4"/>
      <c r="N107" s="5">
        <v>914.95</v>
      </c>
      <c r="O107" s="5">
        <v>901.62</v>
      </c>
      <c r="Q107" s="5">
        <v>4667.67</v>
      </c>
      <c r="T107" s="98">
        <f t="shared" si="18"/>
        <v>-13.330000000000041</v>
      </c>
      <c r="U107" s="4">
        <f t="shared" si="19"/>
        <v>-1.4569102136728795E-2</v>
      </c>
      <c r="X107" t="s">
        <v>1463</v>
      </c>
      <c r="AB107" s="17">
        <v>25688.49</v>
      </c>
      <c r="AC107" s="17">
        <v>27025.14</v>
      </c>
      <c r="AD107" s="4">
        <f t="shared" si="23"/>
        <v>5.2033031135734209E-2</v>
      </c>
    </row>
    <row r="108" spans="1:30" ht="15" customHeight="1">
      <c r="A108" t="s">
        <v>1464</v>
      </c>
      <c r="B108" t="s">
        <v>1465</v>
      </c>
      <c r="C108">
        <v>1007</v>
      </c>
      <c r="E108" t="s">
        <v>1465</v>
      </c>
      <c r="F108">
        <v>924</v>
      </c>
      <c r="G108" t="b">
        <f t="shared" si="20"/>
        <v>1</v>
      </c>
      <c r="J108">
        <f t="shared" si="21"/>
        <v>-83</v>
      </c>
      <c r="K108" s="4">
        <f t="shared" si="22"/>
        <v>-8.2423038728897668E-2</v>
      </c>
      <c r="L108" s="6"/>
      <c r="N108" s="5">
        <v>814.8</v>
      </c>
      <c r="O108" s="5">
        <v>651.1</v>
      </c>
      <c r="Q108" s="5">
        <v>4697.42</v>
      </c>
      <c r="T108" s="98">
        <f t="shared" si="18"/>
        <v>-163.69999999999993</v>
      </c>
      <c r="U108" s="4">
        <f t="shared" si="19"/>
        <v>-0.2009081983308787</v>
      </c>
      <c r="X108" t="s">
        <v>1466</v>
      </c>
      <c r="AB108" s="17">
        <v>30190.33</v>
      </c>
      <c r="AC108" s="17">
        <v>27617.7</v>
      </c>
      <c r="AD108" s="4">
        <f t="shared" si="23"/>
        <v>-8.5213709157866191E-2</v>
      </c>
    </row>
    <row r="109" spans="1:30" ht="15" customHeight="1">
      <c r="A109" t="s">
        <v>1467</v>
      </c>
      <c r="B109" t="s">
        <v>1468</v>
      </c>
      <c r="C109">
        <v>3329</v>
      </c>
      <c r="E109" t="s">
        <v>1468</v>
      </c>
      <c r="F109">
        <v>3014</v>
      </c>
      <c r="G109" t="b">
        <f t="shared" si="20"/>
        <v>1</v>
      </c>
      <c r="J109">
        <f t="shared" si="21"/>
        <v>-315</v>
      </c>
      <c r="K109" s="4">
        <f t="shared" si="22"/>
        <v>-9.4623009912886746E-2</v>
      </c>
      <c r="L109" s="4"/>
      <c r="N109" s="5">
        <v>1767</v>
      </c>
      <c r="O109" s="5">
        <v>1523.05</v>
      </c>
      <c r="Q109" s="5">
        <v>7091</v>
      </c>
      <c r="T109" s="98">
        <f t="shared" ref="T109:T134" si="24">O109-N109</f>
        <v>-243.95000000000005</v>
      </c>
      <c r="U109" s="4">
        <f t="shared" si="19"/>
        <v>-0.13805885681946806</v>
      </c>
      <c r="X109" t="s">
        <v>1469</v>
      </c>
      <c r="AB109" s="17">
        <v>65308.7</v>
      </c>
      <c r="AC109" s="17">
        <v>62928.44</v>
      </c>
      <c r="AD109" s="4">
        <f t="shared" si="23"/>
        <v>-3.6446292760382581E-2</v>
      </c>
    </row>
    <row r="110" spans="1:30" ht="15" customHeight="1">
      <c r="A110" t="s">
        <v>1470</v>
      </c>
      <c r="B110" t="s">
        <v>1471</v>
      </c>
      <c r="C110">
        <v>2293</v>
      </c>
      <c r="E110" t="s">
        <v>1471</v>
      </c>
      <c r="F110">
        <v>2239</v>
      </c>
      <c r="G110" t="b">
        <f t="shared" si="20"/>
        <v>1</v>
      </c>
      <c r="J110">
        <f t="shared" si="21"/>
        <v>-54</v>
      </c>
      <c r="K110" s="4">
        <f t="shared" si="22"/>
        <v>-2.3549934583515064E-2</v>
      </c>
      <c r="L110" s="4"/>
      <c r="N110" s="5">
        <v>1977.3</v>
      </c>
      <c r="O110" s="5">
        <v>1658.86</v>
      </c>
      <c r="Q110" s="5">
        <v>10059.280000000001</v>
      </c>
      <c r="T110" s="98">
        <f t="shared" si="24"/>
        <v>-318.44000000000005</v>
      </c>
      <c r="U110" s="4">
        <f t="shared" si="19"/>
        <v>-0.16104789359227234</v>
      </c>
      <c r="AB110" s="17">
        <v>57176.4</v>
      </c>
      <c r="AC110" s="17">
        <v>55776.91</v>
      </c>
      <c r="AD110" s="4">
        <f t="shared" si="23"/>
        <v>-2.4476707172889522E-2</v>
      </c>
    </row>
    <row r="111" spans="1:30" ht="15" customHeight="1">
      <c r="A111" t="s">
        <v>1472</v>
      </c>
      <c r="B111" t="s">
        <v>1473</v>
      </c>
      <c r="C111">
        <v>3474</v>
      </c>
      <c r="E111" t="s">
        <v>1473</v>
      </c>
      <c r="F111">
        <v>2914</v>
      </c>
      <c r="G111" t="b">
        <f t="shared" si="20"/>
        <v>1</v>
      </c>
      <c r="J111">
        <f t="shared" si="21"/>
        <v>-560</v>
      </c>
      <c r="K111" s="4">
        <f t="shared" si="22"/>
        <v>-0.1611974668969488</v>
      </c>
      <c r="L111" s="4"/>
      <c r="N111" s="5">
        <v>3870.28</v>
      </c>
      <c r="O111" s="5">
        <v>1933.2</v>
      </c>
      <c r="Q111" s="5">
        <v>10420.24</v>
      </c>
      <c r="T111" s="98">
        <f t="shared" si="24"/>
        <v>-1937.0800000000002</v>
      </c>
      <c r="U111" s="4">
        <f t="shared" si="19"/>
        <v>-0.50050125572310011</v>
      </c>
      <c r="AB111" s="17">
        <v>78580.7</v>
      </c>
      <c r="AC111" s="17">
        <v>69039.97</v>
      </c>
      <c r="AD111" s="4">
        <f t="shared" si="23"/>
        <v>-0.12141314597604747</v>
      </c>
    </row>
    <row r="112" spans="1:30" ht="15" customHeight="1">
      <c r="A112" t="s">
        <v>1474</v>
      </c>
      <c r="B112" t="s">
        <v>1475</v>
      </c>
      <c r="C112">
        <v>3683</v>
      </c>
      <c r="E112" t="s">
        <v>1475</v>
      </c>
      <c r="F112">
        <v>3493</v>
      </c>
      <c r="G112" t="b">
        <f t="shared" si="20"/>
        <v>1</v>
      </c>
      <c r="J112">
        <f t="shared" si="21"/>
        <v>-190</v>
      </c>
      <c r="K112" s="4">
        <f t="shared" si="22"/>
        <v>-5.158837903882707E-2</v>
      </c>
      <c r="L112" s="6"/>
      <c r="N112" s="5">
        <v>8875.56</v>
      </c>
      <c r="O112" s="5">
        <v>6787.34</v>
      </c>
      <c r="Q112" s="5">
        <v>29829.41</v>
      </c>
      <c r="T112" s="98">
        <f t="shared" si="24"/>
        <v>-2088.2199999999993</v>
      </c>
      <c r="U112" s="4">
        <f t="shared" si="19"/>
        <v>-0.23527754868425199</v>
      </c>
      <c r="AB112" s="17">
        <v>99329.31</v>
      </c>
      <c r="AC112" s="17">
        <v>94193.38</v>
      </c>
      <c r="AD112" s="4">
        <f t="shared" si="23"/>
        <v>-5.1706087558647029E-2</v>
      </c>
    </row>
    <row r="113" spans="1:30" ht="15" customHeight="1">
      <c r="A113" s="38" t="s">
        <v>1476</v>
      </c>
      <c r="B113" s="35" t="s">
        <v>1477</v>
      </c>
      <c r="C113">
        <v>1957</v>
      </c>
      <c r="E113" s="35" t="s">
        <v>1477</v>
      </c>
      <c r="F113">
        <v>1223</v>
      </c>
      <c r="G113" t="b">
        <f t="shared" si="20"/>
        <v>1</v>
      </c>
      <c r="J113">
        <f t="shared" si="21"/>
        <v>-734</v>
      </c>
      <c r="K113" s="4">
        <f t="shared" si="22"/>
        <v>-0.37506387327542157</v>
      </c>
      <c r="L113" s="4"/>
      <c r="N113" s="5">
        <v>1420.98</v>
      </c>
      <c r="O113" s="5">
        <v>1157.06</v>
      </c>
      <c r="Q113" s="5">
        <v>4731.4399999999996</v>
      </c>
      <c r="T113" s="98">
        <f t="shared" si="24"/>
        <v>-263.92000000000007</v>
      </c>
      <c r="U113" s="4">
        <f>IF(N114=0,0,O113/N114-1)</f>
        <v>-0.29815601116098511</v>
      </c>
      <c r="AB113" s="17">
        <v>34194.26</v>
      </c>
      <c r="AC113" s="17">
        <v>24423.06</v>
      </c>
      <c r="AD113" s="4">
        <f t="shared" si="23"/>
        <v>-0.28575556248329403</v>
      </c>
    </row>
    <row r="114" spans="1:30" ht="15" customHeight="1">
      <c r="A114" s="26" t="s">
        <v>1478</v>
      </c>
      <c r="B114" s="26" t="s">
        <v>1479</v>
      </c>
      <c r="C114">
        <v>1611</v>
      </c>
      <c r="E114" s="26" t="s">
        <v>1479</v>
      </c>
      <c r="F114">
        <v>1497</v>
      </c>
      <c r="G114" t="b">
        <f t="shared" si="20"/>
        <v>1</v>
      </c>
      <c r="J114">
        <f t="shared" si="21"/>
        <v>-114</v>
      </c>
      <c r="K114" s="4">
        <f t="shared" si="22"/>
        <v>-7.0763500931098733E-2</v>
      </c>
      <c r="L114" s="4"/>
      <c r="N114" s="5">
        <v>1648.6</v>
      </c>
      <c r="O114" s="5">
        <v>1504.55</v>
      </c>
      <c r="Q114" s="5">
        <v>7696.79</v>
      </c>
      <c r="T114" s="98">
        <f t="shared" si="24"/>
        <v>-144.04999999999995</v>
      </c>
      <c r="U114" s="4">
        <f t="shared" ref="U114:U130" si="25">IF(N114=0,0,O114/N114-1)</f>
        <v>-8.7377168506611702E-2</v>
      </c>
      <c r="AB114" s="17">
        <v>38532.19</v>
      </c>
      <c r="AC114" s="17">
        <v>35824.42</v>
      </c>
      <c r="AD114" s="4">
        <f t="shared" si="23"/>
        <v>-7.0272932838751245E-2</v>
      </c>
    </row>
    <row r="115" spans="1:30" ht="15" customHeight="1">
      <c r="A115" t="s">
        <v>1480</v>
      </c>
      <c r="B115" t="s">
        <v>1481</v>
      </c>
      <c r="C115">
        <v>1549</v>
      </c>
      <c r="E115" t="s">
        <v>1481</v>
      </c>
      <c r="F115">
        <v>1431</v>
      </c>
      <c r="G115" t="b">
        <f t="shared" si="20"/>
        <v>1</v>
      </c>
      <c r="J115">
        <f t="shared" si="21"/>
        <v>-118</v>
      </c>
      <c r="K115" s="4">
        <f t="shared" si="22"/>
        <v>-7.6178179470626217E-2</v>
      </c>
      <c r="L115" s="4"/>
      <c r="N115" s="5">
        <v>1479.04</v>
      </c>
      <c r="O115" s="5">
        <v>1234.08</v>
      </c>
      <c r="Q115" s="5">
        <v>7377.48</v>
      </c>
      <c r="T115" s="98">
        <f t="shared" si="24"/>
        <v>-244.96000000000004</v>
      </c>
      <c r="U115" s="4">
        <f t="shared" si="25"/>
        <v>-0.16562094331458244</v>
      </c>
      <c r="AB115" s="17">
        <v>29412.47</v>
      </c>
      <c r="AC115" s="17">
        <v>27076.15</v>
      </c>
      <c r="AD115" s="4">
        <f t="shared" si="23"/>
        <v>-7.9432975197254785E-2</v>
      </c>
    </row>
    <row r="116" spans="1:30" ht="15" customHeight="1">
      <c r="A116" t="s">
        <v>1482</v>
      </c>
      <c r="B116" t="s">
        <v>1483</v>
      </c>
      <c r="C116">
        <v>4194</v>
      </c>
      <c r="E116" t="s">
        <v>1483</v>
      </c>
      <c r="F116">
        <v>3092</v>
      </c>
      <c r="G116" t="b">
        <f t="shared" si="20"/>
        <v>1</v>
      </c>
      <c r="J116">
        <f t="shared" si="21"/>
        <v>-1102</v>
      </c>
      <c r="K116" s="4">
        <f t="shared" si="22"/>
        <v>-0.26275631855031001</v>
      </c>
      <c r="L116" s="4"/>
      <c r="N116" s="5">
        <v>4811.12</v>
      </c>
      <c r="O116" s="5">
        <v>2166.83</v>
      </c>
      <c r="Q116" s="5">
        <v>7726.31</v>
      </c>
      <c r="T116" s="98">
        <f t="shared" si="24"/>
        <v>-2644.29</v>
      </c>
      <c r="U116" s="4">
        <f t="shared" si="25"/>
        <v>-0.54962046259498831</v>
      </c>
      <c r="X116" s="5"/>
      <c r="Y116" s="5" t="s">
        <v>1484</v>
      </c>
      <c r="Z116" s="5"/>
      <c r="AA116" s="16"/>
      <c r="AB116" s="17">
        <v>74929.72</v>
      </c>
      <c r="AC116" s="17">
        <v>61782.91</v>
      </c>
      <c r="AD116" s="4">
        <f t="shared" si="23"/>
        <v>-0.17545521323181235</v>
      </c>
    </row>
    <row r="117" spans="1:30" ht="15" customHeight="1">
      <c r="A117" t="s">
        <v>1485</v>
      </c>
      <c r="B117" t="s">
        <v>1486</v>
      </c>
      <c r="C117">
        <v>1010</v>
      </c>
      <c r="E117" t="s">
        <v>1486</v>
      </c>
      <c r="F117">
        <v>1058</v>
      </c>
      <c r="G117" t="b">
        <f t="shared" si="20"/>
        <v>1</v>
      </c>
      <c r="J117">
        <f t="shared" si="21"/>
        <v>48</v>
      </c>
      <c r="K117" s="4">
        <f t="shared" si="22"/>
        <v>4.7524752475247567E-2</v>
      </c>
      <c r="L117" s="4"/>
      <c r="N117" s="5">
        <v>1478.23</v>
      </c>
      <c r="O117" s="5">
        <v>1194.57</v>
      </c>
      <c r="Q117" s="5">
        <v>12553.78</v>
      </c>
      <c r="T117" s="98">
        <f t="shared" si="24"/>
        <v>-283.66000000000008</v>
      </c>
      <c r="U117" s="4">
        <f t="shared" si="25"/>
        <v>-0.19189165420807319</v>
      </c>
      <c r="AB117" s="17">
        <v>23191.85</v>
      </c>
      <c r="AC117" s="17">
        <v>24316.81</v>
      </c>
      <c r="AD117" s="4">
        <f t="shared" si="23"/>
        <v>4.8506695239922681E-2</v>
      </c>
    </row>
    <row r="118" spans="1:30" ht="13.5" customHeight="1">
      <c r="A118" t="s">
        <v>1487</v>
      </c>
      <c r="B118" t="s">
        <v>1488</v>
      </c>
      <c r="C118">
        <v>1019</v>
      </c>
      <c r="E118" t="s">
        <v>1488</v>
      </c>
      <c r="F118">
        <v>1115</v>
      </c>
      <c r="G118" t="b">
        <f t="shared" si="20"/>
        <v>1</v>
      </c>
      <c r="J118">
        <f t="shared" si="21"/>
        <v>96</v>
      </c>
      <c r="K118" s="4">
        <f t="shared" si="22"/>
        <v>9.4210009813542772E-2</v>
      </c>
      <c r="L118" s="4"/>
      <c r="N118" s="5">
        <v>452.13</v>
      </c>
      <c r="O118" s="5">
        <v>421.72</v>
      </c>
      <c r="Q118" s="5">
        <v>4480.49</v>
      </c>
      <c r="T118" s="98">
        <f t="shared" si="24"/>
        <v>-30.409999999999968</v>
      </c>
      <c r="U118" s="4">
        <f t="shared" si="25"/>
        <v>-6.7259416539490746E-2</v>
      </c>
      <c r="AB118" s="17">
        <v>35604.949999999997</v>
      </c>
      <c r="AC118" s="17">
        <v>38914.79</v>
      </c>
      <c r="AD118" s="4">
        <f t="shared" si="23"/>
        <v>9.2960108074860548E-2</v>
      </c>
    </row>
    <row r="119" spans="1:30" ht="13.5" customHeight="1">
      <c r="A119" t="s">
        <v>1489</v>
      </c>
      <c r="B119" t="s">
        <v>1490</v>
      </c>
      <c r="C119">
        <v>1152</v>
      </c>
      <c r="E119" t="s">
        <v>1490</v>
      </c>
      <c r="F119">
        <v>869</v>
      </c>
      <c r="G119" t="b">
        <f t="shared" si="20"/>
        <v>1</v>
      </c>
      <c r="J119">
        <f t="shared" si="21"/>
        <v>-283</v>
      </c>
      <c r="K119" s="4">
        <f t="shared" si="22"/>
        <v>-0.24565972222222221</v>
      </c>
      <c r="N119" s="5">
        <v>2712.24</v>
      </c>
      <c r="O119" s="5">
        <v>1378.09</v>
      </c>
      <c r="Q119" s="5">
        <v>4739.63</v>
      </c>
      <c r="T119" s="98">
        <f t="shared" si="24"/>
        <v>-1334.1499999999999</v>
      </c>
      <c r="U119" s="4">
        <f t="shared" si="25"/>
        <v>-0.49189968439371146</v>
      </c>
      <c r="X119" s="5"/>
      <c r="Y119" s="5"/>
      <c r="Z119" s="5"/>
      <c r="AA119" s="16"/>
      <c r="AB119" s="17">
        <v>20263.93</v>
      </c>
      <c r="AC119" s="17">
        <v>16358.43</v>
      </c>
      <c r="AD119" s="4">
        <f t="shared" si="23"/>
        <v>-0.19273161721344279</v>
      </c>
    </row>
    <row r="120" spans="1:30" ht="13.5" customHeight="1">
      <c r="A120" t="s">
        <v>1491</v>
      </c>
      <c r="B120" t="s">
        <v>1492</v>
      </c>
      <c r="C120">
        <v>2069</v>
      </c>
      <c r="E120" t="s">
        <v>1492</v>
      </c>
      <c r="F120">
        <v>1411</v>
      </c>
      <c r="G120" t="b">
        <f t="shared" si="20"/>
        <v>1</v>
      </c>
      <c r="J120">
        <f t="shared" si="21"/>
        <v>-658</v>
      </c>
      <c r="K120" s="4">
        <f t="shared" si="22"/>
        <v>-0.31802803286611891</v>
      </c>
      <c r="L120" s="4"/>
      <c r="N120" s="5">
        <v>1267.69</v>
      </c>
      <c r="O120" s="5">
        <v>815.76</v>
      </c>
      <c r="Q120" s="5">
        <v>4852.2</v>
      </c>
      <c r="T120" s="98">
        <f t="shared" si="24"/>
        <v>-451.93000000000006</v>
      </c>
      <c r="U120" s="4">
        <f t="shared" si="25"/>
        <v>-0.35649882857796467</v>
      </c>
      <c r="AB120" s="17">
        <v>36127.93</v>
      </c>
      <c r="AC120" s="17">
        <v>28163.13</v>
      </c>
      <c r="AD120" s="4">
        <f t="shared" si="23"/>
        <v>-0.22046101174354571</v>
      </c>
    </row>
    <row r="121" spans="1:30" ht="13.5" customHeight="1">
      <c r="A121" t="s">
        <v>1493</v>
      </c>
      <c r="B121" t="s">
        <v>1494</v>
      </c>
      <c r="C121">
        <v>3924</v>
      </c>
      <c r="E121" t="s">
        <v>1494</v>
      </c>
      <c r="F121">
        <v>3768</v>
      </c>
      <c r="G121" t="b">
        <f t="shared" si="20"/>
        <v>1</v>
      </c>
      <c r="J121">
        <f t="shared" si="21"/>
        <v>-156</v>
      </c>
      <c r="K121" s="4">
        <f t="shared" si="22"/>
        <v>-3.9755351681957207E-2</v>
      </c>
      <c r="N121" s="5">
        <v>7008.01</v>
      </c>
      <c r="O121" s="5">
        <v>5454.6</v>
      </c>
      <c r="Q121" s="5">
        <v>19301.39</v>
      </c>
      <c r="T121" s="98">
        <f t="shared" si="24"/>
        <v>-1553.4099999999999</v>
      </c>
      <c r="U121" s="4">
        <f t="shared" si="25"/>
        <v>-0.22166206954613366</v>
      </c>
      <c r="X121" s="5"/>
      <c r="Y121" s="5"/>
      <c r="Z121" s="5"/>
      <c r="AA121" s="16"/>
      <c r="AB121" s="17">
        <v>68905.539999999994</v>
      </c>
      <c r="AC121" s="17">
        <v>63925.89</v>
      </c>
      <c r="AD121" s="4">
        <f t="shared" si="23"/>
        <v>-7.2267774115114647E-2</v>
      </c>
    </row>
    <row r="122" spans="1:30" ht="13.5" customHeight="1">
      <c r="A122" t="s">
        <v>1495</v>
      </c>
      <c r="B122" t="s">
        <v>1496</v>
      </c>
      <c r="C122">
        <v>1794</v>
      </c>
      <c r="E122" t="s">
        <v>1496</v>
      </c>
      <c r="F122">
        <v>2044</v>
      </c>
      <c r="G122" t="b">
        <f t="shared" si="20"/>
        <v>1</v>
      </c>
      <c r="J122">
        <f t="shared" si="21"/>
        <v>250</v>
      </c>
      <c r="K122" s="4">
        <f t="shared" si="22"/>
        <v>0.1393534002229655</v>
      </c>
      <c r="L122" s="4"/>
      <c r="N122" s="5">
        <v>1404.93</v>
      </c>
      <c r="O122" s="5">
        <v>2261.11</v>
      </c>
      <c r="Q122" s="5">
        <v>10313.77</v>
      </c>
      <c r="T122" s="98">
        <f t="shared" si="24"/>
        <v>856.18000000000006</v>
      </c>
      <c r="U122" s="4">
        <f t="shared" si="25"/>
        <v>0.60941114503925453</v>
      </c>
      <c r="AB122" s="17">
        <v>43030.38</v>
      </c>
      <c r="AC122" s="17">
        <v>46289.65</v>
      </c>
      <c r="AD122" s="4">
        <f t="shared" si="23"/>
        <v>7.5743463106763276E-2</v>
      </c>
    </row>
    <row r="123" spans="1:30" ht="13.5" customHeight="1">
      <c r="A123" t="s">
        <v>1497</v>
      </c>
      <c r="B123" t="s">
        <v>1498</v>
      </c>
      <c r="C123">
        <v>2896</v>
      </c>
      <c r="E123" t="s">
        <v>1498</v>
      </c>
      <c r="F123">
        <v>1706</v>
      </c>
      <c r="G123" t="b">
        <f t="shared" si="20"/>
        <v>1</v>
      </c>
      <c r="J123">
        <f t="shared" si="21"/>
        <v>-1190</v>
      </c>
      <c r="K123" s="4">
        <f t="shared" si="22"/>
        <v>-0.41091160220994472</v>
      </c>
      <c r="L123" s="6"/>
      <c r="N123" s="5">
        <v>3624.18</v>
      </c>
      <c r="O123" s="5">
        <v>2192.98</v>
      </c>
      <c r="Q123" s="5">
        <v>13591.35</v>
      </c>
      <c r="T123" s="98">
        <f t="shared" si="24"/>
        <v>-1431.1999999999998</v>
      </c>
      <c r="U123" s="4">
        <f t="shared" si="25"/>
        <v>-0.39490312291332108</v>
      </c>
      <c r="AB123" s="17">
        <v>55816.09</v>
      </c>
      <c r="AC123" s="17">
        <v>37419.72</v>
      </c>
      <c r="AD123" s="4">
        <f t="shared" si="23"/>
        <v>-0.32958901277391517</v>
      </c>
    </row>
    <row r="124" spans="1:30" ht="13.5" customHeight="1">
      <c r="A124" t="s">
        <v>1499</v>
      </c>
      <c r="B124" t="s">
        <v>1500</v>
      </c>
      <c r="C124">
        <v>2396</v>
      </c>
      <c r="E124" t="s">
        <v>1500</v>
      </c>
      <c r="F124">
        <v>2459</v>
      </c>
      <c r="G124" t="b">
        <f t="shared" si="20"/>
        <v>1</v>
      </c>
      <c r="J124">
        <f t="shared" si="21"/>
        <v>63</v>
      </c>
      <c r="K124" s="4">
        <f t="shared" si="22"/>
        <v>2.6293823038397335E-2</v>
      </c>
      <c r="L124" s="4"/>
      <c r="N124" s="5">
        <v>2256.0500000000002</v>
      </c>
      <c r="O124" s="5">
        <v>2247.8000000000002</v>
      </c>
      <c r="Q124" s="5">
        <v>12289.47</v>
      </c>
      <c r="T124" s="98">
        <f t="shared" si="24"/>
        <v>-8.25</v>
      </c>
      <c r="U124" s="4">
        <f t="shared" si="25"/>
        <v>-3.6568338467676265E-3</v>
      </c>
      <c r="AB124" s="17">
        <v>47750.7</v>
      </c>
      <c r="AC124" s="17">
        <v>46644.12</v>
      </c>
      <c r="AD124" s="4">
        <f t="shared" si="23"/>
        <v>-2.3174110536599346E-2</v>
      </c>
    </row>
    <row r="125" spans="1:30" ht="15" customHeight="1">
      <c r="A125" t="s">
        <v>1501</v>
      </c>
      <c r="B125" t="s">
        <v>1502</v>
      </c>
      <c r="C125">
        <v>3596</v>
      </c>
      <c r="E125" t="s">
        <v>1502</v>
      </c>
      <c r="F125">
        <v>3065</v>
      </c>
      <c r="G125" t="b">
        <f t="shared" si="20"/>
        <v>1</v>
      </c>
      <c r="J125">
        <f t="shared" si="21"/>
        <v>-531</v>
      </c>
      <c r="K125" s="4">
        <f t="shared" si="22"/>
        <v>-0.1476640711902113</v>
      </c>
      <c r="L125" s="4"/>
      <c r="N125" s="5">
        <v>5086.1000000000004</v>
      </c>
      <c r="O125" s="5">
        <v>4037.09</v>
      </c>
      <c r="Q125" s="5">
        <v>15298.71</v>
      </c>
      <c r="T125" s="98">
        <f t="shared" si="24"/>
        <v>-1049.0100000000002</v>
      </c>
      <c r="U125" s="4">
        <f t="shared" si="25"/>
        <v>-0.20625036865181579</v>
      </c>
      <c r="AB125" s="17">
        <v>71597.899999999994</v>
      </c>
      <c r="AC125" s="17">
        <v>61045.760000000002</v>
      </c>
      <c r="AD125" s="4">
        <f t="shared" si="23"/>
        <v>-0.14738057959800488</v>
      </c>
    </row>
    <row r="126" spans="1:30" ht="15" customHeight="1">
      <c r="A126" t="s">
        <v>1503</v>
      </c>
      <c r="B126" t="s">
        <v>1504</v>
      </c>
      <c r="C126">
        <v>4237</v>
      </c>
      <c r="E126" t="s">
        <v>1504</v>
      </c>
      <c r="F126">
        <v>3883</v>
      </c>
      <c r="G126" t="b">
        <f t="shared" si="20"/>
        <v>1</v>
      </c>
      <c r="J126">
        <f t="shared" si="21"/>
        <v>-354</v>
      </c>
      <c r="K126" s="4">
        <f t="shared" si="22"/>
        <v>-8.354968137833374E-2</v>
      </c>
      <c r="L126" s="4"/>
      <c r="N126" s="5">
        <v>6410.65</v>
      </c>
      <c r="O126" s="5">
        <v>5733.97</v>
      </c>
      <c r="Q126" s="5">
        <v>28362.83</v>
      </c>
      <c r="T126" s="98">
        <f t="shared" si="24"/>
        <v>-676.67999999999938</v>
      </c>
      <c r="U126" s="4">
        <f t="shared" si="25"/>
        <v>-0.10555559888622834</v>
      </c>
      <c r="AB126" s="17">
        <v>94228.15</v>
      </c>
      <c r="AC126" s="17">
        <v>96770.33</v>
      </c>
      <c r="AD126" s="4">
        <f t="shared" si="23"/>
        <v>2.6978986640404212E-2</v>
      </c>
    </row>
    <row r="127" spans="1:30" ht="15" customHeight="1">
      <c r="A127" t="s">
        <v>1505</v>
      </c>
      <c r="B127" t="s">
        <v>1506</v>
      </c>
      <c r="C127">
        <v>1988</v>
      </c>
      <c r="E127" t="s">
        <v>1506</v>
      </c>
      <c r="F127">
        <v>2009</v>
      </c>
      <c r="G127" t="b">
        <f t="shared" si="20"/>
        <v>1</v>
      </c>
      <c r="J127">
        <f t="shared" si="21"/>
        <v>21</v>
      </c>
      <c r="K127" s="4">
        <f t="shared" si="22"/>
        <v>1.0563380281690238E-2</v>
      </c>
      <c r="L127" s="4"/>
      <c r="N127" s="5">
        <v>3803.95</v>
      </c>
      <c r="O127" s="5">
        <v>3225.12</v>
      </c>
      <c r="Q127" s="5">
        <v>30324.26</v>
      </c>
      <c r="T127" s="98">
        <f t="shared" si="24"/>
        <v>-578.82999999999993</v>
      </c>
      <c r="U127" s="4">
        <f t="shared" si="25"/>
        <v>-0.15216551216498642</v>
      </c>
      <c r="AB127" s="17">
        <v>68991.64</v>
      </c>
      <c r="AC127" s="17">
        <v>69982.960000000006</v>
      </c>
      <c r="AD127" s="4">
        <f t="shared" si="23"/>
        <v>1.4368697424789634E-2</v>
      </c>
    </row>
    <row r="128" spans="1:30" ht="15" customHeight="1">
      <c r="A128" t="s">
        <v>1507</v>
      </c>
      <c r="B128" t="s">
        <v>1508</v>
      </c>
      <c r="C128">
        <v>4723</v>
      </c>
      <c r="E128" t="s">
        <v>1508</v>
      </c>
      <c r="F128">
        <v>3232</v>
      </c>
      <c r="G128" t="b">
        <f t="shared" si="20"/>
        <v>1</v>
      </c>
      <c r="J128">
        <f t="shared" si="21"/>
        <v>-1491</v>
      </c>
      <c r="K128" s="4">
        <f t="shared" si="22"/>
        <v>-0.31568918060554729</v>
      </c>
      <c r="L128" s="4"/>
      <c r="N128" s="5">
        <v>7198.04</v>
      </c>
      <c r="O128" s="5">
        <v>3945.35</v>
      </c>
      <c r="Q128" s="5">
        <v>14765.43</v>
      </c>
      <c r="T128" s="98">
        <f t="shared" si="24"/>
        <v>-3252.69</v>
      </c>
      <c r="U128" s="4">
        <f t="shared" si="25"/>
        <v>-0.4518855132786147</v>
      </c>
      <c r="Y128" t="s">
        <v>1509</v>
      </c>
      <c r="AB128" s="17">
        <v>78489.45</v>
      </c>
      <c r="AC128" s="17">
        <v>61296.51</v>
      </c>
      <c r="AD128" s="4">
        <f t="shared" si="23"/>
        <v>-0.21904778285489324</v>
      </c>
    </row>
    <row r="129" spans="1:30" ht="15" customHeight="1">
      <c r="A129" t="s">
        <v>1510</v>
      </c>
      <c r="B129" t="s">
        <v>1511</v>
      </c>
      <c r="C129">
        <v>3042</v>
      </c>
      <c r="E129" t="s">
        <v>1511</v>
      </c>
      <c r="F129">
        <v>1806</v>
      </c>
      <c r="G129" t="b">
        <f t="shared" si="20"/>
        <v>1</v>
      </c>
      <c r="J129">
        <f t="shared" si="21"/>
        <v>-1236</v>
      </c>
      <c r="K129" s="4">
        <f t="shared" si="22"/>
        <v>-0.40631163708086782</v>
      </c>
      <c r="L129" s="6"/>
      <c r="N129" s="5">
        <v>3218.36</v>
      </c>
      <c r="O129" s="5">
        <v>1767.39</v>
      </c>
      <c r="Q129" s="5">
        <v>9179.26</v>
      </c>
      <c r="T129" s="98">
        <f t="shared" si="24"/>
        <v>-1450.97</v>
      </c>
      <c r="U129" s="4">
        <f t="shared" si="25"/>
        <v>-0.45084142233932811</v>
      </c>
      <c r="AB129" s="17">
        <v>57858.68</v>
      </c>
      <c r="AC129" s="17">
        <v>39645.620000000003</v>
      </c>
      <c r="AD129" s="4">
        <f t="shared" si="23"/>
        <v>-0.31478526644576055</v>
      </c>
    </row>
    <row r="130" spans="1:30" ht="15" customHeight="1">
      <c r="A130" t="s">
        <v>1512</v>
      </c>
      <c r="B130" t="s">
        <v>1513</v>
      </c>
      <c r="C130">
        <v>2474</v>
      </c>
      <c r="E130" t="s">
        <v>1513</v>
      </c>
      <c r="F130">
        <v>1584</v>
      </c>
      <c r="G130" t="b">
        <f t="shared" si="20"/>
        <v>1</v>
      </c>
      <c r="J130">
        <f t="shared" si="21"/>
        <v>-890</v>
      </c>
      <c r="K130" s="4">
        <f t="shared" si="22"/>
        <v>-0.35974130962004847</v>
      </c>
      <c r="L130" s="4"/>
      <c r="N130" s="5">
        <v>3114.23</v>
      </c>
      <c r="O130" s="5">
        <v>939.02</v>
      </c>
      <c r="Q130" s="5">
        <v>4138.55</v>
      </c>
      <c r="T130" s="98">
        <f t="shared" si="24"/>
        <v>-2175.21</v>
      </c>
      <c r="U130" s="4">
        <f t="shared" si="25"/>
        <v>-0.69847442224883838</v>
      </c>
      <c r="AB130" s="17">
        <v>42931.8</v>
      </c>
      <c r="AC130" s="17">
        <v>29547.57</v>
      </c>
      <c r="AD130" s="4">
        <f t="shared" si="23"/>
        <v>-0.31175562170698645</v>
      </c>
    </row>
    <row r="131" spans="1:30" ht="15" customHeight="1">
      <c r="A131" t="s">
        <v>1514</v>
      </c>
      <c r="B131" t="s">
        <v>1515</v>
      </c>
      <c r="C131">
        <v>3916</v>
      </c>
      <c r="E131" t="s">
        <v>1515</v>
      </c>
      <c r="F131">
        <v>3619</v>
      </c>
      <c r="G131" t="b">
        <f t="shared" si="20"/>
        <v>1</v>
      </c>
      <c r="J131">
        <f t="shared" si="21"/>
        <v>-297</v>
      </c>
      <c r="K131" s="4">
        <f t="shared" si="22"/>
        <v>-7.5842696629213502E-2</v>
      </c>
      <c r="L131" s="4"/>
      <c r="N131" s="5">
        <v>5192.41</v>
      </c>
      <c r="O131" s="5">
        <v>4904.46</v>
      </c>
      <c r="Q131" s="5">
        <v>19246.25</v>
      </c>
      <c r="T131" s="98">
        <f t="shared" si="24"/>
        <v>-287.94999999999982</v>
      </c>
      <c r="U131" s="4">
        <f>IF(N132=0,0,O131/N132-1)</f>
        <v>-0.64265318241266622</v>
      </c>
      <c r="AB131" s="17">
        <v>77972.149999999994</v>
      </c>
      <c r="AC131" s="17">
        <v>72142.039999999994</v>
      </c>
      <c r="AD131" s="4">
        <f t="shared" si="23"/>
        <v>-7.4771697330393017E-2</v>
      </c>
    </row>
    <row r="132" spans="1:30" ht="15" customHeight="1">
      <c r="A132" t="s">
        <v>1516</v>
      </c>
      <c r="B132" t="s">
        <v>1517</v>
      </c>
      <c r="C132">
        <v>12960</v>
      </c>
      <c r="E132" t="s">
        <v>1517</v>
      </c>
      <c r="F132">
        <v>12398</v>
      </c>
      <c r="G132" t="b">
        <f t="shared" si="20"/>
        <v>1</v>
      </c>
      <c r="J132">
        <f t="shared" si="21"/>
        <v>-562</v>
      </c>
      <c r="K132" s="4">
        <f t="shared" si="22"/>
        <v>-4.3364197530864179E-2</v>
      </c>
      <c r="L132" s="4"/>
      <c r="N132" s="5">
        <v>13724.65</v>
      </c>
      <c r="O132" s="5">
        <v>14078.6</v>
      </c>
      <c r="Q132" s="5">
        <v>54018.47</v>
      </c>
      <c r="T132" s="98">
        <f t="shared" si="24"/>
        <v>353.95000000000073</v>
      </c>
      <c r="U132" s="4">
        <f>IF(N132=0,0,O132/N132-1)</f>
        <v>2.5789364391806124E-2</v>
      </c>
      <c r="X132" t="s">
        <v>1518</v>
      </c>
      <c r="AB132" s="17">
        <v>228795.27</v>
      </c>
      <c r="AC132" s="17">
        <v>229092.73</v>
      </c>
      <c r="AD132" s="4">
        <f t="shared" si="23"/>
        <v>1.3001142899502494E-3</v>
      </c>
    </row>
    <row r="133" spans="1:30" ht="13.5" customHeight="1">
      <c r="A133" t="s">
        <v>1519</v>
      </c>
      <c r="B133" t="s">
        <v>1520</v>
      </c>
      <c r="C133">
        <v>4750</v>
      </c>
      <c r="E133" t="s">
        <v>1520</v>
      </c>
      <c r="F133">
        <v>3786</v>
      </c>
      <c r="G133" t="b">
        <f t="shared" si="20"/>
        <v>1</v>
      </c>
      <c r="J133">
        <f t="shared" si="21"/>
        <v>-964</v>
      </c>
      <c r="K133" s="4">
        <f t="shared" si="22"/>
        <v>-0.20294736842105265</v>
      </c>
      <c r="L133" s="4"/>
      <c r="N133" s="5">
        <v>3994.55</v>
      </c>
      <c r="O133" s="5">
        <v>2078.7199999999998</v>
      </c>
      <c r="Q133" s="5">
        <v>10813.11</v>
      </c>
      <c r="T133" s="98">
        <f t="shared" si="24"/>
        <v>-1915.8300000000004</v>
      </c>
      <c r="U133" s="4">
        <f>IF(N133=0,0,O133/N133-1)</f>
        <v>-0.47961096994655228</v>
      </c>
      <c r="AB133" s="17">
        <v>83866.11</v>
      </c>
      <c r="AC133" s="17">
        <v>75611.05</v>
      </c>
      <c r="AD133" s="4">
        <f t="shared" ref="AD133:AD143" si="26">AC133/AB133-1</f>
        <v>-9.8431416456540077E-2</v>
      </c>
    </row>
    <row r="134" spans="1:30" ht="13.5" customHeight="1">
      <c r="A134" s="123" t="s">
        <v>1873</v>
      </c>
      <c r="B134" s="26" t="s">
        <v>1867</v>
      </c>
      <c r="C134">
        <v>215</v>
      </c>
      <c r="E134" s="26" t="s">
        <v>1867</v>
      </c>
      <c r="F134">
        <v>95</v>
      </c>
      <c r="G134" t="b">
        <f t="shared" si="20"/>
        <v>1</v>
      </c>
      <c r="J134">
        <f t="shared" si="21"/>
        <v>-120</v>
      </c>
      <c r="K134" s="4">
        <f t="shared" si="22"/>
        <v>-0.55813953488372092</v>
      </c>
      <c r="L134" s="4"/>
      <c r="N134" s="5">
        <v>1205.1300000000001</v>
      </c>
      <c r="O134" s="5">
        <v>480.02</v>
      </c>
      <c r="Q134" s="5">
        <v>1691.22</v>
      </c>
      <c r="T134" s="98">
        <f t="shared" si="24"/>
        <v>-725.11000000000013</v>
      </c>
      <c r="U134" s="4">
        <f>IF(N134=0,0,O134/N134-1)</f>
        <v>-0.60168612514832431</v>
      </c>
      <c r="AB134" s="17">
        <v>3262.45</v>
      </c>
      <c r="AC134" s="17">
        <v>1899.05</v>
      </c>
      <c r="AD134" s="4">
        <f t="shared" si="26"/>
        <v>-0.41790678784349189</v>
      </c>
    </row>
    <row r="135" spans="1:30" ht="13.5" customHeight="1">
      <c r="A135" s="123" t="s">
        <v>1874</v>
      </c>
      <c r="B135" s="26" t="s">
        <v>1868</v>
      </c>
      <c r="C135">
        <v>674</v>
      </c>
      <c r="E135" s="26" t="s">
        <v>1868</v>
      </c>
      <c r="F135">
        <v>374</v>
      </c>
      <c r="G135" t="b">
        <f t="shared" si="20"/>
        <v>1</v>
      </c>
      <c r="J135">
        <f t="shared" ref="J135:J139" si="27">F135-C135</f>
        <v>-300</v>
      </c>
      <c r="K135" s="4">
        <f t="shared" ref="K135:K139" si="28">F135/C135-1</f>
        <v>-0.44510385756676563</v>
      </c>
      <c r="L135" s="4"/>
      <c r="N135" s="5">
        <v>2670.09</v>
      </c>
      <c r="O135" s="5">
        <v>1228.95</v>
      </c>
      <c r="Q135" s="5">
        <v>4167.75</v>
      </c>
      <c r="T135" s="98">
        <f t="shared" ref="T135:T148" si="29">O135-N135</f>
        <v>-1441.14</v>
      </c>
      <c r="U135" s="4">
        <f t="shared" ref="U135:U148" si="30">IF(N135=0,0,O135/N135-1)</f>
        <v>-0.53973461568711167</v>
      </c>
      <c r="AB135" s="17">
        <v>9428.14</v>
      </c>
      <c r="AC135" s="17">
        <v>4938.12</v>
      </c>
      <c r="AD135" s="4">
        <f t="shared" si="26"/>
        <v>-0.47623603383063895</v>
      </c>
    </row>
    <row r="136" spans="1:30" ht="13.5" customHeight="1">
      <c r="A136" s="123" t="s">
        <v>1875</v>
      </c>
      <c r="B136" s="26" t="s">
        <v>1869</v>
      </c>
      <c r="C136">
        <v>450</v>
      </c>
      <c r="E136" s="26" t="s">
        <v>1869</v>
      </c>
      <c r="F136">
        <v>574</v>
      </c>
      <c r="G136" t="b">
        <f t="shared" si="20"/>
        <v>1</v>
      </c>
      <c r="J136">
        <f t="shared" si="27"/>
        <v>124</v>
      </c>
      <c r="K136" s="4">
        <f t="shared" si="28"/>
        <v>0.27555555555555555</v>
      </c>
      <c r="L136" s="4"/>
      <c r="N136" s="5">
        <v>1790.08</v>
      </c>
      <c r="O136" s="5">
        <v>1517.62</v>
      </c>
      <c r="Q136" s="5">
        <v>10674.2</v>
      </c>
      <c r="T136" s="98">
        <f t="shared" si="29"/>
        <v>-272.46000000000004</v>
      </c>
      <c r="U136" s="4">
        <f t="shared" si="30"/>
        <v>-0.1522054880228817</v>
      </c>
      <c r="AB136" s="17">
        <v>13494</v>
      </c>
      <c r="AC136" s="17">
        <v>15083.1</v>
      </c>
      <c r="AD136" s="4">
        <f t="shared" si="26"/>
        <v>0.11776345042240988</v>
      </c>
    </row>
    <row r="137" spans="1:30" ht="15" customHeight="1">
      <c r="A137" s="123" t="s">
        <v>1876</v>
      </c>
      <c r="B137" s="26" t="s">
        <v>1870</v>
      </c>
      <c r="C137">
        <v>123</v>
      </c>
      <c r="E137" s="26" t="s">
        <v>1870</v>
      </c>
      <c r="F137">
        <v>41</v>
      </c>
      <c r="G137" t="b">
        <f t="shared" si="20"/>
        <v>1</v>
      </c>
      <c r="J137">
        <f t="shared" si="27"/>
        <v>-82</v>
      </c>
      <c r="K137" s="4">
        <f t="shared" si="28"/>
        <v>-0.66666666666666674</v>
      </c>
      <c r="L137" s="4"/>
      <c r="N137" s="5">
        <v>709.61</v>
      </c>
      <c r="O137" s="5">
        <v>304.60000000000002</v>
      </c>
      <c r="Q137" s="5">
        <v>1592.04</v>
      </c>
      <c r="T137" s="98">
        <f t="shared" si="29"/>
        <v>-405.01</v>
      </c>
      <c r="U137" s="4">
        <f t="shared" si="30"/>
        <v>-0.5707501303532927</v>
      </c>
      <c r="AB137" s="17">
        <v>2093.9699999999998</v>
      </c>
      <c r="AC137" s="17">
        <v>901.37</v>
      </c>
      <c r="AD137" s="4">
        <f t="shared" si="26"/>
        <v>-0.56954015578064632</v>
      </c>
    </row>
    <row r="138" spans="1:30" ht="15" customHeight="1">
      <c r="A138" s="123" t="s">
        <v>1877</v>
      </c>
      <c r="B138" s="26" t="s">
        <v>1871</v>
      </c>
      <c r="C138" s="18">
        <v>358</v>
      </c>
      <c r="E138" s="26" t="s">
        <v>1871</v>
      </c>
      <c r="F138" s="18">
        <v>100</v>
      </c>
      <c r="G138" t="b">
        <f t="shared" si="20"/>
        <v>1</v>
      </c>
      <c r="J138">
        <f t="shared" si="27"/>
        <v>-258</v>
      </c>
      <c r="K138" s="4">
        <f t="shared" si="28"/>
        <v>-0.72067039106145248</v>
      </c>
      <c r="L138" s="4"/>
      <c r="N138" s="5">
        <v>866.25</v>
      </c>
      <c r="O138" s="5">
        <v>476.85</v>
      </c>
      <c r="Q138" s="5">
        <v>2340.59</v>
      </c>
      <c r="T138" s="98">
        <f t="shared" si="29"/>
        <v>-389.4</v>
      </c>
      <c r="U138" s="4">
        <f t="shared" si="30"/>
        <v>-0.44952380952380955</v>
      </c>
      <c r="AB138" s="17">
        <v>7558.06</v>
      </c>
      <c r="AC138" s="17">
        <v>2998.7</v>
      </c>
      <c r="AD138" s="4">
        <f t="shared" si="26"/>
        <v>-0.60324474799088668</v>
      </c>
    </row>
    <row r="139" spans="1:30" ht="15" customHeight="1">
      <c r="A139" s="123" t="s">
        <v>1878</v>
      </c>
      <c r="B139" s="26" t="s">
        <v>1872</v>
      </c>
      <c r="C139" s="18">
        <v>180</v>
      </c>
      <c r="E139" s="26" t="s">
        <v>1872</v>
      </c>
      <c r="F139" s="18">
        <v>82</v>
      </c>
      <c r="G139" t="b">
        <f t="shared" si="20"/>
        <v>1</v>
      </c>
      <c r="J139">
        <f t="shared" si="27"/>
        <v>-98</v>
      </c>
      <c r="K139" s="4">
        <f t="shared" si="28"/>
        <v>-0.54444444444444451</v>
      </c>
      <c r="L139" s="4"/>
      <c r="N139" s="5">
        <v>766.74</v>
      </c>
      <c r="O139" s="5">
        <v>288.45999999999998</v>
      </c>
      <c r="Q139" s="5">
        <v>1349.1</v>
      </c>
      <c r="T139" s="98">
        <f t="shared" si="29"/>
        <v>-478.28000000000003</v>
      </c>
      <c r="U139" s="4">
        <f t="shared" si="30"/>
        <v>-0.62378381198320165</v>
      </c>
      <c r="AB139" s="17">
        <v>2831.6</v>
      </c>
      <c r="AC139" s="17">
        <v>1639.18</v>
      </c>
      <c r="AD139" s="4">
        <f t="shared" si="26"/>
        <v>-0.42111173894617882</v>
      </c>
    </row>
    <row r="140" spans="1:30" ht="15" customHeight="1">
      <c r="A140" s="124" t="s">
        <v>1922</v>
      </c>
      <c r="B140" s="124" t="s">
        <v>1918</v>
      </c>
      <c r="C140" s="18">
        <v>30</v>
      </c>
      <c r="E140" s="124" t="s">
        <v>1918</v>
      </c>
      <c r="F140" s="18">
        <v>27</v>
      </c>
      <c r="G140" t="b">
        <f t="shared" si="20"/>
        <v>1</v>
      </c>
      <c r="J140">
        <f t="shared" ref="J140:J143" si="31">F140-C140</f>
        <v>-3</v>
      </c>
      <c r="K140" s="4">
        <f t="shared" ref="K140:K143" si="32">F140/C140-1</f>
        <v>-9.9999999999999978E-2</v>
      </c>
      <c r="L140" s="4"/>
      <c r="N140" s="5">
        <v>19.649999999999999</v>
      </c>
      <c r="O140" s="5">
        <v>140.31</v>
      </c>
      <c r="Q140" s="5">
        <v>638.04</v>
      </c>
      <c r="T140" s="98">
        <f t="shared" si="29"/>
        <v>120.66</v>
      </c>
      <c r="U140" s="4">
        <f t="shared" si="30"/>
        <v>6.1404580152671766</v>
      </c>
      <c r="AB140" s="17">
        <v>889.7</v>
      </c>
      <c r="AC140" s="17">
        <v>515.73</v>
      </c>
      <c r="AD140" s="4">
        <f t="shared" si="26"/>
        <v>-0.42033269641452176</v>
      </c>
    </row>
    <row r="141" spans="1:30" ht="15" customHeight="1">
      <c r="A141" s="124" t="s">
        <v>1923</v>
      </c>
      <c r="B141" s="124" t="s">
        <v>1919</v>
      </c>
      <c r="C141" s="18">
        <v>35</v>
      </c>
      <c r="E141" s="124" t="s">
        <v>1919</v>
      </c>
      <c r="F141" s="18">
        <v>115</v>
      </c>
      <c r="G141" t="b">
        <f t="shared" si="20"/>
        <v>1</v>
      </c>
      <c r="J141">
        <f t="shared" si="31"/>
        <v>80</v>
      </c>
      <c r="K141" s="4">
        <f t="shared" si="32"/>
        <v>2.2857142857142856</v>
      </c>
      <c r="L141" s="4"/>
      <c r="N141" s="5">
        <v>21.84</v>
      </c>
      <c r="O141" s="5">
        <v>519.11</v>
      </c>
      <c r="Q141" s="5">
        <v>3817.64</v>
      </c>
      <c r="T141" s="98">
        <f t="shared" si="29"/>
        <v>497.27000000000004</v>
      </c>
      <c r="U141" s="4">
        <f t="shared" si="30"/>
        <v>22.768772893772894</v>
      </c>
      <c r="AB141" s="17">
        <v>944.65</v>
      </c>
      <c r="AC141" s="17">
        <v>2836.62</v>
      </c>
      <c r="AD141" s="4">
        <f t="shared" si="26"/>
        <v>2.0028264436563807</v>
      </c>
    </row>
    <row r="142" spans="1:30" ht="15" customHeight="1">
      <c r="A142" s="124" t="s">
        <v>1924</v>
      </c>
      <c r="B142" s="26" t="s">
        <v>1920</v>
      </c>
      <c r="C142" s="18">
        <v>31</v>
      </c>
      <c r="E142" s="26" t="s">
        <v>1920</v>
      </c>
      <c r="F142" s="18">
        <v>12</v>
      </c>
      <c r="G142" t="b">
        <f t="shared" si="20"/>
        <v>1</v>
      </c>
      <c r="J142">
        <f t="shared" si="31"/>
        <v>-19</v>
      </c>
      <c r="K142" s="4">
        <f t="shared" si="32"/>
        <v>-0.61290322580645162</v>
      </c>
      <c r="L142" s="4"/>
      <c r="N142" s="5">
        <v>22.49</v>
      </c>
      <c r="O142" s="5">
        <v>96.79</v>
      </c>
      <c r="Q142" s="5">
        <v>651.26</v>
      </c>
      <c r="T142" s="98">
        <f t="shared" si="29"/>
        <v>74.300000000000011</v>
      </c>
      <c r="U142" s="4">
        <f t="shared" si="30"/>
        <v>3.3036905291240561</v>
      </c>
      <c r="AB142" s="17">
        <v>619.69000000000005</v>
      </c>
      <c r="AC142" s="17">
        <v>221.68</v>
      </c>
      <c r="AD142" s="4">
        <f t="shared" si="26"/>
        <v>-0.64227274927786482</v>
      </c>
    </row>
    <row r="143" spans="1:30" ht="15" customHeight="1">
      <c r="A143" s="124" t="s">
        <v>1925</v>
      </c>
      <c r="B143" s="124" t="s">
        <v>1921</v>
      </c>
      <c r="C143" s="18">
        <v>0</v>
      </c>
      <c r="E143" s="124" t="s">
        <v>1921</v>
      </c>
      <c r="F143" s="18">
        <v>38</v>
      </c>
      <c r="G143" t="b">
        <f t="shared" si="20"/>
        <v>1</v>
      </c>
      <c r="J143">
        <f t="shared" si="31"/>
        <v>38</v>
      </c>
      <c r="K143" s="4" t="e">
        <f t="shared" si="32"/>
        <v>#DIV/0!</v>
      </c>
      <c r="L143" s="4"/>
      <c r="N143" s="5">
        <v>2.11</v>
      </c>
      <c r="O143" s="5">
        <v>107.57</v>
      </c>
      <c r="Q143" s="5">
        <v>434.7</v>
      </c>
      <c r="T143" s="98">
        <f t="shared" si="29"/>
        <v>105.46</v>
      </c>
      <c r="U143" s="4">
        <f t="shared" si="30"/>
        <v>49.981042654028435</v>
      </c>
      <c r="AB143" s="17">
        <v>0</v>
      </c>
      <c r="AC143" s="17">
        <v>949.37</v>
      </c>
      <c r="AD143" s="4" t="e">
        <f t="shared" si="26"/>
        <v>#DIV/0!</v>
      </c>
    </row>
    <row r="144" spans="1:30" ht="15" customHeight="1">
      <c r="A144" s="124" t="s">
        <v>1950</v>
      </c>
      <c r="B144" s="124" t="s">
        <v>1945</v>
      </c>
      <c r="C144" s="18">
        <v>0</v>
      </c>
      <c r="E144" s="124" t="s">
        <v>1945</v>
      </c>
      <c r="F144" s="18">
        <v>39</v>
      </c>
      <c r="G144" t="b">
        <f t="shared" si="20"/>
        <v>1</v>
      </c>
      <c r="J144">
        <f t="shared" ref="J144:J148" si="33">F144-C144</f>
        <v>39</v>
      </c>
      <c r="K144" s="4" t="e">
        <f t="shared" ref="K144:K148" si="34">F144/C144-1</f>
        <v>#DIV/0!</v>
      </c>
      <c r="L144" s="4"/>
      <c r="O144" s="5">
        <v>84.33</v>
      </c>
      <c r="Q144" s="5">
        <v>211.31</v>
      </c>
      <c r="T144" s="98">
        <f t="shared" si="29"/>
        <v>84.33</v>
      </c>
      <c r="U144" s="4">
        <f t="shared" si="30"/>
        <v>0</v>
      </c>
      <c r="AB144" s="17"/>
      <c r="AC144" s="17">
        <v>1124.6099999999999</v>
      </c>
      <c r="AD144" s="4"/>
    </row>
    <row r="145" spans="1:30" ht="15" customHeight="1">
      <c r="A145" s="124" t="s">
        <v>1951</v>
      </c>
      <c r="B145" s="124" t="s">
        <v>1946</v>
      </c>
      <c r="C145" s="18">
        <v>0</v>
      </c>
      <c r="E145" s="124" t="s">
        <v>1946</v>
      </c>
      <c r="F145" s="18">
        <v>305</v>
      </c>
      <c r="G145" t="b">
        <f t="shared" si="20"/>
        <v>1</v>
      </c>
      <c r="J145">
        <f t="shared" si="33"/>
        <v>305</v>
      </c>
      <c r="K145" s="4" t="e">
        <f t="shared" si="34"/>
        <v>#DIV/0!</v>
      </c>
      <c r="L145" s="4"/>
      <c r="O145" s="5">
        <v>1108.03</v>
      </c>
      <c r="Q145" s="5">
        <v>4337.72</v>
      </c>
      <c r="T145" s="98">
        <f t="shared" si="29"/>
        <v>1108.03</v>
      </c>
      <c r="U145" s="4">
        <f t="shared" si="30"/>
        <v>0</v>
      </c>
      <c r="AB145" s="17"/>
      <c r="AC145" s="17">
        <v>9133.85</v>
      </c>
      <c r="AD145" s="4"/>
    </row>
    <row r="146" spans="1:30" ht="15" customHeight="1">
      <c r="A146" s="124" t="s">
        <v>1952</v>
      </c>
      <c r="B146" s="124" t="s">
        <v>1947</v>
      </c>
      <c r="C146" s="18">
        <v>0</v>
      </c>
      <c r="E146" s="124" t="s">
        <v>1947</v>
      </c>
      <c r="F146" s="18">
        <v>41</v>
      </c>
      <c r="G146" t="b">
        <f t="shared" si="20"/>
        <v>1</v>
      </c>
      <c r="J146">
        <f t="shared" si="33"/>
        <v>41</v>
      </c>
      <c r="K146" s="4" t="e">
        <f t="shared" si="34"/>
        <v>#DIV/0!</v>
      </c>
      <c r="L146" s="4"/>
      <c r="O146" s="5">
        <v>81.84</v>
      </c>
      <c r="Q146" s="5">
        <v>749.14</v>
      </c>
      <c r="T146" s="98">
        <f t="shared" si="29"/>
        <v>81.84</v>
      </c>
      <c r="U146" s="4">
        <f t="shared" si="30"/>
        <v>0</v>
      </c>
      <c r="AB146" s="17"/>
      <c r="AC146" s="17">
        <v>1024.5899999999999</v>
      </c>
      <c r="AD146" s="4"/>
    </row>
    <row r="147" spans="1:30" ht="15" customHeight="1">
      <c r="A147" s="38" t="s">
        <v>993</v>
      </c>
      <c r="B147" s="26" t="s">
        <v>1948</v>
      </c>
      <c r="C147" s="18">
        <v>0</v>
      </c>
      <c r="E147" s="26" t="s">
        <v>1948</v>
      </c>
      <c r="F147" s="18">
        <v>6</v>
      </c>
      <c r="G147" t="b">
        <f t="shared" si="20"/>
        <v>1</v>
      </c>
      <c r="J147">
        <f t="shared" si="33"/>
        <v>6</v>
      </c>
      <c r="K147" s="4" t="e">
        <f t="shared" si="34"/>
        <v>#DIV/0!</v>
      </c>
      <c r="L147" s="4"/>
      <c r="O147" s="5">
        <v>51.49</v>
      </c>
      <c r="Q147" s="5">
        <v>204.91</v>
      </c>
      <c r="T147" s="98">
        <f t="shared" si="29"/>
        <v>51.49</v>
      </c>
      <c r="U147" s="4">
        <f t="shared" si="30"/>
        <v>0</v>
      </c>
      <c r="AB147" s="17"/>
      <c r="AC147" s="17">
        <v>119.94</v>
      </c>
      <c r="AD147" s="4"/>
    </row>
    <row r="148" spans="1:30" ht="15" customHeight="1">
      <c r="A148" s="124" t="s">
        <v>1953</v>
      </c>
      <c r="B148" s="124" t="s">
        <v>1949</v>
      </c>
      <c r="C148" s="18">
        <v>0</v>
      </c>
      <c r="E148" s="124" t="s">
        <v>1949</v>
      </c>
      <c r="F148" s="18">
        <v>4</v>
      </c>
      <c r="G148" t="b">
        <f t="shared" si="20"/>
        <v>1</v>
      </c>
      <c r="J148">
        <f t="shared" si="33"/>
        <v>4</v>
      </c>
      <c r="K148" s="4" t="e">
        <f t="shared" si="34"/>
        <v>#DIV/0!</v>
      </c>
      <c r="L148" s="4"/>
      <c r="O148" s="5">
        <v>31.39</v>
      </c>
      <c r="Q148" s="5">
        <v>131.86000000000001</v>
      </c>
      <c r="T148" s="98">
        <f t="shared" si="29"/>
        <v>31.39</v>
      </c>
      <c r="U148" s="4">
        <f t="shared" si="30"/>
        <v>0</v>
      </c>
      <c r="AB148" s="17"/>
      <c r="AC148" s="17">
        <v>79.959999999999994</v>
      </c>
      <c r="AD148" s="4"/>
    </row>
    <row r="149" spans="1:30" ht="15" customHeight="1">
      <c r="A149" s="38"/>
      <c r="B149" s="124"/>
      <c r="C149" s="18"/>
      <c r="E149" s="124"/>
      <c r="F149" s="18"/>
      <c r="K149" s="4"/>
      <c r="L149" s="4"/>
      <c r="U149" s="4"/>
      <c r="AB149" s="17"/>
      <c r="AC149" s="17"/>
      <c r="AD149" s="4"/>
    </row>
    <row r="150" spans="1:30" ht="13.5" customHeight="1">
      <c r="C150" s="3" t="s">
        <v>889</v>
      </c>
      <c r="D150" s="3"/>
      <c r="E150" s="3"/>
      <c r="F150" s="3" t="s">
        <v>889</v>
      </c>
      <c r="G150" s="3"/>
      <c r="H150" s="3"/>
      <c r="I150" s="3"/>
      <c r="J150" s="3" t="s">
        <v>890</v>
      </c>
      <c r="K150" s="29"/>
      <c r="L150" s="29"/>
      <c r="M150" s="3"/>
      <c r="N150" s="31" t="s">
        <v>891</v>
      </c>
      <c r="O150" s="31" t="s">
        <v>891</v>
      </c>
      <c r="P150" s="3"/>
      <c r="Q150" s="31" t="s">
        <v>1246</v>
      </c>
      <c r="R150" s="3"/>
      <c r="S150" s="3"/>
      <c r="T150" s="99" t="s">
        <v>893</v>
      </c>
      <c r="U150" s="29"/>
      <c r="V150" s="3"/>
      <c r="W150" s="3"/>
      <c r="X150" s="3"/>
      <c r="Y150" s="3"/>
      <c r="Z150" s="3"/>
      <c r="AA150" s="32"/>
      <c r="AB150" s="33" t="s">
        <v>3</v>
      </c>
      <c r="AC150" s="33" t="s">
        <v>3</v>
      </c>
    </row>
    <row r="151" spans="1:30">
      <c r="C151" s="18">
        <f>SUM(C3:C148)</f>
        <v>206392</v>
      </c>
      <c r="F151" s="18">
        <f>SUM(F3:F148)</f>
        <v>173607</v>
      </c>
      <c r="J151" s="18">
        <f>SUM(J3:J148)</f>
        <v>-32785</v>
      </c>
      <c r="K151" s="4"/>
      <c r="L151" s="4"/>
      <c r="N151" s="5">
        <f>SUM(N3:N143)</f>
        <v>273686.28000000009</v>
      </c>
      <c r="O151" s="5">
        <f>SUM(O3:O148)</f>
        <v>213299.64999999994</v>
      </c>
      <c r="Q151" s="5">
        <f>SUM(Q3:Q148)</f>
        <v>1085388.9300000002</v>
      </c>
      <c r="T151" s="98">
        <f>O151-N151</f>
        <v>-60386.63000000015</v>
      </c>
      <c r="U151" s="4">
        <f>IF(N151=0,0,O151/N151-1)</f>
        <v>-0.22064178737786977</v>
      </c>
      <c r="X151" s="5"/>
      <c r="Y151" s="5"/>
      <c r="Z151" s="5"/>
      <c r="AA151" s="16"/>
      <c r="AB151" s="17">
        <f>SUM(AB3:AB143)</f>
        <v>4457511.9000000013</v>
      </c>
      <c r="AC151" s="17">
        <f>SUM(AC3:AC148)</f>
        <v>3973260.5000000014</v>
      </c>
      <c r="AD151" s="4">
        <f>AC151/AB151-1</f>
        <v>-0.10863715248858896</v>
      </c>
    </row>
    <row r="152" spans="1:30">
      <c r="K152" s="4"/>
      <c r="L152" s="4"/>
      <c r="U152" s="4"/>
      <c r="X152" s="5"/>
      <c r="Y152" s="5"/>
      <c r="Z152" s="5"/>
      <c r="AA152" s="16"/>
    </row>
    <row r="153" spans="1:30">
      <c r="C153" s="4"/>
      <c r="F153" s="18">
        <f>F151-C151</f>
        <v>-32785</v>
      </c>
      <c r="K153" s="4"/>
      <c r="L153" s="4"/>
      <c r="N153" s="4"/>
      <c r="O153" s="29" t="s">
        <v>894</v>
      </c>
      <c r="Q153" s="25">
        <f>O151/Q151</f>
        <v>0.19651909477278334</v>
      </c>
      <c r="U153" s="4"/>
      <c r="AB153" s="3" t="s">
        <v>895</v>
      </c>
      <c r="AC153" s="3" t="s">
        <v>895</v>
      </c>
    </row>
    <row r="154" spans="1:30">
      <c r="F154" s="4">
        <f>F151/C151-1</f>
        <v>-0.15884821117097558</v>
      </c>
      <c r="K154" s="4"/>
      <c r="L154" s="4"/>
      <c r="Q154" s="12"/>
      <c r="U154" s="4"/>
      <c r="AB154" s="30">
        <f>N151/AB151</f>
        <v>6.1398889366958281E-2</v>
      </c>
      <c r="AC154" s="30">
        <f>O151/AC151</f>
        <v>5.368378187133712E-2</v>
      </c>
    </row>
    <row r="155" spans="1:30">
      <c r="K155" s="4"/>
      <c r="L155" s="4"/>
    </row>
    <row r="156" spans="1:30">
      <c r="K156" s="4"/>
      <c r="L156" s="4"/>
      <c r="U156" s="4"/>
    </row>
    <row r="157" spans="1:30">
      <c r="K157" s="4"/>
      <c r="L157" s="4"/>
      <c r="U157" s="4"/>
    </row>
    <row r="158" spans="1:30">
      <c r="K158" s="4"/>
      <c r="L158" s="4"/>
      <c r="U158" s="4"/>
    </row>
    <row r="159" spans="1:30">
      <c r="U159" s="4"/>
    </row>
    <row r="160" spans="1:30">
      <c r="K160" s="4"/>
      <c r="L160" s="4"/>
      <c r="U160" s="4"/>
    </row>
    <row r="161" spans="11:21">
      <c r="K161" s="4"/>
      <c r="L161" s="4"/>
      <c r="U161" s="4"/>
    </row>
    <row r="162" spans="11:21">
      <c r="K162" s="4"/>
      <c r="L162" s="4"/>
      <c r="U162" s="4"/>
    </row>
    <row r="163" spans="11:21">
      <c r="K163" s="4"/>
      <c r="L163" s="4"/>
      <c r="U163" s="4"/>
    </row>
    <row r="164" spans="11:21">
      <c r="K164" s="4"/>
      <c r="L164" s="4"/>
      <c r="U164" s="4"/>
    </row>
    <row r="165" spans="11:21">
      <c r="K165" s="4"/>
      <c r="L165" s="4"/>
      <c r="U165" s="4"/>
    </row>
    <row r="166" spans="11:21">
      <c r="K166" s="4"/>
      <c r="L166" s="4"/>
      <c r="U166" s="4"/>
    </row>
    <row r="167" spans="11:21">
      <c r="K167" s="4"/>
      <c r="L167" s="4"/>
      <c r="U167" s="4"/>
    </row>
    <row r="168" spans="11:21">
      <c r="K168" s="4"/>
      <c r="L168" s="4"/>
      <c r="U168" s="4"/>
    </row>
    <row r="169" spans="11:21">
      <c r="K169" s="4"/>
      <c r="L169" s="4"/>
      <c r="U169" s="4"/>
    </row>
    <row r="170" spans="11:21">
      <c r="K170" s="4"/>
      <c r="L170" s="4"/>
      <c r="U170" s="4"/>
    </row>
    <row r="171" spans="11:21">
      <c r="K171" s="4"/>
      <c r="L171" s="4"/>
      <c r="U171" s="4"/>
    </row>
    <row r="172" spans="11:21">
      <c r="K172" s="4"/>
      <c r="L172" s="4"/>
      <c r="U172" s="4"/>
    </row>
    <row r="173" spans="11:21">
      <c r="K173" s="4"/>
      <c r="L173" s="4"/>
      <c r="U173" s="4"/>
    </row>
    <row r="174" spans="11:21">
      <c r="K174" s="4"/>
      <c r="L174" s="4"/>
      <c r="U174" s="4"/>
    </row>
    <row r="175" spans="11:21">
      <c r="K175" s="4"/>
      <c r="L175" s="4"/>
      <c r="U175" s="4"/>
    </row>
    <row r="176" spans="11:21">
      <c r="K176" s="4"/>
      <c r="L176" s="4"/>
      <c r="U176" s="4"/>
    </row>
    <row r="177" spans="11:21">
      <c r="K177" s="4"/>
      <c r="L177" s="4"/>
      <c r="U177" s="4"/>
    </row>
    <row r="178" spans="11:21">
      <c r="K178" s="4"/>
      <c r="L178" s="4"/>
      <c r="U178" s="4"/>
    </row>
    <row r="179" spans="11:21">
      <c r="K179" s="4"/>
      <c r="L179" s="4"/>
      <c r="U179" s="4"/>
    </row>
    <row r="180" spans="11:21">
      <c r="K180" s="4"/>
      <c r="L180" s="4"/>
      <c r="U180" s="4"/>
    </row>
    <row r="181" spans="11:21">
      <c r="K181" s="4"/>
      <c r="L181" s="4"/>
      <c r="U181" s="4"/>
    </row>
    <row r="182" spans="11:21">
      <c r="K182" s="4"/>
      <c r="L182" s="4"/>
      <c r="U182" s="4"/>
    </row>
    <row r="183" spans="11:21">
      <c r="K183" s="4"/>
      <c r="L183" s="4"/>
      <c r="U183" s="4"/>
    </row>
    <row r="184" spans="11:21">
      <c r="K184" s="4"/>
      <c r="L184" s="4"/>
      <c r="U184" s="4"/>
    </row>
    <row r="185" spans="11:21">
      <c r="K185" s="4"/>
      <c r="L185" s="4"/>
      <c r="U185" s="4"/>
    </row>
    <row r="186" spans="11:21">
      <c r="K186" s="4"/>
      <c r="L186" s="4"/>
      <c r="U186" s="4"/>
    </row>
    <row r="187" spans="11:21">
      <c r="K187" s="4"/>
      <c r="L187" s="4"/>
      <c r="U187" s="4"/>
    </row>
    <row r="188" spans="11:21">
      <c r="K188" s="4"/>
      <c r="L188" s="4"/>
      <c r="U188" s="4"/>
    </row>
    <row r="189" spans="11:21">
      <c r="K189" s="4"/>
      <c r="L189" s="4"/>
      <c r="U189" s="4"/>
    </row>
    <row r="190" spans="11:21">
      <c r="K190" s="4"/>
      <c r="L190" s="4"/>
      <c r="U190" s="4"/>
    </row>
    <row r="191" spans="11:21">
      <c r="K191" s="4"/>
      <c r="L191" s="4"/>
      <c r="U191" s="4"/>
    </row>
    <row r="192" spans="11:21">
      <c r="K192" s="4"/>
      <c r="L192" s="4"/>
      <c r="U192" s="4"/>
    </row>
    <row r="193" spans="11:21">
      <c r="K193" s="4"/>
      <c r="L193" s="4"/>
      <c r="U193" s="4"/>
    </row>
    <row r="194" spans="11:21">
      <c r="K194" s="4"/>
      <c r="L194" s="4"/>
      <c r="U194" s="4"/>
    </row>
    <row r="195" spans="11:21">
      <c r="K195" s="4"/>
      <c r="L195" s="4"/>
      <c r="U195" s="4"/>
    </row>
    <row r="196" spans="11:21">
      <c r="K196" s="4"/>
      <c r="L196" s="4"/>
      <c r="U196" s="4"/>
    </row>
    <row r="197" spans="11:21">
      <c r="K197" s="4"/>
      <c r="L197" s="4"/>
      <c r="U197" s="4"/>
    </row>
    <row r="198" spans="11:21">
      <c r="K198" s="4"/>
      <c r="L198" s="4"/>
      <c r="U198" s="4"/>
    </row>
    <row r="199" spans="11:21">
      <c r="K199" s="4"/>
      <c r="L199" s="4"/>
      <c r="U199" s="4"/>
    </row>
    <row r="200" spans="11:21">
      <c r="K200" s="6"/>
      <c r="L200" s="6"/>
      <c r="N200" s="10"/>
      <c r="O200" s="10"/>
      <c r="T200" s="103"/>
      <c r="U200" s="6"/>
    </row>
    <row r="201" spans="11:21" ht="15" customHeight="1">
      <c r="K201" s="6"/>
      <c r="L201" s="6"/>
      <c r="N201" s="10"/>
      <c r="O201" s="10"/>
      <c r="T201" s="103"/>
      <c r="U201" s="6"/>
    </row>
    <row r="202" spans="11:21" ht="15" customHeight="1">
      <c r="K202" s="6"/>
      <c r="L202" s="6"/>
      <c r="N202" s="10"/>
      <c r="O202" s="10"/>
      <c r="T202" s="103"/>
      <c r="U202" s="6"/>
    </row>
    <row r="203" spans="11:21" ht="15" customHeight="1">
      <c r="K203" s="6"/>
      <c r="L203" s="6"/>
      <c r="N203" s="10"/>
      <c r="O203" s="10"/>
      <c r="T203" s="103"/>
      <c r="U203" s="6"/>
    </row>
    <row r="204" spans="11:21" ht="15" customHeight="1">
      <c r="K204" s="6"/>
      <c r="N204" s="10"/>
      <c r="O204" s="10"/>
      <c r="T204" s="103"/>
      <c r="U204" s="6"/>
    </row>
    <row r="205" spans="11:21" ht="15" customHeight="1">
      <c r="K205" s="6"/>
      <c r="L205" s="6"/>
      <c r="N205" s="10"/>
      <c r="O205" s="10"/>
      <c r="T205" s="103"/>
      <c r="U205" s="6"/>
    </row>
    <row r="206" spans="11:21" ht="15" customHeight="1">
      <c r="K206" s="6"/>
      <c r="L206" s="6"/>
      <c r="N206" s="10"/>
      <c r="O206" s="10"/>
      <c r="T206" s="103"/>
      <c r="U206" s="6"/>
    </row>
    <row r="207" spans="11:21" ht="15" customHeight="1">
      <c r="K207" s="6"/>
      <c r="L207" s="6"/>
      <c r="N207" s="10"/>
      <c r="O207" s="10"/>
      <c r="T207" s="103"/>
      <c r="U207" s="6"/>
    </row>
    <row r="208" spans="11:21" ht="15" customHeight="1">
      <c r="K208" s="6"/>
      <c r="L208" s="6"/>
      <c r="N208" s="10"/>
      <c r="O208" s="10"/>
      <c r="T208" s="103"/>
      <c r="U208" s="6"/>
    </row>
    <row r="209" spans="3:20">
      <c r="N209" s="10"/>
      <c r="O209" s="10"/>
      <c r="T209" s="103"/>
    </row>
    <row r="210" spans="3:20" ht="15" customHeight="1">
      <c r="C210" s="8"/>
      <c r="F210" s="8"/>
      <c r="J210" s="8"/>
      <c r="N210" s="10"/>
      <c r="O210" s="10"/>
      <c r="T210" s="103"/>
    </row>
    <row r="211" spans="3:20">
      <c r="N211" s="10"/>
      <c r="O211" s="10"/>
      <c r="T211" s="103"/>
    </row>
    <row r="212" spans="3:20" ht="15" customHeight="1">
      <c r="N212" s="10"/>
      <c r="O212" s="10"/>
      <c r="T212" s="103"/>
    </row>
    <row r="213" spans="3:20" ht="15" customHeight="1">
      <c r="C213" s="9"/>
      <c r="F213" s="9"/>
    </row>
    <row r="215" spans="3:20" ht="15" customHeight="1">
      <c r="C215" s="8"/>
      <c r="F215" s="8"/>
    </row>
    <row r="218" spans="3:20" ht="15" customHeight="1">
      <c r="C218" s="9"/>
      <c r="F218" s="9"/>
    </row>
  </sheetData>
  <autoFilter ref="A2:AE2" xr:uid="{A0872D2E-CA91-4628-AF55-6EA17D54F5B9}"/>
  <sortState xmlns:xlrd2="http://schemas.microsoft.com/office/spreadsheetml/2017/richdata2" ref="J3:K89">
    <sortCondition ref="J89"/>
  </sortState>
  <mergeCells count="7">
    <mergeCell ref="AB1:AC1"/>
    <mergeCell ref="X1:AA1"/>
    <mergeCell ref="B1:C1"/>
    <mergeCell ref="E1:F1"/>
    <mergeCell ref="J1:K1"/>
    <mergeCell ref="N1:O1"/>
    <mergeCell ref="T1:U1"/>
  </mergeCells>
  <phoneticPr fontId="3" type="noConversion"/>
  <conditionalFormatting sqref="D76 H76:I76 L76:M76 P76 R76:S76">
    <cfRule type="cellIs" dxfId="14" priority="17" operator="greaterThan">
      <formula>500</formula>
    </cfRule>
    <cfRule type="cellIs" dxfId="13" priority="18" operator="lessThan">
      <formula>-100</formula>
    </cfRule>
  </conditionalFormatting>
  <conditionalFormatting sqref="J152:J158 J160:J209 J2:J150">
    <cfRule type="cellIs" dxfId="12" priority="7" operator="greaterThan">
      <formula>500</formula>
    </cfRule>
  </conditionalFormatting>
  <conditionalFormatting sqref="J152:J158 J160:J208 J3:J150">
    <cfRule type="cellIs" dxfId="11" priority="11" operator="lessThan">
      <formula>-100</formula>
    </cfRule>
  </conditionalFormatting>
  <conditionalFormatting sqref="J211:J1048576">
    <cfRule type="cellIs" dxfId="10" priority="30" operator="greaterThan">
      <formula>500</formula>
    </cfRule>
  </conditionalFormatting>
  <conditionalFormatting sqref="K2">
    <cfRule type="cellIs" dxfId="9" priority="31" operator="lessThan">
      <formula>-20%</formula>
    </cfRule>
  </conditionalFormatting>
  <conditionalFormatting sqref="K160:K1048576 K3:K158">
    <cfRule type="cellIs" dxfId="8" priority="14" operator="lessThan">
      <formula>-0.2</formula>
    </cfRule>
  </conditionalFormatting>
  <conditionalFormatting sqref="K3:L3 L4:L64 L66:L75 L77:L158 L160:L204 K160:K208 K4:K158">
    <cfRule type="cellIs" dxfId="7" priority="35" operator="greaterThan">
      <formula>0.2</formula>
    </cfRule>
  </conditionalFormatting>
  <conditionalFormatting sqref="U156:U208 U3:U154">
    <cfRule type="cellIs" dxfId="6" priority="33" operator="greaterThan">
      <formula>0.5</formula>
    </cfRule>
  </conditionalFormatting>
  <conditionalFormatting sqref="AD3:AD149">
    <cfRule type="cellIs" dxfId="5" priority="4" operator="lessThan">
      <formula>-10%</formula>
    </cfRule>
    <cfRule type="cellIs" dxfId="4" priority="5" operator="lessThan">
      <formula>-0.2</formula>
    </cfRule>
    <cfRule type="cellIs" dxfId="3" priority="6" operator="greaterThan">
      <formula>0.2</formula>
    </cfRule>
  </conditionalFormatting>
  <conditionalFormatting sqref="AD151">
    <cfRule type="cellIs" dxfId="2" priority="1" operator="lessThan">
      <formula>-10%</formula>
    </cfRule>
    <cfRule type="cellIs" dxfId="1" priority="2" operator="lessThan">
      <formula>-0.2</formula>
    </cfRule>
    <cfRule type="cellIs" dxfId="0" priority="3" operator="greaterThan">
      <formula>0.2</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D7A4B-1677-4CDD-B209-154ABE40DB0B}">
  <dimension ref="A1:AX54"/>
  <sheetViews>
    <sheetView zoomScale="85" zoomScaleNormal="85" workbookViewId="0">
      <pane xSplit="1" ySplit="1" topLeftCell="T2" activePane="bottomRight" state="frozen"/>
      <selection activeCell="Q151" sqref="Q151"/>
      <selection pane="topRight" activeCell="Q151" sqref="Q151"/>
      <selection pane="bottomLeft" activeCell="Q151" sqref="Q151"/>
      <selection pane="bottomRight" activeCell="AP35" sqref="AP35"/>
    </sheetView>
  </sheetViews>
  <sheetFormatPr defaultRowHeight="15"/>
  <cols>
    <col min="1" max="1" width="14" customWidth="1"/>
    <col min="2" max="2" width="17.42578125" customWidth="1"/>
    <col min="3" max="3" width="16.85546875" customWidth="1"/>
    <col min="4" max="4" width="16" customWidth="1"/>
    <col min="5" max="5" width="16.42578125" customWidth="1"/>
    <col min="6" max="6" width="14.7109375" customWidth="1"/>
    <col min="7" max="13" width="15.28515625" customWidth="1"/>
    <col min="14" max="25" width="19.42578125" customWidth="1"/>
    <col min="26" max="26" width="20" customWidth="1"/>
    <col min="27" max="28" width="16.42578125" customWidth="1"/>
    <col min="29" max="29" width="18.140625" customWidth="1"/>
    <col min="30" max="30" width="16.42578125" customWidth="1"/>
    <col min="31" max="33" width="16.5703125" customWidth="1"/>
    <col min="34" max="39" width="20.5703125" customWidth="1"/>
    <col min="40" max="40" width="19.5703125" customWidth="1"/>
    <col min="41" max="50" width="20.5703125" customWidth="1"/>
  </cols>
  <sheetData>
    <row r="1" spans="1:50" ht="15.75" thickBot="1">
      <c r="A1" s="34" t="s">
        <v>1521</v>
      </c>
      <c r="B1" s="40" t="s">
        <v>1522</v>
      </c>
      <c r="C1" s="40" t="s">
        <v>1523</v>
      </c>
      <c r="D1" s="40" t="s">
        <v>1524</v>
      </c>
      <c r="E1" s="40" t="s">
        <v>1525</v>
      </c>
      <c r="F1" s="40" t="s">
        <v>1526</v>
      </c>
      <c r="G1" s="40" t="s">
        <v>1527</v>
      </c>
      <c r="H1" s="40" t="s">
        <v>1528</v>
      </c>
      <c r="I1" s="40" t="s">
        <v>1529</v>
      </c>
      <c r="J1" s="40" t="s">
        <v>1530</v>
      </c>
      <c r="K1" s="40" t="s">
        <v>1531</v>
      </c>
      <c r="L1" s="40" t="s">
        <v>1532</v>
      </c>
      <c r="M1" s="40" t="s">
        <v>1533</v>
      </c>
      <c r="N1" s="40" t="s">
        <v>1534</v>
      </c>
      <c r="O1" s="40" t="s">
        <v>1535</v>
      </c>
      <c r="P1" s="40" t="s">
        <v>1536</v>
      </c>
      <c r="Q1" s="40" t="s">
        <v>1537</v>
      </c>
      <c r="R1" s="40" t="s">
        <v>1538</v>
      </c>
      <c r="S1" s="40" t="s">
        <v>1539</v>
      </c>
      <c r="T1" s="40" t="s">
        <v>1540</v>
      </c>
      <c r="U1" s="40" t="s">
        <v>1541</v>
      </c>
      <c r="V1" s="40" t="s">
        <v>1542</v>
      </c>
      <c r="W1" s="40" t="s">
        <v>1543</v>
      </c>
      <c r="X1" s="40" t="s">
        <v>1544</v>
      </c>
      <c r="Y1" s="41" t="s">
        <v>1545</v>
      </c>
      <c r="Z1" s="41" t="s">
        <v>1546</v>
      </c>
      <c r="AA1" s="41" t="s">
        <v>1547</v>
      </c>
      <c r="AB1" s="41" t="s">
        <v>1548</v>
      </c>
      <c r="AC1" s="41" t="s">
        <v>1549</v>
      </c>
      <c r="AD1" s="41" t="s">
        <v>1550</v>
      </c>
      <c r="AE1" s="41" t="s">
        <v>1551</v>
      </c>
      <c r="AF1" s="41" t="s">
        <v>1552</v>
      </c>
      <c r="AG1" s="41" t="s">
        <v>1553</v>
      </c>
      <c r="AH1" s="41" t="s">
        <v>1554</v>
      </c>
      <c r="AI1" s="41" t="s">
        <v>1555</v>
      </c>
      <c r="AJ1" s="41" t="s">
        <v>1556</v>
      </c>
      <c r="AK1" s="41" t="s">
        <v>1557</v>
      </c>
      <c r="AL1" s="41" t="s">
        <v>1558</v>
      </c>
      <c r="AM1" s="41" t="s">
        <v>1559</v>
      </c>
      <c r="AN1" s="41" t="s">
        <v>1560</v>
      </c>
      <c r="AO1" s="41" t="s">
        <v>1561</v>
      </c>
      <c r="AP1" s="41" t="s">
        <v>1562</v>
      </c>
      <c r="AQ1" s="41" t="s">
        <v>1563</v>
      </c>
      <c r="AR1" s="41" t="s">
        <v>1564</v>
      </c>
      <c r="AS1" s="41" t="s">
        <v>1565</v>
      </c>
      <c r="AT1" s="41" t="s">
        <v>1566</v>
      </c>
      <c r="AU1" s="41" t="s">
        <v>1567</v>
      </c>
      <c r="AV1" s="41" t="s">
        <v>1568</v>
      </c>
      <c r="AW1" s="41" t="s">
        <v>1569</v>
      </c>
      <c r="AX1" s="41" t="s">
        <v>1570</v>
      </c>
    </row>
    <row r="2" spans="1:50">
      <c r="A2" s="42" t="s">
        <v>1571</v>
      </c>
      <c r="B2" s="43">
        <v>4932070</v>
      </c>
      <c r="C2" s="43">
        <v>4882291</v>
      </c>
      <c r="D2" s="43">
        <v>5747107</v>
      </c>
      <c r="E2" s="43">
        <v>5558578</v>
      </c>
      <c r="F2" s="43">
        <v>5608447</v>
      </c>
      <c r="G2" s="43">
        <v>5365821</v>
      </c>
      <c r="H2" s="43">
        <v>6175048</v>
      </c>
      <c r="I2" s="43">
        <v>6208913</v>
      </c>
      <c r="J2" s="43">
        <v>6107157</v>
      </c>
      <c r="K2" s="43">
        <v>6062880</v>
      </c>
      <c r="L2" s="43">
        <v>6409021</v>
      </c>
      <c r="M2" s="43">
        <v>5849059</v>
      </c>
      <c r="N2" s="78">
        <v>7678962</v>
      </c>
      <c r="O2" s="43">
        <v>8708296</v>
      </c>
      <c r="P2" s="43">
        <v>10429669.960000001</v>
      </c>
      <c r="Q2" s="43">
        <v>12527965</v>
      </c>
      <c r="R2" s="43">
        <v>12400737</v>
      </c>
      <c r="S2" s="43">
        <v>12318165</v>
      </c>
      <c r="T2" s="43">
        <v>13296822</v>
      </c>
      <c r="U2" s="43">
        <v>12427810.4</v>
      </c>
      <c r="V2" s="43">
        <v>12425462.310000001</v>
      </c>
      <c r="W2" s="43">
        <v>13116754.92</v>
      </c>
      <c r="X2" s="43">
        <v>13168808.529999999</v>
      </c>
      <c r="Y2" s="43">
        <v>13467008.08</v>
      </c>
      <c r="Z2" s="78">
        <v>16902826.940000001</v>
      </c>
      <c r="AA2" s="43">
        <v>17685415.640000001</v>
      </c>
      <c r="AB2" s="43">
        <v>17844095.539999999</v>
      </c>
      <c r="AC2" s="43">
        <v>20055646.200000003</v>
      </c>
      <c r="AD2" s="43">
        <v>18715254.290000007</v>
      </c>
      <c r="AE2" s="43">
        <v>17998376.469999991</v>
      </c>
      <c r="AF2" s="43">
        <v>18949710.699999999</v>
      </c>
      <c r="AG2" s="43">
        <v>19163616.800000001</v>
      </c>
      <c r="AH2" s="43">
        <v>22100782.419999994</v>
      </c>
      <c r="AI2" s="126">
        <v>24012240.110000011</v>
      </c>
      <c r="AJ2" s="126">
        <v>22549338</v>
      </c>
      <c r="AK2" s="126">
        <v>21615527.73</v>
      </c>
      <c r="AL2" s="149">
        <v>27588664.57999998</v>
      </c>
      <c r="AM2" s="126">
        <v>25800756.430000018</v>
      </c>
      <c r="AN2" s="126">
        <v>28379723.339999959</v>
      </c>
      <c r="AO2" s="126">
        <v>26352526.039999992</v>
      </c>
      <c r="AP2" s="126">
        <v>26035051.659999982</v>
      </c>
      <c r="AQ2" s="126">
        <v>25845149.879999995</v>
      </c>
      <c r="AR2" s="126"/>
      <c r="AS2" s="126"/>
      <c r="AT2" s="126"/>
      <c r="AU2" s="126"/>
      <c r="AV2" s="126"/>
      <c r="AW2" s="150"/>
      <c r="AX2" s="161">
        <f>SUM(AL2:AW2)</f>
        <v>160001871.92999995</v>
      </c>
    </row>
    <row r="3" spans="1:50">
      <c r="A3" s="45" t="s">
        <v>1572</v>
      </c>
      <c r="B3" s="46">
        <v>2297147</v>
      </c>
      <c r="C3" s="46">
        <v>2150420</v>
      </c>
      <c r="D3" s="46">
        <v>2629984</v>
      </c>
      <c r="E3" s="46">
        <v>2521569</v>
      </c>
      <c r="F3" s="46">
        <v>2259914</v>
      </c>
      <c r="G3" s="46">
        <v>2519256</v>
      </c>
      <c r="H3" s="46">
        <v>2827089</v>
      </c>
      <c r="I3" s="46">
        <v>2875100</v>
      </c>
      <c r="J3" s="46">
        <v>3207713</v>
      </c>
      <c r="K3" s="46">
        <v>2859584</v>
      </c>
      <c r="L3" s="46">
        <v>3081446</v>
      </c>
      <c r="M3" s="46">
        <v>3056146</v>
      </c>
      <c r="N3" s="79">
        <v>3844080</v>
      </c>
      <c r="O3" s="46">
        <v>3634529</v>
      </c>
      <c r="P3" s="46">
        <v>3706201</v>
      </c>
      <c r="Q3" s="46">
        <v>3814600</v>
      </c>
      <c r="R3" s="46">
        <v>3900991</v>
      </c>
      <c r="S3" s="46">
        <v>3690019</v>
      </c>
      <c r="T3" s="46">
        <v>3951398</v>
      </c>
      <c r="U3" s="46">
        <v>3583522.44</v>
      </c>
      <c r="V3" s="46">
        <v>3864300.73</v>
      </c>
      <c r="W3" s="46">
        <v>4230378.59</v>
      </c>
      <c r="X3" s="46">
        <v>4478555.7300000004</v>
      </c>
      <c r="Y3" s="46">
        <v>4536415</v>
      </c>
      <c r="Z3" s="79">
        <v>5536315.4100000001</v>
      </c>
      <c r="AA3" s="46">
        <v>5487073.7100000009</v>
      </c>
      <c r="AB3" s="46">
        <v>5227360</v>
      </c>
      <c r="AC3" s="46">
        <v>5178806.76</v>
      </c>
      <c r="AD3" s="46">
        <v>5401656.5199999977</v>
      </c>
      <c r="AE3" s="46">
        <v>5377394.1300000018</v>
      </c>
      <c r="AF3" s="46">
        <v>5402282.9000000004</v>
      </c>
      <c r="AG3" s="46">
        <v>5390114.6100000003</v>
      </c>
      <c r="AH3" s="46">
        <v>5207401.6900000004</v>
      </c>
      <c r="AI3" s="127">
        <v>4994037.29</v>
      </c>
      <c r="AJ3" s="127">
        <f>4924597.11+551480</f>
        <v>5476077.1100000003</v>
      </c>
      <c r="AK3" s="127">
        <v>4870128.759999997</v>
      </c>
      <c r="AL3" s="151">
        <v>5835669.4499999974</v>
      </c>
      <c r="AM3" s="127">
        <v>5833893.9500000039</v>
      </c>
      <c r="AN3" s="127">
        <v>6719364.8999999985</v>
      </c>
      <c r="AO3" s="127">
        <v>6534828.7399999993</v>
      </c>
      <c r="AP3" s="127">
        <v>6498236.7999999961</v>
      </c>
      <c r="AQ3" s="127">
        <v>6030842.2200000007</v>
      </c>
      <c r="AR3" s="127"/>
      <c r="AS3" s="127"/>
      <c r="AT3" s="127"/>
      <c r="AU3" s="127"/>
      <c r="AV3" s="127"/>
      <c r="AW3" s="152"/>
      <c r="AX3" s="162">
        <f>SUM(AL3:AW3)</f>
        <v>37452836.059999995</v>
      </c>
    </row>
    <row r="4" spans="1:50">
      <c r="A4" s="47" t="s">
        <v>1573</v>
      </c>
      <c r="B4" s="48">
        <v>1279804</v>
      </c>
      <c r="C4" s="48">
        <v>1268372</v>
      </c>
      <c r="D4" s="48">
        <v>1573830</v>
      </c>
      <c r="E4" s="48">
        <v>1506528</v>
      </c>
      <c r="F4" s="48">
        <v>1655029</v>
      </c>
      <c r="G4" s="48">
        <v>1700272</v>
      </c>
      <c r="H4" s="48">
        <v>2169477</v>
      </c>
      <c r="I4" s="48">
        <v>2248226</v>
      </c>
      <c r="J4" s="48">
        <v>2556442</v>
      </c>
      <c r="K4" s="48">
        <v>2514905</v>
      </c>
      <c r="L4" s="48">
        <v>2557339</v>
      </c>
      <c r="M4" s="48">
        <v>2415591</v>
      </c>
      <c r="N4" s="80">
        <v>2984457</v>
      </c>
      <c r="O4" s="48">
        <v>2977315</v>
      </c>
      <c r="P4" s="48">
        <v>3001644</v>
      </c>
      <c r="Q4" s="48">
        <v>3078498</v>
      </c>
      <c r="R4" s="48">
        <v>3417854</v>
      </c>
      <c r="S4" s="48">
        <v>2883462</v>
      </c>
      <c r="T4" s="48">
        <v>2983823.16</v>
      </c>
      <c r="U4" s="48">
        <v>2907226.21</v>
      </c>
      <c r="V4" s="48">
        <v>3099136.78</v>
      </c>
      <c r="W4" s="48">
        <v>3166072.06</v>
      </c>
      <c r="X4" s="48">
        <v>3138932.53</v>
      </c>
      <c r="Y4" s="48">
        <v>2941749.11</v>
      </c>
      <c r="Z4" s="80">
        <v>3609131</v>
      </c>
      <c r="AA4" s="48">
        <v>3670417.9999999991</v>
      </c>
      <c r="AB4" s="48">
        <v>3674547</v>
      </c>
      <c r="AC4" s="48">
        <v>3639874.11</v>
      </c>
      <c r="AD4" s="48">
        <v>3427273.69</v>
      </c>
      <c r="AE4" s="48">
        <v>3583478.2000000016</v>
      </c>
      <c r="AF4" s="48">
        <v>3585858.0100000007</v>
      </c>
      <c r="AG4" s="48">
        <v>3428271.4200000004</v>
      </c>
      <c r="AH4" s="48">
        <v>3396470.02</v>
      </c>
      <c r="AI4" s="128">
        <v>3753527.5</v>
      </c>
      <c r="AJ4" s="128">
        <v>3760231.34</v>
      </c>
      <c r="AK4" s="128">
        <v>3501121.1799999988</v>
      </c>
      <c r="AL4" s="153">
        <v>4252721.7400000021</v>
      </c>
      <c r="AM4" s="128">
        <v>3665079.2600000016</v>
      </c>
      <c r="AN4" s="128">
        <v>4609281.46</v>
      </c>
      <c r="AO4" s="128">
        <v>4336742.0600000005</v>
      </c>
      <c r="AP4" s="128">
        <v>4457511.9000000013</v>
      </c>
      <c r="AQ4" s="128">
        <v>3973260.5000000014</v>
      </c>
      <c r="AR4" s="128"/>
      <c r="AS4" s="128"/>
      <c r="AT4" s="128"/>
      <c r="AU4" s="128"/>
      <c r="AV4" s="128"/>
      <c r="AW4" s="154"/>
      <c r="AX4" s="163">
        <f>SUM(AL4:AW4)</f>
        <v>25294596.920000006</v>
      </c>
    </row>
    <row r="5" spans="1:50" ht="15.75" thickBot="1">
      <c r="A5" s="49" t="s">
        <v>1574</v>
      </c>
      <c r="B5" s="50">
        <v>8509021</v>
      </c>
      <c r="C5" s="50">
        <v>8301083</v>
      </c>
      <c r="D5" s="50">
        <v>9950921</v>
      </c>
      <c r="E5" s="50">
        <v>9586675</v>
      </c>
      <c r="F5" s="50">
        <v>9523390</v>
      </c>
      <c r="G5" s="50">
        <v>9585349</v>
      </c>
      <c r="H5" s="50">
        <v>11171614</v>
      </c>
      <c r="I5" s="50">
        <v>11332239</v>
      </c>
      <c r="J5" s="50">
        <v>11871312</v>
      </c>
      <c r="K5" s="50">
        <v>11437369</v>
      </c>
      <c r="L5" s="50">
        <v>12047806</v>
      </c>
      <c r="M5" s="50">
        <v>11320796</v>
      </c>
      <c r="N5" s="81">
        <v>12628864.18</v>
      </c>
      <c r="O5" s="50">
        <v>16108151.67</v>
      </c>
      <c r="P5" s="50">
        <v>15844970.02</v>
      </c>
      <c r="Q5" s="50">
        <v>17343410.66</v>
      </c>
      <c r="R5" s="50">
        <v>20732208.739999998</v>
      </c>
      <c r="S5" s="50">
        <v>21204443.170000002</v>
      </c>
      <c r="T5" s="50">
        <v>20467074.469999999</v>
      </c>
      <c r="U5" s="50">
        <v>21955258.789999999</v>
      </c>
      <c r="V5" s="50">
        <v>21173733.73</v>
      </c>
      <c r="W5" s="50">
        <v>20946702.440000001</v>
      </c>
      <c r="X5" s="50">
        <v>22668986.91</v>
      </c>
      <c r="Y5" s="50">
        <v>23669129.640000001</v>
      </c>
      <c r="Z5" s="81">
        <v>29093762.670000002</v>
      </c>
      <c r="AA5" s="50">
        <v>27077762.399999999</v>
      </c>
      <c r="AB5" s="50">
        <v>29605212.449999999</v>
      </c>
      <c r="AC5" s="50">
        <v>30739369.93</v>
      </c>
      <c r="AD5" s="50">
        <v>30046162.420000002</v>
      </c>
      <c r="AE5" s="50">
        <v>28797217.039999999</v>
      </c>
      <c r="AF5" s="50">
        <v>30904968.91</v>
      </c>
      <c r="AG5" s="50">
        <v>31542653.84</v>
      </c>
      <c r="AH5" s="50">
        <v>31563079.879999999</v>
      </c>
      <c r="AI5" s="50">
        <v>33208009.559999999</v>
      </c>
      <c r="AJ5" s="50">
        <v>31234166</v>
      </c>
      <c r="AK5" s="136">
        <f t="shared" ref="AK5:AQ5" si="0">SUM(AK2:AK4)</f>
        <v>29986777.669999998</v>
      </c>
      <c r="AL5" s="155">
        <f t="shared" si="0"/>
        <v>37677055.769999981</v>
      </c>
      <c r="AM5" s="155">
        <f t="shared" si="0"/>
        <v>35299729.640000023</v>
      </c>
      <c r="AN5" s="155">
        <f t="shared" si="0"/>
        <v>39708369.699999958</v>
      </c>
      <c r="AO5" s="155">
        <f t="shared" si="0"/>
        <v>37224096.839999989</v>
      </c>
      <c r="AP5" s="155">
        <f t="shared" si="0"/>
        <v>36990800.359999977</v>
      </c>
      <c r="AQ5" s="155">
        <f>SUM(AQ2:AQ4)</f>
        <v>35849252.599999994</v>
      </c>
      <c r="AR5" s="136"/>
      <c r="AS5" s="136"/>
      <c r="AT5" s="136"/>
      <c r="AU5" s="136"/>
      <c r="AV5" s="136"/>
      <c r="AW5" s="156"/>
      <c r="AX5" s="164">
        <f>SUM(AL5:AW5)</f>
        <v>222749304.90999991</v>
      </c>
    </row>
    <row r="6" spans="1:50">
      <c r="A6" s="51"/>
      <c r="B6" s="51"/>
      <c r="C6" s="51"/>
      <c r="D6" s="51"/>
      <c r="E6" s="51"/>
      <c r="F6" s="51"/>
      <c r="G6" s="51"/>
      <c r="H6" s="51"/>
      <c r="I6" s="51"/>
      <c r="J6" s="51"/>
      <c r="K6" s="51"/>
      <c r="L6" s="51"/>
      <c r="M6" s="51"/>
      <c r="N6" s="51"/>
      <c r="O6" s="51"/>
      <c r="P6" s="51"/>
      <c r="Q6" s="51"/>
      <c r="R6" s="51"/>
      <c r="S6" s="51"/>
      <c r="T6" s="51"/>
      <c r="U6" s="44"/>
      <c r="V6" s="44"/>
      <c r="W6" s="44"/>
      <c r="X6" s="44"/>
      <c r="Y6" s="44"/>
      <c r="Z6" s="44"/>
      <c r="AA6" s="44"/>
      <c r="AB6" s="44"/>
      <c r="AC6" s="44"/>
      <c r="AH6" s="26"/>
      <c r="AI6" s="26"/>
      <c r="AJ6" s="26"/>
      <c r="AK6" s="26"/>
      <c r="AL6" s="26"/>
      <c r="AM6" s="26"/>
      <c r="AN6" s="26"/>
      <c r="AO6" s="26"/>
      <c r="AP6" s="26"/>
      <c r="AQ6" s="26"/>
      <c r="AR6" s="26"/>
      <c r="AS6" s="26"/>
      <c r="AT6" s="26"/>
      <c r="AU6" s="26"/>
      <c r="AV6" s="26"/>
      <c r="AW6" s="26"/>
      <c r="AX6" s="26"/>
    </row>
    <row r="7" spans="1:50" ht="15.75" thickBo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D7" s="26"/>
      <c r="AE7" s="26"/>
      <c r="AF7" s="26"/>
      <c r="AG7" s="26"/>
      <c r="AH7" s="26"/>
      <c r="AI7" s="26"/>
      <c r="AJ7" s="26"/>
      <c r="AK7" s="26"/>
      <c r="AL7" s="26"/>
      <c r="AM7" s="26"/>
      <c r="AN7" s="26"/>
      <c r="AO7" s="26"/>
      <c r="AP7" s="26"/>
      <c r="AQ7" s="26"/>
      <c r="AR7" s="26"/>
      <c r="AS7" s="26"/>
      <c r="AT7" s="26"/>
      <c r="AU7" s="26"/>
      <c r="AV7" s="26"/>
      <c r="AW7" s="26"/>
      <c r="AX7" s="44"/>
    </row>
    <row r="8" spans="1:50" ht="15.75" thickBot="1">
      <c r="A8" s="34" t="s">
        <v>1575</v>
      </c>
      <c r="B8" s="40" t="s">
        <v>1522</v>
      </c>
      <c r="C8" s="40" t="s">
        <v>1523</v>
      </c>
      <c r="D8" s="40" t="s">
        <v>1524</v>
      </c>
      <c r="E8" s="40" t="s">
        <v>1525</v>
      </c>
      <c r="F8" s="40" t="s">
        <v>1526</v>
      </c>
      <c r="G8" s="40" t="s">
        <v>1527</v>
      </c>
      <c r="H8" s="40" t="s">
        <v>1528</v>
      </c>
      <c r="I8" s="40" t="s">
        <v>1529</v>
      </c>
      <c r="J8" s="40" t="s">
        <v>1530</v>
      </c>
      <c r="K8" s="40" t="s">
        <v>1531</v>
      </c>
      <c r="L8" s="40" t="s">
        <v>1532</v>
      </c>
      <c r="M8" s="40" t="s">
        <v>1533</v>
      </c>
      <c r="N8" s="40" t="s">
        <v>1534</v>
      </c>
      <c r="O8" s="40" t="s">
        <v>1535</v>
      </c>
      <c r="P8" s="40" t="s">
        <v>1536</v>
      </c>
      <c r="Q8" s="40" t="s">
        <v>1537</v>
      </c>
      <c r="R8" s="40" t="s">
        <v>1538</v>
      </c>
      <c r="S8" s="40" t="s">
        <v>1539</v>
      </c>
      <c r="T8" s="40" t="s">
        <v>1540</v>
      </c>
      <c r="U8" s="40" t="s">
        <v>1541</v>
      </c>
      <c r="V8" s="40" t="s">
        <v>1542</v>
      </c>
      <c r="W8" s="40" t="s">
        <v>1543</v>
      </c>
      <c r="X8" s="40" t="s">
        <v>1544</v>
      </c>
      <c r="Y8" s="41" t="s">
        <v>1545</v>
      </c>
      <c r="Z8" s="41" t="s">
        <v>1546</v>
      </c>
      <c r="AA8" s="41" t="s">
        <v>1547</v>
      </c>
      <c r="AB8" s="41" t="s">
        <v>1548</v>
      </c>
      <c r="AC8" s="41" t="s">
        <v>1549</v>
      </c>
      <c r="AD8" s="41" t="s">
        <v>1550</v>
      </c>
      <c r="AE8" s="41" t="s">
        <v>1551</v>
      </c>
      <c r="AF8" s="41" t="s">
        <v>1552</v>
      </c>
      <c r="AG8" s="41" t="s">
        <v>1553</v>
      </c>
      <c r="AH8" s="41" t="s">
        <v>1554</v>
      </c>
      <c r="AI8" s="41" t="s">
        <v>1555</v>
      </c>
      <c r="AJ8" s="41" t="s">
        <v>1556</v>
      </c>
      <c r="AK8" s="41" t="s">
        <v>1557</v>
      </c>
      <c r="AL8" s="41" t="s">
        <v>1558</v>
      </c>
      <c r="AM8" s="41" t="s">
        <v>1559</v>
      </c>
      <c r="AN8" s="41" t="s">
        <v>1560</v>
      </c>
      <c r="AO8" s="41" t="s">
        <v>1561</v>
      </c>
      <c r="AP8" s="41" t="s">
        <v>1562</v>
      </c>
      <c r="AQ8" s="41" t="s">
        <v>1563</v>
      </c>
      <c r="AR8" s="41" t="s">
        <v>1564</v>
      </c>
      <c r="AS8" s="41" t="s">
        <v>1565</v>
      </c>
      <c r="AT8" s="41" t="s">
        <v>1566</v>
      </c>
      <c r="AU8" s="41" t="s">
        <v>1567</v>
      </c>
      <c r="AV8" s="41" t="s">
        <v>1568</v>
      </c>
      <c r="AW8" s="41" t="s">
        <v>1569</v>
      </c>
      <c r="AX8" s="41" t="s">
        <v>1570</v>
      </c>
    </row>
    <row r="9" spans="1:50">
      <c r="A9" s="42" t="s">
        <v>1571</v>
      </c>
      <c r="B9" s="52"/>
      <c r="C9" s="52"/>
      <c r="D9" s="52"/>
      <c r="E9" s="52"/>
      <c r="F9" s="52"/>
      <c r="G9" s="52"/>
      <c r="H9" s="52"/>
      <c r="I9" s="43">
        <v>1904424</v>
      </c>
      <c r="J9" s="43">
        <v>1695098</v>
      </c>
      <c r="K9" s="43">
        <v>1666813</v>
      </c>
      <c r="L9" s="43">
        <v>1750099</v>
      </c>
      <c r="M9" s="43">
        <v>1643527</v>
      </c>
      <c r="N9" s="78">
        <v>2406151</v>
      </c>
      <c r="O9" s="43">
        <v>2919412.87</v>
      </c>
      <c r="P9" s="43">
        <v>3048758.81</v>
      </c>
      <c r="Q9" s="43">
        <v>3106780.26</v>
      </c>
      <c r="R9" s="43">
        <v>2784737.18</v>
      </c>
      <c r="S9" s="43">
        <v>3492681.52</v>
      </c>
      <c r="T9" s="43">
        <v>4066064.7</v>
      </c>
      <c r="U9" s="43">
        <v>3748577.68</v>
      </c>
      <c r="V9" s="43">
        <v>3443396.96</v>
      </c>
      <c r="W9" s="43">
        <v>3525797.52</v>
      </c>
      <c r="X9" s="43">
        <v>3658847.17</v>
      </c>
      <c r="Y9" s="43">
        <v>3834500.07</v>
      </c>
      <c r="Z9" s="43">
        <v>5020104.29</v>
      </c>
      <c r="AA9" s="43">
        <v>5590028.4100000001</v>
      </c>
      <c r="AB9" s="43">
        <v>5666226.75</v>
      </c>
      <c r="AC9" s="43">
        <v>5447442.3499999996</v>
      </c>
      <c r="AD9" s="43">
        <v>5556379.3300000019</v>
      </c>
      <c r="AE9" s="43">
        <v>5686329.8300000038</v>
      </c>
      <c r="AF9" s="43">
        <v>6201229.6000000006</v>
      </c>
      <c r="AG9" s="43">
        <v>6672753.96</v>
      </c>
      <c r="AH9" s="43">
        <v>7148035.9199999981</v>
      </c>
      <c r="AI9" s="43">
        <v>7449060.4700000025</v>
      </c>
      <c r="AJ9" s="43">
        <v>7139103.2299999986</v>
      </c>
      <c r="AK9" s="43">
        <v>6606186.3999999985</v>
      </c>
      <c r="AL9" s="78">
        <v>9422839.5500000026</v>
      </c>
      <c r="AM9" s="43">
        <v>8966540.8599999975</v>
      </c>
      <c r="AN9" s="43">
        <v>10294219.370000001</v>
      </c>
      <c r="AO9" s="43">
        <v>9243968.9200000037</v>
      </c>
      <c r="AP9" s="43">
        <v>8763895.1400000025</v>
      </c>
      <c r="AQ9" s="43">
        <v>8584619.4700000025</v>
      </c>
      <c r="AR9" s="43"/>
      <c r="AS9" s="43"/>
      <c r="AT9" s="43"/>
      <c r="AU9" s="43"/>
      <c r="AV9" s="43"/>
      <c r="AW9" s="157"/>
      <c r="AX9" s="145">
        <f>SUM(AL9:AW9)</f>
        <v>55276083.310000002</v>
      </c>
    </row>
    <row r="10" spans="1:50">
      <c r="A10" s="45" t="s">
        <v>1572</v>
      </c>
      <c r="B10" s="53"/>
      <c r="C10" s="53"/>
      <c r="D10" s="53"/>
      <c r="E10" s="53"/>
      <c r="F10" s="53"/>
      <c r="G10" s="53"/>
      <c r="H10" s="53"/>
      <c r="I10" s="46">
        <v>706024</v>
      </c>
      <c r="J10" s="46">
        <v>780336</v>
      </c>
      <c r="K10" s="46">
        <v>681505.29</v>
      </c>
      <c r="L10" s="46">
        <v>757472</v>
      </c>
      <c r="M10" s="46">
        <v>689408</v>
      </c>
      <c r="N10" s="79">
        <v>1042938</v>
      </c>
      <c r="O10" s="46">
        <v>993958</v>
      </c>
      <c r="P10" s="46">
        <v>1014061</v>
      </c>
      <c r="Q10" s="46">
        <v>988563</v>
      </c>
      <c r="R10" s="46">
        <v>976671</v>
      </c>
      <c r="S10" s="46">
        <v>810220</v>
      </c>
      <c r="T10" s="46">
        <v>880304</v>
      </c>
      <c r="U10" s="46">
        <v>819190</v>
      </c>
      <c r="V10" s="46">
        <v>844494</v>
      </c>
      <c r="W10" s="46">
        <v>986509</v>
      </c>
      <c r="X10" s="46">
        <v>1077277</v>
      </c>
      <c r="Y10" s="46">
        <v>1149351</v>
      </c>
      <c r="Z10" s="46">
        <v>1516609</v>
      </c>
      <c r="AA10" s="46">
        <v>1641173.6800000006</v>
      </c>
      <c r="AB10" s="46">
        <v>1512470</v>
      </c>
      <c r="AC10" s="46">
        <v>1319420</v>
      </c>
      <c r="AD10" s="46">
        <v>1455364.5700000005</v>
      </c>
      <c r="AE10" s="46">
        <v>1354767.88</v>
      </c>
      <c r="AF10" s="46">
        <v>1343264.7299999997</v>
      </c>
      <c r="AG10" s="46">
        <v>1451271.0299999998</v>
      </c>
      <c r="AH10" s="46">
        <v>1261035.78</v>
      </c>
      <c r="AI10" s="46">
        <v>1294220.6099999996</v>
      </c>
      <c r="AJ10" s="46">
        <f>1165841.08+128565</f>
        <v>1294406.08</v>
      </c>
      <c r="AK10" s="46">
        <v>895265.2</v>
      </c>
      <c r="AL10" s="79">
        <v>1418381.6500000006</v>
      </c>
      <c r="AM10" s="46">
        <v>1359337.8399999996</v>
      </c>
      <c r="AN10" s="46">
        <v>1668574.4400000002</v>
      </c>
      <c r="AO10" s="46">
        <v>1614907.3400000003</v>
      </c>
      <c r="AP10" s="46">
        <v>1616209.76</v>
      </c>
      <c r="AQ10" s="46">
        <v>1301935.0200000012</v>
      </c>
      <c r="AR10" s="46"/>
      <c r="AS10" s="46"/>
      <c r="AT10" s="46"/>
      <c r="AU10" s="46"/>
      <c r="AV10" s="46"/>
      <c r="AW10" s="158"/>
      <c r="AX10" s="146">
        <f>SUM(AL10:AW10)</f>
        <v>8979346.0500000026</v>
      </c>
    </row>
    <row r="11" spans="1:50">
      <c r="A11" s="47" t="s">
        <v>1573</v>
      </c>
      <c r="B11" s="54"/>
      <c r="C11" s="54"/>
      <c r="D11" s="54"/>
      <c r="E11" s="54"/>
      <c r="F11" s="54"/>
      <c r="G11" s="54"/>
      <c r="H11" s="54"/>
      <c r="I11" s="48">
        <v>601219</v>
      </c>
      <c r="J11" s="48">
        <v>693403</v>
      </c>
      <c r="K11" s="48">
        <v>656364.23</v>
      </c>
      <c r="L11" s="48">
        <v>695530</v>
      </c>
      <c r="M11" s="48">
        <v>708403</v>
      </c>
      <c r="N11" s="80">
        <v>973949</v>
      </c>
      <c r="O11" s="48">
        <v>951983</v>
      </c>
      <c r="P11" s="48">
        <v>931209</v>
      </c>
      <c r="Q11" s="48">
        <v>895312</v>
      </c>
      <c r="R11" s="48">
        <v>1019778</v>
      </c>
      <c r="S11" s="48">
        <v>790104</v>
      </c>
      <c r="T11" s="48">
        <v>808969</v>
      </c>
      <c r="U11" s="48">
        <v>809964</v>
      </c>
      <c r="V11" s="48">
        <v>874705</v>
      </c>
      <c r="W11" s="48">
        <v>857979</v>
      </c>
      <c r="X11" s="48">
        <v>789235</v>
      </c>
      <c r="Y11" s="48">
        <v>795115</v>
      </c>
      <c r="Z11" s="48">
        <v>1098357</v>
      </c>
      <c r="AA11" s="48">
        <v>1160975.4900000002</v>
      </c>
      <c r="AB11" s="48">
        <v>1171911</v>
      </c>
      <c r="AC11" s="48">
        <v>969742</v>
      </c>
      <c r="AD11" s="48">
        <v>1028082.6799999999</v>
      </c>
      <c r="AE11" s="48">
        <v>1013652.5499999993</v>
      </c>
      <c r="AF11" s="48">
        <v>1025221.4600000005</v>
      </c>
      <c r="AG11" s="48">
        <v>1066714.2000000004</v>
      </c>
      <c r="AH11" s="48">
        <v>1037751.5099999999</v>
      </c>
      <c r="AI11" s="48">
        <v>1121511.4700000004</v>
      </c>
      <c r="AJ11" s="48">
        <v>992893.74999999977</v>
      </c>
      <c r="AK11" s="48">
        <v>774669.73999999976</v>
      </c>
      <c r="AL11" s="80">
        <v>1172960.6400000001</v>
      </c>
      <c r="AM11" s="48">
        <v>984871.20000000042</v>
      </c>
      <c r="AN11" s="48">
        <v>1457187.3</v>
      </c>
      <c r="AO11" s="48">
        <v>1338336.8100000005</v>
      </c>
      <c r="AP11" s="48">
        <v>1314813.3500000006</v>
      </c>
      <c r="AQ11" s="48">
        <v>1085388.9300000002</v>
      </c>
      <c r="AR11" s="48"/>
      <c r="AS11" s="48"/>
      <c r="AT11" s="48"/>
      <c r="AU11" s="48"/>
      <c r="AV11" s="48"/>
      <c r="AW11" s="159"/>
      <c r="AX11" s="147">
        <f>SUM(AL11:AW11)</f>
        <v>7353558.2300000023</v>
      </c>
    </row>
    <row r="12" spans="1:50" ht="15.75" thickBot="1">
      <c r="A12" s="49" t="s">
        <v>1574</v>
      </c>
      <c r="B12" s="55"/>
      <c r="C12" s="55"/>
      <c r="D12" s="55"/>
      <c r="E12" s="55"/>
      <c r="F12" s="55"/>
      <c r="G12" s="55"/>
      <c r="H12" s="55"/>
      <c r="I12" s="50">
        <v>3211667</v>
      </c>
      <c r="J12" s="50">
        <v>3168837</v>
      </c>
      <c r="K12" s="50">
        <v>3004682.52</v>
      </c>
      <c r="L12" s="50">
        <v>3203101</v>
      </c>
      <c r="M12" s="50">
        <v>3041338</v>
      </c>
      <c r="N12" s="81">
        <v>4423038</v>
      </c>
      <c r="O12" s="50">
        <v>4865353.87</v>
      </c>
      <c r="P12" s="50">
        <v>4994028.8099999996</v>
      </c>
      <c r="Q12" s="50">
        <v>4990655.26</v>
      </c>
      <c r="R12" s="50">
        <v>4781186.18</v>
      </c>
      <c r="S12" s="50">
        <v>5093005.5199999996</v>
      </c>
      <c r="T12" s="50">
        <v>5755337.7000000002</v>
      </c>
      <c r="U12" s="50">
        <v>5377731.6799999997</v>
      </c>
      <c r="V12" s="50">
        <v>5162595.96</v>
      </c>
      <c r="W12" s="50">
        <v>5370285.5199999996</v>
      </c>
      <c r="X12" s="50">
        <v>5525359.1699999999</v>
      </c>
      <c r="Y12" s="50">
        <v>5778966.0700000003</v>
      </c>
      <c r="Z12" s="50">
        <f t="shared" ref="Z12:AE12" si="1">SUM(Z9:Z11)</f>
        <v>7635070.29</v>
      </c>
      <c r="AA12" s="50">
        <f t="shared" si="1"/>
        <v>8392177.5800000019</v>
      </c>
      <c r="AB12" s="50">
        <f t="shared" si="1"/>
        <v>8350607.75</v>
      </c>
      <c r="AC12" s="50">
        <f t="shared" si="1"/>
        <v>7736604.3499999996</v>
      </c>
      <c r="AD12" s="50">
        <f t="shared" si="1"/>
        <v>8039826.5800000019</v>
      </c>
      <c r="AE12" s="50">
        <f t="shared" si="1"/>
        <v>8054750.2600000035</v>
      </c>
      <c r="AF12" s="50">
        <f t="shared" ref="AF12:AK12" si="2">SUM(AF9:AF11)</f>
        <v>8569715.790000001</v>
      </c>
      <c r="AG12" s="50">
        <f t="shared" si="2"/>
        <v>9190739.1900000013</v>
      </c>
      <c r="AH12" s="50">
        <f t="shared" si="2"/>
        <v>9446823.2099999972</v>
      </c>
      <c r="AI12" s="50">
        <f t="shared" si="2"/>
        <v>9864792.5500000026</v>
      </c>
      <c r="AJ12" s="50">
        <f t="shared" si="2"/>
        <v>9426403.0599999987</v>
      </c>
      <c r="AK12" s="50">
        <f t="shared" si="2"/>
        <v>8276121.339999998</v>
      </c>
      <c r="AL12" s="81">
        <f>SUM(AL9:AL11)</f>
        <v>12014181.840000004</v>
      </c>
      <c r="AM12" s="81">
        <f>SUM(AM9:AM11)</f>
        <v>11310749.899999999</v>
      </c>
      <c r="AN12" s="81">
        <f>SUM(AN9:AN11)</f>
        <v>13419981.110000001</v>
      </c>
      <c r="AO12" s="81">
        <f>SUM(AO9:AO11)</f>
        <v>12197213.070000004</v>
      </c>
      <c r="AP12" s="81">
        <f>SUM(AP9:AP11)</f>
        <v>11694918.250000004</v>
      </c>
      <c r="AQ12" s="81">
        <f>SUM(AQ9:AQ11)</f>
        <v>10971943.420000004</v>
      </c>
      <c r="AR12" s="50"/>
      <c r="AS12" s="50"/>
      <c r="AT12" s="50"/>
      <c r="AU12" s="50"/>
      <c r="AV12" s="50"/>
      <c r="AW12" s="160"/>
      <c r="AX12" s="148">
        <f>SUM(AL12:AW12)</f>
        <v>71608987.590000004</v>
      </c>
    </row>
    <row r="13" spans="1:50">
      <c r="A13" s="51"/>
      <c r="B13" s="51"/>
      <c r="C13" s="51"/>
      <c r="D13" s="51"/>
      <c r="E13" s="51"/>
      <c r="F13" s="51"/>
      <c r="G13" s="51"/>
      <c r="H13" s="51"/>
      <c r="I13" s="51"/>
      <c r="J13" s="51"/>
      <c r="K13" s="51"/>
      <c r="L13" s="51"/>
      <c r="M13" s="51"/>
      <c r="N13" s="44"/>
      <c r="O13" s="44"/>
      <c r="P13" s="44"/>
      <c r="Q13" s="44"/>
      <c r="R13" s="44"/>
      <c r="S13" s="44"/>
      <c r="T13" s="44"/>
      <c r="U13" s="44"/>
      <c r="V13" s="44"/>
      <c r="W13" s="44"/>
      <c r="X13" s="44"/>
      <c r="Y13" s="44"/>
      <c r="Z13" s="44"/>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row>
    <row r="14" spans="1:50" ht="15.75" thickBot="1">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H14" s="26"/>
      <c r="AI14" s="26"/>
      <c r="AJ14" s="26"/>
      <c r="AK14" s="26"/>
      <c r="AL14" s="26"/>
      <c r="AM14" s="26"/>
      <c r="AN14" s="26"/>
      <c r="AO14" s="26"/>
      <c r="AP14" s="26"/>
      <c r="AQ14" s="26"/>
      <c r="AR14" s="26"/>
      <c r="AS14" s="26"/>
      <c r="AT14" s="26"/>
      <c r="AU14" s="26"/>
      <c r="AV14" s="26"/>
      <c r="AW14" s="26"/>
      <c r="AX14" s="26"/>
    </row>
    <row r="15" spans="1:50" ht="15.75" thickBot="1">
      <c r="A15" s="34" t="s">
        <v>1576</v>
      </c>
      <c r="B15" s="40" t="s">
        <v>1522</v>
      </c>
      <c r="C15" s="40" t="s">
        <v>1523</v>
      </c>
      <c r="D15" s="40" t="s">
        <v>1524</v>
      </c>
      <c r="E15" s="40" t="s">
        <v>1525</v>
      </c>
      <c r="F15" s="40" t="s">
        <v>1526</v>
      </c>
      <c r="G15" s="40" t="s">
        <v>1527</v>
      </c>
      <c r="H15" s="40" t="s">
        <v>1528</v>
      </c>
      <c r="I15" s="40" t="s">
        <v>1529</v>
      </c>
      <c r="J15" s="40" t="s">
        <v>1530</v>
      </c>
      <c r="K15" s="40" t="s">
        <v>1531</v>
      </c>
      <c r="L15" s="40" t="s">
        <v>1532</v>
      </c>
      <c r="M15" s="40" t="s">
        <v>1533</v>
      </c>
      <c r="N15" s="40" t="s">
        <v>1534</v>
      </c>
      <c r="O15" s="40" t="s">
        <v>1535</v>
      </c>
      <c r="P15" s="40" t="s">
        <v>1536</v>
      </c>
      <c r="Q15" s="40" t="s">
        <v>1537</v>
      </c>
      <c r="R15" s="40" t="s">
        <v>1538</v>
      </c>
      <c r="S15" s="40" t="s">
        <v>1539</v>
      </c>
      <c r="T15" s="40" t="s">
        <v>1540</v>
      </c>
      <c r="U15" s="40" t="s">
        <v>1541</v>
      </c>
      <c r="V15" s="40" t="s">
        <v>1542</v>
      </c>
      <c r="W15" s="40" t="s">
        <v>1543</v>
      </c>
      <c r="X15" s="40" t="s">
        <v>1544</v>
      </c>
      <c r="Y15" s="41" t="s">
        <v>1545</v>
      </c>
      <c r="Z15" s="41" t="s">
        <v>1546</v>
      </c>
      <c r="AA15" s="41" t="s">
        <v>1547</v>
      </c>
      <c r="AB15" s="41" t="s">
        <v>1548</v>
      </c>
      <c r="AC15" s="41" t="s">
        <v>1549</v>
      </c>
      <c r="AD15" s="41" t="s">
        <v>1550</v>
      </c>
      <c r="AE15" s="41" t="s">
        <v>1551</v>
      </c>
      <c r="AF15" s="41" t="s">
        <v>1552</v>
      </c>
      <c r="AG15" s="41" t="s">
        <v>1553</v>
      </c>
      <c r="AH15" s="41" t="s">
        <v>1554</v>
      </c>
      <c r="AI15" s="41" t="s">
        <v>1555</v>
      </c>
      <c r="AJ15" s="41" t="s">
        <v>1556</v>
      </c>
      <c r="AK15" s="41" t="s">
        <v>1557</v>
      </c>
      <c r="AL15" s="41" t="s">
        <v>1558</v>
      </c>
      <c r="AM15" s="41" t="s">
        <v>1559</v>
      </c>
      <c r="AN15" s="41" t="s">
        <v>1560</v>
      </c>
      <c r="AO15" s="41" t="s">
        <v>1561</v>
      </c>
      <c r="AP15" s="41" t="s">
        <v>1562</v>
      </c>
      <c r="AQ15" s="41" t="s">
        <v>1563</v>
      </c>
      <c r="AR15" s="41" t="s">
        <v>1564</v>
      </c>
      <c r="AS15" s="41" t="s">
        <v>1565</v>
      </c>
      <c r="AT15" s="41" t="s">
        <v>1566</v>
      </c>
      <c r="AU15" s="41" t="s">
        <v>1567</v>
      </c>
      <c r="AV15" s="41" t="s">
        <v>1568</v>
      </c>
      <c r="AW15" s="41" t="s">
        <v>1569</v>
      </c>
      <c r="AX15" s="41" t="s">
        <v>1570</v>
      </c>
    </row>
    <row r="16" spans="1:50">
      <c r="A16" s="42" t="s">
        <v>1571</v>
      </c>
      <c r="B16" s="52"/>
      <c r="C16" s="43">
        <v>281621</v>
      </c>
      <c r="D16" s="43">
        <v>273878</v>
      </c>
      <c r="E16" s="43">
        <v>277809</v>
      </c>
      <c r="F16" s="43">
        <v>254443</v>
      </c>
      <c r="G16" s="43">
        <v>260570</v>
      </c>
      <c r="H16" s="43">
        <v>336892</v>
      </c>
      <c r="I16" s="43">
        <v>353937</v>
      </c>
      <c r="J16" s="43">
        <v>290810</v>
      </c>
      <c r="K16" s="43">
        <v>287548</v>
      </c>
      <c r="L16" s="43">
        <v>293581</v>
      </c>
      <c r="M16" s="43">
        <v>260800</v>
      </c>
      <c r="N16" s="78">
        <v>391789.03</v>
      </c>
      <c r="O16" s="43">
        <v>456957.97</v>
      </c>
      <c r="P16" s="43">
        <v>433741.56</v>
      </c>
      <c r="Q16" s="43">
        <v>417240.93</v>
      </c>
      <c r="R16" s="43">
        <v>378268.57</v>
      </c>
      <c r="S16" s="43">
        <v>447394</v>
      </c>
      <c r="T16" s="43">
        <v>520052.15</v>
      </c>
      <c r="U16" s="43">
        <v>506057.84</v>
      </c>
      <c r="V16" s="43">
        <v>490372.32</v>
      </c>
      <c r="W16" s="43">
        <v>483724.33</v>
      </c>
      <c r="X16" s="43">
        <v>522704.26</v>
      </c>
      <c r="Y16" s="43">
        <v>560029.31999999995</v>
      </c>
      <c r="Z16" s="43">
        <v>771258.65</v>
      </c>
      <c r="AA16" s="43">
        <v>816469.8</v>
      </c>
      <c r="AB16" s="43">
        <v>775860.44</v>
      </c>
      <c r="AC16" s="43">
        <v>712776.75</v>
      </c>
      <c r="AD16" s="43">
        <v>749152.51000000071</v>
      </c>
      <c r="AE16" s="43">
        <v>784754.15999999898</v>
      </c>
      <c r="AF16" s="43">
        <v>879983.60000000033</v>
      </c>
      <c r="AG16" s="43">
        <v>999082.41999999993</v>
      </c>
      <c r="AH16" s="43">
        <v>997712.63</v>
      </c>
      <c r="AI16" s="43">
        <v>1043711.9800000004</v>
      </c>
      <c r="AJ16" s="43">
        <v>1051966.6800000013</v>
      </c>
      <c r="AK16" s="43">
        <v>955018.67999999993</v>
      </c>
      <c r="AL16" s="43">
        <v>1426064.3099999998</v>
      </c>
      <c r="AM16" s="43">
        <v>1503979.7200000002</v>
      </c>
      <c r="AN16" s="43">
        <v>1795243.3099999996</v>
      </c>
      <c r="AO16" s="43">
        <v>1623778.7499999991</v>
      </c>
      <c r="AP16" s="43">
        <v>1617850.75</v>
      </c>
      <c r="AQ16" s="43">
        <v>1537282.6499999997</v>
      </c>
      <c r="AR16" s="43"/>
      <c r="AS16" s="43"/>
      <c r="AT16" s="43"/>
      <c r="AU16" s="43"/>
      <c r="AV16" s="43"/>
      <c r="AW16" s="43"/>
      <c r="AX16" s="43">
        <f>SUM(Z16:AK16)</f>
        <v>10537748.300000003</v>
      </c>
    </row>
    <row r="17" spans="1:50">
      <c r="A17" s="45" t="s">
        <v>1572</v>
      </c>
      <c r="B17" s="53"/>
      <c r="C17" s="46">
        <v>157254</v>
      </c>
      <c r="D17" s="46">
        <v>174005</v>
      </c>
      <c r="E17" s="46">
        <v>171273</v>
      </c>
      <c r="F17" s="46">
        <v>118695</v>
      </c>
      <c r="G17" s="46">
        <v>125637</v>
      </c>
      <c r="H17" s="46">
        <v>173332</v>
      </c>
      <c r="I17" s="46">
        <v>150428</v>
      </c>
      <c r="J17" s="46">
        <v>151620</v>
      </c>
      <c r="K17" s="46">
        <v>124967</v>
      </c>
      <c r="L17" s="46">
        <v>130035</v>
      </c>
      <c r="M17" s="46">
        <v>120095.34</v>
      </c>
      <c r="N17" s="79">
        <v>195481</v>
      </c>
      <c r="O17" s="46">
        <v>192130</v>
      </c>
      <c r="P17" s="46">
        <v>176189</v>
      </c>
      <c r="Q17" s="46">
        <v>173609</v>
      </c>
      <c r="R17" s="46">
        <v>163129</v>
      </c>
      <c r="S17" s="46">
        <v>151125</v>
      </c>
      <c r="T17" s="46">
        <v>162391</v>
      </c>
      <c r="U17" s="46">
        <v>165932.48000000001</v>
      </c>
      <c r="V17" s="46">
        <v>174978.27</v>
      </c>
      <c r="W17" s="46">
        <v>190435</v>
      </c>
      <c r="X17" s="46">
        <v>218696</v>
      </c>
      <c r="Y17" s="46">
        <v>248084</v>
      </c>
      <c r="Z17" s="46">
        <v>331372</v>
      </c>
      <c r="AA17" s="46">
        <v>332112</v>
      </c>
      <c r="AB17" s="46">
        <v>291118</v>
      </c>
      <c r="AC17" s="46">
        <v>253586</v>
      </c>
      <c r="AD17" s="46">
        <v>279025.34999999998</v>
      </c>
      <c r="AE17" s="46">
        <v>263243.46999999997</v>
      </c>
      <c r="AF17" s="46">
        <v>247762.80000000016</v>
      </c>
      <c r="AG17" s="46">
        <v>283642.8600000001</v>
      </c>
      <c r="AH17" s="46">
        <v>233959.10999999993</v>
      </c>
      <c r="AI17" s="46">
        <v>237482.57000000007</v>
      </c>
      <c r="AJ17" s="46">
        <f>216765.39+35244</f>
        <v>252009.39</v>
      </c>
      <c r="AK17" s="46">
        <v>203776.84999999998</v>
      </c>
      <c r="AL17" s="46">
        <v>298630.84000000008</v>
      </c>
      <c r="AM17" s="46">
        <v>334683.14999999997</v>
      </c>
      <c r="AN17" s="46">
        <v>438939.62999999983</v>
      </c>
      <c r="AO17" s="46">
        <v>423932.19000000012</v>
      </c>
      <c r="AP17" s="46">
        <v>443764.98000000004</v>
      </c>
      <c r="AQ17" s="46">
        <v>324572.07</v>
      </c>
      <c r="AR17" s="46"/>
      <c r="AS17" s="46"/>
      <c r="AT17" s="46"/>
      <c r="AU17" s="46"/>
      <c r="AV17" s="46"/>
      <c r="AW17" s="46"/>
      <c r="AX17" s="46">
        <f t="shared" ref="AX17:AX18" si="3">SUM(Z17:AK17)</f>
        <v>3209090.4000000004</v>
      </c>
    </row>
    <row r="18" spans="1:50">
      <c r="A18" s="47" t="s">
        <v>1573</v>
      </c>
      <c r="B18" s="54"/>
      <c r="C18" s="48">
        <v>105644</v>
      </c>
      <c r="D18" s="48">
        <v>123530</v>
      </c>
      <c r="E18" s="48">
        <v>111756</v>
      </c>
      <c r="F18" s="48">
        <v>101708</v>
      </c>
      <c r="G18" s="48">
        <v>115414</v>
      </c>
      <c r="H18" s="48">
        <v>149559</v>
      </c>
      <c r="I18" s="48">
        <v>140607</v>
      </c>
      <c r="J18" s="48">
        <v>149786</v>
      </c>
      <c r="K18" s="48">
        <v>131233</v>
      </c>
      <c r="L18" s="48">
        <v>134895</v>
      </c>
      <c r="M18" s="48">
        <v>135219</v>
      </c>
      <c r="N18" s="80">
        <v>200784</v>
      </c>
      <c r="O18" s="48">
        <v>185443</v>
      </c>
      <c r="P18" s="48">
        <v>173278</v>
      </c>
      <c r="Q18" s="48">
        <v>161823</v>
      </c>
      <c r="R18" s="48">
        <v>174040</v>
      </c>
      <c r="S18" s="48">
        <v>147768</v>
      </c>
      <c r="T18" s="48">
        <v>154351</v>
      </c>
      <c r="U18" s="48">
        <v>166396.01999999999</v>
      </c>
      <c r="V18" s="48">
        <v>184384.8</v>
      </c>
      <c r="W18" s="48">
        <v>169616</v>
      </c>
      <c r="X18" s="48">
        <v>160236</v>
      </c>
      <c r="Y18" s="48">
        <v>168096</v>
      </c>
      <c r="Z18" s="48">
        <v>231151</v>
      </c>
      <c r="AA18" s="48">
        <v>232388</v>
      </c>
      <c r="AB18" s="48">
        <v>226071</v>
      </c>
      <c r="AC18" s="48">
        <v>182617</v>
      </c>
      <c r="AD18" s="48">
        <v>193963.78</v>
      </c>
      <c r="AE18" s="48">
        <v>188323.60999999993</v>
      </c>
      <c r="AF18" s="48">
        <v>190799.73999999993</v>
      </c>
      <c r="AG18" s="48">
        <v>207714.62</v>
      </c>
      <c r="AH18" s="48">
        <v>187393.60999999993</v>
      </c>
      <c r="AI18" s="48">
        <v>203596.23</v>
      </c>
      <c r="AJ18" s="48">
        <v>178998.45000000004</v>
      </c>
      <c r="AK18" s="48">
        <v>144135.06000000008</v>
      </c>
      <c r="AL18" s="48">
        <v>235110.04000000007</v>
      </c>
      <c r="AM18" s="48">
        <v>202140.09000000011</v>
      </c>
      <c r="AN18" s="48">
        <v>299057.5300000002</v>
      </c>
      <c r="AO18" s="48">
        <v>279408.78999999998</v>
      </c>
      <c r="AP18" s="48">
        <v>273686.28000000009</v>
      </c>
      <c r="AQ18" s="48">
        <v>213299.64999999994</v>
      </c>
      <c r="AR18" s="48"/>
      <c r="AS18" s="48"/>
      <c r="AT18" s="48"/>
      <c r="AU18" s="48"/>
      <c r="AV18" s="48"/>
      <c r="AW18" s="48"/>
      <c r="AX18" s="48">
        <f t="shared" si="3"/>
        <v>2367152.1</v>
      </c>
    </row>
    <row r="19" spans="1:50" ht="15.75" thickBot="1">
      <c r="A19" s="49" t="s">
        <v>1574</v>
      </c>
      <c r="B19" s="55"/>
      <c r="C19" s="50">
        <v>544519</v>
      </c>
      <c r="D19" s="50">
        <v>571413</v>
      </c>
      <c r="E19" s="50">
        <v>560838</v>
      </c>
      <c r="F19" s="50">
        <v>474846</v>
      </c>
      <c r="G19" s="50">
        <v>501621</v>
      </c>
      <c r="H19" s="50">
        <v>659783</v>
      </c>
      <c r="I19" s="50">
        <v>644972</v>
      </c>
      <c r="J19" s="50">
        <v>592216</v>
      </c>
      <c r="K19" s="50">
        <v>543748</v>
      </c>
      <c r="L19" s="50">
        <v>558511</v>
      </c>
      <c r="M19" s="50">
        <v>516114.34</v>
      </c>
      <c r="N19" s="81">
        <v>788054.03</v>
      </c>
      <c r="O19" s="50">
        <v>834530.97</v>
      </c>
      <c r="P19" s="50">
        <v>783208.56</v>
      </c>
      <c r="Q19" s="50">
        <v>752672.93</v>
      </c>
      <c r="R19" s="50">
        <v>715437.57</v>
      </c>
      <c r="S19" s="50">
        <v>746287</v>
      </c>
      <c r="T19" s="50">
        <v>836794.15</v>
      </c>
      <c r="U19" s="50">
        <v>838386.34</v>
      </c>
      <c r="V19" s="50">
        <v>849735.39</v>
      </c>
      <c r="W19" s="50">
        <v>843775.33</v>
      </c>
      <c r="X19" s="50">
        <v>901636.26</v>
      </c>
      <c r="Y19" s="50">
        <v>976209.32</v>
      </c>
      <c r="Z19" s="50">
        <f t="shared" ref="Z19:AE19" si="4">SUM(Z16:Z18)</f>
        <v>1333781.6499999999</v>
      </c>
      <c r="AA19" s="50">
        <f t="shared" si="4"/>
        <v>1380969.8</v>
      </c>
      <c r="AB19" s="50">
        <f t="shared" si="4"/>
        <v>1293049.44</v>
      </c>
      <c r="AC19" s="50">
        <f t="shared" si="4"/>
        <v>1148979.75</v>
      </c>
      <c r="AD19" s="50">
        <f t="shared" si="4"/>
        <v>1222141.6400000006</v>
      </c>
      <c r="AE19" s="50">
        <f t="shared" si="4"/>
        <v>1236321.2399999988</v>
      </c>
      <c r="AF19" s="50">
        <f t="shared" ref="AF19:AK19" si="5">SUM(AF16:AF18)</f>
        <v>1318546.1400000004</v>
      </c>
      <c r="AG19" s="50">
        <f t="shared" si="5"/>
        <v>1490439.9</v>
      </c>
      <c r="AH19" s="50">
        <f t="shared" si="5"/>
        <v>1419065.3499999999</v>
      </c>
      <c r="AI19" s="50">
        <f t="shared" si="5"/>
        <v>1484790.7800000005</v>
      </c>
      <c r="AJ19" s="50">
        <f t="shared" si="5"/>
        <v>1482974.5200000012</v>
      </c>
      <c r="AK19" s="50">
        <f t="shared" si="5"/>
        <v>1302930.5899999999</v>
      </c>
      <c r="AL19" s="50">
        <f>SUM(AL16:AL18)</f>
        <v>1959805.19</v>
      </c>
      <c r="AM19" s="50">
        <f>SUM(AM16:AM18)</f>
        <v>2040802.9600000002</v>
      </c>
      <c r="AN19" s="50">
        <f>SUM(AN16:AN18)</f>
        <v>2533240.4699999997</v>
      </c>
      <c r="AO19" s="50">
        <f>SUM(AO16:AO18)</f>
        <v>2327119.7299999991</v>
      </c>
      <c r="AP19" s="50">
        <f>SUM(AP16:AP18)</f>
        <v>2335302.0100000002</v>
      </c>
      <c r="AQ19" s="50">
        <f>SUM(AQ16:AQ18)</f>
        <v>2075154.3699999996</v>
      </c>
      <c r="AR19" s="50"/>
      <c r="AS19" s="50"/>
      <c r="AT19" s="50"/>
      <c r="AU19" s="50"/>
      <c r="AV19" s="50"/>
      <c r="AW19" s="50"/>
      <c r="AX19" s="50">
        <f>SUM(Z19:AL19)</f>
        <v>18073795.990000002</v>
      </c>
    </row>
    <row r="20" spans="1:50">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row>
    <row r="21" spans="1:50" ht="15.75" thickBot="1">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row>
    <row r="22" spans="1:50" ht="15.75" thickBot="1">
      <c r="A22" s="34" t="s">
        <v>895</v>
      </c>
      <c r="B22" s="40" t="s">
        <v>1522</v>
      </c>
      <c r="C22" s="40" t="s">
        <v>1523</v>
      </c>
      <c r="D22" s="40" t="s">
        <v>1524</v>
      </c>
      <c r="E22" s="40" t="s">
        <v>1525</v>
      </c>
      <c r="F22" s="40" t="s">
        <v>1526</v>
      </c>
      <c r="G22" s="40" t="s">
        <v>1527</v>
      </c>
      <c r="H22" s="40" t="s">
        <v>1528</v>
      </c>
      <c r="I22" s="40" t="s">
        <v>1529</v>
      </c>
      <c r="J22" s="40" t="s">
        <v>1530</v>
      </c>
      <c r="K22" s="40" t="s">
        <v>1531</v>
      </c>
      <c r="L22" s="40" t="s">
        <v>1532</v>
      </c>
      <c r="M22" s="40" t="s">
        <v>1533</v>
      </c>
      <c r="N22" s="40" t="s">
        <v>1534</v>
      </c>
      <c r="O22" s="40" t="s">
        <v>1535</v>
      </c>
      <c r="P22" s="40" t="s">
        <v>1536</v>
      </c>
      <c r="Q22" s="40" t="s">
        <v>1537</v>
      </c>
      <c r="R22" s="40" t="s">
        <v>1538</v>
      </c>
      <c r="S22" s="40" t="s">
        <v>1539</v>
      </c>
      <c r="T22" s="40" t="s">
        <v>1540</v>
      </c>
      <c r="U22" s="40" t="s">
        <v>1541</v>
      </c>
      <c r="V22" s="40" t="s">
        <v>1542</v>
      </c>
      <c r="W22" s="40" t="s">
        <v>1543</v>
      </c>
      <c r="X22" s="40" t="s">
        <v>1544</v>
      </c>
      <c r="Y22" s="41" t="s">
        <v>1545</v>
      </c>
      <c r="Z22" s="41" t="s">
        <v>1546</v>
      </c>
      <c r="AA22" s="41" t="s">
        <v>1547</v>
      </c>
      <c r="AB22" s="41" t="s">
        <v>1548</v>
      </c>
      <c r="AC22" s="41" t="s">
        <v>1549</v>
      </c>
      <c r="AD22" s="41" t="s">
        <v>1550</v>
      </c>
      <c r="AE22" s="41" t="s">
        <v>1551</v>
      </c>
      <c r="AF22" s="41" t="s">
        <v>1552</v>
      </c>
      <c r="AG22" s="41" t="s">
        <v>1553</v>
      </c>
      <c r="AH22" s="41" t="s">
        <v>1554</v>
      </c>
      <c r="AI22" s="41" t="s">
        <v>1555</v>
      </c>
      <c r="AJ22" s="40" t="s">
        <v>1556</v>
      </c>
      <c r="AK22" s="125" t="s">
        <v>1557</v>
      </c>
      <c r="AL22" s="41" t="s">
        <v>1558</v>
      </c>
      <c r="AM22" s="41" t="s">
        <v>1559</v>
      </c>
      <c r="AN22" s="41" t="s">
        <v>1560</v>
      </c>
      <c r="AO22" s="41" t="s">
        <v>1561</v>
      </c>
      <c r="AP22" s="41" t="s">
        <v>1562</v>
      </c>
      <c r="AQ22" s="41" t="s">
        <v>1563</v>
      </c>
      <c r="AR22" s="41" t="s">
        <v>1564</v>
      </c>
      <c r="AS22" s="41" t="s">
        <v>1565</v>
      </c>
      <c r="AT22" s="41" t="s">
        <v>1566</v>
      </c>
      <c r="AU22" s="41" t="s">
        <v>1567</v>
      </c>
      <c r="AV22" s="41" t="s">
        <v>1568</v>
      </c>
      <c r="AW22" s="41" t="s">
        <v>1569</v>
      </c>
      <c r="AX22" s="51"/>
    </row>
    <row r="23" spans="1:50">
      <c r="A23" s="42" t="s">
        <v>1571</v>
      </c>
      <c r="B23" s="57">
        <v>0</v>
      </c>
      <c r="C23" s="57">
        <v>5.7700000000000001E-2</v>
      </c>
      <c r="D23" s="57">
        <v>4.7699999999999999E-2</v>
      </c>
      <c r="E23" s="57">
        <v>0.05</v>
      </c>
      <c r="F23" s="57">
        <v>4.5400000000000003E-2</v>
      </c>
      <c r="G23" s="57">
        <v>4.8599999999999997E-2</v>
      </c>
      <c r="H23" s="57">
        <v>5.4600000000000003E-2</v>
      </c>
      <c r="I23" s="57">
        <v>5.7000000000000002E-2</v>
      </c>
      <c r="J23" s="57">
        <v>4.7600000000000003E-2</v>
      </c>
      <c r="K23" s="57">
        <v>4.7399999999999998E-2</v>
      </c>
      <c r="L23" s="57">
        <v>4.58E-2</v>
      </c>
      <c r="M23" s="57">
        <v>4.4600000000000001E-2</v>
      </c>
      <c r="N23" s="82">
        <v>5.0999999999999997E-2</v>
      </c>
      <c r="O23" s="57">
        <v>5.2499999999999998E-2</v>
      </c>
      <c r="P23" s="57">
        <v>4.1599999999999998E-2</v>
      </c>
      <c r="Q23" s="57">
        <v>3.3300000000000003E-2</v>
      </c>
      <c r="R23" s="57">
        <v>3.0499999999999999E-2</v>
      </c>
      <c r="S23" s="57">
        <v>3.6299999999999999E-2</v>
      </c>
      <c r="T23" s="57">
        <v>3.9100000000000003E-2</v>
      </c>
      <c r="U23" s="57">
        <v>4.07E-2</v>
      </c>
      <c r="V23" s="57">
        <v>3.95E-2</v>
      </c>
      <c r="W23" s="57">
        <v>3.6900000000000002E-2</v>
      </c>
      <c r="X23" s="57">
        <v>3.9699999999999999E-2</v>
      </c>
      <c r="Y23" s="57">
        <v>3.9699999999999999E-2</v>
      </c>
      <c r="Z23" s="57">
        <f t="shared" ref="Z23:AA26" si="6">Z16/Z2</f>
        <v>4.5628973942509046E-2</v>
      </c>
      <c r="AA23" s="57">
        <f t="shared" si="6"/>
        <v>4.6166277152873296E-2</v>
      </c>
      <c r="AB23" s="57">
        <f t="shared" ref="AB23:AF23" si="7">AB16/AB2</f>
        <v>4.3479953257412336E-2</v>
      </c>
      <c r="AC23" s="57">
        <f t="shared" si="7"/>
        <v>3.5539954329669013E-2</v>
      </c>
      <c r="AD23" s="57">
        <f t="shared" si="7"/>
        <v>4.0028978414698338E-2</v>
      </c>
      <c r="AE23" s="57">
        <f t="shared" si="7"/>
        <v>4.3601386008790342E-2</v>
      </c>
      <c r="AF23" s="57">
        <f t="shared" si="7"/>
        <v>4.6437838230427464E-2</v>
      </c>
      <c r="AG23" s="57">
        <f t="shared" ref="AG23:AH25" si="8">AG16/AG2</f>
        <v>5.2134335101085921E-2</v>
      </c>
      <c r="AH23" s="57">
        <f t="shared" ref="AH23:AL23" si="9">AH16/AH2</f>
        <v>4.5143769620442253E-2</v>
      </c>
      <c r="AI23" s="57">
        <f t="shared" si="9"/>
        <v>4.3465831393437619E-2</v>
      </c>
      <c r="AJ23" s="57">
        <f t="shared" si="9"/>
        <v>4.6651776650826794E-2</v>
      </c>
      <c r="AK23" s="57">
        <f t="shared" si="9"/>
        <v>4.4182066333478313E-2</v>
      </c>
      <c r="AL23" s="57">
        <f t="shared" si="9"/>
        <v>5.1690226102274098E-2</v>
      </c>
      <c r="AM23" s="57">
        <f t="shared" ref="AM23:AN26" si="10">AM16/AM2</f>
        <v>5.829207853190059E-2</v>
      </c>
      <c r="AN23" s="57">
        <f t="shared" si="10"/>
        <v>6.3257956692963385E-2</v>
      </c>
      <c r="AO23" s="57">
        <f t="shared" ref="AO23:AP23" si="11">AO16/AO2</f>
        <v>6.1617575011036763E-2</v>
      </c>
      <c r="AP23" s="57">
        <f t="shared" si="11"/>
        <v>6.2141253688605166E-2</v>
      </c>
      <c r="AQ23" s="57">
        <f t="shared" ref="AQ23" si="12">AQ16/AQ2</f>
        <v>5.9480508224470006E-2</v>
      </c>
      <c r="AR23" s="43"/>
      <c r="AS23" s="43"/>
      <c r="AT23" s="43"/>
      <c r="AU23" s="43"/>
      <c r="AV23" s="43"/>
      <c r="AW23" s="43"/>
      <c r="AX23" s="44"/>
    </row>
    <row r="24" spans="1:50">
      <c r="A24" s="45" t="s">
        <v>1572</v>
      </c>
      <c r="B24" s="59">
        <v>0</v>
      </c>
      <c r="C24" s="59">
        <v>7.3099999999999998E-2</v>
      </c>
      <c r="D24" s="59">
        <v>6.6199999999999995E-2</v>
      </c>
      <c r="E24" s="59">
        <v>6.7900000000000002E-2</v>
      </c>
      <c r="F24" s="59">
        <v>5.2499999999999998E-2</v>
      </c>
      <c r="G24" s="59">
        <v>4.99E-2</v>
      </c>
      <c r="H24" s="59">
        <v>6.13E-2</v>
      </c>
      <c r="I24" s="59">
        <v>5.2299999999999999E-2</v>
      </c>
      <c r="J24" s="59">
        <v>4.7300000000000002E-2</v>
      </c>
      <c r="K24" s="59">
        <v>4.3700000000000003E-2</v>
      </c>
      <c r="L24" s="59">
        <v>4.2200000000000001E-2</v>
      </c>
      <c r="M24" s="59">
        <v>3.9300000000000002E-2</v>
      </c>
      <c r="N24" s="83">
        <v>5.0900000000000001E-2</v>
      </c>
      <c r="O24" s="59">
        <v>5.2900000000000003E-2</v>
      </c>
      <c r="P24" s="59">
        <v>4.7500000000000001E-2</v>
      </c>
      <c r="Q24" s="59">
        <v>4.5499999999999999E-2</v>
      </c>
      <c r="R24" s="59">
        <v>4.1799999999999997E-2</v>
      </c>
      <c r="S24" s="59">
        <v>4.1000000000000002E-2</v>
      </c>
      <c r="T24" s="59">
        <v>4.1099999999999998E-2</v>
      </c>
      <c r="U24" s="59">
        <v>4.6300000000000001E-2</v>
      </c>
      <c r="V24" s="59">
        <v>4.53E-2</v>
      </c>
      <c r="W24" s="59">
        <v>4.4999999999999998E-2</v>
      </c>
      <c r="X24" s="59">
        <v>4.8800000000000003E-2</v>
      </c>
      <c r="Y24" s="59">
        <v>4.8800000000000003E-2</v>
      </c>
      <c r="Z24" s="59">
        <f t="shared" si="6"/>
        <v>5.9854248802634603E-2</v>
      </c>
      <c r="AA24" s="59">
        <f t="shared" si="6"/>
        <v>6.05262508857385E-2</v>
      </c>
      <c r="AB24" s="59">
        <f t="shared" ref="AB24" si="13">AB17/AB3</f>
        <v>5.5691209329374672E-2</v>
      </c>
      <c r="AC24" s="59">
        <f>AC17/AC3</f>
        <v>4.8966105852538126E-2</v>
      </c>
      <c r="AD24" s="59">
        <f>AD17/AD3</f>
        <v>5.1655515112241916E-2</v>
      </c>
      <c r="AE24" s="59">
        <f>AE17/AE3</f>
        <v>4.8953724357191551E-2</v>
      </c>
      <c r="AF24" s="59">
        <f>AF17/AF3</f>
        <v>4.586261115647982E-2</v>
      </c>
      <c r="AG24" s="59">
        <f t="shared" si="8"/>
        <v>5.2622788293549862E-2</v>
      </c>
      <c r="AH24" s="59">
        <f t="shared" si="8"/>
        <v>4.4928185672574818E-2</v>
      </c>
      <c r="AI24" s="59">
        <f t="shared" ref="AI24:AJ24" si="14">AI17/AI3</f>
        <v>4.755322321592037E-2</v>
      </c>
      <c r="AJ24" s="59">
        <f t="shared" si="14"/>
        <v>4.6020058691248047E-2</v>
      </c>
      <c r="AK24" s="59">
        <f t="shared" ref="AK24" si="15">AK17/AK3</f>
        <v>4.1842189404454291E-2</v>
      </c>
      <c r="AL24" s="59">
        <f>AL17/AL3</f>
        <v>5.1173364522899806E-2</v>
      </c>
      <c r="AM24" s="59">
        <f t="shared" si="10"/>
        <v>5.7368740821899883E-2</v>
      </c>
      <c r="AN24" s="59">
        <f t="shared" si="10"/>
        <v>6.5324571076650406E-2</v>
      </c>
      <c r="AO24" s="59">
        <f t="shared" ref="AO24:AP24" si="16">AO17/AO3</f>
        <v>6.4872731461972505E-2</v>
      </c>
      <c r="AP24" s="59">
        <f t="shared" si="16"/>
        <v>6.8290059851312326E-2</v>
      </c>
      <c r="AQ24" s="59">
        <f t="shared" ref="AQ24" si="17">AQ17/AQ3</f>
        <v>5.381869698458136E-2</v>
      </c>
      <c r="AR24" s="46"/>
      <c r="AS24" s="46"/>
      <c r="AT24" s="46"/>
      <c r="AU24" s="46"/>
      <c r="AV24" s="46"/>
      <c r="AW24" s="46"/>
      <c r="AX24" s="44"/>
    </row>
    <row r="25" spans="1:50">
      <c r="A25" s="47" t="s">
        <v>1573</v>
      </c>
      <c r="B25" s="61">
        <v>0</v>
      </c>
      <c r="C25" s="61">
        <v>8.3299999999999999E-2</v>
      </c>
      <c r="D25" s="61">
        <v>7.85E-2</v>
      </c>
      <c r="E25" s="61">
        <v>7.4200000000000002E-2</v>
      </c>
      <c r="F25" s="61">
        <v>6.1499999999999999E-2</v>
      </c>
      <c r="G25" s="61">
        <v>6.7900000000000002E-2</v>
      </c>
      <c r="H25" s="61">
        <v>6.8900000000000003E-2</v>
      </c>
      <c r="I25" s="61">
        <v>6.25E-2</v>
      </c>
      <c r="J25" s="61">
        <v>5.8599999999999999E-2</v>
      </c>
      <c r="K25" s="61">
        <v>5.2200000000000003E-2</v>
      </c>
      <c r="L25" s="61">
        <v>5.2699999999999997E-2</v>
      </c>
      <c r="M25" s="61">
        <v>5.6000000000000001E-2</v>
      </c>
      <c r="N25" s="84">
        <v>6.7299999999999999E-2</v>
      </c>
      <c r="O25" s="61">
        <v>6.2300000000000001E-2</v>
      </c>
      <c r="P25" s="61">
        <v>5.7700000000000001E-2</v>
      </c>
      <c r="Q25" s="61">
        <v>5.2600000000000001E-2</v>
      </c>
      <c r="R25" s="61">
        <v>5.0900000000000001E-2</v>
      </c>
      <c r="S25" s="61">
        <v>5.1200000000000002E-2</v>
      </c>
      <c r="T25" s="61">
        <v>5.1700000000000003E-2</v>
      </c>
      <c r="U25" s="61">
        <v>5.7200000000000001E-2</v>
      </c>
      <c r="V25" s="61">
        <v>5.9499999999999997E-2</v>
      </c>
      <c r="W25" s="61">
        <v>5.3600000000000002E-2</v>
      </c>
      <c r="X25" s="61">
        <v>5.0999999999999997E-2</v>
      </c>
      <c r="Y25" s="61">
        <v>5.0999999999999997E-2</v>
      </c>
      <c r="Z25" s="61">
        <f t="shared" si="6"/>
        <v>6.4046165129500704E-2</v>
      </c>
      <c r="AA25" s="61">
        <f t="shared" si="6"/>
        <v>6.3313769712332504E-2</v>
      </c>
      <c r="AB25" s="61">
        <f t="shared" ref="AB25" si="18">AB18/AB4</f>
        <v>6.1523502080664635E-2</v>
      </c>
      <c r="AC25" s="61">
        <f t="shared" ref="AC25:AD25" si="19">AC18/AC4</f>
        <v>5.0171240675134232E-2</v>
      </c>
      <c r="AD25" s="61">
        <f t="shared" si="19"/>
        <v>5.6594190468634564E-2</v>
      </c>
      <c r="AE25" s="61">
        <f t="shared" ref="AE25:AG26" si="20">AE18/AE4</f>
        <v>5.255330142653019E-2</v>
      </c>
      <c r="AF25" s="61">
        <f t="shared" si="20"/>
        <v>5.3208950122372499E-2</v>
      </c>
      <c r="AG25" s="61">
        <f t="shared" si="8"/>
        <v>6.058873249889881E-2</v>
      </c>
      <c r="AH25" s="61">
        <f t="shared" si="8"/>
        <v>5.5173049930233135E-2</v>
      </c>
      <c r="AI25" s="61">
        <f t="shared" ref="AI25:AJ25" si="21">AI18/AI4</f>
        <v>5.424130501241832E-2</v>
      </c>
      <c r="AJ25" s="61">
        <f t="shared" si="21"/>
        <v>4.7603041891566188E-2</v>
      </c>
      <c r="AK25" s="61">
        <f t="shared" ref="AK25" si="22">AK18/AK4</f>
        <v>4.1168257992144144E-2</v>
      </c>
      <c r="AL25" s="61">
        <f>AL18/AL4</f>
        <v>5.5284604630633546E-2</v>
      </c>
      <c r="AM25" s="61">
        <f t="shared" si="10"/>
        <v>5.5152992789574765E-2</v>
      </c>
      <c r="AN25" s="61">
        <f t="shared" si="10"/>
        <v>6.4881594364601947E-2</v>
      </c>
      <c r="AO25" s="61">
        <f t="shared" ref="AO25:AP25" si="23">AO18/AO4</f>
        <v>6.4428270377694524E-2</v>
      </c>
      <c r="AP25" s="61">
        <f t="shared" si="23"/>
        <v>6.1398889366958281E-2</v>
      </c>
      <c r="AQ25" s="61">
        <f t="shared" ref="AQ25" si="24">AQ18/AQ4</f>
        <v>5.368378187133712E-2</v>
      </c>
      <c r="AR25" s="48"/>
      <c r="AS25" s="48"/>
      <c r="AT25" s="48"/>
      <c r="AU25" s="48"/>
      <c r="AV25" s="48"/>
      <c r="AW25" s="48"/>
      <c r="AX25" s="44"/>
    </row>
    <row r="26" spans="1:50" ht="15.75" thickBot="1">
      <c r="A26" s="49" t="s">
        <v>1574</v>
      </c>
      <c r="B26" s="63">
        <v>0</v>
      </c>
      <c r="C26" s="63">
        <v>6.5600000000000006E-2</v>
      </c>
      <c r="D26" s="63">
        <v>5.74E-2</v>
      </c>
      <c r="E26" s="63">
        <v>5.8500000000000003E-2</v>
      </c>
      <c r="F26" s="63">
        <v>4.99E-2</v>
      </c>
      <c r="G26" s="63">
        <v>5.2299999999999999E-2</v>
      </c>
      <c r="H26" s="63">
        <v>5.91E-2</v>
      </c>
      <c r="I26" s="63">
        <v>5.6899999999999999E-2</v>
      </c>
      <c r="J26" s="63">
        <v>4.99E-2</v>
      </c>
      <c r="K26" s="63">
        <v>4.7500000000000001E-2</v>
      </c>
      <c r="L26" s="63">
        <v>4.6399999999999997E-2</v>
      </c>
      <c r="M26" s="63">
        <v>4.5600000000000002E-2</v>
      </c>
      <c r="N26" s="85">
        <v>5.4300000000000001E-2</v>
      </c>
      <c r="O26" s="63">
        <v>5.45E-2</v>
      </c>
      <c r="P26" s="63">
        <v>4.5699999999999998E-2</v>
      </c>
      <c r="Q26" s="63">
        <v>3.8800000000000001E-2</v>
      </c>
      <c r="R26" s="63">
        <v>3.6299999999999999E-2</v>
      </c>
      <c r="S26" s="63">
        <v>3.95E-2</v>
      </c>
      <c r="T26" s="63">
        <v>4.1399999999999999E-2</v>
      </c>
      <c r="U26" s="63">
        <v>4.4299999999999999E-2</v>
      </c>
      <c r="V26" s="63">
        <v>4.3799999999999999E-2</v>
      </c>
      <c r="W26" s="63">
        <v>4.1099999999999998E-2</v>
      </c>
      <c r="X26" s="63">
        <v>4.3400000000000001E-2</v>
      </c>
      <c r="Y26" s="63">
        <v>4.3400000000000001E-2</v>
      </c>
      <c r="Z26" s="63">
        <f t="shared" si="6"/>
        <v>4.5844247274874739E-2</v>
      </c>
      <c r="AA26" s="63">
        <f t="shared" si="6"/>
        <v>5.1000144679606174E-2</v>
      </c>
      <c r="AB26" s="63">
        <f t="shared" ref="AB26" si="25">AB19/AB5</f>
        <v>4.3676411448957529E-2</v>
      </c>
      <c r="AC26" s="63">
        <f t="shared" ref="AC26" si="26">AC19/AC5</f>
        <v>3.7378116487633554E-2</v>
      </c>
      <c r="AD26" s="63">
        <f>AD19/AD5</f>
        <v>4.0675465402746115E-2</v>
      </c>
      <c r="AE26" s="63">
        <f t="shared" si="20"/>
        <v>4.2931969373384941E-2</v>
      </c>
      <c r="AF26" s="63">
        <f t="shared" si="20"/>
        <v>4.2664535396874481E-2</v>
      </c>
      <c r="AG26" s="63">
        <f t="shared" si="20"/>
        <v>4.7251569495713679E-2</v>
      </c>
      <c r="AH26" s="63">
        <f t="shared" ref="AH26:AI26" si="27">AH19/AH5</f>
        <v>4.4959660318167907E-2</v>
      </c>
      <c r="AI26" s="63">
        <f t="shared" si="27"/>
        <v>4.4711827046342266E-2</v>
      </c>
      <c r="AJ26" s="63">
        <f t="shared" ref="AJ26:AK26" si="28">AJ19/AJ5</f>
        <v>4.7479241802070242E-2</v>
      </c>
      <c r="AK26" s="63">
        <f t="shared" si="28"/>
        <v>4.3450170082913075E-2</v>
      </c>
      <c r="AL26" s="63">
        <f t="shared" ref="AL26" si="29">AL19/AL5</f>
        <v>5.2015879424434149E-2</v>
      </c>
      <c r="AM26" s="63">
        <f t="shared" si="10"/>
        <v>5.7813557803781494E-2</v>
      </c>
      <c r="AN26" s="63">
        <f t="shared" si="10"/>
        <v>6.3796133891641543E-2</v>
      </c>
      <c r="AO26" s="63">
        <f t="shared" ref="AO26:AP26" si="30">AO19/AO5</f>
        <v>6.2516486027925339E-2</v>
      </c>
      <c r="AP26" s="63">
        <f t="shared" si="30"/>
        <v>6.3131967604715053E-2</v>
      </c>
      <c r="AQ26" s="63">
        <f t="shared" ref="AQ26" si="31">AQ19/AQ5</f>
        <v>5.7885568582258254E-2</v>
      </c>
      <c r="AR26" s="50"/>
      <c r="AS26" s="50"/>
      <c r="AT26" s="50"/>
      <c r="AU26" s="50"/>
      <c r="AV26" s="50"/>
      <c r="AW26" s="50"/>
      <c r="AX26" s="44"/>
    </row>
    <row r="27" spans="1:50">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row>
    <row r="28" spans="1:50" ht="15.75" thickBot="1">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row>
    <row r="29" spans="1:50" ht="15.75" thickBot="1">
      <c r="A29" s="34" t="s">
        <v>1577</v>
      </c>
      <c r="B29" s="40" t="s">
        <v>1522</v>
      </c>
      <c r="C29" s="40" t="s">
        <v>1523</v>
      </c>
      <c r="D29" s="40" t="s">
        <v>1524</v>
      </c>
      <c r="E29" s="40" t="s">
        <v>1525</v>
      </c>
      <c r="F29" s="40" t="s">
        <v>1526</v>
      </c>
      <c r="G29" s="40" t="s">
        <v>1527</v>
      </c>
      <c r="H29" s="40" t="s">
        <v>1528</v>
      </c>
      <c r="I29" s="40" t="s">
        <v>1529</v>
      </c>
      <c r="J29" s="40" t="s">
        <v>1530</v>
      </c>
      <c r="K29" s="40" t="s">
        <v>1531</v>
      </c>
      <c r="L29" s="40" t="s">
        <v>1532</v>
      </c>
      <c r="M29" s="40" t="s">
        <v>1533</v>
      </c>
      <c r="N29" s="40" t="s">
        <v>1534</v>
      </c>
      <c r="O29" s="40" t="s">
        <v>1535</v>
      </c>
      <c r="P29" s="40" t="s">
        <v>1536</v>
      </c>
      <c r="Q29" s="40" t="s">
        <v>1537</v>
      </c>
      <c r="R29" s="40" t="s">
        <v>1538</v>
      </c>
      <c r="S29" s="40" t="s">
        <v>1539</v>
      </c>
      <c r="T29" s="40" t="s">
        <v>1540</v>
      </c>
      <c r="U29" s="40" t="s">
        <v>1541</v>
      </c>
      <c r="V29" s="40" t="s">
        <v>1542</v>
      </c>
      <c r="W29" s="40" t="s">
        <v>1543</v>
      </c>
      <c r="X29" s="40" t="s">
        <v>1544</v>
      </c>
      <c r="Y29" s="41" t="s">
        <v>1545</v>
      </c>
      <c r="Z29" s="41" t="s">
        <v>1546</v>
      </c>
      <c r="AA29" s="41" t="s">
        <v>1547</v>
      </c>
      <c r="AB29" s="41" t="s">
        <v>1548</v>
      </c>
      <c r="AC29" s="41" t="s">
        <v>1549</v>
      </c>
      <c r="AD29" s="41" t="s">
        <v>1550</v>
      </c>
      <c r="AE29" s="41" t="s">
        <v>1551</v>
      </c>
      <c r="AF29" s="41" t="s">
        <v>1552</v>
      </c>
      <c r="AG29" s="41" t="s">
        <v>1553</v>
      </c>
      <c r="AH29" s="41" t="s">
        <v>1554</v>
      </c>
      <c r="AI29" s="41" t="s">
        <v>1555</v>
      </c>
      <c r="AJ29" s="40" t="s">
        <v>1556</v>
      </c>
      <c r="AK29" s="125" t="s">
        <v>1557</v>
      </c>
      <c r="AL29" s="41" t="s">
        <v>1558</v>
      </c>
      <c r="AM29" s="41" t="s">
        <v>1559</v>
      </c>
      <c r="AN29" s="41" t="s">
        <v>1560</v>
      </c>
      <c r="AO29" s="41" t="s">
        <v>1561</v>
      </c>
      <c r="AP29" s="41" t="s">
        <v>1562</v>
      </c>
      <c r="AQ29" s="41" t="s">
        <v>1563</v>
      </c>
      <c r="AR29" s="41" t="s">
        <v>1564</v>
      </c>
      <c r="AS29" s="41" t="s">
        <v>1565</v>
      </c>
      <c r="AT29" s="41" t="s">
        <v>1566</v>
      </c>
      <c r="AU29" s="41" t="s">
        <v>1567</v>
      </c>
      <c r="AV29" s="41" t="s">
        <v>1568</v>
      </c>
      <c r="AW29" s="41" t="s">
        <v>1569</v>
      </c>
      <c r="AX29" s="51"/>
    </row>
    <row r="30" spans="1:50">
      <c r="A30" s="42" t="s">
        <v>1571</v>
      </c>
      <c r="B30" s="56"/>
      <c r="C30" s="56"/>
      <c r="D30" s="52" t="e">
        <v>#DIV/0!</v>
      </c>
      <c r="E30" s="52" t="e">
        <v>#DIV/0!</v>
      </c>
      <c r="F30" s="52" t="e">
        <v>#DIV/0!</v>
      </c>
      <c r="G30" s="52" t="e">
        <v>#DIV/0!</v>
      </c>
      <c r="H30" s="52" t="e">
        <v>#DIV/0!</v>
      </c>
      <c r="I30" s="57">
        <v>0.18579999999999999</v>
      </c>
      <c r="J30" s="57">
        <v>0.1716</v>
      </c>
      <c r="K30" s="57">
        <v>0.17249999999999999</v>
      </c>
      <c r="L30" s="57">
        <v>0.1678</v>
      </c>
      <c r="M30" s="57">
        <v>0.15870000000000001</v>
      </c>
      <c r="N30" s="82">
        <v>0.1628</v>
      </c>
      <c r="O30" s="57">
        <v>0.1565</v>
      </c>
      <c r="P30" s="57">
        <v>0.14230000000000001</v>
      </c>
      <c r="Q30" s="57">
        <v>0.1343</v>
      </c>
      <c r="R30" s="57">
        <v>0.1358</v>
      </c>
      <c r="S30" s="57">
        <v>0.12809999999999999</v>
      </c>
      <c r="T30" s="57">
        <v>0.12790000000000001</v>
      </c>
      <c r="U30" s="57">
        <v>0.13500000000000001</v>
      </c>
      <c r="V30" s="57">
        <v>0.1424</v>
      </c>
      <c r="W30" s="57">
        <v>0.13719999999999999</v>
      </c>
      <c r="X30" s="57">
        <v>0.1429</v>
      </c>
      <c r="Y30" s="57">
        <v>0.1429</v>
      </c>
      <c r="Z30" s="57">
        <f t="shared" ref="Z30:AA33" si="32">Z16/Z9</f>
        <v>0.15363398954406982</v>
      </c>
      <c r="AA30" s="57">
        <f t="shared" si="32"/>
        <v>0.14605825590070659</v>
      </c>
      <c r="AB30" s="57">
        <f t="shared" ref="AB30:AG30" si="33">AB16/AB9</f>
        <v>0.13692717821432049</v>
      </c>
      <c r="AC30" s="57">
        <f t="shared" si="33"/>
        <v>0.13084613001916395</v>
      </c>
      <c r="AD30" s="57">
        <f t="shared" si="33"/>
        <v>0.1348274596651774</v>
      </c>
      <c r="AE30" s="57">
        <f t="shared" si="33"/>
        <v>0.13800714757342847</v>
      </c>
      <c r="AF30" s="57">
        <f t="shared" si="33"/>
        <v>0.1419046958041999</v>
      </c>
      <c r="AG30" s="57">
        <f t="shared" si="33"/>
        <v>0.14972564940787955</v>
      </c>
      <c r="AH30" s="57">
        <f t="shared" ref="AH30:AI30" si="34">AH16/AH9</f>
        <v>0.13957856971709234</v>
      </c>
      <c r="AI30" s="57">
        <f t="shared" si="34"/>
        <v>0.14011323766311165</v>
      </c>
      <c r="AJ30" s="57">
        <f t="shared" ref="AJ30:AK30" si="35">AJ16/AJ9</f>
        <v>0.14735277612731781</v>
      </c>
      <c r="AK30" s="57">
        <f t="shared" si="35"/>
        <v>0.14456429506742349</v>
      </c>
      <c r="AL30" s="57">
        <f t="shared" ref="AL30:AM30" si="36">AL16/AL9</f>
        <v>0.15134124935832102</v>
      </c>
      <c r="AM30" s="57">
        <f t="shared" si="36"/>
        <v>0.16773243366450244</v>
      </c>
      <c r="AN30" s="57">
        <f t="shared" ref="AN30:AO30" si="37">AN16/AN9</f>
        <v>0.17439334110479515</v>
      </c>
      <c r="AO30" s="57">
        <f t="shared" si="37"/>
        <v>0.17565817930075844</v>
      </c>
      <c r="AP30" s="57">
        <f t="shared" ref="AP30:AQ30" si="38">AP16/AP9</f>
        <v>0.18460407434769918</v>
      </c>
      <c r="AQ30" s="57">
        <f t="shared" si="38"/>
        <v>0.17907405859656575</v>
      </c>
      <c r="AR30" s="43"/>
      <c r="AS30" s="43"/>
      <c r="AT30" s="43"/>
      <c r="AU30" s="43"/>
      <c r="AV30" s="43"/>
      <c r="AW30" s="43"/>
      <c r="AX30" s="44"/>
    </row>
    <row r="31" spans="1:50">
      <c r="A31" s="45" t="s">
        <v>1572</v>
      </c>
      <c r="B31" s="58"/>
      <c r="C31" s="58"/>
      <c r="D31" s="53" t="e">
        <v>#DIV/0!</v>
      </c>
      <c r="E31" s="53" t="e">
        <v>#DIV/0!</v>
      </c>
      <c r="F31" s="53" t="e">
        <v>#DIV/0!</v>
      </c>
      <c r="G31" s="53" t="e">
        <v>#DIV/0!</v>
      </c>
      <c r="H31" s="53" t="e">
        <v>#DIV/0!</v>
      </c>
      <c r="I31" s="59">
        <v>0.21310000000000001</v>
      </c>
      <c r="J31" s="59">
        <v>0.1943</v>
      </c>
      <c r="K31" s="59">
        <v>0.18340000000000001</v>
      </c>
      <c r="L31" s="59">
        <v>0.17169999999999999</v>
      </c>
      <c r="M31" s="59">
        <v>0.17419999999999999</v>
      </c>
      <c r="N31" s="83">
        <v>0.18740000000000001</v>
      </c>
      <c r="O31" s="59">
        <v>0.1933</v>
      </c>
      <c r="P31" s="59">
        <v>0.17369999999999999</v>
      </c>
      <c r="Q31" s="59">
        <v>0.17560000000000001</v>
      </c>
      <c r="R31" s="59">
        <v>0.16700000000000001</v>
      </c>
      <c r="S31" s="59">
        <v>0.1865</v>
      </c>
      <c r="T31" s="59">
        <v>0.1845</v>
      </c>
      <c r="U31" s="59">
        <v>0.2026</v>
      </c>
      <c r="V31" s="59">
        <v>0.2072</v>
      </c>
      <c r="W31" s="59">
        <v>0.193</v>
      </c>
      <c r="X31" s="59">
        <v>0.20300000000000001</v>
      </c>
      <c r="Y31" s="59">
        <v>0.20300000000000001</v>
      </c>
      <c r="Z31" s="59">
        <f t="shared" si="32"/>
        <v>0.21849534059207087</v>
      </c>
      <c r="AA31" s="59">
        <f t="shared" si="32"/>
        <v>0.20236249462640654</v>
      </c>
      <c r="AB31" s="59">
        <f t="shared" ref="AB31" si="39">AB17/AB10</f>
        <v>0.19247852849973884</v>
      </c>
      <c r="AC31" s="59">
        <f t="shared" ref="AC31:AD31" si="40">AC17/AC10</f>
        <v>0.19219505540313167</v>
      </c>
      <c r="AD31" s="59">
        <f t="shared" si="40"/>
        <v>0.19172196146014456</v>
      </c>
      <c r="AE31" s="59">
        <f t="shared" ref="AE31:AF31" si="41">AE17/AE10</f>
        <v>0.19430890995142283</v>
      </c>
      <c r="AF31" s="59">
        <f t="shared" si="41"/>
        <v>0.18444822860792318</v>
      </c>
      <c r="AG31" s="59">
        <f t="shared" ref="AG31:AH31" si="42">AG17/AG10</f>
        <v>0.19544444430893115</v>
      </c>
      <c r="AH31" s="59">
        <f t="shared" si="42"/>
        <v>0.18552931939805858</v>
      </c>
      <c r="AI31" s="59">
        <f t="shared" ref="AI31:AJ31" si="43">AI17/AI10</f>
        <v>0.18349465938422982</v>
      </c>
      <c r="AJ31" s="59">
        <f t="shared" si="43"/>
        <v>0.19469113587599959</v>
      </c>
      <c r="AK31" s="59">
        <f t="shared" ref="AK31:AL31" si="44">AK17/AK10</f>
        <v>0.22761618568442066</v>
      </c>
      <c r="AL31" s="59">
        <f t="shared" si="44"/>
        <v>0.21054336116093997</v>
      </c>
      <c r="AM31" s="59">
        <f t="shared" ref="AM31:AN31" si="45">AM17/AM10</f>
        <v>0.24621042698259621</v>
      </c>
      <c r="AN31" s="59">
        <f t="shared" si="45"/>
        <v>0.26306265964376141</v>
      </c>
      <c r="AO31" s="59">
        <f t="shared" ref="AO31:AP31" si="46">AO17/AO10</f>
        <v>0.26251177358572164</v>
      </c>
      <c r="AP31" s="59">
        <f t="shared" si="46"/>
        <v>0.27457140216750087</v>
      </c>
      <c r="AQ31" s="59">
        <f t="shared" ref="AQ31" si="47">AQ17/AQ10</f>
        <v>0.24929974615783798</v>
      </c>
      <c r="AR31" s="46"/>
      <c r="AS31" s="46"/>
      <c r="AT31" s="46"/>
      <c r="AU31" s="46"/>
      <c r="AV31" s="46"/>
      <c r="AW31" s="46"/>
      <c r="AX31" s="44"/>
    </row>
    <row r="32" spans="1:50">
      <c r="A32" s="47" t="s">
        <v>1573</v>
      </c>
      <c r="B32" s="60"/>
      <c r="C32" s="60"/>
      <c r="D32" s="54" t="e">
        <v>#DIV/0!</v>
      </c>
      <c r="E32" s="54" t="e">
        <v>#DIV/0!</v>
      </c>
      <c r="F32" s="54" t="e">
        <v>#DIV/0!</v>
      </c>
      <c r="G32" s="54" t="e">
        <v>#DIV/0!</v>
      </c>
      <c r="H32" s="54" t="e">
        <v>#DIV/0!</v>
      </c>
      <c r="I32" s="61">
        <v>0.2339</v>
      </c>
      <c r="J32" s="61">
        <v>0.216</v>
      </c>
      <c r="K32" s="61">
        <v>0.19989999999999999</v>
      </c>
      <c r="L32" s="61">
        <v>0.19389999999999999</v>
      </c>
      <c r="M32" s="61">
        <v>0.19089999999999999</v>
      </c>
      <c r="N32" s="84">
        <v>0.20619999999999999</v>
      </c>
      <c r="O32" s="61">
        <v>0.1948</v>
      </c>
      <c r="P32" s="61">
        <v>0.18609999999999999</v>
      </c>
      <c r="Q32" s="61">
        <v>0.1807</v>
      </c>
      <c r="R32" s="61">
        <v>0.17069999999999999</v>
      </c>
      <c r="S32" s="61">
        <v>0.187</v>
      </c>
      <c r="T32" s="61">
        <v>0.1908</v>
      </c>
      <c r="U32" s="61">
        <v>0.2054</v>
      </c>
      <c r="V32" s="61">
        <v>0.21079999999999999</v>
      </c>
      <c r="W32" s="61">
        <v>0.19769999999999999</v>
      </c>
      <c r="X32" s="61">
        <v>0.20300000000000001</v>
      </c>
      <c r="Y32" s="61">
        <v>0.20300000000000001</v>
      </c>
      <c r="Z32" s="61">
        <f t="shared" si="32"/>
        <v>0.21045161090610795</v>
      </c>
      <c r="AA32" s="61">
        <f t="shared" si="32"/>
        <v>0.20016615510117269</v>
      </c>
      <c r="AB32" s="61">
        <f t="shared" ref="AB32" si="48">AB18/AB11</f>
        <v>0.19290799386642843</v>
      </c>
      <c r="AC32" s="61">
        <f t="shared" ref="AC32:AD32" si="49">AC18/AC11</f>
        <v>0.18831503637049854</v>
      </c>
      <c r="AD32" s="61">
        <f t="shared" si="49"/>
        <v>0.18866554584890002</v>
      </c>
      <c r="AE32" s="61">
        <f t="shared" ref="AE32:AF32" si="50">AE18/AE11</f>
        <v>0.18578714175779468</v>
      </c>
      <c r="AF32" s="61">
        <f t="shared" si="50"/>
        <v>0.18610587804121836</v>
      </c>
      <c r="AG32" s="61">
        <f t="shared" ref="AG32:AH32" si="51">AG18/AG11</f>
        <v>0.19472377887160394</v>
      </c>
      <c r="AH32" s="61">
        <f t="shared" si="51"/>
        <v>0.18057657174596639</v>
      </c>
      <c r="AI32" s="61">
        <f t="shared" ref="AI32:AJ32" si="52">AI18/AI11</f>
        <v>0.18153735868613088</v>
      </c>
      <c r="AJ32" s="61">
        <f t="shared" si="52"/>
        <v>0.18027956163486786</v>
      </c>
      <c r="AK32" s="61">
        <f t="shared" ref="AK32:AL32" si="53">AK18/AK11</f>
        <v>0.18606001055365881</v>
      </c>
      <c r="AL32" s="61">
        <f t="shared" si="53"/>
        <v>0.20044154252268861</v>
      </c>
      <c r="AM32" s="61">
        <f t="shared" ref="AM32:AN32" si="54">AM18/AM11</f>
        <v>0.20524520363678014</v>
      </c>
      <c r="AN32" s="61">
        <f t="shared" si="54"/>
        <v>0.20522930031026224</v>
      </c>
      <c r="AO32" s="61">
        <f t="shared" ref="AO32:AP32" si="55">AO18/AO11</f>
        <v>0.20877314881595455</v>
      </c>
      <c r="AP32" s="61">
        <f t="shared" si="55"/>
        <v>0.20815599415688923</v>
      </c>
      <c r="AQ32" s="61">
        <f t="shared" ref="AQ32" si="56">AQ18/AQ11</f>
        <v>0.19651909477278334</v>
      </c>
      <c r="AR32" s="48"/>
      <c r="AS32" s="48"/>
      <c r="AT32" s="48"/>
      <c r="AU32" s="48"/>
      <c r="AV32" s="48"/>
      <c r="AW32" s="48"/>
      <c r="AX32" s="44"/>
    </row>
    <row r="33" spans="1:50" ht="15.75" thickBot="1">
      <c r="A33" s="49" t="s">
        <v>1574</v>
      </c>
      <c r="B33" s="62"/>
      <c r="C33" s="62"/>
      <c r="D33" s="55" t="e">
        <v>#DIV/0!</v>
      </c>
      <c r="E33" s="55" t="e">
        <v>#DIV/0!</v>
      </c>
      <c r="F33" s="55" t="e">
        <v>#DIV/0!</v>
      </c>
      <c r="G33" s="55" t="e">
        <v>#DIV/0!</v>
      </c>
      <c r="H33" s="55" t="e">
        <v>#DIV/0!</v>
      </c>
      <c r="I33" s="63">
        <v>0.20080000000000001</v>
      </c>
      <c r="J33" s="63">
        <v>0.18690000000000001</v>
      </c>
      <c r="K33" s="63">
        <v>0.18099999999999999</v>
      </c>
      <c r="L33" s="63">
        <v>0.1744</v>
      </c>
      <c r="M33" s="63">
        <v>0.16969999999999999</v>
      </c>
      <c r="N33" s="85">
        <v>0.1782</v>
      </c>
      <c r="O33" s="63">
        <v>0.17150000000000001</v>
      </c>
      <c r="P33" s="63">
        <v>0.15679999999999999</v>
      </c>
      <c r="Q33" s="63">
        <v>0.15079999999999999</v>
      </c>
      <c r="R33" s="63">
        <v>0.14960000000000001</v>
      </c>
      <c r="S33" s="63">
        <v>0.14649999999999999</v>
      </c>
      <c r="T33" s="63">
        <v>0.1454</v>
      </c>
      <c r="U33" s="63">
        <v>0.15590000000000001</v>
      </c>
      <c r="V33" s="63">
        <v>0.1646</v>
      </c>
      <c r="W33" s="63">
        <v>0.15709999999999999</v>
      </c>
      <c r="X33" s="63">
        <v>0.16320000000000001</v>
      </c>
      <c r="Y33" s="63">
        <v>0.16320000000000001</v>
      </c>
      <c r="Z33" s="63">
        <f t="shared" si="32"/>
        <v>0.17469146967080507</v>
      </c>
      <c r="AA33" s="63">
        <f t="shared" si="32"/>
        <v>0.16455440639043289</v>
      </c>
      <c r="AB33" s="63">
        <f t="shared" ref="AB33" si="57">AB19/AB12</f>
        <v>0.15484495005767693</v>
      </c>
      <c r="AC33" s="63">
        <f t="shared" ref="AC33:AD33" si="58">AC19/AC12</f>
        <v>0.14851215055349187</v>
      </c>
      <c r="AD33" s="63">
        <f t="shared" si="58"/>
        <v>0.15201094548982177</v>
      </c>
      <c r="AE33" s="63">
        <f t="shared" ref="AE33:AF33" si="59">AE19/AE12</f>
        <v>0.15348970484405786</v>
      </c>
      <c r="AF33" s="63">
        <f t="shared" si="59"/>
        <v>0.15386112822301662</v>
      </c>
      <c r="AG33" s="63">
        <f t="shared" ref="AG33:AH33" si="60">AG19/AG12</f>
        <v>0.16216757642537344</v>
      </c>
      <c r="AH33" s="63">
        <f t="shared" si="60"/>
        <v>0.15021614340129058</v>
      </c>
      <c r="AI33" s="63">
        <f t="shared" ref="AI33:AJ33" si="61">AI19/AI12</f>
        <v>0.15051414132373214</v>
      </c>
      <c r="AJ33" s="63">
        <f t="shared" si="61"/>
        <v>0.1573213568909286</v>
      </c>
      <c r="AK33" s="63">
        <f t="shared" ref="AK33:AL33" si="62">AK19/AK12</f>
        <v>0.15743251415402765</v>
      </c>
      <c r="AL33" s="63">
        <f t="shared" si="62"/>
        <v>0.16312431558801838</v>
      </c>
      <c r="AM33" s="63">
        <f t="shared" ref="AM33:AN33" si="63">AM19/AM12</f>
        <v>0.18043038507994952</v>
      </c>
      <c r="AN33" s="63">
        <f t="shared" si="63"/>
        <v>0.18876632159432299</v>
      </c>
      <c r="AO33" s="63">
        <f t="shared" ref="AO33:AP33" si="64">AO19/AO12</f>
        <v>0.19079110257766435</v>
      </c>
      <c r="AP33" s="63">
        <f t="shared" si="64"/>
        <v>0.19968519318208997</v>
      </c>
      <c r="AQ33" s="63">
        <f t="shared" ref="AQ33" si="65">AQ19/AQ12</f>
        <v>0.18913279904609634</v>
      </c>
      <c r="AR33" s="50"/>
      <c r="AS33" s="50"/>
      <c r="AT33" s="50"/>
      <c r="AU33" s="50"/>
      <c r="AV33" s="50"/>
      <c r="AW33" s="50"/>
      <c r="AX33" s="44"/>
    </row>
    <row r="34" spans="1:50">
      <c r="A34" s="51"/>
      <c r="B34" s="51"/>
      <c r="C34" s="51"/>
      <c r="D34" s="51"/>
      <c r="E34" s="51"/>
      <c r="F34" s="51"/>
      <c r="G34" s="51"/>
      <c r="H34" s="51"/>
      <c r="I34" s="51"/>
      <c r="J34" s="51"/>
      <c r="K34" s="51"/>
      <c r="L34" s="51"/>
      <c r="M34" s="51"/>
      <c r="N34" s="44"/>
      <c r="O34" s="44"/>
      <c r="P34" s="44"/>
      <c r="Q34" s="44"/>
      <c r="R34" s="44"/>
      <c r="S34" s="44"/>
      <c r="T34" s="44"/>
      <c r="U34" s="44"/>
      <c r="V34" s="44"/>
      <c r="W34" s="44"/>
      <c r="X34" s="44"/>
      <c r="Y34" s="44"/>
      <c r="Z34" s="44"/>
      <c r="AA34" s="44"/>
      <c r="AB34" s="44"/>
      <c r="AC34" s="44"/>
      <c r="AD34" s="44"/>
      <c r="AE34" s="44"/>
      <c r="AF34" s="44"/>
      <c r="AG34" s="44"/>
      <c r="AH34" s="26"/>
      <c r="AI34" s="26"/>
      <c r="AJ34" s="26"/>
      <c r="AK34" s="26"/>
      <c r="AL34" s="26"/>
      <c r="AM34" s="26"/>
      <c r="AN34" s="26"/>
      <c r="AO34" s="26"/>
      <c r="AP34" s="26"/>
      <c r="AQ34" s="26"/>
      <c r="AR34" s="26"/>
      <c r="AS34" s="26"/>
      <c r="AT34" s="26"/>
      <c r="AU34" s="26"/>
      <c r="AV34" s="26"/>
      <c r="AW34" s="26"/>
      <c r="AX34" s="26"/>
    </row>
    <row r="35" spans="1:50" ht="15.75" thickBo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M35" s="26"/>
      <c r="AN35" s="26"/>
      <c r="AO35" s="26"/>
      <c r="AP35" s="26"/>
      <c r="AQ35" s="26"/>
      <c r="AR35" s="26"/>
      <c r="AS35" s="26"/>
      <c r="AT35" s="26"/>
      <c r="AU35" s="26"/>
      <c r="AV35" s="26"/>
      <c r="AW35" s="26"/>
      <c r="AX35" s="26"/>
    </row>
    <row r="36" spans="1:50" ht="15.75" thickBot="1">
      <c r="A36" s="64" t="s">
        <v>889</v>
      </c>
      <c r="B36" s="65" t="s">
        <v>1522</v>
      </c>
      <c r="C36" s="65" t="s">
        <v>1523</v>
      </c>
      <c r="D36" s="65" t="s">
        <v>1524</v>
      </c>
      <c r="E36" s="65" t="s">
        <v>1525</v>
      </c>
      <c r="F36" s="65" t="s">
        <v>1526</v>
      </c>
      <c r="G36" s="65" t="s">
        <v>1527</v>
      </c>
      <c r="H36" s="65" t="s">
        <v>1528</v>
      </c>
      <c r="I36" s="65" t="s">
        <v>1529</v>
      </c>
      <c r="J36" s="65" t="s">
        <v>1530</v>
      </c>
      <c r="K36" s="65" t="s">
        <v>1531</v>
      </c>
      <c r="L36" s="65" t="s">
        <v>1532</v>
      </c>
      <c r="M36" s="65" t="s">
        <v>1533</v>
      </c>
      <c r="N36" s="65" t="s">
        <v>1534</v>
      </c>
      <c r="O36" s="65" t="s">
        <v>1535</v>
      </c>
      <c r="P36" s="65" t="s">
        <v>1536</v>
      </c>
      <c r="Q36" s="65" t="s">
        <v>1537</v>
      </c>
      <c r="R36" s="65" t="s">
        <v>1538</v>
      </c>
      <c r="S36" s="65" t="s">
        <v>1539</v>
      </c>
      <c r="T36" s="65" t="s">
        <v>1540</v>
      </c>
      <c r="U36" s="65" t="s">
        <v>1541</v>
      </c>
      <c r="V36" s="65" t="s">
        <v>1542</v>
      </c>
      <c r="W36" s="65" t="s">
        <v>1543</v>
      </c>
      <c r="X36" s="65" t="s">
        <v>1544</v>
      </c>
      <c r="Y36" s="66" t="s">
        <v>1545</v>
      </c>
      <c r="Z36" s="41" t="s">
        <v>1546</v>
      </c>
      <c r="AA36" s="41" t="s">
        <v>1547</v>
      </c>
      <c r="AB36" s="41" t="s">
        <v>1548</v>
      </c>
      <c r="AC36" s="41" t="s">
        <v>1549</v>
      </c>
      <c r="AD36" s="41" t="s">
        <v>1550</v>
      </c>
      <c r="AE36" s="41" t="s">
        <v>1551</v>
      </c>
      <c r="AF36" s="41" t="s">
        <v>1552</v>
      </c>
      <c r="AG36" s="41" t="s">
        <v>1553</v>
      </c>
      <c r="AH36" s="41" t="s">
        <v>1554</v>
      </c>
      <c r="AI36" s="41" t="s">
        <v>1555</v>
      </c>
      <c r="AJ36" s="41" t="s">
        <v>1556</v>
      </c>
      <c r="AK36" s="41" t="s">
        <v>1557</v>
      </c>
      <c r="AL36" s="41" t="s">
        <v>1558</v>
      </c>
      <c r="AM36" s="41" t="s">
        <v>1559</v>
      </c>
      <c r="AN36" s="41" t="s">
        <v>1560</v>
      </c>
      <c r="AO36" s="41" t="s">
        <v>1561</v>
      </c>
      <c r="AP36" s="41" t="s">
        <v>1562</v>
      </c>
      <c r="AQ36" s="41" t="s">
        <v>1563</v>
      </c>
      <c r="AR36" s="41" t="s">
        <v>1564</v>
      </c>
      <c r="AS36" s="41" t="s">
        <v>1565</v>
      </c>
      <c r="AT36" s="41" t="s">
        <v>1566</v>
      </c>
      <c r="AU36" s="41" t="s">
        <v>1567</v>
      </c>
      <c r="AV36" s="41" t="s">
        <v>1568</v>
      </c>
      <c r="AW36" s="41" t="s">
        <v>1569</v>
      </c>
      <c r="AX36" s="41" t="s">
        <v>1570</v>
      </c>
    </row>
    <row r="37" spans="1:50">
      <c r="A37" s="67" t="s">
        <v>1571</v>
      </c>
      <c r="B37" s="68">
        <v>206450</v>
      </c>
      <c r="C37" s="68">
        <v>201966</v>
      </c>
      <c r="D37" s="68">
        <v>232244</v>
      </c>
      <c r="E37" s="68">
        <v>230500</v>
      </c>
      <c r="F37" s="68">
        <v>228949</v>
      </c>
      <c r="G37" s="68">
        <v>216548</v>
      </c>
      <c r="H37" s="68">
        <v>229222</v>
      </c>
      <c r="I37" s="68">
        <v>226692</v>
      </c>
      <c r="J37" s="68">
        <v>230639</v>
      </c>
      <c r="K37" s="68">
        <v>252280</v>
      </c>
      <c r="L37" s="68">
        <v>264001</v>
      </c>
      <c r="M37" s="86">
        <v>231198</v>
      </c>
      <c r="N37" s="91">
        <v>301961</v>
      </c>
      <c r="O37" s="92">
        <v>331009</v>
      </c>
      <c r="P37" s="92">
        <v>369644</v>
      </c>
      <c r="Q37" s="92">
        <v>419338</v>
      </c>
      <c r="R37" s="92">
        <v>403325</v>
      </c>
      <c r="S37" s="92">
        <v>407084</v>
      </c>
      <c r="T37" s="92">
        <v>446387</v>
      </c>
      <c r="U37" s="92">
        <v>410269</v>
      </c>
      <c r="V37" s="92">
        <v>413757</v>
      </c>
      <c r="W37" s="92">
        <v>445439</v>
      </c>
      <c r="X37" s="92">
        <v>453965</v>
      </c>
      <c r="Y37" s="92">
        <v>462128</v>
      </c>
      <c r="Z37" s="92">
        <v>572775</v>
      </c>
      <c r="AA37" s="92">
        <v>615883</v>
      </c>
      <c r="AB37" s="92">
        <v>604860</v>
      </c>
      <c r="AC37" s="92">
        <v>683843</v>
      </c>
      <c r="AD37" s="92">
        <v>636705</v>
      </c>
      <c r="AE37" s="92">
        <v>621195</v>
      </c>
      <c r="AF37" s="92">
        <v>689495</v>
      </c>
      <c r="AG37" s="92">
        <v>689517</v>
      </c>
      <c r="AH37" s="92">
        <v>775274</v>
      </c>
      <c r="AI37" s="92">
        <v>871708</v>
      </c>
      <c r="AJ37" s="92">
        <v>799507</v>
      </c>
      <c r="AK37" s="92">
        <v>739352</v>
      </c>
      <c r="AL37" s="92">
        <v>978960</v>
      </c>
      <c r="AM37" s="92">
        <v>904348</v>
      </c>
      <c r="AN37" s="92">
        <v>1009660</v>
      </c>
      <c r="AO37" s="92">
        <v>943092</v>
      </c>
      <c r="AP37" s="92">
        <v>953296</v>
      </c>
      <c r="AQ37" s="92">
        <v>927563</v>
      </c>
      <c r="AR37" s="92"/>
      <c r="AS37" s="92"/>
      <c r="AT37" s="92"/>
      <c r="AU37" s="92"/>
      <c r="AV37" s="92"/>
      <c r="AW37" s="92"/>
      <c r="AX37" s="92">
        <f>SUM(Z37:AK37)</f>
        <v>8300114</v>
      </c>
    </row>
    <row r="38" spans="1:50">
      <c r="A38" s="69" t="s">
        <v>1572</v>
      </c>
      <c r="B38" s="70">
        <v>103070</v>
      </c>
      <c r="C38" s="70">
        <v>98910</v>
      </c>
      <c r="D38" s="70">
        <v>116062</v>
      </c>
      <c r="E38" s="70">
        <v>116489</v>
      </c>
      <c r="F38" s="70">
        <v>102286</v>
      </c>
      <c r="G38" s="70">
        <v>110085</v>
      </c>
      <c r="H38" s="70">
        <v>115702</v>
      </c>
      <c r="I38" s="70">
        <v>120670</v>
      </c>
      <c r="J38" s="70">
        <v>142446</v>
      </c>
      <c r="K38" s="70">
        <v>136602</v>
      </c>
      <c r="L38" s="70">
        <v>152488</v>
      </c>
      <c r="M38" s="87">
        <v>144866</v>
      </c>
      <c r="N38" s="93">
        <v>190333</v>
      </c>
      <c r="O38" s="70">
        <v>179484</v>
      </c>
      <c r="P38" s="70">
        <v>182162</v>
      </c>
      <c r="Q38" s="70">
        <v>182919</v>
      </c>
      <c r="R38" s="70">
        <v>183923</v>
      </c>
      <c r="S38" s="70">
        <v>173556</v>
      </c>
      <c r="T38" s="70">
        <v>186892</v>
      </c>
      <c r="U38" s="70">
        <v>171949</v>
      </c>
      <c r="V38" s="70">
        <v>182461</v>
      </c>
      <c r="W38" s="70">
        <v>199796</v>
      </c>
      <c r="X38" s="70">
        <v>214586</v>
      </c>
      <c r="Y38" s="70">
        <v>215754</v>
      </c>
      <c r="Z38" s="70">
        <v>251772</v>
      </c>
      <c r="AA38" s="70">
        <v>247829</v>
      </c>
      <c r="AB38" s="70">
        <v>229484</v>
      </c>
      <c r="AC38" s="70">
        <v>226754</v>
      </c>
      <c r="AD38" s="70">
        <v>241827</v>
      </c>
      <c r="AE38" s="70">
        <v>238449</v>
      </c>
      <c r="AF38" s="70">
        <v>252691</v>
      </c>
      <c r="AG38" s="70">
        <v>248792</v>
      </c>
      <c r="AH38" s="70">
        <v>255858</v>
      </c>
      <c r="AI38" s="70">
        <v>258198</v>
      </c>
      <c r="AJ38" s="70">
        <f>243053+21068</f>
        <v>264121</v>
      </c>
      <c r="AK38" s="70">
        <v>210935</v>
      </c>
      <c r="AL38" s="70">
        <v>274668</v>
      </c>
      <c r="AM38" s="70">
        <v>263793</v>
      </c>
      <c r="AN38" s="70">
        <v>303748</v>
      </c>
      <c r="AO38" s="70">
        <v>299762</v>
      </c>
      <c r="AP38" s="70">
        <v>303224</v>
      </c>
      <c r="AQ38" s="70">
        <v>270780</v>
      </c>
      <c r="AR38" s="70"/>
      <c r="AS38" s="70"/>
      <c r="AT38" s="70"/>
      <c r="AU38" s="70"/>
      <c r="AV38" s="70"/>
      <c r="AW38" s="70"/>
      <c r="AX38" s="70">
        <f t="shared" ref="AX38:AX39" si="66">SUM(Z38:AK38)</f>
        <v>2926710</v>
      </c>
    </row>
    <row r="39" spans="1:50">
      <c r="A39" s="71" t="s">
        <v>1573</v>
      </c>
      <c r="B39" s="72">
        <v>65792</v>
      </c>
      <c r="C39" s="72">
        <v>66921</v>
      </c>
      <c r="D39" s="72">
        <v>80622</v>
      </c>
      <c r="E39" s="72">
        <v>81286</v>
      </c>
      <c r="F39" s="72">
        <v>88250</v>
      </c>
      <c r="G39" s="72">
        <v>90033</v>
      </c>
      <c r="H39" s="72">
        <v>103104</v>
      </c>
      <c r="I39" s="72">
        <v>103860</v>
      </c>
      <c r="J39" s="72">
        <v>124892</v>
      </c>
      <c r="K39" s="72">
        <v>133302</v>
      </c>
      <c r="L39" s="72">
        <v>140626</v>
      </c>
      <c r="M39" s="88">
        <v>128870</v>
      </c>
      <c r="N39" s="94">
        <v>159471</v>
      </c>
      <c r="O39" s="72">
        <v>157686</v>
      </c>
      <c r="P39" s="72">
        <v>154308</v>
      </c>
      <c r="Q39" s="72">
        <v>154291</v>
      </c>
      <c r="R39" s="72">
        <v>162133</v>
      </c>
      <c r="S39" s="72">
        <v>136127</v>
      </c>
      <c r="T39" s="72">
        <v>146540</v>
      </c>
      <c r="U39" s="72">
        <v>144576</v>
      </c>
      <c r="V39" s="72">
        <v>153627</v>
      </c>
      <c r="W39" s="72">
        <v>158313</v>
      </c>
      <c r="X39" s="72">
        <v>155184</v>
      </c>
      <c r="Y39" s="72">
        <v>141383</v>
      </c>
      <c r="Z39" s="72">
        <v>167484</v>
      </c>
      <c r="AA39" s="72">
        <v>171660</v>
      </c>
      <c r="AB39" s="72">
        <v>168751</v>
      </c>
      <c r="AC39" s="72">
        <v>167429</v>
      </c>
      <c r="AD39" s="72">
        <v>154307</v>
      </c>
      <c r="AE39" s="72">
        <v>166411</v>
      </c>
      <c r="AF39" s="72">
        <v>170327</v>
      </c>
      <c r="AG39" s="72">
        <v>159080</v>
      </c>
      <c r="AH39" s="72">
        <v>176167</v>
      </c>
      <c r="AI39" s="72">
        <v>197143</v>
      </c>
      <c r="AJ39" s="72">
        <v>180525</v>
      </c>
      <c r="AK39" s="72">
        <v>151210</v>
      </c>
      <c r="AL39" s="72">
        <v>199807</v>
      </c>
      <c r="AM39" s="72">
        <v>159850</v>
      </c>
      <c r="AN39" s="72">
        <v>214250</v>
      </c>
      <c r="AO39" s="72">
        <v>203861</v>
      </c>
      <c r="AP39" s="72">
        <v>206392</v>
      </c>
      <c r="AQ39" s="72">
        <v>173607</v>
      </c>
      <c r="AR39" s="72"/>
      <c r="AS39" s="72"/>
      <c r="AT39" s="72"/>
      <c r="AU39" s="72"/>
      <c r="AV39" s="72"/>
      <c r="AW39" s="72"/>
      <c r="AX39" s="72">
        <f t="shared" si="66"/>
        <v>2030494</v>
      </c>
    </row>
    <row r="40" spans="1:50">
      <c r="A40" s="73" t="s">
        <v>1574</v>
      </c>
      <c r="B40" s="74">
        <v>375312</v>
      </c>
      <c r="C40" s="74">
        <v>367797</v>
      </c>
      <c r="D40" s="74">
        <v>428928</v>
      </c>
      <c r="E40" s="74">
        <v>428275</v>
      </c>
      <c r="F40" s="74">
        <v>419485</v>
      </c>
      <c r="G40" s="74">
        <v>416666</v>
      </c>
      <c r="H40" s="74">
        <v>448028</v>
      </c>
      <c r="I40" s="74">
        <v>451222</v>
      </c>
      <c r="J40" s="74">
        <v>497977</v>
      </c>
      <c r="K40" s="74">
        <v>522184</v>
      </c>
      <c r="L40" s="74">
        <v>557115</v>
      </c>
      <c r="M40" s="89">
        <v>504934</v>
      </c>
      <c r="N40" s="95">
        <v>651765</v>
      </c>
      <c r="O40" s="74">
        <v>668179</v>
      </c>
      <c r="P40" s="74">
        <v>706114</v>
      </c>
      <c r="Q40" s="74">
        <v>756548</v>
      </c>
      <c r="R40" s="74">
        <v>749381</v>
      </c>
      <c r="S40" s="74">
        <v>716767</v>
      </c>
      <c r="T40" s="74">
        <v>779819</v>
      </c>
      <c r="U40" s="74">
        <v>726794</v>
      </c>
      <c r="V40" s="74">
        <v>749845</v>
      </c>
      <c r="W40" s="74">
        <v>803548</v>
      </c>
      <c r="X40" s="74">
        <v>823735</v>
      </c>
      <c r="Y40" s="74">
        <f t="shared" ref="Y40:AD40" si="67">SUM(Y37:Y39)</f>
        <v>819265</v>
      </c>
      <c r="Z40" s="74">
        <f t="shared" si="67"/>
        <v>992031</v>
      </c>
      <c r="AA40" s="74">
        <f t="shared" si="67"/>
        <v>1035372</v>
      </c>
      <c r="AB40" s="74">
        <f t="shared" si="67"/>
        <v>1003095</v>
      </c>
      <c r="AC40" s="74">
        <f t="shared" si="67"/>
        <v>1078026</v>
      </c>
      <c r="AD40" s="74">
        <f t="shared" si="67"/>
        <v>1032839</v>
      </c>
      <c r="AE40" s="74">
        <f t="shared" ref="AE40:AI40" si="68">SUM(AE37:AE39)</f>
        <v>1026055</v>
      </c>
      <c r="AF40" s="74">
        <f t="shared" si="68"/>
        <v>1112513</v>
      </c>
      <c r="AG40" s="74">
        <f t="shared" si="68"/>
        <v>1097389</v>
      </c>
      <c r="AH40" s="74">
        <f t="shared" si="68"/>
        <v>1207299</v>
      </c>
      <c r="AI40" s="74">
        <f t="shared" si="68"/>
        <v>1327049</v>
      </c>
      <c r="AJ40" s="74">
        <f t="shared" ref="AJ40:AO40" si="69">SUM(AJ37:AJ39)</f>
        <v>1244153</v>
      </c>
      <c r="AK40" s="74">
        <f t="shared" si="69"/>
        <v>1101497</v>
      </c>
      <c r="AL40" s="74">
        <f t="shared" si="69"/>
        <v>1453435</v>
      </c>
      <c r="AM40" s="74">
        <f t="shared" si="69"/>
        <v>1327991</v>
      </c>
      <c r="AN40" s="74">
        <f t="shared" si="69"/>
        <v>1527658</v>
      </c>
      <c r="AO40" s="74">
        <f t="shared" si="69"/>
        <v>1446715</v>
      </c>
      <c r="AP40" s="74">
        <f t="shared" ref="AP40:AQ40" si="70">SUM(AP37:AP39)</f>
        <v>1462912</v>
      </c>
      <c r="AQ40" s="74">
        <f t="shared" si="70"/>
        <v>1371950</v>
      </c>
      <c r="AR40" s="74"/>
      <c r="AS40" s="74"/>
      <c r="AT40" s="74"/>
      <c r="AU40" s="74"/>
      <c r="AV40" s="74"/>
      <c r="AW40" s="74"/>
      <c r="AX40" s="74">
        <f>SUM(Z40:AK40)</f>
        <v>13257318</v>
      </c>
    </row>
    <row r="41" spans="1:50" ht="15.75" thickBot="1">
      <c r="A41" s="75" t="s">
        <v>1578</v>
      </c>
      <c r="B41" s="76"/>
      <c r="C41" s="77">
        <v>-0.02</v>
      </c>
      <c r="D41" s="77">
        <v>0.17</v>
      </c>
      <c r="E41" s="77">
        <v>0</v>
      </c>
      <c r="F41" s="77">
        <v>-0.02</v>
      </c>
      <c r="G41" s="77">
        <v>-0.01</v>
      </c>
      <c r="H41" s="77">
        <v>0.08</v>
      </c>
      <c r="I41" s="77">
        <v>0.01</v>
      </c>
      <c r="J41" s="77">
        <v>0.1</v>
      </c>
      <c r="K41" s="77">
        <v>0.05</v>
      </c>
      <c r="L41" s="77">
        <v>7.0000000000000007E-2</v>
      </c>
      <c r="M41" s="90">
        <v>-0.09</v>
      </c>
      <c r="N41" s="96">
        <v>0.28999999999999998</v>
      </c>
      <c r="O41" s="97">
        <v>0.03</v>
      </c>
      <c r="P41" s="97">
        <v>0.06</v>
      </c>
      <c r="Q41" s="97">
        <v>7.0000000000000007E-2</v>
      </c>
      <c r="R41" s="97">
        <v>-0.01</v>
      </c>
      <c r="S41" s="97">
        <v>-0.04</v>
      </c>
      <c r="T41" s="97">
        <v>0.09</v>
      </c>
      <c r="U41" s="97">
        <v>-7.0000000000000007E-2</v>
      </c>
      <c r="V41" s="97">
        <v>0.03</v>
      </c>
      <c r="W41" s="97">
        <v>7.0000000000000007E-2</v>
      </c>
      <c r="X41" s="97">
        <v>0.03</v>
      </c>
      <c r="Y41" s="97">
        <v>0</v>
      </c>
      <c r="Z41" s="97">
        <f t="shared" ref="Z41:AF41" si="71">(Z40-Y40)/Y40</f>
        <v>0.21087926373029484</v>
      </c>
      <c r="AA41" s="97">
        <f t="shared" si="71"/>
        <v>4.3689158907332534E-2</v>
      </c>
      <c r="AB41" s="97">
        <f t="shared" si="71"/>
        <v>-3.1174302569511248E-2</v>
      </c>
      <c r="AC41" s="97">
        <f t="shared" si="71"/>
        <v>7.4699804106291026E-2</v>
      </c>
      <c r="AD41" s="97">
        <f t="shared" si="71"/>
        <v>-4.1916428731774556E-2</v>
      </c>
      <c r="AE41" s="97">
        <f t="shared" si="71"/>
        <v>-6.5683034819560455E-3</v>
      </c>
      <c r="AF41" s="97">
        <f t="shared" si="71"/>
        <v>8.4262539532481195E-2</v>
      </c>
      <c r="AG41" s="97">
        <f t="shared" ref="AG41:AN41" si="72">(AG40-AF40)/AF40</f>
        <v>-1.3594447885103365E-2</v>
      </c>
      <c r="AH41" s="97">
        <f t="shared" si="72"/>
        <v>0.10015591554134405</v>
      </c>
      <c r="AI41" s="97">
        <f t="shared" si="72"/>
        <v>9.91883535064636E-2</v>
      </c>
      <c r="AJ41" s="97">
        <f t="shared" si="72"/>
        <v>-6.2466419853373915E-2</v>
      </c>
      <c r="AK41" s="97">
        <f t="shared" si="72"/>
        <v>-0.11466113894352221</v>
      </c>
      <c r="AL41" s="97">
        <f t="shared" si="72"/>
        <v>0.31950881391415503</v>
      </c>
      <c r="AM41" s="97">
        <f t="shared" si="72"/>
        <v>-8.6308641253306825E-2</v>
      </c>
      <c r="AN41" s="97">
        <f t="shared" si="72"/>
        <v>0.15035267558289175</v>
      </c>
      <c r="AO41" s="97">
        <f>(AO40-AN40)/AN40</f>
        <v>-5.298502675337019E-2</v>
      </c>
      <c r="AP41" s="97">
        <f>(AP40-AO40)/AO40</f>
        <v>1.1195708899126642E-2</v>
      </c>
      <c r="AQ41" s="97">
        <f>(AQ40-AP40)/AP40</f>
        <v>-6.2178722985388048E-2</v>
      </c>
      <c r="AR41" s="97"/>
      <c r="AS41" s="97"/>
      <c r="AT41" s="97"/>
      <c r="AU41" s="97"/>
      <c r="AV41" s="97"/>
      <c r="AW41" s="97"/>
      <c r="AX41" s="97"/>
    </row>
    <row r="42" spans="1:50">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H42" s="26"/>
      <c r="AI42" s="26"/>
      <c r="AJ42" s="26"/>
      <c r="AK42" s="26"/>
      <c r="AL42" s="26"/>
      <c r="AM42" s="26"/>
      <c r="AN42" s="26"/>
      <c r="AO42" s="26"/>
      <c r="AP42" s="26"/>
      <c r="AQ42" s="26"/>
      <c r="AR42" s="26"/>
      <c r="AS42" s="26"/>
      <c r="AT42" s="26"/>
      <c r="AU42" s="26"/>
      <c r="AV42" s="26"/>
      <c r="AW42" s="26"/>
      <c r="AX42" s="26"/>
    </row>
    <row r="43" spans="1:50">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H43" s="26"/>
      <c r="AI43" s="26"/>
      <c r="AJ43" s="26"/>
      <c r="AK43" s="26"/>
      <c r="AL43" s="26"/>
      <c r="AM43" s="26"/>
      <c r="AN43" s="26"/>
      <c r="AO43" s="26"/>
      <c r="AP43" s="26"/>
      <c r="AQ43" s="26"/>
      <c r="AR43" s="26"/>
      <c r="AS43" s="26"/>
      <c r="AT43" s="26"/>
      <c r="AU43" s="26"/>
      <c r="AV43" s="26"/>
      <c r="AW43" s="26"/>
      <c r="AX43" s="26"/>
    </row>
    <row r="44" spans="1:50">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H44" s="26"/>
      <c r="AI44" s="26"/>
      <c r="AJ44" s="26"/>
      <c r="AK44" s="26"/>
      <c r="AL44" s="26"/>
      <c r="AM44" s="26"/>
      <c r="AN44" s="26"/>
      <c r="AO44" s="26"/>
      <c r="AP44" s="26"/>
      <c r="AQ44" s="26"/>
      <c r="AR44" s="26"/>
      <c r="AS44" s="26"/>
      <c r="AT44" s="26"/>
      <c r="AU44" s="26"/>
      <c r="AV44" s="26"/>
      <c r="AW44" s="26"/>
      <c r="AX44" s="26"/>
    </row>
    <row r="45" spans="1:50">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H45" s="26"/>
      <c r="AI45" s="26"/>
      <c r="AJ45" s="26"/>
      <c r="AK45" s="26"/>
      <c r="AL45" s="26"/>
      <c r="AM45" s="26"/>
      <c r="AN45" s="26"/>
      <c r="AO45" s="26"/>
      <c r="AP45" s="26"/>
      <c r="AQ45" s="26"/>
      <c r="AR45" s="26"/>
      <c r="AS45" s="26"/>
      <c r="AT45" s="26"/>
      <c r="AU45" s="26"/>
      <c r="AV45" s="26"/>
      <c r="AW45" s="26"/>
      <c r="AX45" s="26"/>
    </row>
    <row r="46" spans="1:50">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H46" s="26"/>
      <c r="AI46" s="26"/>
      <c r="AJ46" s="26"/>
      <c r="AK46" s="26"/>
      <c r="AL46" s="26"/>
      <c r="AM46" s="26"/>
      <c r="AN46" s="26"/>
      <c r="AO46" s="26"/>
      <c r="AP46" s="26"/>
      <c r="AQ46" s="26"/>
      <c r="AR46" s="26"/>
      <c r="AS46" s="26"/>
      <c r="AT46" s="26"/>
      <c r="AU46" s="26"/>
      <c r="AV46" s="26"/>
      <c r="AW46" s="26"/>
      <c r="AX46" s="26"/>
    </row>
    <row r="47" spans="1:50">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H47" s="26"/>
      <c r="AJ47" s="26"/>
      <c r="AK47" s="26"/>
      <c r="AL47" s="26"/>
      <c r="AM47" s="26"/>
      <c r="AN47" s="26"/>
      <c r="AO47" s="26"/>
      <c r="AP47" s="26"/>
      <c r="AQ47" s="26"/>
      <c r="AR47" s="26"/>
      <c r="AS47" s="26"/>
      <c r="AT47" s="26"/>
      <c r="AU47" s="26"/>
      <c r="AV47" s="26"/>
      <c r="AW47" s="26"/>
      <c r="AX47" s="26"/>
    </row>
    <row r="48" spans="1:50">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H48" s="26"/>
      <c r="AI48" s="26"/>
      <c r="AJ48" s="26"/>
      <c r="AK48" s="26"/>
      <c r="AL48" s="26"/>
      <c r="AM48" s="26"/>
      <c r="AN48" s="26"/>
      <c r="AO48" s="26"/>
      <c r="AP48" s="26"/>
      <c r="AQ48" s="26"/>
      <c r="AR48" s="26"/>
      <c r="AS48" s="26"/>
      <c r="AT48" s="26"/>
      <c r="AU48" s="26"/>
      <c r="AV48" s="26"/>
      <c r="AW48" s="26"/>
      <c r="AX48" s="26"/>
    </row>
    <row r="49" spans="1:50">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H49" s="26"/>
      <c r="AI49" s="26"/>
      <c r="AJ49" s="26"/>
      <c r="AK49" s="26"/>
      <c r="AL49" s="26"/>
      <c r="AM49" s="26"/>
      <c r="AN49" s="26"/>
      <c r="AO49" s="26"/>
      <c r="AP49" s="26"/>
      <c r="AQ49" s="26"/>
      <c r="AR49" s="26"/>
      <c r="AS49" s="26"/>
      <c r="AT49" s="26"/>
      <c r="AU49" s="26"/>
      <c r="AV49" s="26"/>
      <c r="AW49" s="26"/>
      <c r="AX49" s="26"/>
    </row>
    <row r="50" spans="1:50">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H50" s="26"/>
      <c r="AI50" s="26"/>
      <c r="AJ50" s="26"/>
      <c r="AK50" s="26"/>
      <c r="AL50" s="26"/>
      <c r="AM50" s="26"/>
      <c r="AN50" s="26"/>
      <c r="AO50" s="26"/>
      <c r="AP50" s="26"/>
      <c r="AQ50" s="26"/>
      <c r="AR50" s="26"/>
      <c r="AS50" s="26"/>
      <c r="AT50" s="26"/>
      <c r="AU50" s="26"/>
      <c r="AV50" s="26"/>
      <c r="AW50" s="26"/>
      <c r="AX50" s="26"/>
    </row>
    <row r="51" spans="1:50">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H51" s="26"/>
      <c r="AI51" s="26"/>
      <c r="AJ51" s="26"/>
      <c r="AK51" s="26"/>
      <c r="AL51" s="26"/>
      <c r="AM51" s="26"/>
      <c r="AN51" s="26"/>
      <c r="AO51" s="26"/>
      <c r="AP51" s="26"/>
      <c r="AQ51" s="26"/>
      <c r="AR51" s="26"/>
      <c r="AS51" s="26"/>
      <c r="AT51" s="26"/>
      <c r="AU51" s="26"/>
      <c r="AV51" s="26"/>
      <c r="AW51" s="26"/>
      <c r="AX51" s="26"/>
    </row>
    <row r="52" spans="1:50">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H52" s="26"/>
      <c r="AI52" s="26"/>
      <c r="AJ52" s="26"/>
      <c r="AK52" s="26"/>
      <c r="AL52" s="26"/>
      <c r="AM52" s="26"/>
      <c r="AN52" s="26"/>
      <c r="AO52" s="26"/>
      <c r="AP52" s="26"/>
      <c r="AQ52" s="26"/>
      <c r="AR52" s="26"/>
      <c r="AS52" s="26"/>
      <c r="AT52" s="26"/>
      <c r="AU52" s="26"/>
      <c r="AV52" s="26"/>
      <c r="AW52" s="26"/>
      <c r="AX52" s="26"/>
    </row>
    <row r="53" spans="1:50">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H53" s="26"/>
      <c r="AI53" s="26"/>
      <c r="AJ53" s="26"/>
      <c r="AK53" s="26"/>
      <c r="AL53" s="26"/>
      <c r="AM53" s="26"/>
      <c r="AN53" s="26"/>
      <c r="AO53" s="26"/>
      <c r="AP53" s="26"/>
      <c r="AQ53" s="26"/>
      <c r="AR53" s="26"/>
      <c r="AS53" s="26"/>
      <c r="AT53" s="26"/>
      <c r="AU53" s="26"/>
      <c r="AV53" s="26"/>
      <c r="AW53" s="26"/>
      <c r="AX53" s="26"/>
    </row>
    <row r="54" spans="1:50">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H54" s="26"/>
      <c r="AI54" s="26"/>
      <c r="AJ54" s="26"/>
      <c r="AK54" s="26"/>
      <c r="AL54" s="26"/>
      <c r="AM54" s="26"/>
      <c r="AN54" s="26"/>
      <c r="AO54" s="26"/>
      <c r="AP54" s="26"/>
      <c r="AQ54" s="26"/>
      <c r="AR54" s="26"/>
      <c r="AS54" s="26"/>
      <c r="AT54" s="26"/>
      <c r="AU54" s="26"/>
      <c r="AV54" s="26"/>
      <c r="AW54" s="26"/>
      <c r="AX54" s="26"/>
    </row>
  </sheetData>
  <phoneticPr fontId="12"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9EFCC-8A1F-4A83-9715-73EA64F3A51B}">
  <dimension ref="A1:B329"/>
  <sheetViews>
    <sheetView workbookViewId="0">
      <selection activeCell="I33" sqref="I33"/>
    </sheetView>
  </sheetViews>
  <sheetFormatPr defaultRowHeight="15"/>
  <sheetData>
    <row r="1" spans="1:2">
      <c r="A1" t="s">
        <v>1579</v>
      </c>
      <c r="B1" t="s">
        <v>1580</v>
      </c>
    </row>
    <row r="2" spans="1:2">
      <c r="A2" t="s">
        <v>21</v>
      </c>
      <c r="B2" t="s">
        <v>1571</v>
      </c>
    </row>
    <row r="3" spans="1:2">
      <c r="A3" t="s">
        <v>211</v>
      </c>
      <c r="B3" t="s">
        <v>1571</v>
      </c>
    </row>
    <row r="4" spans="1:2">
      <c r="A4" t="s">
        <v>1581</v>
      </c>
      <c r="B4" t="s">
        <v>1571</v>
      </c>
    </row>
    <row r="5" spans="1:2">
      <c r="A5" t="s">
        <v>131</v>
      </c>
      <c r="B5" t="s">
        <v>1571</v>
      </c>
    </row>
    <row r="6" spans="1:2">
      <c r="A6" t="s">
        <v>1582</v>
      </c>
      <c r="B6" t="s">
        <v>1571</v>
      </c>
    </row>
    <row r="7" spans="1:2">
      <c r="A7" t="s">
        <v>836</v>
      </c>
      <c r="B7" t="s">
        <v>1571</v>
      </c>
    </row>
    <row r="8" spans="1:2">
      <c r="A8" t="s">
        <v>473</v>
      </c>
      <c r="B8" t="s">
        <v>1571</v>
      </c>
    </row>
    <row r="9" spans="1:2">
      <c r="A9" t="s">
        <v>553</v>
      </c>
      <c r="B9" t="s">
        <v>1571</v>
      </c>
    </row>
    <row r="10" spans="1:2">
      <c r="A10" t="s">
        <v>1583</v>
      </c>
      <c r="B10" t="s">
        <v>1571</v>
      </c>
    </row>
    <row r="11" spans="1:2">
      <c r="A11" t="s">
        <v>862</v>
      </c>
      <c r="B11" t="s">
        <v>1571</v>
      </c>
    </row>
    <row r="12" spans="1:2">
      <c r="A12" t="s">
        <v>17</v>
      </c>
      <c r="B12" t="s">
        <v>1571</v>
      </c>
    </row>
    <row r="13" spans="1:2">
      <c r="A13" t="s">
        <v>363</v>
      </c>
      <c r="B13" t="s">
        <v>1571</v>
      </c>
    </row>
    <row r="14" spans="1:2">
      <c r="A14" t="s">
        <v>57</v>
      </c>
      <c r="B14" t="s">
        <v>1571</v>
      </c>
    </row>
    <row r="15" spans="1:2">
      <c r="A15" t="s">
        <v>611</v>
      </c>
      <c r="B15" t="s">
        <v>1571</v>
      </c>
    </row>
    <row r="16" spans="1:2">
      <c r="A16" t="s">
        <v>1584</v>
      </c>
      <c r="B16" t="s">
        <v>1571</v>
      </c>
    </row>
    <row r="17" spans="1:2">
      <c r="A17" t="s">
        <v>653</v>
      </c>
      <c r="B17" t="s">
        <v>1571</v>
      </c>
    </row>
    <row r="18" spans="1:2">
      <c r="A18" t="s">
        <v>549</v>
      </c>
      <c r="B18" t="s">
        <v>1571</v>
      </c>
    </row>
    <row r="19" spans="1:2">
      <c r="A19" t="s">
        <v>782</v>
      </c>
      <c r="B19" t="s">
        <v>1571</v>
      </c>
    </row>
    <row r="20" spans="1:2">
      <c r="A20" t="s">
        <v>1585</v>
      </c>
      <c r="B20" t="s">
        <v>1571</v>
      </c>
    </row>
    <row r="21" spans="1:2">
      <c r="A21" t="s">
        <v>371</v>
      </c>
      <c r="B21" t="s">
        <v>1571</v>
      </c>
    </row>
    <row r="22" spans="1:2">
      <c r="A22" t="s">
        <v>493</v>
      </c>
      <c r="B22" t="s">
        <v>1571</v>
      </c>
    </row>
    <row r="23" spans="1:2">
      <c r="A23" t="s">
        <v>1586</v>
      </c>
      <c r="B23" t="s">
        <v>1571</v>
      </c>
    </row>
    <row r="24" spans="1:2">
      <c r="A24" t="s">
        <v>431</v>
      </c>
      <c r="B24" t="s">
        <v>1571</v>
      </c>
    </row>
    <row r="25" spans="1:2">
      <c r="A25" t="s">
        <v>405</v>
      </c>
      <c r="B25" t="s">
        <v>1571</v>
      </c>
    </row>
    <row r="26" spans="1:2">
      <c r="A26" t="s">
        <v>111</v>
      </c>
      <c r="B26" t="s">
        <v>1571</v>
      </c>
    </row>
    <row r="27" spans="1:2">
      <c r="A27" t="s">
        <v>185</v>
      </c>
      <c r="B27" t="s">
        <v>1571</v>
      </c>
    </row>
    <row r="28" spans="1:2">
      <c r="A28" t="s">
        <v>780</v>
      </c>
      <c r="B28" t="s">
        <v>1571</v>
      </c>
    </row>
    <row r="29" spans="1:2">
      <c r="A29" t="s">
        <v>221</v>
      </c>
      <c r="B29" t="s">
        <v>1571</v>
      </c>
    </row>
    <row r="30" spans="1:2">
      <c r="A30" t="s">
        <v>876</v>
      </c>
      <c r="B30" t="s">
        <v>1571</v>
      </c>
    </row>
    <row r="31" spans="1:2">
      <c r="A31" t="s">
        <v>1587</v>
      </c>
      <c r="B31" t="s">
        <v>1571</v>
      </c>
    </row>
    <row r="32" spans="1:2">
      <c r="A32" t="s">
        <v>713</v>
      </c>
      <c r="B32" t="s">
        <v>1571</v>
      </c>
    </row>
    <row r="33" spans="1:2">
      <c r="A33" t="s">
        <v>848</v>
      </c>
      <c r="B33" t="s">
        <v>1571</v>
      </c>
    </row>
    <row r="34" spans="1:2">
      <c r="A34" t="s">
        <v>757</v>
      </c>
      <c r="B34" t="s">
        <v>1571</v>
      </c>
    </row>
    <row r="35" spans="1:2">
      <c r="A35" t="s">
        <v>531</v>
      </c>
      <c r="B35" t="s">
        <v>1571</v>
      </c>
    </row>
    <row r="36" spans="1:2">
      <c r="A36" t="s">
        <v>327</v>
      </c>
      <c r="B36" t="s">
        <v>1571</v>
      </c>
    </row>
    <row r="37" spans="1:2">
      <c r="A37" t="s">
        <v>161</v>
      </c>
      <c r="B37" t="s">
        <v>1571</v>
      </c>
    </row>
    <row r="38" spans="1:2">
      <c r="A38" t="s">
        <v>345</v>
      </c>
      <c r="B38" t="s">
        <v>1571</v>
      </c>
    </row>
    <row r="39" spans="1:2">
      <c r="A39" t="s">
        <v>489</v>
      </c>
      <c r="B39" t="s">
        <v>1571</v>
      </c>
    </row>
    <row r="40" spans="1:2">
      <c r="A40" t="s">
        <v>37</v>
      </c>
      <c r="B40" t="s">
        <v>1571</v>
      </c>
    </row>
    <row r="41" spans="1:2">
      <c r="A41" t="s">
        <v>810</v>
      </c>
      <c r="B41" t="s">
        <v>1571</v>
      </c>
    </row>
    <row r="42" spans="1:2">
      <c r="A42" t="s">
        <v>155</v>
      </c>
      <c r="B42" t="s">
        <v>1571</v>
      </c>
    </row>
    <row r="43" spans="1:2">
      <c r="A43" t="s">
        <v>477</v>
      </c>
      <c r="B43" t="s">
        <v>1571</v>
      </c>
    </row>
    <row r="44" spans="1:2">
      <c r="A44" t="s">
        <v>305</v>
      </c>
      <c r="B44" t="s">
        <v>1571</v>
      </c>
    </row>
    <row r="45" spans="1:2">
      <c r="A45" t="s">
        <v>287</v>
      </c>
      <c r="B45" t="s">
        <v>1571</v>
      </c>
    </row>
    <row r="46" spans="1:2">
      <c r="A46" t="s">
        <v>679</v>
      </c>
      <c r="B46" t="s">
        <v>1571</v>
      </c>
    </row>
    <row r="47" spans="1:2">
      <c r="A47" t="s">
        <v>1588</v>
      </c>
      <c r="B47" t="s">
        <v>1571</v>
      </c>
    </row>
    <row r="48" spans="1:2">
      <c r="A48" t="s">
        <v>529</v>
      </c>
      <c r="B48" t="s">
        <v>1571</v>
      </c>
    </row>
    <row r="49" spans="1:2">
      <c r="A49" t="s">
        <v>1589</v>
      </c>
      <c r="B49" t="s">
        <v>1571</v>
      </c>
    </row>
    <row r="50" spans="1:2">
      <c r="A50" t="s">
        <v>331</v>
      </c>
      <c r="B50" t="s">
        <v>1571</v>
      </c>
    </row>
    <row r="51" spans="1:2">
      <c r="A51" t="s">
        <v>295</v>
      </c>
      <c r="B51" t="s">
        <v>1571</v>
      </c>
    </row>
    <row r="52" spans="1:2">
      <c r="A52" t="s">
        <v>800</v>
      </c>
      <c r="B52" t="s">
        <v>1571</v>
      </c>
    </row>
    <row r="53" spans="1:2">
      <c r="A53" t="s">
        <v>19</v>
      </c>
      <c r="B53" t="s">
        <v>1571</v>
      </c>
    </row>
    <row r="54" spans="1:2">
      <c r="A54" t="s">
        <v>397</v>
      </c>
      <c r="B54" t="s">
        <v>1571</v>
      </c>
    </row>
    <row r="55" spans="1:2">
      <c r="A55" t="s">
        <v>361</v>
      </c>
      <c r="B55" t="s">
        <v>1571</v>
      </c>
    </row>
    <row r="56" spans="1:2">
      <c r="A56" t="s">
        <v>725</v>
      </c>
      <c r="B56" t="s">
        <v>1571</v>
      </c>
    </row>
    <row r="57" spans="1:2">
      <c r="A57" t="s">
        <v>1590</v>
      </c>
      <c r="B57" t="s">
        <v>1571</v>
      </c>
    </row>
    <row r="58" spans="1:2">
      <c r="A58" t="s">
        <v>439</v>
      </c>
      <c r="B58" t="s">
        <v>1571</v>
      </c>
    </row>
    <row r="59" spans="1:2">
      <c r="A59" t="s">
        <v>1591</v>
      </c>
      <c r="B59" t="s">
        <v>1571</v>
      </c>
    </row>
    <row r="60" spans="1:2">
      <c r="A60" t="s">
        <v>235</v>
      </c>
      <c r="B60" t="s">
        <v>1571</v>
      </c>
    </row>
    <row r="61" spans="1:2">
      <c r="A61" t="s">
        <v>1592</v>
      </c>
      <c r="B61" t="s">
        <v>1571</v>
      </c>
    </row>
    <row r="62" spans="1:2">
      <c r="A62" t="s">
        <v>691</v>
      </c>
      <c r="B62" t="s">
        <v>1571</v>
      </c>
    </row>
    <row r="63" spans="1:2">
      <c r="A63" t="s">
        <v>1593</v>
      </c>
      <c r="B63" t="s">
        <v>1571</v>
      </c>
    </row>
    <row r="64" spans="1:2">
      <c r="A64" t="s">
        <v>1594</v>
      </c>
      <c r="B64" t="s">
        <v>1571</v>
      </c>
    </row>
    <row r="65" spans="1:2">
      <c r="A65" t="s">
        <v>309</v>
      </c>
      <c r="B65" t="s">
        <v>1571</v>
      </c>
    </row>
    <row r="66" spans="1:2">
      <c r="A66" t="s">
        <v>31</v>
      </c>
      <c r="B66" t="s">
        <v>1571</v>
      </c>
    </row>
    <row r="67" spans="1:2">
      <c r="A67" t="s">
        <v>583</v>
      </c>
      <c r="B67" t="s">
        <v>1571</v>
      </c>
    </row>
    <row r="68" spans="1:2">
      <c r="A68" t="s">
        <v>1595</v>
      </c>
      <c r="B68" t="s">
        <v>1571</v>
      </c>
    </row>
    <row r="69" spans="1:2">
      <c r="A69" t="s">
        <v>673</v>
      </c>
      <c r="B69" t="s">
        <v>1571</v>
      </c>
    </row>
    <row r="70" spans="1:2">
      <c r="A70" t="s">
        <v>629</v>
      </c>
      <c r="B70" t="s">
        <v>1571</v>
      </c>
    </row>
    <row r="71" spans="1:2">
      <c r="A71" t="s">
        <v>151</v>
      </c>
      <c r="B71" t="s">
        <v>1571</v>
      </c>
    </row>
    <row r="72" spans="1:2">
      <c r="A72" t="s">
        <v>65</v>
      </c>
      <c r="B72" t="s">
        <v>1571</v>
      </c>
    </row>
    <row r="73" spans="1:2">
      <c r="A73" t="s">
        <v>307</v>
      </c>
      <c r="B73" t="s">
        <v>1571</v>
      </c>
    </row>
    <row r="74" spans="1:2">
      <c r="A74" t="s">
        <v>461</v>
      </c>
      <c r="B74" t="s">
        <v>1571</v>
      </c>
    </row>
    <row r="75" spans="1:2">
      <c r="A75" t="s">
        <v>423</v>
      </c>
      <c r="B75" t="s">
        <v>1571</v>
      </c>
    </row>
    <row r="76" spans="1:2">
      <c r="A76" t="s">
        <v>1596</v>
      </c>
      <c r="B76" t="s">
        <v>1571</v>
      </c>
    </row>
    <row r="77" spans="1:2">
      <c r="A77" t="s">
        <v>1597</v>
      </c>
      <c r="B77" t="s">
        <v>1571</v>
      </c>
    </row>
    <row r="78" spans="1:2">
      <c r="A78" t="s">
        <v>1598</v>
      </c>
      <c r="B78" t="s">
        <v>1571</v>
      </c>
    </row>
    <row r="79" spans="1:2">
      <c r="A79" t="s">
        <v>587</v>
      </c>
      <c r="B79" t="s">
        <v>1571</v>
      </c>
    </row>
    <row r="80" spans="1:2">
      <c r="A80" t="s">
        <v>1599</v>
      </c>
      <c r="B80" t="s">
        <v>1571</v>
      </c>
    </row>
    <row r="81" spans="1:2">
      <c r="A81" t="s">
        <v>195</v>
      </c>
      <c r="B81" t="s">
        <v>1571</v>
      </c>
    </row>
    <row r="82" spans="1:2">
      <c r="A82" t="s">
        <v>1600</v>
      </c>
      <c r="B82" t="s">
        <v>1571</v>
      </c>
    </row>
    <row r="83" spans="1:2">
      <c r="A83" t="s">
        <v>339</v>
      </c>
      <c r="B83" t="s">
        <v>1571</v>
      </c>
    </row>
    <row r="84" spans="1:2">
      <c r="A84" t="s">
        <v>401</v>
      </c>
      <c r="B84" t="s">
        <v>1571</v>
      </c>
    </row>
    <row r="85" spans="1:2">
      <c r="A85" t="s">
        <v>1601</v>
      </c>
      <c r="B85" t="s">
        <v>1571</v>
      </c>
    </row>
    <row r="86" spans="1:2">
      <c r="A86" t="s">
        <v>261</v>
      </c>
      <c r="B86" t="s">
        <v>1571</v>
      </c>
    </row>
    <row r="87" spans="1:2">
      <c r="A87" t="s">
        <v>15</v>
      </c>
      <c r="B87" t="s">
        <v>1571</v>
      </c>
    </row>
    <row r="88" spans="1:2">
      <c r="A88" t="s">
        <v>1602</v>
      </c>
      <c r="B88" t="s">
        <v>1571</v>
      </c>
    </row>
    <row r="89" spans="1:2">
      <c r="A89" t="s">
        <v>469</v>
      </c>
      <c r="B89" t="s">
        <v>1571</v>
      </c>
    </row>
    <row r="90" spans="1:2">
      <c r="A90" t="s">
        <v>205</v>
      </c>
      <c r="B90" t="s">
        <v>1571</v>
      </c>
    </row>
    <row r="91" spans="1:2">
      <c r="A91" t="s">
        <v>1603</v>
      </c>
      <c r="B91" t="s">
        <v>1571</v>
      </c>
    </row>
    <row r="92" spans="1:2">
      <c r="A92" t="s">
        <v>183</v>
      </c>
      <c r="B92" t="s">
        <v>1571</v>
      </c>
    </row>
    <row r="93" spans="1:2">
      <c r="A93" t="s">
        <v>105</v>
      </c>
      <c r="B93" t="s">
        <v>1571</v>
      </c>
    </row>
    <row r="94" spans="1:2">
      <c r="A94" t="s">
        <v>1604</v>
      </c>
      <c r="B94" t="s">
        <v>1571</v>
      </c>
    </row>
    <row r="95" spans="1:2">
      <c r="A95" t="s">
        <v>359</v>
      </c>
      <c r="B95" t="s">
        <v>1571</v>
      </c>
    </row>
    <row r="96" spans="1:2">
      <c r="A96" t="s">
        <v>852</v>
      </c>
      <c r="B96" t="s">
        <v>1571</v>
      </c>
    </row>
    <row r="97" spans="1:2">
      <c r="A97" t="s">
        <v>249</v>
      </c>
      <c r="B97" t="s">
        <v>1571</v>
      </c>
    </row>
    <row r="98" spans="1:2">
      <c r="A98" t="s">
        <v>189</v>
      </c>
      <c r="B98" t="s">
        <v>1571</v>
      </c>
    </row>
    <row r="99" spans="1:2">
      <c r="A99" t="s">
        <v>1605</v>
      </c>
      <c r="B99" t="s">
        <v>1571</v>
      </c>
    </row>
    <row r="100" spans="1:2">
      <c r="A100" t="s">
        <v>649</v>
      </c>
      <c r="B100" t="s">
        <v>1571</v>
      </c>
    </row>
    <row r="101" spans="1:2">
      <c r="A101" t="s">
        <v>1606</v>
      </c>
      <c r="B101" t="s">
        <v>1571</v>
      </c>
    </row>
    <row r="102" spans="1:2">
      <c r="A102" t="s">
        <v>47</v>
      </c>
      <c r="B102" t="s">
        <v>1571</v>
      </c>
    </row>
    <row r="103" spans="1:2">
      <c r="A103" t="s">
        <v>237</v>
      </c>
      <c r="B103" t="s">
        <v>1571</v>
      </c>
    </row>
    <row r="104" spans="1:2">
      <c r="A104" t="s">
        <v>441</v>
      </c>
      <c r="B104" t="s">
        <v>1571</v>
      </c>
    </row>
    <row r="105" spans="1:2">
      <c r="A105" t="s">
        <v>599</v>
      </c>
      <c r="B105" t="s">
        <v>1571</v>
      </c>
    </row>
    <row r="106" spans="1:2">
      <c r="A106" t="s">
        <v>1607</v>
      </c>
      <c r="B106" t="s">
        <v>1571</v>
      </c>
    </row>
    <row r="107" spans="1:2">
      <c r="A107" t="s">
        <v>685</v>
      </c>
      <c r="B107" t="s">
        <v>1571</v>
      </c>
    </row>
    <row r="108" spans="1:2">
      <c r="A108" t="s">
        <v>301</v>
      </c>
      <c r="B108" t="s">
        <v>1571</v>
      </c>
    </row>
    <row r="109" spans="1:2">
      <c r="A109" t="s">
        <v>435</v>
      </c>
      <c r="B109" t="s">
        <v>1571</v>
      </c>
    </row>
    <row r="110" spans="1:2">
      <c r="A110" t="s">
        <v>1608</v>
      </c>
      <c r="B110" t="s">
        <v>1571</v>
      </c>
    </row>
    <row r="111" spans="1:2">
      <c r="A111" t="s">
        <v>699</v>
      </c>
      <c r="B111" t="s">
        <v>1571</v>
      </c>
    </row>
    <row r="112" spans="1:2">
      <c r="A112" t="s">
        <v>157</v>
      </c>
      <c r="B112" t="s">
        <v>1571</v>
      </c>
    </row>
    <row r="113" spans="1:2">
      <c r="A113" t="s">
        <v>215</v>
      </c>
      <c r="B113" t="s">
        <v>1571</v>
      </c>
    </row>
    <row r="114" spans="1:2">
      <c r="A114" t="s">
        <v>585</v>
      </c>
      <c r="B114" t="s">
        <v>1571</v>
      </c>
    </row>
    <row r="115" spans="1:2">
      <c r="A115" t="s">
        <v>669</v>
      </c>
      <c r="B115" t="s">
        <v>1571</v>
      </c>
    </row>
    <row r="116" spans="1:2">
      <c r="A116" t="s">
        <v>505</v>
      </c>
      <c r="B116" t="s">
        <v>1571</v>
      </c>
    </row>
    <row r="117" spans="1:2">
      <c r="A117" t="s">
        <v>751</v>
      </c>
      <c r="B117" t="s">
        <v>1571</v>
      </c>
    </row>
    <row r="118" spans="1:2">
      <c r="A118" t="s">
        <v>535</v>
      </c>
      <c r="B118" t="s">
        <v>1571</v>
      </c>
    </row>
    <row r="119" spans="1:2">
      <c r="A119" t="s">
        <v>1609</v>
      </c>
      <c r="B119" t="s">
        <v>1571</v>
      </c>
    </row>
    <row r="120" spans="1:2">
      <c r="A120" t="s">
        <v>219</v>
      </c>
      <c r="B120" t="s">
        <v>1571</v>
      </c>
    </row>
    <row r="121" spans="1:2">
      <c r="A121" t="s">
        <v>393</v>
      </c>
      <c r="B121" t="s">
        <v>1571</v>
      </c>
    </row>
    <row r="122" spans="1:2">
      <c r="A122" t="s">
        <v>687</v>
      </c>
      <c r="B122" t="s">
        <v>1571</v>
      </c>
    </row>
    <row r="123" spans="1:2">
      <c r="A123" t="s">
        <v>1610</v>
      </c>
      <c r="B123" t="s">
        <v>1571</v>
      </c>
    </row>
    <row r="124" spans="1:2">
      <c r="A124" t="s">
        <v>573</v>
      </c>
      <c r="B124" t="s">
        <v>1571</v>
      </c>
    </row>
    <row r="125" spans="1:2">
      <c r="A125" t="s">
        <v>417</v>
      </c>
      <c r="B125" t="s">
        <v>1571</v>
      </c>
    </row>
    <row r="126" spans="1:2">
      <c r="A126" t="s">
        <v>1611</v>
      </c>
      <c r="B126" t="s">
        <v>1571</v>
      </c>
    </row>
    <row r="127" spans="1:2">
      <c r="A127" t="s">
        <v>703</v>
      </c>
      <c r="B127" t="s">
        <v>1571</v>
      </c>
    </row>
    <row r="128" spans="1:2">
      <c r="A128" t="s">
        <v>191</v>
      </c>
      <c r="B128" t="s">
        <v>1571</v>
      </c>
    </row>
    <row r="129" spans="1:2">
      <c r="A129" t="s">
        <v>279</v>
      </c>
      <c r="B129" t="s">
        <v>1571</v>
      </c>
    </row>
    <row r="130" spans="1:2">
      <c r="A130" t="s">
        <v>1612</v>
      </c>
      <c r="B130" t="s">
        <v>1571</v>
      </c>
    </row>
    <row r="131" spans="1:2">
      <c r="A131" t="s">
        <v>1613</v>
      </c>
      <c r="B131" t="s">
        <v>1571</v>
      </c>
    </row>
    <row r="132" spans="1:2">
      <c r="A132" t="s">
        <v>1614</v>
      </c>
      <c r="B132" t="s">
        <v>1571</v>
      </c>
    </row>
    <row r="133" spans="1:2">
      <c r="A133" t="s">
        <v>175</v>
      </c>
      <c r="B133" t="s">
        <v>1571</v>
      </c>
    </row>
    <row r="134" spans="1:2">
      <c r="A134" t="s">
        <v>265</v>
      </c>
      <c r="B134" t="s">
        <v>1571</v>
      </c>
    </row>
    <row r="135" spans="1:2">
      <c r="A135" t="s">
        <v>820</v>
      </c>
      <c r="B135" t="s">
        <v>1571</v>
      </c>
    </row>
    <row r="136" spans="1:2">
      <c r="A136" t="s">
        <v>641</v>
      </c>
      <c r="B136" t="s">
        <v>1571</v>
      </c>
    </row>
    <row r="137" spans="1:2">
      <c r="A137" t="s">
        <v>143</v>
      </c>
      <c r="B137" t="s">
        <v>1571</v>
      </c>
    </row>
    <row r="138" spans="1:2">
      <c r="A138" t="s">
        <v>199</v>
      </c>
      <c r="B138" t="s">
        <v>1571</v>
      </c>
    </row>
    <row r="139" spans="1:2">
      <c r="A139" t="s">
        <v>455</v>
      </c>
      <c r="B139" t="s">
        <v>1571</v>
      </c>
    </row>
    <row r="140" spans="1:2">
      <c r="A140" t="s">
        <v>858</v>
      </c>
      <c r="B140" t="s">
        <v>1571</v>
      </c>
    </row>
    <row r="141" spans="1:2">
      <c r="A141" t="s">
        <v>433</v>
      </c>
      <c r="B141" t="s">
        <v>1571</v>
      </c>
    </row>
    <row r="142" spans="1:2">
      <c r="A142" t="s">
        <v>487</v>
      </c>
      <c r="B142" t="s">
        <v>1571</v>
      </c>
    </row>
    <row r="143" spans="1:2">
      <c r="A143" t="s">
        <v>1615</v>
      </c>
      <c r="B143" t="s">
        <v>1571</v>
      </c>
    </row>
    <row r="144" spans="1:2">
      <c r="A144" t="s">
        <v>353</v>
      </c>
      <c r="B144" t="s">
        <v>1571</v>
      </c>
    </row>
    <row r="145" spans="1:2">
      <c r="A145" t="s">
        <v>814</v>
      </c>
      <c r="B145" t="s">
        <v>1571</v>
      </c>
    </row>
    <row r="146" spans="1:2">
      <c r="A146" t="s">
        <v>1616</v>
      </c>
      <c r="B146" t="s">
        <v>1571</v>
      </c>
    </row>
    <row r="147" spans="1:2">
      <c r="A147" t="s">
        <v>291</v>
      </c>
      <c r="B147" t="s">
        <v>1571</v>
      </c>
    </row>
    <row r="148" spans="1:2">
      <c r="A148" t="s">
        <v>457</v>
      </c>
      <c r="B148" t="s">
        <v>1571</v>
      </c>
    </row>
    <row r="149" spans="1:2">
      <c r="A149" t="s">
        <v>311</v>
      </c>
      <c r="B149" t="s">
        <v>1571</v>
      </c>
    </row>
    <row r="150" spans="1:2">
      <c r="A150" t="s">
        <v>329</v>
      </c>
      <c r="B150" t="s">
        <v>1571</v>
      </c>
    </row>
    <row r="151" spans="1:2">
      <c r="A151" t="s">
        <v>753</v>
      </c>
      <c r="B151" t="s">
        <v>1571</v>
      </c>
    </row>
    <row r="152" spans="1:2">
      <c r="A152" t="s">
        <v>463</v>
      </c>
      <c r="B152" t="s">
        <v>1571</v>
      </c>
    </row>
    <row r="153" spans="1:2">
      <c r="A153" t="s">
        <v>187</v>
      </c>
      <c r="B153" t="s">
        <v>1571</v>
      </c>
    </row>
    <row r="154" spans="1:2">
      <c r="A154" t="s">
        <v>357</v>
      </c>
      <c r="B154" t="s">
        <v>1571</v>
      </c>
    </row>
    <row r="155" spans="1:2">
      <c r="A155" t="s">
        <v>407</v>
      </c>
      <c r="B155" t="s">
        <v>1571</v>
      </c>
    </row>
    <row r="156" spans="1:2">
      <c r="A156" t="s">
        <v>689</v>
      </c>
      <c r="B156" t="s">
        <v>1571</v>
      </c>
    </row>
    <row r="157" spans="1:2">
      <c r="A157" t="s">
        <v>1617</v>
      </c>
      <c r="B157" t="s">
        <v>1571</v>
      </c>
    </row>
    <row r="158" spans="1:2">
      <c r="A158" t="s">
        <v>657</v>
      </c>
      <c r="B158" t="s">
        <v>1571</v>
      </c>
    </row>
    <row r="159" spans="1:2">
      <c r="A159" t="s">
        <v>99</v>
      </c>
      <c r="B159" t="s">
        <v>1571</v>
      </c>
    </row>
    <row r="160" spans="1:2">
      <c r="A160" t="s">
        <v>665</v>
      </c>
      <c r="B160" t="s">
        <v>1571</v>
      </c>
    </row>
    <row r="161" spans="1:2">
      <c r="A161" t="s">
        <v>840</v>
      </c>
      <c r="B161" t="s">
        <v>1571</v>
      </c>
    </row>
    <row r="162" spans="1:2">
      <c r="A162" t="s">
        <v>41</v>
      </c>
      <c r="B162" t="s">
        <v>1571</v>
      </c>
    </row>
    <row r="163" spans="1:2">
      <c r="A163" t="s">
        <v>639</v>
      </c>
      <c r="B163" t="s">
        <v>1571</v>
      </c>
    </row>
    <row r="164" spans="1:2">
      <c r="A164" t="s">
        <v>447</v>
      </c>
      <c r="B164" t="s">
        <v>1571</v>
      </c>
    </row>
    <row r="165" spans="1:2">
      <c r="A165" t="s">
        <v>323</v>
      </c>
      <c r="B165" t="s">
        <v>1571</v>
      </c>
    </row>
    <row r="166" spans="1:2">
      <c r="A166" t="s">
        <v>1618</v>
      </c>
      <c r="B166" t="s">
        <v>1571</v>
      </c>
    </row>
    <row r="167" spans="1:2">
      <c r="A167" t="s">
        <v>283</v>
      </c>
      <c r="B167" t="s">
        <v>1571</v>
      </c>
    </row>
    <row r="168" spans="1:2">
      <c r="A168" t="s">
        <v>543</v>
      </c>
      <c r="B168" t="s">
        <v>1571</v>
      </c>
    </row>
    <row r="169" spans="1:2">
      <c r="A169" t="s">
        <v>765</v>
      </c>
      <c r="B169" t="s">
        <v>1571</v>
      </c>
    </row>
    <row r="170" spans="1:2">
      <c r="A170" t="s">
        <v>727</v>
      </c>
      <c r="B170" t="s">
        <v>1571</v>
      </c>
    </row>
    <row r="171" spans="1:2">
      <c r="A171" t="s">
        <v>567</v>
      </c>
      <c r="B171" t="s">
        <v>1571</v>
      </c>
    </row>
    <row r="172" spans="1:2">
      <c r="A172" t="s">
        <v>733</v>
      </c>
      <c r="B172" t="s">
        <v>1571</v>
      </c>
    </row>
    <row r="173" spans="1:2">
      <c r="A173" t="s">
        <v>771</v>
      </c>
      <c r="B173" t="s">
        <v>1571</v>
      </c>
    </row>
    <row r="174" spans="1:2">
      <c r="A174" t="s">
        <v>818</v>
      </c>
      <c r="B174" t="s">
        <v>1571</v>
      </c>
    </row>
    <row r="175" spans="1:2">
      <c r="A175" t="s">
        <v>413</v>
      </c>
      <c r="B175" t="s">
        <v>1571</v>
      </c>
    </row>
    <row r="176" spans="1:2">
      <c r="A176" t="s">
        <v>735</v>
      </c>
      <c r="B176" t="s">
        <v>1571</v>
      </c>
    </row>
    <row r="177" spans="1:2">
      <c r="A177" t="s">
        <v>784</v>
      </c>
      <c r="B177" t="s">
        <v>1571</v>
      </c>
    </row>
    <row r="178" spans="1:2">
      <c r="A178" t="s">
        <v>145</v>
      </c>
      <c r="B178" t="s">
        <v>1571</v>
      </c>
    </row>
    <row r="179" spans="1:2">
      <c r="A179" t="s">
        <v>107</v>
      </c>
      <c r="B179" t="s">
        <v>1571</v>
      </c>
    </row>
    <row r="180" spans="1:2">
      <c r="A180" t="s">
        <v>389</v>
      </c>
      <c r="B180" t="s">
        <v>1571</v>
      </c>
    </row>
    <row r="181" spans="1:2">
      <c r="A181" t="s">
        <v>880</v>
      </c>
      <c r="B181" t="s">
        <v>1571</v>
      </c>
    </row>
    <row r="182" spans="1:2">
      <c r="A182" t="s">
        <v>245</v>
      </c>
      <c r="B182" t="s">
        <v>1571</v>
      </c>
    </row>
    <row r="183" spans="1:2">
      <c r="A183" t="s">
        <v>731</v>
      </c>
      <c r="B183" t="s">
        <v>1571</v>
      </c>
    </row>
    <row r="184" spans="1:2">
      <c r="A184" t="s">
        <v>321</v>
      </c>
      <c r="B184" t="s">
        <v>1571</v>
      </c>
    </row>
    <row r="185" spans="1:2">
      <c r="A185" t="s">
        <v>593</v>
      </c>
      <c r="B185" t="s">
        <v>1571</v>
      </c>
    </row>
    <row r="186" spans="1:2">
      <c r="A186" t="s">
        <v>147</v>
      </c>
      <c r="B186" t="s">
        <v>1571</v>
      </c>
    </row>
    <row r="187" spans="1:2">
      <c r="A187" t="s">
        <v>729</v>
      </c>
      <c r="B187" t="s">
        <v>1571</v>
      </c>
    </row>
    <row r="188" spans="1:2">
      <c r="A188" t="s">
        <v>631</v>
      </c>
      <c r="B188" t="s">
        <v>1571</v>
      </c>
    </row>
    <row r="189" spans="1:2">
      <c r="A189" t="s">
        <v>755</v>
      </c>
      <c r="B189" t="s">
        <v>1571</v>
      </c>
    </row>
    <row r="190" spans="1:2">
      <c r="A190" t="s">
        <v>739</v>
      </c>
      <c r="B190" t="s">
        <v>1571</v>
      </c>
    </row>
    <row r="191" spans="1:2">
      <c r="A191" t="s">
        <v>1619</v>
      </c>
      <c r="B191" t="s">
        <v>1571</v>
      </c>
    </row>
    <row r="192" spans="1:2">
      <c r="A192" t="s">
        <v>667</v>
      </c>
      <c r="B192" t="s">
        <v>1571</v>
      </c>
    </row>
    <row r="193" spans="1:2">
      <c r="A193" t="s">
        <v>842</v>
      </c>
      <c r="B193" t="s">
        <v>1571</v>
      </c>
    </row>
    <row r="194" spans="1:2">
      <c r="A194" t="s">
        <v>832</v>
      </c>
      <c r="B194" t="s">
        <v>1571</v>
      </c>
    </row>
    <row r="195" spans="1:2">
      <c r="A195" t="s">
        <v>677</v>
      </c>
      <c r="B195" t="s">
        <v>1571</v>
      </c>
    </row>
    <row r="196" spans="1:2">
      <c r="A196" t="s">
        <v>806</v>
      </c>
      <c r="B196" t="s">
        <v>1571</v>
      </c>
    </row>
    <row r="197" spans="1:2">
      <c r="A197" t="s">
        <v>255</v>
      </c>
      <c r="B197" t="s">
        <v>1571</v>
      </c>
    </row>
    <row r="198" spans="1:2">
      <c r="A198" t="s">
        <v>824</v>
      </c>
      <c r="B198" t="s">
        <v>1571</v>
      </c>
    </row>
    <row r="199" spans="1:2">
      <c r="A199" t="s">
        <v>141</v>
      </c>
      <c r="B199" t="s">
        <v>1571</v>
      </c>
    </row>
    <row r="200" spans="1:2">
      <c r="A200" t="s">
        <v>773</v>
      </c>
      <c r="B200" t="s">
        <v>1571</v>
      </c>
    </row>
    <row r="201" spans="1:2">
      <c r="A201" t="s">
        <v>886</v>
      </c>
      <c r="B201" t="s">
        <v>1571</v>
      </c>
    </row>
    <row r="202" spans="1:2">
      <c r="A202" t="s">
        <v>888</v>
      </c>
      <c r="B202" t="s">
        <v>1571</v>
      </c>
    </row>
    <row r="203" spans="1:2">
      <c r="A203" t="s">
        <v>565</v>
      </c>
      <c r="B203" t="s">
        <v>1571</v>
      </c>
    </row>
    <row r="204" spans="1:2">
      <c r="A204" t="s">
        <v>1620</v>
      </c>
      <c r="B204" t="s">
        <v>1571</v>
      </c>
    </row>
    <row r="205" spans="1:2">
      <c r="A205" t="s">
        <v>763</v>
      </c>
      <c r="B205" t="s">
        <v>1571</v>
      </c>
    </row>
    <row r="206" spans="1:2">
      <c r="A206" t="s">
        <v>1621</v>
      </c>
      <c r="B206" t="s">
        <v>1571</v>
      </c>
    </row>
    <row r="207" spans="1:2">
      <c r="A207" t="s">
        <v>1244</v>
      </c>
      <c r="B207" t="s">
        <v>1572</v>
      </c>
    </row>
    <row r="208" spans="1:2">
      <c r="A208" t="s">
        <v>1202</v>
      </c>
      <c r="B208" t="s">
        <v>1572</v>
      </c>
    </row>
    <row r="209" spans="1:2">
      <c r="A209" t="s">
        <v>1139</v>
      </c>
      <c r="B209" t="s">
        <v>1572</v>
      </c>
    </row>
    <row r="210" spans="1:2">
      <c r="A210" t="s">
        <v>1208</v>
      </c>
      <c r="B210" t="s">
        <v>1572</v>
      </c>
    </row>
    <row r="211" spans="1:2">
      <c r="A211" s="5" t="s">
        <v>1100</v>
      </c>
      <c r="B211" t="s">
        <v>1572</v>
      </c>
    </row>
    <row r="212" spans="1:2">
      <c r="A212" t="s">
        <v>1189</v>
      </c>
      <c r="B212" t="s">
        <v>1572</v>
      </c>
    </row>
    <row r="213" spans="1:2">
      <c r="A213" t="s">
        <v>936</v>
      </c>
      <c r="B213" t="s">
        <v>1572</v>
      </c>
    </row>
    <row r="214" spans="1:2">
      <c r="A214" t="s">
        <v>1170</v>
      </c>
      <c r="B214" t="s">
        <v>1572</v>
      </c>
    </row>
    <row r="215" spans="1:2">
      <c r="A215" t="s">
        <v>1109</v>
      </c>
      <c r="B215" t="s">
        <v>1572</v>
      </c>
    </row>
    <row r="216" spans="1:2">
      <c r="A216" t="s">
        <v>1177</v>
      </c>
      <c r="B216" t="s">
        <v>1572</v>
      </c>
    </row>
    <row r="217" spans="1:2">
      <c r="A217" t="s">
        <v>1160</v>
      </c>
      <c r="B217" t="s">
        <v>1572</v>
      </c>
    </row>
    <row r="218" spans="1:2">
      <c r="A218" t="s">
        <v>1204</v>
      </c>
      <c r="B218" t="s">
        <v>1572</v>
      </c>
    </row>
    <row r="219" spans="1:2">
      <c r="A219" t="s">
        <v>1192</v>
      </c>
      <c r="B219" t="s">
        <v>1572</v>
      </c>
    </row>
    <row r="220" spans="1:2">
      <c r="A220" t="s">
        <v>1152</v>
      </c>
      <c r="B220" t="s">
        <v>1572</v>
      </c>
    </row>
    <row r="221" spans="1:2">
      <c r="A221" t="s">
        <v>955</v>
      </c>
      <c r="B221" t="s">
        <v>1572</v>
      </c>
    </row>
    <row r="222" spans="1:2">
      <c r="A222" t="s">
        <v>1082</v>
      </c>
      <c r="B222" t="s">
        <v>1572</v>
      </c>
    </row>
    <row r="223" spans="1:2">
      <c r="A223" t="s">
        <v>1060</v>
      </c>
      <c r="B223" t="s">
        <v>1572</v>
      </c>
    </row>
    <row r="224" spans="1:2">
      <c r="A224" t="s">
        <v>1622</v>
      </c>
      <c r="B224" t="s">
        <v>1572</v>
      </c>
    </row>
    <row r="225" spans="1:2">
      <c r="A225" t="s">
        <v>1623</v>
      </c>
      <c r="B225" t="s">
        <v>1572</v>
      </c>
    </row>
    <row r="226" spans="1:2">
      <c r="A226" t="s">
        <v>1096</v>
      </c>
      <c r="B226" t="s">
        <v>1572</v>
      </c>
    </row>
    <row r="227" spans="1:2">
      <c r="A227" t="s">
        <v>1042</v>
      </c>
      <c r="B227" t="s">
        <v>1572</v>
      </c>
    </row>
    <row r="228" spans="1:2">
      <c r="A228" t="s">
        <v>1166</v>
      </c>
      <c r="B228" t="s">
        <v>1572</v>
      </c>
    </row>
    <row r="229" spans="1:2">
      <c r="A229" t="s">
        <v>908</v>
      </c>
      <c r="B229" t="s">
        <v>1572</v>
      </c>
    </row>
    <row r="230" spans="1:2">
      <c r="A230" t="s">
        <v>970</v>
      </c>
      <c r="B230" t="s">
        <v>1572</v>
      </c>
    </row>
    <row r="231" spans="1:2">
      <c r="A231" t="s">
        <v>1127</v>
      </c>
      <c r="B231" t="s">
        <v>1572</v>
      </c>
    </row>
    <row r="232" spans="1:2">
      <c r="A232" t="s">
        <v>1624</v>
      </c>
      <c r="B232" t="s">
        <v>1572</v>
      </c>
    </row>
    <row r="233" spans="1:2">
      <c r="A233" t="s">
        <v>1038</v>
      </c>
      <c r="B233" t="s">
        <v>1572</v>
      </c>
    </row>
    <row r="234" spans="1:2">
      <c r="A234" t="s">
        <v>928</v>
      </c>
      <c r="B234" t="s">
        <v>1572</v>
      </c>
    </row>
    <row r="235" spans="1:2">
      <c r="A235" t="s">
        <v>1054</v>
      </c>
      <c r="B235" t="s">
        <v>1572</v>
      </c>
    </row>
    <row r="236" spans="1:2">
      <c r="A236" t="s">
        <v>1232</v>
      </c>
      <c r="B236" t="s">
        <v>1572</v>
      </c>
    </row>
    <row r="237" spans="1:2">
      <c r="A237" t="s">
        <v>1150</v>
      </c>
      <c r="B237" t="s">
        <v>1572</v>
      </c>
    </row>
    <row r="238" spans="1:2">
      <c r="A238" t="s">
        <v>1050</v>
      </c>
      <c r="B238" t="s">
        <v>1572</v>
      </c>
    </row>
    <row r="239" spans="1:2">
      <c r="A239" t="s">
        <v>1625</v>
      </c>
      <c r="B239" t="s">
        <v>1572</v>
      </c>
    </row>
    <row r="240" spans="1:2">
      <c r="A240" t="s">
        <v>1014</v>
      </c>
      <c r="B240" t="s">
        <v>1572</v>
      </c>
    </row>
    <row r="241" spans="1:2">
      <c r="A241" t="s">
        <v>1626</v>
      </c>
      <c r="B241" t="s">
        <v>1572</v>
      </c>
    </row>
    <row r="242" spans="1:2">
      <c r="A242" t="s">
        <v>1131</v>
      </c>
      <c r="B242" t="s">
        <v>1572</v>
      </c>
    </row>
    <row r="243" spans="1:2">
      <c r="A243" t="s">
        <v>924</v>
      </c>
      <c r="B243" t="s">
        <v>1572</v>
      </c>
    </row>
    <row r="244" spans="1:2">
      <c r="A244" t="s">
        <v>1094</v>
      </c>
      <c r="B244" t="s">
        <v>1572</v>
      </c>
    </row>
    <row r="245" spans="1:2">
      <c r="A245" t="s">
        <v>1627</v>
      </c>
      <c r="B245" t="s">
        <v>1572</v>
      </c>
    </row>
    <row r="246" spans="1:2">
      <c r="A246" t="s">
        <v>1040</v>
      </c>
      <c r="B246" t="s">
        <v>1572</v>
      </c>
    </row>
    <row r="247" spans="1:2">
      <c r="A247" t="s">
        <v>1070</v>
      </c>
      <c r="B247" t="s">
        <v>1572</v>
      </c>
    </row>
    <row r="248" spans="1:2">
      <c r="A248" t="s">
        <v>1628</v>
      </c>
      <c r="B248" t="s">
        <v>1572</v>
      </c>
    </row>
    <row r="249" spans="1:2">
      <c r="A249" t="s">
        <v>1012</v>
      </c>
      <c r="B249" t="s">
        <v>1572</v>
      </c>
    </row>
    <row r="250" spans="1:2">
      <c r="A250" t="s">
        <v>926</v>
      </c>
      <c r="B250" t="s">
        <v>1572</v>
      </c>
    </row>
    <row r="251" spans="1:2">
      <c r="A251" t="s">
        <v>1046</v>
      </c>
      <c r="B251" t="s">
        <v>1572</v>
      </c>
    </row>
    <row r="252" spans="1:2">
      <c r="A252" t="s">
        <v>972</v>
      </c>
      <c r="B252" t="s">
        <v>1572</v>
      </c>
    </row>
    <row r="253" spans="1:2">
      <c r="A253" t="s">
        <v>1629</v>
      </c>
      <c r="B253" t="s">
        <v>1572</v>
      </c>
    </row>
    <row r="254" spans="1:2">
      <c r="A254" t="s">
        <v>1630</v>
      </c>
      <c r="B254" t="s">
        <v>1572</v>
      </c>
    </row>
    <row r="255" spans="1:2">
      <c r="A255" t="s">
        <v>962</v>
      </c>
      <c r="B255" t="s">
        <v>1572</v>
      </c>
    </row>
    <row r="256" spans="1:2">
      <c r="A256" t="s">
        <v>1179</v>
      </c>
      <c r="B256" t="s">
        <v>1572</v>
      </c>
    </row>
    <row r="257" spans="1:2">
      <c r="A257" t="s">
        <v>966</v>
      </c>
      <c r="B257" t="s">
        <v>1572</v>
      </c>
    </row>
    <row r="258" spans="1:2">
      <c r="A258" t="s">
        <v>1631</v>
      </c>
      <c r="B258" t="s">
        <v>1572</v>
      </c>
    </row>
    <row r="259" spans="1:2">
      <c r="A259" t="s">
        <v>1024</v>
      </c>
      <c r="B259" t="s">
        <v>1572</v>
      </c>
    </row>
    <row r="260" spans="1:2">
      <c r="A260" t="s">
        <v>1078</v>
      </c>
      <c r="B260" t="s">
        <v>1572</v>
      </c>
    </row>
    <row r="261" spans="1:2">
      <c r="A261" t="s">
        <v>1632</v>
      </c>
      <c r="B261" t="s">
        <v>1572</v>
      </c>
    </row>
    <row r="262" spans="1:2">
      <c r="A262" t="s">
        <v>1633</v>
      </c>
      <c r="B262" t="s">
        <v>1572</v>
      </c>
    </row>
    <row r="263" spans="1:2">
      <c r="A263" t="s">
        <v>1225</v>
      </c>
      <c r="B263" t="s">
        <v>1572</v>
      </c>
    </row>
    <row r="264" spans="1:2">
      <c r="A264" t="s">
        <v>1634</v>
      </c>
      <c r="B264" t="s">
        <v>1572</v>
      </c>
    </row>
    <row r="265" spans="1:2">
      <c r="A265" t="s">
        <v>957</v>
      </c>
      <c r="B265" t="s">
        <v>1572</v>
      </c>
    </row>
    <row r="266" spans="1:2">
      <c r="A266" t="s">
        <v>1635</v>
      </c>
      <c r="B266" t="s">
        <v>1572</v>
      </c>
    </row>
    <row r="267" spans="1:2">
      <c r="A267" t="s">
        <v>968</v>
      </c>
      <c r="B267" t="s">
        <v>1572</v>
      </c>
    </row>
    <row r="268" spans="1:2">
      <c r="A268" t="s">
        <v>1636</v>
      </c>
      <c r="B268" t="s">
        <v>1572</v>
      </c>
    </row>
    <row r="269" spans="1:2">
      <c r="A269" t="s">
        <v>1026</v>
      </c>
      <c r="B269" t="s">
        <v>1572</v>
      </c>
    </row>
    <row r="270" spans="1:2">
      <c r="A270" t="s">
        <v>1133</v>
      </c>
      <c r="B270" t="s">
        <v>1572</v>
      </c>
    </row>
    <row r="271" spans="1:2">
      <c r="A271" t="s">
        <v>1637</v>
      </c>
      <c r="B271" t="s">
        <v>1572</v>
      </c>
    </row>
    <row r="272" spans="1:2">
      <c r="A272" t="s">
        <v>1638</v>
      </c>
      <c r="B272" t="s">
        <v>1572</v>
      </c>
    </row>
    <row r="273" spans="1:2">
      <c r="A273" t="s">
        <v>1639</v>
      </c>
      <c r="B273" t="s">
        <v>1572</v>
      </c>
    </row>
    <row r="274" spans="1:2">
      <c r="A274" t="s">
        <v>930</v>
      </c>
      <c r="B274" t="s">
        <v>1572</v>
      </c>
    </row>
    <row r="275" spans="1:2">
      <c r="A275" t="s">
        <v>920</v>
      </c>
      <c r="B275" t="s">
        <v>1572</v>
      </c>
    </row>
    <row r="276" spans="1:2">
      <c r="A276" s="5" t="s">
        <v>1221</v>
      </c>
      <c r="B276" t="s">
        <v>1572</v>
      </c>
    </row>
    <row r="277" spans="1:2">
      <c r="A277" t="s">
        <v>1640</v>
      </c>
      <c r="B277" t="s">
        <v>1572</v>
      </c>
    </row>
    <row r="278" spans="1:2">
      <c r="A278" t="s">
        <v>1058</v>
      </c>
      <c r="B278" t="s">
        <v>1572</v>
      </c>
    </row>
    <row r="279" spans="1:2">
      <c r="A279" t="s">
        <v>1641</v>
      </c>
      <c r="B279" t="s">
        <v>1572</v>
      </c>
    </row>
    <row r="280" spans="1:2">
      <c r="A280" t="s">
        <v>1020</v>
      </c>
      <c r="B280" t="s">
        <v>1572</v>
      </c>
    </row>
    <row r="281" spans="1:2">
      <c r="A281" t="s">
        <v>1642</v>
      </c>
      <c r="B281" t="s">
        <v>1572</v>
      </c>
    </row>
    <row r="282" spans="1:2">
      <c r="A282" t="s">
        <v>1643</v>
      </c>
      <c r="B282" t="s">
        <v>1572</v>
      </c>
    </row>
    <row r="283" spans="1:2">
      <c r="A283" t="s">
        <v>1644</v>
      </c>
      <c r="B283" t="s">
        <v>1572</v>
      </c>
    </row>
    <row r="284" spans="1:2">
      <c r="A284" t="s">
        <v>1125</v>
      </c>
      <c r="B284" t="s">
        <v>1572</v>
      </c>
    </row>
    <row r="285" spans="1:2">
      <c r="A285" t="s">
        <v>1645</v>
      </c>
      <c r="B285" t="s">
        <v>1572</v>
      </c>
    </row>
    <row r="286" spans="1:2">
      <c r="A286" t="s">
        <v>998</v>
      </c>
      <c r="B286" t="s">
        <v>1572</v>
      </c>
    </row>
    <row r="287" spans="1:2">
      <c r="A287" t="s">
        <v>1068</v>
      </c>
      <c r="B287" t="s">
        <v>1572</v>
      </c>
    </row>
    <row r="288" spans="1:2">
      <c r="A288" t="s">
        <v>1123</v>
      </c>
      <c r="B288" t="s">
        <v>1572</v>
      </c>
    </row>
    <row r="289" spans="1:2">
      <c r="A289" t="s">
        <v>940</v>
      </c>
      <c r="B289" t="s">
        <v>1572</v>
      </c>
    </row>
    <row r="290" spans="1:2">
      <c r="A290" t="s">
        <v>945</v>
      </c>
      <c r="B290" t="s">
        <v>1572</v>
      </c>
    </row>
    <row r="291" spans="1:2">
      <c r="A291" t="s">
        <v>1206</v>
      </c>
      <c r="B291" t="s">
        <v>1572</v>
      </c>
    </row>
    <row r="292" spans="1:2">
      <c r="A292" t="s">
        <v>1154</v>
      </c>
      <c r="B292" t="s">
        <v>1572</v>
      </c>
    </row>
    <row r="293" spans="1:2">
      <c r="A293" t="s">
        <v>1646</v>
      </c>
      <c r="B293" t="s">
        <v>1572</v>
      </c>
    </row>
    <row r="294" spans="1:2">
      <c r="A294" t="s">
        <v>1647</v>
      </c>
      <c r="B294" t="s">
        <v>1572</v>
      </c>
    </row>
    <row r="295" spans="1:2">
      <c r="A295" t="s">
        <v>1064</v>
      </c>
      <c r="B295" t="s">
        <v>1572</v>
      </c>
    </row>
    <row r="296" spans="1:2">
      <c r="A296" t="s">
        <v>1648</v>
      </c>
      <c r="B296" t="s">
        <v>1572</v>
      </c>
    </row>
    <row r="297" spans="1:2">
      <c r="A297" t="s">
        <v>1005</v>
      </c>
      <c r="B297" t="s">
        <v>1572</v>
      </c>
    </row>
    <row r="298" spans="1:2">
      <c r="A298" t="s">
        <v>978</v>
      </c>
      <c r="B298" t="s">
        <v>1572</v>
      </c>
    </row>
    <row r="299" spans="1:2">
      <c r="A299" t="s">
        <v>1036</v>
      </c>
      <c r="B299" t="s">
        <v>1572</v>
      </c>
    </row>
    <row r="300" spans="1:2">
      <c r="A300" t="s">
        <v>1052</v>
      </c>
      <c r="B300" t="s">
        <v>1572</v>
      </c>
    </row>
    <row r="301" spans="1:2">
      <c r="A301" t="s">
        <v>1090</v>
      </c>
      <c r="B301" t="s">
        <v>1572</v>
      </c>
    </row>
    <row r="302" spans="1:2">
      <c r="A302" t="s">
        <v>1030</v>
      </c>
      <c r="B302" t="s">
        <v>1572</v>
      </c>
    </row>
    <row r="303" spans="1:2">
      <c r="A303" t="s">
        <v>1210</v>
      </c>
      <c r="B303" t="s">
        <v>1572</v>
      </c>
    </row>
    <row r="304" spans="1:2">
      <c r="A304" t="s">
        <v>1080</v>
      </c>
      <c r="B304" t="s">
        <v>1572</v>
      </c>
    </row>
    <row r="305" spans="1:2">
      <c r="A305" t="s">
        <v>1649</v>
      </c>
      <c r="B305" t="s">
        <v>1572</v>
      </c>
    </row>
    <row r="306" spans="1:2">
      <c r="A306" t="s">
        <v>1218</v>
      </c>
      <c r="B306" t="s">
        <v>1572</v>
      </c>
    </row>
    <row r="307" spans="1:2">
      <c r="A307" s="5" t="s">
        <v>1092</v>
      </c>
      <c r="B307" t="s">
        <v>1572</v>
      </c>
    </row>
    <row r="308" spans="1:2">
      <c r="A308" t="s">
        <v>1162</v>
      </c>
      <c r="B308" t="s">
        <v>1572</v>
      </c>
    </row>
    <row r="309" spans="1:2">
      <c r="A309" t="s">
        <v>932</v>
      </c>
      <c r="B309" t="s">
        <v>1572</v>
      </c>
    </row>
    <row r="310" spans="1:2">
      <c r="A310" t="s">
        <v>949</v>
      </c>
      <c r="B310" t="s">
        <v>1572</v>
      </c>
    </row>
    <row r="311" spans="1:2">
      <c r="A311" t="s">
        <v>1650</v>
      </c>
      <c r="B311" t="s">
        <v>1572</v>
      </c>
    </row>
    <row r="312" spans="1:2">
      <c r="A312" t="s">
        <v>1223</v>
      </c>
      <c r="B312" t="s">
        <v>1572</v>
      </c>
    </row>
    <row r="313" spans="1:2">
      <c r="A313" t="s">
        <v>1088</v>
      </c>
      <c r="B313" t="s">
        <v>1572</v>
      </c>
    </row>
    <row r="314" spans="1:2">
      <c r="A314" t="s">
        <v>1216</v>
      </c>
      <c r="B314" t="s">
        <v>1572</v>
      </c>
    </row>
    <row r="315" spans="1:2">
      <c r="A315" t="s">
        <v>1135</v>
      </c>
      <c r="B315" t="s">
        <v>1572</v>
      </c>
    </row>
    <row r="316" spans="1:2">
      <c r="A316" t="s">
        <v>1111</v>
      </c>
      <c r="B316" t="s">
        <v>1572</v>
      </c>
    </row>
    <row r="317" spans="1:2">
      <c r="A317" t="s">
        <v>1183</v>
      </c>
      <c r="B317" t="s">
        <v>1572</v>
      </c>
    </row>
    <row r="318" spans="1:2">
      <c r="A318" t="s">
        <v>1119</v>
      </c>
      <c r="B318" t="s">
        <v>1572</v>
      </c>
    </row>
    <row r="319" spans="1:2">
      <c r="A319" t="s">
        <v>1062</v>
      </c>
      <c r="B319" t="s">
        <v>1572</v>
      </c>
    </row>
    <row r="320" spans="1:2">
      <c r="A320" t="s">
        <v>1104</v>
      </c>
      <c r="B320" t="s">
        <v>1572</v>
      </c>
    </row>
    <row r="321" spans="1:2">
      <c r="A321" t="s">
        <v>964</v>
      </c>
      <c r="B321" t="s">
        <v>1572</v>
      </c>
    </row>
    <row r="322" spans="1:2">
      <c r="A322" t="s">
        <v>1240</v>
      </c>
      <c r="B322" t="s">
        <v>1572</v>
      </c>
    </row>
    <row r="323" spans="1:2">
      <c r="A323" t="s">
        <v>1032</v>
      </c>
      <c r="B323" t="s">
        <v>1572</v>
      </c>
    </row>
    <row r="324" spans="1:2">
      <c r="A324" t="s">
        <v>976</v>
      </c>
      <c r="B324" t="s">
        <v>1572</v>
      </c>
    </row>
    <row r="325" spans="1:2">
      <c r="A325" t="s">
        <v>1022</v>
      </c>
      <c r="B325" t="s">
        <v>1572</v>
      </c>
    </row>
    <row r="326" spans="1:2">
      <c r="A326" t="s">
        <v>1107</v>
      </c>
      <c r="B326" t="s">
        <v>1572</v>
      </c>
    </row>
    <row r="327" spans="1:2">
      <c r="A327" t="s">
        <v>1236</v>
      </c>
      <c r="B327" t="s">
        <v>1572</v>
      </c>
    </row>
    <row r="328" spans="1:2">
      <c r="A328" t="s">
        <v>1234</v>
      </c>
      <c r="B328" t="s">
        <v>1572</v>
      </c>
    </row>
    <row r="329" spans="1:2">
      <c r="A329" t="s">
        <v>1651</v>
      </c>
      <c r="B329" t="s">
        <v>1572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2AC53-AB10-45FA-8884-38249F8AB2BF}">
  <dimension ref="A1:AD488"/>
  <sheetViews>
    <sheetView tabSelected="1" topLeftCell="F430" zoomScale="85" zoomScaleNormal="85" workbookViewId="0">
      <selection activeCell="AC439" sqref="AC439"/>
    </sheetView>
  </sheetViews>
  <sheetFormatPr defaultRowHeight="15"/>
  <cols>
    <col min="1" max="25" width="11.85546875" customWidth="1"/>
    <col min="26" max="26" width="12.7109375" customWidth="1"/>
    <col min="27" max="27" width="10.85546875" customWidth="1"/>
    <col min="28" max="29" width="9.140625" customWidth="1"/>
  </cols>
  <sheetData>
    <row r="1" spans="1:27" hidden="1">
      <c r="A1" s="36" t="s">
        <v>5</v>
      </c>
      <c r="B1" s="36" t="s">
        <v>1652</v>
      </c>
      <c r="C1" s="36" t="s">
        <v>1653</v>
      </c>
      <c r="D1" s="36" t="s">
        <v>1654</v>
      </c>
      <c r="E1" s="36" t="s">
        <v>1655</v>
      </c>
      <c r="F1" s="36" t="s">
        <v>1656</v>
      </c>
      <c r="G1" s="36" t="s">
        <v>1657</v>
      </c>
      <c r="H1" s="36" t="s">
        <v>1658</v>
      </c>
      <c r="I1" s="36" t="s">
        <v>1659</v>
      </c>
      <c r="J1" s="36" t="s">
        <v>1660</v>
      </c>
      <c r="K1" s="36" t="s">
        <v>1661</v>
      </c>
      <c r="L1" s="36" t="s">
        <v>1662</v>
      </c>
      <c r="M1" s="36" t="s">
        <v>1663</v>
      </c>
      <c r="N1" s="36" t="s">
        <v>1664</v>
      </c>
      <c r="O1" s="36" t="s">
        <v>1665</v>
      </c>
      <c r="P1" s="36" t="s">
        <v>1666</v>
      </c>
      <c r="Q1" s="36" t="s">
        <v>1667</v>
      </c>
      <c r="R1" s="36" t="s">
        <v>1668</v>
      </c>
      <c r="S1" s="36" t="s">
        <v>1669</v>
      </c>
      <c r="T1" s="36" t="s">
        <v>1670</v>
      </c>
      <c r="U1" s="36" t="s">
        <v>1671</v>
      </c>
      <c r="V1" s="36" t="s">
        <v>1672</v>
      </c>
      <c r="W1" s="36" t="s">
        <v>1673</v>
      </c>
      <c r="X1" s="36" t="s">
        <v>1674</v>
      </c>
      <c r="Y1" s="36" t="s">
        <v>1675</v>
      </c>
      <c r="Z1" s="36" t="s">
        <v>1676</v>
      </c>
      <c r="AA1" s="36" t="s">
        <v>1677</v>
      </c>
    </row>
    <row r="2" spans="1:27" hidden="1">
      <c r="A2" s="37" t="s">
        <v>735</v>
      </c>
      <c r="B2" s="37">
        <v>3591</v>
      </c>
      <c r="C2" s="37">
        <v>5033</v>
      </c>
      <c r="D2" s="37">
        <v>3472</v>
      </c>
      <c r="E2" s="37">
        <v>6534</v>
      </c>
      <c r="F2" s="37">
        <v>5480</v>
      </c>
      <c r="G2" s="37">
        <v>4553</v>
      </c>
      <c r="H2" s="37">
        <v>15646</v>
      </c>
      <c r="I2" s="37">
        <v>5423</v>
      </c>
      <c r="J2" s="37">
        <v>4135</v>
      </c>
      <c r="K2">
        <v>3762</v>
      </c>
      <c r="L2">
        <v>3361</v>
      </c>
      <c r="M2">
        <v>2925</v>
      </c>
      <c r="N2">
        <v>5767</v>
      </c>
      <c r="O2">
        <v>830</v>
      </c>
      <c r="P2">
        <v>949</v>
      </c>
      <c r="Q2">
        <v>615</v>
      </c>
      <c r="R2">
        <v>1182</v>
      </c>
      <c r="S2">
        <v>1059</v>
      </c>
      <c r="T2">
        <v>868</v>
      </c>
      <c r="U2">
        <v>1282</v>
      </c>
      <c r="V2">
        <v>1003</v>
      </c>
      <c r="W2">
        <v>775</v>
      </c>
      <c r="X2">
        <v>791</v>
      </c>
      <c r="Y2">
        <v>762</v>
      </c>
      <c r="Z2">
        <v>607</v>
      </c>
      <c r="AA2">
        <v>836</v>
      </c>
    </row>
    <row r="3" spans="1:27" hidden="1">
      <c r="A3" s="37" t="s">
        <v>15</v>
      </c>
      <c r="B3" s="37">
        <v>1487</v>
      </c>
      <c r="C3" s="37">
        <v>1490</v>
      </c>
      <c r="D3" s="37">
        <v>1213</v>
      </c>
      <c r="E3" s="37">
        <v>1477</v>
      </c>
      <c r="F3" s="37">
        <v>1181</v>
      </c>
      <c r="G3" s="37">
        <v>1914</v>
      </c>
      <c r="H3" s="37">
        <v>1610</v>
      </c>
      <c r="I3" s="37">
        <v>1971</v>
      </c>
      <c r="J3" s="37">
        <v>3959</v>
      </c>
      <c r="K3">
        <v>1873</v>
      </c>
      <c r="L3">
        <v>556</v>
      </c>
      <c r="M3">
        <v>3789</v>
      </c>
      <c r="N3">
        <v>7411</v>
      </c>
      <c r="O3">
        <v>368</v>
      </c>
      <c r="P3">
        <v>393</v>
      </c>
      <c r="Q3">
        <v>316</v>
      </c>
      <c r="R3">
        <v>369</v>
      </c>
      <c r="S3">
        <v>352</v>
      </c>
      <c r="T3">
        <v>508</v>
      </c>
      <c r="U3">
        <v>475</v>
      </c>
      <c r="V3">
        <v>519</v>
      </c>
      <c r="W3">
        <v>1081</v>
      </c>
      <c r="X3">
        <v>483</v>
      </c>
      <c r="Y3">
        <v>156</v>
      </c>
      <c r="Z3">
        <v>1067</v>
      </c>
      <c r="AA3">
        <v>1424</v>
      </c>
    </row>
    <row r="4" spans="1:27" hidden="1">
      <c r="A4" s="37" t="s">
        <v>888</v>
      </c>
      <c r="B4" s="37">
        <v>16658</v>
      </c>
      <c r="C4" s="37">
        <v>30899</v>
      </c>
      <c r="D4" s="37">
        <v>78885</v>
      </c>
      <c r="E4" s="37">
        <v>85527</v>
      </c>
      <c r="F4" s="37">
        <v>47308</v>
      </c>
      <c r="G4" s="37">
        <v>81411</v>
      </c>
      <c r="H4" s="37">
        <v>35571</v>
      </c>
      <c r="I4" s="37">
        <v>48721</v>
      </c>
      <c r="J4" s="37">
        <v>25564</v>
      </c>
      <c r="K4">
        <v>23851</v>
      </c>
      <c r="L4">
        <v>39817</v>
      </c>
      <c r="M4">
        <v>14538</v>
      </c>
      <c r="N4">
        <v>54946</v>
      </c>
      <c r="O4">
        <v>3336</v>
      </c>
      <c r="P4">
        <v>5787</v>
      </c>
      <c r="Q4">
        <v>12299</v>
      </c>
      <c r="R4">
        <v>11391</v>
      </c>
      <c r="S4">
        <v>8342</v>
      </c>
      <c r="T4">
        <v>14734</v>
      </c>
      <c r="U4">
        <v>7820</v>
      </c>
      <c r="V4">
        <v>11514</v>
      </c>
      <c r="W4">
        <v>6245</v>
      </c>
      <c r="X4">
        <v>6054</v>
      </c>
      <c r="Y4">
        <v>10104</v>
      </c>
      <c r="Z4">
        <v>4521</v>
      </c>
      <c r="AA4">
        <v>10395</v>
      </c>
    </row>
    <row r="5" spans="1:27" hidden="1">
      <c r="A5" s="37" t="s">
        <v>978</v>
      </c>
      <c r="B5" s="37">
        <v>1398</v>
      </c>
      <c r="C5" s="37">
        <v>1450</v>
      </c>
      <c r="D5" s="37">
        <v>1595</v>
      </c>
      <c r="E5" s="37">
        <v>1135</v>
      </c>
      <c r="F5" s="37">
        <v>997</v>
      </c>
      <c r="G5" s="37">
        <v>1326</v>
      </c>
      <c r="H5" s="37">
        <v>1041</v>
      </c>
      <c r="I5" s="37">
        <v>798</v>
      </c>
      <c r="J5" s="37">
        <v>627</v>
      </c>
      <c r="K5">
        <v>744</v>
      </c>
      <c r="L5">
        <v>533</v>
      </c>
      <c r="M5">
        <v>695</v>
      </c>
      <c r="N5">
        <v>1260</v>
      </c>
      <c r="O5">
        <v>273</v>
      </c>
      <c r="P5">
        <v>281</v>
      </c>
      <c r="Q5">
        <v>271</v>
      </c>
      <c r="R5">
        <v>250</v>
      </c>
      <c r="S5">
        <v>231</v>
      </c>
      <c r="T5">
        <v>274</v>
      </c>
      <c r="U5">
        <v>238</v>
      </c>
      <c r="V5">
        <v>252</v>
      </c>
      <c r="W5">
        <v>168</v>
      </c>
      <c r="X5">
        <v>283</v>
      </c>
      <c r="Y5">
        <v>170</v>
      </c>
      <c r="Z5">
        <v>162</v>
      </c>
      <c r="AA5">
        <v>272</v>
      </c>
    </row>
    <row r="6" spans="1:27" hidden="1">
      <c r="A6" s="37" t="s">
        <v>31</v>
      </c>
      <c r="B6" s="37">
        <v>3844</v>
      </c>
      <c r="C6" s="37">
        <v>4014</v>
      </c>
      <c r="D6" s="37">
        <v>4538</v>
      </c>
      <c r="E6" s="37">
        <v>5254</v>
      </c>
      <c r="F6" s="37">
        <v>4263</v>
      </c>
      <c r="G6" s="37">
        <v>2871</v>
      </c>
      <c r="H6" s="37">
        <v>5344</v>
      </c>
      <c r="I6" s="37">
        <v>3059</v>
      </c>
      <c r="J6" s="37">
        <v>3399</v>
      </c>
      <c r="K6">
        <v>3929</v>
      </c>
      <c r="L6">
        <v>4007</v>
      </c>
      <c r="M6">
        <v>4426</v>
      </c>
      <c r="N6">
        <v>4126</v>
      </c>
      <c r="O6">
        <v>967</v>
      </c>
      <c r="P6">
        <v>1074</v>
      </c>
      <c r="Q6">
        <v>966</v>
      </c>
      <c r="R6">
        <v>1242</v>
      </c>
      <c r="S6">
        <v>1147</v>
      </c>
      <c r="T6">
        <v>881</v>
      </c>
      <c r="U6">
        <v>878</v>
      </c>
      <c r="V6">
        <v>833</v>
      </c>
      <c r="W6">
        <v>864</v>
      </c>
      <c r="X6">
        <v>995</v>
      </c>
      <c r="Y6">
        <v>1181</v>
      </c>
      <c r="Z6">
        <v>1259</v>
      </c>
      <c r="AA6">
        <v>1148</v>
      </c>
    </row>
    <row r="7" spans="1:27" hidden="1">
      <c r="A7" s="37" t="s">
        <v>211</v>
      </c>
      <c r="B7" s="37">
        <v>5966</v>
      </c>
      <c r="C7" s="37">
        <v>5536</v>
      </c>
      <c r="D7" s="37">
        <v>4172</v>
      </c>
      <c r="E7" s="37">
        <v>4356</v>
      </c>
      <c r="F7" s="37">
        <v>3592</v>
      </c>
      <c r="G7" s="37">
        <v>3729</v>
      </c>
      <c r="H7" s="37">
        <v>4120</v>
      </c>
      <c r="I7" s="37">
        <v>3692</v>
      </c>
      <c r="J7" s="37">
        <v>4656</v>
      </c>
      <c r="K7">
        <v>4414</v>
      </c>
      <c r="L7">
        <v>4545</v>
      </c>
      <c r="M7">
        <v>4562</v>
      </c>
      <c r="N7">
        <v>4126</v>
      </c>
      <c r="O7">
        <v>1085</v>
      </c>
      <c r="P7">
        <v>973</v>
      </c>
      <c r="Q7">
        <v>761</v>
      </c>
      <c r="R7">
        <v>844</v>
      </c>
      <c r="S7">
        <v>776</v>
      </c>
      <c r="T7">
        <v>736</v>
      </c>
      <c r="U7">
        <v>760</v>
      </c>
      <c r="V7">
        <v>886</v>
      </c>
      <c r="W7">
        <v>993</v>
      </c>
      <c r="X7">
        <v>938</v>
      </c>
      <c r="Y7">
        <v>1001</v>
      </c>
      <c r="Z7">
        <v>987</v>
      </c>
      <c r="AA7">
        <v>926</v>
      </c>
    </row>
    <row r="8" spans="1:27" hidden="1">
      <c r="A8" s="37" t="s">
        <v>407</v>
      </c>
      <c r="B8" s="37">
        <v>1688</v>
      </c>
      <c r="C8" s="37">
        <v>1592</v>
      </c>
      <c r="D8" s="37">
        <v>1521</v>
      </c>
      <c r="E8" s="37">
        <v>1648</v>
      </c>
      <c r="F8" s="37">
        <v>1746</v>
      </c>
      <c r="G8" s="37">
        <v>1535</v>
      </c>
      <c r="H8" s="37">
        <v>1551</v>
      </c>
      <c r="I8" s="37">
        <v>1971</v>
      </c>
      <c r="J8" s="37">
        <v>2343</v>
      </c>
      <c r="K8">
        <v>2362</v>
      </c>
      <c r="L8">
        <v>1558</v>
      </c>
      <c r="M8">
        <v>1189</v>
      </c>
      <c r="N8">
        <v>4102</v>
      </c>
      <c r="O8">
        <v>348</v>
      </c>
      <c r="P8">
        <v>338</v>
      </c>
      <c r="Q8">
        <v>372</v>
      </c>
      <c r="R8">
        <v>366</v>
      </c>
      <c r="S8">
        <v>403</v>
      </c>
      <c r="T8">
        <v>328</v>
      </c>
      <c r="U8">
        <v>379</v>
      </c>
      <c r="V8">
        <v>466</v>
      </c>
      <c r="W8">
        <v>504</v>
      </c>
      <c r="X8">
        <v>536</v>
      </c>
      <c r="Y8">
        <v>430</v>
      </c>
      <c r="Z8">
        <v>296</v>
      </c>
      <c r="AA8">
        <v>553</v>
      </c>
    </row>
    <row r="9" spans="1:27" hidden="1">
      <c r="A9" s="37" t="s">
        <v>771</v>
      </c>
      <c r="B9" s="37">
        <v>2241</v>
      </c>
      <c r="C9" s="37">
        <v>2869</v>
      </c>
      <c r="D9" s="37">
        <v>2475</v>
      </c>
      <c r="E9" s="37">
        <v>2346</v>
      </c>
      <c r="F9" s="37">
        <v>2356</v>
      </c>
      <c r="G9" s="37">
        <v>2232</v>
      </c>
      <c r="H9" s="37">
        <v>2382</v>
      </c>
      <c r="I9" s="37">
        <v>2655</v>
      </c>
      <c r="J9" s="37">
        <v>2719</v>
      </c>
      <c r="K9">
        <v>3108</v>
      </c>
      <c r="L9">
        <v>2807</v>
      </c>
      <c r="M9">
        <v>2079</v>
      </c>
      <c r="N9">
        <v>4200</v>
      </c>
      <c r="O9">
        <v>822</v>
      </c>
      <c r="P9">
        <v>840</v>
      </c>
      <c r="Q9">
        <v>824</v>
      </c>
      <c r="R9">
        <v>668</v>
      </c>
      <c r="S9">
        <v>697</v>
      </c>
      <c r="T9">
        <v>695</v>
      </c>
      <c r="U9">
        <v>718</v>
      </c>
      <c r="V9">
        <v>757</v>
      </c>
      <c r="W9">
        <v>905</v>
      </c>
      <c r="X9">
        <v>998</v>
      </c>
      <c r="Y9">
        <v>1037</v>
      </c>
      <c r="Z9">
        <v>703</v>
      </c>
      <c r="AA9">
        <v>1185</v>
      </c>
    </row>
    <row r="10" spans="1:27" hidden="1">
      <c r="A10" s="37" t="s">
        <v>858</v>
      </c>
      <c r="B10" s="37">
        <v>4923</v>
      </c>
      <c r="C10" s="37">
        <v>5641</v>
      </c>
      <c r="D10" s="37">
        <v>4456</v>
      </c>
      <c r="E10" s="37">
        <v>4936</v>
      </c>
      <c r="F10" s="37">
        <v>5716</v>
      </c>
      <c r="G10" s="37">
        <v>6278</v>
      </c>
      <c r="H10" s="37">
        <v>5569</v>
      </c>
      <c r="I10" s="37">
        <v>5685</v>
      </c>
      <c r="J10" s="37">
        <v>5959</v>
      </c>
      <c r="K10">
        <v>6071</v>
      </c>
      <c r="L10">
        <v>5255</v>
      </c>
      <c r="M10">
        <v>4349</v>
      </c>
      <c r="N10">
        <v>6278</v>
      </c>
      <c r="O10">
        <v>1253</v>
      </c>
      <c r="P10">
        <v>1437</v>
      </c>
      <c r="Q10">
        <v>1191</v>
      </c>
      <c r="R10">
        <v>1364</v>
      </c>
      <c r="S10">
        <v>1635</v>
      </c>
      <c r="T10">
        <v>1572</v>
      </c>
      <c r="U10">
        <v>1379</v>
      </c>
      <c r="V10">
        <v>1532</v>
      </c>
      <c r="W10">
        <v>1602</v>
      </c>
      <c r="X10">
        <v>1650</v>
      </c>
      <c r="Y10">
        <v>1712</v>
      </c>
      <c r="Z10">
        <v>1309</v>
      </c>
      <c r="AA10">
        <v>1843</v>
      </c>
    </row>
    <row r="11" spans="1:27" hidden="1">
      <c r="A11" s="37" t="s">
        <v>725</v>
      </c>
      <c r="B11" s="37">
        <v>861</v>
      </c>
      <c r="C11" s="37">
        <v>747</v>
      </c>
      <c r="D11" s="37">
        <v>763</v>
      </c>
      <c r="E11" s="37">
        <v>879</v>
      </c>
      <c r="F11" s="37">
        <v>857</v>
      </c>
      <c r="G11" s="37">
        <v>797</v>
      </c>
      <c r="H11" s="37">
        <v>772</v>
      </c>
      <c r="I11" s="37">
        <v>826</v>
      </c>
      <c r="J11" s="37">
        <v>821</v>
      </c>
      <c r="K11">
        <v>798</v>
      </c>
      <c r="L11">
        <v>649</v>
      </c>
      <c r="M11">
        <v>650</v>
      </c>
      <c r="N11">
        <v>1190</v>
      </c>
      <c r="O11">
        <v>171</v>
      </c>
      <c r="P11">
        <v>137</v>
      </c>
      <c r="Q11">
        <v>126</v>
      </c>
      <c r="R11">
        <v>178</v>
      </c>
      <c r="S11">
        <v>171</v>
      </c>
      <c r="T11">
        <v>179</v>
      </c>
      <c r="U11">
        <v>173</v>
      </c>
      <c r="V11">
        <v>174</v>
      </c>
      <c r="W11">
        <v>205</v>
      </c>
      <c r="X11">
        <v>189</v>
      </c>
      <c r="Y11">
        <v>180</v>
      </c>
      <c r="Z11">
        <v>152</v>
      </c>
      <c r="AA11">
        <v>228</v>
      </c>
    </row>
    <row r="12" spans="1:27" hidden="1">
      <c r="A12" s="37" t="s">
        <v>1189</v>
      </c>
      <c r="B12" s="37">
        <v>4756</v>
      </c>
      <c r="C12" s="37">
        <v>4401</v>
      </c>
      <c r="D12" s="37">
        <v>3375</v>
      </c>
      <c r="E12" s="37">
        <v>2711</v>
      </c>
      <c r="F12" s="37">
        <v>2154</v>
      </c>
      <c r="G12" s="37">
        <v>2492</v>
      </c>
      <c r="H12" s="37">
        <v>2441</v>
      </c>
      <c r="I12" s="37">
        <v>2387</v>
      </c>
      <c r="J12" s="37">
        <v>2192</v>
      </c>
      <c r="K12">
        <v>5826</v>
      </c>
      <c r="L12">
        <v>1778</v>
      </c>
      <c r="M12">
        <v>2728</v>
      </c>
      <c r="N12">
        <v>3129</v>
      </c>
      <c r="O12">
        <v>1284</v>
      </c>
      <c r="P12">
        <v>1113</v>
      </c>
      <c r="Q12">
        <v>889</v>
      </c>
      <c r="R12">
        <v>656</v>
      </c>
      <c r="S12">
        <v>730</v>
      </c>
      <c r="T12">
        <v>754</v>
      </c>
      <c r="U12">
        <v>744</v>
      </c>
      <c r="V12">
        <v>764</v>
      </c>
      <c r="W12">
        <v>748</v>
      </c>
      <c r="X12">
        <v>1657</v>
      </c>
      <c r="Y12">
        <v>615</v>
      </c>
      <c r="Z12">
        <v>808</v>
      </c>
      <c r="AA12">
        <v>909</v>
      </c>
    </row>
    <row r="13" spans="1:27" hidden="1">
      <c r="A13" s="37" t="s">
        <v>1030</v>
      </c>
      <c r="B13" s="37">
        <v>532</v>
      </c>
      <c r="C13" s="37">
        <v>765</v>
      </c>
      <c r="D13" s="37">
        <v>1661</v>
      </c>
      <c r="E13" s="37">
        <v>674</v>
      </c>
      <c r="F13" s="37">
        <v>684</v>
      </c>
      <c r="G13" s="37">
        <v>1793</v>
      </c>
      <c r="H13" s="37">
        <v>963</v>
      </c>
      <c r="I13" s="37">
        <v>922</v>
      </c>
      <c r="J13" s="37">
        <v>637</v>
      </c>
      <c r="K13">
        <v>525</v>
      </c>
      <c r="L13">
        <v>470</v>
      </c>
      <c r="M13">
        <v>483</v>
      </c>
      <c r="N13">
        <v>494</v>
      </c>
      <c r="O13">
        <v>129</v>
      </c>
      <c r="P13">
        <v>168</v>
      </c>
      <c r="Q13">
        <v>265</v>
      </c>
      <c r="R13">
        <v>169</v>
      </c>
      <c r="S13">
        <v>145</v>
      </c>
      <c r="T13">
        <v>303</v>
      </c>
      <c r="U13">
        <v>216</v>
      </c>
      <c r="V13">
        <v>240</v>
      </c>
      <c r="W13">
        <v>174</v>
      </c>
      <c r="X13">
        <v>192</v>
      </c>
      <c r="Y13">
        <v>153</v>
      </c>
      <c r="Z13">
        <v>152</v>
      </c>
      <c r="AA13">
        <v>143</v>
      </c>
    </row>
    <row r="14" spans="1:27" hidden="1">
      <c r="A14" s="37" t="s">
        <v>187</v>
      </c>
      <c r="B14" s="37">
        <v>1912</v>
      </c>
      <c r="C14" s="37">
        <v>1956</v>
      </c>
      <c r="D14" s="37">
        <v>1740</v>
      </c>
      <c r="E14" s="37">
        <v>1413</v>
      </c>
      <c r="F14" s="37">
        <v>1833</v>
      </c>
      <c r="G14" s="37">
        <v>2677</v>
      </c>
      <c r="H14" s="37">
        <v>2190</v>
      </c>
      <c r="I14" s="37">
        <v>2027</v>
      </c>
      <c r="J14" s="37">
        <v>1633</v>
      </c>
      <c r="K14">
        <v>1832</v>
      </c>
      <c r="L14">
        <v>1435</v>
      </c>
      <c r="M14">
        <v>1408</v>
      </c>
      <c r="N14">
        <v>1776</v>
      </c>
      <c r="O14">
        <v>304</v>
      </c>
      <c r="P14">
        <v>366</v>
      </c>
      <c r="Q14">
        <v>351</v>
      </c>
      <c r="R14">
        <v>345</v>
      </c>
      <c r="S14">
        <v>462</v>
      </c>
      <c r="T14">
        <v>590</v>
      </c>
      <c r="U14">
        <v>553</v>
      </c>
      <c r="V14">
        <v>572</v>
      </c>
      <c r="W14">
        <v>459</v>
      </c>
      <c r="X14">
        <v>453</v>
      </c>
      <c r="Y14">
        <v>421</v>
      </c>
      <c r="Z14">
        <v>396</v>
      </c>
      <c r="AA14">
        <v>518</v>
      </c>
    </row>
    <row r="15" spans="1:27" hidden="1">
      <c r="A15" s="37" t="s">
        <v>161</v>
      </c>
      <c r="B15" s="37">
        <v>1255</v>
      </c>
      <c r="C15" s="37">
        <v>1309</v>
      </c>
      <c r="D15" s="37">
        <v>1188</v>
      </c>
      <c r="E15" s="37">
        <v>1177</v>
      </c>
      <c r="F15" s="37">
        <v>969</v>
      </c>
      <c r="G15" s="37">
        <v>930</v>
      </c>
      <c r="H15" s="37">
        <v>983</v>
      </c>
      <c r="I15" s="37">
        <v>1126</v>
      </c>
      <c r="J15" s="37">
        <v>1079</v>
      </c>
      <c r="K15">
        <v>1054</v>
      </c>
      <c r="L15">
        <v>1015</v>
      </c>
      <c r="M15">
        <v>906</v>
      </c>
      <c r="N15">
        <v>1289</v>
      </c>
      <c r="O15">
        <v>201</v>
      </c>
      <c r="P15">
        <v>168</v>
      </c>
      <c r="Q15">
        <v>212</v>
      </c>
      <c r="R15">
        <v>230</v>
      </c>
      <c r="S15">
        <v>223</v>
      </c>
      <c r="T15">
        <v>261</v>
      </c>
      <c r="U15">
        <v>188</v>
      </c>
      <c r="V15">
        <v>247</v>
      </c>
      <c r="W15">
        <v>263</v>
      </c>
      <c r="X15">
        <v>227</v>
      </c>
      <c r="Y15">
        <v>227</v>
      </c>
      <c r="Z15">
        <v>174</v>
      </c>
      <c r="AA15">
        <v>290</v>
      </c>
    </row>
    <row r="16" spans="1:27" hidden="1">
      <c r="A16" s="37" t="s">
        <v>842</v>
      </c>
      <c r="B16" s="37">
        <v>2626</v>
      </c>
      <c r="C16" s="37">
        <v>3952</v>
      </c>
      <c r="D16" s="37">
        <v>4615</v>
      </c>
      <c r="E16" s="37">
        <v>2880</v>
      </c>
      <c r="F16" s="37">
        <v>2635</v>
      </c>
      <c r="G16" s="37">
        <v>2191</v>
      </c>
      <c r="H16" s="37">
        <v>2469</v>
      </c>
      <c r="I16" s="37">
        <v>2406</v>
      </c>
      <c r="J16" s="37">
        <v>2429</v>
      </c>
      <c r="K16">
        <v>2214</v>
      </c>
      <c r="L16">
        <v>2115</v>
      </c>
      <c r="M16">
        <v>2439</v>
      </c>
      <c r="N16">
        <v>3954</v>
      </c>
      <c r="O16">
        <v>568</v>
      </c>
      <c r="P16">
        <v>843</v>
      </c>
      <c r="Q16">
        <v>962</v>
      </c>
      <c r="R16">
        <v>740</v>
      </c>
      <c r="S16">
        <v>734</v>
      </c>
      <c r="T16">
        <v>678</v>
      </c>
      <c r="U16">
        <v>625</v>
      </c>
      <c r="V16">
        <v>683</v>
      </c>
      <c r="W16">
        <v>742</v>
      </c>
      <c r="X16">
        <v>685</v>
      </c>
      <c r="Y16">
        <v>663</v>
      </c>
      <c r="Z16">
        <v>623</v>
      </c>
      <c r="AA16">
        <v>984</v>
      </c>
    </row>
    <row r="17" spans="1:27" hidden="1">
      <c r="A17" s="37" t="s">
        <v>283</v>
      </c>
      <c r="B17" s="37">
        <v>2251</v>
      </c>
      <c r="C17" s="37">
        <v>1981</v>
      </c>
      <c r="D17" s="37">
        <v>2209</v>
      </c>
      <c r="E17" s="37">
        <v>1972</v>
      </c>
      <c r="F17" s="37">
        <v>2037</v>
      </c>
      <c r="G17" s="37">
        <v>1574</v>
      </c>
      <c r="H17" s="37">
        <v>1888</v>
      </c>
      <c r="I17" s="37">
        <v>1598</v>
      </c>
      <c r="J17" s="37">
        <v>1823</v>
      </c>
      <c r="K17">
        <v>1655</v>
      </c>
      <c r="L17">
        <v>1763</v>
      </c>
      <c r="M17">
        <v>1796</v>
      </c>
      <c r="N17">
        <v>2081</v>
      </c>
      <c r="O17">
        <v>468</v>
      </c>
      <c r="P17">
        <v>440</v>
      </c>
      <c r="Q17">
        <v>411</v>
      </c>
      <c r="R17">
        <v>391</v>
      </c>
      <c r="S17">
        <v>403</v>
      </c>
      <c r="T17">
        <v>297</v>
      </c>
      <c r="U17">
        <v>327</v>
      </c>
      <c r="V17">
        <v>286</v>
      </c>
      <c r="W17">
        <v>353</v>
      </c>
      <c r="X17">
        <v>316</v>
      </c>
      <c r="Y17">
        <v>411</v>
      </c>
      <c r="Z17">
        <v>390</v>
      </c>
      <c r="AA17">
        <v>494</v>
      </c>
    </row>
    <row r="18" spans="1:27" hidden="1">
      <c r="A18" s="37" t="s">
        <v>689</v>
      </c>
      <c r="B18" s="37">
        <v>2912</v>
      </c>
      <c r="C18" s="37">
        <v>3613</v>
      </c>
      <c r="D18" s="37">
        <v>3895</v>
      </c>
      <c r="E18" s="37">
        <v>3361</v>
      </c>
      <c r="F18" s="37">
        <v>2176</v>
      </c>
      <c r="G18" s="37">
        <v>2473</v>
      </c>
      <c r="H18" s="37">
        <v>1708</v>
      </c>
      <c r="I18" s="37">
        <v>1921</v>
      </c>
      <c r="J18" s="37">
        <v>2401</v>
      </c>
      <c r="K18">
        <v>1834</v>
      </c>
      <c r="L18">
        <v>1629</v>
      </c>
      <c r="M18">
        <v>1433</v>
      </c>
      <c r="N18">
        <v>1702</v>
      </c>
      <c r="O18">
        <v>681</v>
      </c>
      <c r="P18">
        <v>842</v>
      </c>
      <c r="Q18">
        <v>1179</v>
      </c>
      <c r="R18">
        <v>984</v>
      </c>
      <c r="S18">
        <v>676</v>
      </c>
      <c r="T18">
        <v>707</v>
      </c>
      <c r="U18">
        <v>580</v>
      </c>
      <c r="V18">
        <v>624</v>
      </c>
      <c r="W18">
        <v>764</v>
      </c>
      <c r="X18">
        <v>664</v>
      </c>
      <c r="Y18">
        <v>605</v>
      </c>
      <c r="Z18">
        <v>520</v>
      </c>
      <c r="AA18">
        <v>599</v>
      </c>
    </row>
    <row r="19" spans="1:27" hidden="1">
      <c r="A19" s="37" t="s">
        <v>265</v>
      </c>
      <c r="B19" s="37">
        <v>0</v>
      </c>
      <c r="C19" s="37">
        <v>1748</v>
      </c>
      <c r="D19" s="37">
        <v>1392</v>
      </c>
      <c r="E19" s="37">
        <v>1702</v>
      </c>
      <c r="F19" s="37">
        <v>1694</v>
      </c>
      <c r="G19" s="37">
        <v>1549</v>
      </c>
      <c r="H19" s="37">
        <v>1385</v>
      </c>
      <c r="I19" s="37">
        <v>893</v>
      </c>
      <c r="J19" s="37">
        <v>1336</v>
      </c>
      <c r="K19">
        <v>1120</v>
      </c>
      <c r="L19">
        <v>1198</v>
      </c>
      <c r="M19">
        <v>1005</v>
      </c>
      <c r="N19">
        <v>1435</v>
      </c>
      <c r="O19">
        <v>0</v>
      </c>
      <c r="P19">
        <v>287</v>
      </c>
      <c r="Q19">
        <v>199</v>
      </c>
      <c r="R19">
        <v>228</v>
      </c>
      <c r="S19">
        <v>225</v>
      </c>
      <c r="T19">
        <v>203</v>
      </c>
      <c r="U19">
        <v>218</v>
      </c>
      <c r="V19">
        <v>202</v>
      </c>
      <c r="W19">
        <v>274</v>
      </c>
      <c r="X19">
        <v>235</v>
      </c>
      <c r="Y19">
        <v>206</v>
      </c>
      <c r="Z19">
        <v>197</v>
      </c>
      <c r="AA19">
        <v>274</v>
      </c>
    </row>
    <row r="20" spans="1:27" hidden="1">
      <c r="A20" s="37" t="s">
        <v>393</v>
      </c>
      <c r="B20" s="37">
        <v>1166</v>
      </c>
      <c r="C20" s="37">
        <v>1365</v>
      </c>
      <c r="D20" s="37">
        <v>1305</v>
      </c>
      <c r="E20" s="37">
        <v>1369</v>
      </c>
      <c r="F20" s="37">
        <v>1204</v>
      </c>
      <c r="G20" s="37">
        <v>1479</v>
      </c>
      <c r="H20" s="37">
        <v>2276</v>
      </c>
      <c r="I20" s="37">
        <v>2413</v>
      </c>
      <c r="J20" s="37">
        <v>2415</v>
      </c>
      <c r="K20">
        <v>1982</v>
      </c>
      <c r="L20">
        <v>1332</v>
      </c>
      <c r="M20">
        <v>1273</v>
      </c>
      <c r="N20">
        <v>1332</v>
      </c>
      <c r="O20">
        <v>191</v>
      </c>
      <c r="P20">
        <v>245</v>
      </c>
      <c r="Q20">
        <v>282</v>
      </c>
      <c r="R20">
        <v>280</v>
      </c>
      <c r="S20">
        <v>242</v>
      </c>
      <c r="T20">
        <v>289</v>
      </c>
      <c r="U20">
        <v>294</v>
      </c>
      <c r="V20">
        <v>321</v>
      </c>
      <c r="W20">
        <v>314</v>
      </c>
      <c r="X20">
        <v>255</v>
      </c>
      <c r="Y20">
        <v>225</v>
      </c>
      <c r="Z20">
        <v>186</v>
      </c>
      <c r="AA20">
        <v>238</v>
      </c>
    </row>
    <row r="21" spans="1:27" hidden="1">
      <c r="A21" s="37" t="s">
        <v>782</v>
      </c>
      <c r="B21" s="37">
        <v>0</v>
      </c>
      <c r="C21" s="37">
        <v>2043</v>
      </c>
      <c r="D21" s="37">
        <v>2010</v>
      </c>
      <c r="E21" s="37">
        <v>1973</v>
      </c>
      <c r="F21" s="37">
        <v>1304</v>
      </c>
      <c r="G21" s="37">
        <v>1219</v>
      </c>
      <c r="H21" s="37">
        <v>1175</v>
      </c>
      <c r="I21" s="37">
        <v>1201</v>
      </c>
      <c r="J21" s="37">
        <v>1105</v>
      </c>
      <c r="K21">
        <v>1069</v>
      </c>
      <c r="L21">
        <v>983</v>
      </c>
      <c r="M21">
        <v>992</v>
      </c>
      <c r="N21">
        <v>1228</v>
      </c>
      <c r="O21">
        <v>0</v>
      </c>
      <c r="P21">
        <v>795</v>
      </c>
      <c r="Q21">
        <v>769</v>
      </c>
      <c r="R21">
        <v>713</v>
      </c>
      <c r="S21">
        <v>483</v>
      </c>
      <c r="T21">
        <v>508</v>
      </c>
      <c r="U21">
        <v>479</v>
      </c>
      <c r="V21">
        <v>509</v>
      </c>
      <c r="W21">
        <v>484</v>
      </c>
      <c r="X21">
        <v>452</v>
      </c>
      <c r="Y21">
        <v>435</v>
      </c>
      <c r="Z21">
        <v>440</v>
      </c>
      <c r="AA21">
        <v>520</v>
      </c>
    </row>
    <row r="22" spans="1:27" hidden="1">
      <c r="A22" s="37" t="s">
        <v>1135</v>
      </c>
      <c r="B22" s="37">
        <v>805</v>
      </c>
      <c r="C22" s="37">
        <v>2222</v>
      </c>
      <c r="D22" s="37">
        <v>770</v>
      </c>
      <c r="E22" s="37">
        <v>1022</v>
      </c>
      <c r="F22" s="37">
        <v>847</v>
      </c>
      <c r="G22" s="37">
        <v>1065</v>
      </c>
      <c r="H22" s="37">
        <v>741</v>
      </c>
      <c r="I22" s="37">
        <v>957</v>
      </c>
      <c r="J22" s="37">
        <v>661</v>
      </c>
      <c r="K22">
        <v>1346</v>
      </c>
      <c r="L22">
        <v>643</v>
      </c>
      <c r="M22">
        <v>930</v>
      </c>
      <c r="N22">
        <v>1036</v>
      </c>
      <c r="O22">
        <v>135</v>
      </c>
      <c r="P22">
        <v>356</v>
      </c>
      <c r="Q22">
        <v>156</v>
      </c>
      <c r="R22">
        <v>237</v>
      </c>
      <c r="S22">
        <v>210</v>
      </c>
      <c r="T22">
        <v>292</v>
      </c>
      <c r="U22">
        <v>163</v>
      </c>
      <c r="V22">
        <v>266</v>
      </c>
      <c r="W22">
        <v>193</v>
      </c>
      <c r="X22">
        <v>328</v>
      </c>
      <c r="Y22">
        <v>224</v>
      </c>
      <c r="Z22">
        <v>274</v>
      </c>
      <c r="AA22">
        <v>298</v>
      </c>
    </row>
    <row r="23" spans="1:27" hidden="1">
      <c r="A23" s="37" t="s">
        <v>345</v>
      </c>
      <c r="B23" s="37">
        <v>2837</v>
      </c>
      <c r="C23" s="37">
        <v>3008</v>
      </c>
      <c r="D23" s="37">
        <v>3196</v>
      </c>
      <c r="E23" s="37">
        <v>8455</v>
      </c>
      <c r="F23" s="37">
        <v>7979</v>
      </c>
      <c r="G23" s="37">
        <v>10916</v>
      </c>
      <c r="H23" s="37">
        <v>6931</v>
      </c>
      <c r="I23" s="37">
        <v>7015</v>
      </c>
      <c r="J23" s="37">
        <v>5966</v>
      </c>
      <c r="K23">
        <v>4340</v>
      </c>
      <c r="L23">
        <v>7601</v>
      </c>
      <c r="M23">
        <v>9082</v>
      </c>
      <c r="N23">
        <v>8055</v>
      </c>
      <c r="O23">
        <v>393</v>
      </c>
      <c r="P23">
        <v>400</v>
      </c>
      <c r="Q23">
        <v>425</v>
      </c>
      <c r="R23">
        <v>1142</v>
      </c>
      <c r="S23">
        <v>957</v>
      </c>
      <c r="T23">
        <v>1323</v>
      </c>
      <c r="U23">
        <v>976</v>
      </c>
      <c r="V23">
        <v>1388</v>
      </c>
      <c r="W23">
        <v>892</v>
      </c>
      <c r="X23">
        <v>694</v>
      </c>
      <c r="Y23">
        <v>1372</v>
      </c>
      <c r="Z23">
        <v>1378</v>
      </c>
      <c r="AA23">
        <v>1573</v>
      </c>
    </row>
    <row r="24" spans="1:27" hidden="1">
      <c r="A24" s="37" t="s">
        <v>175</v>
      </c>
      <c r="B24" s="37">
        <v>1158</v>
      </c>
      <c r="C24" s="37">
        <v>1375</v>
      </c>
      <c r="D24" s="37">
        <v>622</v>
      </c>
      <c r="E24" s="37">
        <v>552</v>
      </c>
      <c r="F24" s="37">
        <v>735</v>
      </c>
      <c r="G24" s="37">
        <v>710</v>
      </c>
      <c r="H24" s="37">
        <v>805</v>
      </c>
      <c r="I24" s="37">
        <v>937</v>
      </c>
      <c r="J24" s="37">
        <v>1084</v>
      </c>
      <c r="K24">
        <v>746</v>
      </c>
      <c r="L24">
        <v>566</v>
      </c>
      <c r="M24">
        <v>528</v>
      </c>
      <c r="N24">
        <v>887</v>
      </c>
      <c r="O24">
        <v>54</v>
      </c>
      <c r="P24">
        <v>110</v>
      </c>
      <c r="Q24">
        <v>113</v>
      </c>
      <c r="R24">
        <v>81</v>
      </c>
      <c r="S24">
        <v>103</v>
      </c>
      <c r="T24">
        <v>126</v>
      </c>
      <c r="U24">
        <v>153</v>
      </c>
      <c r="V24">
        <v>216</v>
      </c>
      <c r="W24">
        <v>230</v>
      </c>
      <c r="X24">
        <v>141</v>
      </c>
      <c r="Y24">
        <v>111</v>
      </c>
      <c r="Z24">
        <v>89</v>
      </c>
      <c r="AA24">
        <v>182</v>
      </c>
    </row>
    <row r="25" spans="1:27" hidden="1">
      <c r="A25" s="37" t="s">
        <v>641</v>
      </c>
      <c r="B25" s="37">
        <v>1208</v>
      </c>
      <c r="C25" s="37">
        <v>1250</v>
      </c>
      <c r="D25" s="37">
        <v>871</v>
      </c>
      <c r="E25" s="37">
        <v>821</v>
      </c>
      <c r="F25" s="37">
        <v>689</v>
      </c>
      <c r="G25" s="37">
        <v>638</v>
      </c>
      <c r="H25" s="37">
        <v>695</v>
      </c>
      <c r="I25" s="37">
        <v>1739</v>
      </c>
      <c r="J25" s="37">
        <v>849</v>
      </c>
      <c r="K25">
        <v>938</v>
      </c>
      <c r="L25">
        <v>850</v>
      </c>
      <c r="M25">
        <v>913</v>
      </c>
      <c r="N25">
        <v>1214</v>
      </c>
      <c r="O25">
        <v>325</v>
      </c>
      <c r="P25">
        <v>361</v>
      </c>
      <c r="Q25">
        <v>290</v>
      </c>
      <c r="R25">
        <v>277</v>
      </c>
      <c r="S25">
        <v>274</v>
      </c>
      <c r="T25">
        <v>252</v>
      </c>
      <c r="U25">
        <v>291</v>
      </c>
      <c r="V25">
        <v>611</v>
      </c>
      <c r="W25">
        <v>332</v>
      </c>
      <c r="X25">
        <v>382</v>
      </c>
      <c r="Y25">
        <v>427</v>
      </c>
      <c r="Z25">
        <v>361</v>
      </c>
      <c r="AA25">
        <v>487</v>
      </c>
    </row>
    <row r="26" spans="1:27" hidden="1">
      <c r="A26" s="37" t="s">
        <v>307</v>
      </c>
      <c r="B26" s="37">
        <v>1350</v>
      </c>
      <c r="C26" s="37">
        <v>1572</v>
      </c>
      <c r="D26" s="37">
        <v>1531</v>
      </c>
      <c r="E26" s="37">
        <v>1099</v>
      </c>
      <c r="F26" s="37">
        <v>993</v>
      </c>
      <c r="G26" s="37">
        <v>953</v>
      </c>
      <c r="H26" s="37">
        <v>1321</v>
      </c>
      <c r="I26" s="37">
        <v>1159</v>
      </c>
      <c r="J26" s="37">
        <v>1280</v>
      </c>
      <c r="K26">
        <v>1374</v>
      </c>
      <c r="L26">
        <v>952</v>
      </c>
      <c r="M26">
        <v>1057</v>
      </c>
      <c r="N26">
        <v>1414</v>
      </c>
      <c r="O26">
        <v>184</v>
      </c>
      <c r="P26">
        <v>212</v>
      </c>
      <c r="Q26">
        <v>218</v>
      </c>
      <c r="R26">
        <v>166</v>
      </c>
      <c r="S26">
        <v>146</v>
      </c>
      <c r="T26">
        <v>129</v>
      </c>
      <c r="U26">
        <v>156</v>
      </c>
      <c r="V26">
        <v>159</v>
      </c>
      <c r="W26">
        <v>162</v>
      </c>
      <c r="X26">
        <v>200</v>
      </c>
      <c r="Y26">
        <v>166</v>
      </c>
      <c r="Z26">
        <v>220</v>
      </c>
      <c r="AA26">
        <v>235</v>
      </c>
    </row>
    <row r="27" spans="1:27" hidden="1">
      <c r="A27" s="37" t="s">
        <v>311</v>
      </c>
      <c r="B27" s="37">
        <v>665</v>
      </c>
      <c r="C27" s="37">
        <v>685</v>
      </c>
      <c r="D27" s="37">
        <v>512</v>
      </c>
      <c r="E27" s="37">
        <v>531</v>
      </c>
      <c r="F27" s="37">
        <v>543</v>
      </c>
      <c r="G27" s="37">
        <v>726</v>
      </c>
      <c r="H27" s="37">
        <v>571</v>
      </c>
      <c r="I27" s="37">
        <v>593</v>
      </c>
      <c r="J27" s="37">
        <v>602</v>
      </c>
      <c r="K27">
        <v>563</v>
      </c>
      <c r="L27">
        <v>564</v>
      </c>
      <c r="M27">
        <v>541</v>
      </c>
      <c r="N27">
        <v>685</v>
      </c>
      <c r="O27">
        <v>149</v>
      </c>
      <c r="P27">
        <v>135</v>
      </c>
      <c r="Q27">
        <v>100</v>
      </c>
      <c r="R27">
        <v>154</v>
      </c>
      <c r="S27">
        <v>168</v>
      </c>
      <c r="T27">
        <v>212</v>
      </c>
      <c r="U27">
        <v>154</v>
      </c>
      <c r="V27">
        <v>188</v>
      </c>
      <c r="W27">
        <v>209</v>
      </c>
      <c r="X27">
        <v>206</v>
      </c>
      <c r="Y27">
        <v>211</v>
      </c>
      <c r="Z27">
        <v>178</v>
      </c>
      <c r="AA27">
        <v>237</v>
      </c>
    </row>
    <row r="28" spans="1:27" hidden="1">
      <c r="A28" s="37" t="s">
        <v>653</v>
      </c>
      <c r="B28" s="37">
        <v>1234</v>
      </c>
      <c r="C28" s="37">
        <v>1378</v>
      </c>
      <c r="D28" s="37">
        <v>1315</v>
      </c>
      <c r="E28" s="37">
        <v>1069</v>
      </c>
      <c r="F28" s="37">
        <v>963</v>
      </c>
      <c r="G28" s="37">
        <v>1037</v>
      </c>
      <c r="H28" s="37">
        <v>872</v>
      </c>
      <c r="I28" s="37">
        <v>952</v>
      </c>
      <c r="J28" s="37">
        <v>1143</v>
      </c>
      <c r="K28">
        <v>1047</v>
      </c>
      <c r="L28">
        <v>862</v>
      </c>
      <c r="M28">
        <v>920</v>
      </c>
      <c r="N28">
        <v>1554</v>
      </c>
      <c r="O28">
        <v>454</v>
      </c>
      <c r="P28">
        <v>495</v>
      </c>
      <c r="Q28">
        <v>444</v>
      </c>
      <c r="R28">
        <v>424</v>
      </c>
      <c r="S28">
        <v>398</v>
      </c>
      <c r="T28">
        <v>416</v>
      </c>
      <c r="U28">
        <v>313</v>
      </c>
      <c r="V28">
        <v>402</v>
      </c>
      <c r="W28">
        <v>430</v>
      </c>
      <c r="X28">
        <v>374</v>
      </c>
      <c r="Y28">
        <v>348</v>
      </c>
      <c r="Z28">
        <v>395</v>
      </c>
      <c r="AA28">
        <v>594</v>
      </c>
    </row>
    <row r="29" spans="1:27" hidden="1">
      <c r="A29" s="37" t="s">
        <v>880</v>
      </c>
      <c r="B29" s="37">
        <v>2643</v>
      </c>
      <c r="C29" s="37">
        <v>2194</v>
      </c>
      <c r="D29" s="37">
        <v>2460</v>
      </c>
      <c r="E29" s="37">
        <v>3131</v>
      </c>
      <c r="F29" s="37">
        <v>5169</v>
      </c>
      <c r="G29" s="37">
        <v>5311</v>
      </c>
      <c r="H29" s="37">
        <v>4351</v>
      </c>
      <c r="I29" s="37">
        <v>3748</v>
      </c>
      <c r="J29" s="37">
        <v>3306</v>
      </c>
      <c r="K29">
        <v>3286</v>
      </c>
      <c r="L29">
        <v>2361</v>
      </c>
      <c r="M29">
        <v>2038</v>
      </c>
      <c r="N29">
        <v>3435</v>
      </c>
      <c r="O29">
        <v>711</v>
      </c>
      <c r="P29">
        <v>586</v>
      </c>
      <c r="Q29">
        <v>659</v>
      </c>
      <c r="R29">
        <v>902</v>
      </c>
      <c r="S29">
        <v>1232</v>
      </c>
      <c r="T29">
        <v>1377</v>
      </c>
      <c r="U29">
        <v>1016</v>
      </c>
      <c r="V29">
        <v>1019</v>
      </c>
      <c r="W29">
        <v>854</v>
      </c>
      <c r="X29">
        <v>955</v>
      </c>
      <c r="Y29">
        <v>705</v>
      </c>
      <c r="Z29">
        <v>572</v>
      </c>
      <c r="AA29">
        <v>946</v>
      </c>
    </row>
    <row r="30" spans="1:27" hidden="1">
      <c r="A30" s="37" t="s">
        <v>665</v>
      </c>
      <c r="B30" s="37">
        <v>1291</v>
      </c>
      <c r="C30" s="37">
        <v>1246</v>
      </c>
      <c r="D30" s="37">
        <v>1323</v>
      </c>
      <c r="E30" s="37">
        <v>1384</v>
      </c>
      <c r="F30" s="37">
        <v>2896</v>
      </c>
      <c r="G30" s="37">
        <v>3091</v>
      </c>
      <c r="H30" s="37">
        <v>1801</v>
      </c>
      <c r="I30" s="37">
        <v>1312</v>
      </c>
      <c r="J30" s="37">
        <v>1316</v>
      </c>
      <c r="K30">
        <v>1231</v>
      </c>
      <c r="L30">
        <v>1033</v>
      </c>
      <c r="M30">
        <v>878</v>
      </c>
      <c r="N30">
        <v>1263</v>
      </c>
      <c r="O30">
        <v>128</v>
      </c>
      <c r="P30">
        <v>337</v>
      </c>
      <c r="Q30">
        <v>295</v>
      </c>
      <c r="R30">
        <v>320</v>
      </c>
      <c r="S30">
        <v>520</v>
      </c>
      <c r="T30">
        <v>495</v>
      </c>
      <c r="U30">
        <v>369</v>
      </c>
      <c r="V30">
        <v>309</v>
      </c>
      <c r="W30">
        <v>344</v>
      </c>
      <c r="X30">
        <v>306</v>
      </c>
      <c r="Y30">
        <v>274</v>
      </c>
      <c r="Z30">
        <v>224</v>
      </c>
      <c r="AA30">
        <v>343</v>
      </c>
    </row>
    <row r="31" spans="1:27" hidden="1">
      <c r="A31" s="37" t="s">
        <v>199</v>
      </c>
      <c r="B31" s="37">
        <v>1802</v>
      </c>
      <c r="C31" s="37">
        <v>2266</v>
      </c>
      <c r="D31" s="37">
        <v>2188</v>
      </c>
      <c r="E31" s="37">
        <v>2260</v>
      </c>
      <c r="F31" s="37">
        <v>1855</v>
      </c>
      <c r="G31" s="37">
        <v>1756</v>
      </c>
      <c r="H31" s="37">
        <v>1896</v>
      </c>
      <c r="I31" s="37">
        <v>1935</v>
      </c>
      <c r="J31" s="37">
        <v>2329</v>
      </c>
      <c r="K31">
        <v>3193</v>
      </c>
      <c r="L31">
        <v>2270</v>
      </c>
      <c r="M31">
        <v>1891</v>
      </c>
      <c r="N31">
        <v>2542</v>
      </c>
      <c r="O31">
        <v>112</v>
      </c>
      <c r="P31">
        <v>322</v>
      </c>
      <c r="Q31">
        <v>424</v>
      </c>
      <c r="R31">
        <v>422</v>
      </c>
      <c r="S31">
        <v>346</v>
      </c>
      <c r="T31">
        <v>313</v>
      </c>
      <c r="U31">
        <v>348</v>
      </c>
      <c r="V31">
        <v>323</v>
      </c>
      <c r="W31">
        <v>411</v>
      </c>
      <c r="X31">
        <v>635</v>
      </c>
      <c r="Y31">
        <v>454</v>
      </c>
      <c r="Z31">
        <v>365</v>
      </c>
      <c r="AA31">
        <v>540</v>
      </c>
    </row>
    <row r="32" spans="1:27" hidden="1">
      <c r="A32" s="37" t="s">
        <v>327</v>
      </c>
      <c r="B32" s="37">
        <v>1697</v>
      </c>
      <c r="C32" s="37">
        <v>1662</v>
      </c>
      <c r="D32" s="37">
        <v>1362</v>
      </c>
      <c r="E32" s="37">
        <v>1046</v>
      </c>
      <c r="F32" s="37">
        <v>973</v>
      </c>
      <c r="G32" s="37">
        <v>1027</v>
      </c>
      <c r="H32" s="37">
        <v>1129</v>
      </c>
      <c r="I32" s="37">
        <v>893</v>
      </c>
      <c r="J32" s="37">
        <v>844</v>
      </c>
      <c r="K32">
        <v>759</v>
      </c>
      <c r="L32">
        <v>683</v>
      </c>
      <c r="M32">
        <v>552</v>
      </c>
      <c r="N32">
        <v>750</v>
      </c>
      <c r="O32">
        <v>377</v>
      </c>
      <c r="P32">
        <v>343</v>
      </c>
      <c r="Q32">
        <v>338</v>
      </c>
      <c r="R32">
        <v>274</v>
      </c>
      <c r="S32">
        <v>237</v>
      </c>
      <c r="T32">
        <v>236</v>
      </c>
      <c r="U32">
        <v>268</v>
      </c>
      <c r="V32">
        <v>203</v>
      </c>
      <c r="W32">
        <v>211</v>
      </c>
      <c r="X32">
        <v>204</v>
      </c>
      <c r="Y32">
        <v>192</v>
      </c>
      <c r="Z32">
        <v>164</v>
      </c>
      <c r="AA32">
        <v>204</v>
      </c>
    </row>
    <row r="33" spans="1:27" hidden="1">
      <c r="A33" s="37" t="s">
        <v>477</v>
      </c>
      <c r="B33" s="37">
        <v>2049</v>
      </c>
      <c r="C33" s="37">
        <v>2090</v>
      </c>
      <c r="D33" s="37">
        <v>1579</v>
      </c>
      <c r="E33" s="37">
        <v>1696</v>
      </c>
      <c r="F33" s="37">
        <v>1568</v>
      </c>
      <c r="G33" s="37">
        <v>1921</v>
      </c>
      <c r="H33" s="37">
        <v>1701</v>
      </c>
      <c r="I33" s="37">
        <v>1734</v>
      </c>
      <c r="J33" s="37">
        <v>1785</v>
      </c>
      <c r="K33">
        <v>1672</v>
      </c>
      <c r="L33">
        <v>1332</v>
      </c>
      <c r="M33">
        <v>1412</v>
      </c>
      <c r="N33">
        <v>1775</v>
      </c>
      <c r="O33">
        <v>391</v>
      </c>
      <c r="P33">
        <v>425</v>
      </c>
      <c r="Q33">
        <v>424</v>
      </c>
      <c r="R33">
        <v>371</v>
      </c>
      <c r="S33">
        <v>364</v>
      </c>
      <c r="T33">
        <v>421</v>
      </c>
      <c r="U33">
        <v>412</v>
      </c>
      <c r="V33">
        <v>413</v>
      </c>
      <c r="W33">
        <v>432</v>
      </c>
      <c r="X33">
        <v>398</v>
      </c>
      <c r="Y33">
        <v>340</v>
      </c>
      <c r="Z33">
        <v>338</v>
      </c>
      <c r="AA33">
        <v>371</v>
      </c>
    </row>
    <row r="34" spans="1:27" hidden="1">
      <c r="A34" s="37" t="s">
        <v>357</v>
      </c>
      <c r="B34" s="37">
        <v>0</v>
      </c>
      <c r="C34" s="37">
        <v>0</v>
      </c>
      <c r="D34" s="37">
        <v>0</v>
      </c>
      <c r="E34" s="37">
        <v>0</v>
      </c>
      <c r="F34" s="37">
        <v>0</v>
      </c>
      <c r="G34" s="37">
        <v>0</v>
      </c>
      <c r="H34" s="37">
        <v>0</v>
      </c>
      <c r="I34" s="37">
        <v>0</v>
      </c>
      <c r="J34" s="37">
        <v>825</v>
      </c>
      <c r="K34">
        <v>820</v>
      </c>
      <c r="L34">
        <v>1364</v>
      </c>
      <c r="M34">
        <v>677</v>
      </c>
      <c r="N34">
        <v>514</v>
      </c>
      <c r="O34">
        <v>0</v>
      </c>
      <c r="P34">
        <v>0</v>
      </c>
      <c r="Q34">
        <v>0</v>
      </c>
      <c r="R34">
        <v>0</v>
      </c>
      <c r="S34">
        <v>0</v>
      </c>
      <c r="T34">
        <v>0</v>
      </c>
      <c r="U34">
        <v>0</v>
      </c>
      <c r="V34">
        <v>0</v>
      </c>
      <c r="W34">
        <v>34</v>
      </c>
      <c r="X34">
        <v>202</v>
      </c>
      <c r="Y34">
        <v>493</v>
      </c>
      <c r="Z34">
        <v>45</v>
      </c>
      <c r="AA34">
        <v>141</v>
      </c>
    </row>
    <row r="35" spans="1:27" hidden="1">
      <c r="A35" s="37" t="s">
        <v>679</v>
      </c>
      <c r="B35" s="37">
        <v>1612</v>
      </c>
      <c r="C35" s="37">
        <v>1612</v>
      </c>
      <c r="D35" s="37">
        <v>1268</v>
      </c>
      <c r="E35" s="37">
        <v>1177</v>
      </c>
      <c r="F35" s="37">
        <v>1265</v>
      </c>
      <c r="G35" s="37">
        <v>1237</v>
      </c>
      <c r="H35" s="37">
        <v>1282</v>
      </c>
      <c r="I35" s="37">
        <v>1568</v>
      </c>
      <c r="J35" s="37">
        <v>1412</v>
      </c>
      <c r="K35">
        <v>1492</v>
      </c>
      <c r="L35">
        <v>1521</v>
      </c>
      <c r="M35">
        <v>1456</v>
      </c>
      <c r="N35">
        <v>2046</v>
      </c>
      <c r="O35">
        <v>332</v>
      </c>
      <c r="P35">
        <v>374</v>
      </c>
      <c r="Q35">
        <v>377</v>
      </c>
      <c r="R35">
        <v>351</v>
      </c>
      <c r="S35">
        <v>302</v>
      </c>
      <c r="T35">
        <v>317</v>
      </c>
      <c r="U35">
        <v>308</v>
      </c>
      <c r="V35">
        <v>353</v>
      </c>
      <c r="W35">
        <v>384</v>
      </c>
      <c r="X35">
        <v>405</v>
      </c>
      <c r="Y35">
        <v>403</v>
      </c>
      <c r="Z35">
        <v>363</v>
      </c>
      <c r="AA35">
        <v>482</v>
      </c>
    </row>
    <row r="36" spans="1:27" hidden="1">
      <c r="A36" s="37" t="s">
        <v>309</v>
      </c>
      <c r="B36" s="37">
        <v>1438</v>
      </c>
      <c r="C36" s="37">
        <v>1596</v>
      </c>
      <c r="D36" s="37">
        <v>1534</v>
      </c>
      <c r="E36" s="37">
        <v>1000</v>
      </c>
      <c r="F36" s="37">
        <v>813</v>
      </c>
      <c r="G36" s="37">
        <v>737</v>
      </c>
      <c r="H36" s="37">
        <v>772</v>
      </c>
      <c r="I36" s="37">
        <v>1128</v>
      </c>
      <c r="J36" s="37">
        <v>987</v>
      </c>
      <c r="K36">
        <v>807</v>
      </c>
      <c r="L36">
        <v>912</v>
      </c>
      <c r="M36">
        <v>972</v>
      </c>
      <c r="N36">
        <v>1050</v>
      </c>
      <c r="O36">
        <v>272</v>
      </c>
      <c r="P36">
        <v>327</v>
      </c>
      <c r="Q36">
        <v>237</v>
      </c>
      <c r="R36">
        <v>138</v>
      </c>
      <c r="S36">
        <v>119</v>
      </c>
      <c r="T36">
        <v>95</v>
      </c>
      <c r="U36">
        <v>111</v>
      </c>
      <c r="V36">
        <v>219</v>
      </c>
      <c r="W36">
        <v>156</v>
      </c>
      <c r="X36">
        <v>143</v>
      </c>
      <c r="Y36">
        <v>143</v>
      </c>
      <c r="Z36">
        <v>173</v>
      </c>
      <c r="AA36">
        <v>179</v>
      </c>
    </row>
    <row r="37" spans="1:27" hidden="1">
      <c r="A37" s="37" t="s">
        <v>1096</v>
      </c>
      <c r="B37" s="37">
        <v>1173</v>
      </c>
      <c r="C37" s="37">
        <v>1416</v>
      </c>
      <c r="D37" s="37">
        <v>1415</v>
      </c>
      <c r="E37" s="37">
        <v>1937</v>
      </c>
      <c r="F37" s="37">
        <v>1513</v>
      </c>
      <c r="G37" s="37">
        <v>1190</v>
      </c>
      <c r="H37" s="37">
        <v>1096</v>
      </c>
      <c r="I37" s="37">
        <v>1043</v>
      </c>
      <c r="J37" s="37">
        <v>1008</v>
      </c>
      <c r="K37">
        <v>997</v>
      </c>
      <c r="L37">
        <v>831</v>
      </c>
      <c r="M37">
        <v>782</v>
      </c>
      <c r="N37">
        <v>1235</v>
      </c>
      <c r="O37">
        <v>508</v>
      </c>
      <c r="P37">
        <v>615</v>
      </c>
      <c r="Q37">
        <v>723</v>
      </c>
      <c r="R37">
        <v>929</v>
      </c>
      <c r="S37">
        <v>694</v>
      </c>
      <c r="T37">
        <v>571</v>
      </c>
      <c r="U37">
        <v>578</v>
      </c>
      <c r="V37">
        <v>556</v>
      </c>
      <c r="W37">
        <v>571</v>
      </c>
      <c r="X37">
        <v>519</v>
      </c>
      <c r="Y37">
        <v>487</v>
      </c>
      <c r="Z37">
        <v>443</v>
      </c>
      <c r="AA37">
        <v>672</v>
      </c>
    </row>
    <row r="38" spans="1:27" hidden="1">
      <c r="A38" s="37" t="s">
        <v>930</v>
      </c>
      <c r="B38" s="37">
        <v>520</v>
      </c>
      <c r="C38" s="37">
        <v>584</v>
      </c>
      <c r="D38" s="37">
        <v>493</v>
      </c>
      <c r="E38" s="37">
        <v>425</v>
      </c>
      <c r="F38" s="37">
        <v>379</v>
      </c>
      <c r="G38" s="37">
        <v>478</v>
      </c>
      <c r="H38" s="37">
        <v>501</v>
      </c>
      <c r="I38" s="37">
        <v>487</v>
      </c>
      <c r="J38" s="37">
        <v>540</v>
      </c>
      <c r="K38">
        <v>402</v>
      </c>
      <c r="L38">
        <v>381</v>
      </c>
      <c r="M38">
        <v>402</v>
      </c>
      <c r="N38">
        <v>534</v>
      </c>
      <c r="O38">
        <v>111</v>
      </c>
      <c r="P38">
        <v>166</v>
      </c>
      <c r="Q38">
        <v>127</v>
      </c>
      <c r="R38">
        <v>138</v>
      </c>
      <c r="S38">
        <v>137</v>
      </c>
      <c r="T38">
        <v>168</v>
      </c>
      <c r="U38">
        <v>208</v>
      </c>
      <c r="V38">
        <v>200</v>
      </c>
      <c r="W38">
        <v>198</v>
      </c>
      <c r="X38">
        <v>206</v>
      </c>
      <c r="Y38">
        <v>186</v>
      </c>
      <c r="Z38">
        <v>158</v>
      </c>
      <c r="AA38">
        <v>265</v>
      </c>
    </row>
    <row r="39" spans="1:27" hidden="1">
      <c r="A39" s="37" t="s">
        <v>691</v>
      </c>
      <c r="B39" s="37">
        <v>3440</v>
      </c>
      <c r="C39" s="37">
        <v>3745</v>
      </c>
      <c r="D39" s="37">
        <v>3270</v>
      </c>
      <c r="E39" s="37">
        <v>2648</v>
      </c>
      <c r="F39" s="37">
        <v>2103</v>
      </c>
      <c r="G39" s="37">
        <v>2343</v>
      </c>
      <c r="H39" s="37">
        <v>3264</v>
      </c>
      <c r="I39" s="37">
        <v>2287</v>
      </c>
      <c r="J39" s="37">
        <v>2689</v>
      </c>
      <c r="K39">
        <v>4401</v>
      </c>
      <c r="L39">
        <v>4969</v>
      </c>
      <c r="M39">
        <v>5817</v>
      </c>
      <c r="N39">
        <v>5630</v>
      </c>
      <c r="O39">
        <v>996</v>
      </c>
      <c r="P39">
        <v>1006</v>
      </c>
      <c r="Q39">
        <v>1006</v>
      </c>
      <c r="R39">
        <v>861</v>
      </c>
      <c r="S39">
        <v>839</v>
      </c>
      <c r="T39">
        <v>752</v>
      </c>
      <c r="U39">
        <v>1064</v>
      </c>
      <c r="V39">
        <v>905</v>
      </c>
      <c r="W39">
        <v>1062</v>
      </c>
      <c r="X39">
        <v>1761</v>
      </c>
      <c r="Y39">
        <v>1931</v>
      </c>
      <c r="Z39">
        <v>2393</v>
      </c>
      <c r="AA39">
        <v>2243</v>
      </c>
    </row>
    <row r="40" spans="1:27" hidden="1">
      <c r="A40" s="37" t="s">
        <v>1078</v>
      </c>
      <c r="B40" s="37">
        <v>520</v>
      </c>
      <c r="C40" s="37">
        <v>405</v>
      </c>
      <c r="D40" s="37">
        <v>397</v>
      </c>
      <c r="E40" s="37">
        <v>425</v>
      </c>
      <c r="F40" s="37">
        <v>312</v>
      </c>
      <c r="G40" s="37">
        <v>227</v>
      </c>
      <c r="H40" s="37">
        <v>265</v>
      </c>
      <c r="I40" s="37">
        <v>201</v>
      </c>
      <c r="J40" s="37">
        <v>246</v>
      </c>
      <c r="K40">
        <v>185</v>
      </c>
      <c r="L40">
        <v>164</v>
      </c>
      <c r="M40">
        <v>187</v>
      </c>
      <c r="N40">
        <v>236</v>
      </c>
      <c r="O40">
        <v>196</v>
      </c>
      <c r="P40">
        <v>143</v>
      </c>
      <c r="Q40">
        <v>172</v>
      </c>
      <c r="R40">
        <v>176</v>
      </c>
      <c r="S40">
        <v>158</v>
      </c>
      <c r="T40">
        <v>116</v>
      </c>
      <c r="U40">
        <v>173</v>
      </c>
      <c r="V40">
        <v>144</v>
      </c>
      <c r="W40">
        <v>126</v>
      </c>
      <c r="X40">
        <v>125</v>
      </c>
      <c r="Y40">
        <v>104</v>
      </c>
      <c r="Z40">
        <v>90</v>
      </c>
      <c r="AA40">
        <v>143</v>
      </c>
    </row>
    <row r="41" spans="1:27" hidden="1">
      <c r="A41" s="37" t="s">
        <v>463</v>
      </c>
      <c r="B41" s="37">
        <v>4037</v>
      </c>
      <c r="C41" s="37">
        <v>3903</v>
      </c>
      <c r="D41" s="37">
        <v>3419</v>
      </c>
      <c r="E41" s="37">
        <v>3701</v>
      </c>
      <c r="F41" s="37">
        <v>2603</v>
      </c>
      <c r="G41" s="37">
        <v>2448</v>
      </c>
      <c r="H41" s="37">
        <v>2013</v>
      </c>
      <c r="I41" s="37">
        <v>1537</v>
      </c>
      <c r="J41" s="37">
        <v>2097</v>
      </c>
      <c r="K41">
        <v>2074</v>
      </c>
      <c r="L41">
        <v>1918</v>
      </c>
      <c r="M41">
        <v>1615</v>
      </c>
      <c r="N41">
        <v>2039</v>
      </c>
      <c r="O41">
        <v>757</v>
      </c>
      <c r="P41">
        <v>749</v>
      </c>
      <c r="Q41">
        <v>666</v>
      </c>
      <c r="R41">
        <v>700</v>
      </c>
      <c r="S41">
        <v>574</v>
      </c>
      <c r="T41">
        <v>551</v>
      </c>
      <c r="U41">
        <v>379</v>
      </c>
      <c r="V41">
        <v>296</v>
      </c>
      <c r="W41">
        <v>536</v>
      </c>
      <c r="X41">
        <v>503</v>
      </c>
      <c r="Y41">
        <v>490</v>
      </c>
      <c r="Z41">
        <v>374</v>
      </c>
      <c r="AA41">
        <v>484</v>
      </c>
    </row>
    <row r="42" spans="1:27" hidden="1">
      <c r="A42" s="37" t="s">
        <v>1170</v>
      </c>
      <c r="B42" s="37">
        <v>2406</v>
      </c>
      <c r="C42" s="37">
        <v>2851</v>
      </c>
      <c r="D42" s="37">
        <v>2786</v>
      </c>
      <c r="E42" s="37">
        <v>2649</v>
      </c>
      <c r="F42" s="37">
        <v>2343</v>
      </c>
      <c r="G42" s="37">
        <v>2072</v>
      </c>
      <c r="H42" s="37">
        <v>1866</v>
      </c>
      <c r="I42" s="37">
        <v>1847</v>
      </c>
      <c r="J42" s="37">
        <v>1790</v>
      </c>
      <c r="K42">
        <v>3299</v>
      </c>
      <c r="L42">
        <v>6309</v>
      </c>
      <c r="M42">
        <v>10864</v>
      </c>
      <c r="N42">
        <v>3244</v>
      </c>
      <c r="O42">
        <v>673</v>
      </c>
      <c r="P42">
        <v>802</v>
      </c>
      <c r="Q42">
        <v>786</v>
      </c>
      <c r="R42">
        <v>852</v>
      </c>
      <c r="S42">
        <v>776</v>
      </c>
      <c r="T42">
        <v>770</v>
      </c>
      <c r="U42">
        <v>701</v>
      </c>
      <c r="V42">
        <v>674</v>
      </c>
      <c r="W42">
        <v>664</v>
      </c>
      <c r="X42">
        <v>886</v>
      </c>
      <c r="Y42">
        <v>1081</v>
      </c>
      <c r="Z42">
        <v>1138</v>
      </c>
      <c r="AA42">
        <v>722</v>
      </c>
    </row>
    <row r="43" spans="1:27" hidden="1">
      <c r="A43" s="37" t="s">
        <v>945</v>
      </c>
      <c r="B43" s="37">
        <v>639</v>
      </c>
      <c r="C43" s="37">
        <v>656</v>
      </c>
      <c r="D43" s="37">
        <v>555</v>
      </c>
      <c r="E43" s="37">
        <v>594</v>
      </c>
      <c r="F43" s="37">
        <v>550</v>
      </c>
      <c r="G43" s="37">
        <v>465</v>
      </c>
      <c r="H43" s="37">
        <v>502</v>
      </c>
      <c r="I43" s="37">
        <v>452</v>
      </c>
      <c r="J43" s="37">
        <v>383</v>
      </c>
      <c r="K43">
        <v>524</v>
      </c>
      <c r="L43">
        <v>338</v>
      </c>
      <c r="M43">
        <v>450</v>
      </c>
      <c r="N43">
        <v>692</v>
      </c>
      <c r="O43">
        <v>169</v>
      </c>
      <c r="P43">
        <v>177</v>
      </c>
      <c r="Q43">
        <v>168</v>
      </c>
      <c r="R43">
        <v>156</v>
      </c>
      <c r="S43">
        <v>200</v>
      </c>
      <c r="T43">
        <v>169</v>
      </c>
      <c r="U43">
        <v>159</v>
      </c>
      <c r="V43">
        <v>145</v>
      </c>
      <c r="W43">
        <v>136</v>
      </c>
      <c r="X43">
        <v>167</v>
      </c>
      <c r="Y43">
        <v>115</v>
      </c>
      <c r="Z43">
        <v>138</v>
      </c>
      <c r="AA43">
        <v>208</v>
      </c>
    </row>
    <row r="44" spans="1:27" hidden="1">
      <c r="A44" s="37" t="s">
        <v>1040</v>
      </c>
      <c r="B44" s="37">
        <v>775</v>
      </c>
      <c r="C44" s="37">
        <v>731</v>
      </c>
      <c r="D44" s="37">
        <v>667</v>
      </c>
      <c r="E44" s="37">
        <v>630</v>
      </c>
      <c r="F44" s="37">
        <v>391</v>
      </c>
      <c r="G44" s="37">
        <v>443</v>
      </c>
      <c r="H44" s="37">
        <v>465</v>
      </c>
      <c r="I44" s="37">
        <v>548</v>
      </c>
      <c r="J44" s="37">
        <v>560</v>
      </c>
      <c r="K44">
        <v>541</v>
      </c>
      <c r="L44">
        <v>589</v>
      </c>
      <c r="M44">
        <v>603</v>
      </c>
      <c r="N44">
        <v>566</v>
      </c>
      <c r="O44">
        <v>225</v>
      </c>
      <c r="P44">
        <v>224</v>
      </c>
      <c r="Q44">
        <v>209</v>
      </c>
      <c r="R44">
        <v>214</v>
      </c>
      <c r="S44">
        <v>176</v>
      </c>
      <c r="T44">
        <v>185</v>
      </c>
      <c r="U44">
        <v>200</v>
      </c>
      <c r="V44">
        <v>235</v>
      </c>
      <c r="W44">
        <v>241</v>
      </c>
      <c r="X44">
        <v>223</v>
      </c>
      <c r="Y44">
        <v>285</v>
      </c>
      <c r="Z44">
        <v>224</v>
      </c>
      <c r="AA44">
        <v>287</v>
      </c>
    </row>
    <row r="45" spans="1:27" hidden="1">
      <c r="A45" s="37" t="s">
        <v>1152</v>
      </c>
      <c r="B45" s="37">
        <v>4597</v>
      </c>
      <c r="C45" s="37">
        <v>4821</v>
      </c>
      <c r="D45" s="37">
        <v>4592</v>
      </c>
      <c r="E45" s="37">
        <v>4863</v>
      </c>
      <c r="F45" s="37">
        <v>4459</v>
      </c>
      <c r="G45" s="37">
        <v>3738</v>
      </c>
      <c r="H45" s="37">
        <v>3250</v>
      </c>
      <c r="I45" s="37">
        <v>2725</v>
      </c>
      <c r="J45" s="37">
        <v>2199</v>
      </c>
      <c r="K45">
        <v>2497</v>
      </c>
      <c r="L45">
        <v>1940</v>
      </c>
      <c r="M45">
        <v>1535</v>
      </c>
      <c r="N45">
        <v>3282</v>
      </c>
      <c r="O45">
        <v>1536</v>
      </c>
      <c r="P45">
        <v>1638</v>
      </c>
      <c r="Q45">
        <v>1453</v>
      </c>
      <c r="R45">
        <v>1554</v>
      </c>
      <c r="S45">
        <v>1586</v>
      </c>
      <c r="T45">
        <v>1383</v>
      </c>
      <c r="U45">
        <v>1299</v>
      </c>
      <c r="V45">
        <v>1201</v>
      </c>
      <c r="W45">
        <v>1103</v>
      </c>
      <c r="X45">
        <v>1139</v>
      </c>
      <c r="Y45">
        <v>1020</v>
      </c>
      <c r="Z45">
        <v>815</v>
      </c>
      <c r="AA45">
        <v>1338</v>
      </c>
    </row>
    <row r="46" spans="1:27" hidden="1">
      <c r="A46" s="37" t="s">
        <v>1068</v>
      </c>
      <c r="B46" s="37">
        <v>1517</v>
      </c>
      <c r="C46" s="37">
        <v>1163</v>
      </c>
      <c r="D46" s="37">
        <v>772</v>
      </c>
      <c r="E46" s="37">
        <v>568</v>
      </c>
      <c r="F46" s="37">
        <v>433</v>
      </c>
      <c r="G46" s="37">
        <v>366</v>
      </c>
      <c r="H46" s="37">
        <v>467</v>
      </c>
      <c r="I46" s="37">
        <v>512</v>
      </c>
      <c r="J46" s="37">
        <v>473</v>
      </c>
      <c r="K46">
        <v>1521</v>
      </c>
      <c r="L46">
        <v>1458</v>
      </c>
      <c r="M46">
        <v>3166</v>
      </c>
      <c r="N46">
        <v>930</v>
      </c>
      <c r="O46">
        <v>248</v>
      </c>
      <c r="P46">
        <v>246</v>
      </c>
      <c r="Q46">
        <v>183</v>
      </c>
      <c r="R46">
        <v>162</v>
      </c>
      <c r="S46">
        <v>145</v>
      </c>
      <c r="T46">
        <v>117</v>
      </c>
      <c r="U46">
        <v>167</v>
      </c>
      <c r="V46">
        <v>182</v>
      </c>
      <c r="W46">
        <v>160</v>
      </c>
      <c r="X46">
        <v>392</v>
      </c>
      <c r="Y46">
        <v>328</v>
      </c>
      <c r="Z46">
        <v>438</v>
      </c>
      <c r="AA46">
        <v>298</v>
      </c>
    </row>
    <row r="47" spans="1:27" hidden="1">
      <c r="A47" s="37" t="s">
        <v>529</v>
      </c>
      <c r="B47" s="37">
        <v>2202</v>
      </c>
      <c r="C47" s="37">
        <v>2261</v>
      </c>
      <c r="D47" s="37">
        <v>2587</v>
      </c>
      <c r="E47" s="37">
        <v>1966</v>
      </c>
      <c r="F47" s="37">
        <v>1833</v>
      </c>
      <c r="G47" s="37">
        <v>1661</v>
      </c>
      <c r="H47" s="37">
        <v>1989</v>
      </c>
      <c r="I47" s="37">
        <v>2059</v>
      </c>
      <c r="J47" s="37">
        <v>2115</v>
      </c>
      <c r="K47">
        <v>1904</v>
      </c>
      <c r="L47">
        <v>2927</v>
      </c>
      <c r="M47">
        <v>2058</v>
      </c>
      <c r="N47">
        <v>2693</v>
      </c>
      <c r="O47">
        <v>375</v>
      </c>
      <c r="P47">
        <v>371</v>
      </c>
      <c r="Q47">
        <v>417</v>
      </c>
      <c r="R47">
        <v>372</v>
      </c>
      <c r="S47">
        <v>413</v>
      </c>
      <c r="T47">
        <v>334</v>
      </c>
      <c r="U47">
        <v>370</v>
      </c>
      <c r="V47">
        <v>412</v>
      </c>
      <c r="W47">
        <v>436</v>
      </c>
      <c r="X47">
        <v>422</v>
      </c>
      <c r="Y47">
        <v>665</v>
      </c>
      <c r="Z47">
        <v>454</v>
      </c>
      <c r="AA47">
        <v>610</v>
      </c>
    </row>
    <row r="48" spans="1:27" hidden="1">
      <c r="A48" s="37" t="s">
        <v>611</v>
      </c>
      <c r="B48" s="37">
        <v>1165</v>
      </c>
      <c r="C48" s="37">
        <v>1108</v>
      </c>
      <c r="D48" s="37">
        <v>2964</v>
      </c>
      <c r="E48" s="37">
        <v>8</v>
      </c>
      <c r="F48" s="37">
        <v>0</v>
      </c>
      <c r="G48" s="37">
        <v>626</v>
      </c>
      <c r="H48" s="37">
        <v>1040</v>
      </c>
      <c r="I48" s="37">
        <v>1161</v>
      </c>
      <c r="J48" s="37">
        <v>1011</v>
      </c>
      <c r="K48">
        <v>943</v>
      </c>
      <c r="L48">
        <v>618</v>
      </c>
      <c r="M48">
        <v>631</v>
      </c>
      <c r="N48">
        <v>782</v>
      </c>
      <c r="O48">
        <v>202</v>
      </c>
      <c r="P48">
        <v>180</v>
      </c>
      <c r="Q48">
        <v>610</v>
      </c>
      <c r="R48">
        <v>1</v>
      </c>
      <c r="S48">
        <v>0</v>
      </c>
      <c r="T48">
        <v>85</v>
      </c>
      <c r="U48">
        <v>240</v>
      </c>
      <c r="V48">
        <v>226</v>
      </c>
      <c r="W48">
        <v>214</v>
      </c>
      <c r="X48">
        <v>176</v>
      </c>
      <c r="Y48">
        <v>105</v>
      </c>
      <c r="Z48">
        <v>149</v>
      </c>
      <c r="AA48">
        <v>156</v>
      </c>
    </row>
    <row r="49" spans="1:27" hidden="1">
      <c r="A49" s="37" t="s">
        <v>908</v>
      </c>
      <c r="B49" s="37">
        <v>789</v>
      </c>
      <c r="C49" s="37">
        <v>638</v>
      </c>
      <c r="D49" s="37">
        <v>560</v>
      </c>
      <c r="E49" s="37">
        <v>595</v>
      </c>
      <c r="F49" s="37">
        <v>668</v>
      </c>
      <c r="G49" s="37">
        <v>611</v>
      </c>
      <c r="H49" s="37">
        <v>761</v>
      </c>
      <c r="I49" s="37">
        <v>780</v>
      </c>
      <c r="J49" s="37">
        <v>653</v>
      </c>
      <c r="K49">
        <v>783</v>
      </c>
      <c r="L49">
        <v>937</v>
      </c>
      <c r="M49">
        <v>780</v>
      </c>
      <c r="N49">
        <v>968</v>
      </c>
      <c r="O49">
        <v>275</v>
      </c>
      <c r="P49">
        <v>276</v>
      </c>
      <c r="Q49">
        <v>276</v>
      </c>
      <c r="R49">
        <v>278</v>
      </c>
      <c r="S49">
        <v>308</v>
      </c>
      <c r="T49">
        <v>290</v>
      </c>
      <c r="U49">
        <v>378</v>
      </c>
      <c r="V49">
        <v>367</v>
      </c>
      <c r="W49">
        <v>315</v>
      </c>
      <c r="X49">
        <v>403</v>
      </c>
      <c r="Y49">
        <v>498</v>
      </c>
      <c r="Z49">
        <v>410</v>
      </c>
      <c r="AA49">
        <v>531</v>
      </c>
    </row>
    <row r="50" spans="1:27" hidden="1">
      <c r="A50" s="37" t="s">
        <v>1014</v>
      </c>
      <c r="B50" s="37">
        <v>598</v>
      </c>
      <c r="C50" s="37">
        <v>376</v>
      </c>
      <c r="D50" s="37">
        <v>314</v>
      </c>
      <c r="E50" s="37">
        <v>285</v>
      </c>
      <c r="F50" s="37">
        <v>298</v>
      </c>
      <c r="G50" s="37">
        <v>282</v>
      </c>
      <c r="H50" s="37">
        <v>327</v>
      </c>
      <c r="I50" s="37">
        <v>376</v>
      </c>
      <c r="J50" s="37">
        <v>344</v>
      </c>
      <c r="K50">
        <v>251</v>
      </c>
      <c r="L50">
        <v>288</v>
      </c>
      <c r="M50">
        <v>269</v>
      </c>
      <c r="N50">
        <v>411</v>
      </c>
      <c r="O50">
        <v>210</v>
      </c>
      <c r="P50">
        <v>147</v>
      </c>
      <c r="Q50">
        <v>148</v>
      </c>
      <c r="R50">
        <v>123</v>
      </c>
      <c r="S50">
        <v>135</v>
      </c>
      <c r="T50">
        <v>114</v>
      </c>
      <c r="U50">
        <v>137</v>
      </c>
      <c r="V50">
        <v>182</v>
      </c>
      <c r="W50">
        <v>167</v>
      </c>
      <c r="X50">
        <v>139</v>
      </c>
      <c r="Y50">
        <v>132</v>
      </c>
      <c r="Z50">
        <v>114</v>
      </c>
      <c r="AA50">
        <v>159</v>
      </c>
    </row>
    <row r="51" spans="1:27" hidden="1">
      <c r="A51" s="37" t="s">
        <v>147</v>
      </c>
      <c r="B51" s="37">
        <v>3107</v>
      </c>
      <c r="C51" s="37">
        <v>2997</v>
      </c>
      <c r="D51" s="37">
        <v>6966</v>
      </c>
      <c r="E51" s="37">
        <v>2340</v>
      </c>
      <c r="F51" s="37">
        <v>1935</v>
      </c>
      <c r="G51" s="37">
        <v>2093</v>
      </c>
      <c r="H51" s="37">
        <v>1135</v>
      </c>
      <c r="I51" s="37">
        <v>2075</v>
      </c>
      <c r="J51" s="37">
        <v>1715</v>
      </c>
      <c r="K51">
        <v>1716</v>
      </c>
      <c r="L51">
        <v>1560</v>
      </c>
      <c r="M51">
        <v>1419</v>
      </c>
      <c r="N51">
        <v>3552</v>
      </c>
      <c r="O51">
        <v>652</v>
      </c>
      <c r="P51">
        <v>615</v>
      </c>
      <c r="Q51">
        <v>927</v>
      </c>
      <c r="R51">
        <v>594</v>
      </c>
      <c r="S51">
        <v>559</v>
      </c>
      <c r="T51">
        <v>531</v>
      </c>
      <c r="U51">
        <v>307</v>
      </c>
      <c r="V51">
        <v>516</v>
      </c>
      <c r="W51">
        <v>434</v>
      </c>
      <c r="X51">
        <v>504</v>
      </c>
      <c r="Y51">
        <v>420</v>
      </c>
      <c r="Z51">
        <v>369</v>
      </c>
      <c r="AA51">
        <v>813</v>
      </c>
    </row>
    <row r="52" spans="1:27" hidden="1">
      <c r="A52" s="37" t="s">
        <v>435</v>
      </c>
      <c r="B52" s="37">
        <v>1714</v>
      </c>
      <c r="C52" s="37">
        <v>1951</v>
      </c>
      <c r="D52" s="37">
        <v>1431</v>
      </c>
      <c r="E52" s="37">
        <v>1568</v>
      </c>
      <c r="F52" s="37">
        <v>1278</v>
      </c>
      <c r="G52" s="37">
        <v>880</v>
      </c>
      <c r="H52" s="37">
        <v>971</v>
      </c>
      <c r="I52" s="37">
        <v>712</v>
      </c>
      <c r="J52" s="37">
        <v>1022</v>
      </c>
      <c r="K52">
        <v>904</v>
      </c>
      <c r="L52">
        <v>845</v>
      </c>
      <c r="M52">
        <v>764</v>
      </c>
      <c r="N52">
        <v>962</v>
      </c>
      <c r="O52">
        <v>290</v>
      </c>
      <c r="P52">
        <v>329</v>
      </c>
      <c r="Q52">
        <v>287</v>
      </c>
      <c r="R52">
        <v>267</v>
      </c>
      <c r="S52">
        <v>216</v>
      </c>
      <c r="T52">
        <v>192</v>
      </c>
      <c r="U52">
        <v>240</v>
      </c>
      <c r="V52">
        <v>217</v>
      </c>
      <c r="W52">
        <v>204</v>
      </c>
      <c r="X52">
        <v>234</v>
      </c>
      <c r="Y52">
        <v>239</v>
      </c>
      <c r="Z52">
        <v>213</v>
      </c>
      <c r="AA52">
        <v>274</v>
      </c>
    </row>
    <row r="53" spans="1:27" hidden="1">
      <c r="A53" s="37" t="s">
        <v>753</v>
      </c>
      <c r="B53" s="37">
        <v>0</v>
      </c>
      <c r="C53" s="37">
        <v>0</v>
      </c>
      <c r="D53" s="37">
        <v>0</v>
      </c>
      <c r="E53" s="37">
        <v>0</v>
      </c>
      <c r="F53" s="37">
        <v>1346</v>
      </c>
      <c r="G53" s="37">
        <v>1294</v>
      </c>
      <c r="H53" s="37">
        <v>1208</v>
      </c>
      <c r="I53" s="37">
        <v>1210</v>
      </c>
      <c r="J53" s="37">
        <v>1161</v>
      </c>
      <c r="K53">
        <v>1136</v>
      </c>
      <c r="L53">
        <v>1060</v>
      </c>
      <c r="M53">
        <v>912</v>
      </c>
      <c r="N53">
        <v>1478</v>
      </c>
      <c r="O53">
        <v>0</v>
      </c>
      <c r="P53">
        <v>0</v>
      </c>
      <c r="Q53">
        <v>0</v>
      </c>
      <c r="R53">
        <v>0</v>
      </c>
      <c r="S53">
        <v>389</v>
      </c>
      <c r="T53">
        <v>384</v>
      </c>
      <c r="U53">
        <v>323</v>
      </c>
      <c r="V53">
        <v>350</v>
      </c>
      <c r="W53">
        <v>336</v>
      </c>
      <c r="X53">
        <v>331</v>
      </c>
      <c r="Y53">
        <v>309</v>
      </c>
      <c r="Z53">
        <v>267</v>
      </c>
      <c r="AA53">
        <v>409</v>
      </c>
    </row>
    <row r="54" spans="1:27" hidden="1">
      <c r="A54" s="37" t="s">
        <v>389</v>
      </c>
      <c r="B54" s="37">
        <v>1713</v>
      </c>
      <c r="C54" s="37">
        <v>2945</v>
      </c>
      <c r="D54" s="37">
        <v>4035</v>
      </c>
      <c r="E54" s="37">
        <v>1162</v>
      </c>
      <c r="F54" s="37">
        <v>888</v>
      </c>
      <c r="G54" s="37">
        <v>964</v>
      </c>
      <c r="H54" s="37">
        <v>928</v>
      </c>
      <c r="I54" s="37">
        <v>975</v>
      </c>
      <c r="J54" s="37">
        <v>957</v>
      </c>
      <c r="K54">
        <v>893</v>
      </c>
      <c r="L54">
        <v>838</v>
      </c>
      <c r="M54">
        <v>850</v>
      </c>
      <c r="N54">
        <v>1169</v>
      </c>
      <c r="O54">
        <v>321</v>
      </c>
      <c r="P54">
        <v>480</v>
      </c>
      <c r="Q54">
        <v>520</v>
      </c>
      <c r="R54">
        <v>342</v>
      </c>
      <c r="S54">
        <v>289</v>
      </c>
      <c r="T54">
        <v>244</v>
      </c>
      <c r="U54">
        <v>235</v>
      </c>
      <c r="V54">
        <v>308</v>
      </c>
      <c r="W54">
        <v>285</v>
      </c>
      <c r="X54">
        <v>268</v>
      </c>
      <c r="Y54">
        <v>233</v>
      </c>
      <c r="Z54">
        <v>263</v>
      </c>
      <c r="AA54">
        <v>365</v>
      </c>
    </row>
    <row r="55" spans="1:27" hidden="1">
      <c r="A55" s="37" t="s">
        <v>1678</v>
      </c>
      <c r="B55" s="37">
        <v>0</v>
      </c>
      <c r="C55" s="37">
        <v>0</v>
      </c>
      <c r="D55" s="37">
        <v>0</v>
      </c>
      <c r="E55" s="37">
        <v>0</v>
      </c>
      <c r="F55" s="37">
        <v>0</v>
      </c>
      <c r="G55" s="37">
        <v>0</v>
      </c>
      <c r="H55" s="37">
        <v>0</v>
      </c>
      <c r="I55" s="37">
        <v>0</v>
      </c>
      <c r="J55" s="37">
        <v>0</v>
      </c>
      <c r="K55">
        <v>692</v>
      </c>
      <c r="L55">
        <v>130</v>
      </c>
      <c r="M55">
        <v>487</v>
      </c>
      <c r="N55">
        <v>78</v>
      </c>
      <c r="O55">
        <v>0</v>
      </c>
      <c r="P55">
        <v>0</v>
      </c>
      <c r="Q55">
        <v>0</v>
      </c>
      <c r="R55">
        <v>0</v>
      </c>
      <c r="S55">
        <v>0</v>
      </c>
      <c r="T55">
        <v>0</v>
      </c>
      <c r="U55">
        <v>0</v>
      </c>
      <c r="V55">
        <v>0</v>
      </c>
      <c r="W55">
        <v>0</v>
      </c>
      <c r="X55">
        <v>2</v>
      </c>
      <c r="Y55">
        <v>27</v>
      </c>
      <c r="Z55">
        <v>45</v>
      </c>
      <c r="AA55">
        <v>1</v>
      </c>
    </row>
    <row r="56" spans="1:27" hidden="1">
      <c r="A56" s="37" t="s">
        <v>1080</v>
      </c>
      <c r="B56" s="37">
        <v>705</v>
      </c>
      <c r="C56" s="37">
        <v>778</v>
      </c>
      <c r="D56" s="37">
        <v>1098</v>
      </c>
      <c r="E56" s="37">
        <v>862</v>
      </c>
      <c r="F56" s="37">
        <v>999</v>
      </c>
      <c r="G56" s="37">
        <v>968</v>
      </c>
      <c r="H56" s="37">
        <v>794</v>
      </c>
      <c r="I56" s="37">
        <v>740</v>
      </c>
      <c r="J56" s="37">
        <v>644</v>
      </c>
      <c r="K56">
        <v>526</v>
      </c>
      <c r="L56">
        <v>629</v>
      </c>
      <c r="M56">
        <v>505</v>
      </c>
      <c r="N56">
        <v>505</v>
      </c>
      <c r="O56">
        <v>218</v>
      </c>
      <c r="P56">
        <v>267</v>
      </c>
      <c r="Q56">
        <v>238</v>
      </c>
      <c r="R56">
        <v>239</v>
      </c>
      <c r="S56">
        <v>315</v>
      </c>
      <c r="T56">
        <v>281</v>
      </c>
      <c r="U56">
        <v>270</v>
      </c>
      <c r="V56">
        <v>279</v>
      </c>
      <c r="W56">
        <v>243</v>
      </c>
      <c r="X56">
        <v>213</v>
      </c>
      <c r="Y56">
        <v>273</v>
      </c>
      <c r="Z56">
        <v>212</v>
      </c>
      <c r="AA56">
        <v>257</v>
      </c>
    </row>
    <row r="57" spans="1:27" hidden="1">
      <c r="A57" s="37" t="s">
        <v>928</v>
      </c>
      <c r="B57" s="37">
        <v>1649</v>
      </c>
      <c r="C57" s="37">
        <v>812</v>
      </c>
      <c r="D57" s="37">
        <v>0</v>
      </c>
      <c r="E57" s="37">
        <v>2488</v>
      </c>
      <c r="F57" s="37">
        <v>1265</v>
      </c>
      <c r="G57" s="37">
        <v>1119</v>
      </c>
      <c r="H57" s="37">
        <v>1033</v>
      </c>
      <c r="I57" s="37">
        <v>1417</v>
      </c>
      <c r="J57" s="37">
        <v>1890</v>
      </c>
      <c r="K57">
        <v>1181</v>
      </c>
      <c r="L57">
        <v>1588</v>
      </c>
      <c r="M57">
        <v>1385</v>
      </c>
      <c r="N57">
        <v>2365</v>
      </c>
      <c r="O57">
        <v>272</v>
      </c>
      <c r="P57">
        <v>58</v>
      </c>
      <c r="Q57">
        <v>0</v>
      </c>
      <c r="R57">
        <v>136</v>
      </c>
      <c r="S57">
        <v>69</v>
      </c>
      <c r="T57">
        <v>121</v>
      </c>
      <c r="U57">
        <v>601</v>
      </c>
      <c r="V57">
        <v>357</v>
      </c>
      <c r="W57">
        <v>927</v>
      </c>
      <c r="X57">
        <v>405</v>
      </c>
      <c r="Y57">
        <v>941</v>
      </c>
      <c r="Z57">
        <v>778</v>
      </c>
      <c r="AA57">
        <v>1179</v>
      </c>
    </row>
    <row r="58" spans="1:27" hidden="1">
      <c r="A58" s="37" t="s">
        <v>1123</v>
      </c>
      <c r="B58" s="37">
        <v>600</v>
      </c>
      <c r="C58" s="37">
        <v>710</v>
      </c>
      <c r="D58" s="37">
        <v>611</v>
      </c>
      <c r="E58" s="37">
        <v>504</v>
      </c>
      <c r="F58" s="37">
        <v>427</v>
      </c>
      <c r="G58" s="37">
        <v>647</v>
      </c>
      <c r="H58" s="37">
        <v>517</v>
      </c>
      <c r="I58" s="37">
        <v>693</v>
      </c>
      <c r="J58" s="37">
        <v>1153</v>
      </c>
      <c r="K58">
        <v>1013</v>
      </c>
      <c r="L58">
        <v>1336</v>
      </c>
      <c r="M58">
        <v>1197</v>
      </c>
      <c r="N58">
        <v>3505</v>
      </c>
      <c r="O58">
        <v>139</v>
      </c>
      <c r="P58">
        <v>164</v>
      </c>
      <c r="Q58">
        <v>143</v>
      </c>
      <c r="R58">
        <v>138</v>
      </c>
      <c r="S58">
        <v>130</v>
      </c>
      <c r="T58">
        <v>153</v>
      </c>
      <c r="U58">
        <v>156</v>
      </c>
      <c r="V58">
        <v>199</v>
      </c>
      <c r="W58">
        <v>312</v>
      </c>
      <c r="X58">
        <v>288</v>
      </c>
      <c r="Y58">
        <v>427</v>
      </c>
      <c r="Z58">
        <v>293</v>
      </c>
      <c r="AA58">
        <v>958</v>
      </c>
    </row>
    <row r="59" spans="1:27" hidden="1">
      <c r="A59" s="37" t="s">
        <v>836</v>
      </c>
      <c r="B59" s="37">
        <v>6904</v>
      </c>
      <c r="C59" s="37">
        <v>6392</v>
      </c>
      <c r="D59" s="37">
        <v>5424</v>
      </c>
      <c r="E59" s="37">
        <v>5782</v>
      </c>
      <c r="F59" s="37">
        <v>5396</v>
      </c>
      <c r="G59" s="37">
        <v>5490</v>
      </c>
      <c r="H59" s="37">
        <v>4963</v>
      </c>
      <c r="I59" s="37">
        <v>6007</v>
      </c>
      <c r="J59" s="37">
        <v>5974</v>
      </c>
      <c r="K59">
        <v>5525</v>
      </c>
      <c r="L59">
        <v>5545</v>
      </c>
      <c r="M59">
        <v>5707</v>
      </c>
      <c r="N59">
        <v>8342</v>
      </c>
      <c r="O59">
        <v>2014</v>
      </c>
      <c r="P59">
        <v>2055</v>
      </c>
      <c r="Q59">
        <v>1961</v>
      </c>
      <c r="R59">
        <v>2191</v>
      </c>
      <c r="S59">
        <v>2042</v>
      </c>
      <c r="T59">
        <v>2013</v>
      </c>
      <c r="U59">
        <v>1819</v>
      </c>
      <c r="V59">
        <v>1883</v>
      </c>
      <c r="W59">
        <v>2049</v>
      </c>
      <c r="X59">
        <v>2075</v>
      </c>
      <c r="Y59">
        <v>2001</v>
      </c>
      <c r="Z59">
        <v>2000</v>
      </c>
      <c r="AA59">
        <v>2678</v>
      </c>
    </row>
    <row r="60" spans="1:27" hidden="1">
      <c r="A60" s="37" t="s">
        <v>955</v>
      </c>
      <c r="B60" s="37">
        <v>1711</v>
      </c>
      <c r="C60" s="37">
        <v>1416</v>
      </c>
      <c r="D60" s="37">
        <v>900</v>
      </c>
      <c r="E60" s="37">
        <v>932</v>
      </c>
      <c r="F60" s="37">
        <v>700</v>
      </c>
      <c r="G60" s="37">
        <v>565</v>
      </c>
      <c r="H60" s="37">
        <v>1216</v>
      </c>
      <c r="I60" s="37">
        <v>1004</v>
      </c>
      <c r="J60" s="37">
        <v>972</v>
      </c>
      <c r="K60">
        <v>613</v>
      </c>
      <c r="L60">
        <v>602</v>
      </c>
      <c r="M60">
        <v>649</v>
      </c>
      <c r="N60">
        <v>1002</v>
      </c>
      <c r="O60">
        <v>621</v>
      </c>
      <c r="P60">
        <v>579</v>
      </c>
      <c r="Q60">
        <v>398</v>
      </c>
      <c r="R60">
        <v>453</v>
      </c>
      <c r="S60">
        <v>393</v>
      </c>
      <c r="T60">
        <v>319</v>
      </c>
      <c r="U60">
        <v>885</v>
      </c>
      <c r="V60">
        <v>469</v>
      </c>
      <c r="W60">
        <v>437</v>
      </c>
      <c r="X60">
        <v>346</v>
      </c>
      <c r="Y60">
        <v>294</v>
      </c>
      <c r="Z60">
        <v>315</v>
      </c>
      <c r="AA60">
        <v>432</v>
      </c>
    </row>
    <row r="61" spans="1:27" hidden="1">
      <c r="A61" s="37" t="s">
        <v>1160</v>
      </c>
      <c r="B61" s="37">
        <v>2915</v>
      </c>
      <c r="C61" s="37">
        <v>1681</v>
      </c>
      <c r="D61" s="37">
        <v>1501</v>
      </c>
      <c r="E61" s="37">
        <v>1123</v>
      </c>
      <c r="F61" s="37">
        <v>1016</v>
      </c>
      <c r="G61" s="37">
        <v>1109</v>
      </c>
      <c r="H61" s="37">
        <v>1044</v>
      </c>
      <c r="I61" s="37">
        <v>1063</v>
      </c>
      <c r="J61" s="37">
        <v>1121</v>
      </c>
      <c r="K61">
        <v>969</v>
      </c>
      <c r="L61">
        <v>941</v>
      </c>
      <c r="M61">
        <v>776</v>
      </c>
      <c r="N61">
        <v>1013</v>
      </c>
      <c r="O61">
        <v>711</v>
      </c>
      <c r="P61">
        <v>395</v>
      </c>
      <c r="Q61">
        <v>379</v>
      </c>
      <c r="R61">
        <v>335</v>
      </c>
      <c r="S61">
        <v>335</v>
      </c>
      <c r="T61">
        <v>385</v>
      </c>
      <c r="U61">
        <v>318</v>
      </c>
      <c r="V61">
        <v>379</v>
      </c>
      <c r="W61">
        <v>354</v>
      </c>
      <c r="X61">
        <v>342</v>
      </c>
      <c r="Y61">
        <v>353</v>
      </c>
      <c r="Z61">
        <v>276</v>
      </c>
      <c r="AA61">
        <v>385</v>
      </c>
    </row>
    <row r="62" spans="1:27" hidden="1">
      <c r="A62" s="37" t="s">
        <v>731</v>
      </c>
      <c r="B62" s="37">
        <v>2151</v>
      </c>
      <c r="C62" s="37">
        <v>2594</v>
      </c>
      <c r="D62" s="37">
        <v>6699</v>
      </c>
      <c r="E62" s="37">
        <v>2080</v>
      </c>
      <c r="F62" s="37">
        <v>2415</v>
      </c>
      <c r="G62" s="37">
        <v>2029</v>
      </c>
      <c r="H62" s="37">
        <v>2033</v>
      </c>
      <c r="I62" s="37">
        <v>2191</v>
      </c>
      <c r="J62" s="37">
        <v>2233</v>
      </c>
      <c r="K62">
        <v>1930</v>
      </c>
      <c r="L62">
        <v>3145</v>
      </c>
      <c r="M62">
        <v>2109</v>
      </c>
      <c r="N62">
        <v>3759</v>
      </c>
      <c r="O62">
        <v>413</v>
      </c>
      <c r="P62">
        <v>493</v>
      </c>
      <c r="Q62">
        <v>701</v>
      </c>
      <c r="R62">
        <v>450</v>
      </c>
      <c r="S62">
        <v>651</v>
      </c>
      <c r="T62">
        <v>579</v>
      </c>
      <c r="U62">
        <v>551</v>
      </c>
      <c r="V62">
        <v>531</v>
      </c>
      <c r="W62">
        <v>538</v>
      </c>
      <c r="X62">
        <v>472</v>
      </c>
      <c r="Y62">
        <v>1096</v>
      </c>
      <c r="Z62">
        <v>560</v>
      </c>
      <c r="AA62">
        <v>956</v>
      </c>
    </row>
    <row r="63" spans="1:27" hidden="1">
      <c r="A63" s="37" t="s">
        <v>441</v>
      </c>
      <c r="B63" s="37">
        <v>1075</v>
      </c>
      <c r="C63" s="37">
        <v>1310</v>
      </c>
      <c r="D63" s="37">
        <v>1452</v>
      </c>
      <c r="E63" s="37">
        <v>1196</v>
      </c>
      <c r="F63" s="37">
        <v>1309</v>
      </c>
      <c r="G63" s="37">
        <v>912</v>
      </c>
      <c r="H63" s="37">
        <v>937</v>
      </c>
      <c r="I63" s="37">
        <v>918</v>
      </c>
      <c r="J63" s="37">
        <v>765</v>
      </c>
      <c r="K63">
        <v>547</v>
      </c>
      <c r="L63">
        <v>687</v>
      </c>
      <c r="M63">
        <v>727</v>
      </c>
      <c r="N63">
        <v>1318</v>
      </c>
      <c r="O63">
        <v>183</v>
      </c>
      <c r="P63">
        <v>235</v>
      </c>
      <c r="Q63">
        <v>261</v>
      </c>
      <c r="R63">
        <v>189</v>
      </c>
      <c r="S63">
        <v>244</v>
      </c>
      <c r="T63">
        <v>198</v>
      </c>
      <c r="U63">
        <v>167</v>
      </c>
      <c r="V63">
        <v>205</v>
      </c>
      <c r="W63">
        <v>149</v>
      </c>
      <c r="X63">
        <v>119</v>
      </c>
      <c r="Y63">
        <v>124</v>
      </c>
      <c r="Z63">
        <v>169</v>
      </c>
      <c r="AA63">
        <v>206</v>
      </c>
    </row>
    <row r="64" spans="1:27" hidden="1">
      <c r="A64" s="37" t="s">
        <v>543</v>
      </c>
      <c r="B64" s="37">
        <v>1071</v>
      </c>
      <c r="C64" s="37">
        <v>1232</v>
      </c>
      <c r="D64" s="37">
        <v>1079</v>
      </c>
      <c r="E64" s="37">
        <v>1252</v>
      </c>
      <c r="F64" s="37">
        <v>968</v>
      </c>
      <c r="G64" s="37">
        <v>924</v>
      </c>
      <c r="H64" s="37">
        <v>867</v>
      </c>
      <c r="I64" s="37">
        <v>710</v>
      </c>
      <c r="J64" s="37">
        <v>843</v>
      </c>
      <c r="K64">
        <v>652</v>
      </c>
      <c r="L64">
        <v>1050</v>
      </c>
      <c r="M64">
        <v>1073</v>
      </c>
      <c r="N64">
        <v>1234</v>
      </c>
      <c r="O64">
        <v>294</v>
      </c>
      <c r="P64">
        <v>330</v>
      </c>
      <c r="Q64">
        <v>282</v>
      </c>
      <c r="R64">
        <v>299</v>
      </c>
      <c r="S64">
        <v>255</v>
      </c>
      <c r="T64">
        <v>268</v>
      </c>
      <c r="U64">
        <v>241</v>
      </c>
      <c r="V64">
        <v>244</v>
      </c>
      <c r="W64">
        <v>285</v>
      </c>
      <c r="X64">
        <v>234</v>
      </c>
      <c r="Y64">
        <v>260</v>
      </c>
      <c r="Z64">
        <v>234</v>
      </c>
      <c r="AA64">
        <v>314</v>
      </c>
    </row>
    <row r="65" spans="1:27" hidden="1">
      <c r="A65" s="37" t="s">
        <v>773</v>
      </c>
      <c r="B65" s="37">
        <v>4762</v>
      </c>
      <c r="C65" s="37">
        <v>5839</v>
      </c>
      <c r="D65" s="37">
        <v>5526</v>
      </c>
      <c r="E65" s="37">
        <v>12099</v>
      </c>
      <c r="F65" s="37">
        <v>5977</v>
      </c>
      <c r="G65" s="37">
        <v>9576</v>
      </c>
      <c r="H65" s="37">
        <v>13936</v>
      </c>
      <c r="I65" s="37">
        <v>8649</v>
      </c>
      <c r="J65" s="37">
        <v>5550</v>
      </c>
      <c r="K65">
        <v>5893</v>
      </c>
      <c r="L65">
        <v>5155</v>
      </c>
      <c r="M65">
        <v>2684</v>
      </c>
      <c r="N65">
        <v>2430</v>
      </c>
      <c r="O65">
        <v>951</v>
      </c>
      <c r="P65">
        <v>1239</v>
      </c>
      <c r="Q65">
        <v>1150</v>
      </c>
      <c r="R65">
        <v>1697</v>
      </c>
      <c r="S65">
        <v>360</v>
      </c>
      <c r="T65">
        <v>1279</v>
      </c>
      <c r="U65">
        <v>2744</v>
      </c>
      <c r="V65">
        <v>1651</v>
      </c>
      <c r="W65">
        <v>1166</v>
      </c>
      <c r="X65">
        <v>1203</v>
      </c>
      <c r="Y65">
        <v>1240</v>
      </c>
      <c r="Z65">
        <v>617</v>
      </c>
      <c r="AA65">
        <v>589</v>
      </c>
    </row>
    <row r="66" spans="1:27" hidden="1">
      <c r="A66" s="37" t="s">
        <v>305</v>
      </c>
      <c r="B66" s="37">
        <v>0</v>
      </c>
      <c r="C66" s="37">
        <v>0</v>
      </c>
      <c r="D66" s="37">
        <v>441</v>
      </c>
      <c r="E66" s="37">
        <v>1139</v>
      </c>
      <c r="F66" s="37">
        <v>932</v>
      </c>
      <c r="G66" s="37">
        <v>832</v>
      </c>
      <c r="H66" s="37">
        <v>1086</v>
      </c>
      <c r="I66" s="37">
        <v>954</v>
      </c>
      <c r="J66" s="37">
        <v>834</v>
      </c>
      <c r="K66">
        <v>1064</v>
      </c>
      <c r="L66">
        <v>1104</v>
      </c>
      <c r="M66">
        <v>1099</v>
      </c>
      <c r="N66">
        <v>1295</v>
      </c>
      <c r="O66">
        <v>0</v>
      </c>
      <c r="P66">
        <v>0</v>
      </c>
      <c r="Q66">
        <v>115</v>
      </c>
      <c r="R66">
        <v>298</v>
      </c>
      <c r="S66">
        <v>212</v>
      </c>
      <c r="T66">
        <v>205</v>
      </c>
      <c r="U66">
        <v>240</v>
      </c>
      <c r="V66">
        <v>221</v>
      </c>
      <c r="W66">
        <v>219</v>
      </c>
      <c r="X66">
        <v>292</v>
      </c>
      <c r="Y66">
        <v>273</v>
      </c>
      <c r="Z66">
        <v>242</v>
      </c>
      <c r="AA66">
        <v>338</v>
      </c>
    </row>
    <row r="67" spans="1:27" hidden="1">
      <c r="A67" s="37" t="s">
        <v>1589</v>
      </c>
      <c r="B67" s="37">
        <v>1074</v>
      </c>
      <c r="C67" s="37">
        <v>995</v>
      </c>
      <c r="D67" s="37">
        <v>1182</v>
      </c>
      <c r="E67" s="37">
        <v>780</v>
      </c>
      <c r="F67" s="37">
        <v>771</v>
      </c>
      <c r="G67" s="37">
        <v>652</v>
      </c>
      <c r="H67" s="37">
        <v>675</v>
      </c>
      <c r="I67" s="37">
        <v>672</v>
      </c>
      <c r="J67" s="37">
        <v>676</v>
      </c>
      <c r="K67">
        <v>0</v>
      </c>
      <c r="L67">
        <v>0</v>
      </c>
      <c r="M67">
        <v>0</v>
      </c>
      <c r="N67">
        <v>0</v>
      </c>
      <c r="O67">
        <v>182</v>
      </c>
      <c r="P67">
        <v>154</v>
      </c>
      <c r="Q67">
        <v>206</v>
      </c>
      <c r="R67">
        <v>133</v>
      </c>
      <c r="S67">
        <v>166</v>
      </c>
      <c r="T67">
        <v>137</v>
      </c>
      <c r="U67">
        <v>137</v>
      </c>
      <c r="V67">
        <v>137</v>
      </c>
      <c r="W67">
        <v>143</v>
      </c>
      <c r="X67">
        <v>1</v>
      </c>
      <c r="Y67">
        <v>0</v>
      </c>
      <c r="Z67">
        <v>0</v>
      </c>
      <c r="AA67">
        <v>0</v>
      </c>
    </row>
    <row r="68" spans="1:27" hidden="1">
      <c r="A68" s="37" t="s">
        <v>593</v>
      </c>
      <c r="B68" s="37">
        <v>2356</v>
      </c>
      <c r="C68" s="37">
        <v>4166</v>
      </c>
      <c r="D68" s="37">
        <v>4947</v>
      </c>
      <c r="E68" s="37">
        <v>1743</v>
      </c>
      <c r="F68" s="37">
        <v>2316</v>
      </c>
      <c r="G68" s="37">
        <v>535</v>
      </c>
      <c r="H68" s="37">
        <v>1144</v>
      </c>
      <c r="I68" s="37">
        <v>1118</v>
      </c>
      <c r="J68" s="37">
        <v>892</v>
      </c>
      <c r="K68">
        <v>691</v>
      </c>
      <c r="L68">
        <v>583</v>
      </c>
      <c r="M68">
        <v>612</v>
      </c>
      <c r="N68">
        <v>1172</v>
      </c>
      <c r="O68">
        <v>405</v>
      </c>
      <c r="P68">
        <v>438</v>
      </c>
      <c r="Q68">
        <v>614</v>
      </c>
      <c r="R68">
        <v>437</v>
      </c>
      <c r="S68">
        <v>515</v>
      </c>
      <c r="T68">
        <v>70</v>
      </c>
      <c r="U68">
        <v>306</v>
      </c>
      <c r="V68">
        <v>283</v>
      </c>
      <c r="W68">
        <v>319</v>
      </c>
      <c r="X68">
        <v>248</v>
      </c>
      <c r="Y68">
        <v>190</v>
      </c>
      <c r="Z68">
        <v>193</v>
      </c>
      <c r="AA68">
        <v>367</v>
      </c>
    </row>
    <row r="69" spans="1:27" hidden="1">
      <c r="A69" s="37" t="s">
        <v>1131</v>
      </c>
      <c r="B69" s="37">
        <v>842</v>
      </c>
      <c r="C69" s="37">
        <v>638</v>
      </c>
      <c r="D69" s="37">
        <v>426</v>
      </c>
      <c r="E69" s="37">
        <v>403</v>
      </c>
      <c r="F69" s="37">
        <v>359</v>
      </c>
      <c r="G69" s="37">
        <v>317</v>
      </c>
      <c r="H69" s="37">
        <v>310</v>
      </c>
      <c r="I69" s="37">
        <v>362</v>
      </c>
      <c r="J69" s="37">
        <v>322</v>
      </c>
      <c r="K69">
        <v>435</v>
      </c>
      <c r="L69">
        <v>490</v>
      </c>
      <c r="M69">
        <v>312</v>
      </c>
      <c r="N69">
        <v>424</v>
      </c>
      <c r="O69">
        <v>359</v>
      </c>
      <c r="P69">
        <v>265</v>
      </c>
      <c r="Q69">
        <v>199</v>
      </c>
      <c r="R69">
        <v>236</v>
      </c>
      <c r="S69">
        <v>248</v>
      </c>
      <c r="T69">
        <v>210</v>
      </c>
      <c r="U69">
        <v>199</v>
      </c>
      <c r="V69">
        <v>217</v>
      </c>
      <c r="W69">
        <v>221</v>
      </c>
      <c r="X69">
        <v>270</v>
      </c>
      <c r="Y69">
        <v>297</v>
      </c>
      <c r="Z69">
        <v>204</v>
      </c>
      <c r="AA69">
        <v>289</v>
      </c>
    </row>
    <row r="70" spans="1:27" hidden="1">
      <c r="A70" s="37" t="s">
        <v>1127</v>
      </c>
      <c r="B70" s="37">
        <v>806</v>
      </c>
      <c r="C70" s="37">
        <v>802</v>
      </c>
      <c r="D70" s="37">
        <v>1030</v>
      </c>
      <c r="E70" s="37">
        <v>913</v>
      </c>
      <c r="F70" s="37">
        <v>725</v>
      </c>
      <c r="G70" s="37">
        <v>689</v>
      </c>
      <c r="H70" s="37">
        <v>571</v>
      </c>
      <c r="I70" s="37">
        <v>568</v>
      </c>
      <c r="J70" s="37">
        <v>586</v>
      </c>
      <c r="K70">
        <v>672</v>
      </c>
      <c r="L70">
        <v>591</v>
      </c>
      <c r="M70">
        <v>557</v>
      </c>
      <c r="N70">
        <v>651</v>
      </c>
      <c r="O70">
        <v>256</v>
      </c>
      <c r="P70">
        <v>313</v>
      </c>
      <c r="Q70">
        <v>304</v>
      </c>
      <c r="R70">
        <v>283</v>
      </c>
      <c r="S70">
        <v>282</v>
      </c>
      <c r="T70">
        <v>268</v>
      </c>
      <c r="U70">
        <v>256</v>
      </c>
      <c r="V70">
        <v>260</v>
      </c>
      <c r="W70">
        <v>290</v>
      </c>
      <c r="X70">
        <v>304</v>
      </c>
      <c r="Y70">
        <v>256</v>
      </c>
      <c r="Z70">
        <v>241</v>
      </c>
      <c r="AA70">
        <v>279</v>
      </c>
    </row>
    <row r="71" spans="1:27" hidden="1">
      <c r="A71" s="37" t="s">
        <v>1064</v>
      </c>
      <c r="B71" s="37">
        <v>308</v>
      </c>
      <c r="C71" s="37">
        <v>509</v>
      </c>
      <c r="D71" s="37">
        <v>351</v>
      </c>
      <c r="E71" s="37">
        <v>429</v>
      </c>
      <c r="F71" s="37">
        <v>224</v>
      </c>
      <c r="G71" s="37">
        <v>241</v>
      </c>
      <c r="H71" s="37">
        <v>274</v>
      </c>
      <c r="I71" s="37">
        <v>272</v>
      </c>
      <c r="J71" s="37">
        <v>311</v>
      </c>
      <c r="K71">
        <v>348</v>
      </c>
      <c r="L71">
        <v>386</v>
      </c>
      <c r="M71">
        <v>287</v>
      </c>
      <c r="N71">
        <v>355</v>
      </c>
      <c r="O71">
        <v>122</v>
      </c>
      <c r="P71">
        <v>139</v>
      </c>
      <c r="Q71">
        <v>99</v>
      </c>
      <c r="R71">
        <v>142</v>
      </c>
      <c r="S71">
        <v>80</v>
      </c>
      <c r="T71">
        <v>87</v>
      </c>
      <c r="U71">
        <v>97</v>
      </c>
      <c r="V71">
        <v>105</v>
      </c>
      <c r="W71">
        <v>116</v>
      </c>
      <c r="X71">
        <v>109</v>
      </c>
      <c r="Y71">
        <v>171</v>
      </c>
      <c r="Z71">
        <v>103</v>
      </c>
      <c r="AA71">
        <v>169</v>
      </c>
    </row>
    <row r="72" spans="1:27" hidden="1">
      <c r="A72" s="37" t="s">
        <v>949</v>
      </c>
      <c r="B72" s="37">
        <v>2377</v>
      </c>
      <c r="C72" s="37">
        <v>2225</v>
      </c>
      <c r="D72" s="37">
        <v>1589</v>
      </c>
      <c r="E72" s="37">
        <v>1287</v>
      </c>
      <c r="F72" s="37">
        <v>883</v>
      </c>
      <c r="G72" s="37">
        <v>1077</v>
      </c>
      <c r="H72" s="37">
        <v>1580</v>
      </c>
      <c r="I72" s="37">
        <v>1922</v>
      </c>
      <c r="J72" s="37">
        <v>1790</v>
      </c>
      <c r="K72">
        <v>1622</v>
      </c>
      <c r="L72">
        <v>2721</v>
      </c>
      <c r="M72">
        <v>2958</v>
      </c>
      <c r="N72">
        <v>2109</v>
      </c>
      <c r="O72">
        <v>713</v>
      </c>
      <c r="P72">
        <v>863</v>
      </c>
      <c r="Q72">
        <v>604</v>
      </c>
      <c r="R72">
        <v>601</v>
      </c>
      <c r="S72">
        <v>470</v>
      </c>
      <c r="T72">
        <v>450</v>
      </c>
      <c r="U72">
        <v>484</v>
      </c>
      <c r="V72">
        <v>656</v>
      </c>
      <c r="W72">
        <v>594</v>
      </c>
      <c r="X72">
        <v>621</v>
      </c>
      <c r="Y72">
        <v>1451</v>
      </c>
      <c r="Z72">
        <v>913</v>
      </c>
      <c r="AA72">
        <v>849</v>
      </c>
    </row>
    <row r="73" spans="1:27" hidden="1">
      <c r="A73" s="37" t="s">
        <v>800</v>
      </c>
      <c r="B73" s="37">
        <v>2161</v>
      </c>
      <c r="C73" s="37">
        <v>2173</v>
      </c>
      <c r="D73" s="37">
        <v>1377</v>
      </c>
      <c r="E73" s="37">
        <v>1420</v>
      </c>
      <c r="F73" s="37">
        <v>169</v>
      </c>
      <c r="G73" s="37">
        <v>1268</v>
      </c>
      <c r="H73" s="37">
        <v>1048</v>
      </c>
      <c r="I73" s="37">
        <v>1075</v>
      </c>
      <c r="J73" s="37">
        <v>1192</v>
      </c>
      <c r="K73">
        <v>1118</v>
      </c>
      <c r="L73">
        <v>1058</v>
      </c>
      <c r="M73">
        <v>944</v>
      </c>
      <c r="N73">
        <v>1539</v>
      </c>
      <c r="O73">
        <v>410</v>
      </c>
      <c r="P73">
        <v>407</v>
      </c>
      <c r="Q73">
        <v>425</v>
      </c>
      <c r="R73">
        <v>428</v>
      </c>
      <c r="S73">
        <v>7</v>
      </c>
      <c r="T73">
        <v>353</v>
      </c>
      <c r="U73">
        <v>315</v>
      </c>
      <c r="V73">
        <v>306</v>
      </c>
      <c r="W73">
        <v>361</v>
      </c>
      <c r="X73">
        <v>360</v>
      </c>
      <c r="Y73">
        <v>356</v>
      </c>
      <c r="Z73">
        <v>293</v>
      </c>
      <c r="AA73">
        <v>451</v>
      </c>
    </row>
    <row r="74" spans="1:27" hidden="1">
      <c r="A74" s="37" t="s">
        <v>784</v>
      </c>
      <c r="B74" s="37">
        <v>2210</v>
      </c>
      <c r="C74" s="37">
        <v>3028</v>
      </c>
      <c r="D74" s="37">
        <v>3623</v>
      </c>
      <c r="E74" s="37">
        <v>3181</v>
      </c>
      <c r="F74" s="37">
        <v>2203</v>
      </c>
      <c r="G74" s="37">
        <v>2217</v>
      </c>
      <c r="H74" s="37">
        <v>2451</v>
      </c>
      <c r="I74" s="37">
        <v>2601</v>
      </c>
      <c r="J74" s="37">
        <v>2823</v>
      </c>
      <c r="K74">
        <v>3020</v>
      </c>
      <c r="L74">
        <v>2259</v>
      </c>
      <c r="M74">
        <v>2814</v>
      </c>
      <c r="N74">
        <v>4111</v>
      </c>
      <c r="O74">
        <v>352</v>
      </c>
      <c r="P74">
        <v>455</v>
      </c>
      <c r="Q74">
        <v>449</v>
      </c>
      <c r="R74">
        <v>457</v>
      </c>
      <c r="S74">
        <v>378</v>
      </c>
      <c r="T74">
        <v>377</v>
      </c>
      <c r="U74">
        <v>425</v>
      </c>
      <c r="V74">
        <v>451</v>
      </c>
      <c r="W74">
        <v>475</v>
      </c>
      <c r="X74">
        <v>589</v>
      </c>
      <c r="Y74">
        <v>484</v>
      </c>
      <c r="Z74">
        <v>611</v>
      </c>
      <c r="AA74">
        <v>837</v>
      </c>
    </row>
    <row r="75" spans="1:27" hidden="1">
      <c r="A75" s="37" t="s">
        <v>780</v>
      </c>
      <c r="B75" s="37">
        <v>7420</v>
      </c>
      <c r="C75" s="37">
        <v>9064</v>
      </c>
      <c r="D75" s="37">
        <v>7113</v>
      </c>
      <c r="E75" s="37">
        <v>7511</v>
      </c>
      <c r="F75" s="37">
        <v>10781</v>
      </c>
      <c r="G75" s="37">
        <v>6137</v>
      </c>
      <c r="H75" s="37">
        <v>4806</v>
      </c>
      <c r="I75" s="37">
        <v>4603</v>
      </c>
      <c r="J75" s="37">
        <v>5082</v>
      </c>
      <c r="K75">
        <v>4032</v>
      </c>
      <c r="L75">
        <v>4557</v>
      </c>
      <c r="M75">
        <v>3120</v>
      </c>
      <c r="N75">
        <v>3964</v>
      </c>
      <c r="O75">
        <v>1284</v>
      </c>
      <c r="P75">
        <v>1383</v>
      </c>
      <c r="Q75">
        <v>1154</v>
      </c>
      <c r="R75">
        <v>1183</v>
      </c>
      <c r="S75">
        <v>1367</v>
      </c>
      <c r="T75">
        <v>1027</v>
      </c>
      <c r="U75">
        <v>837</v>
      </c>
      <c r="V75">
        <v>764</v>
      </c>
      <c r="W75">
        <v>939</v>
      </c>
      <c r="X75">
        <v>778</v>
      </c>
      <c r="Y75">
        <v>1033</v>
      </c>
      <c r="Z75">
        <v>712</v>
      </c>
      <c r="AA75">
        <v>890</v>
      </c>
    </row>
    <row r="76" spans="1:27" hidden="1">
      <c r="A76" s="37" t="s">
        <v>21</v>
      </c>
      <c r="B76" s="37">
        <v>14958</v>
      </c>
      <c r="C76" s="37">
        <v>14790</v>
      </c>
      <c r="D76" s="37">
        <v>32925</v>
      </c>
      <c r="E76" s="37">
        <v>57954</v>
      </c>
      <c r="F76" s="37">
        <v>81282</v>
      </c>
      <c r="G76" s="37">
        <v>59715</v>
      </c>
      <c r="H76" s="37">
        <v>27814</v>
      </c>
      <c r="I76" s="37">
        <v>24145</v>
      </c>
      <c r="J76" s="37">
        <v>16539</v>
      </c>
      <c r="K76">
        <v>16510</v>
      </c>
      <c r="L76">
        <v>25815</v>
      </c>
      <c r="M76">
        <v>15434</v>
      </c>
      <c r="N76">
        <v>19385</v>
      </c>
      <c r="O76">
        <v>3239</v>
      </c>
      <c r="P76">
        <v>3229</v>
      </c>
      <c r="Q76">
        <v>6869</v>
      </c>
      <c r="R76">
        <v>7465</v>
      </c>
      <c r="S76">
        <v>15981</v>
      </c>
      <c r="T76">
        <v>15632</v>
      </c>
      <c r="U76">
        <v>5351</v>
      </c>
      <c r="V76">
        <v>5338</v>
      </c>
      <c r="W76">
        <v>3999</v>
      </c>
      <c r="X76">
        <v>4632</v>
      </c>
      <c r="Y76">
        <v>7565</v>
      </c>
      <c r="Z76">
        <v>3670</v>
      </c>
      <c r="AA76">
        <v>4621</v>
      </c>
    </row>
    <row r="77" spans="1:27" hidden="1">
      <c r="A77" s="37" t="s">
        <v>431</v>
      </c>
      <c r="B77" s="37">
        <v>784</v>
      </c>
      <c r="C77" s="37">
        <v>894</v>
      </c>
      <c r="D77" s="37">
        <v>1045</v>
      </c>
      <c r="E77" s="37">
        <v>822</v>
      </c>
      <c r="F77" s="37">
        <v>652</v>
      </c>
      <c r="G77" s="37">
        <v>715</v>
      </c>
      <c r="H77" s="37">
        <v>843</v>
      </c>
      <c r="I77" s="37">
        <v>803</v>
      </c>
      <c r="J77" s="37">
        <v>1022</v>
      </c>
      <c r="K77">
        <v>907</v>
      </c>
      <c r="L77">
        <v>734</v>
      </c>
      <c r="M77">
        <v>775</v>
      </c>
      <c r="N77">
        <v>1187</v>
      </c>
      <c r="O77">
        <v>377</v>
      </c>
      <c r="P77">
        <v>441</v>
      </c>
      <c r="Q77">
        <v>437</v>
      </c>
      <c r="R77">
        <v>408</v>
      </c>
      <c r="S77">
        <v>361</v>
      </c>
      <c r="T77">
        <v>403</v>
      </c>
      <c r="U77">
        <v>438</v>
      </c>
      <c r="V77">
        <v>424</v>
      </c>
      <c r="W77">
        <v>514</v>
      </c>
      <c r="X77">
        <v>494</v>
      </c>
      <c r="Y77">
        <v>463</v>
      </c>
      <c r="Z77">
        <v>385</v>
      </c>
      <c r="AA77">
        <v>536</v>
      </c>
    </row>
    <row r="78" spans="1:27" hidden="1">
      <c r="A78" s="37" t="s">
        <v>401</v>
      </c>
      <c r="B78" s="37">
        <v>800</v>
      </c>
      <c r="C78" s="37">
        <v>768</v>
      </c>
      <c r="D78" s="37">
        <v>939</v>
      </c>
      <c r="E78" s="37">
        <v>644</v>
      </c>
      <c r="F78" s="37">
        <v>589</v>
      </c>
      <c r="G78" s="37">
        <v>693</v>
      </c>
      <c r="H78" s="37">
        <v>820</v>
      </c>
      <c r="I78" s="37">
        <v>492</v>
      </c>
      <c r="J78" s="37">
        <v>431</v>
      </c>
      <c r="K78">
        <v>442</v>
      </c>
      <c r="L78">
        <v>378</v>
      </c>
      <c r="M78">
        <v>412</v>
      </c>
      <c r="N78">
        <v>671</v>
      </c>
      <c r="O78">
        <v>139</v>
      </c>
      <c r="P78">
        <v>143</v>
      </c>
      <c r="Q78">
        <v>124</v>
      </c>
      <c r="R78">
        <v>105</v>
      </c>
      <c r="S78">
        <v>94</v>
      </c>
      <c r="T78">
        <v>132</v>
      </c>
      <c r="U78">
        <v>131</v>
      </c>
      <c r="V78">
        <v>96</v>
      </c>
      <c r="W78">
        <v>102</v>
      </c>
      <c r="X78">
        <v>80</v>
      </c>
      <c r="Y78">
        <v>95</v>
      </c>
      <c r="Z78">
        <v>87</v>
      </c>
      <c r="AA78">
        <v>136</v>
      </c>
    </row>
    <row r="79" spans="1:27" hidden="1">
      <c r="A79" s="37" t="s">
        <v>321</v>
      </c>
      <c r="B79" s="37">
        <v>2815</v>
      </c>
      <c r="C79" s="37">
        <v>1982</v>
      </c>
      <c r="D79" s="37">
        <v>1912</v>
      </c>
      <c r="E79" s="37">
        <v>1912</v>
      </c>
      <c r="F79" s="37">
        <v>1533</v>
      </c>
      <c r="G79" s="37">
        <v>1405</v>
      </c>
      <c r="H79" s="37">
        <v>1810</v>
      </c>
      <c r="I79" s="37">
        <v>1581</v>
      </c>
      <c r="J79" s="37">
        <v>1788</v>
      </c>
      <c r="K79">
        <v>2156</v>
      </c>
      <c r="L79">
        <v>1366</v>
      </c>
      <c r="M79">
        <v>988</v>
      </c>
      <c r="N79">
        <v>1352</v>
      </c>
      <c r="O79">
        <v>581</v>
      </c>
      <c r="P79">
        <v>493</v>
      </c>
      <c r="Q79">
        <v>504</v>
      </c>
      <c r="R79">
        <v>449</v>
      </c>
      <c r="S79">
        <v>374</v>
      </c>
      <c r="T79">
        <v>298</v>
      </c>
      <c r="U79">
        <v>510</v>
      </c>
      <c r="V79">
        <v>347</v>
      </c>
      <c r="W79">
        <v>369</v>
      </c>
      <c r="X79">
        <v>466</v>
      </c>
      <c r="Y79">
        <v>207</v>
      </c>
      <c r="Z79">
        <v>171</v>
      </c>
      <c r="AA79">
        <v>331</v>
      </c>
    </row>
    <row r="80" spans="1:27" hidden="1">
      <c r="A80" s="37" t="s">
        <v>145</v>
      </c>
      <c r="B80" s="37">
        <v>1231</v>
      </c>
      <c r="C80" s="37">
        <v>1312</v>
      </c>
      <c r="D80" s="37">
        <v>956</v>
      </c>
      <c r="E80" s="37">
        <v>752</v>
      </c>
      <c r="F80" s="37">
        <v>805</v>
      </c>
      <c r="G80" s="37">
        <v>765</v>
      </c>
      <c r="H80" s="37">
        <v>897</v>
      </c>
      <c r="I80" s="37">
        <v>836</v>
      </c>
      <c r="J80" s="37">
        <v>715</v>
      </c>
      <c r="K80">
        <v>852</v>
      </c>
      <c r="L80">
        <v>672</v>
      </c>
      <c r="M80">
        <v>597</v>
      </c>
      <c r="N80">
        <v>2995</v>
      </c>
      <c r="O80">
        <v>428</v>
      </c>
      <c r="P80">
        <v>480</v>
      </c>
      <c r="Q80">
        <v>449</v>
      </c>
      <c r="R80">
        <v>362</v>
      </c>
      <c r="S80">
        <v>375</v>
      </c>
      <c r="T80">
        <v>330</v>
      </c>
      <c r="U80">
        <v>344</v>
      </c>
      <c r="V80">
        <v>339</v>
      </c>
      <c r="W80">
        <v>370</v>
      </c>
      <c r="X80">
        <v>417</v>
      </c>
      <c r="Y80">
        <v>373</v>
      </c>
      <c r="Z80">
        <v>329</v>
      </c>
      <c r="AA80">
        <v>565</v>
      </c>
    </row>
    <row r="81" spans="1:27" hidden="1">
      <c r="A81" s="37" t="s">
        <v>65</v>
      </c>
      <c r="B81" s="37">
        <v>4947</v>
      </c>
      <c r="C81" s="37">
        <v>5221</v>
      </c>
      <c r="D81" s="37">
        <v>5089</v>
      </c>
      <c r="E81" s="37">
        <v>5351</v>
      </c>
      <c r="F81" s="37">
        <v>4403</v>
      </c>
      <c r="G81" s="37">
        <v>4309</v>
      </c>
      <c r="H81" s="37">
        <v>4807</v>
      </c>
      <c r="I81" s="37">
        <v>4661</v>
      </c>
      <c r="J81" s="37">
        <v>5054</v>
      </c>
      <c r="K81">
        <v>5526</v>
      </c>
      <c r="L81">
        <v>4015</v>
      </c>
      <c r="M81">
        <v>4240</v>
      </c>
      <c r="N81">
        <v>7313</v>
      </c>
      <c r="O81">
        <v>1602</v>
      </c>
      <c r="P81">
        <v>1830</v>
      </c>
      <c r="Q81">
        <v>1833</v>
      </c>
      <c r="R81">
        <v>1932</v>
      </c>
      <c r="S81">
        <v>1751</v>
      </c>
      <c r="T81">
        <v>1765</v>
      </c>
      <c r="U81">
        <v>1779</v>
      </c>
      <c r="V81">
        <v>1991</v>
      </c>
      <c r="W81">
        <v>2163</v>
      </c>
      <c r="X81">
        <v>2443</v>
      </c>
      <c r="Y81">
        <v>2131</v>
      </c>
      <c r="Z81">
        <v>2095</v>
      </c>
      <c r="AA81">
        <v>3077</v>
      </c>
    </row>
    <row r="82" spans="1:27" hidden="1">
      <c r="A82" s="37" t="s">
        <v>1036</v>
      </c>
      <c r="B82" s="37">
        <v>624</v>
      </c>
      <c r="C82" s="37">
        <v>693</v>
      </c>
      <c r="D82" s="37">
        <v>602</v>
      </c>
      <c r="E82" s="37">
        <v>594</v>
      </c>
      <c r="F82" s="37">
        <v>501</v>
      </c>
      <c r="G82" s="37">
        <v>410</v>
      </c>
      <c r="H82" s="37">
        <v>476</v>
      </c>
      <c r="I82" s="37">
        <v>463</v>
      </c>
      <c r="J82" s="37">
        <v>458</v>
      </c>
      <c r="K82">
        <v>468</v>
      </c>
      <c r="L82">
        <v>509</v>
      </c>
      <c r="M82">
        <v>414</v>
      </c>
      <c r="N82">
        <v>890</v>
      </c>
      <c r="O82">
        <v>212</v>
      </c>
      <c r="P82">
        <v>226</v>
      </c>
      <c r="Q82">
        <v>221</v>
      </c>
      <c r="R82">
        <v>210</v>
      </c>
      <c r="S82">
        <v>210</v>
      </c>
      <c r="T82">
        <v>186</v>
      </c>
      <c r="U82">
        <v>209</v>
      </c>
      <c r="V82">
        <v>192</v>
      </c>
      <c r="W82">
        <v>206</v>
      </c>
      <c r="X82">
        <v>225</v>
      </c>
      <c r="Y82">
        <v>243</v>
      </c>
      <c r="Z82">
        <v>179</v>
      </c>
      <c r="AA82">
        <v>263</v>
      </c>
    </row>
    <row r="83" spans="1:27" hidden="1">
      <c r="A83" s="37" t="s">
        <v>1054</v>
      </c>
      <c r="B83" s="37">
        <v>1634</v>
      </c>
      <c r="C83" s="37">
        <v>510</v>
      </c>
      <c r="D83" s="37">
        <v>569</v>
      </c>
      <c r="E83" s="37">
        <v>304</v>
      </c>
      <c r="F83" s="37">
        <v>647</v>
      </c>
      <c r="G83" s="37">
        <v>771</v>
      </c>
      <c r="H83" s="37">
        <v>706</v>
      </c>
      <c r="I83" s="37">
        <v>1038</v>
      </c>
      <c r="J83" s="37">
        <v>1047</v>
      </c>
      <c r="K83">
        <v>834</v>
      </c>
      <c r="L83">
        <v>695</v>
      </c>
      <c r="M83">
        <v>550</v>
      </c>
      <c r="N83">
        <v>835</v>
      </c>
      <c r="O83">
        <v>215</v>
      </c>
      <c r="P83">
        <v>40</v>
      </c>
      <c r="Q83">
        <v>102</v>
      </c>
      <c r="R83">
        <v>103</v>
      </c>
      <c r="S83">
        <v>169</v>
      </c>
      <c r="T83">
        <v>176</v>
      </c>
      <c r="U83">
        <v>175</v>
      </c>
      <c r="V83">
        <v>205</v>
      </c>
      <c r="W83">
        <v>181</v>
      </c>
      <c r="X83">
        <v>174</v>
      </c>
      <c r="Y83">
        <v>180</v>
      </c>
      <c r="Z83">
        <v>131</v>
      </c>
      <c r="AA83">
        <v>173</v>
      </c>
    </row>
    <row r="84" spans="1:27" hidden="1">
      <c r="A84" s="37" t="s">
        <v>876</v>
      </c>
      <c r="B84" s="37">
        <v>0</v>
      </c>
      <c r="C84" s="37">
        <v>829</v>
      </c>
      <c r="D84" s="37">
        <v>3224</v>
      </c>
      <c r="E84" s="37">
        <v>3573</v>
      </c>
      <c r="F84" s="37">
        <v>56</v>
      </c>
      <c r="G84" s="37">
        <v>1278</v>
      </c>
      <c r="H84" s="37">
        <v>2263</v>
      </c>
      <c r="I84" s="37">
        <v>1919</v>
      </c>
      <c r="J84" s="37">
        <v>1664</v>
      </c>
      <c r="K84">
        <v>1472</v>
      </c>
      <c r="L84">
        <v>1940</v>
      </c>
      <c r="M84">
        <v>1434</v>
      </c>
      <c r="N84">
        <v>1612</v>
      </c>
      <c r="O84">
        <v>0</v>
      </c>
      <c r="P84">
        <v>203</v>
      </c>
      <c r="Q84">
        <v>360</v>
      </c>
      <c r="R84">
        <v>442</v>
      </c>
      <c r="S84">
        <v>1</v>
      </c>
      <c r="T84">
        <v>89</v>
      </c>
      <c r="U84">
        <v>156</v>
      </c>
      <c r="V84">
        <v>208</v>
      </c>
      <c r="W84">
        <v>185</v>
      </c>
      <c r="X84">
        <v>214</v>
      </c>
      <c r="Y84">
        <v>389</v>
      </c>
      <c r="Z84">
        <v>184</v>
      </c>
      <c r="AA84">
        <v>282</v>
      </c>
    </row>
    <row r="85" spans="1:27" hidden="1">
      <c r="A85" s="37" t="s">
        <v>1024</v>
      </c>
      <c r="B85" s="37">
        <v>235</v>
      </c>
      <c r="C85" s="37">
        <v>211</v>
      </c>
      <c r="D85" s="37">
        <v>226</v>
      </c>
      <c r="E85" s="37">
        <v>165</v>
      </c>
      <c r="F85" s="37">
        <v>188</v>
      </c>
      <c r="G85" s="37">
        <v>143</v>
      </c>
      <c r="H85" s="37">
        <v>158</v>
      </c>
      <c r="I85" s="37">
        <v>155</v>
      </c>
      <c r="J85" s="37">
        <v>164</v>
      </c>
      <c r="K85">
        <v>173</v>
      </c>
      <c r="L85">
        <v>138</v>
      </c>
      <c r="M85">
        <v>151</v>
      </c>
      <c r="N85">
        <v>259</v>
      </c>
      <c r="O85">
        <v>53</v>
      </c>
      <c r="P85">
        <v>61</v>
      </c>
      <c r="Q85">
        <v>70</v>
      </c>
      <c r="R85">
        <v>53</v>
      </c>
      <c r="S85">
        <v>64</v>
      </c>
      <c r="T85">
        <v>43</v>
      </c>
      <c r="U85">
        <v>71</v>
      </c>
      <c r="V85">
        <v>63</v>
      </c>
      <c r="W85">
        <v>76</v>
      </c>
      <c r="X85">
        <v>66</v>
      </c>
      <c r="Y85">
        <v>69</v>
      </c>
      <c r="Z85">
        <v>69</v>
      </c>
      <c r="AA85">
        <v>102</v>
      </c>
    </row>
    <row r="86" spans="1:27" hidden="1">
      <c r="A86" s="37" t="s">
        <v>1619</v>
      </c>
      <c r="B86" s="37">
        <v>2417</v>
      </c>
      <c r="C86" s="37">
        <v>2300</v>
      </c>
      <c r="D86" s="37">
        <v>1974</v>
      </c>
      <c r="E86" s="37">
        <v>1692</v>
      </c>
      <c r="F86" s="37">
        <v>1407</v>
      </c>
      <c r="G86" s="37">
        <v>1118</v>
      </c>
      <c r="H86" s="37">
        <v>888</v>
      </c>
      <c r="I86" s="37">
        <v>1165</v>
      </c>
      <c r="J86" s="37">
        <v>847</v>
      </c>
      <c r="K86">
        <v>433</v>
      </c>
      <c r="L86">
        <v>400</v>
      </c>
      <c r="M86">
        <v>0</v>
      </c>
      <c r="N86">
        <v>0</v>
      </c>
      <c r="O86">
        <v>333</v>
      </c>
      <c r="P86">
        <v>385</v>
      </c>
      <c r="Q86">
        <v>273</v>
      </c>
      <c r="R86">
        <v>289</v>
      </c>
      <c r="S86">
        <v>249</v>
      </c>
      <c r="T86">
        <v>197</v>
      </c>
      <c r="U86">
        <v>150</v>
      </c>
      <c r="V86">
        <v>197</v>
      </c>
      <c r="W86">
        <v>143</v>
      </c>
      <c r="X86">
        <v>122</v>
      </c>
      <c r="Y86">
        <v>101</v>
      </c>
      <c r="Z86">
        <v>2</v>
      </c>
      <c r="AA86">
        <v>0</v>
      </c>
    </row>
    <row r="87" spans="1:27" hidden="1">
      <c r="A87" s="37" t="s">
        <v>1637</v>
      </c>
      <c r="B87" s="37">
        <v>98</v>
      </c>
      <c r="C87" s="37">
        <v>97</v>
      </c>
      <c r="D87" s="37">
        <v>88</v>
      </c>
      <c r="E87" s="37">
        <v>73</v>
      </c>
      <c r="F87" s="37">
        <v>70</v>
      </c>
      <c r="G87" s="37">
        <v>64</v>
      </c>
      <c r="H87" s="37">
        <v>70</v>
      </c>
      <c r="I87" s="37">
        <v>73</v>
      </c>
      <c r="J87" s="37">
        <v>61</v>
      </c>
      <c r="K87">
        <v>57</v>
      </c>
      <c r="L87">
        <v>60</v>
      </c>
      <c r="M87">
        <v>85</v>
      </c>
      <c r="N87">
        <v>84</v>
      </c>
      <c r="O87">
        <v>56</v>
      </c>
      <c r="P87">
        <v>38</v>
      </c>
      <c r="Q87">
        <v>27</v>
      </c>
      <c r="R87">
        <v>25</v>
      </c>
      <c r="S87">
        <v>39</v>
      </c>
      <c r="T87">
        <v>26</v>
      </c>
      <c r="U87">
        <v>34</v>
      </c>
      <c r="V87">
        <v>27</v>
      </c>
      <c r="W87">
        <v>31</v>
      </c>
      <c r="X87">
        <v>28</v>
      </c>
      <c r="Y87">
        <v>21</v>
      </c>
      <c r="Z87">
        <v>40</v>
      </c>
      <c r="AA87">
        <v>21</v>
      </c>
    </row>
    <row r="88" spans="1:27" hidden="1">
      <c r="A88" s="37" t="s">
        <v>1473</v>
      </c>
      <c r="B88" s="37">
        <v>5274</v>
      </c>
      <c r="C88" s="37">
        <v>957</v>
      </c>
      <c r="D88" s="37">
        <v>2180</v>
      </c>
      <c r="E88" s="37">
        <v>3131</v>
      </c>
      <c r="F88" s="37">
        <v>2602</v>
      </c>
      <c r="G88" s="37">
        <v>2583</v>
      </c>
      <c r="H88" s="37">
        <v>2693</v>
      </c>
      <c r="I88" s="37">
        <v>3088</v>
      </c>
      <c r="J88" s="37">
        <v>3606</v>
      </c>
      <c r="K88">
        <v>4139</v>
      </c>
      <c r="L88">
        <v>2554</v>
      </c>
      <c r="M88">
        <v>2027</v>
      </c>
      <c r="N88">
        <v>2983</v>
      </c>
      <c r="O88">
        <v>1056</v>
      </c>
      <c r="P88">
        <v>161</v>
      </c>
      <c r="Q88">
        <v>778</v>
      </c>
      <c r="R88">
        <v>981</v>
      </c>
      <c r="S88">
        <v>733</v>
      </c>
      <c r="T88">
        <v>731</v>
      </c>
      <c r="U88">
        <v>780</v>
      </c>
      <c r="V88">
        <v>823</v>
      </c>
      <c r="W88">
        <v>952</v>
      </c>
      <c r="X88">
        <v>1164</v>
      </c>
      <c r="Y88">
        <v>897</v>
      </c>
      <c r="Z88">
        <v>732</v>
      </c>
      <c r="AA88">
        <v>1056</v>
      </c>
    </row>
    <row r="89" spans="1:27" hidden="1">
      <c r="A89" s="37" t="s">
        <v>1679</v>
      </c>
      <c r="B89" s="37">
        <v>1401</v>
      </c>
      <c r="C89" s="37">
        <v>1191</v>
      </c>
      <c r="D89" s="37">
        <v>565</v>
      </c>
      <c r="E89" s="37">
        <v>259</v>
      </c>
      <c r="F89" s="37">
        <v>29</v>
      </c>
      <c r="G89" s="37">
        <v>0</v>
      </c>
      <c r="H89" s="37">
        <v>0</v>
      </c>
      <c r="I89" s="37">
        <v>0</v>
      </c>
      <c r="J89" s="37">
        <v>0</v>
      </c>
      <c r="K89">
        <v>104</v>
      </c>
      <c r="L89">
        <v>0</v>
      </c>
      <c r="M89">
        <v>602</v>
      </c>
      <c r="N89">
        <v>994</v>
      </c>
      <c r="O89">
        <v>366</v>
      </c>
      <c r="P89">
        <v>306</v>
      </c>
      <c r="Q89">
        <v>143</v>
      </c>
      <c r="R89">
        <v>88</v>
      </c>
      <c r="S89">
        <v>3</v>
      </c>
      <c r="T89">
        <v>0</v>
      </c>
      <c r="U89">
        <v>0</v>
      </c>
      <c r="V89">
        <v>0</v>
      </c>
      <c r="W89">
        <v>0</v>
      </c>
      <c r="X89">
        <v>18</v>
      </c>
      <c r="Y89">
        <v>0</v>
      </c>
      <c r="Z89">
        <v>102</v>
      </c>
      <c r="AA89">
        <v>116</v>
      </c>
    </row>
    <row r="90" spans="1:27" hidden="1">
      <c r="A90" s="37" t="s">
        <v>1680</v>
      </c>
      <c r="B90" s="37">
        <v>539</v>
      </c>
      <c r="C90" s="37">
        <v>362</v>
      </c>
      <c r="D90" s="37">
        <v>249</v>
      </c>
      <c r="E90" s="37">
        <v>229</v>
      </c>
      <c r="F90" s="37">
        <v>207</v>
      </c>
      <c r="G90" s="37">
        <v>220</v>
      </c>
      <c r="H90" s="37">
        <v>297</v>
      </c>
      <c r="I90" s="37">
        <v>137</v>
      </c>
      <c r="J90" s="37">
        <v>96</v>
      </c>
      <c r="K90">
        <v>140</v>
      </c>
      <c r="L90">
        <v>0</v>
      </c>
      <c r="M90">
        <v>134</v>
      </c>
      <c r="N90">
        <v>222</v>
      </c>
      <c r="O90">
        <v>72</v>
      </c>
      <c r="P90">
        <v>117</v>
      </c>
      <c r="Q90">
        <v>63</v>
      </c>
      <c r="R90">
        <v>80</v>
      </c>
      <c r="S90">
        <v>84</v>
      </c>
      <c r="T90">
        <v>75</v>
      </c>
      <c r="U90">
        <v>144</v>
      </c>
      <c r="V90">
        <v>60</v>
      </c>
      <c r="W90">
        <v>46</v>
      </c>
      <c r="X90">
        <v>75</v>
      </c>
      <c r="Y90">
        <v>0</v>
      </c>
      <c r="Z90">
        <v>40</v>
      </c>
      <c r="AA90">
        <v>56</v>
      </c>
    </row>
    <row r="91" spans="1:27" hidden="1">
      <c r="A91" s="37" t="s">
        <v>41</v>
      </c>
      <c r="B91" s="37">
        <v>2661</v>
      </c>
      <c r="C91" s="37">
        <v>3561</v>
      </c>
      <c r="D91" s="37">
        <v>3146</v>
      </c>
      <c r="E91" s="37">
        <v>3133</v>
      </c>
      <c r="F91" s="37">
        <v>2990</v>
      </c>
      <c r="G91" s="37">
        <v>5395</v>
      </c>
      <c r="H91" s="37">
        <v>3136</v>
      </c>
      <c r="I91" s="37">
        <v>2754</v>
      </c>
      <c r="J91" s="37">
        <v>3536</v>
      </c>
      <c r="K91">
        <v>6006</v>
      </c>
      <c r="L91">
        <v>3772</v>
      </c>
      <c r="M91">
        <v>3383</v>
      </c>
      <c r="N91">
        <v>4768</v>
      </c>
      <c r="O91">
        <v>624</v>
      </c>
      <c r="P91">
        <v>799</v>
      </c>
      <c r="Q91">
        <v>725</v>
      </c>
      <c r="R91">
        <v>799</v>
      </c>
      <c r="S91">
        <v>748</v>
      </c>
      <c r="T91">
        <v>1050</v>
      </c>
      <c r="U91">
        <v>876</v>
      </c>
      <c r="V91">
        <v>790</v>
      </c>
      <c r="W91">
        <v>921</v>
      </c>
      <c r="X91">
        <v>1831</v>
      </c>
      <c r="Y91">
        <v>1052</v>
      </c>
      <c r="Z91">
        <v>919</v>
      </c>
      <c r="AA91">
        <v>1203</v>
      </c>
    </row>
    <row r="92" spans="1:27" hidden="1">
      <c r="A92" s="37" t="s">
        <v>221</v>
      </c>
      <c r="B92" s="37">
        <v>1256</v>
      </c>
      <c r="C92" s="37">
        <v>916</v>
      </c>
      <c r="D92" s="37">
        <v>731</v>
      </c>
      <c r="E92" s="37">
        <v>867</v>
      </c>
      <c r="F92" s="37">
        <v>838</v>
      </c>
      <c r="G92" s="37">
        <v>745</v>
      </c>
      <c r="H92" s="37">
        <v>692</v>
      </c>
      <c r="I92" s="37">
        <v>721</v>
      </c>
      <c r="J92" s="37">
        <v>652</v>
      </c>
      <c r="K92">
        <v>690</v>
      </c>
      <c r="L92">
        <v>597</v>
      </c>
      <c r="M92">
        <v>459</v>
      </c>
      <c r="N92">
        <v>2757</v>
      </c>
      <c r="O92">
        <v>210</v>
      </c>
      <c r="P92">
        <v>211</v>
      </c>
      <c r="Q92">
        <v>211</v>
      </c>
      <c r="R92">
        <v>334</v>
      </c>
      <c r="S92">
        <v>290</v>
      </c>
      <c r="T92">
        <v>296</v>
      </c>
      <c r="U92">
        <v>258</v>
      </c>
      <c r="V92">
        <v>260</v>
      </c>
      <c r="W92">
        <v>254</v>
      </c>
      <c r="X92">
        <v>376</v>
      </c>
      <c r="Y92">
        <v>333</v>
      </c>
      <c r="Z92">
        <v>293</v>
      </c>
      <c r="AA92">
        <v>669</v>
      </c>
    </row>
    <row r="93" spans="1:27" hidden="1">
      <c r="A93" s="37" t="s">
        <v>423</v>
      </c>
      <c r="B93" s="37">
        <v>0</v>
      </c>
      <c r="C93" s="37">
        <v>400</v>
      </c>
      <c r="D93" s="37">
        <v>321</v>
      </c>
      <c r="E93" s="37">
        <v>270</v>
      </c>
      <c r="F93" s="37">
        <v>345</v>
      </c>
      <c r="G93" s="37">
        <v>165</v>
      </c>
      <c r="H93" s="37">
        <v>426</v>
      </c>
      <c r="I93" s="37">
        <v>412</v>
      </c>
      <c r="J93" s="37">
        <v>372</v>
      </c>
      <c r="K93">
        <v>346</v>
      </c>
      <c r="L93">
        <v>504</v>
      </c>
      <c r="M93">
        <v>410</v>
      </c>
      <c r="N93">
        <v>650</v>
      </c>
      <c r="O93">
        <v>0</v>
      </c>
      <c r="P93">
        <v>73</v>
      </c>
      <c r="Q93">
        <v>49</v>
      </c>
      <c r="R93">
        <v>76</v>
      </c>
      <c r="S93">
        <v>101</v>
      </c>
      <c r="T93">
        <v>32</v>
      </c>
      <c r="U93">
        <v>102</v>
      </c>
      <c r="V93">
        <v>89</v>
      </c>
      <c r="W93">
        <v>105</v>
      </c>
      <c r="X93">
        <v>83</v>
      </c>
      <c r="Y93">
        <v>121</v>
      </c>
      <c r="Z93">
        <v>85</v>
      </c>
      <c r="AA93">
        <v>160</v>
      </c>
    </row>
    <row r="94" spans="1:27" hidden="1">
      <c r="A94" s="37" t="s">
        <v>1681</v>
      </c>
      <c r="B94" s="37">
        <v>1047</v>
      </c>
      <c r="C94" s="37">
        <v>1003</v>
      </c>
      <c r="D94" s="37">
        <v>1070</v>
      </c>
      <c r="E94" s="37">
        <v>936</v>
      </c>
      <c r="F94" s="37">
        <v>532</v>
      </c>
      <c r="G94" s="37">
        <v>490</v>
      </c>
      <c r="H94" s="37">
        <v>575</v>
      </c>
      <c r="I94" s="37">
        <v>466</v>
      </c>
      <c r="J94" s="37">
        <v>438</v>
      </c>
      <c r="K94">
        <v>373</v>
      </c>
      <c r="L94">
        <v>350</v>
      </c>
      <c r="M94">
        <v>403</v>
      </c>
      <c r="N94">
        <v>547</v>
      </c>
      <c r="O94">
        <v>200</v>
      </c>
      <c r="P94">
        <v>193</v>
      </c>
      <c r="Q94">
        <v>158</v>
      </c>
      <c r="R94">
        <v>172</v>
      </c>
      <c r="S94">
        <v>135</v>
      </c>
      <c r="T94">
        <v>145</v>
      </c>
      <c r="U94">
        <v>167</v>
      </c>
      <c r="V94">
        <v>149</v>
      </c>
      <c r="W94">
        <v>118</v>
      </c>
      <c r="X94">
        <v>137</v>
      </c>
      <c r="Y94">
        <v>141</v>
      </c>
      <c r="Z94">
        <v>138</v>
      </c>
      <c r="AA94">
        <v>119</v>
      </c>
    </row>
    <row r="95" spans="1:27" hidden="1">
      <c r="A95" s="37" t="s">
        <v>1382</v>
      </c>
      <c r="B95" s="37">
        <v>569</v>
      </c>
      <c r="C95" s="37">
        <v>464</v>
      </c>
      <c r="D95" s="37">
        <v>413</v>
      </c>
      <c r="E95" s="37">
        <v>490</v>
      </c>
      <c r="F95" s="37">
        <v>388</v>
      </c>
      <c r="G95" s="37">
        <v>490</v>
      </c>
      <c r="H95" s="37">
        <v>570</v>
      </c>
      <c r="I95" s="37">
        <v>520</v>
      </c>
      <c r="J95" s="37">
        <v>455</v>
      </c>
      <c r="K95">
        <v>471</v>
      </c>
      <c r="L95">
        <v>330</v>
      </c>
      <c r="M95">
        <v>395</v>
      </c>
      <c r="N95">
        <v>623</v>
      </c>
      <c r="O95">
        <v>153</v>
      </c>
      <c r="P95">
        <v>131</v>
      </c>
      <c r="Q95">
        <v>113</v>
      </c>
      <c r="R95">
        <v>125</v>
      </c>
      <c r="S95">
        <v>141</v>
      </c>
      <c r="T95">
        <v>188</v>
      </c>
      <c r="U95">
        <v>215</v>
      </c>
      <c r="V95">
        <v>209</v>
      </c>
      <c r="W95">
        <v>181</v>
      </c>
      <c r="X95">
        <v>203</v>
      </c>
      <c r="Y95">
        <v>135</v>
      </c>
      <c r="Z95">
        <v>170</v>
      </c>
      <c r="AA95">
        <v>233</v>
      </c>
    </row>
    <row r="96" spans="1:27" hidden="1">
      <c r="A96" s="37" t="s">
        <v>1468</v>
      </c>
      <c r="B96" s="37">
        <v>4013</v>
      </c>
      <c r="C96" s="37">
        <v>2760</v>
      </c>
      <c r="D96" s="37">
        <v>1710</v>
      </c>
      <c r="E96" s="37">
        <v>2229</v>
      </c>
      <c r="F96" s="37">
        <v>2199</v>
      </c>
      <c r="G96" s="37">
        <v>2033</v>
      </c>
      <c r="H96" s="37">
        <v>2284</v>
      </c>
      <c r="I96" s="37">
        <v>2387</v>
      </c>
      <c r="J96" s="37">
        <v>2687</v>
      </c>
      <c r="K96">
        <v>2842</v>
      </c>
      <c r="L96">
        <v>2037</v>
      </c>
      <c r="M96">
        <v>2126</v>
      </c>
      <c r="N96">
        <v>3080</v>
      </c>
      <c r="O96">
        <v>1342</v>
      </c>
      <c r="P96">
        <v>1081</v>
      </c>
      <c r="Q96">
        <v>760</v>
      </c>
      <c r="R96">
        <v>779</v>
      </c>
      <c r="S96">
        <v>809</v>
      </c>
      <c r="T96">
        <v>763</v>
      </c>
      <c r="U96">
        <v>879</v>
      </c>
      <c r="V96">
        <v>971</v>
      </c>
      <c r="W96">
        <v>954</v>
      </c>
      <c r="X96">
        <v>973</v>
      </c>
      <c r="Y96">
        <v>866</v>
      </c>
      <c r="Z96">
        <v>771</v>
      </c>
      <c r="AA96">
        <v>1073</v>
      </c>
    </row>
    <row r="97" spans="1:27" hidden="1">
      <c r="A97" s="37" t="s">
        <v>1453</v>
      </c>
      <c r="B97" s="37">
        <v>4430</v>
      </c>
      <c r="C97" s="37">
        <v>4077</v>
      </c>
      <c r="D97" s="37">
        <v>4073</v>
      </c>
      <c r="E97" s="37">
        <v>5819</v>
      </c>
      <c r="F97" s="37">
        <v>4803</v>
      </c>
      <c r="G97" s="37">
        <v>3465</v>
      </c>
      <c r="H97" s="37">
        <v>2984</v>
      </c>
      <c r="I97" s="37">
        <v>3286</v>
      </c>
      <c r="J97" s="37">
        <v>3939</v>
      </c>
      <c r="K97">
        <v>2858</v>
      </c>
      <c r="L97">
        <v>2712</v>
      </c>
      <c r="M97">
        <v>4267</v>
      </c>
      <c r="N97">
        <v>5102</v>
      </c>
      <c r="O97">
        <v>1640</v>
      </c>
      <c r="P97">
        <v>1481</v>
      </c>
      <c r="Q97">
        <v>1328</v>
      </c>
      <c r="R97">
        <v>1780</v>
      </c>
      <c r="S97">
        <v>1614</v>
      </c>
      <c r="T97">
        <v>1269</v>
      </c>
      <c r="U97">
        <v>1101</v>
      </c>
      <c r="V97">
        <v>1258</v>
      </c>
      <c r="W97">
        <v>1390</v>
      </c>
      <c r="X97">
        <v>1239</v>
      </c>
      <c r="Y97">
        <v>1031</v>
      </c>
      <c r="Z97">
        <v>1236</v>
      </c>
      <c r="AA97">
        <v>1732</v>
      </c>
    </row>
    <row r="98" spans="1:27" hidden="1">
      <c r="A98" s="37" t="s">
        <v>964</v>
      </c>
      <c r="B98" s="37">
        <v>877</v>
      </c>
      <c r="C98" s="37">
        <v>834</v>
      </c>
      <c r="D98" s="37">
        <v>498</v>
      </c>
      <c r="E98" s="37">
        <v>593</v>
      </c>
      <c r="F98" s="37">
        <v>469</v>
      </c>
      <c r="G98" s="37">
        <v>364</v>
      </c>
      <c r="H98" s="37">
        <v>309</v>
      </c>
      <c r="I98" s="37">
        <v>310</v>
      </c>
      <c r="J98" s="37">
        <v>325</v>
      </c>
      <c r="K98">
        <v>292</v>
      </c>
      <c r="L98">
        <v>306</v>
      </c>
      <c r="M98">
        <v>409</v>
      </c>
      <c r="N98">
        <v>568</v>
      </c>
      <c r="O98">
        <v>335</v>
      </c>
      <c r="P98">
        <v>274</v>
      </c>
      <c r="Q98">
        <v>156</v>
      </c>
      <c r="R98">
        <v>169</v>
      </c>
      <c r="S98">
        <v>168</v>
      </c>
      <c r="T98">
        <v>105</v>
      </c>
      <c r="U98">
        <v>180</v>
      </c>
      <c r="V98">
        <v>157</v>
      </c>
      <c r="W98">
        <v>145</v>
      </c>
      <c r="X98">
        <v>211</v>
      </c>
      <c r="Y98">
        <v>159</v>
      </c>
      <c r="Z98">
        <v>204</v>
      </c>
      <c r="AA98">
        <v>269</v>
      </c>
    </row>
    <row r="99" spans="1:27" hidden="1">
      <c r="A99" s="37" t="s">
        <v>886</v>
      </c>
      <c r="B99" s="37">
        <v>8670</v>
      </c>
      <c r="C99" s="37">
        <v>10909</v>
      </c>
      <c r="D99" s="37">
        <v>20029</v>
      </c>
      <c r="E99" s="37">
        <v>36832</v>
      </c>
      <c r="F99" s="37">
        <v>48074</v>
      </c>
      <c r="G99" s="37">
        <v>8569</v>
      </c>
      <c r="H99" s="37">
        <v>38597</v>
      </c>
      <c r="I99" s="37">
        <v>35871</v>
      </c>
      <c r="J99" s="37">
        <v>27638</v>
      </c>
      <c r="K99">
        <v>26167</v>
      </c>
      <c r="L99">
        <v>33946</v>
      </c>
      <c r="M99">
        <v>25886</v>
      </c>
      <c r="N99">
        <v>28439</v>
      </c>
      <c r="O99">
        <v>2031</v>
      </c>
      <c r="P99">
        <v>3136</v>
      </c>
      <c r="Q99">
        <v>3294</v>
      </c>
      <c r="R99">
        <v>6361</v>
      </c>
      <c r="S99">
        <v>9578</v>
      </c>
      <c r="T99">
        <v>2745</v>
      </c>
      <c r="U99">
        <v>10919</v>
      </c>
      <c r="V99">
        <v>9559</v>
      </c>
      <c r="W99">
        <v>7291</v>
      </c>
      <c r="X99">
        <v>7628</v>
      </c>
      <c r="Y99">
        <v>11294</v>
      </c>
      <c r="Z99">
        <v>7969</v>
      </c>
      <c r="AA99">
        <v>7610</v>
      </c>
    </row>
    <row r="100" spans="1:27" hidden="1">
      <c r="A100" s="37" t="s">
        <v>405</v>
      </c>
      <c r="B100" s="37">
        <v>760</v>
      </c>
      <c r="C100" s="37">
        <v>617</v>
      </c>
      <c r="D100" s="37">
        <v>797</v>
      </c>
      <c r="E100" s="37">
        <v>929</v>
      </c>
      <c r="F100" s="37">
        <v>661</v>
      </c>
      <c r="G100" s="37">
        <v>307</v>
      </c>
      <c r="H100" s="37">
        <v>441</v>
      </c>
      <c r="I100" s="37">
        <v>360</v>
      </c>
      <c r="J100" s="37">
        <v>486</v>
      </c>
      <c r="K100">
        <v>425</v>
      </c>
      <c r="L100">
        <v>463</v>
      </c>
      <c r="M100">
        <v>485</v>
      </c>
      <c r="N100">
        <v>542</v>
      </c>
      <c r="O100">
        <v>197</v>
      </c>
      <c r="P100">
        <v>168</v>
      </c>
      <c r="Q100">
        <v>174</v>
      </c>
      <c r="R100">
        <v>246</v>
      </c>
      <c r="S100">
        <v>173</v>
      </c>
      <c r="T100">
        <v>84</v>
      </c>
      <c r="U100">
        <v>151</v>
      </c>
      <c r="V100">
        <v>144</v>
      </c>
      <c r="W100">
        <v>172</v>
      </c>
      <c r="X100">
        <v>168</v>
      </c>
      <c r="Y100">
        <v>165</v>
      </c>
      <c r="Z100">
        <v>158</v>
      </c>
      <c r="AA100">
        <v>188</v>
      </c>
    </row>
    <row r="101" spans="1:27" hidden="1">
      <c r="A101" s="37" t="s">
        <v>455</v>
      </c>
      <c r="B101" s="37">
        <v>632</v>
      </c>
      <c r="C101" s="37">
        <v>1062</v>
      </c>
      <c r="D101" s="37">
        <v>1126</v>
      </c>
      <c r="E101" s="37">
        <v>1227</v>
      </c>
      <c r="F101" s="37">
        <v>713</v>
      </c>
      <c r="G101" s="37">
        <v>320</v>
      </c>
      <c r="H101" s="37">
        <v>544</v>
      </c>
      <c r="I101" s="37">
        <v>581</v>
      </c>
      <c r="J101" s="37">
        <v>434</v>
      </c>
      <c r="K101">
        <v>541</v>
      </c>
      <c r="L101">
        <v>380</v>
      </c>
      <c r="M101">
        <v>394</v>
      </c>
      <c r="N101">
        <v>195</v>
      </c>
      <c r="O101">
        <v>193</v>
      </c>
      <c r="P101">
        <v>297</v>
      </c>
      <c r="Q101">
        <v>180</v>
      </c>
      <c r="R101">
        <v>225</v>
      </c>
      <c r="S101">
        <v>107</v>
      </c>
      <c r="T101">
        <v>37</v>
      </c>
      <c r="U101">
        <v>147</v>
      </c>
      <c r="V101">
        <v>162</v>
      </c>
      <c r="W101">
        <v>141</v>
      </c>
      <c r="X101">
        <v>139</v>
      </c>
      <c r="Y101">
        <v>104</v>
      </c>
      <c r="Z101">
        <v>96</v>
      </c>
      <c r="AA101">
        <v>51</v>
      </c>
    </row>
    <row r="102" spans="1:27" hidden="1">
      <c r="A102" s="37" t="s">
        <v>205</v>
      </c>
      <c r="B102" s="37">
        <v>417</v>
      </c>
      <c r="C102" s="37">
        <v>369</v>
      </c>
      <c r="D102" s="37">
        <v>427</v>
      </c>
      <c r="E102" s="37">
        <v>482</v>
      </c>
      <c r="F102" s="37">
        <v>418</v>
      </c>
      <c r="G102" s="37">
        <v>408</v>
      </c>
      <c r="H102" s="37">
        <v>412</v>
      </c>
      <c r="I102" s="37">
        <v>489</v>
      </c>
      <c r="J102" s="37">
        <v>404</v>
      </c>
      <c r="K102">
        <v>390</v>
      </c>
      <c r="L102">
        <v>383</v>
      </c>
      <c r="M102">
        <v>392</v>
      </c>
      <c r="N102">
        <v>567</v>
      </c>
      <c r="O102">
        <v>80</v>
      </c>
      <c r="P102">
        <v>69</v>
      </c>
      <c r="Q102">
        <v>69</v>
      </c>
      <c r="R102">
        <v>85</v>
      </c>
      <c r="S102">
        <v>84</v>
      </c>
      <c r="T102">
        <v>60</v>
      </c>
      <c r="U102">
        <v>80</v>
      </c>
      <c r="V102">
        <v>84</v>
      </c>
      <c r="W102">
        <v>60</v>
      </c>
      <c r="X102">
        <v>83</v>
      </c>
      <c r="Y102">
        <v>78</v>
      </c>
      <c r="Z102">
        <v>52</v>
      </c>
      <c r="AA102">
        <v>110</v>
      </c>
    </row>
    <row r="103" spans="1:27" hidden="1">
      <c r="A103" s="37" t="s">
        <v>19</v>
      </c>
      <c r="B103" s="37">
        <v>1416</v>
      </c>
      <c r="C103" s="37">
        <v>1319</v>
      </c>
      <c r="D103" s="37">
        <v>1252</v>
      </c>
      <c r="E103" s="37">
        <v>1470</v>
      </c>
      <c r="F103" s="37">
        <v>1502</v>
      </c>
      <c r="G103" s="37">
        <v>1536</v>
      </c>
      <c r="H103" s="37">
        <v>1132</v>
      </c>
      <c r="I103" s="37">
        <v>1296</v>
      </c>
      <c r="J103" s="37">
        <v>1270</v>
      </c>
      <c r="K103">
        <v>1231</v>
      </c>
      <c r="L103">
        <v>1188</v>
      </c>
      <c r="M103">
        <v>1256</v>
      </c>
      <c r="N103">
        <v>1591</v>
      </c>
      <c r="O103">
        <v>357</v>
      </c>
      <c r="P103">
        <v>397</v>
      </c>
      <c r="Q103">
        <v>370</v>
      </c>
      <c r="R103">
        <v>437</v>
      </c>
      <c r="S103">
        <v>535</v>
      </c>
      <c r="T103">
        <v>467</v>
      </c>
      <c r="U103">
        <v>381</v>
      </c>
      <c r="V103">
        <v>455</v>
      </c>
      <c r="W103">
        <v>452</v>
      </c>
      <c r="X103">
        <v>433</v>
      </c>
      <c r="Y103">
        <v>551</v>
      </c>
      <c r="Z103">
        <v>451</v>
      </c>
      <c r="AA103">
        <v>530</v>
      </c>
    </row>
    <row r="104" spans="1:27" hidden="1">
      <c r="A104" s="37" t="s">
        <v>291</v>
      </c>
      <c r="B104" s="37">
        <v>2658</v>
      </c>
      <c r="C104" s="37">
        <v>1941</v>
      </c>
      <c r="D104" s="37">
        <v>1600</v>
      </c>
      <c r="E104" s="37">
        <v>2850</v>
      </c>
      <c r="F104" s="37">
        <v>2049</v>
      </c>
      <c r="G104" s="37">
        <v>1591</v>
      </c>
      <c r="H104" s="37">
        <v>1100</v>
      </c>
      <c r="I104" s="37">
        <v>1282</v>
      </c>
      <c r="J104" s="37">
        <v>1604</v>
      </c>
      <c r="K104">
        <v>1344</v>
      </c>
      <c r="L104">
        <v>1925</v>
      </c>
      <c r="M104">
        <v>2309</v>
      </c>
      <c r="N104">
        <v>1832</v>
      </c>
      <c r="O104">
        <v>662</v>
      </c>
      <c r="P104">
        <v>325</v>
      </c>
      <c r="Q104">
        <v>210</v>
      </c>
      <c r="R104">
        <v>587</v>
      </c>
      <c r="S104">
        <v>379</v>
      </c>
      <c r="T104">
        <v>311</v>
      </c>
      <c r="U104">
        <v>189</v>
      </c>
      <c r="V104">
        <v>201</v>
      </c>
      <c r="W104">
        <v>296</v>
      </c>
      <c r="X104">
        <v>252</v>
      </c>
      <c r="Y104">
        <v>392</v>
      </c>
      <c r="Z104">
        <v>325</v>
      </c>
      <c r="AA104">
        <v>309</v>
      </c>
    </row>
    <row r="105" spans="1:27" hidden="1">
      <c r="A105" s="37" t="s">
        <v>585</v>
      </c>
      <c r="B105" s="37">
        <v>1711</v>
      </c>
      <c r="C105" s="37">
        <v>1517</v>
      </c>
      <c r="D105" s="37">
        <v>1607</v>
      </c>
      <c r="E105" s="37">
        <v>1913</v>
      </c>
      <c r="F105" s="37">
        <v>1166</v>
      </c>
      <c r="G105" s="37">
        <v>1267</v>
      </c>
      <c r="H105" s="37">
        <v>1273</v>
      </c>
      <c r="I105" s="37">
        <v>1016</v>
      </c>
      <c r="J105" s="37">
        <v>1164</v>
      </c>
      <c r="K105">
        <v>1184</v>
      </c>
      <c r="L105">
        <v>1032</v>
      </c>
      <c r="M105">
        <v>1088</v>
      </c>
      <c r="N105">
        <v>1896</v>
      </c>
      <c r="O105">
        <v>411</v>
      </c>
      <c r="P105">
        <v>354</v>
      </c>
      <c r="Q105">
        <v>384</v>
      </c>
      <c r="R105">
        <v>406</v>
      </c>
      <c r="S105">
        <v>347</v>
      </c>
      <c r="T105">
        <v>342</v>
      </c>
      <c r="U105">
        <v>433</v>
      </c>
      <c r="V105">
        <v>322</v>
      </c>
      <c r="W105">
        <v>340</v>
      </c>
      <c r="X105">
        <v>393</v>
      </c>
      <c r="Y105">
        <v>393</v>
      </c>
      <c r="Z105">
        <v>346</v>
      </c>
      <c r="AA105">
        <v>536</v>
      </c>
    </row>
    <row r="106" spans="1:27" hidden="1">
      <c r="A106" s="37" t="s">
        <v>1481</v>
      </c>
      <c r="B106" s="37">
        <v>1350</v>
      </c>
      <c r="C106" s="37">
        <v>1288</v>
      </c>
      <c r="D106" s="37">
        <v>1007</v>
      </c>
      <c r="E106" s="37">
        <v>920</v>
      </c>
      <c r="F106" s="37">
        <v>747</v>
      </c>
      <c r="G106" s="37">
        <v>676</v>
      </c>
      <c r="H106" s="37">
        <v>705</v>
      </c>
      <c r="I106" s="37">
        <v>751</v>
      </c>
      <c r="J106" s="37">
        <v>796</v>
      </c>
      <c r="K106">
        <v>602</v>
      </c>
      <c r="L106">
        <v>541</v>
      </c>
      <c r="M106">
        <v>610</v>
      </c>
      <c r="N106">
        <v>698</v>
      </c>
      <c r="O106">
        <v>504</v>
      </c>
      <c r="P106">
        <v>488</v>
      </c>
      <c r="Q106">
        <v>380</v>
      </c>
      <c r="R106">
        <v>486</v>
      </c>
      <c r="S106">
        <v>404</v>
      </c>
      <c r="T106">
        <v>337</v>
      </c>
      <c r="U106">
        <v>407</v>
      </c>
      <c r="V106">
        <v>377</v>
      </c>
      <c r="W106">
        <v>450</v>
      </c>
      <c r="X106">
        <v>386</v>
      </c>
      <c r="Y106">
        <v>383</v>
      </c>
      <c r="Z106">
        <v>322</v>
      </c>
      <c r="AA106">
        <v>378</v>
      </c>
    </row>
    <row r="107" spans="1:27" hidden="1">
      <c r="A107" s="37" t="s">
        <v>1682</v>
      </c>
      <c r="B107" s="37">
        <v>0</v>
      </c>
      <c r="C107" s="37">
        <v>0</v>
      </c>
      <c r="D107" s="37">
        <v>0</v>
      </c>
      <c r="E107" s="37">
        <v>0</v>
      </c>
      <c r="F107" s="37">
        <v>0</v>
      </c>
      <c r="G107" s="37">
        <v>0</v>
      </c>
      <c r="H107" s="37">
        <v>208</v>
      </c>
      <c r="I107" s="37">
        <v>163</v>
      </c>
      <c r="J107" s="37">
        <v>136</v>
      </c>
      <c r="K107">
        <v>90</v>
      </c>
      <c r="L107">
        <v>112</v>
      </c>
      <c r="M107">
        <v>98</v>
      </c>
      <c r="N107">
        <v>107</v>
      </c>
      <c r="O107">
        <v>0</v>
      </c>
      <c r="P107">
        <v>0</v>
      </c>
      <c r="Q107">
        <v>0</v>
      </c>
      <c r="R107">
        <v>0</v>
      </c>
      <c r="S107">
        <v>0</v>
      </c>
      <c r="T107">
        <v>0</v>
      </c>
      <c r="U107">
        <v>53</v>
      </c>
      <c r="V107">
        <v>0</v>
      </c>
      <c r="W107">
        <v>89</v>
      </c>
      <c r="X107">
        <v>76</v>
      </c>
      <c r="Y107">
        <v>65</v>
      </c>
      <c r="Z107">
        <v>59</v>
      </c>
      <c r="AA107">
        <v>71</v>
      </c>
    </row>
    <row r="108" spans="1:27" hidden="1">
      <c r="A108" s="37" t="s">
        <v>1374</v>
      </c>
      <c r="B108" s="37">
        <v>974</v>
      </c>
      <c r="C108" s="37">
        <v>1095</v>
      </c>
      <c r="D108" s="37">
        <v>2094</v>
      </c>
      <c r="E108" s="37">
        <v>1713</v>
      </c>
      <c r="F108" s="37">
        <v>1063</v>
      </c>
      <c r="G108" s="37">
        <v>7926</v>
      </c>
      <c r="H108" s="37">
        <v>1635</v>
      </c>
      <c r="I108" s="37">
        <v>895</v>
      </c>
      <c r="J108" s="37">
        <v>735</v>
      </c>
      <c r="K108">
        <v>787</v>
      </c>
      <c r="L108">
        <v>784</v>
      </c>
      <c r="M108">
        <v>623</v>
      </c>
      <c r="N108">
        <v>752</v>
      </c>
      <c r="O108">
        <v>243</v>
      </c>
      <c r="P108">
        <v>251</v>
      </c>
      <c r="Q108">
        <v>219</v>
      </c>
      <c r="R108">
        <v>238</v>
      </c>
      <c r="S108">
        <v>190</v>
      </c>
      <c r="T108">
        <v>681</v>
      </c>
      <c r="U108">
        <v>331</v>
      </c>
      <c r="V108">
        <v>271</v>
      </c>
      <c r="W108">
        <v>266</v>
      </c>
      <c r="X108">
        <v>242</v>
      </c>
      <c r="Y108">
        <v>258</v>
      </c>
      <c r="Z108">
        <v>196</v>
      </c>
      <c r="AA108">
        <v>221</v>
      </c>
    </row>
    <row r="109" spans="1:27" hidden="1">
      <c r="A109" s="37" t="s">
        <v>1500</v>
      </c>
      <c r="B109" s="37">
        <v>3177</v>
      </c>
      <c r="C109" s="37">
        <v>2464</v>
      </c>
      <c r="D109" s="37">
        <v>2763</v>
      </c>
      <c r="E109" s="37">
        <v>1976</v>
      </c>
      <c r="F109" s="37">
        <v>1821</v>
      </c>
      <c r="G109" s="37">
        <v>2050</v>
      </c>
      <c r="H109" s="37">
        <v>1848</v>
      </c>
      <c r="I109" s="37">
        <v>3303</v>
      </c>
      <c r="J109" s="37">
        <v>3686</v>
      </c>
      <c r="K109">
        <v>2520</v>
      </c>
      <c r="L109">
        <v>2132</v>
      </c>
      <c r="M109">
        <v>1660</v>
      </c>
      <c r="N109">
        <v>2478</v>
      </c>
      <c r="O109">
        <v>956</v>
      </c>
      <c r="P109">
        <v>706</v>
      </c>
      <c r="Q109">
        <v>796</v>
      </c>
      <c r="R109">
        <v>678</v>
      </c>
      <c r="S109">
        <v>632</v>
      </c>
      <c r="T109">
        <v>640</v>
      </c>
      <c r="U109">
        <v>573</v>
      </c>
      <c r="V109">
        <v>1096</v>
      </c>
      <c r="W109">
        <v>1083</v>
      </c>
      <c r="X109">
        <v>812</v>
      </c>
      <c r="Y109">
        <v>718</v>
      </c>
      <c r="Z109">
        <v>581</v>
      </c>
      <c r="AA109">
        <v>796</v>
      </c>
    </row>
    <row r="110" spans="1:27" hidden="1">
      <c r="A110" s="37" t="s">
        <v>820</v>
      </c>
      <c r="B110" s="37">
        <v>1558</v>
      </c>
      <c r="C110" s="37">
        <v>1634</v>
      </c>
      <c r="D110" s="37">
        <v>1646</v>
      </c>
      <c r="E110" s="37">
        <v>1521</v>
      </c>
      <c r="F110" s="37">
        <v>1323</v>
      </c>
      <c r="G110" s="37">
        <v>1390</v>
      </c>
      <c r="H110" s="37">
        <v>1297</v>
      </c>
      <c r="I110" s="37">
        <v>1409</v>
      </c>
      <c r="J110" s="37">
        <v>1320</v>
      </c>
      <c r="K110">
        <v>1483</v>
      </c>
      <c r="L110">
        <v>1257</v>
      </c>
      <c r="M110">
        <v>1150</v>
      </c>
      <c r="N110">
        <v>1841</v>
      </c>
      <c r="O110">
        <v>424</v>
      </c>
      <c r="P110">
        <v>424</v>
      </c>
      <c r="Q110">
        <v>419</v>
      </c>
      <c r="R110">
        <v>459</v>
      </c>
      <c r="S110">
        <v>370</v>
      </c>
      <c r="T110">
        <v>390</v>
      </c>
      <c r="U110">
        <v>403</v>
      </c>
      <c r="V110">
        <v>454</v>
      </c>
      <c r="W110">
        <v>474</v>
      </c>
      <c r="X110">
        <v>470</v>
      </c>
      <c r="Y110">
        <v>461</v>
      </c>
      <c r="Z110">
        <v>350</v>
      </c>
      <c r="AA110">
        <v>545</v>
      </c>
    </row>
    <row r="111" spans="1:27" hidden="1">
      <c r="A111" s="37" t="s">
        <v>195</v>
      </c>
      <c r="B111" s="37">
        <v>1299</v>
      </c>
      <c r="C111" s="37">
        <v>1499</v>
      </c>
      <c r="D111" s="37">
        <v>1816</v>
      </c>
      <c r="E111" s="37">
        <v>1430</v>
      </c>
      <c r="F111" s="37">
        <v>1165</v>
      </c>
      <c r="G111" s="37">
        <v>1127</v>
      </c>
      <c r="H111" s="37">
        <v>1156</v>
      </c>
      <c r="I111" s="37">
        <v>1195</v>
      </c>
      <c r="J111" s="37">
        <v>1128</v>
      </c>
      <c r="K111">
        <v>1082</v>
      </c>
      <c r="L111">
        <v>1391</v>
      </c>
      <c r="M111">
        <v>1233</v>
      </c>
      <c r="N111">
        <v>1255</v>
      </c>
      <c r="O111">
        <v>344</v>
      </c>
      <c r="P111">
        <v>366</v>
      </c>
      <c r="Q111">
        <v>477</v>
      </c>
      <c r="R111">
        <v>447</v>
      </c>
      <c r="S111">
        <v>359</v>
      </c>
      <c r="T111">
        <v>318</v>
      </c>
      <c r="U111">
        <v>366</v>
      </c>
      <c r="V111">
        <v>342</v>
      </c>
      <c r="W111">
        <v>374</v>
      </c>
      <c r="X111">
        <v>358</v>
      </c>
      <c r="Y111">
        <v>522</v>
      </c>
      <c r="Z111">
        <v>387</v>
      </c>
      <c r="AA111">
        <v>426</v>
      </c>
    </row>
    <row r="112" spans="1:27" hidden="1">
      <c r="A112" s="37" t="s">
        <v>1439</v>
      </c>
      <c r="B112" s="37">
        <v>1354</v>
      </c>
      <c r="C112" s="37">
        <v>1035</v>
      </c>
      <c r="D112" s="37">
        <v>988</v>
      </c>
      <c r="E112" s="37">
        <v>832</v>
      </c>
      <c r="F112" s="37">
        <v>578</v>
      </c>
      <c r="G112" s="37">
        <v>641</v>
      </c>
      <c r="H112" s="37">
        <v>495</v>
      </c>
      <c r="I112" s="37">
        <v>449</v>
      </c>
      <c r="J112" s="37">
        <v>494</v>
      </c>
      <c r="K112">
        <v>420</v>
      </c>
      <c r="L112">
        <v>425</v>
      </c>
      <c r="M112">
        <v>498</v>
      </c>
      <c r="N112">
        <v>833</v>
      </c>
      <c r="O112">
        <v>423</v>
      </c>
      <c r="P112">
        <v>376</v>
      </c>
      <c r="Q112">
        <v>379</v>
      </c>
      <c r="R112">
        <v>333</v>
      </c>
      <c r="S112">
        <v>327</v>
      </c>
      <c r="T112">
        <v>284</v>
      </c>
      <c r="U112">
        <v>281</v>
      </c>
      <c r="V112">
        <v>222</v>
      </c>
      <c r="W112">
        <v>279</v>
      </c>
      <c r="X112">
        <v>288</v>
      </c>
      <c r="Y112">
        <v>265</v>
      </c>
      <c r="Z112">
        <v>286</v>
      </c>
      <c r="AA112">
        <v>389</v>
      </c>
    </row>
    <row r="113" spans="1:27" hidden="1">
      <c r="A113" s="37" t="s">
        <v>1683</v>
      </c>
      <c r="B113" s="37">
        <v>2000</v>
      </c>
      <c r="C113" s="37">
        <v>2085</v>
      </c>
      <c r="D113" s="37">
        <v>1899</v>
      </c>
      <c r="E113" s="37">
        <v>1650</v>
      </c>
      <c r="F113" s="37">
        <v>382</v>
      </c>
      <c r="G113" s="37">
        <v>0</v>
      </c>
      <c r="H113" s="37">
        <v>22</v>
      </c>
      <c r="I113" s="37">
        <v>12</v>
      </c>
      <c r="J113" s="37">
        <v>0</v>
      </c>
      <c r="K113">
        <v>6</v>
      </c>
      <c r="L113">
        <v>0</v>
      </c>
      <c r="M113">
        <v>0</v>
      </c>
      <c r="N113">
        <v>0</v>
      </c>
      <c r="O113">
        <v>746</v>
      </c>
      <c r="P113">
        <v>797</v>
      </c>
      <c r="Q113">
        <v>748</v>
      </c>
      <c r="R113">
        <v>696</v>
      </c>
      <c r="S113">
        <v>44</v>
      </c>
      <c r="T113">
        <v>0</v>
      </c>
      <c r="U113">
        <v>6</v>
      </c>
      <c r="V113">
        <v>2</v>
      </c>
      <c r="W113">
        <v>0</v>
      </c>
      <c r="X113">
        <v>1</v>
      </c>
      <c r="Y113">
        <v>0</v>
      </c>
      <c r="Z113">
        <v>0</v>
      </c>
      <c r="AA113">
        <v>0</v>
      </c>
    </row>
    <row r="114" spans="1:27" hidden="1">
      <c r="A114" s="37" t="s">
        <v>1409</v>
      </c>
      <c r="B114" s="37">
        <v>485</v>
      </c>
      <c r="C114" s="37">
        <v>784</v>
      </c>
      <c r="D114" s="37">
        <v>1103</v>
      </c>
      <c r="E114" s="37">
        <v>586</v>
      </c>
      <c r="F114" s="37">
        <v>489</v>
      </c>
      <c r="G114" s="37">
        <v>498</v>
      </c>
      <c r="H114" s="37">
        <v>519</v>
      </c>
      <c r="I114" s="37">
        <v>491</v>
      </c>
      <c r="J114" s="37">
        <v>434</v>
      </c>
      <c r="K114">
        <v>440</v>
      </c>
      <c r="L114">
        <v>494</v>
      </c>
      <c r="M114">
        <v>378</v>
      </c>
      <c r="N114">
        <v>468</v>
      </c>
      <c r="O114">
        <v>116</v>
      </c>
      <c r="P114">
        <v>224</v>
      </c>
      <c r="Q114">
        <v>288</v>
      </c>
      <c r="R114">
        <v>195</v>
      </c>
      <c r="S114">
        <v>177</v>
      </c>
      <c r="T114">
        <v>171</v>
      </c>
      <c r="U114">
        <v>180</v>
      </c>
      <c r="V114">
        <v>169</v>
      </c>
      <c r="W114">
        <v>172</v>
      </c>
      <c r="X114">
        <v>177</v>
      </c>
      <c r="Y114">
        <v>196</v>
      </c>
      <c r="Z114">
        <v>143</v>
      </c>
      <c r="AA114">
        <v>157</v>
      </c>
    </row>
    <row r="115" spans="1:27" hidden="1">
      <c r="A115" s="37" t="s">
        <v>1427</v>
      </c>
      <c r="B115" s="37">
        <v>1192</v>
      </c>
      <c r="C115" s="37">
        <v>1048</v>
      </c>
      <c r="D115" s="37">
        <v>821</v>
      </c>
      <c r="E115" s="37">
        <v>1049</v>
      </c>
      <c r="F115" s="37">
        <v>657</v>
      </c>
      <c r="G115" s="37">
        <v>569</v>
      </c>
      <c r="H115" s="37">
        <v>676</v>
      </c>
      <c r="I115" s="37">
        <v>751</v>
      </c>
      <c r="J115" s="37">
        <v>681</v>
      </c>
      <c r="K115">
        <v>585</v>
      </c>
      <c r="L115">
        <v>550</v>
      </c>
      <c r="M115">
        <v>509</v>
      </c>
      <c r="N115">
        <v>693</v>
      </c>
      <c r="O115">
        <v>428</v>
      </c>
      <c r="P115">
        <v>414</v>
      </c>
      <c r="Q115">
        <v>318</v>
      </c>
      <c r="R115">
        <v>424</v>
      </c>
      <c r="S115">
        <v>298</v>
      </c>
      <c r="T115">
        <v>272</v>
      </c>
      <c r="U115">
        <v>314</v>
      </c>
      <c r="V115">
        <v>369</v>
      </c>
      <c r="W115">
        <v>313</v>
      </c>
      <c r="X115">
        <v>313</v>
      </c>
      <c r="Y115">
        <v>267</v>
      </c>
      <c r="Z115">
        <v>326</v>
      </c>
      <c r="AA115">
        <v>517</v>
      </c>
    </row>
    <row r="116" spans="1:27" hidden="1">
      <c r="A116" s="37" t="s">
        <v>1328</v>
      </c>
      <c r="B116" s="37">
        <v>1214</v>
      </c>
      <c r="C116" s="37">
        <v>674</v>
      </c>
      <c r="D116" s="37">
        <v>89</v>
      </c>
      <c r="E116" s="37">
        <v>820</v>
      </c>
      <c r="F116" s="37">
        <v>684</v>
      </c>
      <c r="G116" s="37">
        <v>594</v>
      </c>
      <c r="H116" s="37">
        <v>649</v>
      </c>
      <c r="I116" s="37">
        <v>840</v>
      </c>
      <c r="J116" s="37">
        <v>746</v>
      </c>
      <c r="K116">
        <v>606</v>
      </c>
      <c r="L116">
        <v>512</v>
      </c>
      <c r="M116">
        <v>528</v>
      </c>
      <c r="N116">
        <v>764</v>
      </c>
      <c r="O116">
        <v>311</v>
      </c>
      <c r="P116">
        <v>142</v>
      </c>
      <c r="Q116">
        <v>0</v>
      </c>
      <c r="R116">
        <v>293</v>
      </c>
      <c r="S116">
        <v>178</v>
      </c>
      <c r="T116">
        <v>160</v>
      </c>
      <c r="U116">
        <v>169</v>
      </c>
      <c r="V116">
        <v>197</v>
      </c>
      <c r="W116">
        <v>181</v>
      </c>
      <c r="X116">
        <v>144</v>
      </c>
      <c r="Y116">
        <v>176</v>
      </c>
      <c r="Z116">
        <v>156</v>
      </c>
      <c r="AA116">
        <v>199</v>
      </c>
    </row>
    <row r="117" spans="1:27" hidden="1">
      <c r="A117" s="37" t="s">
        <v>1634</v>
      </c>
      <c r="B117" s="37">
        <v>128</v>
      </c>
      <c r="C117" s="37">
        <v>112</v>
      </c>
      <c r="D117" s="37">
        <v>69</v>
      </c>
      <c r="E117" s="37">
        <v>74</v>
      </c>
      <c r="F117" s="37">
        <v>64</v>
      </c>
      <c r="G117" s="37">
        <v>77</v>
      </c>
      <c r="H117" s="37">
        <v>86</v>
      </c>
      <c r="I117" s="37">
        <v>74</v>
      </c>
      <c r="J117" s="37">
        <v>72</v>
      </c>
      <c r="K117">
        <v>67</v>
      </c>
      <c r="L117">
        <v>63</v>
      </c>
      <c r="M117">
        <v>67</v>
      </c>
      <c r="N117">
        <v>263</v>
      </c>
      <c r="O117">
        <v>33</v>
      </c>
      <c r="P117">
        <v>29</v>
      </c>
      <c r="Q117">
        <v>23</v>
      </c>
      <c r="R117">
        <v>29</v>
      </c>
      <c r="S117">
        <v>18</v>
      </c>
      <c r="T117">
        <v>31</v>
      </c>
      <c r="U117">
        <v>36</v>
      </c>
      <c r="V117">
        <v>23</v>
      </c>
      <c r="W117">
        <v>33</v>
      </c>
      <c r="X117">
        <v>40</v>
      </c>
      <c r="Y117">
        <v>26</v>
      </c>
      <c r="Z117">
        <v>28</v>
      </c>
      <c r="AA117">
        <v>88</v>
      </c>
    </row>
    <row r="118" spans="1:27" hidden="1">
      <c r="A118" s="37" t="s">
        <v>968</v>
      </c>
      <c r="B118" s="37">
        <v>198</v>
      </c>
      <c r="C118" s="37">
        <v>302</v>
      </c>
      <c r="D118" s="37">
        <v>84</v>
      </c>
      <c r="E118" s="37">
        <v>72</v>
      </c>
      <c r="F118" s="37">
        <v>53</v>
      </c>
      <c r="G118" s="37">
        <v>62</v>
      </c>
      <c r="H118" s="37">
        <v>107</v>
      </c>
      <c r="I118" s="37">
        <v>137</v>
      </c>
      <c r="J118" s="37">
        <v>147</v>
      </c>
      <c r="K118">
        <v>127</v>
      </c>
      <c r="L118">
        <v>161</v>
      </c>
      <c r="M118">
        <v>164</v>
      </c>
      <c r="N118">
        <v>206</v>
      </c>
      <c r="O118">
        <v>12</v>
      </c>
      <c r="P118">
        <v>33</v>
      </c>
      <c r="Q118">
        <v>6</v>
      </c>
      <c r="R118">
        <v>21</v>
      </c>
      <c r="S118">
        <v>13</v>
      </c>
      <c r="T118">
        <v>18</v>
      </c>
      <c r="U118">
        <v>47</v>
      </c>
      <c r="V118">
        <v>61</v>
      </c>
      <c r="W118">
        <v>67</v>
      </c>
      <c r="X118">
        <v>51</v>
      </c>
      <c r="Y118">
        <v>90</v>
      </c>
      <c r="Z118">
        <v>75</v>
      </c>
      <c r="AA118">
        <v>129</v>
      </c>
    </row>
    <row r="119" spans="1:27" hidden="1">
      <c r="A119" s="37" t="s">
        <v>1639</v>
      </c>
      <c r="B119" s="37">
        <v>28</v>
      </c>
      <c r="C119" s="37">
        <v>33</v>
      </c>
      <c r="D119" s="37">
        <v>39</v>
      </c>
      <c r="E119" s="37">
        <v>35</v>
      </c>
      <c r="F119" s="37">
        <v>36</v>
      </c>
      <c r="G119" s="37">
        <v>26</v>
      </c>
      <c r="H119" s="37">
        <v>51</v>
      </c>
      <c r="I119" s="37">
        <v>43</v>
      </c>
      <c r="J119" s="37">
        <v>53</v>
      </c>
      <c r="K119">
        <v>67</v>
      </c>
      <c r="L119">
        <v>59</v>
      </c>
      <c r="M119">
        <v>63</v>
      </c>
      <c r="N119">
        <v>73</v>
      </c>
      <c r="O119">
        <v>20</v>
      </c>
      <c r="P119">
        <v>13</v>
      </c>
      <c r="Q119">
        <v>18</v>
      </c>
      <c r="R119">
        <v>17</v>
      </c>
      <c r="S119">
        <v>21</v>
      </c>
      <c r="T119">
        <v>21</v>
      </c>
      <c r="U119">
        <v>23</v>
      </c>
      <c r="V119">
        <v>20</v>
      </c>
      <c r="W119">
        <v>30</v>
      </c>
      <c r="X119">
        <v>29</v>
      </c>
      <c r="Y119">
        <v>33</v>
      </c>
      <c r="Z119">
        <v>23</v>
      </c>
      <c r="AA119">
        <v>29</v>
      </c>
    </row>
    <row r="120" spans="1:27" hidden="1">
      <c r="A120" s="37" t="s">
        <v>1005</v>
      </c>
      <c r="B120" s="37">
        <v>1002</v>
      </c>
      <c r="C120" s="37">
        <v>1034</v>
      </c>
      <c r="D120" s="37">
        <v>660</v>
      </c>
      <c r="E120" s="37">
        <v>563</v>
      </c>
      <c r="F120" s="37">
        <v>480</v>
      </c>
      <c r="G120" s="37">
        <v>479</v>
      </c>
      <c r="H120" s="37">
        <v>567</v>
      </c>
      <c r="I120" s="37">
        <v>408</v>
      </c>
      <c r="J120" s="37">
        <v>372</v>
      </c>
      <c r="K120">
        <v>355</v>
      </c>
      <c r="L120">
        <v>488</v>
      </c>
      <c r="M120">
        <v>327</v>
      </c>
      <c r="N120">
        <v>312</v>
      </c>
      <c r="O120">
        <v>304</v>
      </c>
      <c r="P120">
        <v>508</v>
      </c>
      <c r="Q120">
        <v>271</v>
      </c>
      <c r="R120">
        <v>268</v>
      </c>
      <c r="S120">
        <v>205</v>
      </c>
      <c r="T120">
        <v>208</v>
      </c>
      <c r="U120">
        <v>239</v>
      </c>
      <c r="V120">
        <v>215</v>
      </c>
      <c r="W120">
        <v>184</v>
      </c>
      <c r="X120">
        <v>165</v>
      </c>
      <c r="Y120">
        <v>254</v>
      </c>
      <c r="Z120">
        <v>150</v>
      </c>
      <c r="AA120">
        <v>170</v>
      </c>
    </row>
    <row r="121" spans="1:27" hidden="1">
      <c r="A121" s="37" t="s">
        <v>535</v>
      </c>
      <c r="B121" s="37">
        <v>556</v>
      </c>
      <c r="C121" s="37">
        <v>644</v>
      </c>
      <c r="D121" s="37">
        <v>668</v>
      </c>
      <c r="E121" s="37">
        <v>708</v>
      </c>
      <c r="F121" s="37">
        <v>563</v>
      </c>
      <c r="G121" s="37">
        <v>598</v>
      </c>
      <c r="H121" s="37">
        <v>612</v>
      </c>
      <c r="I121" s="37">
        <v>598</v>
      </c>
      <c r="J121" s="37">
        <v>654</v>
      </c>
      <c r="K121">
        <v>737</v>
      </c>
      <c r="L121">
        <v>684</v>
      </c>
      <c r="M121">
        <v>847</v>
      </c>
      <c r="N121">
        <v>1069</v>
      </c>
      <c r="O121">
        <v>120</v>
      </c>
      <c r="P121">
        <v>132</v>
      </c>
      <c r="Q121">
        <v>124</v>
      </c>
      <c r="R121">
        <v>147</v>
      </c>
      <c r="S121">
        <v>118</v>
      </c>
      <c r="T121">
        <v>134</v>
      </c>
      <c r="U121">
        <v>107</v>
      </c>
      <c r="V121">
        <v>127</v>
      </c>
      <c r="W121">
        <v>166</v>
      </c>
      <c r="X121">
        <v>193</v>
      </c>
      <c r="Y121">
        <v>267</v>
      </c>
      <c r="Z121">
        <v>247</v>
      </c>
      <c r="AA121">
        <v>276</v>
      </c>
    </row>
    <row r="122" spans="1:27" hidden="1">
      <c r="A122" s="37" t="s">
        <v>219</v>
      </c>
      <c r="B122" s="37">
        <v>1013</v>
      </c>
      <c r="C122" s="37">
        <v>1382</v>
      </c>
      <c r="D122" s="37">
        <v>1449</v>
      </c>
      <c r="E122" s="37">
        <v>2537</v>
      </c>
      <c r="F122" s="37">
        <v>1852</v>
      </c>
      <c r="G122" s="37">
        <v>1365</v>
      </c>
      <c r="H122" s="37">
        <v>998</v>
      </c>
      <c r="I122" s="37">
        <v>1016</v>
      </c>
      <c r="J122" s="37">
        <v>994</v>
      </c>
      <c r="K122">
        <v>1296</v>
      </c>
      <c r="L122">
        <v>1133</v>
      </c>
      <c r="M122">
        <v>1080</v>
      </c>
      <c r="N122">
        <v>1433</v>
      </c>
      <c r="O122">
        <v>365</v>
      </c>
      <c r="P122">
        <v>494</v>
      </c>
      <c r="Q122">
        <v>424</v>
      </c>
      <c r="R122">
        <v>424</v>
      </c>
      <c r="S122">
        <v>418</v>
      </c>
      <c r="T122">
        <v>366</v>
      </c>
      <c r="U122">
        <v>364</v>
      </c>
      <c r="V122">
        <v>379</v>
      </c>
      <c r="W122">
        <v>427</v>
      </c>
      <c r="X122">
        <v>549</v>
      </c>
      <c r="Y122">
        <v>495</v>
      </c>
      <c r="Z122">
        <v>360</v>
      </c>
      <c r="AA122">
        <v>528</v>
      </c>
    </row>
    <row r="123" spans="1:27" hidden="1">
      <c r="A123" s="37" t="s">
        <v>105</v>
      </c>
      <c r="B123" s="37">
        <v>426</v>
      </c>
      <c r="C123" s="37">
        <v>462</v>
      </c>
      <c r="D123" s="37">
        <v>516</v>
      </c>
      <c r="E123" s="37">
        <v>557</v>
      </c>
      <c r="F123" s="37">
        <v>514</v>
      </c>
      <c r="G123" s="37">
        <v>606</v>
      </c>
      <c r="H123" s="37">
        <v>431</v>
      </c>
      <c r="I123" s="37">
        <v>496</v>
      </c>
      <c r="J123" s="37">
        <v>579</v>
      </c>
      <c r="K123">
        <v>611</v>
      </c>
      <c r="L123">
        <v>0</v>
      </c>
      <c r="M123">
        <v>455</v>
      </c>
      <c r="N123">
        <v>937</v>
      </c>
      <c r="O123">
        <v>89</v>
      </c>
      <c r="P123">
        <v>102</v>
      </c>
      <c r="Q123">
        <v>118</v>
      </c>
      <c r="R123">
        <v>109</v>
      </c>
      <c r="S123">
        <v>102</v>
      </c>
      <c r="T123">
        <v>90</v>
      </c>
      <c r="U123">
        <v>94</v>
      </c>
      <c r="V123">
        <v>112</v>
      </c>
      <c r="W123">
        <v>157</v>
      </c>
      <c r="X123">
        <v>136</v>
      </c>
      <c r="Y123">
        <v>0</v>
      </c>
      <c r="Z123">
        <v>148</v>
      </c>
      <c r="AA123">
        <v>232</v>
      </c>
    </row>
    <row r="124" spans="1:27" hidden="1">
      <c r="A124" s="37" t="s">
        <v>567</v>
      </c>
      <c r="B124" s="37">
        <v>2274</v>
      </c>
      <c r="C124" s="37">
        <v>2856</v>
      </c>
      <c r="D124" s="37">
        <v>3377</v>
      </c>
      <c r="E124" s="37">
        <v>5031</v>
      </c>
      <c r="F124" s="37">
        <v>5590</v>
      </c>
      <c r="G124" s="37">
        <v>4851</v>
      </c>
      <c r="H124" s="37">
        <v>4649</v>
      </c>
      <c r="I124" s="37">
        <v>6101</v>
      </c>
      <c r="J124" s="37">
        <v>5682</v>
      </c>
      <c r="K124">
        <v>5133</v>
      </c>
      <c r="L124">
        <v>5030</v>
      </c>
      <c r="M124">
        <v>5396</v>
      </c>
      <c r="N124">
        <v>7154</v>
      </c>
      <c r="O124">
        <v>368</v>
      </c>
      <c r="P124">
        <v>412</v>
      </c>
      <c r="Q124">
        <v>514</v>
      </c>
      <c r="R124">
        <v>710</v>
      </c>
      <c r="S124">
        <v>864</v>
      </c>
      <c r="T124">
        <v>656</v>
      </c>
      <c r="U124">
        <v>801</v>
      </c>
      <c r="V124">
        <v>985</v>
      </c>
      <c r="W124">
        <v>966</v>
      </c>
      <c r="X124">
        <v>995</v>
      </c>
      <c r="Y124">
        <v>1091</v>
      </c>
      <c r="Z124">
        <v>1008</v>
      </c>
      <c r="AA124">
        <v>1264</v>
      </c>
    </row>
    <row r="125" spans="1:27" hidden="1">
      <c r="A125" s="37" t="s">
        <v>143</v>
      </c>
      <c r="B125" s="37">
        <v>879</v>
      </c>
      <c r="C125" s="37">
        <v>1082</v>
      </c>
      <c r="D125" s="37">
        <v>983</v>
      </c>
      <c r="E125" s="37">
        <v>1031</v>
      </c>
      <c r="F125" s="37">
        <v>927</v>
      </c>
      <c r="G125" s="37">
        <v>974</v>
      </c>
      <c r="H125" s="37">
        <v>1011</v>
      </c>
      <c r="I125" s="37">
        <v>1156</v>
      </c>
      <c r="J125" s="37">
        <v>1182</v>
      </c>
      <c r="K125">
        <v>1264</v>
      </c>
      <c r="L125">
        <v>1163</v>
      </c>
      <c r="M125">
        <v>1294</v>
      </c>
      <c r="N125">
        <v>2013</v>
      </c>
      <c r="O125">
        <v>183</v>
      </c>
      <c r="P125">
        <v>229</v>
      </c>
      <c r="Q125">
        <v>185</v>
      </c>
      <c r="R125">
        <v>217</v>
      </c>
      <c r="S125">
        <v>225</v>
      </c>
      <c r="T125">
        <v>229</v>
      </c>
      <c r="U125">
        <v>241</v>
      </c>
      <c r="V125">
        <v>291</v>
      </c>
      <c r="W125">
        <v>309</v>
      </c>
      <c r="X125">
        <v>345</v>
      </c>
      <c r="Y125">
        <v>356</v>
      </c>
      <c r="Z125">
        <v>365</v>
      </c>
      <c r="AA125">
        <v>550</v>
      </c>
    </row>
    <row r="126" spans="1:27" hidden="1">
      <c r="A126" s="37" t="s">
        <v>1401</v>
      </c>
      <c r="B126" s="37">
        <v>1634</v>
      </c>
      <c r="C126" s="37">
        <v>1088</v>
      </c>
      <c r="D126" s="37">
        <v>1379</v>
      </c>
      <c r="E126" s="37">
        <v>1401</v>
      </c>
      <c r="F126" s="37">
        <v>1057</v>
      </c>
      <c r="G126" s="37">
        <v>1155</v>
      </c>
      <c r="H126" s="37">
        <v>1143</v>
      </c>
      <c r="I126" s="37">
        <v>1093</v>
      </c>
      <c r="J126" s="37">
        <v>1021</v>
      </c>
      <c r="K126">
        <v>1112</v>
      </c>
      <c r="L126">
        <v>1044</v>
      </c>
      <c r="M126">
        <v>1112</v>
      </c>
      <c r="N126">
        <v>1293</v>
      </c>
      <c r="O126">
        <v>661</v>
      </c>
      <c r="P126">
        <v>406</v>
      </c>
      <c r="Q126">
        <v>598</v>
      </c>
      <c r="R126">
        <v>592</v>
      </c>
      <c r="S126">
        <v>475</v>
      </c>
      <c r="T126">
        <v>536</v>
      </c>
      <c r="U126">
        <v>568</v>
      </c>
      <c r="V126">
        <v>543</v>
      </c>
      <c r="W126">
        <v>508</v>
      </c>
      <c r="X126">
        <v>568</v>
      </c>
      <c r="Y126">
        <v>605</v>
      </c>
      <c r="Z126">
        <v>573</v>
      </c>
      <c r="AA126">
        <v>626</v>
      </c>
    </row>
    <row r="127" spans="1:27" hidden="1">
      <c r="A127" s="37" t="s">
        <v>1684</v>
      </c>
      <c r="B127" s="37">
        <v>550</v>
      </c>
      <c r="C127" s="37">
        <v>528</v>
      </c>
      <c r="D127" s="37">
        <v>327</v>
      </c>
      <c r="E127" s="37">
        <v>306</v>
      </c>
      <c r="F127" s="37">
        <v>296</v>
      </c>
      <c r="G127" s="37">
        <v>241</v>
      </c>
      <c r="H127" s="37">
        <v>257</v>
      </c>
      <c r="I127" s="37">
        <v>382</v>
      </c>
      <c r="J127" s="37">
        <v>0</v>
      </c>
      <c r="K127">
        <v>2</v>
      </c>
      <c r="L127">
        <v>0</v>
      </c>
      <c r="M127">
        <v>0</v>
      </c>
      <c r="N127">
        <v>0</v>
      </c>
      <c r="O127">
        <v>164</v>
      </c>
      <c r="P127">
        <v>142</v>
      </c>
      <c r="Q127">
        <v>146</v>
      </c>
      <c r="R127">
        <v>116</v>
      </c>
      <c r="S127">
        <v>130</v>
      </c>
      <c r="T127">
        <v>118</v>
      </c>
      <c r="U127">
        <v>138</v>
      </c>
      <c r="V127">
        <v>136</v>
      </c>
      <c r="W127">
        <v>0</v>
      </c>
      <c r="X127">
        <v>2</v>
      </c>
      <c r="Y127">
        <v>0</v>
      </c>
      <c r="Z127">
        <v>0</v>
      </c>
      <c r="AA127">
        <v>0</v>
      </c>
    </row>
    <row r="128" spans="1:27" hidden="1">
      <c r="A128" s="37" t="s">
        <v>687</v>
      </c>
      <c r="B128" s="37">
        <v>0</v>
      </c>
      <c r="C128" s="37">
        <v>687</v>
      </c>
      <c r="D128" s="37">
        <v>1065</v>
      </c>
      <c r="E128" s="37">
        <v>1231</v>
      </c>
      <c r="F128" s="37">
        <v>754</v>
      </c>
      <c r="G128" s="37">
        <v>682</v>
      </c>
      <c r="H128" s="37">
        <v>1047</v>
      </c>
      <c r="I128" s="37">
        <v>797</v>
      </c>
      <c r="J128" s="37">
        <v>826</v>
      </c>
      <c r="K128">
        <v>771</v>
      </c>
      <c r="L128">
        <v>636</v>
      </c>
      <c r="M128">
        <v>704</v>
      </c>
      <c r="N128">
        <v>901</v>
      </c>
      <c r="O128">
        <v>0</v>
      </c>
      <c r="P128">
        <v>53</v>
      </c>
      <c r="Q128">
        <v>159</v>
      </c>
      <c r="R128">
        <v>206</v>
      </c>
      <c r="S128">
        <v>130</v>
      </c>
      <c r="T128">
        <v>139</v>
      </c>
      <c r="U128">
        <v>251</v>
      </c>
      <c r="V128">
        <v>156</v>
      </c>
      <c r="W128">
        <v>167</v>
      </c>
      <c r="X128">
        <v>148</v>
      </c>
      <c r="Y128">
        <v>148</v>
      </c>
      <c r="Z128">
        <v>131</v>
      </c>
      <c r="AA128">
        <v>180</v>
      </c>
    </row>
    <row r="129" spans="1:27" hidden="1">
      <c r="A129" s="37" t="s">
        <v>1058</v>
      </c>
      <c r="B129" s="37">
        <v>109</v>
      </c>
      <c r="C129" s="37">
        <v>64</v>
      </c>
      <c r="D129" s="37">
        <v>94</v>
      </c>
      <c r="E129" s="37">
        <v>63</v>
      </c>
      <c r="F129" s="37">
        <v>86</v>
      </c>
      <c r="G129" s="37">
        <v>93</v>
      </c>
      <c r="H129" s="37">
        <v>96</v>
      </c>
      <c r="I129" s="37">
        <v>208</v>
      </c>
      <c r="J129" s="37">
        <v>240</v>
      </c>
      <c r="K129">
        <v>192</v>
      </c>
      <c r="L129">
        <v>211</v>
      </c>
      <c r="M129">
        <v>238</v>
      </c>
      <c r="N129">
        <v>282</v>
      </c>
      <c r="O129">
        <v>21</v>
      </c>
      <c r="P129">
        <v>13</v>
      </c>
      <c r="Q129">
        <v>34</v>
      </c>
      <c r="R129">
        <v>29</v>
      </c>
      <c r="S129">
        <v>33</v>
      </c>
      <c r="T129">
        <v>33</v>
      </c>
      <c r="U129">
        <v>32</v>
      </c>
      <c r="V129">
        <v>99</v>
      </c>
      <c r="W129">
        <v>111</v>
      </c>
      <c r="X129">
        <v>85</v>
      </c>
      <c r="Y129">
        <v>90</v>
      </c>
      <c r="Z129">
        <v>128</v>
      </c>
      <c r="AA129">
        <v>152</v>
      </c>
    </row>
    <row r="130" spans="1:27" hidden="1">
      <c r="A130" s="37" t="s">
        <v>1358</v>
      </c>
      <c r="B130" s="37">
        <v>4323</v>
      </c>
      <c r="C130" s="37">
        <v>3717</v>
      </c>
      <c r="D130" s="37">
        <v>6969</v>
      </c>
      <c r="E130" s="37">
        <v>12230</v>
      </c>
      <c r="F130" s="37">
        <v>8131</v>
      </c>
      <c r="G130" s="37">
        <v>5322</v>
      </c>
      <c r="H130" s="37">
        <v>3436</v>
      </c>
      <c r="I130" s="37">
        <v>3161</v>
      </c>
      <c r="J130" s="37">
        <v>4094</v>
      </c>
      <c r="K130">
        <v>2668</v>
      </c>
      <c r="L130">
        <v>4841</v>
      </c>
      <c r="M130">
        <v>4565</v>
      </c>
      <c r="N130">
        <v>4211</v>
      </c>
      <c r="O130">
        <v>1310</v>
      </c>
      <c r="P130">
        <v>1468</v>
      </c>
      <c r="Q130">
        <v>2071</v>
      </c>
      <c r="R130">
        <v>3850</v>
      </c>
      <c r="S130">
        <v>2361</v>
      </c>
      <c r="T130">
        <v>1551</v>
      </c>
      <c r="U130">
        <v>1111</v>
      </c>
      <c r="V130">
        <v>993</v>
      </c>
      <c r="W130">
        <v>1371</v>
      </c>
      <c r="X130">
        <v>1088</v>
      </c>
      <c r="Y130">
        <v>1809</v>
      </c>
      <c r="Z130">
        <v>1242</v>
      </c>
      <c r="AA130">
        <v>1619</v>
      </c>
    </row>
    <row r="131" spans="1:27" hidden="1">
      <c r="A131" s="37" t="s">
        <v>1502</v>
      </c>
      <c r="B131" s="37">
        <v>1450</v>
      </c>
      <c r="C131" s="37">
        <v>1559</v>
      </c>
      <c r="D131" s="37">
        <v>1228</v>
      </c>
      <c r="E131" s="37">
        <v>1388</v>
      </c>
      <c r="F131" s="37">
        <v>1438</v>
      </c>
      <c r="G131" s="37">
        <v>1443</v>
      </c>
      <c r="H131" s="37">
        <v>1497</v>
      </c>
      <c r="I131" s="37">
        <v>1915</v>
      </c>
      <c r="J131" s="37">
        <v>2432</v>
      </c>
      <c r="K131">
        <v>2107</v>
      </c>
      <c r="L131">
        <v>1684</v>
      </c>
      <c r="M131">
        <v>2015</v>
      </c>
      <c r="N131">
        <v>2536</v>
      </c>
      <c r="O131">
        <v>370</v>
      </c>
      <c r="P131">
        <v>450</v>
      </c>
      <c r="Q131">
        <v>357</v>
      </c>
      <c r="R131">
        <v>428</v>
      </c>
      <c r="S131">
        <v>477</v>
      </c>
      <c r="T131">
        <v>490</v>
      </c>
      <c r="U131">
        <v>473</v>
      </c>
      <c r="V131">
        <v>585</v>
      </c>
      <c r="W131">
        <v>771</v>
      </c>
      <c r="X131">
        <v>652</v>
      </c>
      <c r="Y131">
        <v>604</v>
      </c>
      <c r="Z131">
        <v>641</v>
      </c>
      <c r="AA131">
        <v>834</v>
      </c>
    </row>
    <row r="132" spans="1:27" hidden="1">
      <c r="A132" s="37" t="s">
        <v>1390</v>
      </c>
      <c r="B132" s="37">
        <v>1100</v>
      </c>
      <c r="C132" s="37">
        <v>860</v>
      </c>
      <c r="D132" s="37">
        <v>863</v>
      </c>
      <c r="E132" s="37">
        <v>884</v>
      </c>
      <c r="F132" s="37">
        <v>902</v>
      </c>
      <c r="G132" s="37">
        <v>813</v>
      </c>
      <c r="H132" s="37">
        <v>690</v>
      </c>
      <c r="I132" s="37">
        <v>871</v>
      </c>
      <c r="J132" s="37">
        <v>726</v>
      </c>
      <c r="K132">
        <v>679</v>
      </c>
      <c r="L132">
        <v>617</v>
      </c>
      <c r="M132">
        <v>535</v>
      </c>
      <c r="N132">
        <v>650</v>
      </c>
      <c r="O132">
        <v>471</v>
      </c>
      <c r="P132">
        <v>399</v>
      </c>
      <c r="Q132">
        <v>381</v>
      </c>
      <c r="R132">
        <v>408</v>
      </c>
      <c r="S132">
        <v>443</v>
      </c>
      <c r="T132">
        <v>452</v>
      </c>
      <c r="U132">
        <v>374</v>
      </c>
      <c r="V132">
        <v>443</v>
      </c>
      <c r="W132">
        <v>379</v>
      </c>
      <c r="X132">
        <v>376</v>
      </c>
      <c r="Y132">
        <v>339</v>
      </c>
      <c r="Z132">
        <v>302</v>
      </c>
      <c r="AA132">
        <v>374</v>
      </c>
    </row>
    <row r="133" spans="1:27" hidden="1">
      <c r="A133" s="37" t="s">
        <v>1435</v>
      </c>
      <c r="B133" s="37">
        <v>310</v>
      </c>
      <c r="C133" s="37">
        <v>322</v>
      </c>
      <c r="D133" s="37">
        <v>924</v>
      </c>
      <c r="E133" s="37">
        <v>1220</v>
      </c>
      <c r="F133" s="37">
        <v>1061</v>
      </c>
      <c r="G133" s="37">
        <v>741</v>
      </c>
      <c r="H133" s="37">
        <v>669</v>
      </c>
      <c r="I133" s="37">
        <v>633</v>
      </c>
      <c r="J133" s="37">
        <v>1100</v>
      </c>
      <c r="K133">
        <v>570</v>
      </c>
      <c r="L133">
        <v>662</v>
      </c>
      <c r="M133">
        <v>731</v>
      </c>
      <c r="N133">
        <v>944</v>
      </c>
      <c r="O133">
        <v>88</v>
      </c>
      <c r="P133">
        <v>98</v>
      </c>
      <c r="Q133">
        <v>188</v>
      </c>
      <c r="R133">
        <v>231</v>
      </c>
      <c r="S133">
        <v>257</v>
      </c>
      <c r="T133">
        <v>199</v>
      </c>
      <c r="U133">
        <v>170</v>
      </c>
      <c r="V133">
        <v>179</v>
      </c>
      <c r="W133">
        <v>273</v>
      </c>
      <c r="X133">
        <v>164</v>
      </c>
      <c r="Y133">
        <v>215</v>
      </c>
      <c r="Z133">
        <v>123</v>
      </c>
      <c r="AA133">
        <v>198</v>
      </c>
    </row>
    <row r="134" spans="1:27" hidden="1">
      <c r="A134" s="37" t="s">
        <v>1297</v>
      </c>
      <c r="B134" s="37">
        <v>21</v>
      </c>
      <c r="C134" s="37">
        <v>23</v>
      </c>
      <c r="D134" s="37">
        <v>38</v>
      </c>
      <c r="E134" s="37">
        <v>47</v>
      </c>
      <c r="F134" s="37">
        <v>34</v>
      </c>
      <c r="G134" s="37">
        <v>33</v>
      </c>
      <c r="H134" s="37">
        <v>22</v>
      </c>
      <c r="I134" s="37">
        <v>28</v>
      </c>
      <c r="J134" s="37">
        <v>39</v>
      </c>
      <c r="K134">
        <v>30</v>
      </c>
      <c r="L134">
        <v>28</v>
      </c>
      <c r="M134">
        <v>24</v>
      </c>
      <c r="N134">
        <v>56</v>
      </c>
      <c r="O134">
        <v>3</v>
      </c>
      <c r="P134">
        <v>4</v>
      </c>
      <c r="Q134">
        <v>4</v>
      </c>
      <c r="R134">
        <v>3</v>
      </c>
      <c r="S134">
        <v>5</v>
      </c>
      <c r="T134">
        <v>1</v>
      </c>
      <c r="U134">
        <v>1</v>
      </c>
      <c r="V134">
        <v>2</v>
      </c>
      <c r="W134">
        <v>4</v>
      </c>
      <c r="X134">
        <v>1</v>
      </c>
      <c r="Y134">
        <v>6</v>
      </c>
      <c r="Z134">
        <v>3</v>
      </c>
      <c r="AA134">
        <v>6</v>
      </c>
    </row>
    <row r="135" spans="1:27" hidden="1">
      <c r="A135" s="37" t="s">
        <v>1305</v>
      </c>
      <c r="B135" s="37">
        <v>66</v>
      </c>
      <c r="C135" s="37">
        <v>134</v>
      </c>
      <c r="D135" s="37">
        <v>267</v>
      </c>
      <c r="E135" s="37">
        <v>141</v>
      </c>
      <c r="F135" s="37">
        <v>86</v>
      </c>
      <c r="G135" s="37">
        <v>77</v>
      </c>
      <c r="H135" s="37">
        <v>87</v>
      </c>
      <c r="I135" s="37">
        <v>169</v>
      </c>
      <c r="J135" s="37">
        <v>166</v>
      </c>
      <c r="K135">
        <v>162</v>
      </c>
      <c r="L135">
        <v>254</v>
      </c>
      <c r="M135">
        <v>250</v>
      </c>
      <c r="N135">
        <v>537</v>
      </c>
      <c r="O135">
        <v>20</v>
      </c>
      <c r="P135">
        <v>32</v>
      </c>
      <c r="Q135">
        <v>78</v>
      </c>
      <c r="R135">
        <v>29</v>
      </c>
      <c r="S135">
        <v>31</v>
      </c>
      <c r="T135">
        <v>22</v>
      </c>
      <c r="U135">
        <v>25</v>
      </c>
      <c r="V135">
        <v>55</v>
      </c>
      <c r="W135">
        <v>38</v>
      </c>
      <c r="X135">
        <v>67</v>
      </c>
      <c r="Y135">
        <v>86</v>
      </c>
      <c r="Z135">
        <v>53</v>
      </c>
      <c r="AA135">
        <v>102</v>
      </c>
    </row>
    <row r="136" spans="1:27" hidden="1">
      <c r="A136" s="37" t="s">
        <v>99</v>
      </c>
      <c r="B136" s="37">
        <v>5320</v>
      </c>
      <c r="C136" s="37">
        <v>3011</v>
      </c>
      <c r="D136" s="37">
        <v>1145</v>
      </c>
      <c r="E136" s="37">
        <v>3689</v>
      </c>
      <c r="F136" s="37">
        <v>2504</v>
      </c>
      <c r="G136" s="37">
        <v>2187</v>
      </c>
      <c r="H136" s="37">
        <v>2306</v>
      </c>
      <c r="I136" s="37">
        <v>2366</v>
      </c>
      <c r="J136" s="37">
        <v>2902</v>
      </c>
      <c r="K136">
        <v>3214</v>
      </c>
      <c r="L136">
        <v>2028</v>
      </c>
      <c r="M136">
        <v>2304</v>
      </c>
      <c r="N136">
        <v>4907</v>
      </c>
      <c r="O136">
        <v>1699</v>
      </c>
      <c r="P136">
        <v>742</v>
      </c>
      <c r="Q136">
        <v>231</v>
      </c>
      <c r="R136">
        <v>867</v>
      </c>
      <c r="S136">
        <v>517</v>
      </c>
      <c r="T136">
        <v>529</v>
      </c>
      <c r="U136">
        <v>548</v>
      </c>
      <c r="V136">
        <v>577</v>
      </c>
      <c r="W136">
        <v>689</v>
      </c>
      <c r="X136">
        <v>806</v>
      </c>
      <c r="Y136">
        <v>590</v>
      </c>
      <c r="Z136">
        <v>577</v>
      </c>
      <c r="AA136">
        <v>1398</v>
      </c>
    </row>
    <row r="137" spans="1:27" hidden="1">
      <c r="A137" s="37" t="s">
        <v>765</v>
      </c>
      <c r="B137" s="37">
        <v>1619</v>
      </c>
      <c r="C137" s="37">
        <v>1633</v>
      </c>
      <c r="D137" s="37">
        <v>717</v>
      </c>
      <c r="E137" s="37">
        <v>826</v>
      </c>
      <c r="F137" s="37">
        <v>650</v>
      </c>
      <c r="G137" s="37">
        <v>725</v>
      </c>
      <c r="H137" s="37">
        <v>777</v>
      </c>
      <c r="I137" s="37">
        <v>962</v>
      </c>
      <c r="J137" s="37">
        <v>1599</v>
      </c>
      <c r="K137">
        <v>1519</v>
      </c>
      <c r="L137">
        <v>1698</v>
      </c>
      <c r="M137">
        <v>1527</v>
      </c>
      <c r="N137">
        <v>1823</v>
      </c>
      <c r="O137">
        <v>236</v>
      </c>
      <c r="P137">
        <v>282</v>
      </c>
      <c r="Q137">
        <v>206</v>
      </c>
      <c r="R137">
        <v>215</v>
      </c>
      <c r="S137">
        <v>193</v>
      </c>
      <c r="T137">
        <v>190</v>
      </c>
      <c r="U137">
        <v>217</v>
      </c>
      <c r="V137">
        <v>310</v>
      </c>
      <c r="W137">
        <v>302</v>
      </c>
      <c r="X137">
        <v>331</v>
      </c>
      <c r="Y137">
        <v>370</v>
      </c>
      <c r="Z137">
        <v>327</v>
      </c>
      <c r="AA137">
        <v>432</v>
      </c>
    </row>
    <row r="138" spans="1:27" hidden="1">
      <c r="A138" s="37" t="s">
        <v>329</v>
      </c>
      <c r="B138" s="37">
        <v>2361</v>
      </c>
      <c r="C138" s="37">
        <v>2605</v>
      </c>
      <c r="D138" s="37">
        <v>2688</v>
      </c>
      <c r="E138" s="37">
        <v>3554</v>
      </c>
      <c r="F138" s="37">
        <v>3657</v>
      </c>
      <c r="G138" s="37">
        <v>3360</v>
      </c>
      <c r="H138" s="37">
        <v>3137</v>
      </c>
      <c r="I138" s="37">
        <v>3454</v>
      </c>
      <c r="J138" s="37">
        <v>2525</v>
      </c>
      <c r="K138">
        <v>2827</v>
      </c>
      <c r="L138">
        <v>1721</v>
      </c>
      <c r="M138">
        <v>1898</v>
      </c>
      <c r="N138">
        <v>2619</v>
      </c>
      <c r="O138">
        <v>485</v>
      </c>
      <c r="P138">
        <v>570</v>
      </c>
      <c r="Q138">
        <v>588</v>
      </c>
      <c r="R138">
        <v>807</v>
      </c>
      <c r="S138">
        <v>784</v>
      </c>
      <c r="T138">
        <v>736</v>
      </c>
      <c r="U138">
        <v>652</v>
      </c>
      <c r="V138">
        <v>728</v>
      </c>
      <c r="W138">
        <v>665</v>
      </c>
      <c r="X138">
        <v>660</v>
      </c>
      <c r="Y138">
        <v>618</v>
      </c>
      <c r="Z138">
        <v>524</v>
      </c>
      <c r="AA138">
        <v>705</v>
      </c>
    </row>
    <row r="139" spans="1:27" hidden="1">
      <c r="A139" s="37" t="s">
        <v>669</v>
      </c>
      <c r="B139" s="37">
        <v>1476</v>
      </c>
      <c r="C139" s="37">
        <v>1945</v>
      </c>
      <c r="D139" s="37">
        <v>2127</v>
      </c>
      <c r="E139" s="37">
        <v>2420</v>
      </c>
      <c r="F139" s="37">
        <v>2366</v>
      </c>
      <c r="G139" s="37">
        <v>2349</v>
      </c>
      <c r="H139" s="37">
        <v>2432</v>
      </c>
      <c r="I139" s="37">
        <v>2364</v>
      </c>
      <c r="J139" s="37">
        <v>1870</v>
      </c>
      <c r="K139">
        <v>2248</v>
      </c>
      <c r="L139">
        <v>1756</v>
      </c>
      <c r="M139">
        <v>1609</v>
      </c>
      <c r="N139">
        <v>2342</v>
      </c>
      <c r="O139">
        <v>322</v>
      </c>
      <c r="P139">
        <v>399</v>
      </c>
      <c r="Q139">
        <v>443</v>
      </c>
      <c r="R139">
        <v>534</v>
      </c>
      <c r="S139">
        <v>513</v>
      </c>
      <c r="T139">
        <v>534</v>
      </c>
      <c r="U139">
        <v>535</v>
      </c>
      <c r="V139">
        <v>505</v>
      </c>
      <c r="W139">
        <v>451</v>
      </c>
      <c r="X139">
        <v>441</v>
      </c>
      <c r="Y139">
        <v>407</v>
      </c>
      <c r="Z139">
        <v>387</v>
      </c>
      <c r="AA139">
        <v>596</v>
      </c>
    </row>
    <row r="140" spans="1:27" hidden="1">
      <c r="A140" s="37" t="s">
        <v>473</v>
      </c>
      <c r="B140" s="37">
        <v>5127</v>
      </c>
      <c r="C140" s="37">
        <v>2691</v>
      </c>
      <c r="D140" s="37">
        <v>3374</v>
      </c>
      <c r="E140" s="37">
        <v>5722</v>
      </c>
      <c r="F140" s="37">
        <v>4410</v>
      </c>
      <c r="G140" s="37">
        <v>4656</v>
      </c>
      <c r="H140" s="37">
        <v>5272</v>
      </c>
      <c r="I140" s="37">
        <v>3944</v>
      </c>
      <c r="J140" s="37">
        <v>3354</v>
      </c>
      <c r="K140">
        <v>3054</v>
      </c>
      <c r="L140">
        <v>7635</v>
      </c>
      <c r="M140">
        <v>3911</v>
      </c>
      <c r="N140">
        <v>6107</v>
      </c>
      <c r="O140">
        <v>1222</v>
      </c>
      <c r="P140">
        <v>847</v>
      </c>
      <c r="Q140">
        <v>1081</v>
      </c>
      <c r="R140">
        <v>1408</v>
      </c>
      <c r="S140">
        <v>1234</v>
      </c>
      <c r="T140">
        <v>1336</v>
      </c>
      <c r="U140">
        <v>1306</v>
      </c>
      <c r="V140">
        <v>1079</v>
      </c>
      <c r="W140">
        <v>950</v>
      </c>
      <c r="X140">
        <v>1020</v>
      </c>
      <c r="Y140">
        <v>2100</v>
      </c>
      <c r="Z140">
        <v>1155</v>
      </c>
      <c r="AA140">
        <v>1536</v>
      </c>
    </row>
    <row r="141" spans="1:27" hidden="1">
      <c r="A141" s="37" t="s">
        <v>553</v>
      </c>
      <c r="B141" s="37">
        <v>5383</v>
      </c>
      <c r="C141" s="37">
        <v>4790</v>
      </c>
      <c r="D141" s="37">
        <v>3916</v>
      </c>
      <c r="E141" s="37">
        <v>3315</v>
      </c>
      <c r="F141" s="37">
        <v>2791</v>
      </c>
      <c r="G141" s="37">
        <v>2696</v>
      </c>
      <c r="H141" s="37">
        <v>2057</v>
      </c>
      <c r="I141" s="37">
        <v>3008</v>
      </c>
      <c r="J141" s="37">
        <v>2971</v>
      </c>
      <c r="K141">
        <v>3308</v>
      </c>
      <c r="L141">
        <v>3441</v>
      </c>
      <c r="M141">
        <v>3263</v>
      </c>
      <c r="N141">
        <v>8744</v>
      </c>
      <c r="O141">
        <v>1584</v>
      </c>
      <c r="P141">
        <v>1527</v>
      </c>
      <c r="Q141">
        <v>1409</v>
      </c>
      <c r="R141">
        <v>1175</v>
      </c>
      <c r="S141">
        <v>1189</v>
      </c>
      <c r="T141">
        <v>941</v>
      </c>
      <c r="U141">
        <v>770</v>
      </c>
      <c r="V141">
        <v>1178</v>
      </c>
      <c r="W141">
        <v>1125</v>
      </c>
      <c r="X141">
        <v>1386</v>
      </c>
      <c r="Y141">
        <v>1458</v>
      </c>
      <c r="Z141">
        <v>1167</v>
      </c>
      <c r="AA141">
        <v>2365</v>
      </c>
    </row>
    <row r="142" spans="1:27" hidden="1">
      <c r="A142" s="37" t="s">
        <v>667</v>
      </c>
      <c r="B142" s="37">
        <v>0</v>
      </c>
      <c r="C142" s="37">
        <v>2098</v>
      </c>
      <c r="D142" s="37">
        <v>2243</v>
      </c>
      <c r="E142" s="37">
        <v>2036</v>
      </c>
      <c r="F142" s="37">
        <v>1818</v>
      </c>
      <c r="G142" s="37">
        <v>2072</v>
      </c>
      <c r="H142" s="37">
        <v>1235</v>
      </c>
      <c r="I142" s="37">
        <v>1323</v>
      </c>
      <c r="J142" s="37">
        <v>1624</v>
      </c>
      <c r="K142">
        <v>1694</v>
      </c>
      <c r="L142">
        <v>1183</v>
      </c>
      <c r="M142">
        <v>703</v>
      </c>
      <c r="N142">
        <v>1080</v>
      </c>
      <c r="O142">
        <v>0</v>
      </c>
      <c r="P142">
        <v>197</v>
      </c>
      <c r="Q142">
        <v>345</v>
      </c>
      <c r="R142">
        <v>190</v>
      </c>
      <c r="S142">
        <v>464</v>
      </c>
      <c r="T142">
        <v>565</v>
      </c>
      <c r="U142">
        <v>284</v>
      </c>
      <c r="V142">
        <v>353</v>
      </c>
      <c r="W142">
        <v>396</v>
      </c>
      <c r="X142">
        <v>437</v>
      </c>
      <c r="Y142">
        <v>242</v>
      </c>
      <c r="Z142">
        <v>125</v>
      </c>
      <c r="AA142">
        <v>236</v>
      </c>
    </row>
    <row r="143" spans="1:27" hidden="1">
      <c r="A143" s="37" t="s">
        <v>255</v>
      </c>
      <c r="B143" s="37">
        <v>762</v>
      </c>
      <c r="C143" s="37">
        <v>1141</v>
      </c>
      <c r="D143" s="37">
        <v>996</v>
      </c>
      <c r="E143" s="37">
        <v>2175</v>
      </c>
      <c r="F143" s="37">
        <v>1366</v>
      </c>
      <c r="G143" s="37">
        <v>2724</v>
      </c>
      <c r="H143" s="37">
        <v>1011</v>
      </c>
      <c r="I143" s="37">
        <v>1058</v>
      </c>
      <c r="J143" s="37">
        <v>825</v>
      </c>
      <c r="K143">
        <v>960</v>
      </c>
      <c r="L143">
        <v>875</v>
      </c>
      <c r="M143">
        <v>986</v>
      </c>
      <c r="N143">
        <v>1955</v>
      </c>
      <c r="O143">
        <v>167</v>
      </c>
      <c r="P143">
        <v>308</v>
      </c>
      <c r="Q143">
        <v>219</v>
      </c>
      <c r="R143">
        <v>326</v>
      </c>
      <c r="S143">
        <v>238</v>
      </c>
      <c r="T143">
        <v>368</v>
      </c>
      <c r="U143">
        <v>175</v>
      </c>
      <c r="V143">
        <v>220</v>
      </c>
      <c r="W143">
        <v>252</v>
      </c>
      <c r="X143">
        <v>300</v>
      </c>
      <c r="Y143">
        <v>298</v>
      </c>
      <c r="Z143">
        <v>305</v>
      </c>
      <c r="AA143">
        <v>485</v>
      </c>
    </row>
    <row r="144" spans="1:27" hidden="1">
      <c r="A144" s="37" t="s">
        <v>713</v>
      </c>
      <c r="B144" s="37">
        <v>1491</v>
      </c>
      <c r="C144" s="37">
        <v>1436</v>
      </c>
      <c r="D144" s="37">
        <v>1225</v>
      </c>
      <c r="E144" s="37">
        <v>1684</v>
      </c>
      <c r="F144" s="37">
        <v>1462</v>
      </c>
      <c r="G144" s="37">
        <v>1782</v>
      </c>
      <c r="H144" s="37">
        <v>1906</v>
      </c>
      <c r="I144" s="37">
        <v>1800</v>
      </c>
      <c r="J144" s="37">
        <v>1908</v>
      </c>
      <c r="K144">
        <v>1894</v>
      </c>
      <c r="L144">
        <v>2416</v>
      </c>
      <c r="M144">
        <v>1834</v>
      </c>
      <c r="N144">
        <v>2669</v>
      </c>
      <c r="O144">
        <v>500</v>
      </c>
      <c r="P144">
        <v>457</v>
      </c>
      <c r="Q144">
        <v>357</v>
      </c>
      <c r="R144">
        <v>489</v>
      </c>
      <c r="S144">
        <v>361</v>
      </c>
      <c r="T144">
        <v>506</v>
      </c>
      <c r="U144">
        <v>675</v>
      </c>
      <c r="V144">
        <v>638</v>
      </c>
      <c r="W144">
        <v>660</v>
      </c>
      <c r="X144">
        <v>628</v>
      </c>
      <c r="Y144">
        <v>941</v>
      </c>
      <c r="Z144">
        <v>635</v>
      </c>
      <c r="AA144">
        <v>870</v>
      </c>
    </row>
    <row r="145" spans="1:27" hidden="1">
      <c r="A145" s="37" t="s">
        <v>1331</v>
      </c>
      <c r="B145" s="37">
        <v>1434</v>
      </c>
      <c r="C145" s="37">
        <v>1037</v>
      </c>
      <c r="D145" s="37">
        <v>643</v>
      </c>
      <c r="E145" s="37">
        <v>560</v>
      </c>
      <c r="F145" s="37">
        <v>454</v>
      </c>
      <c r="G145" s="37">
        <v>513</v>
      </c>
      <c r="H145" s="37">
        <v>583</v>
      </c>
      <c r="I145" s="37">
        <v>404</v>
      </c>
      <c r="J145" s="37">
        <v>180</v>
      </c>
      <c r="K145">
        <v>493</v>
      </c>
      <c r="L145">
        <v>387</v>
      </c>
      <c r="M145">
        <v>409</v>
      </c>
      <c r="N145">
        <v>508</v>
      </c>
      <c r="O145">
        <v>452</v>
      </c>
      <c r="P145">
        <v>260</v>
      </c>
      <c r="Q145">
        <v>202</v>
      </c>
      <c r="R145">
        <v>210</v>
      </c>
      <c r="S145">
        <v>200</v>
      </c>
      <c r="T145">
        <v>215</v>
      </c>
      <c r="U145">
        <v>222</v>
      </c>
      <c r="V145">
        <v>132</v>
      </c>
      <c r="W145">
        <v>81</v>
      </c>
      <c r="X145">
        <v>270</v>
      </c>
      <c r="Y145">
        <v>185</v>
      </c>
      <c r="Z145">
        <v>173</v>
      </c>
      <c r="AA145">
        <v>226</v>
      </c>
    </row>
    <row r="146" spans="1:27" hidden="1">
      <c r="A146" s="37" t="s">
        <v>1685</v>
      </c>
      <c r="B146" s="37">
        <v>602</v>
      </c>
      <c r="C146" s="37">
        <v>454</v>
      </c>
      <c r="D146" s="37">
        <v>98</v>
      </c>
      <c r="E146" s="37">
        <v>417</v>
      </c>
      <c r="F146" s="37">
        <v>336</v>
      </c>
      <c r="G146" s="37">
        <v>285</v>
      </c>
      <c r="H146" s="37">
        <v>926</v>
      </c>
      <c r="I146" s="37">
        <v>289</v>
      </c>
      <c r="J146" s="37">
        <v>0</v>
      </c>
      <c r="K146">
        <v>4</v>
      </c>
      <c r="L146">
        <v>2</v>
      </c>
      <c r="M146">
        <v>0</v>
      </c>
      <c r="N146">
        <v>0</v>
      </c>
      <c r="O146">
        <v>175</v>
      </c>
      <c r="P146">
        <v>91</v>
      </c>
      <c r="Q146">
        <v>0</v>
      </c>
      <c r="R146">
        <v>160</v>
      </c>
      <c r="S146">
        <v>111</v>
      </c>
      <c r="T146">
        <v>111</v>
      </c>
      <c r="U146">
        <v>399</v>
      </c>
      <c r="V146">
        <v>61</v>
      </c>
      <c r="W146">
        <v>1</v>
      </c>
      <c r="X146">
        <v>2</v>
      </c>
      <c r="Y146">
        <v>1</v>
      </c>
      <c r="Z146">
        <v>0</v>
      </c>
      <c r="AA146">
        <v>0</v>
      </c>
    </row>
    <row r="147" spans="1:27" hidden="1">
      <c r="A147" s="37" t="s">
        <v>1686</v>
      </c>
      <c r="B147" s="37">
        <v>511</v>
      </c>
      <c r="C147" s="37">
        <v>0</v>
      </c>
      <c r="D147" s="37">
        <v>0</v>
      </c>
      <c r="E147" s="37">
        <v>0</v>
      </c>
      <c r="F147" s="37">
        <v>0</v>
      </c>
      <c r="G147" s="37">
        <v>0</v>
      </c>
      <c r="H147" s="37">
        <v>0</v>
      </c>
      <c r="I147" s="37">
        <v>0</v>
      </c>
      <c r="J147" s="37">
        <v>107</v>
      </c>
      <c r="K147">
        <v>0</v>
      </c>
      <c r="L147">
        <v>127</v>
      </c>
      <c r="M147">
        <v>22</v>
      </c>
      <c r="N147">
        <v>51</v>
      </c>
      <c r="O147">
        <v>153</v>
      </c>
      <c r="P147">
        <v>0</v>
      </c>
      <c r="Q147">
        <v>0</v>
      </c>
      <c r="R147">
        <v>0</v>
      </c>
      <c r="S147">
        <v>0</v>
      </c>
      <c r="T147">
        <v>0</v>
      </c>
      <c r="U147">
        <v>0</v>
      </c>
      <c r="V147">
        <v>0</v>
      </c>
      <c r="W147">
        <v>21</v>
      </c>
      <c r="X147">
        <v>1</v>
      </c>
      <c r="Y147">
        <v>25</v>
      </c>
      <c r="Z147">
        <v>1</v>
      </c>
      <c r="AA147">
        <v>9</v>
      </c>
    </row>
    <row r="148" spans="1:27" hidden="1">
      <c r="A148" s="37" t="s">
        <v>1317</v>
      </c>
      <c r="B148" s="37">
        <v>446</v>
      </c>
      <c r="C148" s="37">
        <v>408</v>
      </c>
      <c r="D148" s="37">
        <v>328</v>
      </c>
      <c r="E148" s="37">
        <v>346</v>
      </c>
      <c r="F148" s="37">
        <v>332</v>
      </c>
      <c r="G148" s="37">
        <v>369</v>
      </c>
      <c r="H148" s="37">
        <v>428</v>
      </c>
      <c r="I148" s="37">
        <v>522</v>
      </c>
      <c r="J148" s="37">
        <v>778</v>
      </c>
      <c r="K148">
        <v>704</v>
      </c>
      <c r="L148">
        <v>572</v>
      </c>
      <c r="M148">
        <v>423</v>
      </c>
      <c r="N148">
        <v>526</v>
      </c>
      <c r="O148">
        <v>11</v>
      </c>
      <c r="P148">
        <v>88</v>
      </c>
      <c r="Q148">
        <v>85</v>
      </c>
      <c r="R148">
        <v>99</v>
      </c>
      <c r="S148">
        <v>107</v>
      </c>
      <c r="T148">
        <v>93</v>
      </c>
      <c r="U148">
        <v>125</v>
      </c>
      <c r="V148">
        <v>205</v>
      </c>
      <c r="W148">
        <v>261</v>
      </c>
      <c r="X148">
        <v>219</v>
      </c>
      <c r="Y148">
        <v>247</v>
      </c>
      <c r="Z148">
        <v>131</v>
      </c>
      <c r="AA148">
        <v>176</v>
      </c>
    </row>
    <row r="149" spans="1:27" hidden="1">
      <c r="A149" s="37" t="s">
        <v>1313</v>
      </c>
      <c r="B149" s="37">
        <v>198</v>
      </c>
      <c r="C149" s="37">
        <v>149</v>
      </c>
      <c r="D149" s="37">
        <v>200</v>
      </c>
      <c r="E149" s="37">
        <v>244</v>
      </c>
      <c r="F149" s="37">
        <v>134</v>
      </c>
      <c r="G149" s="37">
        <v>153</v>
      </c>
      <c r="H149" s="37">
        <v>155</v>
      </c>
      <c r="I149" s="37">
        <v>204</v>
      </c>
      <c r="J149" s="37">
        <v>198</v>
      </c>
      <c r="K149">
        <v>145</v>
      </c>
      <c r="L149">
        <v>180</v>
      </c>
      <c r="M149">
        <v>144</v>
      </c>
      <c r="N149">
        <v>144</v>
      </c>
      <c r="O149">
        <v>66</v>
      </c>
      <c r="P149">
        <v>49</v>
      </c>
      <c r="Q149">
        <v>88</v>
      </c>
      <c r="R149">
        <v>98</v>
      </c>
      <c r="S149">
        <v>31</v>
      </c>
      <c r="T149">
        <v>52</v>
      </c>
      <c r="U149">
        <v>56</v>
      </c>
      <c r="V149">
        <v>84</v>
      </c>
      <c r="W149">
        <v>90</v>
      </c>
      <c r="X149">
        <v>83</v>
      </c>
      <c r="Y149">
        <v>72</v>
      </c>
      <c r="Z149">
        <v>78</v>
      </c>
      <c r="AA149">
        <v>84</v>
      </c>
    </row>
    <row r="150" spans="1:27" hidden="1">
      <c r="A150" s="37" t="s">
        <v>1210</v>
      </c>
      <c r="B150" s="37">
        <v>336</v>
      </c>
      <c r="C150" s="37">
        <v>468</v>
      </c>
      <c r="D150" s="37">
        <v>470</v>
      </c>
      <c r="E150" s="37">
        <v>532</v>
      </c>
      <c r="F150" s="37">
        <v>375</v>
      </c>
      <c r="G150" s="37">
        <v>397</v>
      </c>
      <c r="H150" s="37">
        <v>488</v>
      </c>
      <c r="I150" s="37">
        <v>590</v>
      </c>
      <c r="J150" s="37">
        <v>511</v>
      </c>
      <c r="K150">
        <v>717</v>
      </c>
      <c r="L150">
        <v>430</v>
      </c>
      <c r="M150">
        <v>475</v>
      </c>
      <c r="N150">
        <v>708</v>
      </c>
      <c r="O150">
        <v>119</v>
      </c>
      <c r="P150">
        <v>136</v>
      </c>
      <c r="Q150">
        <v>139</v>
      </c>
      <c r="R150">
        <v>187</v>
      </c>
      <c r="S150">
        <v>135</v>
      </c>
      <c r="T150">
        <v>121</v>
      </c>
      <c r="U150">
        <v>183</v>
      </c>
      <c r="V150">
        <v>211</v>
      </c>
      <c r="W150">
        <v>182</v>
      </c>
      <c r="X150">
        <v>278</v>
      </c>
      <c r="Y150">
        <v>165</v>
      </c>
      <c r="Z150">
        <v>169</v>
      </c>
      <c r="AA150">
        <v>273</v>
      </c>
    </row>
    <row r="151" spans="1:27" hidden="1">
      <c r="A151" s="37" t="s">
        <v>1604</v>
      </c>
      <c r="B151" s="37">
        <v>0</v>
      </c>
      <c r="C151" s="37">
        <v>298</v>
      </c>
      <c r="D151" s="37">
        <v>1106</v>
      </c>
      <c r="E151" s="37">
        <v>743</v>
      </c>
      <c r="F151" s="37">
        <v>683</v>
      </c>
      <c r="G151" s="37">
        <v>854</v>
      </c>
      <c r="H151" s="37">
        <v>562</v>
      </c>
      <c r="I151" s="37">
        <v>553</v>
      </c>
      <c r="J151" s="37">
        <v>893</v>
      </c>
      <c r="K151">
        <v>3</v>
      </c>
      <c r="L151">
        <v>0</v>
      </c>
      <c r="M151">
        <v>0</v>
      </c>
      <c r="N151">
        <v>0</v>
      </c>
      <c r="O151">
        <v>0</v>
      </c>
      <c r="P151">
        <v>24</v>
      </c>
      <c r="Q151">
        <v>100</v>
      </c>
      <c r="R151">
        <v>73</v>
      </c>
      <c r="S151">
        <v>72</v>
      </c>
      <c r="T151">
        <v>110</v>
      </c>
      <c r="U151">
        <v>69</v>
      </c>
      <c r="V151">
        <v>65</v>
      </c>
      <c r="W151">
        <v>103</v>
      </c>
      <c r="X151">
        <v>2</v>
      </c>
      <c r="Y151">
        <v>0</v>
      </c>
      <c r="Z151">
        <v>0</v>
      </c>
      <c r="AA151">
        <v>0</v>
      </c>
    </row>
    <row r="152" spans="1:27" hidden="1">
      <c r="A152" s="37" t="s">
        <v>1405</v>
      </c>
      <c r="B152" s="37">
        <v>637</v>
      </c>
      <c r="C152" s="37">
        <v>380</v>
      </c>
      <c r="D152" s="37">
        <v>776</v>
      </c>
      <c r="E152" s="37">
        <v>625</v>
      </c>
      <c r="F152" s="37">
        <v>736</v>
      </c>
      <c r="G152" s="37">
        <v>1280</v>
      </c>
      <c r="H152" s="37">
        <v>1008</v>
      </c>
      <c r="I152" s="37">
        <v>646</v>
      </c>
      <c r="J152" s="37">
        <v>522</v>
      </c>
      <c r="K152">
        <v>603</v>
      </c>
      <c r="L152">
        <v>435</v>
      </c>
      <c r="M152">
        <v>527</v>
      </c>
      <c r="N152">
        <v>613</v>
      </c>
      <c r="O152">
        <v>103</v>
      </c>
      <c r="P152">
        <v>59</v>
      </c>
      <c r="Q152">
        <v>147</v>
      </c>
      <c r="R152">
        <v>102</v>
      </c>
      <c r="S152">
        <v>140</v>
      </c>
      <c r="T152">
        <v>215</v>
      </c>
      <c r="U152">
        <v>188</v>
      </c>
      <c r="V152">
        <v>160</v>
      </c>
      <c r="W152">
        <v>142</v>
      </c>
      <c r="X152">
        <v>151</v>
      </c>
      <c r="Y152">
        <v>149</v>
      </c>
      <c r="Z152">
        <v>146</v>
      </c>
      <c r="AA152">
        <v>150</v>
      </c>
    </row>
    <row r="153" spans="1:27" hidden="1">
      <c r="A153" s="37" t="s">
        <v>1638</v>
      </c>
      <c r="B153" s="37">
        <v>260</v>
      </c>
      <c r="C153" s="37">
        <v>216</v>
      </c>
      <c r="D153" s="37">
        <v>283</v>
      </c>
      <c r="E153" s="37">
        <v>204</v>
      </c>
      <c r="F153" s="37">
        <v>165</v>
      </c>
      <c r="G153" s="37">
        <v>228</v>
      </c>
      <c r="H153" s="37">
        <v>208</v>
      </c>
      <c r="I153" s="37">
        <v>201</v>
      </c>
      <c r="J153" s="37">
        <v>173</v>
      </c>
      <c r="K153">
        <v>160</v>
      </c>
      <c r="L153">
        <v>141</v>
      </c>
      <c r="M153">
        <v>148</v>
      </c>
      <c r="N153">
        <v>0</v>
      </c>
      <c r="O153">
        <v>88</v>
      </c>
      <c r="P153">
        <v>71</v>
      </c>
      <c r="Q153">
        <v>60</v>
      </c>
      <c r="R153">
        <v>72</v>
      </c>
      <c r="S153">
        <v>73</v>
      </c>
      <c r="T153">
        <v>84</v>
      </c>
      <c r="U153">
        <v>68</v>
      </c>
      <c r="V153">
        <v>81</v>
      </c>
      <c r="W153">
        <v>89</v>
      </c>
      <c r="X153">
        <v>56</v>
      </c>
      <c r="Y153">
        <v>72</v>
      </c>
      <c r="Z153">
        <v>63</v>
      </c>
      <c r="AA153">
        <v>0</v>
      </c>
    </row>
    <row r="154" spans="1:27" hidden="1">
      <c r="A154" s="37" t="s">
        <v>1641</v>
      </c>
      <c r="B154" s="37">
        <v>404</v>
      </c>
      <c r="C154" s="37">
        <v>496</v>
      </c>
      <c r="D154" s="37">
        <v>401</v>
      </c>
      <c r="E154" s="37">
        <v>381</v>
      </c>
      <c r="F154" s="37">
        <v>413</v>
      </c>
      <c r="G154" s="37">
        <v>334</v>
      </c>
      <c r="H154" s="37">
        <v>330</v>
      </c>
      <c r="I154" s="37">
        <v>340</v>
      </c>
      <c r="J154" s="37">
        <v>279</v>
      </c>
      <c r="K154">
        <v>18</v>
      </c>
      <c r="L154">
        <v>0</v>
      </c>
      <c r="M154">
        <v>3</v>
      </c>
      <c r="N154">
        <v>0</v>
      </c>
      <c r="O154">
        <v>111</v>
      </c>
      <c r="P154">
        <v>203</v>
      </c>
      <c r="Q154">
        <v>114</v>
      </c>
      <c r="R154">
        <v>201</v>
      </c>
      <c r="S154">
        <v>108</v>
      </c>
      <c r="T154">
        <v>98</v>
      </c>
      <c r="U154">
        <v>89</v>
      </c>
      <c r="V154">
        <v>101</v>
      </c>
      <c r="W154">
        <v>118</v>
      </c>
      <c r="X154">
        <v>6</v>
      </c>
      <c r="Y154">
        <v>0</v>
      </c>
      <c r="Z154">
        <v>0</v>
      </c>
      <c r="AA154">
        <v>0</v>
      </c>
    </row>
    <row r="155" spans="1:27" hidden="1">
      <c r="A155" s="37" t="s">
        <v>1225</v>
      </c>
      <c r="B155" s="37">
        <v>1239</v>
      </c>
      <c r="C155" s="37">
        <v>1315</v>
      </c>
      <c r="D155" s="37">
        <v>1112</v>
      </c>
      <c r="E155" s="37">
        <v>1316</v>
      </c>
      <c r="F155" s="37">
        <v>1188</v>
      </c>
      <c r="G155" s="37">
        <v>1019</v>
      </c>
      <c r="H155" s="37">
        <v>1042</v>
      </c>
      <c r="I155" s="37">
        <v>1211</v>
      </c>
      <c r="J155" s="37">
        <v>1093</v>
      </c>
      <c r="K155">
        <v>955</v>
      </c>
      <c r="L155">
        <v>1068</v>
      </c>
      <c r="M155">
        <v>911</v>
      </c>
      <c r="N155">
        <v>1183</v>
      </c>
      <c r="O155">
        <v>162</v>
      </c>
      <c r="P155">
        <v>534</v>
      </c>
      <c r="Q155">
        <v>433</v>
      </c>
      <c r="R155">
        <v>598</v>
      </c>
      <c r="S155">
        <v>564</v>
      </c>
      <c r="T155">
        <v>534</v>
      </c>
      <c r="U155">
        <v>540</v>
      </c>
      <c r="V155">
        <v>517</v>
      </c>
      <c r="W155">
        <v>567</v>
      </c>
      <c r="X155">
        <v>547</v>
      </c>
      <c r="Y155">
        <v>744</v>
      </c>
      <c r="Z155">
        <v>420</v>
      </c>
      <c r="AA155">
        <v>603</v>
      </c>
    </row>
    <row r="156" spans="1:27" hidden="1">
      <c r="A156" s="37" t="s">
        <v>1471</v>
      </c>
      <c r="B156" s="37">
        <v>0</v>
      </c>
      <c r="C156" s="37">
        <v>334</v>
      </c>
      <c r="D156" s="37">
        <v>746</v>
      </c>
      <c r="E156" s="37">
        <v>755</v>
      </c>
      <c r="F156" s="37">
        <v>764</v>
      </c>
      <c r="G156" s="37">
        <v>776</v>
      </c>
      <c r="H156" s="37">
        <v>736</v>
      </c>
      <c r="I156" s="37">
        <v>863</v>
      </c>
      <c r="J156" s="37">
        <v>821</v>
      </c>
      <c r="K156">
        <v>694</v>
      </c>
      <c r="L156">
        <v>791</v>
      </c>
      <c r="M156">
        <v>634</v>
      </c>
      <c r="N156">
        <v>958</v>
      </c>
      <c r="O156">
        <v>0</v>
      </c>
      <c r="P156">
        <v>0</v>
      </c>
      <c r="Q156">
        <v>95</v>
      </c>
      <c r="R156">
        <v>371</v>
      </c>
      <c r="S156">
        <v>320</v>
      </c>
      <c r="T156">
        <v>332</v>
      </c>
      <c r="U156">
        <v>309</v>
      </c>
      <c r="V156">
        <v>403</v>
      </c>
      <c r="W156">
        <v>340</v>
      </c>
      <c r="X156">
        <v>314</v>
      </c>
      <c r="Y156">
        <v>441</v>
      </c>
      <c r="Z156">
        <v>273</v>
      </c>
      <c r="AA156">
        <v>444</v>
      </c>
    </row>
    <row r="157" spans="1:27" hidden="1">
      <c r="A157" s="37" t="s">
        <v>1321</v>
      </c>
      <c r="B157" s="37">
        <v>715</v>
      </c>
      <c r="C157" s="37">
        <v>979</v>
      </c>
      <c r="D157" s="37">
        <v>854</v>
      </c>
      <c r="E157" s="37">
        <v>785</v>
      </c>
      <c r="F157" s="37">
        <v>626</v>
      </c>
      <c r="G157" s="37">
        <v>719</v>
      </c>
      <c r="H157" s="37">
        <v>373</v>
      </c>
      <c r="I157" s="37">
        <v>642</v>
      </c>
      <c r="J157" s="37">
        <v>653</v>
      </c>
      <c r="K157">
        <v>596</v>
      </c>
      <c r="L157">
        <v>551</v>
      </c>
      <c r="M157">
        <v>466</v>
      </c>
      <c r="N157">
        <v>544</v>
      </c>
      <c r="O157">
        <v>24</v>
      </c>
      <c r="P157">
        <v>282</v>
      </c>
      <c r="Q157">
        <v>265</v>
      </c>
      <c r="R157">
        <v>257</v>
      </c>
      <c r="S157">
        <v>253</v>
      </c>
      <c r="T157">
        <v>236</v>
      </c>
      <c r="U157">
        <v>125</v>
      </c>
      <c r="V157">
        <v>205</v>
      </c>
      <c r="W157">
        <v>233</v>
      </c>
      <c r="X157">
        <v>210</v>
      </c>
      <c r="Y157">
        <v>196</v>
      </c>
      <c r="Z157">
        <v>175</v>
      </c>
      <c r="AA157">
        <v>188</v>
      </c>
    </row>
    <row r="158" spans="1:27" hidden="1">
      <c r="A158" s="37" t="s">
        <v>1687</v>
      </c>
      <c r="B158" s="37">
        <v>1369</v>
      </c>
      <c r="C158" s="37">
        <v>297</v>
      </c>
      <c r="D158" s="37">
        <v>0</v>
      </c>
      <c r="E158" s="37">
        <v>848</v>
      </c>
      <c r="F158" s="37">
        <v>772</v>
      </c>
      <c r="G158" s="37">
        <v>797</v>
      </c>
      <c r="H158" s="37">
        <v>491</v>
      </c>
      <c r="I158" s="37">
        <v>684</v>
      </c>
      <c r="J158" s="37">
        <v>620</v>
      </c>
      <c r="K158">
        <v>435</v>
      </c>
      <c r="L158">
        <v>807</v>
      </c>
      <c r="M158">
        <v>784</v>
      </c>
      <c r="N158">
        <v>629</v>
      </c>
      <c r="O158">
        <v>342</v>
      </c>
      <c r="P158">
        <v>0</v>
      </c>
      <c r="Q158">
        <v>36</v>
      </c>
      <c r="R158">
        <v>255</v>
      </c>
      <c r="S158">
        <v>250</v>
      </c>
      <c r="T158">
        <v>258</v>
      </c>
      <c r="U158">
        <v>142</v>
      </c>
      <c r="V158">
        <v>217</v>
      </c>
      <c r="W158">
        <v>214</v>
      </c>
      <c r="X158">
        <v>145</v>
      </c>
      <c r="Y158">
        <v>268</v>
      </c>
      <c r="Z158">
        <v>150</v>
      </c>
      <c r="AA158">
        <v>169</v>
      </c>
    </row>
    <row r="159" spans="1:27" hidden="1">
      <c r="A159" s="37" t="s">
        <v>1462</v>
      </c>
      <c r="B159" s="37">
        <v>819</v>
      </c>
      <c r="C159" s="37">
        <v>1055</v>
      </c>
      <c r="D159" s="37">
        <v>723</v>
      </c>
      <c r="E159" s="37">
        <v>644</v>
      </c>
      <c r="F159" s="37">
        <v>477</v>
      </c>
      <c r="G159" s="37">
        <v>469</v>
      </c>
      <c r="H159" s="37">
        <v>483</v>
      </c>
      <c r="I159" s="37">
        <v>630</v>
      </c>
      <c r="J159" s="37">
        <v>650</v>
      </c>
      <c r="K159">
        <v>535</v>
      </c>
      <c r="L159">
        <v>537</v>
      </c>
      <c r="M159">
        <v>673</v>
      </c>
      <c r="N159">
        <v>1086</v>
      </c>
      <c r="O159">
        <v>236</v>
      </c>
      <c r="P159">
        <v>310</v>
      </c>
      <c r="Q159">
        <v>234</v>
      </c>
      <c r="R159">
        <v>199</v>
      </c>
      <c r="S159">
        <v>174</v>
      </c>
      <c r="T159">
        <v>176</v>
      </c>
      <c r="U159">
        <v>163</v>
      </c>
      <c r="V159">
        <v>235</v>
      </c>
      <c r="W159">
        <v>182</v>
      </c>
      <c r="X159">
        <v>172</v>
      </c>
      <c r="Y159">
        <v>184</v>
      </c>
      <c r="Z159">
        <v>198</v>
      </c>
      <c r="AA159">
        <v>311</v>
      </c>
    </row>
    <row r="160" spans="1:27" hidden="1">
      <c r="A160" s="37" t="s">
        <v>1378</v>
      </c>
      <c r="B160" s="37">
        <v>2153</v>
      </c>
      <c r="C160" s="37">
        <v>2493</v>
      </c>
      <c r="D160" s="37">
        <v>2220</v>
      </c>
      <c r="E160" s="37">
        <v>2376</v>
      </c>
      <c r="F160" s="37">
        <v>1752</v>
      </c>
      <c r="G160" s="37">
        <v>1787</v>
      </c>
      <c r="H160" s="37">
        <v>1888</v>
      </c>
      <c r="I160" s="37">
        <v>2022</v>
      </c>
      <c r="J160" s="37">
        <v>1476</v>
      </c>
      <c r="K160">
        <v>1307</v>
      </c>
      <c r="L160">
        <v>1144</v>
      </c>
      <c r="M160">
        <v>1363</v>
      </c>
      <c r="N160">
        <v>1787</v>
      </c>
      <c r="O160">
        <v>430</v>
      </c>
      <c r="P160">
        <v>494</v>
      </c>
      <c r="Q160">
        <v>528</v>
      </c>
      <c r="R160">
        <v>502</v>
      </c>
      <c r="S160">
        <v>392</v>
      </c>
      <c r="T160">
        <v>390</v>
      </c>
      <c r="U160">
        <v>386</v>
      </c>
      <c r="V160">
        <v>489</v>
      </c>
      <c r="W160">
        <v>364</v>
      </c>
      <c r="X160">
        <v>341</v>
      </c>
      <c r="Y160">
        <v>408</v>
      </c>
      <c r="Z160">
        <v>333</v>
      </c>
      <c r="AA160">
        <v>473</v>
      </c>
    </row>
    <row r="161" spans="1:27" hidden="1">
      <c r="A161" s="37" t="s">
        <v>1289</v>
      </c>
      <c r="B161" s="37">
        <v>0</v>
      </c>
      <c r="C161" s="37">
        <v>0</v>
      </c>
      <c r="D161" s="37">
        <v>0</v>
      </c>
      <c r="E161" s="37">
        <v>36</v>
      </c>
      <c r="F161" s="37">
        <v>172</v>
      </c>
      <c r="G161" s="37">
        <v>179</v>
      </c>
      <c r="H161" s="37">
        <v>394</v>
      </c>
      <c r="I161" s="37">
        <v>608</v>
      </c>
      <c r="J161" s="37">
        <v>276</v>
      </c>
      <c r="K161">
        <v>322</v>
      </c>
      <c r="L161">
        <v>310</v>
      </c>
      <c r="M161">
        <v>225</v>
      </c>
      <c r="N161">
        <v>249</v>
      </c>
      <c r="O161">
        <v>0</v>
      </c>
      <c r="P161">
        <v>0</v>
      </c>
      <c r="Q161">
        <v>0</v>
      </c>
      <c r="R161">
        <v>0</v>
      </c>
      <c r="S161">
        <v>44</v>
      </c>
      <c r="T161">
        <v>55</v>
      </c>
      <c r="U161">
        <v>111</v>
      </c>
      <c r="V161">
        <v>163</v>
      </c>
      <c r="W161">
        <v>67</v>
      </c>
      <c r="X161">
        <v>69</v>
      </c>
      <c r="Y161">
        <v>80</v>
      </c>
      <c r="Z161">
        <v>38</v>
      </c>
      <c r="AA161">
        <v>63</v>
      </c>
    </row>
    <row r="162" spans="1:27" hidden="1">
      <c r="A162" s="37" t="s">
        <v>932</v>
      </c>
      <c r="B162" s="37">
        <v>558</v>
      </c>
      <c r="C162" s="37">
        <v>624</v>
      </c>
      <c r="D162" s="37">
        <v>980</v>
      </c>
      <c r="E162" s="37">
        <v>460</v>
      </c>
      <c r="F162" s="37">
        <v>324</v>
      </c>
      <c r="G162" s="37">
        <v>407</v>
      </c>
      <c r="H162" s="37">
        <v>537</v>
      </c>
      <c r="I162" s="37">
        <v>403</v>
      </c>
      <c r="J162" s="37">
        <v>524</v>
      </c>
      <c r="K162">
        <v>457</v>
      </c>
      <c r="L162">
        <v>383</v>
      </c>
      <c r="M162">
        <v>452</v>
      </c>
      <c r="N162">
        <v>558</v>
      </c>
      <c r="O162">
        <v>261</v>
      </c>
      <c r="P162">
        <v>294</v>
      </c>
      <c r="Q162">
        <v>418</v>
      </c>
      <c r="R162">
        <v>197</v>
      </c>
      <c r="S162">
        <v>142</v>
      </c>
      <c r="T162">
        <v>158</v>
      </c>
      <c r="U162">
        <v>235</v>
      </c>
      <c r="V162">
        <v>191</v>
      </c>
      <c r="W162">
        <v>190</v>
      </c>
      <c r="X162">
        <v>219</v>
      </c>
      <c r="Y162">
        <v>186</v>
      </c>
      <c r="Z162">
        <v>192</v>
      </c>
      <c r="AA162">
        <v>202</v>
      </c>
    </row>
    <row r="163" spans="1:27" hidden="1">
      <c r="A163" s="37" t="s">
        <v>966</v>
      </c>
      <c r="B163" s="37">
        <v>424</v>
      </c>
      <c r="C163" s="37">
        <v>475</v>
      </c>
      <c r="D163" s="37">
        <v>420</v>
      </c>
      <c r="E163" s="37">
        <v>447</v>
      </c>
      <c r="F163" s="37">
        <v>461</v>
      </c>
      <c r="G163" s="37">
        <v>434</v>
      </c>
      <c r="H163" s="37">
        <v>476</v>
      </c>
      <c r="I163" s="37">
        <v>441</v>
      </c>
      <c r="J163" s="37">
        <v>374</v>
      </c>
      <c r="K163">
        <v>373</v>
      </c>
      <c r="L163">
        <v>448</v>
      </c>
      <c r="M163">
        <v>424</v>
      </c>
      <c r="N163">
        <v>897</v>
      </c>
      <c r="O163">
        <v>201</v>
      </c>
      <c r="P163">
        <v>233</v>
      </c>
      <c r="Q163">
        <v>126</v>
      </c>
      <c r="R163">
        <v>148</v>
      </c>
      <c r="S163">
        <v>161</v>
      </c>
      <c r="T163">
        <v>163</v>
      </c>
      <c r="U163">
        <v>176</v>
      </c>
      <c r="V163">
        <v>159</v>
      </c>
      <c r="W163">
        <v>133</v>
      </c>
      <c r="X163">
        <v>159</v>
      </c>
      <c r="Y163">
        <v>255</v>
      </c>
      <c r="Z163">
        <v>171</v>
      </c>
      <c r="AA163">
        <v>391</v>
      </c>
    </row>
    <row r="164" spans="1:27" hidden="1">
      <c r="A164" s="37" t="s">
        <v>1368</v>
      </c>
      <c r="B164" s="37">
        <v>3418</v>
      </c>
      <c r="C164" s="37">
        <v>372</v>
      </c>
      <c r="D164" s="37">
        <v>1874</v>
      </c>
      <c r="E164" s="37">
        <v>2165</v>
      </c>
      <c r="F164" s="37">
        <v>1222</v>
      </c>
      <c r="G164" s="37">
        <v>918</v>
      </c>
      <c r="H164" s="37">
        <v>2617</v>
      </c>
      <c r="I164" s="37">
        <v>1522</v>
      </c>
      <c r="J164" s="37">
        <v>1547</v>
      </c>
      <c r="K164">
        <v>1159</v>
      </c>
      <c r="L164">
        <v>712</v>
      </c>
      <c r="M164">
        <v>905</v>
      </c>
      <c r="N164">
        <v>819</v>
      </c>
      <c r="O164">
        <v>1111</v>
      </c>
      <c r="P164">
        <v>163</v>
      </c>
      <c r="Q164">
        <v>602</v>
      </c>
      <c r="R164">
        <v>764</v>
      </c>
      <c r="S164">
        <v>350</v>
      </c>
      <c r="T164">
        <v>290</v>
      </c>
      <c r="U164">
        <v>1023</v>
      </c>
      <c r="V164">
        <v>532</v>
      </c>
      <c r="W164">
        <v>600</v>
      </c>
      <c r="X164">
        <v>407</v>
      </c>
      <c r="Y164">
        <v>304</v>
      </c>
      <c r="Z164">
        <v>340</v>
      </c>
      <c r="AA164">
        <v>288</v>
      </c>
    </row>
    <row r="165" spans="1:27" hidden="1">
      <c r="A165" s="37" t="s">
        <v>1395</v>
      </c>
      <c r="B165" s="37">
        <v>985</v>
      </c>
      <c r="C165" s="37">
        <v>847</v>
      </c>
      <c r="D165" s="37">
        <v>817</v>
      </c>
      <c r="E165" s="37">
        <v>688</v>
      </c>
      <c r="F165" s="37">
        <v>499</v>
      </c>
      <c r="G165" s="37">
        <v>442</v>
      </c>
      <c r="H165" s="37">
        <v>445</v>
      </c>
      <c r="I165" s="37">
        <v>515</v>
      </c>
      <c r="J165" s="37">
        <v>398</v>
      </c>
      <c r="K165">
        <v>389</v>
      </c>
      <c r="L165">
        <v>394</v>
      </c>
      <c r="M165">
        <v>335</v>
      </c>
      <c r="N165">
        <v>470</v>
      </c>
      <c r="O165">
        <v>340</v>
      </c>
      <c r="P165">
        <v>348</v>
      </c>
      <c r="Q165">
        <v>338</v>
      </c>
      <c r="R165">
        <v>305</v>
      </c>
      <c r="S165">
        <v>270</v>
      </c>
      <c r="T165">
        <v>240</v>
      </c>
      <c r="U165">
        <v>228</v>
      </c>
      <c r="V165">
        <v>256</v>
      </c>
      <c r="W165">
        <v>219</v>
      </c>
      <c r="X165">
        <v>201</v>
      </c>
      <c r="Y165">
        <v>203</v>
      </c>
      <c r="Z165">
        <v>214</v>
      </c>
      <c r="AA165">
        <v>261</v>
      </c>
    </row>
    <row r="166" spans="1:27" hidden="1">
      <c r="A166" s="37" t="s">
        <v>1177</v>
      </c>
      <c r="B166" s="37">
        <v>2497</v>
      </c>
      <c r="C166" s="37">
        <v>1850</v>
      </c>
      <c r="D166" s="37">
        <v>1991</v>
      </c>
      <c r="E166" s="37">
        <v>2772</v>
      </c>
      <c r="F166" s="37">
        <v>2176</v>
      </c>
      <c r="G166" s="37">
        <v>1501</v>
      </c>
      <c r="H166" s="37">
        <v>1366</v>
      </c>
      <c r="I166" s="37">
        <v>1596</v>
      </c>
      <c r="J166" s="37">
        <v>1433</v>
      </c>
      <c r="K166">
        <v>1600</v>
      </c>
      <c r="L166">
        <v>2519</v>
      </c>
      <c r="M166">
        <v>1852</v>
      </c>
      <c r="N166">
        <v>2423</v>
      </c>
      <c r="O166">
        <v>444</v>
      </c>
      <c r="P166">
        <v>631</v>
      </c>
      <c r="Q166">
        <v>768</v>
      </c>
      <c r="R166">
        <v>785</v>
      </c>
      <c r="S166">
        <v>701</v>
      </c>
      <c r="T166">
        <v>598</v>
      </c>
      <c r="U166">
        <v>518</v>
      </c>
      <c r="V166">
        <v>690</v>
      </c>
      <c r="W166">
        <v>651</v>
      </c>
      <c r="X166">
        <v>692</v>
      </c>
      <c r="Y166">
        <v>1254</v>
      </c>
      <c r="Z166">
        <v>673</v>
      </c>
      <c r="AA166">
        <v>974</v>
      </c>
    </row>
    <row r="167" spans="1:27" hidden="1">
      <c r="A167" s="37" t="s">
        <v>47</v>
      </c>
      <c r="B167" s="37">
        <v>1688</v>
      </c>
      <c r="C167" s="37">
        <v>1053</v>
      </c>
      <c r="D167" s="37">
        <v>946</v>
      </c>
      <c r="E167" s="37">
        <v>928</v>
      </c>
      <c r="F167" s="37">
        <v>934</v>
      </c>
      <c r="G167" s="37">
        <v>895</v>
      </c>
      <c r="H167" s="37">
        <v>975</v>
      </c>
      <c r="I167" s="37">
        <v>944</v>
      </c>
      <c r="J167" s="37">
        <v>924</v>
      </c>
      <c r="K167">
        <v>794</v>
      </c>
      <c r="L167">
        <v>840</v>
      </c>
      <c r="M167">
        <v>744</v>
      </c>
      <c r="N167">
        <v>1190</v>
      </c>
      <c r="O167">
        <v>403</v>
      </c>
      <c r="P167">
        <v>289</v>
      </c>
      <c r="Q167">
        <v>223</v>
      </c>
      <c r="R167">
        <v>231</v>
      </c>
      <c r="S167">
        <v>240</v>
      </c>
      <c r="T167">
        <v>268</v>
      </c>
      <c r="U167">
        <v>222</v>
      </c>
      <c r="V167">
        <v>210</v>
      </c>
      <c r="W167">
        <v>247</v>
      </c>
      <c r="X167">
        <v>191</v>
      </c>
      <c r="Y167">
        <v>197</v>
      </c>
      <c r="Z167">
        <v>201</v>
      </c>
      <c r="AA167">
        <v>281</v>
      </c>
    </row>
    <row r="168" spans="1:27" hidden="1">
      <c r="A168" s="37" t="s">
        <v>1166</v>
      </c>
      <c r="B168" s="37">
        <v>7650</v>
      </c>
      <c r="C168" s="37">
        <v>13806</v>
      </c>
      <c r="D168" s="37">
        <v>6603</v>
      </c>
      <c r="E168" s="37">
        <v>5324</v>
      </c>
      <c r="F168" s="37">
        <v>5917</v>
      </c>
      <c r="G168" s="37">
        <v>5980</v>
      </c>
      <c r="H168" s="37">
        <v>3818</v>
      </c>
      <c r="I168" s="37">
        <v>7142</v>
      </c>
      <c r="J168" s="37">
        <v>3403</v>
      </c>
      <c r="K168">
        <v>10303</v>
      </c>
      <c r="L168">
        <v>30783</v>
      </c>
      <c r="M168">
        <v>4975</v>
      </c>
      <c r="N168">
        <v>17382</v>
      </c>
      <c r="O168">
        <v>2736</v>
      </c>
      <c r="P168">
        <v>3451</v>
      </c>
      <c r="Q168">
        <v>2379</v>
      </c>
      <c r="R168">
        <v>2202</v>
      </c>
      <c r="S168">
        <v>2495</v>
      </c>
      <c r="T168">
        <v>2423</v>
      </c>
      <c r="U168">
        <v>1766</v>
      </c>
      <c r="V168">
        <v>2655</v>
      </c>
      <c r="W168">
        <v>1759</v>
      </c>
      <c r="X168">
        <v>3992</v>
      </c>
      <c r="Y168">
        <v>4974</v>
      </c>
      <c r="Z168">
        <v>2038</v>
      </c>
      <c r="AA168">
        <v>2343</v>
      </c>
    </row>
    <row r="169" spans="1:27" hidden="1">
      <c r="A169" s="37" t="s">
        <v>1042</v>
      </c>
      <c r="B169" s="37">
        <v>670</v>
      </c>
      <c r="C169" s="37">
        <v>116</v>
      </c>
      <c r="D169" s="37">
        <v>398</v>
      </c>
      <c r="E169" s="37">
        <v>445</v>
      </c>
      <c r="F169" s="37">
        <v>359</v>
      </c>
      <c r="G169" s="37">
        <v>355</v>
      </c>
      <c r="H169" s="37">
        <v>239</v>
      </c>
      <c r="I169" s="37">
        <v>322</v>
      </c>
      <c r="J169" s="37">
        <v>275</v>
      </c>
      <c r="K169">
        <v>242</v>
      </c>
      <c r="L169">
        <v>321</v>
      </c>
      <c r="M169">
        <v>259</v>
      </c>
      <c r="N169">
        <v>256</v>
      </c>
      <c r="O169">
        <v>224</v>
      </c>
      <c r="P169">
        <v>42</v>
      </c>
      <c r="Q169">
        <v>170</v>
      </c>
      <c r="R169">
        <v>204</v>
      </c>
      <c r="S169">
        <v>158</v>
      </c>
      <c r="T169">
        <v>171</v>
      </c>
      <c r="U169">
        <v>102</v>
      </c>
      <c r="V169">
        <v>122</v>
      </c>
      <c r="W169">
        <v>146</v>
      </c>
      <c r="X169">
        <v>115</v>
      </c>
      <c r="Y169">
        <v>150</v>
      </c>
      <c r="Z169">
        <v>113</v>
      </c>
      <c r="AA169">
        <v>125</v>
      </c>
    </row>
    <row r="170" spans="1:27" hidden="1">
      <c r="A170" s="37" t="s">
        <v>549</v>
      </c>
      <c r="B170" s="37">
        <v>416</v>
      </c>
      <c r="C170" s="37">
        <v>1739</v>
      </c>
      <c r="D170" s="37">
        <v>1284</v>
      </c>
      <c r="E170" s="37">
        <v>1175</v>
      </c>
      <c r="F170" s="37">
        <v>1221</v>
      </c>
      <c r="G170" s="37">
        <v>1495</v>
      </c>
      <c r="H170" s="37">
        <v>657</v>
      </c>
      <c r="I170" s="37">
        <v>1287</v>
      </c>
      <c r="J170" s="37">
        <v>1362</v>
      </c>
      <c r="K170">
        <v>1085</v>
      </c>
      <c r="L170">
        <v>1266</v>
      </c>
      <c r="M170">
        <v>1122</v>
      </c>
      <c r="N170">
        <v>1707</v>
      </c>
      <c r="O170">
        <v>108</v>
      </c>
      <c r="P170">
        <v>514</v>
      </c>
      <c r="Q170">
        <v>401</v>
      </c>
      <c r="R170">
        <v>398</v>
      </c>
      <c r="S170">
        <v>396</v>
      </c>
      <c r="T170">
        <v>527</v>
      </c>
      <c r="U170">
        <v>199</v>
      </c>
      <c r="V170">
        <v>400</v>
      </c>
      <c r="W170">
        <v>457</v>
      </c>
      <c r="X170">
        <v>382</v>
      </c>
      <c r="Y170">
        <v>427</v>
      </c>
      <c r="Z170">
        <v>426</v>
      </c>
      <c r="AA170">
        <v>477</v>
      </c>
    </row>
    <row r="171" spans="1:27" hidden="1">
      <c r="A171" s="37" t="s">
        <v>1415</v>
      </c>
      <c r="B171" s="37">
        <v>0</v>
      </c>
      <c r="C171" s="37">
        <v>0</v>
      </c>
      <c r="D171" s="37">
        <v>0</v>
      </c>
      <c r="E171" s="37">
        <v>0</v>
      </c>
      <c r="F171" s="37">
        <v>0</v>
      </c>
      <c r="G171" s="37">
        <v>144</v>
      </c>
      <c r="H171" s="37">
        <v>2461</v>
      </c>
      <c r="I171" s="37">
        <v>2491</v>
      </c>
      <c r="J171" s="37">
        <v>2416</v>
      </c>
      <c r="K171">
        <v>987</v>
      </c>
      <c r="L171">
        <v>1751</v>
      </c>
      <c r="M171">
        <v>2342</v>
      </c>
      <c r="N171">
        <v>3384</v>
      </c>
      <c r="O171">
        <v>0</v>
      </c>
      <c r="P171">
        <v>0</v>
      </c>
      <c r="Q171">
        <v>0</v>
      </c>
      <c r="R171">
        <v>0</v>
      </c>
      <c r="S171">
        <v>0</v>
      </c>
      <c r="T171">
        <v>0</v>
      </c>
      <c r="U171">
        <v>882</v>
      </c>
      <c r="V171">
        <v>79</v>
      </c>
      <c r="W171">
        <v>531</v>
      </c>
      <c r="X171">
        <v>276</v>
      </c>
      <c r="Y171">
        <v>575</v>
      </c>
      <c r="Z171">
        <v>889</v>
      </c>
      <c r="AA171">
        <v>1165</v>
      </c>
    </row>
    <row r="172" spans="1:27" hidden="1">
      <c r="A172" s="37" t="s">
        <v>757</v>
      </c>
      <c r="B172" s="37">
        <v>4005</v>
      </c>
      <c r="C172" s="37">
        <v>3935</v>
      </c>
      <c r="D172" s="37">
        <v>4402</v>
      </c>
      <c r="E172" s="37">
        <v>4192</v>
      </c>
      <c r="F172" s="37">
        <v>3156</v>
      </c>
      <c r="G172" s="37">
        <v>3022</v>
      </c>
      <c r="H172" s="37">
        <v>3527</v>
      </c>
      <c r="I172" s="37">
        <v>3401</v>
      </c>
      <c r="J172" s="37">
        <v>3505</v>
      </c>
      <c r="K172">
        <v>3747</v>
      </c>
      <c r="L172">
        <v>3453</v>
      </c>
      <c r="M172">
        <v>3741</v>
      </c>
      <c r="N172">
        <v>3578</v>
      </c>
      <c r="O172">
        <v>734</v>
      </c>
      <c r="P172">
        <v>696</v>
      </c>
      <c r="Q172">
        <v>768</v>
      </c>
      <c r="R172">
        <v>738</v>
      </c>
      <c r="S172">
        <v>601</v>
      </c>
      <c r="T172">
        <v>571</v>
      </c>
      <c r="U172">
        <v>634</v>
      </c>
      <c r="V172">
        <v>652</v>
      </c>
      <c r="W172">
        <v>589</v>
      </c>
      <c r="X172">
        <v>553</v>
      </c>
      <c r="Y172">
        <v>541</v>
      </c>
      <c r="Z172">
        <v>546</v>
      </c>
      <c r="AA172">
        <v>556</v>
      </c>
    </row>
    <row r="173" spans="1:27" hidden="1">
      <c r="A173" s="37" t="s">
        <v>1513</v>
      </c>
      <c r="B173" s="37">
        <v>1177</v>
      </c>
      <c r="C173" s="37">
        <v>669</v>
      </c>
      <c r="D173" s="37">
        <v>478</v>
      </c>
      <c r="E173" s="37">
        <v>414</v>
      </c>
      <c r="F173" s="37">
        <v>676</v>
      </c>
      <c r="G173" s="37">
        <v>792</v>
      </c>
      <c r="H173" s="37">
        <v>567</v>
      </c>
      <c r="I173" s="37">
        <v>1795</v>
      </c>
      <c r="J173" s="37">
        <v>1362</v>
      </c>
      <c r="K173">
        <v>670</v>
      </c>
      <c r="L173">
        <v>1012</v>
      </c>
      <c r="M173">
        <v>922</v>
      </c>
      <c r="N173">
        <v>1336</v>
      </c>
      <c r="O173">
        <v>361</v>
      </c>
      <c r="P173">
        <v>240</v>
      </c>
      <c r="Q173">
        <v>235</v>
      </c>
      <c r="R173">
        <v>215</v>
      </c>
      <c r="S173">
        <v>293</v>
      </c>
      <c r="T173">
        <v>329</v>
      </c>
      <c r="U173">
        <v>203</v>
      </c>
      <c r="V173">
        <v>512</v>
      </c>
      <c r="W173">
        <v>503</v>
      </c>
      <c r="X173">
        <v>298</v>
      </c>
      <c r="Y173">
        <v>363</v>
      </c>
      <c r="Z173">
        <v>362</v>
      </c>
      <c r="AA173">
        <v>560</v>
      </c>
    </row>
    <row r="174" spans="1:27" hidden="1">
      <c r="A174" s="37" t="s">
        <v>1688</v>
      </c>
      <c r="B174" s="37">
        <v>420</v>
      </c>
      <c r="C174" s="37">
        <v>905</v>
      </c>
      <c r="D174" s="37">
        <v>0</v>
      </c>
      <c r="E174" s="37">
        <v>0</v>
      </c>
      <c r="F174" s="37">
        <v>243</v>
      </c>
      <c r="G174" s="37">
        <v>230</v>
      </c>
      <c r="H174" s="37">
        <v>245</v>
      </c>
      <c r="I174" s="37">
        <v>313</v>
      </c>
      <c r="J174" s="37">
        <v>176</v>
      </c>
      <c r="K174">
        <v>217</v>
      </c>
      <c r="L174">
        <v>419</v>
      </c>
      <c r="M174">
        <v>313</v>
      </c>
      <c r="N174">
        <v>293</v>
      </c>
      <c r="O174">
        <v>82</v>
      </c>
      <c r="P174">
        <v>168</v>
      </c>
      <c r="Q174">
        <v>3</v>
      </c>
      <c r="R174">
        <v>6</v>
      </c>
      <c r="S174">
        <v>73</v>
      </c>
      <c r="T174">
        <v>50</v>
      </c>
      <c r="U174">
        <v>78</v>
      </c>
      <c r="V174">
        <v>72</v>
      </c>
      <c r="W174">
        <v>51</v>
      </c>
      <c r="X174">
        <v>60</v>
      </c>
      <c r="Y174">
        <v>102</v>
      </c>
      <c r="Z174">
        <v>70</v>
      </c>
      <c r="AA174">
        <v>80</v>
      </c>
    </row>
    <row r="175" spans="1:27" hidden="1">
      <c r="A175" s="37" t="s">
        <v>810</v>
      </c>
      <c r="B175" s="37">
        <v>1339</v>
      </c>
      <c r="C175" s="37">
        <v>1142</v>
      </c>
      <c r="D175" s="37">
        <v>1084</v>
      </c>
      <c r="E175" s="37">
        <v>933</v>
      </c>
      <c r="F175" s="37">
        <v>792</v>
      </c>
      <c r="G175" s="37">
        <v>1046</v>
      </c>
      <c r="H175" s="37">
        <v>1128</v>
      </c>
      <c r="I175" s="37">
        <v>1509</v>
      </c>
      <c r="J175" s="37">
        <v>1271</v>
      </c>
      <c r="K175">
        <v>1123</v>
      </c>
      <c r="L175">
        <v>1094</v>
      </c>
      <c r="M175">
        <v>914</v>
      </c>
      <c r="N175">
        <v>1442</v>
      </c>
      <c r="O175">
        <v>224</v>
      </c>
      <c r="P175">
        <v>230</v>
      </c>
      <c r="Q175">
        <v>256</v>
      </c>
      <c r="R175">
        <v>204</v>
      </c>
      <c r="S175">
        <v>172</v>
      </c>
      <c r="T175">
        <v>241</v>
      </c>
      <c r="U175">
        <v>234</v>
      </c>
      <c r="V175">
        <v>349</v>
      </c>
      <c r="W175">
        <v>243</v>
      </c>
      <c r="X175">
        <v>245</v>
      </c>
      <c r="Y175">
        <v>255</v>
      </c>
      <c r="Z175">
        <v>193</v>
      </c>
      <c r="AA175">
        <v>293</v>
      </c>
    </row>
    <row r="176" spans="1:27" hidden="1">
      <c r="A176" s="37" t="s">
        <v>926</v>
      </c>
      <c r="B176" s="37">
        <v>265</v>
      </c>
      <c r="C176" s="37">
        <v>246</v>
      </c>
      <c r="D176" s="37">
        <v>232</v>
      </c>
      <c r="E176" s="37">
        <v>236</v>
      </c>
      <c r="F176" s="37">
        <v>206</v>
      </c>
      <c r="G176" s="37">
        <v>182</v>
      </c>
      <c r="H176" s="37">
        <v>226</v>
      </c>
      <c r="I176" s="37">
        <v>213</v>
      </c>
      <c r="J176" s="37">
        <v>251</v>
      </c>
      <c r="K176">
        <v>229</v>
      </c>
      <c r="L176">
        <v>189</v>
      </c>
      <c r="M176">
        <v>189</v>
      </c>
      <c r="N176">
        <v>254</v>
      </c>
      <c r="O176">
        <v>17</v>
      </c>
      <c r="P176">
        <v>49</v>
      </c>
      <c r="Q176">
        <v>172</v>
      </c>
      <c r="R176">
        <v>105</v>
      </c>
      <c r="S176">
        <v>128</v>
      </c>
      <c r="T176">
        <v>109</v>
      </c>
      <c r="U176">
        <v>129</v>
      </c>
      <c r="V176">
        <v>150</v>
      </c>
      <c r="W176">
        <v>161</v>
      </c>
      <c r="X176">
        <v>183</v>
      </c>
      <c r="Y176">
        <v>141</v>
      </c>
      <c r="Z176">
        <v>116</v>
      </c>
      <c r="AA176">
        <v>148</v>
      </c>
    </row>
    <row r="177" spans="1:27" hidden="1">
      <c r="A177" s="37" t="s">
        <v>1202</v>
      </c>
      <c r="B177" s="37">
        <v>2923</v>
      </c>
      <c r="C177" s="37">
        <v>1362</v>
      </c>
      <c r="D177" s="37">
        <v>2460</v>
      </c>
      <c r="E177" s="37">
        <v>3056</v>
      </c>
      <c r="F177" s="37">
        <v>2721</v>
      </c>
      <c r="G177" s="37">
        <v>1512</v>
      </c>
      <c r="H177" s="37">
        <v>1170</v>
      </c>
      <c r="I177" s="37">
        <v>1378</v>
      </c>
      <c r="J177" s="37">
        <v>1136</v>
      </c>
      <c r="K177">
        <v>1030</v>
      </c>
      <c r="L177">
        <v>954</v>
      </c>
      <c r="M177">
        <v>1000</v>
      </c>
      <c r="N177">
        <v>1178</v>
      </c>
      <c r="O177">
        <v>695</v>
      </c>
      <c r="P177">
        <v>457</v>
      </c>
      <c r="Q177">
        <v>629</v>
      </c>
      <c r="R177">
        <v>758</v>
      </c>
      <c r="S177">
        <v>605</v>
      </c>
      <c r="T177">
        <v>485</v>
      </c>
      <c r="U177">
        <v>467</v>
      </c>
      <c r="V177">
        <v>602</v>
      </c>
      <c r="W177">
        <v>526</v>
      </c>
      <c r="X177">
        <v>475</v>
      </c>
      <c r="Y177">
        <v>470</v>
      </c>
      <c r="Z177">
        <v>415</v>
      </c>
      <c r="AA177">
        <v>511</v>
      </c>
    </row>
    <row r="178" spans="1:27" hidden="1">
      <c r="A178" s="37" t="s">
        <v>832</v>
      </c>
      <c r="B178" s="37">
        <v>6001</v>
      </c>
      <c r="C178" s="37">
        <v>12082</v>
      </c>
      <c r="D178" s="37">
        <v>8755</v>
      </c>
      <c r="E178" s="37">
        <v>13184</v>
      </c>
      <c r="F178" s="37">
        <v>12988</v>
      </c>
      <c r="G178" s="37">
        <v>6562</v>
      </c>
      <c r="H178" s="37">
        <v>7094</v>
      </c>
      <c r="I178" s="37">
        <v>7373</v>
      </c>
      <c r="J178" s="37">
        <v>8509</v>
      </c>
      <c r="K178">
        <v>7454</v>
      </c>
      <c r="L178">
        <v>6258</v>
      </c>
      <c r="M178">
        <v>4926</v>
      </c>
      <c r="N178">
        <v>6006</v>
      </c>
      <c r="O178">
        <v>883</v>
      </c>
      <c r="P178">
        <v>1263</v>
      </c>
      <c r="Q178">
        <v>1209</v>
      </c>
      <c r="R178">
        <v>1750</v>
      </c>
      <c r="S178">
        <v>1820</v>
      </c>
      <c r="T178">
        <v>998</v>
      </c>
      <c r="U178">
        <v>933</v>
      </c>
      <c r="V178">
        <v>1283</v>
      </c>
      <c r="W178">
        <v>1453</v>
      </c>
      <c r="X178">
        <v>1276</v>
      </c>
      <c r="Y178">
        <v>1163</v>
      </c>
      <c r="Z178">
        <v>1099</v>
      </c>
      <c r="AA178">
        <v>1353</v>
      </c>
    </row>
    <row r="179" spans="1:27" hidden="1">
      <c r="A179" s="37" t="s">
        <v>729</v>
      </c>
      <c r="B179" s="37">
        <v>4791</v>
      </c>
      <c r="C179" s="37">
        <v>7626</v>
      </c>
      <c r="D179" s="37">
        <v>2539</v>
      </c>
      <c r="E179" s="37">
        <v>3770</v>
      </c>
      <c r="F179" s="37">
        <v>2839</v>
      </c>
      <c r="G179" s="37">
        <v>2086</v>
      </c>
      <c r="H179" s="37">
        <v>1005</v>
      </c>
      <c r="I179" s="37">
        <v>1990</v>
      </c>
      <c r="J179" s="37">
        <v>2436</v>
      </c>
      <c r="K179">
        <v>3382</v>
      </c>
      <c r="L179">
        <v>2383</v>
      </c>
      <c r="M179">
        <v>2450</v>
      </c>
      <c r="N179">
        <v>3019</v>
      </c>
      <c r="O179">
        <v>989</v>
      </c>
      <c r="P179">
        <v>1400</v>
      </c>
      <c r="Q179">
        <v>893</v>
      </c>
      <c r="R179">
        <v>1183</v>
      </c>
      <c r="S179">
        <v>1112</v>
      </c>
      <c r="T179">
        <v>830</v>
      </c>
      <c r="U179">
        <v>367</v>
      </c>
      <c r="V179">
        <v>859</v>
      </c>
      <c r="W179">
        <v>960</v>
      </c>
      <c r="X179">
        <v>1435</v>
      </c>
      <c r="Y179">
        <v>1033</v>
      </c>
      <c r="Z179">
        <v>938</v>
      </c>
      <c r="AA179">
        <v>1256</v>
      </c>
    </row>
    <row r="180" spans="1:27" hidden="1">
      <c r="A180" s="37" t="s">
        <v>1281</v>
      </c>
      <c r="B180" s="37">
        <v>0</v>
      </c>
      <c r="C180" s="37">
        <v>0</v>
      </c>
      <c r="D180" s="37">
        <v>0</v>
      </c>
      <c r="E180" s="37">
        <v>0</v>
      </c>
      <c r="F180" s="37">
        <v>0</v>
      </c>
      <c r="G180" s="37">
        <v>15</v>
      </c>
      <c r="H180" s="37">
        <v>156</v>
      </c>
      <c r="I180" s="37">
        <v>386</v>
      </c>
      <c r="J180" s="37">
        <v>397</v>
      </c>
      <c r="K180">
        <v>168</v>
      </c>
      <c r="L180">
        <v>292</v>
      </c>
      <c r="M180">
        <v>335</v>
      </c>
      <c r="N180">
        <v>522</v>
      </c>
      <c r="O180">
        <v>0</v>
      </c>
      <c r="P180">
        <v>0</v>
      </c>
      <c r="Q180">
        <v>0</v>
      </c>
      <c r="R180">
        <v>0</v>
      </c>
      <c r="S180">
        <v>0</v>
      </c>
      <c r="T180">
        <v>0</v>
      </c>
      <c r="U180">
        <v>14</v>
      </c>
      <c r="V180">
        <v>3</v>
      </c>
      <c r="W180">
        <v>44</v>
      </c>
      <c r="X180">
        <v>18</v>
      </c>
      <c r="Y180">
        <v>37</v>
      </c>
      <c r="Z180">
        <v>29</v>
      </c>
      <c r="AA180">
        <v>77</v>
      </c>
    </row>
    <row r="181" spans="1:27" hidden="1">
      <c r="A181" s="37" t="s">
        <v>1208</v>
      </c>
      <c r="B181" s="37">
        <v>2331</v>
      </c>
      <c r="C181" s="37">
        <v>2258</v>
      </c>
      <c r="D181" s="37">
        <v>2009</v>
      </c>
      <c r="E181" s="37">
        <v>1233</v>
      </c>
      <c r="F181" s="37">
        <v>987</v>
      </c>
      <c r="G181" s="37">
        <v>1447</v>
      </c>
      <c r="H181" s="37">
        <v>3227</v>
      </c>
      <c r="I181" s="37">
        <v>1849</v>
      </c>
      <c r="J181" s="37">
        <v>1406</v>
      </c>
      <c r="K181">
        <v>896</v>
      </c>
      <c r="L181">
        <v>1289</v>
      </c>
      <c r="M181">
        <v>2675</v>
      </c>
      <c r="N181">
        <v>1172</v>
      </c>
      <c r="O181">
        <v>417</v>
      </c>
      <c r="P181">
        <v>450</v>
      </c>
      <c r="Q181">
        <v>402</v>
      </c>
      <c r="R181">
        <v>402</v>
      </c>
      <c r="S181">
        <v>312</v>
      </c>
      <c r="T181">
        <v>375</v>
      </c>
      <c r="U181">
        <v>1276</v>
      </c>
      <c r="V181">
        <v>381</v>
      </c>
      <c r="W181">
        <v>334</v>
      </c>
      <c r="X181">
        <v>300</v>
      </c>
      <c r="Y181">
        <v>318</v>
      </c>
      <c r="Z181">
        <v>481</v>
      </c>
      <c r="AA181">
        <v>353</v>
      </c>
    </row>
    <row r="182" spans="1:27" hidden="1">
      <c r="A182" s="37" t="s">
        <v>677</v>
      </c>
      <c r="B182" s="37">
        <v>6166</v>
      </c>
      <c r="C182" s="37">
        <v>18443</v>
      </c>
      <c r="D182" s="37">
        <v>18111</v>
      </c>
      <c r="E182" s="37">
        <v>43927</v>
      </c>
      <c r="F182" s="37">
        <v>45214</v>
      </c>
      <c r="G182" s="37">
        <v>42221</v>
      </c>
      <c r="H182" s="37">
        <v>32418</v>
      </c>
      <c r="I182" s="37">
        <v>43067</v>
      </c>
      <c r="J182" s="37">
        <v>23212</v>
      </c>
      <c r="K182">
        <v>20696</v>
      </c>
      <c r="L182">
        <v>44016</v>
      </c>
      <c r="M182">
        <v>16598</v>
      </c>
      <c r="N182">
        <v>37446</v>
      </c>
      <c r="O182">
        <v>715</v>
      </c>
      <c r="P182">
        <v>2210</v>
      </c>
      <c r="Q182">
        <v>1431</v>
      </c>
      <c r="R182">
        <v>6579</v>
      </c>
      <c r="S182">
        <v>8235</v>
      </c>
      <c r="T182">
        <v>6968</v>
      </c>
      <c r="U182">
        <v>5620</v>
      </c>
      <c r="V182">
        <v>6422</v>
      </c>
      <c r="W182">
        <v>4602</v>
      </c>
      <c r="X182">
        <v>4564</v>
      </c>
      <c r="Y182">
        <v>6393</v>
      </c>
      <c r="Z182">
        <v>3795</v>
      </c>
      <c r="AA182">
        <v>5473</v>
      </c>
    </row>
    <row r="183" spans="1:27" hidden="1">
      <c r="A183" s="37" t="s">
        <v>1139</v>
      </c>
      <c r="B183" s="37">
        <v>2775</v>
      </c>
      <c r="C183" s="37">
        <v>5453</v>
      </c>
      <c r="D183" s="37">
        <v>3575</v>
      </c>
      <c r="E183" s="37">
        <v>939</v>
      </c>
      <c r="F183" s="37">
        <v>1665</v>
      </c>
      <c r="G183" s="37">
        <v>1015</v>
      </c>
      <c r="H183" s="37">
        <v>1447</v>
      </c>
      <c r="I183" s="37">
        <v>1250</v>
      </c>
      <c r="J183" s="37">
        <v>712</v>
      </c>
      <c r="K183">
        <v>1492</v>
      </c>
      <c r="L183">
        <v>1024</v>
      </c>
      <c r="M183">
        <v>1508</v>
      </c>
      <c r="N183">
        <v>1740</v>
      </c>
      <c r="O183">
        <v>337</v>
      </c>
      <c r="P183">
        <v>478</v>
      </c>
      <c r="Q183">
        <v>442</v>
      </c>
      <c r="R183">
        <v>229</v>
      </c>
      <c r="S183">
        <v>429</v>
      </c>
      <c r="T183">
        <v>235</v>
      </c>
      <c r="U183">
        <v>573</v>
      </c>
      <c r="V183">
        <v>311</v>
      </c>
      <c r="W183">
        <v>215</v>
      </c>
      <c r="X183">
        <v>316</v>
      </c>
      <c r="Y183">
        <v>223</v>
      </c>
      <c r="Z183">
        <v>405</v>
      </c>
      <c r="AA183">
        <v>394</v>
      </c>
    </row>
    <row r="184" spans="1:27" hidden="1">
      <c r="A184" s="37" t="s">
        <v>1411</v>
      </c>
      <c r="B184" s="37">
        <v>772</v>
      </c>
      <c r="C184" s="37">
        <v>752</v>
      </c>
      <c r="D184" s="37">
        <v>882</v>
      </c>
      <c r="E184" s="37">
        <v>751</v>
      </c>
      <c r="F184" s="37">
        <v>516</v>
      </c>
      <c r="G184" s="37">
        <v>729</v>
      </c>
      <c r="H184" s="37">
        <v>560</v>
      </c>
      <c r="I184" s="37">
        <v>630</v>
      </c>
      <c r="J184" s="37">
        <v>527</v>
      </c>
      <c r="K184">
        <v>479</v>
      </c>
      <c r="L184">
        <v>410</v>
      </c>
      <c r="M184">
        <v>594</v>
      </c>
      <c r="N184">
        <v>635</v>
      </c>
      <c r="O184">
        <v>171</v>
      </c>
      <c r="P184">
        <v>199</v>
      </c>
      <c r="Q184">
        <v>198</v>
      </c>
      <c r="R184">
        <v>193</v>
      </c>
      <c r="S184">
        <v>154</v>
      </c>
      <c r="T184">
        <v>191</v>
      </c>
      <c r="U184">
        <v>175</v>
      </c>
      <c r="V184">
        <v>179</v>
      </c>
      <c r="W184">
        <v>141</v>
      </c>
      <c r="X184">
        <v>164</v>
      </c>
      <c r="Y184">
        <v>154</v>
      </c>
      <c r="Z184">
        <v>165</v>
      </c>
      <c r="AA184">
        <v>200</v>
      </c>
    </row>
    <row r="185" spans="1:27" hidden="1">
      <c r="A185" s="37" t="s">
        <v>1483</v>
      </c>
      <c r="B185" s="37">
        <v>3362</v>
      </c>
      <c r="C185" s="37">
        <v>5362</v>
      </c>
      <c r="D185" s="37">
        <v>4587</v>
      </c>
      <c r="E185" s="37">
        <v>3398</v>
      </c>
      <c r="F185" s="37">
        <v>2881</v>
      </c>
      <c r="G185" s="37">
        <v>3856</v>
      </c>
      <c r="H185" s="37">
        <v>4317</v>
      </c>
      <c r="I185" s="37">
        <v>3115</v>
      </c>
      <c r="J185" s="37">
        <v>2978</v>
      </c>
      <c r="K185">
        <v>3171</v>
      </c>
      <c r="L185">
        <v>2330</v>
      </c>
      <c r="M185">
        <v>2146</v>
      </c>
      <c r="N185">
        <v>2872</v>
      </c>
      <c r="O185">
        <v>811</v>
      </c>
      <c r="P185">
        <v>1681</v>
      </c>
      <c r="Q185">
        <v>1062</v>
      </c>
      <c r="R185">
        <v>921</v>
      </c>
      <c r="S185">
        <v>873</v>
      </c>
      <c r="T185">
        <v>1143</v>
      </c>
      <c r="U185">
        <v>1294</v>
      </c>
      <c r="V185">
        <v>943</v>
      </c>
      <c r="W185">
        <v>900</v>
      </c>
      <c r="X185">
        <v>1094</v>
      </c>
      <c r="Y185">
        <v>901</v>
      </c>
      <c r="Z185">
        <v>823</v>
      </c>
      <c r="AA185">
        <v>1074</v>
      </c>
    </row>
    <row r="186" spans="1:27" hidden="1">
      <c r="A186" s="37" t="s">
        <v>1443</v>
      </c>
      <c r="B186" s="37">
        <v>490</v>
      </c>
      <c r="C186" s="37">
        <v>818</v>
      </c>
      <c r="D186" s="37">
        <v>604</v>
      </c>
      <c r="E186" s="37">
        <v>782</v>
      </c>
      <c r="F186" s="37">
        <v>746</v>
      </c>
      <c r="G186" s="37">
        <v>684</v>
      </c>
      <c r="H186" s="37">
        <v>1002</v>
      </c>
      <c r="I186" s="37">
        <v>1213</v>
      </c>
      <c r="J186" s="37">
        <v>1196</v>
      </c>
      <c r="K186">
        <v>709</v>
      </c>
      <c r="L186">
        <v>537</v>
      </c>
      <c r="M186">
        <v>628</v>
      </c>
      <c r="N186">
        <v>874</v>
      </c>
      <c r="O186">
        <v>45</v>
      </c>
      <c r="P186">
        <v>243</v>
      </c>
      <c r="Q186">
        <v>200</v>
      </c>
      <c r="R186">
        <v>229</v>
      </c>
      <c r="S186">
        <v>261</v>
      </c>
      <c r="T186">
        <v>234</v>
      </c>
      <c r="U186">
        <v>431</v>
      </c>
      <c r="V186">
        <v>493</v>
      </c>
      <c r="W186">
        <v>484</v>
      </c>
      <c r="X186">
        <v>257</v>
      </c>
      <c r="Y186">
        <v>279</v>
      </c>
      <c r="Z186">
        <v>248</v>
      </c>
      <c r="AA186">
        <v>356</v>
      </c>
    </row>
    <row r="187" spans="1:27" hidden="1">
      <c r="A187" s="37" t="s">
        <v>957</v>
      </c>
      <c r="B187" s="37">
        <v>0</v>
      </c>
      <c r="C187" s="37">
        <v>0</v>
      </c>
      <c r="D187" s="37">
        <v>0</v>
      </c>
      <c r="E187" s="37">
        <v>0</v>
      </c>
      <c r="F187" s="37">
        <v>0</v>
      </c>
      <c r="G187" s="37">
        <v>0</v>
      </c>
      <c r="H187" s="37">
        <v>0</v>
      </c>
      <c r="I187" s="37">
        <v>1279</v>
      </c>
      <c r="J187" s="37">
        <v>1150</v>
      </c>
      <c r="K187">
        <v>1046</v>
      </c>
      <c r="L187">
        <v>790</v>
      </c>
      <c r="M187">
        <v>838</v>
      </c>
      <c r="N187">
        <v>1196</v>
      </c>
      <c r="O187">
        <v>0</v>
      </c>
      <c r="P187">
        <v>0</v>
      </c>
      <c r="Q187">
        <v>0</v>
      </c>
      <c r="R187">
        <v>0</v>
      </c>
      <c r="S187">
        <v>0</v>
      </c>
      <c r="T187">
        <v>0</v>
      </c>
      <c r="U187">
        <v>0</v>
      </c>
      <c r="V187">
        <v>448</v>
      </c>
      <c r="W187">
        <v>368</v>
      </c>
      <c r="X187">
        <v>341</v>
      </c>
      <c r="Y187">
        <v>308</v>
      </c>
      <c r="Z187">
        <v>334</v>
      </c>
      <c r="AA187">
        <v>434</v>
      </c>
    </row>
    <row r="188" spans="1:27" hidden="1">
      <c r="A188" s="37" t="s">
        <v>1082</v>
      </c>
      <c r="B188" s="37">
        <v>803</v>
      </c>
      <c r="C188" s="37">
        <v>744</v>
      </c>
      <c r="D188" s="37">
        <v>538</v>
      </c>
      <c r="E188" s="37">
        <v>968</v>
      </c>
      <c r="F188" s="37">
        <v>1086</v>
      </c>
      <c r="G188" s="37">
        <v>1251</v>
      </c>
      <c r="H188" s="37">
        <v>1003</v>
      </c>
      <c r="I188" s="37">
        <v>1410</v>
      </c>
      <c r="J188" s="37">
        <v>1865</v>
      </c>
      <c r="K188">
        <v>1108</v>
      </c>
      <c r="L188">
        <v>1032</v>
      </c>
      <c r="M188">
        <v>1027</v>
      </c>
      <c r="N188">
        <v>1607</v>
      </c>
      <c r="O188">
        <v>268</v>
      </c>
      <c r="P188">
        <v>215</v>
      </c>
      <c r="Q188">
        <v>184</v>
      </c>
      <c r="R188">
        <v>399</v>
      </c>
      <c r="S188">
        <v>509</v>
      </c>
      <c r="T188">
        <v>497</v>
      </c>
      <c r="U188">
        <v>428</v>
      </c>
      <c r="V188">
        <v>570</v>
      </c>
      <c r="W188">
        <v>787</v>
      </c>
      <c r="X188">
        <v>455</v>
      </c>
      <c r="Y188">
        <v>455</v>
      </c>
      <c r="Z188">
        <v>404</v>
      </c>
      <c r="AA188">
        <v>592</v>
      </c>
    </row>
    <row r="189" spans="1:27" hidden="1">
      <c r="A189" s="37" t="s">
        <v>1517</v>
      </c>
      <c r="B189" s="37">
        <v>8044</v>
      </c>
      <c r="C189" s="37">
        <v>7125</v>
      </c>
      <c r="D189" s="37">
        <v>5755</v>
      </c>
      <c r="E189" s="37">
        <v>6160</v>
      </c>
      <c r="F189" s="37">
        <v>5552</v>
      </c>
      <c r="G189" s="37">
        <v>5251</v>
      </c>
      <c r="H189" s="37">
        <v>4817</v>
      </c>
      <c r="I189" s="37">
        <v>5169</v>
      </c>
      <c r="J189" s="37">
        <v>7271</v>
      </c>
      <c r="K189">
        <v>6286</v>
      </c>
      <c r="L189">
        <v>4303</v>
      </c>
      <c r="M189">
        <v>3904</v>
      </c>
      <c r="N189">
        <v>5761</v>
      </c>
      <c r="O189">
        <v>2449</v>
      </c>
      <c r="P189">
        <v>2420</v>
      </c>
      <c r="Q189">
        <v>2143</v>
      </c>
      <c r="R189">
        <v>2323</v>
      </c>
      <c r="S189">
        <v>2129</v>
      </c>
      <c r="T189">
        <v>2239</v>
      </c>
      <c r="U189">
        <v>2161</v>
      </c>
      <c r="V189">
        <v>2314</v>
      </c>
      <c r="W189">
        <v>3013</v>
      </c>
      <c r="X189">
        <v>2756</v>
      </c>
      <c r="Y189">
        <v>2078</v>
      </c>
      <c r="Z189">
        <v>1792</v>
      </c>
      <c r="AA189">
        <v>2635</v>
      </c>
    </row>
    <row r="190" spans="1:27" hidden="1">
      <c r="A190" s="37" t="s">
        <v>1520</v>
      </c>
      <c r="B190" s="37">
        <v>1959</v>
      </c>
      <c r="C190" s="37">
        <v>1940</v>
      </c>
      <c r="D190" s="37">
        <v>1506</v>
      </c>
      <c r="E190" s="37">
        <v>1606</v>
      </c>
      <c r="F190" s="37">
        <v>1689</v>
      </c>
      <c r="G190" s="37">
        <v>1668</v>
      </c>
      <c r="H190" s="37">
        <v>1723</v>
      </c>
      <c r="I190" s="37">
        <v>3158</v>
      </c>
      <c r="J190" s="37">
        <v>5029</v>
      </c>
      <c r="K190">
        <v>2801</v>
      </c>
      <c r="L190">
        <v>1855</v>
      </c>
      <c r="M190">
        <v>1998</v>
      </c>
      <c r="N190">
        <v>3859</v>
      </c>
      <c r="O190">
        <v>389</v>
      </c>
      <c r="P190">
        <v>442</v>
      </c>
      <c r="Q190">
        <v>347</v>
      </c>
      <c r="R190">
        <v>390</v>
      </c>
      <c r="S190">
        <v>416</v>
      </c>
      <c r="T190">
        <v>366</v>
      </c>
      <c r="U190">
        <v>367</v>
      </c>
      <c r="V190">
        <v>964</v>
      </c>
      <c r="W190">
        <v>1525</v>
      </c>
      <c r="X190">
        <v>778</v>
      </c>
      <c r="Y190">
        <v>536</v>
      </c>
      <c r="Z190">
        <v>534</v>
      </c>
      <c r="AA190">
        <v>1002</v>
      </c>
    </row>
    <row r="191" spans="1:27" hidden="1">
      <c r="A191" s="37" t="s">
        <v>1356</v>
      </c>
      <c r="B191" s="37">
        <v>0</v>
      </c>
      <c r="C191" s="37">
        <v>0</v>
      </c>
      <c r="D191" s="37">
        <v>0</v>
      </c>
      <c r="E191" s="37">
        <v>0</v>
      </c>
      <c r="F191" s="37">
        <v>0</v>
      </c>
      <c r="G191" s="37">
        <v>0</v>
      </c>
      <c r="H191" s="37">
        <v>0</v>
      </c>
      <c r="I191" s="37">
        <v>0</v>
      </c>
      <c r="J191" s="37">
        <v>638</v>
      </c>
      <c r="K191">
        <v>1403</v>
      </c>
      <c r="L191">
        <v>422</v>
      </c>
      <c r="M191">
        <v>727</v>
      </c>
      <c r="N191">
        <v>698</v>
      </c>
      <c r="O191">
        <v>0</v>
      </c>
      <c r="P191">
        <v>0</v>
      </c>
      <c r="Q191">
        <v>0</v>
      </c>
      <c r="R191">
        <v>0</v>
      </c>
      <c r="S191">
        <v>0</v>
      </c>
      <c r="T191">
        <v>0</v>
      </c>
      <c r="U191">
        <v>0</v>
      </c>
      <c r="V191">
        <v>0</v>
      </c>
      <c r="W191">
        <v>237</v>
      </c>
      <c r="X191">
        <v>204</v>
      </c>
      <c r="Y191">
        <v>165</v>
      </c>
      <c r="Z191">
        <v>174</v>
      </c>
      <c r="AA191">
        <v>189</v>
      </c>
    </row>
    <row r="192" spans="1:27" hidden="1">
      <c r="A192" s="37" t="s">
        <v>1690</v>
      </c>
      <c r="B192" s="37">
        <v>34</v>
      </c>
      <c r="C192" s="37">
        <v>25</v>
      </c>
      <c r="D192" s="37">
        <v>24</v>
      </c>
      <c r="E192" s="37">
        <v>24</v>
      </c>
      <c r="F192" s="37">
        <v>23</v>
      </c>
      <c r="G192" s="37">
        <v>17</v>
      </c>
      <c r="H192" s="37">
        <v>19</v>
      </c>
      <c r="I192" s="37">
        <v>20</v>
      </c>
      <c r="J192" s="37">
        <v>20</v>
      </c>
      <c r="K192">
        <v>22</v>
      </c>
      <c r="L192">
        <v>24</v>
      </c>
      <c r="M192">
        <v>19</v>
      </c>
      <c r="N192">
        <v>16</v>
      </c>
      <c r="O192">
        <v>2</v>
      </c>
      <c r="P192">
        <v>1</v>
      </c>
      <c r="Q192">
        <v>8</v>
      </c>
      <c r="R192">
        <v>4</v>
      </c>
      <c r="S192">
        <v>3</v>
      </c>
      <c r="T192">
        <v>4</v>
      </c>
      <c r="U192">
        <v>6</v>
      </c>
      <c r="V192">
        <v>9</v>
      </c>
      <c r="W192">
        <v>3</v>
      </c>
      <c r="X192">
        <v>4</v>
      </c>
      <c r="Y192">
        <v>8</v>
      </c>
      <c r="Z192">
        <v>8</v>
      </c>
      <c r="AA192">
        <v>4</v>
      </c>
    </row>
    <row r="193" spans="1:27" hidden="1">
      <c r="A193" s="37" t="s">
        <v>1094</v>
      </c>
      <c r="B193" s="37">
        <v>243</v>
      </c>
      <c r="C193" s="37">
        <v>0</v>
      </c>
      <c r="D193" s="37">
        <v>379</v>
      </c>
      <c r="E193" s="37">
        <v>196</v>
      </c>
      <c r="F193" s="37">
        <v>201</v>
      </c>
      <c r="G193" s="37">
        <v>212</v>
      </c>
      <c r="H193" s="37">
        <v>110</v>
      </c>
      <c r="I193" s="37">
        <v>239</v>
      </c>
      <c r="J193" s="37">
        <v>216</v>
      </c>
      <c r="K193">
        <v>193</v>
      </c>
      <c r="L193">
        <v>232</v>
      </c>
      <c r="M193">
        <v>204</v>
      </c>
      <c r="N193">
        <v>211</v>
      </c>
      <c r="O193">
        <v>78</v>
      </c>
      <c r="P193">
        <v>0</v>
      </c>
      <c r="Q193">
        <v>88</v>
      </c>
      <c r="R193">
        <v>81</v>
      </c>
      <c r="S193">
        <v>54</v>
      </c>
      <c r="T193">
        <v>56</v>
      </c>
      <c r="U193">
        <v>26</v>
      </c>
      <c r="V193">
        <v>60</v>
      </c>
      <c r="W193">
        <v>55</v>
      </c>
      <c r="X193">
        <v>65</v>
      </c>
      <c r="Y193">
        <v>86</v>
      </c>
      <c r="Z193">
        <v>50</v>
      </c>
      <c r="AA193">
        <v>64</v>
      </c>
    </row>
    <row r="194" spans="1:27" hidden="1">
      <c r="A194" s="37" t="s">
        <v>755</v>
      </c>
      <c r="B194" s="37">
        <v>2807</v>
      </c>
      <c r="C194" s="37">
        <v>3308</v>
      </c>
      <c r="D194" s="37">
        <v>2318</v>
      </c>
      <c r="E194" s="37">
        <v>1462</v>
      </c>
      <c r="F194" s="37">
        <v>1432</v>
      </c>
      <c r="G194" s="37">
        <v>1427</v>
      </c>
      <c r="H194" s="37">
        <v>1178</v>
      </c>
      <c r="I194" s="37">
        <v>1374</v>
      </c>
      <c r="J194" s="37">
        <v>1207</v>
      </c>
      <c r="K194">
        <v>1237</v>
      </c>
      <c r="L194">
        <v>1053</v>
      </c>
      <c r="M194">
        <v>932</v>
      </c>
      <c r="N194">
        <v>3067</v>
      </c>
      <c r="O194">
        <v>481</v>
      </c>
      <c r="P194">
        <v>426</v>
      </c>
      <c r="Q194">
        <v>415</v>
      </c>
      <c r="R194">
        <v>295</v>
      </c>
      <c r="S194">
        <v>298</v>
      </c>
      <c r="T194">
        <v>320</v>
      </c>
      <c r="U194">
        <v>314</v>
      </c>
      <c r="V194">
        <v>354</v>
      </c>
      <c r="W194">
        <v>354</v>
      </c>
      <c r="X194">
        <v>324</v>
      </c>
      <c r="Y194">
        <v>312</v>
      </c>
      <c r="Z194">
        <v>285</v>
      </c>
      <c r="AA194">
        <v>515</v>
      </c>
    </row>
    <row r="195" spans="1:27" hidden="1">
      <c r="A195" s="37" t="s">
        <v>1150</v>
      </c>
      <c r="B195" s="37">
        <v>1489</v>
      </c>
      <c r="C195" s="37">
        <v>1414</v>
      </c>
      <c r="D195" s="37">
        <v>1815</v>
      </c>
      <c r="E195" s="37">
        <v>1285</v>
      </c>
      <c r="F195" s="37">
        <v>1025</v>
      </c>
      <c r="G195" s="37">
        <v>1202</v>
      </c>
      <c r="H195" s="37">
        <v>1602</v>
      </c>
      <c r="I195" s="37">
        <v>1525</v>
      </c>
      <c r="J195" s="37">
        <v>1537</v>
      </c>
      <c r="K195">
        <v>1728</v>
      </c>
      <c r="L195">
        <v>1620</v>
      </c>
      <c r="M195">
        <v>1291</v>
      </c>
      <c r="N195">
        <v>1882</v>
      </c>
      <c r="O195">
        <v>228</v>
      </c>
      <c r="P195">
        <v>226</v>
      </c>
      <c r="Q195">
        <v>196</v>
      </c>
      <c r="R195">
        <v>281</v>
      </c>
      <c r="S195">
        <v>255</v>
      </c>
      <c r="T195">
        <v>265</v>
      </c>
      <c r="U195">
        <v>545</v>
      </c>
      <c r="V195">
        <v>361</v>
      </c>
      <c r="W195">
        <v>314</v>
      </c>
      <c r="X195">
        <v>322</v>
      </c>
      <c r="Y195">
        <v>310</v>
      </c>
      <c r="Z195">
        <v>213</v>
      </c>
      <c r="AA195">
        <v>355</v>
      </c>
    </row>
    <row r="196" spans="1:27" hidden="1">
      <c r="A196" s="37" t="s">
        <v>1192</v>
      </c>
      <c r="B196" s="37">
        <v>944</v>
      </c>
      <c r="C196" s="37">
        <v>1028</v>
      </c>
      <c r="D196" s="37">
        <v>907</v>
      </c>
      <c r="E196" s="37">
        <v>912</v>
      </c>
      <c r="F196" s="37">
        <v>577</v>
      </c>
      <c r="G196" s="37">
        <v>850</v>
      </c>
      <c r="H196" s="37">
        <v>494</v>
      </c>
      <c r="I196" s="37">
        <v>552</v>
      </c>
      <c r="J196" s="37">
        <v>543</v>
      </c>
      <c r="K196">
        <v>411</v>
      </c>
      <c r="L196">
        <v>520</v>
      </c>
      <c r="M196">
        <v>573</v>
      </c>
      <c r="N196">
        <v>537</v>
      </c>
      <c r="O196">
        <v>480</v>
      </c>
      <c r="P196">
        <v>326</v>
      </c>
      <c r="Q196">
        <v>359</v>
      </c>
      <c r="R196">
        <v>344</v>
      </c>
      <c r="S196">
        <v>245</v>
      </c>
      <c r="T196">
        <v>270</v>
      </c>
      <c r="U196">
        <v>248</v>
      </c>
      <c r="V196">
        <v>190</v>
      </c>
      <c r="W196">
        <v>295</v>
      </c>
      <c r="X196">
        <v>216</v>
      </c>
      <c r="Y196">
        <v>274</v>
      </c>
      <c r="Z196">
        <v>212</v>
      </c>
      <c r="AA196">
        <v>636</v>
      </c>
    </row>
    <row r="197" spans="1:27" hidden="1">
      <c r="A197" s="37" t="s">
        <v>1070</v>
      </c>
      <c r="B197" s="37">
        <v>1615</v>
      </c>
      <c r="C197" s="37">
        <v>1381</v>
      </c>
      <c r="D197" s="37">
        <v>982</v>
      </c>
      <c r="E197" s="37">
        <v>920</v>
      </c>
      <c r="F197" s="37">
        <v>824</v>
      </c>
      <c r="G197" s="37">
        <v>771</v>
      </c>
      <c r="H197" s="37">
        <v>667</v>
      </c>
      <c r="I197" s="37">
        <v>757</v>
      </c>
      <c r="J197" s="37">
        <v>922</v>
      </c>
      <c r="K197">
        <v>799</v>
      </c>
      <c r="L197">
        <v>732</v>
      </c>
      <c r="M197">
        <v>664</v>
      </c>
      <c r="N197">
        <v>698</v>
      </c>
      <c r="O197">
        <v>498</v>
      </c>
      <c r="P197">
        <v>327</v>
      </c>
      <c r="Q197">
        <v>382</v>
      </c>
      <c r="R197">
        <v>328</v>
      </c>
      <c r="S197">
        <v>318</v>
      </c>
      <c r="T197">
        <v>290</v>
      </c>
      <c r="U197">
        <v>292</v>
      </c>
      <c r="V197">
        <v>307</v>
      </c>
      <c r="W197">
        <v>349</v>
      </c>
      <c r="X197">
        <v>318</v>
      </c>
      <c r="Y197">
        <v>340</v>
      </c>
      <c r="Z197">
        <v>289</v>
      </c>
      <c r="AA197">
        <v>304</v>
      </c>
    </row>
    <row r="198" spans="1:27" hidden="1">
      <c r="A198" s="37" t="s">
        <v>1204</v>
      </c>
      <c r="B198" s="37">
        <v>2755</v>
      </c>
      <c r="C198" s="37">
        <v>2732</v>
      </c>
      <c r="D198" s="37">
        <v>3730</v>
      </c>
      <c r="E198" s="37">
        <v>2782</v>
      </c>
      <c r="F198" s="37">
        <v>2268</v>
      </c>
      <c r="G198" s="37">
        <v>2521</v>
      </c>
      <c r="H198" s="37">
        <v>2102</v>
      </c>
      <c r="I198" s="37">
        <v>2669</v>
      </c>
      <c r="J198" s="37">
        <v>3995</v>
      </c>
      <c r="K198">
        <v>2093</v>
      </c>
      <c r="L198">
        <v>2014</v>
      </c>
      <c r="M198">
        <v>1702</v>
      </c>
      <c r="N198">
        <v>2175</v>
      </c>
      <c r="O198">
        <v>1217</v>
      </c>
      <c r="P198">
        <v>1301</v>
      </c>
      <c r="Q198">
        <v>1386</v>
      </c>
      <c r="R198">
        <v>1482</v>
      </c>
      <c r="S198">
        <v>1251</v>
      </c>
      <c r="T198">
        <v>1378</v>
      </c>
      <c r="U198">
        <v>1155</v>
      </c>
      <c r="V198">
        <v>1413</v>
      </c>
      <c r="W198">
        <v>1896</v>
      </c>
      <c r="X198">
        <v>1224</v>
      </c>
      <c r="Y198">
        <v>1233</v>
      </c>
      <c r="Z198">
        <v>1177</v>
      </c>
      <c r="AA198">
        <v>1393</v>
      </c>
    </row>
    <row r="199" spans="1:27" hidden="1">
      <c r="A199" s="37" t="s">
        <v>1060</v>
      </c>
      <c r="B199" s="37">
        <v>1109</v>
      </c>
      <c r="C199" s="37">
        <v>944</v>
      </c>
      <c r="D199" s="37">
        <v>927</v>
      </c>
      <c r="E199" s="37">
        <v>989</v>
      </c>
      <c r="F199" s="37">
        <v>1019</v>
      </c>
      <c r="G199" s="37">
        <v>945</v>
      </c>
      <c r="H199" s="37">
        <v>963</v>
      </c>
      <c r="I199" s="37">
        <v>934</v>
      </c>
      <c r="J199" s="37">
        <v>922</v>
      </c>
      <c r="K199">
        <v>850</v>
      </c>
      <c r="L199">
        <v>1278</v>
      </c>
      <c r="M199">
        <v>839</v>
      </c>
      <c r="N199">
        <v>987</v>
      </c>
      <c r="O199">
        <v>365</v>
      </c>
      <c r="P199">
        <v>310</v>
      </c>
      <c r="Q199">
        <v>366</v>
      </c>
      <c r="R199">
        <v>416</v>
      </c>
      <c r="S199">
        <v>400</v>
      </c>
      <c r="T199">
        <v>314</v>
      </c>
      <c r="U199">
        <v>416</v>
      </c>
      <c r="V199">
        <v>370</v>
      </c>
      <c r="W199">
        <v>339</v>
      </c>
      <c r="X199">
        <v>389</v>
      </c>
      <c r="Y199">
        <v>708</v>
      </c>
      <c r="Z199">
        <v>390</v>
      </c>
      <c r="AA199">
        <v>453</v>
      </c>
    </row>
    <row r="200" spans="1:27" hidden="1">
      <c r="A200" s="37" t="s">
        <v>1119</v>
      </c>
      <c r="B200" s="37">
        <v>788</v>
      </c>
      <c r="C200" s="37">
        <v>1486</v>
      </c>
      <c r="D200" s="37">
        <v>760</v>
      </c>
      <c r="E200" s="37">
        <v>625</v>
      </c>
      <c r="F200" s="37">
        <v>615</v>
      </c>
      <c r="G200" s="37">
        <v>631</v>
      </c>
      <c r="H200" s="37">
        <v>485</v>
      </c>
      <c r="I200" s="37">
        <v>978</v>
      </c>
      <c r="J200" s="37">
        <v>534</v>
      </c>
      <c r="K200">
        <v>1803</v>
      </c>
      <c r="L200">
        <v>1435</v>
      </c>
      <c r="M200">
        <v>978</v>
      </c>
      <c r="N200">
        <v>824</v>
      </c>
      <c r="O200">
        <v>182</v>
      </c>
      <c r="P200">
        <v>322</v>
      </c>
      <c r="Q200">
        <v>213</v>
      </c>
      <c r="R200">
        <v>165</v>
      </c>
      <c r="S200">
        <v>180</v>
      </c>
      <c r="T200">
        <v>149</v>
      </c>
      <c r="U200">
        <v>152</v>
      </c>
      <c r="V200">
        <v>250</v>
      </c>
      <c r="W200">
        <v>158</v>
      </c>
      <c r="X200">
        <v>519</v>
      </c>
      <c r="Y200">
        <v>345</v>
      </c>
      <c r="Z200">
        <v>257</v>
      </c>
      <c r="AA200">
        <v>279</v>
      </c>
    </row>
    <row r="201" spans="1:27" hidden="1">
      <c r="A201" s="37" t="s">
        <v>583</v>
      </c>
      <c r="B201" s="37">
        <v>1756</v>
      </c>
      <c r="C201" s="37">
        <v>2130</v>
      </c>
      <c r="D201" s="37">
        <v>4704</v>
      </c>
      <c r="E201" s="37">
        <v>2398</v>
      </c>
      <c r="F201" s="37">
        <v>2991</v>
      </c>
      <c r="G201" s="37">
        <v>1792</v>
      </c>
      <c r="H201" s="37">
        <v>1099</v>
      </c>
      <c r="I201" s="37">
        <v>4398</v>
      </c>
      <c r="J201" s="37">
        <v>1522</v>
      </c>
      <c r="K201">
        <v>922</v>
      </c>
      <c r="L201">
        <v>843</v>
      </c>
      <c r="M201">
        <v>962</v>
      </c>
      <c r="N201">
        <v>1251</v>
      </c>
      <c r="O201">
        <v>260</v>
      </c>
      <c r="P201">
        <v>293</v>
      </c>
      <c r="Q201">
        <v>318</v>
      </c>
      <c r="R201">
        <v>373</v>
      </c>
      <c r="S201">
        <v>478</v>
      </c>
      <c r="T201">
        <v>345</v>
      </c>
      <c r="U201">
        <v>252</v>
      </c>
      <c r="V201">
        <v>507</v>
      </c>
      <c r="W201">
        <v>298</v>
      </c>
      <c r="X201">
        <v>263</v>
      </c>
      <c r="Y201">
        <v>215</v>
      </c>
      <c r="Z201">
        <v>216</v>
      </c>
      <c r="AA201">
        <v>307</v>
      </c>
    </row>
    <row r="202" spans="1:27" hidden="1">
      <c r="A202" s="37" t="s">
        <v>1421</v>
      </c>
      <c r="B202" s="37">
        <v>1769</v>
      </c>
      <c r="C202" s="37">
        <v>891</v>
      </c>
      <c r="D202" s="37">
        <v>46</v>
      </c>
      <c r="E202" s="37">
        <v>1060</v>
      </c>
      <c r="F202" s="37">
        <v>1496</v>
      </c>
      <c r="G202" s="37">
        <v>1484</v>
      </c>
      <c r="H202" s="37">
        <v>1170</v>
      </c>
      <c r="I202" s="37">
        <v>1548</v>
      </c>
      <c r="J202" s="37">
        <v>1640</v>
      </c>
      <c r="K202">
        <v>1594</v>
      </c>
      <c r="L202">
        <v>1205</v>
      </c>
      <c r="M202">
        <v>1136</v>
      </c>
      <c r="N202">
        <v>1595</v>
      </c>
      <c r="O202">
        <v>353</v>
      </c>
      <c r="P202">
        <v>178</v>
      </c>
      <c r="Q202">
        <v>2</v>
      </c>
      <c r="R202">
        <v>213</v>
      </c>
      <c r="S202">
        <v>347</v>
      </c>
      <c r="T202">
        <v>271</v>
      </c>
      <c r="U202">
        <v>242</v>
      </c>
      <c r="V202">
        <v>331</v>
      </c>
      <c r="W202">
        <v>337</v>
      </c>
      <c r="X202">
        <v>389</v>
      </c>
      <c r="Y202">
        <v>414</v>
      </c>
      <c r="Z202">
        <v>280</v>
      </c>
      <c r="AA202">
        <v>417</v>
      </c>
    </row>
    <row r="203" spans="1:27" hidden="1">
      <c r="A203" s="37" t="s">
        <v>1456</v>
      </c>
      <c r="B203" s="37">
        <v>1169</v>
      </c>
      <c r="C203" s="37">
        <v>1287</v>
      </c>
      <c r="D203" s="37">
        <v>1659</v>
      </c>
      <c r="E203" s="37">
        <v>1409</v>
      </c>
      <c r="F203" s="37">
        <v>1673</v>
      </c>
      <c r="G203" s="37">
        <v>1641</v>
      </c>
      <c r="H203" s="37">
        <v>1234</v>
      </c>
      <c r="I203" s="37">
        <v>1346</v>
      </c>
      <c r="J203" s="37">
        <v>1201</v>
      </c>
      <c r="K203">
        <v>875</v>
      </c>
      <c r="L203">
        <v>730</v>
      </c>
      <c r="M203">
        <v>737</v>
      </c>
      <c r="N203">
        <v>516</v>
      </c>
      <c r="O203">
        <v>348</v>
      </c>
      <c r="P203">
        <v>350</v>
      </c>
      <c r="Q203">
        <v>761</v>
      </c>
      <c r="R203">
        <v>467</v>
      </c>
      <c r="S203">
        <v>508</v>
      </c>
      <c r="T203">
        <v>507</v>
      </c>
      <c r="U203">
        <v>296</v>
      </c>
      <c r="V203">
        <v>436</v>
      </c>
      <c r="W203">
        <v>349</v>
      </c>
      <c r="X203">
        <v>373</v>
      </c>
      <c r="Y203">
        <v>586</v>
      </c>
      <c r="Z203">
        <v>428</v>
      </c>
      <c r="AA203">
        <v>328</v>
      </c>
    </row>
    <row r="204" spans="1:27" hidden="1">
      <c r="A204" s="37" t="s">
        <v>1429</v>
      </c>
      <c r="B204" s="37">
        <v>2223</v>
      </c>
      <c r="C204" s="37">
        <v>2498</v>
      </c>
      <c r="D204" s="37">
        <v>2104</v>
      </c>
      <c r="E204" s="37">
        <v>2020</v>
      </c>
      <c r="F204" s="37">
        <v>1803</v>
      </c>
      <c r="G204" s="37">
        <v>1278</v>
      </c>
      <c r="H204" s="37">
        <v>1057</v>
      </c>
      <c r="I204" s="37">
        <v>1016</v>
      </c>
      <c r="J204" s="37">
        <v>1001</v>
      </c>
      <c r="K204">
        <v>1137</v>
      </c>
      <c r="L204">
        <v>793</v>
      </c>
      <c r="M204">
        <v>610</v>
      </c>
      <c r="N204">
        <v>1054</v>
      </c>
      <c r="O204">
        <v>405</v>
      </c>
      <c r="P204">
        <v>448</v>
      </c>
      <c r="Q204">
        <v>483</v>
      </c>
      <c r="R204">
        <v>451</v>
      </c>
      <c r="S204">
        <v>433</v>
      </c>
      <c r="T204">
        <v>346</v>
      </c>
      <c r="U204">
        <v>263</v>
      </c>
      <c r="V204">
        <v>295</v>
      </c>
      <c r="W204">
        <v>305</v>
      </c>
      <c r="X204">
        <v>386</v>
      </c>
      <c r="Y204">
        <v>265</v>
      </c>
      <c r="Z204">
        <v>215</v>
      </c>
      <c r="AA204">
        <v>322</v>
      </c>
    </row>
    <row r="205" spans="1:27" hidden="1">
      <c r="A205" s="37" t="s">
        <v>1380</v>
      </c>
      <c r="B205" s="37">
        <v>1237</v>
      </c>
      <c r="C205" s="37">
        <v>833</v>
      </c>
      <c r="D205" s="37">
        <v>804</v>
      </c>
      <c r="E205" s="37">
        <v>2592</v>
      </c>
      <c r="F205" s="37">
        <v>984</v>
      </c>
      <c r="G205" s="37">
        <v>1591</v>
      </c>
      <c r="H205" s="37">
        <v>966</v>
      </c>
      <c r="I205" s="37">
        <v>1220</v>
      </c>
      <c r="J205" s="37">
        <v>913</v>
      </c>
      <c r="K205">
        <v>905</v>
      </c>
      <c r="L205">
        <v>958</v>
      </c>
      <c r="M205">
        <v>1476</v>
      </c>
      <c r="N205">
        <v>1953</v>
      </c>
      <c r="O205">
        <v>292</v>
      </c>
      <c r="P205">
        <v>195</v>
      </c>
      <c r="Q205">
        <v>167</v>
      </c>
      <c r="R205">
        <v>628</v>
      </c>
      <c r="S205">
        <v>252</v>
      </c>
      <c r="T205">
        <v>176</v>
      </c>
      <c r="U205">
        <v>249</v>
      </c>
      <c r="V205">
        <v>244</v>
      </c>
      <c r="W205">
        <v>228</v>
      </c>
      <c r="X205">
        <v>250</v>
      </c>
      <c r="Y205">
        <v>262</v>
      </c>
      <c r="Z205">
        <v>386</v>
      </c>
      <c r="AA205">
        <v>460</v>
      </c>
    </row>
    <row r="206" spans="1:27" hidden="1">
      <c r="A206" s="37" t="s">
        <v>1445</v>
      </c>
      <c r="B206" s="37">
        <v>1768</v>
      </c>
      <c r="C206" s="37">
        <v>1586</v>
      </c>
      <c r="D206" s="37">
        <v>1711</v>
      </c>
      <c r="E206" s="37">
        <v>2105</v>
      </c>
      <c r="F206" s="37">
        <v>1778</v>
      </c>
      <c r="G206" s="37">
        <v>3232</v>
      </c>
      <c r="H206" s="37">
        <v>1148</v>
      </c>
      <c r="I206" s="37">
        <v>1287</v>
      </c>
      <c r="J206" s="37">
        <v>1212</v>
      </c>
      <c r="K206">
        <v>1083</v>
      </c>
      <c r="L206">
        <v>979</v>
      </c>
      <c r="M206">
        <v>941</v>
      </c>
      <c r="N206">
        <v>1978</v>
      </c>
      <c r="O206">
        <v>398</v>
      </c>
      <c r="P206">
        <v>342</v>
      </c>
      <c r="Q206">
        <v>404</v>
      </c>
      <c r="R206">
        <v>598</v>
      </c>
      <c r="S206">
        <v>465</v>
      </c>
      <c r="T206">
        <v>431</v>
      </c>
      <c r="U206">
        <v>292</v>
      </c>
      <c r="V206">
        <v>319</v>
      </c>
      <c r="W206">
        <v>306</v>
      </c>
      <c r="X206">
        <v>313</v>
      </c>
      <c r="Y206">
        <v>294</v>
      </c>
      <c r="Z206">
        <v>224</v>
      </c>
      <c r="AA206">
        <v>528</v>
      </c>
    </row>
    <row r="207" spans="1:27" hidden="1">
      <c r="A207" s="37" t="s">
        <v>1504</v>
      </c>
      <c r="B207" s="37">
        <v>1118</v>
      </c>
      <c r="C207" s="37">
        <v>1244</v>
      </c>
      <c r="D207" s="37">
        <v>1200</v>
      </c>
      <c r="E207" s="37">
        <v>1279</v>
      </c>
      <c r="F207" s="37">
        <v>1042</v>
      </c>
      <c r="G207" s="37">
        <v>1108</v>
      </c>
      <c r="H207" s="37">
        <v>981</v>
      </c>
      <c r="I207" s="37">
        <v>1299</v>
      </c>
      <c r="J207" s="37">
        <v>2209</v>
      </c>
      <c r="K207">
        <v>2473</v>
      </c>
      <c r="L207">
        <v>2569</v>
      </c>
      <c r="M207">
        <v>1965</v>
      </c>
      <c r="N207">
        <v>2702</v>
      </c>
      <c r="O207">
        <v>323</v>
      </c>
      <c r="P207">
        <v>366</v>
      </c>
      <c r="Q207">
        <v>309</v>
      </c>
      <c r="R207">
        <v>380</v>
      </c>
      <c r="S207">
        <v>327</v>
      </c>
      <c r="T207">
        <v>375</v>
      </c>
      <c r="U207">
        <v>343</v>
      </c>
      <c r="V207">
        <v>439</v>
      </c>
      <c r="W207">
        <v>746</v>
      </c>
      <c r="X207">
        <v>852</v>
      </c>
      <c r="Y207">
        <v>923</v>
      </c>
      <c r="Z207">
        <v>722</v>
      </c>
      <c r="AA207">
        <v>975</v>
      </c>
    </row>
    <row r="208" spans="1:27" hidden="1">
      <c r="A208" s="37" t="s">
        <v>1283</v>
      </c>
      <c r="B208" s="37">
        <v>1120</v>
      </c>
      <c r="C208" s="37">
        <v>1188</v>
      </c>
      <c r="D208" s="37">
        <v>573</v>
      </c>
      <c r="E208" s="37">
        <v>556</v>
      </c>
      <c r="F208" s="37">
        <v>816</v>
      </c>
      <c r="G208" s="37">
        <v>832</v>
      </c>
      <c r="H208" s="37">
        <v>1186</v>
      </c>
      <c r="I208" s="37">
        <v>1343</v>
      </c>
      <c r="J208" s="37">
        <v>1189</v>
      </c>
      <c r="K208">
        <v>768</v>
      </c>
      <c r="L208">
        <v>859</v>
      </c>
      <c r="M208">
        <v>834</v>
      </c>
      <c r="N208">
        <v>1088</v>
      </c>
      <c r="O208">
        <v>170</v>
      </c>
      <c r="P208">
        <v>189</v>
      </c>
      <c r="Q208">
        <v>150</v>
      </c>
      <c r="R208">
        <v>142</v>
      </c>
      <c r="S208">
        <v>181</v>
      </c>
      <c r="T208">
        <v>182</v>
      </c>
      <c r="U208">
        <v>562</v>
      </c>
      <c r="V208">
        <v>672</v>
      </c>
      <c r="W208">
        <v>543</v>
      </c>
      <c r="X208">
        <v>331</v>
      </c>
      <c r="Y208">
        <v>289</v>
      </c>
      <c r="Z208">
        <v>317</v>
      </c>
      <c r="AA208">
        <v>347</v>
      </c>
    </row>
    <row r="209" spans="1:27" hidden="1">
      <c r="A209" s="37" t="s">
        <v>1407</v>
      </c>
      <c r="B209" s="37">
        <v>0</v>
      </c>
      <c r="C209" s="37">
        <v>0</v>
      </c>
      <c r="D209" s="37">
        <v>0</v>
      </c>
      <c r="E209" s="37">
        <v>1898</v>
      </c>
      <c r="F209" s="37">
        <v>1728</v>
      </c>
      <c r="G209" s="37">
        <v>1394</v>
      </c>
      <c r="H209" s="37">
        <v>1405</v>
      </c>
      <c r="I209" s="37">
        <v>934</v>
      </c>
      <c r="J209" s="37">
        <v>1260</v>
      </c>
      <c r="K209">
        <v>1121</v>
      </c>
      <c r="L209">
        <v>866</v>
      </c>
      <c r="M209">
        <v>974</v>
      </c>
      <c r="N209">
        <v>1352</v>
      </c>
      <c r="O209">
        <v>0</v>
      </c>
      <c r="P209">
        <v>0</v>
      </c>
      <c r="Q209">
        <v>0</v>
      </c>
      <c r="R209">
        <v>521</v>
      </c>
      <c r="S209">
        <v>453</v>
      </c>
      <c r="T209">
        <v>319</v>
      </c>
      <c r="U209">
        <v>288</v>
      </c>
      <c r="V209">
        <v>232</v>
      </c>
      <c r="W209">
        <v>305</v>
      </c>
      <c r="X209">
        <v>325</v>
      </c>
      <c r="Y209">
        <v>270</v>
      </c>
      <c r="Z209">
        <v>261</v>
      </c>
      <c r="AA209">
        <v>385</v>
      </c>
    </row>
    <row r="210" spans="1:27" hidden="1">
      <c r="A210" s="37" t="s">
        <v>1691</v>
      </c>
      <c r="B210" s="37">
        <v>0</v>
      </c>
      <c r="C210" s="37">
        <v>5</v>
      </c>
      <c r="D210" s="37">
        <v>0</v>
      </c>
      <c r="E210" s="37">
        <v>0</v>
      </c>
      <c r="F210" s="37">
        <v>0</v>
      </c>
      <c r="G210" s="37">
        <v>0</v>
      </c>
      <c r="H210" s="37">
        <v>0</v>
      </c>
      <c r="I210" s="37">
        <v>0</v>
      </c>
      <c r="J210" s="37">
        <v>0</v>
      </c>
      <c r="K210">
        <v>154</v>
      </c>
      <c r="L210">
        <v>0</v>
      </c>
      <c r="M210">
        <v>0</v>
      </c>
      <c r="N210">
        <v>0</v>
      </c>
      <c r="O210">
        <v>0</v>
      </c>
      <c r="P210">
        <v>2</v>
      </c>
      <c r="Q210">
        <v>0</v>
      </c>
      <c r="R210">
        <v>0</v>
      </c>
      <c r="S210">
        <v>0</v>
      </c>
      <c r="T210">
        <v>0</v>
      </c>
      <c r="U210">
        <v>0</v>
      </c>
      <c r="V210">
        <v>0</v>
      </c>
      <c r="W210">
        <v>0</v>
      </c>
      <c r="X210">
        <v>15</v>
      </c>
      <c r="Y210">
        <v>0</v>
      </c>
      <c r="Z210">
        <v>0</v>
      </c>
      <c r="AA210">
        <v>0</v>
      </c>
    </row>
    <row r="211" spans="1:27" hidden="1">
      <c r="A211" s="37" t="s">
        <v>1393</v>
      </c>
      <c r="B211" s="37">
        <v>1237</v>
      </c>
      <c r="C211" s="37">
        <v>2363</v>
      </c>
      <c r="D211" s="37">
        <v>1303</v>
      </c>
      <c r="E211" s="37">
        <v>1272</v>
      </c>
      <c r="F211" s="37">
        <v>966</v>
      </c>
      <c r="G211" s="37">
        <v>979</v>
      </c>
      <c r="H211" s="37">
        <v>1008</v>
      </c>
      <c r="I211" s="37">
        <v>952</v>
      </c>
      <c r="J211" s="37">
        <v>752</v>
      </c>
      <c r="K211">
        <v>840</v>
      </c>
      <c r="L211">
        <v>595</v>
      </c>
      <c r="M211">
        <v>663</v>
      </c>
      <c r="N211">
        <v>758</v>
      </c>
      <c r="O211">
        <v>257</v>
      </c>
      <c r="P211">
        <v>428</v>
      </c>
      <c r="Q211">
        <v>260</v>
      </c>
      <c r="R211">
        <v>343</v>
      </c>
      <c r="S211">
        <v>282</v>
      </c>
      <c r="T211">
        <v>245</v>
      </c>
      <c r="U211">
        <v>302</v>
      </c>
      <c r="V211">
        <v>303</v>
      </c>
      <c r="W211">
        <v>273</v>
      </c>
      <c r="X211">
        <v>301</v>
      </c>
      <c r="Y211">
        <v>260</v>
      </c>
      <c r="Z211">
        <v>245</v>
      </c>
      <c r="AA211">
        <v>332</v>
      </c>
    </row>
    <row r="212" spans="1:27" hidden="1">
      <c r="A212" s="37" t="s">
        <v>1270</v>
      </c>
      <c r="B212" s="37">
        <v>635</v>
      </c>
      <c r="C212" s="37">
        <v>544</v>
      </c>
      <c r="D212" s="37">
        <v>394</v>
      </c>
      <c r="E212" s="37">
        <v>374</v>
      </c>
      <c r="F212" s="37">
        <v>247</v>
      </c>
      <c r="G212" s="37">
        <v>361</v>
      </c>
      <c r="H212" s="37">
        <v>1056</v>
      </c>
      <c r="I212" s="37">
        <v>749</v>
      </c>
      <c r="J212" s="37">
        <v>541</v>
      </c>
      <c r="K212">
        <v>221</v>
      </c>
      <c r="L212">
        <v>260</v>
      </c>
      <c r="M212">
        <v>283</v>
      </c>
      <c r="N212">
        <v>486</v>
      </c>
      <c r="O212">
        <v>337</v>
      </c>
      <c r="P212">
        <v>219</v>
      </c>
      <c r="Q212">
        <v>149</v>
      </c>
      <c r="R212">
        <v>135</v>
      </c>
      <c r="S212">
        <v>120</v>
      </c>
      <c r="T212">
        <v>159</v>
      </c>
      <c r="U212">
        <v>604</v>
      </c>
      <c r="V212">
        <v>339</v>
      </c>
      <c r="W212">
        <v>259</v>
      </c>
      <c r="X212">
        <v>69</v>
      </c>
      <c r="Y212">
        <v>115</v>
      </c>
      <c r="Z212">
        <v>100</v>
      </c>
      <c r="AA212">
        <v>178</v>
      </c>
    </row>
    <row r="213" spans="1:27" hidden="1">
      <c r="A213" s="37" t="s">
        <v>111</v>
      </c>
      <c r="B213" s="37">
        <v>0</v>
      </c>
      <c r="C213" s="37">
        <v>639</v>
      </c>
      <c r="D213" s="37">
        <v>547</v>
      </c>
      <c r="E213" s="37">
        <v>724</v>
      </c>
      <c r="F213" s="37">
        <v>597</v>
      </c>
      <c r="G213" s="37">
        <v>623</v>
      </c>
      <c r="H213" s="37">
        <v>573</v>
      </c>
      <c r="I213" s="37">
        <v>591</v>
      </c>
      <c r="J213" s="37">
        <v>485</v>
      </c>
      <c r="K213">
        <v>599</v>
      </c>
      <c r="L213">
        <v>782</v>
      </c>
      <c r="M213">
        <v>699</v>
      </c>
      <c r="N213">
        <v>854</v>
      </c>
      <c r="O213">
        <v>0</v>
      </c>
      <c r="P213">
        <v>28</v>
      </c>
      <c r="Q213">
        <v>223</v>
      </c>
      <c r="R213">
        <v>365</v>
      </c>
      <c r="S213">
        <v>281</v>
      </c>
      <c r="T213">
        <v>269</v>
      </c>
      <c r="U213">
        <v>299</v>
      </c>
      <c r="V213">
        <v>233</v>
      </c>
      <c r="W213">
        <v>244</v>
      </c>
      <c r="X213">
        <v>250</v>
      </c>
      <c r="Y213">
        <v>273</v>
      </c>
      <c r="Z213">
        <v>273</v>
      </c>
      <c r="AA213">
        <v>405</v>
      </c>
    </row>
    <row r="214" spans="1:27" hidden="1">
      <c r="A214" s="37" t="s">
        <v>587</v>
      </c>
      <c r="B214" s="37">
        <v>597</v>
      </c>
      <c r="C214" s="37">
        <v>557</v>
      </c>
      <c r="D214" s="37">
        <v>571</v>
      </c>
      <c r="E214" s="37">
        <v>571</v>
      </c>
      <c r="F214" s="37">
        <v>514</v>
      </c>
      <c r="G214" s="37">
        <v>590</v>
      </c>
      <c r="H214" s="37">
        <v>601</v>
      </c>
      <c r="I214" s="37">
        <v>587</v>
      </c>
      <c r="J214" s="37">
        <v>680</v>
      </c>
      <c r="K214">
        <v>714</v>
      </c>
      <c r="L214">
        <v>585</v>
      </c>
      <c r="M214">
        <v>604</v>
      </c>
      <c r="N214">
        <v>862</v>
      </c>
      <c r="O214">
        <v>161</v>
      </c>
      <c r="P214">
        <v>132</v>
      </c>
      <c r="Q214">
        <v>141</v>
      </c>
      <c r="R214">
        <v>138</v>
      </c>
      <c r="S214">
        <v>197</v>
      </c>
      <c r="T214">
        <v>201</v>
      </c>
      <c r="U214">
        <v>193</v>
      </c>
      <c r="V214">
        <v>200</v>
      </c>
      <c r="W214">
        <v>288</v>
      </c>
      <c r="X214">
        <v>247</v>
      </c>
      <c r="Y214">
        <v>209</v>
      </c>
      <c r="Z214">
        <v>232</v>
      </c>
      <c r="AA214">
        <v>373</v>
      </c>
    </row>
    <row r="215" spans="1:27" hidden="1">
      <c r="A215" s="37" t="s">
        <v>37</v>
      </c>
      <c r="B215" s="37">
        <v>1712</v>
      </c>
      <c r="C215" s="37">
        <v>1625</v>
      </c>
      <c r="D215" s="37">
        <v>1508</v>
      </c>
      <c r="E215" s="37">
        <v>2088</v>
      </c>
      <c r="F215" s="37">
        <v>2519</v>
      </c>
      <c r="G215" s="37">
        <v>1783</v>
      </c>
      <c r="H215" s="37">
        <v>1946</v>
      </c>
      <c r="I215" s="37">
        <v>1727</v>
      </c>
      <c r="J215" s="37">
        <v>1884</v>
      </c>
      <c r="K215">
        <v>1661</v>
      </c>
      <c r="L215">
        <v>1692</v>
      </c>
      <c r="M215">
        <v>1460</v>
      </c>
      <c r="N215">
        <v>3042</v>
      </c>
      <c r="O215">
        <v>524</v>
      </c>
      <c r="P215">
        <v>427</v>
      </c>
      <c r="Q215">
        <v>475</v>
      </c>
      <c r="R215">
        <v>677</v>
      </c>
      <c r="S215">
        <v>816</v>
      </c>
      <c r="T215">
        <v>578</v>
      </c>
      <c r="U215">
        <v>734</v>
      </c>
      <c r="V215">
        <v>654</v>
      </c>
      <c r="W215">
        <v>779</v>
      </c>
      <c r="X215">
        <v>716</v>
      </c>
      <c r="Y215">
        <v>543</v>
      </c>
      <c r="Z215">
        <v>602</v>
      </c>
      <c r="AA215">
        <v>1238</v>
      </c>
    </row>
    <row r="216" spans="1:27" hidden="1">
      <c r="A216" s="37" t="s">
        <v>371</v>
      </c>
      <c r="B216" s="37">
        <v>779</v>
      </c>
      <c r="C216" s="37">
        <v>580</v>
      </c>
      <c r="D216" s="37">
        <v>444</v>
      </c>
      <c r="E216" s="37">
        <v>479</v>
      </c>
      <c r="F216" s="37">
        <v>360</v>
      </c>
      <c r="G216" s="37">
        <v>449</v>
      </c>
      <c r="H216" s="37">
        <v>378</v>
      </c>
      <c r="I216" s="37">
        <v>741</v>
      </c>
      <c r="J216" s="37">
        <v>920</v>
      </c>
      <c r="K216">
        <v>926</v>
      </c>
      <c r="L216">
        <v>1101</v>
      </c>
      <c r="M216">
        <v>909</v>
      </c>
      <c r="N216">
        <v>991</v>
      </c>
      <c r="O216">
        <v>250</v>
      </c>
      <c r="P216">
        <v>174</v>
      </c>
      <c r="Q216">
        <v>147</v>
      </c>
      <c r="R216">
        <v>131</v>
      </c>
      <c r="S216">
        <v>122</v>
      </c>
      <c r="T216">
        <v>127</v>
      </c>
      <c r="U216">
        <v>110</v>
      </c>
      <c r="V216">
        <v>263</v>
      </c>
      <c r="W216">
        <v>381</v>
      </c>
      <c r="X216">
        <v>454</v>
      </c>
      <c r="Y216">
        <v>543</v>
      </c>
      <c r="Z216">
        <v>448</v>
      </c>
      <c r="AA216">
        <v>375</v>
      </c>
    </row>
    <row r="217" spans="1:27" hidden="1">
      <c r="A217" s="37" t="s">
        <v>639</v>
      </c>
      <c r="B217" s="37">
        <v>2633</v>
      </c>
      <c r="C217" s="37">
        <v>3011</v>
      </c>
      <c r="D217" s="37">
        <v>2255</v>
      </c>
      <c r="E217" s="37">
        <v>2706</v>
      </c>
      <c r="F217" s="37">
        <v>2629</v>
      </c>
      <c r="G217" s="37">
        <v>2994</v>
      </c>
      <c r="H217" s="37">
        <v>2355</v>
      </c>
      <c r="I217" s="37">
        <v>2124</v>
      </c>
      <c r="J217" s="37">
        <v>2858</v>
      </c>
      <c r="K217">
        <v>4261</v>
      </c>
      <c r="L217">
        <v>2715</v>
      </c>
      <c r="M217">
        <v>2745</v>
      </c>
      <c r="N217">
        <v>4635</v>
      </c>
      <c r="O217">
        <v>849</v>
      </c>
      <c r="P217">
        <v>963</v>
      </c>
      <c r="Q217">
        <v>758</v>
      </c>
      <c r="R217">
        <v>858</v>
      </c>
      <c r="S217">
        <v>813</v>
      </c>
      <c r="T217">
        <v>886</v>
      </c>
      <c r="U217">
        <v>821</v>
      </c>
      <c r="V217">
        <v>833</v>
      </c>
      <c r="W217">
        <v>1051</v>
      </c>
      <c r="X217">
        <v>1545</v>
      </c>
      <c r="Y217">
        <v>1059</v>
      </c>
      <c r="Z217">
        <v>1150</v>
      </c>
      <c r="AA217">
        <v>1649</v>
      </c>
    </row>
    <row r="218" spans="1:27" hidden="1">
      <c r="A218" s="37" t="s">
        <v>17</v>
      </c>
      <c r="B218" s="37">
        <v>4738</v>
      </c>
      <c r="C218" s="37">
        <v>4476</v>
      </c>
      <c r="D218" s="37">
        <v>4408</v>
      </c>
      <c r="E218" s="37">
        <v>4991</v>
      </c>
      <c r="F218" s="37">
        <v>0</v>
      </c>
      <c r="G218" s="37">
        <v>18476</v>
      </c>
      <c r="H218" s="37">
        <v>4034</v>
      </c>
      <c r="I218" s="37">
        <v>12946</v>
      </c>
      <c r="J218" s="37">
        <v>14360</v>
      </c>
      <c r="K218">
        <v>19190</v>
      </c>
      <c r="L218">
        <v>26779</v>
      </c>
      <c r="M218">
        <v>37326</v>
      </c>
      <c r="N218">
        <v>85889</v>
      </c>
      <c r="O218">
        <v>913</v>
      </c>
      <c r="P218">
        <v>922</v>
      </c>
      <c r="Q218">
        <v>959</v>
      </c>
      <c r="R218">
        <v>494</v>
      </c>
      <c r="S218">
        <v>0</v>
      </c>
      <c r="T218">
        <v>2368</v>
      </c>
      <c r="U218">
        <v>596</v>
      </c>
      <c r="V218">
        <v>2993</v>
      </c>
      <c r="W218">
        <v>3494</v>
      </c>
      <c r="X218">
        <v>5013</v>
      </c>
      <c r="Y218">
        <v>6917</v>
      </c>
      <c r="Z218">
        <v>10417</v>
      </c>
      <c r="AA218">
        <v>19532</v>
      </c>
    </row>
    <row r="219" spans="1:27" hidden="1">
      <c r="A219" s="37" t="s">
        <v>1111</v>
      </c>
      <c r="B219" s="37">
        <v>1830</v>
      </c>
      <c r="C219" s="37">
        <v>2841</v>
      </c>
      <c r="D219" s="37">
        <v>3914</v>
      </c>
      <c r="E219" s="37">
        <v>5183</v>
      </c>
      <c r="F219" s="37">
        <v>1988</v>
      </c>
      <c r="G219" s="37">
        <v>1740</v>
      </c>
      <c r="H219" s="37">
        <v>1307</v>
      </c>
      <c r="I219" s="37">
        <v>1032</v>
      </c>
      <c r="J219" s="37">
        <v>1027</v>
      </c>
      <c r="K219">
        <v>955</v>
      </c>
      <c r="L219">
        <v>852</v>
      </c>
      <c r="M219">
        <v>643</v>
      </c>
      <c r="N219">
        <v>970</v>
      </c>
      <c r="O219">
        <v>482</v>
      </c>
      <c r="P219">
        <v>708</v>
      </c>
      <c r="Q219">
        <v>754</v>
      </c>
      <c r="R219">
        <v>813</v>
      </c>
      <c r="S219">
        <v>576</v>
      </c>
      <c r="T219">
        <v>474</v>
      </c>
      <c r="U219">
        <v>435</v>
      </c>
      <c r="V219">
        <v>409</v>
      </c>
      <c r="W219">
        <v>393</v>
      </c>
      <c r="X219">
        <v>455</v>
      </c>
      <c r="Y219">
        <v>390</v>
      </c>
      <c r="Z219">
        <v>346</v>
      </c>
      <c r="AA219">
        <v>494</v>
      </c>
    </row>
    <row r="220" spans="1:27" hidden="1">
      <c r="A220" s="37" t="s">
        <v>1425</v>
      </c>
      <c r="B220" s="37">
        <v>859</v>
      </c>
      <c r="C220" s="37">
        <v>993</v>
      </c>
      <c r="D220" s="37">
        <v>921</v>
      </c>
      <c r="E220" s="37">
        <v>1014</v>
      </c>
      <c r="F220" s="37">
        <v>985</v>
      </c>
      <c r="G220" s="37">
        <v>907</v>
      </c>
      <c r="H220" s="37">
        <v>1104</v>
      </c>
      <c r="I220" s="37">
        <v>1503</v>
      </c>
      <c r="J220" s="37">
        <v>1380</v>
      </c>
      <c r="K220">
        <v>1421</v>
      </c>
      <c r="L220">
        <v>1295</v>
      </c>
      <c r="M220">
        <v>1569</v>
      </c>
      <c r="N220">
        <v>2228</v>
      </c>
      <c r="O220">
        <v>246</v>
      </c>
      <c r="P220">
        <v>341</v>
      </c>
      <c r="Q220">
        <v>323</v>
      </c>
      <c r="R220">
        <v>317</v>
      </c>
      <c r="S220">
        <v>431</v>
      </c>
      <c r="T220">
        <v>281</v>
      </c>
      <c r="U220">
        <v>385</v>
      </c>
      <c r="V220">
        <v>432</v>
      </c>
      <c r="W220">
        <v>482</v>
      </c>
      <c r="X220">
        <v>520</v>
      </c>
      <c r="Y220">
        <v>463</v>
      </c>
      <c r="Z220">
        <v>522</v>
      </c>
      <c r="AA220">
        <v>860</v>
      </c>
    </row>
    <row r="221" spans="1:27" hidden="1">
      <c r="A221" s="37" t="s">
        <v>1236</v>
      </c>
      <c r="B221" s="37">
        <v>0</v>
      </c>
      <c r="C221" s="37">
        <v>262</v>
      </c>
      <c r="D221" s="37">
        <v>1302</v>
      </c>
      <c r="E221" s="37">
        <v>1630</v>
      </c>
      <c r="F221" s="37">
        <v>1087</v>
      </c>
      <c r="G221" s="37">
        <v>967</v>
      </c>
      <c r="H221" s="37">
        <v>1199</v>
      </c>
      <c r="I221" s="37">
        <v>1971</v>
      </c>
      <c r="J221" s="37">
        <v>1528</v>
      </c>
      <c r="K221">
        <v>1107</v>
      </c>
      <c r="L221">
        <v>1162</v>
      </c>
      <c r="M221">
        <v>1014</v>
      </c>
      <c r="N221">
        <v>1059</v>
      </c>
      <c r="O221">
        <v>0</v>
      </c>
      <c r="P221">
        <v>62</v>
      </c>
      <c r="Q221">
        <v>607</v>
      </c>
      <c r="R221">
        <v>729</v>
      </c>
      <c r="S221">
        <v>403</v>
      </c>
      <c r="T221">
        <v>361</v>
      </c>
      <c r="U221">
        <v>534</v>
      </c>
      <c r="V221">
        <v>962</v>
      </c>
      <c r="W221">
        <v>598</v>
      </c>
      <c r="X221">
        <v>471</v>
      </c>
      <c r="Y221">
        <v>487</v>
      </c>
      <c r="Z221">
        <v>321</v>
      </c>
      <c r="AA221">
        <v>342</v>
      </c>
    </row>
    <row r="222" spans="1:27" hidden="1">
      <c r="A222" s="37" t="s">
        <v>1032</v>
      </c>
      <c r="B222" s="37">
        <v>2136</v>
      </c>
      <c r="C222" s="37">
        <v>2353</v>
      </c>
      <c r="D222" s="37">
        <v>1497</v>
      </c>
      <c r="E222" s="37">
        <v>1319</v>
      </c>
      <c r="F222" s="37">
        <v>1243</v>
      </c>
      <c r="G222" s="37">
        <v>1281</v>
      </c>
      <c r="H222" s="37">
        <v>1054</v>
      </c>
      <c r="I222" s="37">
        <v>1336</v>
      </c>
      <c r="J222" s="37">
        <v>1745</v>
      </c>
      <c r="K222">
        <v>2554</v>
      </c>
      <c r="L222">
        <v>1717</v>
      </c>
      <c r="M222">
        <v>4708</v>
      </c>
      <c r="N222">
        <v>2194</v>
      </c>
      <c r="O222">
        <v>674</v>
      </c>
      <c r="P222">
        <v>687</v>
      </c>
      <c r="Q222">
        <v>422</v>
      </c>
      <c r="R222">
        <v>438</v>
      </c>
      <c r="S222">
        <v>382</v>
      </c>
      <c r="T222">
        <v>423</v>
      </c>
      <c r="U222">
        <v>332</v>
      </c>
      <c r="V222">
        <v>470</v>
      </c>
      <c r="W222">
        <v>496</v>
      </c>
      <c r="X222">
        <v>791</v>
      </c>
      <c r="Y222">
        <v>494</v>
      </c>
      <c r="Z222">
        <v>774</v>
      </c>
      <c r="AA222">
        <v>645</v>
      </c>
    </row>
    <row r="223" spans="1:27" hidden="1">
      <c r="A223" s="37" t="s">
        <v>1046</v>
      </c>
      <c r="B223" s="37">
        <v>1728</v>
      </c>
      <c r="C223" s="37">
        <v>813</v>
      </c>
      <c r="D223" s="37">
        <v>816</v>
      </c>
      <c r="E223" s="37">
        <v>1103</v>
      </c>
      <c r="F223" s="37">
        <v>891</v>
      </c>
      <c r="G223" s="37">
        <v>694</v>
      </c>
      <c r="H223" s="37">
        <v>648</v>
      </c>
      <c r="I223" s="37">
        <v>694</v>
      </c>
      <c r="J223" s="37">
        <v>582</v>
      </c>
      <c r="K223">
        <v>735</v>
      </c>
      <c r="L223">
        <v>953</v>
      </c>
      <c r="M223">
        <v>853</v>
      </c>
      <c r="N223">
        <v>974</v>
      </c>
      <c r="O223">
        <v>130</v>
      </c>
      <c r="P223">
        <v>92</v>
      </c>
      <c r="Q223">
        <v>174</v>
      </c>
      <c r="R223">
        <v>138</v>
      </c>
      <c r="S223">
        <v>242</v>
      </c>
      <c r="T223">
        <v>170</v>
      </c>
      <c r="U223">
        <v>89</v>
      </c>
      <c r="V223">
        <v>175</v>
      </c>
      <c r="W223">
        <v>83</v>
      </c>
      <c r="X223">
        <v>134</v>
      </c>
      <c r="Y223">
        <v>366</v>
      </c>
      <c r="Z223">
        <v>221</v>
      </c>
      <c r="AA223">
        <v>314</v>
      </c>
    </row>
    <row r="224" spans="1:27" hidden="1">
      <c r="A224" s="37" t="s">
        <v>1692</v>
      </c>
      <c r="B224" s="37">
        <v>0</v>
      </c>
      <c r="C224" s="37">
        <v>0</v>
      </c>
      <c r="D224" s="37">
        <v>0</v>
      </c>
      <c r="E224" s="37">
        <v>0</v>
      </c>
      <c r="F224" s="37">
        <v>0</v>
      </c>
      <c r="G224" s="37">
        <v>0</v>
      </c>
      <c r="H224" s="37">
        <v>0</v>
      </c>
      <c r="I224" s="37">
        <v>0</v>
      </c>
      <c r="J224" s="37">
        <v>320</v>
      </c>
      <c r="K224">
        <v>1016</v>
      </c>
      <c r="L224">
        <v>435</v>
      </c>
      <c r="M224">
        <v>670</v>
      </c>
      <c r="N224">
        <v>683</v>
      </c>
      <c r="O224">
        <v>0</v>
      </c>
      <c r="P224">
        <v>0</v>
      </c>
      <c r="Q224">
        <v>0</v>
      </c>
      <c r="R224">
        <v>0</v>
      </c>
      <c r="S224">
        <v>0</v>
      </c>
      <c r="T224">
        <v>0</v>
      </c>
      <c r="U224">
        <v>0</v>
      </c>
      <c r="V224">
        <v>0</v>
      </c>
      <c r="W224">
        <v>91</v>
      </c>
      <c r="X224">
        <v>283</v>
      </c>
      <c r="Y224">
        <v>119</v>
      </c>
      <c r="Z224">
        <v>141</v>
      </c>
      <c r="AA224">
        <v>167</v>
      </c>
    </row>
    <row r="225" spans="1:27" hidden="1">
      <c r="A225" s="37" t="s">
        <v>936</v>
      </c>
      <c r="B225" s="37">
        <v>6790</v>
      </c>
      <c r="C225" s="37">
        <v>6625</v>
      </c>
      <c r="D225" s="37">
        <v>4246</v>
      </c>
      <c r="E225" s="37">
        <v>3787</v>
      </c>
      <c r="F225" s="37">
        <v>4239</v>
      </c>
      <c r="G225" s="37">
        <v>3515</v>
      </c>
      <c r="H225" s="37">
        <v>3929</v>
      </c>
      <c r="I225" s="37">
        <v>3313</v>
      </c>
      <c r="J225" s="37">
        <v>2948</v>
      </c>
      <c r="K225">
        <v>2307</v>
      </c>
      <c r="L225">
        <v>3088</v>
      </c>
      <c r="M225">
        <v>1972</v>
      </c>
      <c r="N225">
        <v>3844</v>
      </c>
      <c r="O225">
        <v>1927</v>
      </c>
      <c r="P225">
        <v>1726</v>
      </c>
      <c r="Q225">
        <v>989</v>
      </c>
      <c r="R225">
        <v>913</v>
      </c>
      <c r="S225">
        <v>986</v>
      </c>
      <c r="T225">
        <v>896</v>
      </c>
      <c r="U225">
        <v>1090</v>
      </c>
      <c r="V225">
        <v>1001</v>
      </c>
      <c r="W225">
        <v>903</v>
      </c>
      <c r="X225">
        <v>780</v>
      </c>
      <c r="Y225">
        <v>1053</v>
      </c>
      <c r="Z225">
        <v>662</v>
      </c>
      <c r="AA225">
        <v>1123</v>
      </c>
    </row>
    <row r="226" spans="1:27" hidden="1">
      <c r="A226" s="37" t="s">
        <v>1413</v>
      </c>
      <c r="B226" s="37">
        <v>1353</v>
      </c>
      <c r="C226" s="37">
        <v>1212</v>
      </c>
      <c r="D226" s="37">
        <v>1254</v>
      </c>
      <c r="E226" s="37">
        <v>1058</v>
      </c>
      <c r="F226" s="37">
        <v>1069</v>
      </c>
      <c r="G226" s="37">
        <v>992</v>
      </c>
      <c r="H226" s="37">
        <v>1002</v>
      </c>
      <c r="I226" s="37">
        <v>1015</v>
      </c>
      <c r="J226" s="37">
        <v>642</v>
      </c>
      <c r="K226">
        <v>568</v>
      </c>
      <c r="L226">
        <v>429</v>
      </c>
      <c r="M226">
        <v>507</v>
      </c>
      <c r="N226">
        <v>544</v>
      </c>
      <c r="O226">
        <v>472</v>
      </c>
      <c r="P226">
        <v>521</v>
      </c>
      <c r="Q226">
        <v>464</v>
      </c>
      <c r="R226">
        <v>492</v>
      </c>
      <c r="S226">
        <v>557</v>
      </c>
      <c r="T226">
        <v>513</v>
      </c>
      <c r="U226">
        <v>560</v>
      </c>
      <c r="V226">
        <v>534</v>
      </c>
      <c r="W226">
        <v>412</v>
      </c>
      <c r="X226">
        <v>392</v>
      </c>
      <c r="Y226">
        <v>315</v>
      </c>
      <c r="Z226">
        <v>375</v>
      </c>
      <c r="AA226">
        <v>419</v>
      </c>
    </row>
    <row r="227" spans="1:27" hidden="1">
      <c r="A227" s="37" t="s">
        <v>1104</v>
      </c>
      <c r="B227" s="37">
        <v>2428</v>
      </c>
      <c r="C227" s="37">
        <v>2992</v>
      </c>
      <c r="D227" s="37">
        <v>3055</v>
      </c>
      <c r="E227" s="37">
        <v>2948</v>
      </c>
      <c r="F227" s="37">
        <v>2517</v>
      </c>
      <c r="G227" s="37">
        <v>2548</v>
      </c>
      <c r="H227" s="37">
        <v>2539</v>
      </c>
      <c r="I227" s="37">
        <v>2879</v>
      </c>
      <c r="J227" s="37">
        <v>2681</v>
      </c>
      <c r="K227">
        <v>2743</v>
      </c>
      <c r="L227">
        <v>2704</v>
      </c>
      <c r="M227">
        <v>2367</v>
      </c>
      <c r="N227">
        <v>3190</v>
      </c>
      <c r="O227">
        <v>764</v>
      </c>
      <c r="P227">
        <v>925</v>
      </c>
      <c r="Q227">
        <v>990</v>
      </c>
      <c r="R227">
        <v>981</v>
      </c>
      <c r="S227">
        <v>1073</v>
      </c>
      <c r="T227">
        <v>951</v>
      </c>
      <c r="U227">
        <v>1118</v>
      </c>
      <c r="V227">
        <v>1099</v>
      </c>
      <c r="W227">
        <v>1083</v>
      </c>
      <c r="X227">
        <v>1138</v>
      </c>
      <c r="Y227">
        <v>1204</v>
      </c>
      <c r="Z227">
        <v>1057</v>
      </c>
      <c r="AA227">
        <v>1462</v>
      </c>
    </row>
    <row r="228" spans="1:27" hidden="1">
      <c r="A228" s="37" t="s">
        <v>1693</v>
      </c>
      <c r="B228" s="37">
        <v>2330</v>
      </c>
      <c r="C228" s="37">
        <v>1555</v>
      </c>
      <c r="D228" s="37">
        <v>2367</v>
      </c>
      <c r="E228" s="37">
        <v>1074</v>
      </c>
      <c r="F228" s="37">
        <v>585</v>
      </c>
      <c r="G228" s="37">
        <v>770</v>
      </c>
      <c r="H228" s="37">
        <v>721</v>
      </c>
      <c r="I228" s="37">
        <v>685</v>
      </c>
      <c r="J228" s="37">
        <v>716</v>
      </c>
      <c r="K228">
        <v>549</v>
      </c>
      <c r="L228">
        <v>490</v>
      </c>
      <c r="M228">
        <v>0</v>
      </c>
      <c r="N228">
        <v>0</v>
      </c>
      <c r="O228">
        <v>274</v>
      </c>
      <c r="P228">
        <v>201</v>
      </c>
      <c r="Q228">
        <v>283</v>
      </c>
      <c r="R228">
        <v>185</v>
      </c>
      <c r="S228">
        <v>111</v>
      </c>
      <c r="T228">
        <v>135</v>
      </c>
      <c r="U228">
        <v>156</v>
      </c>
      <c r="V228">
        <v>127</v>
      </c>
      <c r="W228">
        <v>144</v>
      </c>
      <c r="X228">
        <v>137</v>
      </c>
      <c r="Y228">
        <v>132</v>
      </c>
      <c r="Z228">
        <v>2</v>
      </c>
      <c r="AA228">
        <v>0</v>
      </c>
    </row>
    <row r="229" spans="1:27" hidden="1">
      <c r="A229" s="37" t="s">
        <v>1287</v>
      </c>
      <c r="B229" s="37">
        <v>641</v>
      </c>
      <c r="C229" s="37">
        <v>615</v>
      </c>
      <c r="D229" s="37">
        <v>441</v>
      </c>
      <c r="E229" s="37">
        <v>252</v>
      </c>
      <c r="F229" s="37">
        <v>319</v>
      </c>
      <c r="G229" s="37">
        <v>283</v>
      </c>
      <c r="H229" s="37">
        <v>127</v>
      </c>
      <c r="I229" s="37">
        <v>344</v>
      </c>
      <c r="J229" s="37">
        <v>331</v>
      </c>
      <c r="K229">
        <v>328</v>
      </c>
      <c r="L229">
        <v>315</v>
      </c>
      <c r="M229">
        <v>274</v>
      </c>
      <c r="N229">
        <v>334</v>
      </c>
      <c r="O229">
        <v>119</v>
      </c>
      <c r="P229">
        <v>107</v>
      </c>
      <c r="Q229">
        <v>99</v>
      </c>
      <c r="R229">
        <v>42</v>
      </c>
      <c r="S229">
        <v>79</v>
      </c>
      <c r="T229">
        <v>67</v>
      </c>
      <c r="U229">
        <v>17</v>
      </c>
      <c r="V229">
        <v>74</v>
      </c>
      <c r="W229">
        <v>59</v>
      </c>
      <c r="X229">
        <v>96</v>
      </c>
      <c r="Y229">
        <v>61</v>
      </c>
      <c r="Z229">
        <v>60</v>
      </c>
      <c r="AA229">
        <v>83</v>
      </c>
    </row>
    <row r="230" spans="1:27" hidden="1">
      <c r="A230" s="37" t="s">
        <v>1333</v>
      </c>
      <c r="B230" s="37">
        <v>1539</v>
      </c>
      <c r="C230" s="37">
        <v>925</v>
      </c>
      <c r="D230" s="37">
        <v>921</v>
      </c>
      <c r="E230" s="37">
        <v>740</v>
      </c>
      <c r="F230" s="37">
        <v>659</v>
      </c>
      <c r="G230" s="37">
        <v>582</v>
      </c>
      <c r="H230" s="37">
        <v>467</v>
      </c>
      <c r="I230" s="37">
        <v>616</v>
      </c>
      <c r="J230" s="37">
        <v>521</v>
      </c>
      <c r="K230">
        <v>483</v>
      </c>
      <c r="L230">
        <v>419</v>
      </c>
      <c r="M230">
        <v>432</v>
      </c>
      <c r="N230">
        <v>618</v>
      </c>
      <c r="O230">
        <v>439</v>
      </c>
      <c r="P230">
        <v>307</v>
      </c>
      <c r="Q230">
        <v>200</v>
      </c>
      <c r="R230">
        <v>186</v>
      </c>
      <c r="S230">
        <v>200</v>
      </c>
      <c r="T230">
        <v>188</v>
      </c>
      <c r="U230">
        <v>143</v>
      </c>
      <c r="V230">
        <v>188</v>
      </c>
      <c r="W230">
        <v>190</v>
      </c>
      <c r="X230">
        <v>191</v>
      </c>
      <c r="Y230">
        <v>163</v>
      </c>
      <c r="Z230">
        <v>172</v>
      </c>
      <c r="AA230">
        <v>245</v>
      </c>
    </row>
    <row r="231" spans="1:27" hidden="1">
      <c r="A231" s="37" t="s">
        <v>1511</v>
      </c>
      <c r="B231" s="37">
        <v>2507</v>
      </c>
      <c r="C231" s="37">
        <v>2195</v>
      </c>
      <c r="D231" s="37">
        <v>5543</v>
      </c>
      <c r="E231" s="37">
        <v>2949</v>
      </c>
      <c r="F231" s="37">
        <v>4757</v>
      </c>
      <c r="G231" s="37">
        <v>2710</v>
      </c>
      <c r="H231" s="37">
        <v>2773</v>
      </c>
      <c r="I231" s="37">
        <v>2627</v>
      </c>
      <c r="J231" s="37">
        <v>2829</v>
      </c>
      <c r="K231">
        <v>2273</v>
      </c>
      <c r="L231">
        <v>1867</v>
      </c>
      <c r="M231">
        <v>1893</v>
      </c>
      <c r="N231">
        <v>2331</v>
      </c>
      <c r="O231">
        <v>537</v>
      </c>
      <c r="P231">
        <v>442</v>
      </c>
      <c r="Q231">
        <v>1409</v>
      </c>
      <c r="R231">
        <v>636</v>
      </c>
      <c r="S231">
        <v>1420</v>
      </c>
      <c r="T231">
        <v>636</v>
      </c>
      <c r="U231">
        <v>697</v>
      </c>
      <c r="V231">
        <v>597</v>
      </c>
      <c r="W231">
        <v>607</v>
      </c>
      <c r="X231">
        <v>603</v>
      </c>
      <c r="Y231">
        <v>640</v>
      </c>
      <c r="Z231">
        <v>532</v>
      </c>
      <c r="AA231">
        <v>680</v>
      </c>
    </row>
    <row r="232" spans="1:27" hidden="1">
      <c r="A232" s="37" t="s">
        <v>1486</v>
      </c>
      <c r="B232" s="37">
        <v>1053</v>
      </c>
      <c r="C232" s="37">
        <v>1148</v>
      </c>
      <c r="D232" s="37">
        <v>826</v>
      </c>
      <c r="E232" s="37">
        <v>993</v>
      </c>
      <c r="F232" s="37">
        <v>685</v>
      </c>
      <c r="G232" s="37">
        <v>806</v>
      </c>
      <c r="H232" s="37">
        <v>602</v>
      </c>
      <c r="I232" s="37">
        <v>1053</v>
      </c>
      <c r="J232" s="37">
        <v>1006</v>
      </c>
      <c r="K232">
        <v>994</v>
      </c>
      <c r="L232">
        <v>1076</v>
      </c>
      <c r="M232">
        <v>665</v>
      </c>
      <c r="N232">
        <v>1272</v>
      </c>
      <c r="O232">
        <v>302</v>
      </c>
      <c r="P232">
        <v>340</v>
      </c>
      <c r="Q232">
        <v>266</v>
      </c>
      <c r="R232">
        <v>379</v>
      </c>
      <c r="S232">
        <v>255</v>
      </c>
      <c r="T232">
        <v>247</v>
      </c>
      <c r="U232">
        <v>220</v>
      </c>
      <c r="V232">
        <v>368</v>
      </c>
      <c r="W232">
        <v>359</v>
      </c>
      <c r="X232">
        <v>313</v>
      </c>
      <c r="Y232">
        <v>373</v>
      </c>
      <c r="Z232">
        <v>235</v>
      </c>
      <c r="AA232">
        <v>472</v>
      </c>
    </row>
    <row r="233" spans="1:27" hidden="1">
      <c r="A233" s="37" t="s">
        <v>1508</v>
      </c>
      <c r="B233" s="37">
        <v>5762</v>
      </c>
      <c r="C233" s="37">
        <v>4959</v>
      </c>
      <c r="D233" s="37">
        <v>5692</v>
      </c>
      <c r="E233" s="37">
        <v>5409</v>
      </c>
      <c r="F233" s="37">
        <v>4892</v>
      </c>
      <c r="G233" s="37">
        <v>4067</v>
      </c>
      <c r="H233" s="37">
        <v>2818</v>
      </c>
      <c r="I233" s="37">
        <v>2952</v>
      </c>
      <c r="J233" s="37">
        <v>3254</v>
      </c>
      <c r="K233">
        <v>3931</v>
      </c>
      <c r="L233">
        <v>3367</v>
      </c>
      <c r="M233">
        <v>1741</v>
      </c>
      <c r="N233">
        <v>2841</v>
      </c>
      <c r="O233">
        <v>2105</v>
      </c>
      <c r="P233">
        <v>1722</v>
      </c>
      <c r="Q233">
        <v>2110</v>
      </c>
      <c r="R233">
        <v>2032</v>
      </c>
      <c r="S233">
        <v>2020</v>
      </c>
      <c r="T233">
        <v>1660</v>
      </c>
      <c r="U233">
        <v>1291</v>
      </c>
      <c r="V233">
        <v>1203</v>
      </c>
      <c r="W233">
        <v>1406</v>
      </c>
      <c r="X233">
        <v>1680</v>
      </c>
      <c r="Y233">
        <v>1601</v>
      </c>
      <c r="Z233">
        <v>905</v>
      </c>
      <c r="AA233">
        <v>1353</v>
      </c>
    </row>
    <row r="234" spans="1:27" hidden="1">
      <c r="A234" s="37" t="s">
        <v>1449</v>
      </c>
      <c r="B234" s="37">
        <v>651</v>
      </c>
      <c r="C234" s="37">
        <v>722</v>
      </c>
      <c r="D234" s="37">
        <v>660</v>
      </c>
      <c r="E234" s="37">
        <v>708</v>
      </c>
      <c r="F234" s="37">
        <v>570</v>
      </c>
      <c r="G234" s="37">
        <v>553</v>
      </c>
      <c r="H234" s="37">
        <v>472</v>
      </c>
      <c r="I234" s="37">
        <v>615</v>
      </c>
      <c r="J234" s="37">
        <v>588</v>
      </c>
      <c r="K234">
        <v>583</v>
      </c>
      <c r="L234">
        <v>575</v>
      </c>
      <c r="M234">
        <v>572</v>
      </c>
      <c r="N234">
        <v>778</v>
      </c>
      <c r="O234">
        <v>210</v>
      </c>
      <c r="P234">
        <v>202</v>
      </c>
      <c r="Q234">
        <v>223</v>
      </c>
      <c r="R234">
        <v>226</v>
      </c>
      <c r="S234">
        <v>235</v>
      </c>
      <c r="T234">
        <v>226</v>
      </c>
      <c r="U234">
        <v>234</v>
      </c>
      <c r="V234">
        <v>263</v>
      </c>
      <c r="W234">
        <v>287</v>
      </c>
      <c r="X234">
        <v>254</v>
      </c>
      <c r="Y234">
        <v>347</v>
      </c>
      <c r="Z234">
        <v>254</v>
      </c>
      <c r="AA234">
        <v>310</v>
      </c>
    </row>
    <row r="235" spans="1:27" hidden="1">
      <c r="A235" s="37" t="s">
        <v>1498</v>
      </c>
      <c r="B235" s="37">
        <v>981</v>
      </c>
      <c r="C235" s="37">
        <v>927</v>
      </c>
      <c r="D235" s="37">
        <v>872</v>
      </c>
      <c r="E235" s="37">
        <v>773</v>
      </c>
      <c r="F235" s="37">
        <v>884</v>
      </c>
      <c r="G235" s="37">
        <v>1202</v>
      </c>
      <c r="H235" s="37">
        <v>852</v>
      </c>
      <c r="I235" s="37">
        <v>1061</v>
      </c>
      <c r="J235" s="37">
        <v>1226</v>
      </c>
      <c r="K235">
        <v>789</v>
      </c>
      <c r="L235">
        <v>630</v>
      </c>
      <c r="M235">
        <v>663</v>
      </c>
      <c r="N235">
        <v>991</v>
      </c>
      <c r="O235">
        <v>158</v>
      </c>
      <c r="P235">
        <v>194</v>
      </c>
      <c r="Q235">
        <v>192</v>
      </c>
      <c r="R235">
        <v>195</v>
      </c>
      <c r="S235">
        <v>242</v>
      </c>
      <c r="T235">
        <v>338</v>
      </c>
      <c r="U235">
        <v>215</v>
      </c>
      <c r="V235">
        <v>324</v>
      </c>
      <c r="W235">
        <v>374</v>
      </c>
      <c r="X235">
        <v>269</v>
      </c>
      <c r="Y235">
        <v>201</v>
      </c>
      <c r="Z235">
        <v>224</v>
      </c>
      <c r="AA235">
        <v>311</v>
      </c>
    </row>
    <row r="236" spans="1:27" hidden="1">
      <c r="A236" s="37" t="s">
        <v>1447</v>
      </c>
      <c r="B236" s="37">
        <v>1446</v>
      </c>
      <c r="C236" s="37">
        <v>1145</v>
      </c>
      <c r="D236" s="37">
        <v>785</v>
      </c>
      <c r="E236" s="37">
        <v>592</v>
      </c>
      <c r="F236" s="37">
        <v>634</v>
      </c>
      <c r="G236" s="37">
        <v>737</v>
      </c>
      <c r="H236" s="37">
        <v>690</v>
      </c>
      <c r="I236" s="37">
        <v>906</v>
      </c>
      <c r="J236" s="37">
        <v>745</v>
      </c>
      <c r="K236">
        <v>583</v>
      </c>
      <c r="L236">
        <v>1090</v>
      </c>
      <c r="M236">
        <v>712</v>
      </c>
      <c r="N236">
        <v>952</v>
      </c>
      <c r="O236">
        <v>364</v>
      </c>
      <c r="P236">
        <v>307</v>
      </c>
      <c r="Q236">
        <v>225</v>
      </c>
      <c r="R236">
        <v>165</v>
      </c>
      <c r="S236">
        <v>185</v>
      </c>
      <c r="T236">
        <v>210</v>
      </c>
      <c r="U236">
        <v>193</v>
      </c>
      <c r="V236">
        <v>304</v>
      </c>
      <c r="W236">
        <v>246</v>
      </c>
      <c r="X236">
        <v>240</v>
      </c>
      <c r="Y236">
        <v>540</v>
      </c>
      <c r="Z236">
        <v>257</v>
      </c>
      <c r="AA236">
        <v>388</v>
      </c>
    </row>
    <row r="237" spans="1:27" hidden="1">
      <c r="A237" s="37" t="s">
        <v>1417</v>
      </c>
      <c r="B237" s="37">
        <v>408</v>
      </c>
      <c r="C237" s="37">
        <v>0</v>
      </c>
      <c r="D237" s="37">
        <v>1257</v>
      </c>
      <c r="E237" s="37">
        <v>888</v>
      </c>
      <c r="F237" s="37">
        <v>826</v>
      </c>
      <c r="G237" s="37">
        <v>882</v>
      </c>
      <c r="H237" s="37">
        <v>725</v>
      </c>
      <c r="I237" s="37">
        <v>862</v>
      </c>
      <c r="J237" s="37">
        <v>640</v>
      </c>
      <c r="K237">
        <v>714</v>
      </c>
      <c r="L237">
        <v>613</v>
      </c>
      <c r="M237">
        <v>915</v>
      </c>
      <c r="N237">
        <v>952</v>
      </c>
      <c r="O237">
        <v>97</v>
      </c>
      <c r="P237">
        <v>0</v>
      </c>
      <c r="Q237">
        <v>288</v>
      </c>
      <c r="R237">
        <v>257</v>
      </c>
      <c r="S237">
        <v>266</v>
      </c>
      <c r="T237">
        <v>260</v>
      </c>
      <c r="U237">
        <v>195</v>
      </c>
      <c r="V237">
        <v>204</v>
      </c>
      <c r="W237">
        <v>211</v>
      </c>
      <c r="X237">
        <v>220</v>
      </c>
      <c r="Y237">
        <v>210</v>
      </c>
      <c r="Z237">
        <v>230</v>
      </c>
      <c r="AA237">
        <v>291</v>
      </c>
    </row>
    <row r="238" spans="1:27" hidden="1">
      <c r="A238" s="37" t="s">
        <v>1433</v>
      </c>
      <c r="B238" s="37">
        <v>1417</v>
      </c>
      <c r="C238" s="37">
        <v>1243</v>
      </c>
      <c r="D238" s="37">
        <v>1246</v>
      </c>
      <c r="E238" s="37">
        <v>1187</v>
      </c>
      <c r="F238" s="37">
        <v>654</v>
      </c>
      <c r="G238" s="37">
        <v>666</v>
      </c>
      <c r="H238" s="37">
        <v>596</v>
      </c>
      <c r="I238" s="37">
        <v>553</v>
      </c>
      <c r="J238" s="37">
        <v>686</v>
      </c>
      <c r="K238">
        <v>641</v>
      </c>
      <c r="L238">
        <v>522</v>
      </c>
      <c r="M238">
        <v>520</v>
      </c>
      <c r="N238">
        <v>691</v>
      </c>
      <c r="O238">
        <v>437</v>
      </c>
      <c r="P238">
        <v>393</v>
      </c>
      <c r="Q238">
        <v>342</v>
      </c>
      <c r="R238">
        <v>354</v>
      </c>
      <c r="S238">
        <v>205</v>
      </c>
      <c r="T238">
        <v>208</v>
      </c>
      <c r="U238">
        <v>222</v>
      </c>
      <c r="V238">
        <v>229</v>
      </c>
      <c r="W238">
        <v>272</v>
      </c>
      <c r="X238">
        <v>212</v>
      </c>
      <c r="Y238">
        <v>205</v>
      </c>
      <c r="Z238">
        <v>202</v>
      </c>
      <c r="AA238">
        <v>271</v>
      </c>
    </row>
    <row r="239" spans="1:27" hidden="1">
      <c r="A239" s="37" t="s">
        <v>1345</v>
      </c>
      <c r="B239" s="37">
        <v>0</v>
      </c>
      <c r="C239" s="37">
        <v>0</v>
      </c>
      <c r="D239" s="37">
        <v>0</v>
      </c>
      <c r="E239" s="37">
        <v>0</v>
      </c>
      <c r="F239" s="37">
        <v>0</v>
      </c>
      <c r="G239" s="37">
        <v>0</v>
      </c>
      <c r="H239" s="37">
        <v>0</v>
      </c>
      <c r="I239" s="37">
        <v>0</v>
      </c>
      <c r="J239" s="37">
        <v>96</v>
      </c>
      <c r="K239">
        <v>306</v>
      </c>
      <c r="L239">
        <v>290</v>
      </c>
      <c r="M239">
        <v>605</v>
      </c>
      <c r="N239">
        <v>930</v>
      </c>
      <c r="O239">
        <v>0</v>
      </c>
      <c r="P239">
        <v>0</v>
      </c>
      <c r="Q239">
        <v>0</v>
      </c>
      <c r="R239">
        <v>0</v>
      </c>
      <c r="S239">
        <v>0</v>
      </c>
      <c r="T239">
        <v>0</v>
      </c>
      <c r="U239">
        <v>0</v>
      </c>
      <c r="V239">
        <v>0</v>
      </c>
      <c r="W239">
        <v>33</v>
      </c>
      <c r="X239">
        <v>76</v>
      </c>
      <c r="Y239">
        <v>76</v>
      </c>
      <c r="Z239">
        <v>191</v>
      </c>
      <c r="AA239">
        <v>280</v>
      </c>
    </row>
    <row r="240" spans="1:27" hidden="1">
      <c r="A240" s="37" t="s">
        <v>1309</v>
      </c>
      <c r="B240" s="37">
        <v>1361</v>
      </c>
      <c r="C240" s="37">
        <v>1065</v>
      </c>
      <c r="D240" s="37">
        <v>1044</v>
      </c>
      <c r="E240" s="37">
        <v>1095</v>
      </c>
      <c r="F240" s="37">
        <v>1296</v>
      </c>
      <c r="G240" s="37">
        <v>920</v>
      </c>
      <c r="H240" s="37">
        <v>616</v>
      </c>
      <c r="I240" s="37">
        <v>591</v>
      </c>
      <c r="J240" s="37">
        <v>436</v>
      </c>
      <c r="K240">
        <v>406</v>
      </c>
      <c r="L240">
        <v>319</v>
      </c>
      <c r="M240">
        <v>417</v>
      </c>
      <c r="N240">
        <v>726</v>
      </c>
      <c r="O240">
        <v>350</v>
      </c>
      <c r="P240">
        <v>317</v>
      </c>
      <c r="Q240">
        <v>279</v>
      </c>
      <c r="R240">
        <v>310</v>
      </c>
      <c r="S240">
        <v>304</v>
      </c>
      <c r="T240">
        <v>217</v>
      </c>
      <c r="U240">
        <v>177</v>
      </c>
      <c r="V240">
        <v>191</v>
      </c>
      <c r="W240">
        <v>152</v>
      </c>
      <c r="X240">
        <v>153</v>
      </c>
      <c r="Y240">
        <v>120</v>
      </c>
      <c r="Z240">
        <v>145</v>
      </c>
      <c r="AA240">
        <v>235</v>
      </c>
    </row>
    <row r="241" spans="1:27" hidden="1">
      <c r="A241" s="37" t="s">
        <v>1218</v>
      </c>
      <c r="B241" s="37">
        <v>557</v>
      </c>
      <c r="C241" s="37">
        <v>580</v>
      </c>
      <c r="D241" s="37">
        <v>483</v>
      </c>
      <c r="E241" s="37">
        <v>472</v>
      </c>
      <c r="F241" s="37">
        <v>709</v>
      </c>
      <c r="G241" s="37">
        <v>656</v>
      </c>
      <c r="H241" s="37">
        <v>715</v>
      </c>
      <c r="I241" s="37">
        <v>797</v>
      </c>
      <c r="J241" s="37">
        <v>734</v>
      </c>
      <c r="K241">
        <v>684</v>
      </c>
      <c r="L241">
        <v>622</v>
      </c>
      <c r="M241">
        <v>730</v>
      </c>
      <c r="N241">
        <v>936</v>
      </c>
      <c r="O241">
        <v>142</v>
      </c>
      <c r="P241">
        <v>160</v>
      </c>
      <c r="Q241">
        <v>135</v>
      </c>
      <c r="R241">
        <v>147</v>
      </c>
      <c r="S241">
        <v>192</v>
      </c>
      <c r="T241">
        <v>198</v>
      </c>
      <c r="U241">
        <v>238</v>
      </c>
      <c r="V241">
        <v>269</v>
      </c>
      <c r="W241">
        <v>225</v>
      </c>
      <c r="X241">
        <v>196</v>
      </c>
      <c r="Y241">
        <v>207</v>
      </c>
      <c r="Z241">
        <v>244</v>
      </c>
      <c r="AA241">
        <v>308</v>
      </c>
    </row>
    <row r="242" spans="1:27" hidden="1">
      <c r="A242" s="37" t="s">
        <v>57</v>
      </c>
      <c r="B242" s="37">
        <v>1577</v>
      </c>
      <c r="C242" s="37">
        <v>1264</v>
      </c>
      <c r="D242" s="37">
        <v>1436</v>
      </c>
      <c r="E242" s="37">
        <v>1633</v>
      </c>
      <c r="F242" s="37">
        <v>1407</v>
      </c>
      <c r="G242" s="37">
        <v>2169</v>
      </c>
      <c r="H242" s="37">
        <v>1557</v>
      </c>
      <c r="I242" s="37">
        <v>1783</v>
      </c>
      <c r="J242" s="37">
        <v>1693</v>
      </c>
      <c r="K242">
        <v>1488</v>
      </c>
      <c r="L242">
        <v>1398</v>
      </c>
      <c r="M242">
        <v>1362</v>
      </c>
      <c r="N242">
        <v>2144</v>
      </c>
      <c r="O242">
        <v>385</v>
      </c>
      <c r="P242">
        <v>324</v>
      </c>
      <c r="Q242">
        <v>366</v>
      </c>
      <c r="R242">
        <v>442</v>
      </c>
      <c r="S242">
        <v>366</v>
      </c>
      <c r="T242">
        <v>536</v>
      </c>
      <c r="U242">
        <v>335</v>
      </c>
      <c r="V242">
        <v>410</v>
      </c>
      <c r="W242">
        <v>459</v>
      </c>
      <c r="X242">
        <v>382</v>
      </c>
      <c r="Y242">
        <v>371</v>
      </c>
      <c r="Z242">
        <v>369</v>
      </c>
      <c r="AA242">
        <v>585</v>
      </c>
    </row>
    <row r="243" spans="1:27" hidden="1">
      <c r="A243" s="37" t="s">
        <v>818</v>
      </c>
      <c r="B243" s="37">
        <v>3284</v>
      </c>
      <c r="C243" s="37">
        <v>4751</v>
      </c>
      <c r="D243" s="37">
        <v>2584</v>
      </c>
      <c r="E243" s="37">
        <v>1839</v>
      </c>
      <c r="F243" s="37">
        <v>1830</v>
      </c>
      <c r="G243" s="37">
        <v>1937</v>
      </c>
      <c r="H243" s="37">
        <v>1357</v>
      </c>
      <c r="I243" s="37">
        <v>1615</v>
      </c>
      <c r="J243" s="37">
        <v>2605</v>
      </c>
      <c r="K243">
        <v>1758</v>
      </c>
      <c r="L243">
        <v>1624</v>
      </c>
      <c r="M243">
        <v>1402</v>
      </c>
      <c r="N243">
        <v>1822</v>
      </c>
      <c r="O243">
        <v>550</v>
      </c>
      <c r="P243">
        <v>789</v>
      </c>
      <c r="Q243">
        <v>570</v>
      </c>
      <c r="R243">
        <v>460</v>
      </c>
      <c r="S243">
        <v>512</v>
      </c>
      <c r="T243">
        <v>553</v>
      </c>
      <c r="U243">
        <v>407</v>
      </c>
      <c r="V243">
        <v>456</v>
      </c>
      <c r="W243">
        <v>839</v>
      </c>
      <c r="X243">
        <v>598</v>
      </c>
      <c r="Y243">
        <v>654</v>
      </c>
      <c r="Z243">
        <v>490</v>
      </c>
      <c r="AA243">
        <v>654</v>
      </c>
    </row>
    <row r="244" spans="1:27" hidden="1">
      <c r="A244" s="37" t="s">
        <v>531</v>
      </c>
      <c r="B244" s="37">
        <v>1110</v>
      </c>
      <c r="C244" s="37">
        <v>1155</v>
      </c>
      <c r="D244" s="37">
        <v>999</v>
      </c>
      <c r="E244" s="37">
        <v>915</v>
      </c>
      <c r="F244" s="37">
        <v>1005</v>
      </c>
      <c r="G244" s="37">
        <v>1661</v>
      </c>
      <c r="H244" s="37">
        <v>989</v>
      </c>
      <c r="I244" s="37">
        <v>1000</v>
      </c>
      <c r="J244" s="37">
        <v>861</v>
      </c>
      <c r="K244">
        <v>968</v>
      </c>
      <c r="L244">
        <v>917</v>
      </c>
      <c r="M244">
        <v>915</v>
      </c>
      <c r="N244">
        <v>840</v>
      </c>
      <c r="O244">
        <v>251</v>
      </c>
      <c r="P244">
        <v>294</v>
      </c>
      <c r="Q244">
        <v>227</v>
      </c>
      <c r="R244">
        <v>182</v>
      </c>
      <c r="S244">
        <v>230</v>
      </c>
      <c r="T244">
        <v>462</v>
      </c>
      <c r="U244">
        <v>242</v>
      </c>
      <c r="V244">
        <v>254</v>
      </c>
      <c r="W244">
        <v>218</v>
      </c>
      <c r="X244">
        <v>216</v>
      </c>
      <c r="Y244">
        <v>240</v>
      </c>
      <c r="Z244">
        <v>235</v>
      </c>
      <c r="AA244">
        <v>243</v>
      </c>
    </row>
    <row r="245" spans="1:27" hidden="1">
      <c r="A245" s="37" t="s">
        <v>457</v>
      </c>
      <c r="B245" s="37">
        <v>1780</v>
      </c>
      <c r="C245" s="37">
        <v>1869</v>
      </c>
      <c r="D245" s="37">
        <v>1656</v>
      </c>
      <c r="E245" s="37">
        <v>1440</v>
      </c>
      <c r="F245" s="37">
        <v>1081</v>
      </c>
      <c r="G245" s="37">
        <v>1009</v>
      </c>
      <c r="H245" s="37">
        <v>981</v>
      </c>
      <c r="I245" s="37">
        <v>1397</v>
      </c>
      <c r="J245" s="37">
        <v>1141</v>
      </c>
      <c r="K245">
        <v>1144</v>
      </c>
      <c r="L245">
        <v>1050</v>
      </c>
      <c r="M245">
        <v>857</v>
      </c>
      <c r="N245">
        <v>1242</v>
      </c>
      <c r="O245">
        <v>370</v>
      </c>
      <c r="P245">
        <v>398</v>
      </c>
      <c r="Q245">
        <v>342</v>
      </c>
      <c r="R245">
        <v>341</v>
      </c>
      <c r="S245">
        <v>257</v>
      </c>
      <c r="T245">
        <v>244</v>
      </c>
      <c r="U245">
        <v>243</v>
      </c>
      <c r="V245">
        <v>245</v>
      </c>
      <c r="W245">
        <v>257</v>
      </c>
      <c r="X245">
        <v>333</v>
      </c>
      <c r="Y245">
        <v>316</v>
      </c>
      <c r="Z245">
        <v>254</v>
      </c>
      <c r="AA245">
        <v>343</v>
      </c>
    </row>
    <row r="246" spans="1:27" hidden="1">
      <c r="A246" s="37" t="s">
        <v>739</v>
      </c>
      <c r="B246" s="37">
        <v>3612</v>
      </c>
      <c r="C246" s="37">
        <v>3948</v>
      </c>
      <c r="D246" s="37">
        <v>3511</v>
      </c>
      <c r="E246" s="37">
        <v>61</v>
      </c>
      <c r="F246" s="37">
        <v>10706</v>
      </c>
      <c r="G246" s="37">
        <v>6300</v>
      </c>
      <c r="H246" s="37">
        <v>2733</v>
      </c>
      <c r="I246" s="37">
        <v>2931</v>
      </c>
      <c r="J246" s="37">
        <v>2115</v>
      </c>
      <c r="K246">
        <v>2001</v>
      </c>
      <c r="L246">
        <v>2001</v>
      </c>
      <c r="M246">
        <v>2031</v>
      </c>
      <c r="N246">
        <v>2604</v>
      </c>
      <c r="O246">
        <v>448</v>
      </c>
      <c r="P246">
        <v>631</v>
      </c>
      <c r="Q246">
        <v>408</v>
      </c>
      <c r="R246">
        <v>4</v>
      </c>
      <c r="S246">
        <v>843</v>
      </c>
      <c r="T246">
        <v>358</v>
      </c>
      <c r="U246">
        <v>367</v>
      </c>
      <c r="V246">
        <v>371</v>
      </c>
      <c r="W246">
        <v>277</v>
      </c>
      <c r="X246">
        <v>332</v>
      </c>
      <c r="Y246">
        <v>391</v>
      </c>
      <c r="Z246">
        <v>339</v>
      </c>
      <c r="AA246">
        <v>571</v>
      </c>
    </row>
    <row r="247" spans="1:27" hidden="1">
      <c r="A247" s="37" t="s">
        <v>631</v>
      </c>
      <c r="B247" s="37">
        <v>2451</v>
      </c>
      <c r="C247" s="37">
        <v>3313</v>
      </c>
      <c r="D247" s="37">
        <v>1362</v>
      </c>
      <c r="E247" s="37">
        <v>1958</v>
      </c>
      <c r="F247" s="37">
        <v>1726</v>
      </c>
      <c r="G247" s="37">
        <v>1144</v>
      </c>
      <c r="H247" s="37">
        <v>1378</v>
      </c>
      <c r="I247" s="37">
        <v>1174</v>
      </c>
      <c r="J247" s="37">
        <v>1197</v>
      </c>
      <c r="K247">
        <v>2579</v>
      </c>
      <c r="L247">
        <v>1106</v>
      </c>
      <c r="M247">
        <v>1377</v>
      </c>
      <c r="N247">
        <v>1656</v>
      </c>
      <c r="O247">
        <v>414</v>
      </c>
      <c r="P247">
        <v>564</v>
      </c>
      <c r="Q247">
        <v>344</v>
      </c>
      <c r="R247">
        <v>466</v>
      </c>
      <c r="S247">
        <v>559</v>
      </c>
      <c r="T247">
        <v>341</v>
      </c>
      <c r="U247">
        <v>466</v>
      </c>
      <c r="V247">
        <v>391</v>
      </c>
      <c r="W247">
        <v>416</v>
      </c>
      <c r="X247">
        <v>1008</v>
      </c>
      <c r="Y247">
        <v>449</v>
      </c>
      <c r="Z247">
        <v>501</v>
      </c>
      <c r="AA247">
        <v>585</v>
      </c>
    </row>
    <row r="248" spans="1:27" hidden="1">
      <c r="A248" s="37" t="s">
        <v>649</v>
      </c>
      <c r="B248" s="37">
        <v>1233</v>
      </c>
      <c r="C248" s="37">
        <v>1416</v>
      </c>
      <c r="D248" s="37">
        <v>1396</v>
      </c>
      <c r="E248" s="37">
        <v>1992</v>
      </c>
      <c r="F248" s="37">
        <v>1444</v>
      </c>
      <c r="G248" s="37">
        <v>1030</v>
      </c>
      <c r="H248" s="37">
        <v>1037</v>
      </c>
      <c r="I248" s="37">
        <v>1802</v>
      </c>
      <c r="J248" s="37">
        <v>1110</v>
      </c>
      <c r="K248">
        <v>1003</v>
      </c>
      <c r="L248">
        <v>987</v>
      </c>
      <c r="M248">
        <v>503</v>
      </c>
      <c r="N248">
        <v>1812</v>
      </c>
      <c r="O248">
        <v>492</v>
      </c>
      <c r="P248">
        <v>506</v>
      </c>
      <c r="Q248">
        <v>457</v>
      </c>
      <c r="R248">
        <v>749</v>
      </c>
      <c r="S248">
        <v>556</v>
      </c>
      <c r="T248">
        <v>367</v>
      </c>
      <c r="U248">
        <v>383</v>
      </c>
      <c r="V248">
        <v>488</v>
      </c>
      <c r="W248">
        <v>423</v>
      </c>
      <c r="X248">
        <v>337</v>
      </c>
      <c r="Y248">
        <v>367</v>
      </c>
      <c r="Z248">
        <v>196</v>
      </c>
      <c r="AA248">
        <v>585</v>
      </c>
    </row>
    <row r="249" spans="1:27" hidden="1">
      <c r="A249" s="37" t="s">
        <v>1506</v>
      </c>
      <c r="B249" s="37">
        <v>703</v>
      </c>
      <c r="C249" s="37">
        <v>542</v>
      </c>
      <c r="D249" s="37">
        <v>644</v>
      </c>
      <c r="E249" s="37">
        <v>682</v>
      </c>
      <c r="F249" s="37">
        <v>771</v>
      </c>
      <c r="G249" s="37">
        <v>775</v>
      </c>
      <c r="H249" s="37">
        <v>879</v>
      </c>
      <c r="I249" s="37">
        <v>731</v>
      </c>
      <c r="J249" s="37">
        <v>5</v>
      </c>
      <c r="K249">
        <v>0</v>
      </c>
      <c r="L249">
        <v>1</v>
      </c>
      <c r="M249">
        <v>726</v>
      </c>
      <c r="N249">
        <v>1007</v>
      </c>
      <c r="O249">
        <v>163</v>
      </c>
      <c r="P249">
        <v>157</v>
      </c>
      <c r="Q249">
        <v>153</v>
      </c>
      <c r="R249">
        <v>215</v>
      </c>
      <c r="S249">
        <v>294</v>
      </c>
      <c r="T249">
        <v>227</v>
      </c>
      <c r="U249">
        <v>275</v>
      </c>
      <c r="V249">
        <v>226</v>
      </c>
      <c r="W249">
        <v>5</v>
      </c>
      <c r="X249">
        <v>1</v>
      </c>
      <c r="Y249">
        <v>2</v>
      </c>
      <c r="Z249">
        <v>167</v>
      </c>
      <c r="AA249">
        <v>378</v>
      </c>
    </row>
    <row r="250" spans="1:27" hidden="1">
      <c r="A250" s="37" t="s">
        <v>1107</v>
      </c>
      <c r="B250" s="37">
        <v>1663</v>
      </c>
      <c r="C250" s="37">
        <v>2104</v>
      </c>
      <c r="D250" s="37">
        <v>1680</v>
      </c>
      <c r="E250" s="37">
        <v>2200</v>
      </c>
      <c r="F250" s="37">
        <v>1696</v>
      </c>
      <c r="G250" s="37">
        <v>1276</v>
      </c>
      <c r="H250" s="37">
        <v>777</v>
      </c>
      <c r="I250" s="37">
        <v>609</v>
      </c>
      <c r="J250" s="37">
        <v>838</v>
      </c>
      <c r="K250">
        <v>1379</v>
      </c>
      <c r="L250">
        <v>1010</v>
      </c>
      <c r="M250">
        <v>780</v>
      </c>
      <c r="N250">
        <v>949</v>
      </c>
      <c r="O250">
        <v>374</v>
      </c>
      <c r="P250">
        <v>440</v>
      </c>
      <c r="Q250">
        <v>245</v>
      </c>
      <c r="R250">
        <v>395</v>
      </c>
      <c r="S250">
        <v>309</v>
      </c>
      <c r="T250">
        <v>238</v>
      </c>
      <c r="U250">
        <v>181</v>
      </c>
      <c r="V250">
        <v>133</v>
      </c>
      <c r="W250">
        <v>189</v>
      </c>
      <c r="X250">
        <v>276</v>
      </c>
      <c r="Y250">
        <v>220</v>
      </c>
      <c r="Z250">
        <v>182</v>
      </c>
      <c r="AA250">
        <v>267</v>
      </c>
    </row>
    <row r="251" spans="1:27" hidden="1">
      <c r="A251" s="37" t="s">
        <v>1488</v>
      </c>
      <c r="B251" s="37">
        <v>230</v>
      </c>
      <c r="C251" s="37">
        <v>222</v>
      </c>
      <c r="D251" s="37">
        <v>763</v>
      </c>
      <c r="E251" s="37">
        <v>688</v>
      </c>
      <c r="F251" s="37">
        <v>494</v>
      </c>
      <c r="G251" s="37">
        <v>492</v>
      </c>
      <c r="H251" s="37">
        <v>526</v>
      </c>
      <c r="I251" s="37">
        <v>726</v>
      </c>
      <c r="J251" s="37">
        <v>1183</v>
      </c>
      <c r="K251">
        <v>865</v>
      </c>
      <c r="L251">
        <v>661</v>
      </c>
      <c r="M251">
        <v>568</v>
      </c>
      <c r="N251">
        <v>964</v>
      </c>
      <c r="O251">
        <v>78</v>
      </c>
      <c r="P251">
        <v>55</v>
      </c>
      <c r="Q251">
        <v>112</v>
      </c>
      <c r="R251">
        <v>131</v>
      </c>
      <c r="S251">
        <v>101</v>
      </c>
      <c r="T251">
        <v>89</v>
      </c>
      <c r="U251">
        <v>115</v>
      </c>
      <c r="V251">
        <v>182</v>
      </c>
      <c r="W251">
        <v>181</v>
      </c>
      <c r="X251">
        <v>160</v>
      </c>
      <c r="Y251">
        <v>159</v>
      </c>
      <c r="Z251">
        <v>114</v>
      </c>
      <c r="AA251">
        <v>157</v>
      </c>
    </row>
    <row r="252" spans="1:27" hidden="1">
      <c r="A252" s="37" t="s">
        <v>1694</v>
      </c>
      <c r="B252" s="37">
        <v>128</v>
      </c>
      <c r="C252" s="37">
        <v>78</v>
      </c>
      <c r="D252" s="37">
        <v>65</v>
      </c>
      <c r="E252" s="37">
        <v>130</v>
      </c>
      <c r="F252" s="37">
        <v>99</v>
      </c>
      <c r="G252" s="37">
        <v>115</v>
      </c>
      <c r="H252" s="37">
        <v>164</v>
      </c>
      <c r="I252" s="37">
        <v>153</v>
      </c>
      <c r="J252" s="37">
        <v>63</v>
      </c>
      <c r="K252">
        <v>69</v>
      </c>
      <c r="L252">
        <v>130</v>
      </c>
      <c r="M252">
        <v>60</v>
      </c>
      <c r="N252">
        <v>102</v>
      </c>
      <c r="O252">
        <v>0</v>
      </c>
      <c r="P252">
        <v>0</v>
      </c>
      <c r="Q252">
        <v>0</v>
      </c>
      <c r="R252">
        <v>0</v>
      </c>
      <c r="S252">
        <v>0</v>
      </c>
      <c r="T252">
        <v>0</v>
      </c>
      <c r="U252">
        <v>0</v>
      </c>
      <c r="V252">
        <v>0</v>
      </c>
      <c r="W252">
        <v>0</v>
      </c>
      <c r="X252">
        <v>0</v>
      </c>
      <c r="Y252">
        <v>0</v>
      </c>
      <c r="Z252">
        <v>0</v>
      </c>
      <c r="AA252">
        <v>0</v>
      </c>
    </row>
    <row r="253" spans="1:27" hidden="1">
      <c r="A253" s="37" t="s">
        <v>1695</v>
      </c>
      <c r="B253" s="37">
        <v>66</v>
      </c>
      <c r="C253" s="37">
        <v>96</v>
      </c>
      <c r="D253" s="37">
        <v>90</v>
      </c>
      <c r="E253" s="37">
        <v>104</v>
      </c>
      <c r="F253" s="37">
        <v>99</v>
      </c>
      <c r="G253" s="37">
        <v>183</v>
      </c>
      <c r="H253" s="37">
        <v>113</v>
      </c>
      <c r="I253" s="37">
        <v>91</v>
      </c>
      <c r="J253" s="37">
        <v>51</v>
      </c>
      <c r="K253">
        <v>76</v>
      </c>
      <c r="L253">
        <v>76</v>
      </c>
      <c r="M253">
        <v>60</v>
      </c>
      <c r="N253">
        <v>68</v>
      </c>
      <c r="O253">
        <v>0</v>
      </c>
      <c r="P253">
        <v>0</v>
      </c>
      <c r="Q253">
        <v>0</v>
      </c>
      <c r="R253">
        <v>0</v>
      </c>
      <c r="S253">
        <v>0</v>
      </c>
      <c r="T253">
        <v>0</v>
      </c>
      <c r="U253">
        <v>0</v>
      </c>
      <c r="V253">
        <v>0</v>
      </c>
      <c r="W253">
        <v>0</v>
      </c>
      <c r="X253">
        <v>0</v>
      </c>
      <c r="Y253">
        <v>0</v>
      </c>
      <c r="Z253">
        <v>0</v>
      </c>
      <c r="AA253">
        <v>0</v>
      </c>
    </row>
    <row r="254" spans="1:27" hidden="1">
      <c r="A254" s="37" t="s">
        <v>1696</v>
      </c>
      <c r="B254" s="37">
        <v>249</v>
      </c>
      <c r="C254" s="37">
        <v>289</v>
      </c>
      <c r="D254" s="37">
        <v>262</v>
      </c>
      <c r="E254" s="37">
        <v>251</v>
      </c>
      <c r="F254" s="37">
        <v>279</v>
      </c>
      <c r="G254" s="37">
        <v>166</v>
      </c>
      <c r="H254" s="37">
        <v>128</v>
      </c>
      <c r="I254" s="37">
        <v>144</v>
      </c>
      <c r="J254" s="37">
        <v>118</v>
      </c>
      <c r="K254">
        <v>52</v>
      </c>
      <c r="L254">
        <v>82</v>
      </c>
      <c r="M254">
        <v>55</v>
      </c>
      <c r="N254">
        <v>59</v>
      </c>
      <c r="O254">
        <v>0</v>
      </c>
      <c r="P254">
        <v>0</v>
      </c>
      <c r="Q254">
        <v>0</v>
      </c>
      <c r="R254">
        <v>0</v>
      </c>
      <c r="S254">
        <v>0</v>
      </c>
      <c r="T254">
        <v>0</v>
      </c>
      <c r="U254">
        <v>0</v>
      </c>
      <c r="V254">
        <v>0</v>
      </c>
      <c r="W254">
        <v>0</v>
      </c>
      <c r="X254">
        <v>0</v>
      </c>
      <c r="Y254">
        <v>0</v>
      </c>
      <c r="Z254">
        <v>0</v>
      </c>
      <c r="AA254">
        <v>0</v>
      </c>
    </row>
    <row r="255" spans="1:27" hidden="1">
      <c r="A255" s="37" t="s">
        <v>1125</v>
      </c>
      <c r="B255" s="37">
        <v>757</v>
      </c>
      <c r="C255" s="37">
        <v>792</v>
      </c>
      <c r="D255" s="37">
        <v>718</v>
      </c>
      <c r="E255" s="37">
        <v>777</v>
      </c>
      <c r="F255" s="37">
        <v>818</v>
      </c>
      <c r="G255" s="37">
        <v>763</v>
      </c>
      <c r="H255" s="37">
        <v>939</v>
      </c>
      <c r="I255" s="37">
        <v>613</v>
      </c>
      <c r="J255" s="37">
        <v>659</v>
      </c>
      <c r="K255">
        <v>724</v>
      </c>
      <c r="L255">
        <v>700</v>
      </c>
      <c r="M255">
        <v>557</v>
      </c>
      <c r="N255">
        <v>691</v>
      </c>
      <c r="O255">
        <v>254</v>
      </c>
      <c r="P255">
        <v>206</v>
      </c>
      <c r="Q255">
        <v>207</v>
      </c>
      <c r="R255">
        <v>247</v>
      </c>
      <c r="S255">
        <v>303</v>
      </c>
      <c r="T255">
        <v>264</v>
      </c>
      <c r="U255">
        <v>343</v>
      </c>
      <c r="V255">
        <v>225</v>
      </c>
      <c r="W255">
        <v>223</v>
      </c>
      <c r="X255">
        <v>253</v>
      </c>
      <c r="Y255">
        <v>278</v>
      </c>
      <c r="Z255">
        <v>207</v>
      </c>
      <c r="AA255">
        <v>239</v>
      </c>
    </row>
    <row r="256" spans="1:27" hidden="1">
      <c r="A256" s="37" t="s">
        <v>1697</v>
      </c>
      <c r="B256" s="37">
        <v>0</v>
      </c>
      <c r="C256" s="37">
        <v>0</v>
      </c>
      <c r="D256" s="37">
        <v>0</v>
      </c>
      <c r="E256" s="37">
        <v>0</v>
      </c>
      <c r="F256" s="37">
        <v>0</v>
      </c>
      <c r="G256" s="37">
        <v>0</v>
      </c>
      <c r="H256" s="37">
        <v>0</v>
      </c>
      <c r="I256" s="37">
        <v>0</v>
      </c>
      <c r="J256" s="37">
        <v>18</v>
      </c>
      <c r="K256">
        <v>450</v>
      </c>
      <c r="L256">
        <v>539</v>
      </c>
      <c r="M256">
        <v>0</v>
      </c>
      <c r="N256">
        <v>630</v>
      </c>
      <c r="O256">
        <v>0</v>
      </c>
      <c r="P256">
        <v>0</v>
      </c>
      <c r="Q256">
        <v>0</v>
      </c>
      <c r="R256">
        <v>0</v>
      </c>
      <c r="S256">
        <v>0</v>
      </c>
      <c r="T256">
        <v>0</v>
      </c>
      <c r="U256">
        <v>0</v>
      </c>
      <c r="V256">
        <v>0</v>
      </c>
      <c r="W256">
        <v>0</v>
      </c>
      <c r="X256">
        <v>127</v>
      </c>
      <c r="Y256">
        <v>159</v>
      </c>
      <c r="Z256">
        <v>0</v>
      </c>
      <c r="AA256">
        <v>241</v>
      </c>
    </row>
    <row r="257" spans="1:27" hidden="1">
      <c r="A257" s="37" t="s">
        <v>1698</v>
      </c>
      <c r="B257" s="37">
        <v>415</v>
      </c>
      <c r="C257" s="37">
        <v>390</v>
      </c>
      <c r="D257" s="37">
        <v>389</v>
      </c>
      <c r="E257" s="37">
        <v>386</v>
      </c>
      <c r="F257" s="37">
        <v>247</v>
      </c>
      <c r="G257" s="37">
        <v>283</v>
      </c>
      <c r="H257" s="37">
        <v>275</v>
      </c>
      <c r="I257" s="37">
        <v>240</v>
      </c>
      <c r="J257" s="37">
        <v>132</v>
      </c>
      <c r="K257">
        <v>129</v>
      </c>
      <c r="L257">
        <v>130</v>
      </c>
      <c r="M257">
        <v>96</v>
      </c>
      <c r="N257">
        <v>181</v>
      </c>
      <c r="O257">
        <v>0</v>
      </c>
      <c r="P257">
        <v>0</v>
      </c>
      <c r="Q257">
        <v>0</v>
      </c>
      <c r="R257">
        <v>0</v>
      </c>
      <c r="S257">
        <v>0</v>
      </c>
      <c r="T257">
        <v>0</v>
      </c>
      <c r="U257">
        <v>0</v>
      </c>
      <c r="V257">
        <v>0</v>
      </c>
      <c r="W257">
        <v>0</v>
      </c>
      <c r="X257">
        <v>0</v>
      </c>
      <c r="Y257">
        <v>0</v>
      </c>
      <c r="Z257">
        <v>0</v>
      </c>
      <c r="AA257">
        <v>0</v>
      </c>
    </row>
    <row r="258" spans="1:27" hidden="1">
      <c r="A258" s="37" t="s">
        <v>1183</v>
      </c>
      <c r="B258" s="37">
        <v>2526</v>
      </c>
      <c r="C258" s="37">
        <v>2812</v>
      </c>
      <c r="D258" s="37">
        <v>1885</v>
      </c>
      <c r="E258" s="37">
        <v>1859</v>
      </c>
      <c r="F258" s="37">
        <v>1363</v>
      </c>
      <c r="G258" s="37">
        <v>1537</v>
      </c>
      <c r="H258" s="37">
        <v>1028</v>
      </c>
      <c r="I258" s="37">
        <v>990</v>
      </c>
      <c r="J258" s="37">
        <v>1000</v>
      </c>
      <c r="K258">
        <v>1140</v>
      </c>
      <c r="L258">
        <v>872</v>
      </c>
      <c r="M258">
        <v>937</v>
      </c>
      <c r="N258">
        <v>1077</v>
      </c>
      <c r="O258">
        <v>938</v>
      </c>
      <c r="P258">
        <v>1033</v>
      </c>
      <c r="Q258">
        <v>600</v>
      </c>
      <c r="R258">
        <v>664</v>
      </c>
      <c r="S258">
        <v>504</v>
      </c>
      <c r="T258">
        <v>497</v>
      </c>
      <c r="U258">
        <v>347</v>
      </c>
      <c r="V258">
        <v>330</v>
      </c>
      <c r="W258">
        <v>362</v>
      </c>
      <c r="X258">
        <v>425</v>
      </c>
      <c r="Y258">
        <v>340</v>
      </c>
      <c r="Z258">
        <v>324</v>
      </c>
      <c r="AA258">
        <v>379</v>
      </c>
    </row>
    <row r="259" spans="1:27" hidden="1">
      <c r="A259" s="37" t="s">
        <v>1179</v>
      </c>
      <c r="B259" s="37">
        <v>6506</v>
      </c>
      <c r="C259" s="37">
        <v>1653</v>
      </c>
      <c r="D259" s="37">
        <v>1706</v>
      </c>
      <c r="E259" s="37">
        <v>3416</v>
      </c>
      <c r="F259" s="37">
        <v>2077</v>
      </c>
      <c r="G259" s="37">
        <v>1490</v>
      </c>
      <c r="H259" s="37">
        <v>1556</v>
      </c>
      <c r="I259" s="37">
        <v>1335</v>
      </c>
      <c r="J259" s="37">
        <v>1249</v>
      </c>
      <c r="K259">
        <v>1245</v>
      </c>
      <c r="L259">
        <v>2148</v>
      </c>
      <c r="M259">
        <v>1366</v>
      </c>
      <c r="N259">
        <v>1690</v>
      </c>
      <c r="O259">
        <v>776</v>
      </c>
      <c r="P259">
        <v>412</v>
      </c>
      <c r="Q259">
        <v>515</v>
      </c>
      <c r="R259">
        <v>1048</v>
      </c>
      <c r="S259">
        <v>644</v>
      </c>
      <c r="T259">
        <v>552</v>
      </c>
      <c r="U259">
        <v>607</v>
      </c>
      <c r="V259">
        <v>465</v>
      </c>
      <c r="W259">
        <v>500</v>
      </c>
      <c r="X259">
        <v>501</v>
      </c>
      <c r="Y259">
        <v>1332</v>
      </c>
      <c r="Z259">
        <v>543</v>
      </c>
      <c r="AA259">
        <v>803</v>
      </c>
    </row>
    <row r="260" spans="1:27" hidden="1">
      <c r="A260" s="37" t="s">
        <v>1699</v>
      </c>
      <c r="B260" s="37">
        <v>174</v>
      </c>
      <c r="C260" s="37">
        <v>135</v>
      </c>
      <c r="D260" s="37">
        <v>92</v>
      </c>
      <c r="E260" s="37">
        <v>87</v>
      </c>
      <c r="F260" s="37">
        <v>54</v>
      </c>
      <c r="G260" s="37">
        <v>58</v>
      </c>
      <c r="H260" s="37">
        <v>62</v>
      </c>
      <c r="I260" s="37">
        <v>54</v>
      </c>
      <c r="J260" s="37">
        <v>44</v>
      </c>
      <c r="K260">
        <v>42</v>
      </c>
      <c r="L260">
        <v>58</v>
      </c>
      <c r="M260">
        <v>59</v>
      </c>
      <c r="N260">
        <v>44</v>
      </c>
      <c r="O260">
        <v>0</v>
      </c>
      <c r="P260">
        <v>0</v>
      </c>
      <c r="Q260">
        <v>0</v>
      </c>
      <c r="R260">
        <v>0</v>
      </c>
      <c r="S260">
        <v>0</v>
      </c>
      <c r="T260">
        <v>0</v>
      </c>
      <c r="U260">
        <v>0</v>
      </c>
      <c r="V260">
        <v>0</v>
      </c>
      <c r="W260">
        <v>0</v>
      </c>
      <c r="X260">
        <v>0</v>
      </c>
      <c r="Y260">
        <v>0</v>
      </c>
      <c r="Z260">
        <v>0</v>
      </c>
      <c r="AA260">
        <v>0</v>
      </c>
    </row>
    <row r="261" spans="1:27" hidden="1">
      <c r="A261" s="37" t="s">
        <v>1646</v>
      </c>
      <c r="B261" s="37">
        <v>469</v>
      </c>
      <c r="C261" s="37">
        <v>547</v>
      </c>
      <c r="D261" s="37">
        <v>493</v>
      </c>
      <c r="E261" s="37">
        <v>532</v>
      </c>
      <c r="F261" s="37">
        <v>375</v>
      </c>
      <c r="G261" s="37">
        <v>375</v>
      </c>
      <c r="H261" s="37">
        <v>334</v>
      </c>
      <c r="I261" s="37">
        <v>408</v>
      </c>
      <c r="J261" s="37">
        <v>310</v>
      </c>
      <c r="K261">
        <v>261</v>
      </c>
      <c r="L261">
        <v>31</v>
      </c>
      <c r="M261">
        <v>0</v>
      </c>
      <c r="N261">
        <v>0</v>
      </c>
      <c r="O261">
        <v>234</v>
      </c>
      <c r="P261">
        <v>196</v>
      </c>
      <c r="Q261">
        <v>198</v>
      </c>
      <c r="R261">
        <v>207</v>
      </c>
      <c r="S261">
        <v>187</v>
      </c>
      <c r="T261">
        <v>164</v>
      </c>
      <c r="U261">
        <v>155</v>
      </c>
      <c r="V261">
        <v>182</v>
      </c>
      <c r="W261">
        <v>151</v>
      </c>
      <c r="X261">
        <v>98</v>
      </c>
      <c r="Y261">
        <v>4</v>
      </c>
      <c r="Z261">
        <v>0</v>
      </c>
      <c r="AA261">
        <v>0</v>
      </c>
    </row>
    <row r="262" spans="1:27" hidden="1">
      <c r="A262" s="37" t="s">
        <v>1154</v>
      </c>
      <c r="B262" s="37">
        <v>1174</v>
      </c>
      <c r="C262" s="37">
        <v>1444</v>
      </c>
      <c r="D262" s="37">
        <v>894</v>
      </c>
      <c r="E262" s="37">
        <v>634</v>
      </c>
      <c r="F262" s="37">
        <v>688</v>
      </c>
      <c r="G262" s="37">
        <v>950</v>
      </c>
      <c r="H262" s="37">
        <v>795</v>
      </c>
      <c r="I262" s="37">
        <v>1036</v>
      </c>
      <c r="J262" s="37">
        <v>891</v>
      </c>
      <c r="K262">
        <v>805</v>
      </c>
      <c r="L262">
        <v>1294</v>
      </c>
      <c r="M262">
        <v>646</v>
      </c>
      <c r="N262">
        <v>711</v>
      </c>
      <c r="O262">
        <v>415</v>
      </c>
      <c r="P262">
        <v>477</v>
      </c>
      <c r="Q262">
        <v>264</v>
      </c>
      <c r="R262">
        <v>238</v>
      </c>
      <c r="S262">
        <v>273</v>
      </c>
      <c r="T262">
        <v>323</v>
      </c>
      <c r="U262">
        <v>279</v>
      </c>
      <c r="V262">
        <v>325</v>
      </c>
      <c r="W262">
        <v>254</v>
      </c>
      <c r="X262">
        <v>279</v>
      </c>
      <c r="Y262">
        <v>696</v>
      </c>
      <c r="Z262">
        <v>201</v>
      </c>
      <c r="AA262">
        <v>337</v>
      </c>
    </row>
    <row r="263" spans="1:27" hidden="1">
      <c r="A263" s="37" t="s">
        <v>1232</v>
      </c>
      <c r="B263" s="37">
        <v>2377</v>
      </c>
      <c r="C263" s="37">
        <v>2724</v>
      </c>
      <c r="D263" s="37">
        <v>2647</v>
      </c>
      <c r="E263" s="37">
        <v>2129</v>
      </c>
      <c r="F263" s="37">
        <v>1557</v>
      </c>
      <c r="G263" s="37">
        <v>2007</v>
      </c>
      <c r="H263" s="37">
        <v>1624</v>
      </c>
      <c r="I263" s="37">
        <v>1818</v>
      </c>
      <c r="J263" s="37">
        <v>1449</v>
      </c>
      <c r="K263">
        <v>1808</v>
      </c>
      <c r="L263">
        <v>1250</v>
      </c>
      <c r="M263">
        <v>1403</v>
      </c>
      <c r="N263">
        <v>1792</v>
      </c>
      <c r="O263">
        <v>475</v>
      </c>
      <c r="P263">
        <v>725</v>
      </c>
      <c r="Q263">
        <v>706</v>
      </c>
      <c r="R263">
        <v>574</v>
      </c>
      <c r="S263">
        <v>515</v>
      </c>
      <c r="T263">
        <v>479</v>
      </c>
      <c r="U263">
        <v>545</v>
      </c>
      <c r="V263">
        <v>665</v>
      </c>
      <c r="W263">
        <v>542</v>
      </c>
      <c r="X263">
        <v>592</v>
      </c>
      <c r="Y263">
        <v>629</v>
      </c>
      <c r="Z263">
        <v>514</v>
      </c>
      <c r="AA263">
        <v>691</v>
      </c>
    </row>
    <row r="264" spans="1:27" hidden="1">
      <c r="A264" s="37" t="s">
        <v>1475</v>
      </c>
      <c r="B264" s="37">
        <v>5506</v>
      </c>
      <c r="C264" s="37">
        <v>6106</v>
      </c>
      <c r="D264" s="37">
        <v>7999</v>
      </c>
      <c r="E264" s="37">
        <v>9107</v>
      </c>
      <c r="F264" s="37">
        <v>5073</v>
      </c>
      <c r="G264" s="37">
        <v>15811</v>
      </c>
      <c r="H264" s="37">
        <v>7910</v>
      </c>
      <c r="I264" s="37">
        <v>2182</v>
      </c>
      <c r="J264" s="37">
        <v>3315</v>
      </c>
      <c r="K264">
        <v>1580</v>
      </c>
      <c r="L264">
        <v>2878</v>
      </c>
      <c r="M264">
        <v>2193</v>
      </c>
      <c r="N264">
        <v>2554</v>
      </c>
      <c r="O264">
        <v>727</v>
      </c>
      <c r="P264">
        <v>843</v>
      </c>
      <c r="Q264">
        <v>1310</v>
      </c>
      <c r="R264">
        <v>1133</v>
      </c>
      <c r="S264">
        <v>757</v>
      </c>
      <c r="T264">
        <v>1260</v>
      </c>
      <c r="U264">
        <v>1288</v>
      </c>
      <c r="V264">
        <v>490</v>
      </c>
      <c r="W264">
        <v>585</v>
      </c>
      <c r="X264">
        <v>482</v>
      </c>
      <c r="Y264">
        <v>841</v>
      </c>
      <c r="Z264">
        <v>586</v>
      </c>
      <c r="AA264">
        <v>644</v>
      </c>
    </row>
    <row r="265" spans="1:27" hidden="1">
      <c r="A265" s="37" t="s">
        <v>1700</v>
      </c>
      <c r="B265" s="37">
        <v>542</v>
      </c>
      <c r="C265" s="37">
        <v>447</v>
      </c>
      <c r="D265" s="37">
        <v>282</v>
      </c>
      <c r="E265" s="37">
        <v>395</v>
      </c>
      <c r="F265" s="37">
        <v>247</v>
      </c>
      <c r="G265" s="37">
        <v>312</v>
      </c>
      <c r="H265" s="37">
        <v>1053</v>
      </c>
      <c r="I265" s="37">
        <v>318</v>
      </c>
      <c r="J265" s="37">
        <v>1010</v>
      </c>
      <c r="K265">
        <v>638</v>
      </c>
      <c r="L265">
        <v>457</v>
      </c>
      <c r="M265">
        <v>589</v>
      </c>
      <c r="N265">
        <v>743</v>
      </c>
      <c r="O265">
        <v>108</v>
      </c>
      <c r="P265">
        <v>72</v>
      </c>
      <c r="Q265">
        <v>63</v>
      </c>
      <c r="R265">
        <v>93</v>
      </c>
      <c r="S265">
        <v>105</v>
      </c>
      <c r="T265">
        <v>110</v>
      </c>
      <c r="U265">
        <v>297</v>
      </c>
      <c r="V265">
        <v>95</v>
      </c>
      <c r="W265">
        <v>286</v>
      </c>
      <c r="X265">
        <v>249</v>
      </c>
      <c r="Y265">
        <v>198</v>
      </c>
      <c r="Z265">
        <v>187</v>
      </c>
      <c r="AA265">
        <v>192</v>
      </c>
    </row>
    <row r="266" spans="1:27" hidden="1">
      <c r="A266" s="37" t="s">
        <v>1244</v>
      </c>
      <c r="B266" s="37">
        <v>10487</v>
      </c>
      <c r="C266" s="37">
        <v>11096</v>
      </c>
      <c r="D266" s="37">
        <v>9969</v>
      </c>
      <c r="E266" s="37">
        <v>12032</v>
      </c>
      <c r="F266" s="37">
        <v>10029</v>
      </c>
      <c r="G266" s="37">
        <v>8746</v>
      </c>
      <c r="H266" s="37">
        <v>7125</v>
      </c>
      <c r="I266" s="37">
        <v>8281</v>
      </c>
      <c r="J266" s="37">
        <v>9734</v>
      </c>
      <c r="K266">
        <v>11720</v>
      </c>
      <c r="L266">
        <v>30329</v>
      </c>
      <c r="M266">
        <v>42565</v>
      </c>
      <c r="N266">
        <v>39302</v>
      </c>
      <c r="O266">
        <v>3029</v>
      </c>
      <c r="P266">
        <v>3583</v>
      </c>
      <c r="Q266">
        <v>3552</v>
      </c>
      <c r="R266">
        <v>4330</v>
      </c>
      <c r="S266">
        <v>3995</v>
      </c>
      <c r="T266">
        <v>3583</v>
      </c>
      <c r="U266">
        <v>2959</v>
      </c>
      <c r="V266">
        <v>3506</v>
      </c>
      <c r="W266">
        <v>4063</v>
      </c>
      <c r="X266">
        <v>5002</v>
      </c>
      <c r="Y266">
        <v>11601</v>
      </c>
      <c r="Z266">
        <v>12250</v>
      </c>
      <c r="AA266">
        <v>11315</v>
      </c>
    </row>
    <row r="267" spans="1:27" hidden="1">
      <c r="A267" s="37" t="s">
        <v>673</v>
      </c>
      <c r="B267" s="37">
        <v>386</v>
      </c>
      <c r="C267" s="37">
        <v>647</v>
      </c>
      <c r="D267" s="37">
        <v>473</v>
      </c>
      <c r="E267" s="37">
        <v>454</v>
      </c>
      <c r="F267" s="37">
        <v>433</v>
      </c>
      <c r="G267" s="37">
        <v>448</v>
      </c>
      <c r="H267" s="37">
        <v>460</v>
      </c>
      <c r="I267" s="37">
        <v>491</v>
      </c>
      <c r="J267" s="37">
        <v>487</v>
      </c>
      <c r="K267">
        <v>490</v>
      </c>
      <c r="L267">
        <v>470</v>
      </c>
      <c r="M267">
        <v>506</v>
      </c>
      <c r="N267">
        <v>617</v>
      </c>
      <c r="O267">
        <v>98</v>
      </c>
      <c r="P267">
        <v>200</v>
      </c>
      <c r="Q267">
        <v>125</v>
      </c>
      <c r="R267">
        <v>143</v>
      </c>
      <c r="S267">
        <v>133</v>
      </c>
      <c r="T267">
        <v>138</v>
      </c>
      <c r="U267">
        <v>154</v>
      </c>
      <c r="V267">
        <v>175</v>
      </c>
      <c r="W267">
        <v>183</v>
      </c>
      <c r="X267">
        <v>177</v>
      </c>
      <c r="Y267">
        <v>176</v>
      </c>
      <c r="Z267">
        <v>179</v>
      </c>
      <c r="AA267">
        <v>221</v>
      </c>
    </row>
    <row r="268" spans="1:27" hidden="1">
      <c r="A268" s="37" t="s">
        <v>1628</v>
      </c>
      <c r="B268" s="37">
        <v>445</v>
      </c>
      <c r="C268" s="37">
        <v>551</v>
      </c>
      <c r="D268" s="37">
        <v>534</v>
      </c>
      <c r="E268" s="37">
        <v>388</v>
      </c>
      <c r="F268" s="37">
        <v>262</v>
      </c>
      <c r="G268" s="37">
        <v>245</v>
      </c>
      <c r="H268" s="37">
        <v>228</v>
      </c>
      <c r="I268" s="37">
        <v>232</v>
      </c>
      <c r="J268" s="37">
        <v>134</v>
      </c>
      <c r="K268">
        <v>38</v>
      </c>
      <c r="L268">
        <v>0</v>
      </c>
      <c r="M268">
        <v>0</v>
      </c>
      <c r="N268">
        <v>0</v>
      </c>
      <c r="O268">
        <v>167</v>
      </c>
      <c r="P268">
        <v>239</v>
      </c>
      <c r="Q268">
        <v>240</v>
      </c>
      <c r="R268">
        <v>162</v>
      </c>
      <c r="S268">
        <v>123</v>
      </c>
      <c r="T268">
        <v>90</v>
      </c>
      <c r="U268">
        <v>96</v>
      </c>
      <c r="V268">
        <v>94</v>
      </c>
      <c r="W268">
        <v>50</v>
      </c>
      <c r="X268">
        <v>1</v>
      </c>
      <c r="Y268">
        <v>0</v>
      </c>
      <c r="Z268">
        <v>0</v>
      </c>
      <c r="AA268">
        <v>0</v>
      </c>
    </row>
    <row r="269" spans="1:27" hidden="1">
      <c r="A269" s="37" t="s">
        <v>1349</v>
      </c>
      <c r="B269" s="37">
        <v>567</v>
      </c>
      <c r="C269" s="37">
        <v>717</v>
      </c>
      <c r="D269" s="37">
        <v>613</v>
      </c>
      <c r="E269" s="37">
        <v>721</v>
      </c>
      <c r="F269" s="37">
        <v>711</v>
      </c>
      <c r="G269" s="37">
        <v>650</v>
      </c>
      <c r="H269" s="37">
        <v>795</v>
      </c>
      <c r="I269" s="37">
        <v>643</v>
      </c>
      <c r="J269" s="37">
        <v>776</v>
      </c>
      <c r="K269">
        <v>669</v>
      </c>
      <c r="L269">
        <v>702</v>
      </c>
      <c r="M269">
        <v>818</v>
      </c>
      <c r="N269">
        <v>929</v>
      </c>
      <c r="O269">
        <v>187</v>
      </c>
      <c r="P269">
        <v>286</v>
      </c>
      <c r="Q269">
        <v>245</v>
      </c>
      <c r="R269">
        <v>256</v>
      </c>
      <c r="S269">
        <v>289</v>
      </c>
      <c r="T269">
        <v>230</v>
      </c>
      <c r="U269">
        <v>309</v>
      </c>
      <c r="V269">
        <v>259</v>
      </c>
      <c r="W269">
        <v>277</v>
      </c>
      <c r="X269">
        <v>253</v>
      </c>
      <c r="Y269">
        <v>308</v>
      </c>
      <c r="Z269">
        <v>308</v>
      </c>
      <c r="AA269">
        <v>363</v>
      </c>
    </row>
    <row r="270" spans="1:27" hidden="1">
      <c r="A270" s="37" t="s">
        <v>1458</v>
      </c>
      <c r="B270" s="37">
        <v>776</v>
      </c>
      <c r="C270" s="37">
        <v>961</v>
      </c>
      <c r="D270" s="37">
        <v>1120</v>
      </c>
      <c r="E270" s="37">
        <v>2090</v>
      </c>
      <c r="F270" s="37">
        <v>1559</v>
      </c>
      <c r="G270" s="37">
        <v>1571</v>
      </c>
      <c r="H270" s="37">
        <v>1068</v>
      </c>
      <c r="I270" s="37">
        <v>1080</v>
      </c>
      <c r="J270" s="37">
        <v>1634</v>
      </c>
      <c r="K270">
        <v>1132</v>
      </c>
      <c r="L270">
        <v>1161</v>
      </c>
      <c r="M270">
        <v>1433</v>
      </c>
      <c r="N270">
        <v>1830</v>
      </c>
      <c r="O270">
        <v>92</v>
      </c>
      <c r="P270">
        <v>111</v>
      </c>
      <c r="Q270">
        <v>161</v>
      </c>
      <c r="R270">
        <v>411</v>
      </c>
      <c r="S270">
        <v>274</v>
      </c>
      <c r="T270">
        <v>287</v>
      </c>
      <c r="U270">
        <v>179</v>
      </c>
      <c r="V270">
        <v>187</v>
      </c>
      <c r="W270">
        <v>343</v>
      </c>
      <c r="X270">
        <v>234</v>
      </c>
      <c r="Y270">
        <v>290</v>
      </c>
      <c r="Z270">
        <v>251</v>
      </c>
      <c r="AA270">
        <v>364</v>
      </c>
    </row>
    <row r="271" spans="1:27" hidden="1">
      <c r="A271" s="37" t="s">
        <v>1376</v>
      </c>
      <c r="B271" s="37">
        <v>1071</v>
      </c>
      <c r="C271" s="37">
        <v>848</v>
      </c>
      <c r="D271" s="37">
        <v>759</v>
      </c>
      <c r="E271" s="37">
        <v>3829</v>
      </c>
      <c r="F271" s="37">
        <v>15</v>
      </c>
      <c r="G271" s="37">
        <v>466</v>
      </c>
      <c r="H271" s="37">
        <v>114</v>
      </c>
      <c r="I271" s="37">
        <v>1150</v>
      </c>
      <c r="J271" s="37">
        <v>613</v>
      </c>
      <c r="K271">
        <v>593</v>
      </c>
      <c r="L271">
        <v>432</v>
      </c>
      <c r="M271">
        <v>388</v>
      </c>
      <c r="N271">
        <v>425</v>
      </c>
      <c r="O271">
        <v>271</v>
      </c>
      <c r="P271">
        <v>233</v>
      </c>
      <c r="Q271">
        <v>206</v>
      </c>
      <c r="R271">
        <v>936</v>
      </c>
      <c r="S271">
        <v>5</v>
      </c>
      <c r="T271">
        <v>34</v>
      </c>
      <c r="U271">
        <v>22</v>
      </c>
      <c r="V271">
        <v>320</v>
      </c>
      <c r="W271">
        <v>135</v>
      </c>
      <c r="X271">
        <v>166</v>
      </c>
      <c r="Y271">
        <v>123</v>
      </c>
      <c r="Z271">
        <v>91</v>
      </c>
      <c r="AA271">
        <v>132</v>
      </c>
    </row>
    <row r="272" spans="1:27" hidden="1">
      <c r="A272" s="37" t="s">
        <v>1701</v>
      </c>
      <c r="B272" s="37">
        <v>0</v>
      </c>
      <c r="C272" s="37">
        <v>0</v>
      </c>
      <c r="D272" s="37">
        <v>0</v>
      </c>
      <c r="E272" s="37">
        <v>7</v>
      </c>
      <c r="F272" s="37">
        <v>127</v>
      </c>
      <c r="G272" s="37">
        <v>250</v>
      </c>
      <c r="H272" s="37">
        <v>317</v>
      </c>
      <c r="I272" s="37">
        <v>232</v>
      </c>
      <c r="J272" s="37">
        <v>152</v>
      </c>
      <c r="K272">
        <v>247</v>
      </c>
      <c r="L272">
        <v>175</v>
      </c>
      <c r="M272">
        <v>191</v>
      </c>
      <c r="N272">
        <v>365</v>
      </c>
      <c r="O272">
        <v>0</v>
      </c>
      <c r="P272">
        <v>0</v>
      </c>
      <c r="Q272">
        <v>0</v>
      </c>
      <c r="R272">
        <v>0</v>
      </c>
      <c r="S272">
        <v>22</v>
      </c>
      <c r="T272">
        <v>60</v>
      </c>
      <c r="U272">
        <v>93</v>
      </c>
      <c r="V272">
        <v>62</v>
      </c>
      <c r="W272">
        <v>43</v>
      </c>
      <c r="X272">
        <v>86</v>
      </c>
      <c r="Y272">
        <v>81</v>
      </c>
      <c r="Z272">
        <v>36</v>
      </c>
      <c r="AA272">
        <v>127</v>
      </c>
    </row>
    <row r="273" spans="1:27" hidden="1">
      <c r="A273" s="37" t="s">
        <v>1702</v>
      </c>
      <c r="B273" s="37">
        <v>0</v>
      </c>
      <c r="C273" s="37">
        <v>0</v>
      </c>
      <c r="D273" s="37">
        <v>0</v>
      </c>
      <c r="E273" s="37">
        <v>7</v>
      </c>
      <c r="F273" s="37">
        <v>78</v>
      </c>
      <c r="G273" s="37">
        <v>758</v>
      </c>
      <c r="H273" s="37">
        <v>617</v>
      </c>
      <c r="I273" s="37">
        <v>591</v>
      </c>
      <c r="J273" s="37">
        <v>618</v>
      </c>
      <c r="K273">
        <v>457</v>
      </c>
      <c r="L273">
        <v>472</v>
      </c>
      <c r="M273">
        <v>582</v>
      </c>
      <c r="N273">
        <v>713</v>
      </c>
      <c r="O273">
        <v>0</v>
      </c>
      <c r="P273">
        <v>0</v>
      </c>
      <c r="Q273">
        <v>0</v>
      </c>
      <c r="R273">
        <v>0</v>
      </c>
      <c r="S273">
        <v>12</v>
      </c>
      <c r="T273">
        <v>212</v>
      </c>
      <c r="U273">
        <v>201</v>
      </c>
      <c r="V273">
        <v>156</v>
      </c>
      <c r="W273">
        <v>142</v>
      </c>
      <c r="X273">
        <v>107</v>
      </c>
      <c r="Y273">
        <v>138</v>
      </c>
      <c r="Z273">
        <v>142</v>
      </c>
      <c r="AA273">
        <v>168</v>
      </c>
    </row>
    <row r="274" spans="1:27" hidden="1">
      <c r="A274" s="37" t="s">
        <v>1465</v>
      </c>
      <c r="B274" s="37">
        <v>1376</v>
      </c>
      <c r="C274" s="37">
        <v>1490</v>
      </c>
      <c r="D274" s="37">
        <v>1633</v>
      </c>
      <c r="E274" s="37">
        <v>2115</v>
      </c>
      <c r="F274" s="37">
        <v>2313</v>
      </c>
      <c r="G274" s="37">
        <v>2024</v>
      </c>
      <c r="H274" s="37">
        <v>1534</v>
      </c>
      <c r="I274" s="37">
        <v>1289</v>
      </c>
      <c r="J274" s="37">
        <v>1235</v>
      </c>
      <c r="K274">
        <v>1100</v>
      </c>
      <c r="L274">
        <v>1751</v>
      </c>
      <c r="M274">
        <v>685</v>
      </c>
      <c r="N274">
        <v>888</v>
      </c>
      <c r="O274">
        <v>243</v>
      </c>
      <c r="P274">
        <v>277</v>
      </c>
      <c r="Q274">
        <v>364</v>
      </c>
      <c r="R274">
        <v>383</v>
      </c>
      <c r="S274">
        <v>437</v>
      </c>
      <c r="T274">
        <v>426</v>
      </c>
      <c r="U274">
        <v>336</v>
      </c>
      <c r="V274">
        <v>332</v>
      </c>
      <c r="W274">
        <v>330</v>
      </c>
      <c r="X274">
        <v>280</v>
      </c>
      <c r="Y274">
        <v>566</v>
      </c>
      <c r="Z274">
        <v>211</v>
      </c>
      <c r="AA274">
        <v>259</v>
      </c>
    </row>
    <row r="275" spans="1:27" hidden="1">
      <c r="A275" s="37" t="s">
        <v>1273</v>
      </c>
      <c r="B275" s="37">
        <v>1494</v>
      </c>
      <c r="C275" s="37">
        <v>1532</v>
      </c>
      <c r="D275" s="37">
        <v>901</v>
      </c>
      <c r="E275" s="37">
        <v>903</v>
      </c>
      <c r="F275" s="37">
        <v>880</v>
      </c>
      <c r="G275" s="37">
        <v>537</v>
      </c>
      <c r="H275" s="37">
        <v>563</v>
      </c>
      <c r="I275" s="37">
        <v>485</v>
      </c>
      <c r="J275" s="37">
        <v>612</v>
      </c>
      <c r="K275">
        <v>528</v>
      </c>
      <c r="L275">
        <v>502</v>
      </c>
      <c r="M275">
        <v>617</v>
      </c>
      <c r="N275">
        <v>792</v>
      </c>
      <c r="O275">
        <v>428</v>
      </c>
      <c r="P275">
        <v>493</v>
      </c>
      <c r="Q275">
        <v>270</v>
      </c>
      <c r="R275">
        <v>309</v>
      </c>
      <c r="S275">
        <v>350</v>
      </c>
      <c r="T275">
        <v>214</v>
      </c>
      <c r="U275">
        <v>226</v>
      </c>
      <c r="V275">
        <v>200</v>
      </c>
      <c r="W275">
        <v>293</v>
      </c>
      <c r="X275">
        <v>258</v>
      </c>
      <c r="Y275">
        <v>246</v>
      </c>
      <c r="Z275">
        <v>272</v>
      </c>
      <c r="AA275">
        <v>350</v>
      </c>
    </row>
    <row r="276" spans="1:27" hidden="1">
      <c r="A276" s="37" t="s">
        <v>1266</v>
      </c>
      <c r="B276" s="37">
        <v>1023</v>
      </c>
      <c r="C276" s="37">
        <v>1283</v>
      </c>
      <c r="D276" s="37">
        <v>920</v>
      </c>
      <c r="E276" s="37">
        <v>1123</v>
      </c>
      <c r="F276" s="37">
        <v>615</v>
      </c>
      <c r="G276" s="37">
        <v>941</v>
      </c>
      <c r="H276" s="37">
        <v>626</v>
      </c>
      <c r="I276" s="37">
        <v>624</v>
      </c>
      <c r="J276" s="37">
        <v>627</v>
      </c>
      <c r="K276">
        <v>597</v>
      </c>
      <c r="L276">
        <v>666</v>
      </c>
      <c r="M276">
        <v>600</v>
      </c>
      <c r="N276">
        <v>663</v>
      </c>
      <c r="O276">
        <v>190</v>
      </c>
      <c r="P276">
        <v>241</v>
      </c>
      <c r="Q276">
        <v>161</v>
      </c>
      <c r="R276">
        <v>153</v>
      </c>
      <c r="S276">
        <v>143</v>
      </c>
      <c r="T276">
        <v>158</v>
      </c>
      <c r="U276">
        <v>126</v>
      </c>
      <c r="V276">
        <v>122</v>
      </c>
      <c r="W276">
        <v>129</v>
      </c>
      <c r="X276">
        <v>118</v>
      </c>
      <c r="Y276">
        <v>139</v>
      </c>
      <c r="Z276">
        <v>101</v>
      </c>
      <c r="AA276">
        <v>144</v>
      </c>
    </row>
    <row r="277" spans="1:27" hidden="1">
      <c r="A277" s="37" t="s">
        <v>1703</v>
      </c>
      <c r="B277" s="37">
        <v>377</v>
      </c>
      <c r="C277" s="37">
        <v>285</v>
      </c>
      <c r="D277" s="37">
        <v>264</v>
      </c>
      <c r="E277" s="37">
        <v>244</v>
      </c>
      <c r="F277" s="37">
        <v>128</v>
      </c>
      <c r="G277" s="37">
        <v>161</v>
      </c>
      <c r="H277" s="37">
        <v>152</v>
      </c>
      <c r="I277" s="37">
        <v>126</v>
      </c>
      <c r="J277" s="37">
        <v>96</v>
      </c>
      <c r="K277">
        <v>64</v>
      </c>
      <c r="L277">
        <v>65</v>
      </c>
      <c r="M277">
        <v>50</v>
      </c>
      <c r="N277">
        <v>0</v>
      </c>
      <c r="O277">
        <v>125</v>
      </c>
      <c r="P277">
        <v>93</v>
      </c>
      <c r="Q277">
        <v>57</v>
      </c>
      <c r="R277">
        <v>87</v>
      </c>
      <c r="S277">
        <v>53</v>
      </c>
      <c r="T277">
        <v>79</v>
      </c>
      <c r="U277">
        <v>81</v>
      </c>
      <c r="V277">
        <v>52</v>
      </c>
      <c r="W277">
        <v>43</v>
      </c>
      <c r="X277">
        <v>47</v>
      </c>
      <c r="Y277">
        <v>42</v>
      </c>
      <c r="Z277">
        <v>35</v>
      </c>
      <c r="AA277">
        <v>1</v>
      </c>
    </row>
    <row r="278" spans="1:27" hidden="1">
      <c r="A278" s="37" t="s">
        <v>1364</v>
      </c>
      <c r="B278" s="37">
        <v>3171</v>
      </c>
      <c r="C278" s="37">
        <v>4127</v>
      </c>
      <c r="D278" s="37">
        <v>3524</v>
      </c>
      <c r="E278" s="37">
        <v>3184</v>
      </c>
      <c r="F278" s="37">
        <v>2090</v>
      </c>
      <c r="G278" s="37">
        <v>2207</v>
      </c>
      <c r="H278" s="37">
        <v>2204</v>
      </c>
      <c r="I278" s="37">
        <v>1840</v>
      </c>
      <c r="J278" s="37">
        <v>1856</v>
      </c>
      <c r="K278">
        <v>1880</v>
      </c>
      <c r="L278">
        <v>3264</v>
      </c>
      <c r="M278">
        <v>2614</v>
      </c>
      <c r="N278">
        <v>2341</v>
      </c>
      <c r="O278">
        <v>775</v>
      </c>
      <c r="P278">
        <v>1056</v>
      </c>
      <c r="Q278">
        <v>897</v>
      </c>
      <c r="R278">
        <v>783</v>
      </c>
      <c r="S278">
        <v>599</v>
      </c>
      <c r="T278">
        <v>600</v>
      </c>
      <c r="U278">
        <v>729</v>
      </c>
      <c r="V278">
        <v>561</v>
      </c>
      <c r="W278">
        <v>559</v>
      </c>
      <c r="X278">
        <v>555</v>
      </c>
      <c r="Y278">
        <v>1211</v>
      </c>
      <c r="Z278">
        <v>658</v>
      </c>
      <c r="AA278">
        <v>759</v>
      </c>
    </row>
    <row r="279" spans="1:27" hidden="1">
      <c r="A279" s="37" t="s">
        <v>1490</v>
      </c>
      <c r="B279" s="37">
        <v>2072</v>
      </c>
      <c r="C279" s="37">
        <v>1791</v>
      </c>
      <c r="D279" s="37">
        <v>1421</v>
      </c>
      <c r="E279" s="37">
        <v>1912</v>
      </c>
      <c r="F279" s="37">
        <v>1584</v>
      </c>
      <c r="G279" s="37">
        <v>1583</v>
      </c>
      <c r="H279" s="37">
        <v>1623</v>
      </c>
      <c r="I279" s="37">
        <v>1306</v>
      </c>
      <c r="J279" s="37">
        <v>1042</v>
      </c>
      <c r="K279">
        <v>1000</v>
      </c>
      <c r="L279">
        <v>906</v>
      </c>
      <c r="M279">
        <v>757</v>
      </c>
      <c r="N279">
        <v>1149</v>
      </c>
      <c r="O279">
        <v>501</v>
      </c>
      <c r="P279">
        <v>408</v>
      </c>
      <c r="Q279">
        <v>309</v>
      </c>
      <c r="R279">
        <v>435</v>
      </c>
      <c r="S279">
        <v>394</v>
      </c>
      <c r="T279">
        <v>364</v>
      </c>
      <c r="U279">
        <v>388</v>
      </c>
      <c r="V279">
        <v>313</v>
      </c>
      <c r="W279">
        <v>326</v>
      </c>
      <c r="X279">
        <v>312</v>
      </c>
      <c r="Y279">
        <v>267</v>
      </c>
      <c r="Z279">
        <v>241</v>
      </c>
      <c r="AA279">
        <v>343</v>
      </c>
    </row>
    <row r="280" spans="1:27" hidden="1">
      <c r="A280" s="37" t="s">
        <v>1704</v>
      </c>
      <c r="B280" s="37">
        <v>187</v>
      </c>
      <c r="C280" s="37">
        <v>195</v>
      </c>
      <c r="D280" s="37">
        <v>162</v>
      </c>
      <c r="E280" s="37">
        <v>91</v>
      </c>
      <c r="F280" s="37">
        <v>296</v>
      </c>
      <c r="G280" s="37">
        <v>376</v>
      </c>
      <c r="H280" s="37">
        <v>287</v>
      </c>
      <c r="I280" s="37">
        <v>274</v>
      </c>
      <c r="J280" s="37">
        <v>175</v>
      </c>
      <c r="K280">
        <v>139</v>
      </c>
      <c r="L280">
        <v>142</v>
      </c>
      <c r="M280">
        <v>137</v>
      </c>
      <c r="N280">
        <v>269</v>
      </c>
      <c r="O280">
        <v>0</v>
      </c>
      <c r="P280">
        <v>0</v>
      </c>
      <c r="Q280">
        <v>0</v>
      </c>
      <c r="R280">
        <v>0</v>
      </c>
      <c r="S280">
        <v>0</v>
      </c>
      <c r="T280">
        <v>0</v>
      </c>
      <c r="U280">
        <v>0</v>
      </c>
      <c r="V280">
        <v>0</v>
      </c>
      <c r="W280">
        <v>0</v>
      </c>
      <c r="X280">
        <v>0</v>
      </c>
      <c r="Y280">
        <v>0</v>
      </c>
      <c r="Z280">
        <v>0</v>
      </c>
      <c r="AA280">
        <v>0</v>
      </c>
    </row>
    <row r="281" spans="1:27" hidden="1">
      <c r="A281" s="37" t="s">
        <v>107</v>
      </c>
      <c r="B281" s="37">
        <v>3502</v>
      </c>
      <c r="C281" s="37">
        <v>2908</v>
      </c>
      <c r="D281" s="37">
        <v>1916</v>
      </c>
      <c r="E281" s="37">
        <v>1345</v>
      </c>
      <c r="F281" s="37">
        <v>1184</v>
      </c>
      <c r="G281" s="37">
        <v>1013</v>
      </c>
      <c r="H281" s="37">
        <v>922</v>
      </c>
      <c r="I281" s="37">
        <v>1373</v>
      </c>
      <c r="J281" s="37">
        <v>1427</v>
      </c>
      <c r="K281">
        <v>1183</v>
      </c>
      <c r="L281">
        <v>1324</v>
      </c>
      <c r="M281">
        <v>1120</v>
      </c>
      <c r="N281">
        <v>1691</v>
      </c>
      <c r="O281">
        <v>330</v>
      </c>
      <c r="P281">
        <v>403</v>
      </c>
      <c r="Q281">
        <v>286</v>
      </c>
      <c r="R281">
        <v>220</v>
      </c>
      <c r="S281">
        <v>206</v>
      </c>
      <c r="T281">
        <v>193</v>
      </c>
      <c r="U281">
        <v>199</v>
      </c>
      <c r="V281">
        <v>214</v>
      </c>
      <c r="W281">
        <v>277</v>
      </c>
      <c r="X281">
        <v>234</v>
      </c>
      <c r="Y281">
        <v>337</v>
      </c>
      <c r="Z281">
        <v>308</v>
      </c>
      <c r="AA281">
        <v>381</v>
      </c>
    </row>
    <row r="282" spans="1:27" hidden="1">
      <c r="A282" s="37" t="s">
        <v>493</v>
      </c>
      <c r="B282" s="37">
        <v>955</v>
      </c>
      <c r="C282" s="37">
        <v>925</v>
      </c>
      <c r="D282" s="37">
        <v>790</v>
      </c>
      <c r="E282" s="37">
        <v>789</v>
      </c>
      <c r="F282" s="37">
        <v>679</v>
      </c>
      <c r="G282" s="37">
        <v>900</v>
      </c>
      <c r="H282" s="37">
        <v>740</v>
      </c>
      <c r="I282" s="37">
        <v>672</v>
      </c>
      <c r="J282" s="37">
        <v>780</v>
      </c>
      <c r="K282">
        <v>868</v>
      </c>
      <c r="L282">
        <v>883</v>
      </c>
      <c r="M282">
        <v>905</v>
      </c>
      <c r="N282">
        <v>885</v>
      </c>
      <c r="O282">
        <v>428</v>
      </c>
      <c r="P282">
        <v>501</v>
      </c>
      <c r="Q282">
        <v>327</v>
      </c>
      <c r="R282">
        <v>324</v>
      </c>
      <c r="S282">
        <v>255</v>
      </c>
      <c r="T282">
        <v>316</v>
      </c>
      <c r="U282">
        <v>247</v>
      </c>
      <c r="V282">
        <v>234</v>
      </c>
      <c r="W282">
        <v>319</v>
      </c>
      <c r="X282">
        <v>309</v>
      </c>
      <c r="Y282">
        <v>377</v>
      </c>
      <c r="Z282">
        <v>333</v>
      </c>
      <c r="AA282">
        <v>372</v>
      </c>
    </row>
    <row r="283" spans="1:27" hidden="1">
      <c r="A283" s="37" t="s">
        <v>397</v>
      </c>
      <c r="B283" s="37">
        <v>926</v>
      </c>
      <c r="C283" s="37">
        <v>1037</v>
      </c>
      <c r="D283" s="37">
        <v>1105</v>
      </c>
      <c r="E283" s="37">
        <v>1299</v>
      </c>
      <c r="F283" s="37">
        <v>1069</v>
      </c>
      <c r="G283" s="37">
        <v>1267</v>
      </c>
      <c r="H283" s="37">
        <v>832</v>
      </c>
      <c r="I283" s="37">
        <v>1225</v>
      </c>
      <c r="J283" s="37">
        <v>1476</v>
      </c>
      <c r="K283">
        <v>801</v>
      </c>
      <c r="L283">
        <v>718</v>
      </c>
      <c r="M283">
        <v>1449</v>
      </c>
      <c r="N283">
        <v>1032</v>
      </c>
      <c r="O283">
        <v>235</v>
      </c>
      <c r="P283">
        <v>264</v>
      </c>
      <c r="Q283">
        <v>276</v>
      </c>
      <c r="R283">
        <v>414</v>
      </c>
      <c r="S283">
        <v>316</v>
      </c>
      <c r="T283">
        <v>427</v>
      </c>
      <c r="U283">
        <v>223</v>
      </c>
      <c r="V283">
        <v>266</v>
      </c>
      <c r="W283">
        <v>493</v>
      </c>
      <c r="X283">
        <v>242</v>
      </c>
      <c r="Y283">
        <v>203</v>
      </c>
      <c r="Z283">
        <v>474</v>
      </c>
      <c r="AA283">
        <v>172</v>
      </c>
    </row>
    <row r="284" spans="1:27" hidden="1">
      <c r="A284" s="37" t="s">
        <v>141</v>
      </c>
      <c r="B284" s="37">
        <v>3641</v>
      </c>
      <c r="C284" s="37">
        <v>2735</v>
      </c>
      <c r="D284" s="37">
        <v>3567</v>
      </c>
      <c r="E284" s="37">
        <v>2779</v>
      </c>
      <c r="F284" s="37">
        <v>2881</v>
      </c>
      <c r="G284" s="37">
        <v>2559</v>
      </c>
      <c r="H284" s="37">
        <v>2501</v>
      </c>
      <c r="I284" s="37">
        <v>2075</v>
      </c>
      <c r="J284" s="37">
        <v>1324</v>
      </c>
      <c r="K284">
        <v>1125</v>
      </c>
      <c r="L284">
        <v>1114</v>
      </c>
      <c r="M284">
        <v>1612</v>
      </c>
      <c r="N284">
        <v>1475</v>
      </c>
      <c r="O284">
        <v>1120</v>
      </c>
      <c r="P284">
        <v>785</v>
      </c>
      <c r="Q284">
        <v>1087</v>
      </c>
      <c r="R284">
        <v>858</v>
      </c>
      <c r="S284">
        <v>995</v>
      </c>
      <c r="T284">
        <v>586</v>
      </c>
      <c r="U284">
        <v>746</v>
      </c>
      <c r="V284">
        <v>603</v>
      </c>
      <c r="W284">
        <v>408</v>
      </c>
      <c r="X284">
        <v>427</v>
      </c>
      <c r="Y284">
        <v>368</v>
      </c>
      <c r="Z284">
        <v>452</v>
      </c>
      <c r="AA284">
        <v>471</v>
      </c>
    </row>
    <row r="285" spans="1:27" hidden="1">
      <c r="A285" s="37" t="s">
        <v>848</v>
      </c>
      <c r="B285" s="37">
        <v>1513</v>
      </c>
      <c r="C285" s="37">
        <v>1383</v>
      </c>
      <c r="D285" s="37">
        <v>1814</v>
      </c>
      <c r="E285" s="37">
        <v>2238</v>
      </c>
      <c r="F285" s="37">
        <v>1732</v>
      </c>
      <c r="G285" s="37">
        <v>1325</v>
      </c>
      <c r="H285" s="37">
        <v>1186</v>
      </c>
      <c r="I285" s="37">
        <v>5017</v>
      </c>
      <c r="J285" s="37">
        <v>1177</v>
      </c>
      <c r="K285">
        <v>1469</v>
      </c>
      <c r="L285">
        <v>1118</v>
      </c>
      <c r="M285">
        <v>514</v>
      </c>
      <c r="N285">
        <v>1403</v>
      </c>
      <c r="O285">
        <v>437</v>
      </c>
      <c r="P285">
        <v>475</v>
      </c>
      <c r="Q285">
        <v>525</v>
      </c>
      <c r="R285">
        <v>463</v>
      </c>
      <c r="S285">
        <v>393</v>
      </c>
      <c r="T285">
        <v>318</v>
      </c>
      <c r="U285">
        <v>384</v>
      </c>
      <c r="V285">
        <v>588</v>
      </c>
      <c r="W285">
        <v>318</v>
      </c>
      <c r="X285">
        <v>328</v>
      </c>
      <c r="Y285">
        <v>348</v>
      </c>
      <c r="Z285">
        <v>164</v>
      </c>
      <c r="AA285">
        <v>396</v>
      </c>
    </row>
    <row r="286" spans="1:27" hidden="1">
      <c r="A286" s="37" t="s">
        <v>727</v>
      </c>
      <c r="B286" s="37">
        <v>3781</v>
      </c>
      <c r="C286" s="37">
        <v>2038</v>
      </c>
      <c r="D286" s="37">
        <v>5905</v>
      </c>
      <c r="E286" s="37">
        <v>1004</v>
      </c>
      <c r="F286" s="37">
        <v>817</v>
      </c>
      <c r="G286" s="37">
        <v>984</v>
      </c>
      <c r="H286" s="37">
        <v>795</v>
      </c>
      <c r="I286" s="37">
        <v>1122</v>
      </c>
      <c r="J286" s="37">
        <v>1078</v>
      </c>
      <c r="K286">
        <v>1102</v>
      </c>
      <c r="L286">
        <v>976</v>
      </c>
      <c r="M286">
        <v>936</v>
      </c>
      <c r="N286">
        <v>2650</v>
      </c>
      <c r="O286">
        <v>758</v>
      </c>
      <c r="P286">
        <v>491</v>
      </c>
      <c r="Q286">
        <v>602</v>
      </c>
      <c r="R286">
        <v>290</v>
      </c>
      <c r="S286">
        <v>260</v>
      </c>
      <c r="T286">
        <v>266</v>
      </c>
      <c r="U286">
        <v>247</v>
      </c>
      <c r="V286">
        <v>387</v>
      </c>
      <c r="W286">
        <v>393</v>
      </c>
      <c r="X286">
        <v>448</v>
      </c>
      <c r="Y286">
        <v>389</v>
      </c>
      <c r="Z286">
        <v>357</v>
      </c>
      <c r="AA286">
        <v>920</v>
      </c>
    </row>
    <row r="287" spans="1:27" hidden="1">
      <c r="A287" s="37" t="s">
        <v>413</v>
      </c>
      <c r="B287" s="37">
        <v>2591</v>
      </c>
      <c r="C287" s="37">
        <v>5074</v>
      </c>
      <c r="D287" s="37">
        <v>3286</v>
      </c>
      <c r="E287" s="37">
        <v>4622</v>
      </c>
      <c r="F287" s="37">
        <v>4504</v>
      </c>
      <c r="G287" s="37">
        <v>2900</v>
      </c>
      <c r="H287" s="37">
        <v>1937</v>
      </c>
      <c r="I287" s="37">
        <v>2049</v>
      </c>
      <c r="J287" s="37">
        <v>2112</v>
      </c>
      <c r="K287">
        <v>1643</v>
      </c>
      <c r="L287">
        <v>1461</v>
      </c>
      <c r="M287">
        <v>1250</v>
      </c>
      <c r="N287">
        <v>1311</v>
      </c>
      <c r="O287">
        <v>220</v>
      </c>
      <c r="P287">
        <v>445</v>
      </c>
      <c r="Q287">
        <v>353</v>
      </c>
      <c r="R287">
        <v>400</v>
      </c>
      <c r="S287">
        <v>459</v>
      </c>
      <c r="T287">
        <v>341</v>
      </c>
      <c r="U287">
        <v>236</v>
      </c>
      <c r="V287">
        <v>252</v>
      </c>
      <c r="W287">
        <v>328</v>
      </c>
      <c r="X287">
        <v>268</v>
      </c>
      <c r="Y287">
        <v>255</v>
      </c>
      <c r="Z287">
        <v>219</v>
      </c>
      <c r="AA287">
        <v>275</v>
      </c>
    </row>
    <row r="288" spans="1:27" hidden="1">
      <c r="A288" s="37" t="s">
        <v>635</v>
      </c>
      <c r="B288" s="37">
        <v>0</v>
      </c>
      <c r="C288" s="37">
        <v>0</v>
      </c>
      <c r="D288" s="37">
        <v>0</v>
      </c>
      <c r="E288" s="37">
        <v>0</v>
      </c>
      <c r="F288" s="37">
        <v>0</v>
      </c>
      <c r="G288" s="37">
        <v>0</v>
      </c>
      <c r="H288" s="37">
        <v>44</v>
      </c>
      <c r="I288" s="37">
        <v>357</v>
      </c>
      <c r="J288" s="37">
        <v>1127</v>
      </c>
      <c r="K288">
        <v>1177</v>
      </c>
      <c r="L288">
        <v>707</v>
      </c>
      <c r="M288">
        <v>531</v>
      </c>
      <c r="N288">
        <v>704</v>
      </c>
      <c r="O288">
        <v>0</v>
      </c>
      <c r="P288">
        <v>0</v>
      </c>
      <c r="Q288">
        <v>0</v>
      </c>
      <c r="R288">
        <v>0</v>
      </c>
      <c r="S288">
        <v>0</v>
      </c>
      <c r="T288">
        <v>0</v>
      </c>
      <c r="U288">
        <v>1</v>
      </c>
      <c r="V288">
        <v>40</v>
      </c>
      <c r="W288">
        <v>101</v>
      </c>
      <c r="X288">
        <v>130</v>
      </c>
      <c r="Y288">
        <v>104</v>
      </c>
      <c r="Z288">
        <v>63</v>
      </c>
      <c r="AA288">
        <v>101</v>
      </c>
    </row>
    <row r="289" spans="1:27" hidden="1">
      <c r="A289" s="37" t="s">
        <v>1311</v>
      </c>
      <c r="B289" s="37">
        <v>0</v>
      </c>
      <c r="C289" s="37">
        <v>0</v>
      </c>
      <c r="D289" s="37">
        <v>0</v>
      </c>
      <c r="E289" s="37">
        <v>0</v>
      </c>
      <c r="F289" s="37">
        <v>0</v>
      </c>
      <c r="G289" s="37">
        <v>0</v>
      </c>
      <c r="H289" s="37">
        <v>0</v>
      </c>
      <c r="I289" s="37">
        <v>0</v>
      </c>
      <c r="J289" s="37">
        <v>2</v>
      </c>
      <c r="K289">
        <v>203</v>
      </c>
      <c r="L289">
        <v>248</v>
      </c>
      <c r="M289">
        <v>614</v>
      </c>
      <c r="N289">
        <v>482</v>
      </c>
      <c r="O289">
        <v>0</v>
      </c>
      <c r="P289">
        <v>0</v>
      </c>
      <c r="Q289">
        <v>0</v>
      </c>
      <c r="R289">
        <v>0</v>
      </c>
      <c r="S289">
        <v>0</v>
      </c>
      <c r="T289">
        <v>0</v>
      </c>
      <c r="U289">
        <v>0</v>
      </c>
      <c r="V289">
        <v>0</v>
      </c>
      <c r="W289">
        <v>0</v>
      </c>
      <c r="X289">
        <v>89</v>
      </c>
      <c r="Y289">
        <v>52</v>
      </c>
      <c r="Z289">
        <v>106</v>
      </c>
      <c r="AA289">
        <v>93</v>
      </c>
    </row>
    <row r="290" spans="1:27" hidden="1">
      <c r="A290" s="37" t="s">
        <v>1431</v>
      </c>
      <c r="B290" s="37">
        <v>1239</v>
      </c>
      <c r="C290" s="37">
        <v>1186</v>
      </c>
      <c r="D290" s="37">
        <v>1067</v>
      </c>
      <c r="E290" s="37">
        <v>1047</v>
      </c>
      <c r="F290" s="37">
        <v>773</v>
      </c>
      <c r="G290" s="37">
        <v>930</v>
      </c>
      <c r="H290" s="37">
        <v>776</v>
      </c>
      <c r="I290" s="37">
        <v>897</v>
      </c>
      <c r="J290" s="37">
        <v>826</v>
      </c>
      <c r="K290">
        <v>906</v>
      </c>
      <c r="L290">
        <v>815</v>
      </c>
      <c r="M290">
        <v>777</v>
      </c>
      <c r="N290">
        <v>1096</v>
      </c>
      <c r="O290">
        <v>309</v>
      </c>
      <c r="P290">
        <v>299</v>
      </c>
      <c r="Q290">
        <v>309</v>
      </c>
      <c r="R290">
        <v>313</v>
      </c>
      <c r="S290">
        <v>244</v>
      </c>
      <c r="T290">
        <v>286</v>
      </c>
      <c r="U290">
        <v>242</v>
      </c>
      <c r="V290">
        <v>303</v>
      </c>
      <c r="W290">
        <v>260</v>
      </c>
      <c r="X290">
        <v>319</v>
      </c>
      <c r="Y290">
        <v>291</v>
      </c>
      <c r="Z290">
        <v>232</v>
      </c>
      <c r="AA290">
        <v>375</v>
      </c>
    </row>
    <row r="291" spans="1:27" hidden="1">
      <c r="A291" s="37" t="s">
        <v>1388</v>
      </c>
      <c r="B291" s="37">
        <v>797</v>
      </c>
      <c r="C291" s="37">
        <v>765</v>
      </c>
      <c r="D291" s="37">
        <v>729</v>
      </c>
      <c r="E291" s="37">
        <v>1009</v>
      </c>
      <c r="F291" s="37">
        <v>1347</v>
      </c>
      <c r="G291" s="37">
        <v>818</v>
      </c>
      <c r="H291" s="37">
        <v>567</v>
      </c>
      <c r="I291" s="37">
        <v>633</v>
      </c>
      <c r="J291" s="37">
        <v>537</v>
      </c>
      <c r="K291">
        <v>543</v>
      </c>
      <c r="L291">
        <v>791</v>
      </c>
      <c r="M291">
        <v>763</v>
      </c>
      <c r="N291">
        <v>715</v>
      </c>
      <c r="O291">
        <v>194</v>
      </c>
      <c r="P291">
        <v>206</v>
      </c>
      <c r="Q291">
        <v>222</v>
      </c>
      <c r="R291">
        <v>340</v>
      </c>
      <c r="S291">
        <v>351</v>
      </c>
      <c r="T291">
        <v>260</v>
      </c>
      <c r="U291">
        <v>184</v>
      </c>
      <c r="V291">
        <v>184</v>
      </c>
      <c r="W291">
        <v>176</v>
      </c>
      <c r="X291">
        <v>198</v>
      </c>
      <c r="Y291">
        <v>313</v>
      </c>
      <c r="Z291">
        <v>228</v>
      </c>
      <c r="AA291">
        <v>214</v>
      </c>
    </row>
    <row r="292" spans="1:27" hidden="1">
      <c r="A292" s="37" t="s">
        <v>1496</v>
      </c>
      <c r="B292" s="37">
        <v>0</v>
      </c>
      <c r="C292" s="37">
        <v>296</v>
      </c>
      <c r="D292" s="37">
        <v>624</v>
      </c>
      <c r="E292" s="37">
        <v>1056</v>
      </c>
      <c r="F292" s="37">
        <v>1062</v>
      </c>
      <c r="G292" s="37">
        <v>1368</v>
      </c>
      <c r="H292" s="37">
        <v>1293</v>
      </c>
      <c r="I292" s="37">
        <v>2189</v>
      </c>
      <c r="J292" s="37">
        <v>1576</v>
      </c>
      <c r="K292">
        <v>929</v>
      </c>
      <c r="L292">
        <v>987</v>
      </c>
      <c r="M292">
        <v>1004</v>
      </c>
      <c r="N292">
        <v>1588</v>
      </c>
      <c r="O292">
        <v>0</v>
      </c>
      <c r="P292">
        <v>67</v>
      </c>
      <c r="Q292">
        <v>186</v>
      </c>
      <c r="R292">
        <v>331</v>
      </c>
      <c r="S292">
        <v>361</v>
      </c>
      <c r="T292">
        <v>472</v>
      </c>
      <c r="U292">
        <v>525</v>
      </c>
      <c r="V292">
        <v>864</v>
      </c>
      <c r="W292">
        <v>589</v>
      </c>
      <c r="X292">
        <v>329</v>
      </c>
      <c r="Y292">
        <v>413</v>
      </c>
      <c r="Z292">
        <v>349</v>
      </c>
      <c r="AA292">
        <v>486</v>
      </c>
    </row>
    <row r="293" spans="1:27" hidden="1">
      <c r="A293" s="37" t="s">
        <v>1451</v>
      </c>
      <c r="B293" s="37">
        <v>636</v>
      </c>
      <c r="C293" s="37">
        <v>662</v>
      </c>
      <c r="D293" s="37">
        <v>750</v>
      </c>
      <c r="E293" s="37">
        <v>974</v>
      </c>
      <c r="F293" s="37">
        <v>821</v>
      </c>
      <c r="G293" s="37">
        <v>70</v>
      </c>
      <c r="H293" s="37">
        <v>0</v>
      </c>
      <c r="I293" s="37">
        <v>755</v>
      </c>
      <c r="J293" s="37">
        <v>619</v>
      </c>
      <c r="K293">
        <v>607</v>
      </c>
      <c r="L293">
        <v>798</v>
      </c>
      <c r="M293">
        <v>703</v>
      </c>
      <c r="N293">
        <v>959</v>
      </c>
      <c r="O293">
        <v>117</v>
      </c>
      <c r="P293">
        <v>165</v>
      </c>
      <c r="Q293">
        <v>179</v>
      </c>
      <c r="R293">
        <v>278</v>
      </c>
      <c r="S293">
        <v>244</v>
      </c>
      <c r="T293">
        <v>7</v>
      </c>
      <c r="U293">
        <v>0</v>
      </c>
      <c r="V293">
        <v>209</v>
      </c>
      <c r="W293">
        <v>211</v>
      </c>
      <c r="X293">
        <v>165</v>
      </c>
      <c r="Y293">
        <v>267</v>
      </c>
      <c r="Z293">
        <v>243</v>
      </c>
      <c r="AA293">
        <v>299</v>
      </c>
    </row>
    <row r="294" spans="1:27" hidden="1">
      <c r="A294" s="37" t="s">
        <v>1366</v>
      </c>
      <c r="B294" s="37">
        <v>0</v>
      </c>
      <c r="C294" s="37">
        <v>905</v>
      </c>
      <c r="D294" s="37">
        <v>885</v>
      </c>
      <c r="E294" s="37">
        <v>1682</v>
      </c>
      <c r="F294" s="37">
        <v>1578</v>
      </c>
      <c r="G294" s="37">
        <v>1430</v>
      </c>
      <c r="H294" s="37">
        <v>1500</v>
      </c>
      <c r="I294" s="37">
        <v>1252</v>
      </c>
      <c r="J294" s="37">
        <v>2158</v>
      </c>
      <c r="K294">
        <v>2026</v>
      </c>
      <c r="L294">
        <v>1315</v>
      </c>
      <c r="M294">
        <v>1260</v>
      </c>
      <c r="N294">
        <v>1929</v>
      </c>
      <c r="O294">
        <v>0</v>
      </c>
      <c r="P294">
        <v>68</v>
      </c>
      <c r="Q294">
        <v>85</v>
      </c>
      <c r="R294">
        <v>205</v>
      </c>
      <c r="S294">
        <v>186</v>
      </c>
      <c r="T294">
        <v>182</v>
      </c>
      <c r="U294">
        <v>199</v>
      </c>
      <c r="V294">
        <v>209</v>
      </c>
      <c r="W294">
        <v>319</v>
      </c>
      <c r="X294">
        <v>302</v>
      </c>
      <c r="Y294">
        <v>216</v>
      </c>
      <c r="Z294">
        <v>225</v>
      </c>
      <c r="AA294">
        <v>276</v>
      </c>
    </row>
    <row r="295" spans="1:27" hidden="1">
      <c r="A295" s="37" t="s">
        <v>1494</v>
      </c>
      <c r="B295" s="37">
        <v>606</v>
      </c>
      <c r="C295" s="37">
        <v>1263</v>
      </c>
      <c r="D295" s="37">
        <v>721</v>
      </c>
      <c r="E295" s="37">
        <v>712</v>
      </c>
      <c r="F295" s="37">
        <v>903</v>
      </c>
      <c r="G295" s="37">
        <v>1130</v>
      </c>
      <c r="H295" s="37">
        <v>605</v>
      </c>
      <c r="I295" s="37">
        <v>2738</v>
      </c>
      <c r="J295" s="37">
        <v>3257</v>
      </c>
      <c r="K295">
        <v>2814</v>
      </c>
      <c r="L295">
        <v>2547</v>
      </c>
      <c r="M295">
        <v>1338</v>
      </c>
      <c r="N295">
        <v>2102</v>
      </c>
      <c r="O295">
        <v>281</v>
      </c>
      <c r="P295">
        <v>566</v>
      </c>
      <c r="Q295">
        <v>300</v>
      </c>
      <c r="R295">
        <v>350</v>
      </c>
      <c r="S295">
        <v>531</v>
      </c>
      <c r="T295">
        <v>597</v>
      </c>
      <c r="U295">
        <v>306</v>
      </c>
      <c r="V295">
        <v>1424</v>
      </c>
      <c r="W295">
        <v>1871</v>
      </c>
      <c r="X295">
        <v>1570</v>
      </c>
      <c r="Y295">
        <v>1673</v>
      </c>
      <c r="Z295">
        <v>582</v>
      </c>
      <c r="AA295">
        <v>988</v>
      </c>
    </row>
    <row r="296" spans="1:27" hidden="1">
      <c r="A296" s="37" t="s">
        <v>1279</v>
      </c>
      <c r="B296" s="37">
        <v>0</v>
      </c>
      <c r="C296" s="37">
        <v>181</v>
      </c>
      <c r="D296" s="37">
        <v>325</v>
      </c>
      <c r="E296" s="37">
        <v>325</v>
      </c>
      <c r="F296" s="37">
        <v>316</v>
      </c>
      <c r="G296" s="37">
        <v>407</v>
      </c>
      <c r="H296" s="37">
        <v>711</v>
      </c>
      <c r="I296" s="37">
        <v>844</v>
      </c>
      <c r="J296" s="37">
        <v>694</v>
      </c>
      <c r="K296">
        <v>542</v>
      </c>
      <c r="L296">
        <v>594</v>
      </c>
      <c r="M296">
        <v>625</v>
      </c>
      <c r="N296">
        <v>780</v>
      </c>
      <c r="O296">
        <v>0</v>
      </c>
      <c r="P296">
        <v>50</v>
      </c>
      <c r="Q296">
        <v>68</v>
      </c>
      <c r="R296">
        <v>64</v>
      </c>
      <c r="S296">
        <v>69</v>
      </c>
      <c r="T296">
        <v>77</v>
      </c>
      <c r="U296">
        <v>202</v>
      </c>
      <c r="V296">
        <v>221</v>
      </c>
      <c r="W296">
        <v>210</v>
      </c>
      <c r="X296">
        <v>163</v>
      </c>
      <c r="Y296">
        <v>164</v>
      </c>
      <c r="Z296">
        <v>161</v>
      </c>
      <c r="AA296">
        <v>219</v>
      </c>
    </row>
    <row r="297" spans="1:27" hidden="1">
      <c r="A297" s="37" t="s">
        <v>1423</v>
      </c>
      <c r="B297" s="37">
        <v>987</v>
      </c>
      <c r="C297" s="37">
        <v>1274</v>
      </c>
      <c r="D297" s="37">
        <v>947</v>
      </c>
      <c r="E297" s="37">
        <v>936</v>
      </c>
      <c r="F297" s="37">
        <v>1075</v>
      </c>
      <c r="G297" s="37">
        <v>1129</v>
      </c>
      <c r="H297" s="37">
        <v>872</v>
      </c>
      <c r="I297" s="37">
        <v>773</v>
      </c>
      <c r="J297" s="37">
        <v>676</v>
      </c>
      <c r="K297">
        <v>569</v>
      </c>
      <c r="L297">
        <v>520</v>
      </c>
      <c r="M297">
        <v>643</v>
      </c>
      <c r="N297">
        <v>858</v>
      </c>
      <c r="O297">
        <v>133</v>
      </c>
      <c r="P297">
        <v>386</v>
      </c>
      <c r="Q297">
        <v>231</v>
      </c>
      <c r="R297">
        <v>283</v>
      </c>
      <c r="S297">
        <v>333</v>
      </c>
      <c r="T297">
        <v>342</v>
      </c>
      <c r="U297">
        <v>237</v>
      </c>
      <c r="V297">
        <v>186</v>
      </c>
      <c r="W297">
        <v>191</v>
      </c>
      <c r="X297">
        <v>170</v>
      </c>
      <c r="Y297">
        <v>155</v>
      </c>
      <c r="Z297">
        <v>162</v>
      </c>
      <c r="AA297">
        <v>281</v>
      </c>
    </row>
    <row r="298" spans="1:27" hidden="1">
      <c r="A298" s="37" t="s">
        <v>1437</v>
      </c>
      <c r="B298" s="37">
        <v>2112</v>
      </c>
      <c r="C298" s="37">
        <v>2248</v>
      </c>
      <c r="D298" s="37">
        <v>1592</v>
      </c>
      <c r="E298" s="37">
        <v>1693</v>
      </c>
      <c r="F298" s="37">
        <v>1282</v>
      </c>
      <c r="G298" s="37">
        <v>1242</v>
      </c>
      <c r="H298" s="37">
        <v>1323</v>
      </c>
      <c r="I298" s="37">
        <v>1508</v>
      </c>
      <c r="J298" s="37">
        <v>1242</v>
      </c>
      <c r="K298">
        <v>1219</v>
      </c>
      <c r="L298">
        <v>1095</v>
      </c>
      <c r="M298">
        <v>1050</v>
      </c>
      <c r="N298">
        <v>1164</v>
      </c>
      <c r="O298">
        <v>460</v>
      </c>
      <c r="P298">
        <v>470</v>
      </c>
      <c r="Q298">
        <v>363</v>
      </c>
      <c r="R298">
        <v>392</v>
      </c>
      <c r="S298">
        <v>341</v>
      </c>
      <c r="T298">
        <v>356</v>
      </c>
      <c r="U298">
        <v>399</v>
      </c>
      <c r="V298">
        <v>489</v>
      </c>
      <c r="W298">
        <v>399</v>
      </c>
      <c r="X298">
        <v>445</v>
      </c>
      <c r="Y298">
        <v>478</v>
      </c>
      <c r="Z298">
        <v>375</v>
      </c>
      <c r="AA298">
        <v>432</v>
      </c>
    </row>
    <row r="299" spans="1:27" hidden="1">
      <c r="A299" s="37" t="s">
        <v>1307</v>
      </c>
      <c r="B299" s="37">
        <v>182</v>
      </c>
      <c r="C299" s="37">
        <v>217</v>
      </c>
      <c r="D299" s="37">
        <v>215</v>
      </c>
      <c r="E299" s="37">
        <v>257</v>
      </c>
      <c r="F299" s="37">
        <v>519</v>
      </c>
      <c r="G299" s="37">
        <v>624</v>
      </c>
      <c r="H299" s="37">
        <v>229</v>
      </c>
      <c r="I299" s="37">
        <v>642</v>
      </c>
      <c r="J299" s="37">
        <v>738</v>
      </c>
      <c r="K299">
        <v>765</v>
      </c>
      <c r="L299">
        <v>716</v>
      </c>
      <c r="M299">
        <v>624</v>
      </c>
      <c r="N299">
        <v>1158</v>
      </c>
      <c r="O299">
        <v>41</v>
      </c>
      <c r="P299">
        <v>36</v>
      </c>
      <c r="Q299">
        <v>48</v>
      </c>
      <c r="R299">
        <v>61</v>
      </c>
      <c r="S299">
        <v>96</v>
      </c>
      <c r="T299">
        <v>120</v>
      </c>
      <c r="U299">
        <v>20</v>
      </c>
      <c r="V299">
        <v>176</v>
      </c>
      <c r="W299">
        <v>200</v>
      </c>
      <c r="X299">
        <v>200</v>
      </c>
      <c r="Y299">
        <v>177</v>
      </c>
      <c r="Z299">
        <v>154</v>
      </c>
      <c r="AA299">
        <v>294</v>
      </c>
    </row>
    <row r="300" spans="1:27" hidden="1">
      <c r="A300" s="37" t="s">
        <v>918</v>
      </c>
      <c r="B300" s="37">
        <v>0</v>
      </c>
      <c r="C300" s="37">
        <v>0</v>
      </c>
      <c r="D300" s="37">
        <v>0</v>
      </c>
      <c r="E300" s="37">
        <v>0</v>
      </c>
      <c r="F300" s="37">
        <v>0</v>
      </c>
      <c r="G300" s="37">
        <v>0</v>
      </c>
      <c r="H300" s="37">
        <v>0</v>
      </c>
      <c r="I300" s="37">
        <v>0</v>
      </c>
      <c r="J300" s="37">
        <v>41</v>
      </c>
      <c r="K300">
        <v>448</v>
      </c>
      <c r="L300">
        <v>475</v>
      </c>
      <c r="M300">
        <v>503</v>
      </c>
      <c r="N300">
        <v>596</v>
      </c>
      <c r="O300">
        <v>0</v>
      </c>
      <c r="P300">
        <v>0</v>
      </c>
      <c r="Q300">
        <v>0</v>
      </c>
      <c r="R300">
        <v>0</v>
      </c>
      <c r="S300">
        <v>0</v>
      </c>
      <c r="T300">
        <v>0</v>
      </c>
      <c r="U300">
        <v>0</v>
      </c>
      <c r="V300">
        <v>0</v>
      </c>
      <c r="W300">
        <v>12</v>
      </c>
      <c r="X300">
        <v>152</v>
      </c>
      <c r="Y300">
        <v>148</v>
      </c>
      <c r="Z300">
        <v>180</v>
      </c>
      <c r="AA300">
        <v>205</v>
      </c>
    </row>
    <row r="301" spans="1:27" hidden="1">
      <c r="A301" s="37" t="s">
        <v>1117</v>
      </c>
      <c r="B301" s="37">
        <v>0</v>
      </c>
      <c r="C301" s="37">
        <v>0</v>
      </c>
      <c r="D301" s="37">
        <v>0</v>
      </c>
      <c r="E301" s="37">
        <v>0</v>
      </c>
      <c r="F301" s="37">
        <v>0</v>
      </c>
      <c r="G301" s="37">
        <v>0</v>
      </c>
      <c r="H301" s="37">
        <v>0</v>
      </c>
      <c r="I301" s="37">
        <v>0</v>
      </c>
      <c r="J301" s="37">
        <v>0</v>
      </c>
      <c r="K301">
        <v>136</v>
      </c>
      <c r="L301">
        <v>240</v>
      </c>
      <c r="M301">
        <v>635</v>
      </c>
      <c r="N301">
        <v>979</v>
      </c>
      <c r="O301">
        <v>0</v>
      </c>
      <c r="P301">
        <v>0</v>
      </c>
      <c r="Q301">
        <v>0</v>
      </c>
      <c r="R301">
        <v>0</v>
      </c>
      <c r="S301">
        <v>0</v>
      </c>
      <c r="T301">
        <v>0</v>
      </c>
      <c r="U301">
        <v>0</v>
      </c>
      <c r="V301">
        <v>0</v>
      </c>
      <c r="W301">
        <v>0</v>
      </c>
      <c r="X301">
        <v>39</v>
      </c>
      <c r="Y301">
        <v>90</v>
      </c>
      <c r="Z301">
        <v>230</v>
      </c>
      <c r="AA301">
        <v>343</v>
      </c>
    </row>
    <row r="302" spans="1:27" hidden="1">
      <c r="A302" s="37" t="s">
        <v>1240</v>
      </c>
      <c r="B302" s="37">
        <v>2315</v>
      </c>
      <c r="C302" s="37">
        <v>2405</v>
      </c>
      <c r="D302" s="37">
        <v>2006</v>
      </c>
      <c r="E302" s="37">
        <v>1413</v>
      </c>
      <c r="F302" s="37">
        <v>1434</v>
      </c>
      <c r="G302" s="37">
        <v>1782</v>
      </c>
      <c r="H302" s="37">
        <v>1669</v>
      </c>
      <c r="I302" s="37">
        <v>2225</v>
      </c>
      <c r="J302" s="37">
        <v>2178</v>
      </c>
      <c r="K302">
        <v>1792</v>
      </c>
      <c r="L302">
        <v>3055</v>
      </c>
      <c r="M302">
        <v>7021</v>
      </c>
      <c r="N302">
        <v>1815</v>
      </c>
      <c r="O302">
        <v>369</v>
      </c>
      <c r="P302">
        <v>408</v>
      </c>
      <c r="Q302">
        <v>333</v>
      </c>
      <c r="R302">
        <v>300</v>
      </c>
      <c r="S302">
        <v>346</v>
      </c>
      <c r="T302">
        <v>334</v>
      </c>
      <c r="U302">
        <v>315</v>
      </c>
      <c r="V302">
        <v>465</v>
      </c>
      <c r="W302">
        <v>464</v>
      </c>
      <c r="X302">
        <v>430</v>
      </c>
      <c r="Y302">
        <v>468</v>
      </c>
      <c r="Z302">
        <v>881</v>
      </c>
      <c r="AA302">
        <v>524</v>
      </c>
    </row>
    <row r="303" spans="1:27" hidden="1">
      <c r="A303" s="37" t="s">
        <v>1052</v>
      </c>
      <c r="B303" s="37">
        <v>980</v>
      </c>
      <c r="C303" s="37">
        <v>895</v>
      </c>
      <c r="D303" s="37">
        <v>759</v>
      </c>
      <c r="E303" s="37">
        <v>550</v>
      </c>
      <c r="F303" s="37">
        <v>545</v>
      </c>
      <c r="G303" s="37">
        <v>532</v>
      </c>
      <c r="H303" s="37">
        <v>726</v>
      </c>
      <c r="I303" s="37">
        <v>642</v>
      </c>
      <c r="J303" s="37">
        <v>519</v>
      </c>
      <c r="K303">
        <v>591</v>
      </c>
      <c r="L303">
        <v>534</v>
      </c>
      <c r="M303">
        <v>481</v>
      </c>
      <c r="N303">
        <v>402</v>
      </c>
      <c r="O303">
        <v>343</v>
      </c>
      <c r="P303">
        <v>337</v>
      </c>
      <c r="Q303">
        <v>292</v>
      </c>
      <c r="R303">
        <v>226</v>
      </c>
      <c r="S303">
        <v>256</v>
      </c>
      <c r="T303">
        <v>219</v>
      </c>
      <c r="U303">
        <v>267</v>
      </c>
      <c r="V303">
        <v>243</v>
      </c>
      <c r="W303">
        <v>268</v>
      </c>
      <c r="X303">
        <v>262</v>
      </c>
      <c r="Y303">
        <v>260</v>
      </c>
      <c r="Z303">
        <v>240</v>
      </c>
      <c r="AA303">
        <v>254</v>
      </c>
    </row>
    <row r="304" spans="1:27" hidden="1">
      <c r="A304" s="37" t="s">
        <v>1109</v>
      </c>
      <c r="B304" s="37">
        <v>1043</v>
      </c>
      <c r="C304" s="37">
        <v>1155</v>
      </c>
      <c r="D304" s="37">
        <v>1282</v>
      </c>
      <c r="E304" s="37">
        <v>1441</v>
      </c>
      <c r="F304" s="37">
        <v>883</v>
      </c>
      <c r="G304" s="37">
        <v>944</v>
      </c>
      <c r="H304" s="37">
        <v>800</v>
      </c>
      <c r="I304" s="37">
        <v>923</v>
      </c>
      <c r="J304" s="37">
        <v>911</v>
      </c>
      <c r="K304">
        <v>774</v>
      </c>
      <c r="L304">
        <v>661</v>
      </c>
      <c r="M304">
        <v>693</v>
      </c>
      <c r="N304">
        <v>802</v>
      </c>
      <c r="O304">
        <v>429</v>
      </c>
      <c r="P304">
        <v>537</v>
      </c>
      <c r="Q304">
        <v>680</v>
      </c>
      <c r="R304">
        <v>696</v>
      </c>
      <c r="S304">
        <v>411</v>
      </c>
      <c r="T304">
        <v>472</v>
      </c>
      <c r="U304">
        <v>403</v>
      </c>
      <c r="V304">
        <v>478</v>
      </c>
      <c r="W304">
        <v>475</v>
      </c>
      <c r="X304">
        <v>436</v>
      </c>
      <c r="Y304">
        <v>444</v>
      </c>
      <c r="Z304">
        <v>430</v>
      </c>
      <c r="AA304">
        <v>442</v>
      </c>
    </row>
    <row r="305" spans="1:27" hidden="1">
      <c r="A305" s="37" t="s">
        <v>1223</v>
      </c>
      <c r="B305" s="37">
        <v>565</v>
      </c>
      <c r="C305" s="37">
        <v>576</v>
      </c>
      <c r="D305" s="37">
        <v>298</v>
      </c>
      <c r="E305" s="37">
        <v>435</v>
      </c>
      <c r="F305" s="37">
        <v>442</v>
      </c>
      <c r="G305" s="37">
        <v>682</v>
      </c>
      <c r="H305" s="37">
        <v>1040</v>
      </c>
      <c r="I305" s="37">
        <v>1030</v>
      </c>
      <c r="J305" s="37">
        <v>1446</v>
      </c>
      <c r="K305">
        <v>1242</v>
      </c>
      <c r="L305">
        <v>1003</v>
      </c>
      <c r="M305">
        <v>1040</v>
      </c>
      <c r="N305">
        <v>994</v>
      </c>
      <c r="O305">
        <v>85</v>
      </c>
      <c r="P305">
        <v>86</v>
      </c>
      <c r="Q305">
        <v>110</v>
      </c>
      <c r="R305">
        <v>72</v>
      </c>
      <c r="S305">
        <v>88</v>
      </c>
      <c r="T305">
        <v>185</v>
      </c>
      <c r="U305">
        <v>518</v>
      </c>
      <c r="V305">
        <v>428</v>
      </c>
      <c r="W305">
        <v>1173</v>
      </c>
      <c r="X305">
        <v>533</v>
      </c>
      <c r="Y305">
        <v>453</v>
      </c>
      <c r="Z305">
        <v>484</v>
      </c>
      <c r="AA305">
        <v>327</v>
      </c>
    </row>
    <row r="306" spans="1:27" hidden="1">
      <c r="A306" s="37" t="s">
        <v>970</v>
      </c>
      <c r="B306" s="37">
        <v>1662</v>
      </c>
      <c r="C306" s="37">
        <v>809</v>
      </c>
      <c r="D306" s="37">
        <v>1176</v>
      </c>
      <c r="E306" s="37">
        <v>2081</v>
      </c>
      <c r="F306" s="37">
        <v>901</v>
      </c>
      <c r="G306" s="37">
        <v>640</v>
      </c>
      <c r="H306" s="37">
        <v>90</v>
      </c>
      <c r="I306" s="37">
        <v>938</v>
      </c>
      <c r="J306" s="37">
        <v>924</v>
      </c>
      <c r="K306">
        <v>1119</v>
      </c>
      <c r="L306">
        <v>933</v>
      </c>
      <c r="M306">
        <v>1499</v>
      </c>
      <c r="N306">
        <v>2918</v>
      </c>
      <c r="O306">
        <v>362</v>
      </c>
      <c r="P306">
        <v>213</v>
      </c>
      <c r="Q306">
        <v>349</v>
      </c>
      <c r="R306">
        <v>481</v>
      </c>
      <c r="S306">
        <v>252</v>
      </c>
      <c r="T306">
        <v>23</v>
      </c>
      <c r="U306">
        <v>31</v>
      </c>
      <c r="V306">
        <v>153</v>
      </c>
      <c r="W306">
        <v>221</v>
      </c>
      <c r="X306">
        <v>275</v>
      </c>
      <c r="Y306">
        <v>275</v>
      </c>
      <c r="Z306">
        <v>387</v>
      </c>
      <c r="AA306">
        <v>788</v>
      </c>
    </row>
    <row r="307" spans="1:27" hidden="1">
      <c r="A307" s="37" t="s">
        <v>1636</v>
      </c>
      <c r="B307" s="37">
        <v>859</v>
      </c>
      <c r="C307" s="37">
        <v>860</v>
      </c>
      <c r="D307" s="37">
        <v>1049</v>
      </c>
      <c r="E307" s="37">
        <v>459</v>
      </c>
      <c r="F307" s="37">
        <v>532</v>
      </c>
      <c r="G307" s="37">
        <v>1242</v>
      </c>
      <c r="H307" s="37">
        <v>1354</v>
      </c>
      <c r="I307" s="37">
        <v>1758</v>
      </c>
      <c r="J307" s="37">
        <v>1661</v>
      </c>
      <c r="K307">
        <v>1251</v>
      </c>
      <c r="L307">
        <v>3236</v>
      </c>
      <c r="M307">
        <v>2309</v>
      </c>
      <c r="N307">
        <v>0</v>
      </c>
      <c r="O307">
        <v>150</v>
      </c>
      <c r="P307">
        <v>99</v>
      </c>
      <c r="Q307">
        <v>75</v>
      </c>
      <c r="R307">
        <v>83</v>
      </c>
      <c r="S307">
        <v>85</v>
      </c>
      <c r="T307">
        <v>125</v>
      </c>
      <c r="U307">
        <v>163</v>
      </c>
      <c r="V307">
        <v>142</v>
      </c>
      <c r="W307">
        <v>159</v>
      </c>
      <c r="X307">
        <v>117</v>
      </c>
      <c r="Y307">
        <v>144</v>
      </c>
      <c r="Z307">
        <v>94</v>
      </c>
      <c r="AA307">
        <v>1</v>
      </c>
    </row>
    <row r="308" spans="1:27" hidden="1">
      <c r="A308" s="37" t="s">
        <v>1583</v>
      </c>
      <c r="B308" s="37">
        <v>537</v>
      </c>
      <c r="C308" s="37">
        <v>546</v>
      </c>
      <c r="D308" s="37">
        <v>627</v>
      </c>
      <c r="E308" s="37">
        <v>794</v>
      </c>
      <c r="F308" s="37">
        <v>558</v>
      </c>
      <c r="G308" s="37">
        <v>390</v>
      </c>
      <c r="H308" s="37">
        <v>351</v>
      </c>
      <c r="I308" s="37">
        <v>339</v>
      </c>
      <c r="J308" s="37">
        <v>251</v>
      </c>
      <c r="K308">
        <v>0</v>
      </c>
      <c r="L308">
        <v>0</v>
      </c>
      <c r="M308">
        <v>0</v>
      </c>
      <c r="N308">
        <v>0</v>
      </c>
      <c r="O308">
        <v>145</v>
      </c>
      <c r="P308">
        <v>168</v>
      </c>
      <c r="Q308">
        <v>292</v>
      </c>
      <c r="R308">
        <v>397</v>
      </c>
      <c r="S308">
        <v>264</v>
      </c>
      <c r="T308">
        <v>166</v>
      </c>
      <c r="U308">
        <v>121</v>
      </c>
      <c r="V308">
        <v>130</v>
      </c>
      <c r="W308">
        <v>79</v>
      </c>
      <c r="X308">
        <v>2</v>
      </c>
      <c r="Y308">
        <v>1</v>
      </c>
      <c r="Z308">
        <v>0</v>
      </c>
      <c r="AA308">
        <v>0</v>
      </c>
    </row>
    <row r="309" spans="1:27" hidden="1">
      <c r="A309" s="37" t="s">
        <v>806</v>
      </c>
      <c r="B309" s="37">
        <v>4641</v>
      </c>
      <c r="C309" s="37">
        <v>5402</v>
      </c>
      <c r="D309" s="37">
        <v>12968</v>
      </c>
      <c r="E309" s="37">
        <v>405</v>
      </c>
      <c r="F309" s="37">
        <v>4626</v>
      </c>
      <c r="G309" s="37">
        <v>14443</v>
      </c>
      <c r="H309" s="37">
        <v>9978</v>
      </c>
      <c r="I309" s="37">
        <v>9294</v>
      </c>
      <c r="J309" s="37">
        <v>5417</v>
      </c>
      <c r="K309">
        <v>5073</v>
      </c>
      <c r="L309">
        <v>6636</v>
      </c>
      <c r="M309">
        <v>4535</v>
      </c>
      <c r="N309">
        <v>5225</v>
      </c>
      <c r="O309">
        <v>619</v>
      </c>
      <c r="P309">
        <v>1055</v>
      </c>
      <c r="Q309">
        <v>1769</v>
      </c>
      <c r="R309">
        <v>12</v>
      </c>
      <c r="S309">
        <v>121</v>
      </c>
      <c r="T309">
        <v>1764</v>
      </c>
      <c r="U309">
        <v>1191</v>
      </c>
      <c r="V309">
        <v>1266</v>
      </c>
      <c r="W309">
        <v>888</v>
      </c>
      <c r="X309">
        <v>1066</v>
      </c>
      <c r="Y309">
        <v>2541</v>
      </c>
      <c r="Z309">
        <v>873</v>
      </c>
      <c r="AA309">
        <v>1385</v>
      </c>
    </row>
    <row r="310" spans="1:27" hidden="1">
      <c r="A310" s="37" t="s">
        <v>763</v>
      </c>
      <c r="B310" s="37">
        <v>142</v>
      </c>
      <c r="C310" s="37">
        <v>784</v>
      </c>
      <c r="D310" s="37">
        <v>1453</v>
      </c>
      <c r="E310" s="37">
        <v>1497</v>
      </c>
      <c r="F310" s="37">
        <v>688</v>
      </c>
      <c r="G310" s="37">
        <v>965</v>
      </c>
      <c r="H310" s="37">
        <v>693</v>
      </c>
      <c r="I310" s="37">
        <v>706</v>
      </c>
      <c r="J310" s="37">
        <v>773</v>
      </c>
      <c r="K310">
        <v>1271</v>
      </c>
      <c r="L310">
        <v>1069</v>
      </c>
      <c r="M310">
        <v>1473</v>
      </c>
      <c r="N310">
        <v>1424</v>
      </c>
      <c r="O310">
        <v>32</v>
      </c>
      <c r="P310">
        <v>131</v>
      </c>
      <c r="Q310">
        <v>282</v>
      </c>
      <c r="R310">
        <v>205</v>
      </c>
      <c r="S310">
        <v>113</v>
      </c>
      <c r="T310">
        <v>148</v>
      </c>
      <c r="U310">
        <v>191</v>
      </c>
      <c r="V310">
        <v>175</v>
      </c>
      <c r="W310">
        <v>199</v>
      </c>
      <c r="X310">
        <v>312</v>
      </c>
      <c r="Y310">
        <v>235</v>
      </c>
      <c r="Z310">
        <v>275</v>
      </c>
      <c r="AA310">
        <v>256</v>
      </c>
    </row>
    <row r="311" spans="1:27" hidden="1">
      <c r="A311" s="37" t="s">
        <v>862</v>
      </c>
      <c r="B311" s="37">
        <v>3132</v>
      </c>
      <c r="C311" s="37">
        <v>2039</v>
      </c>
      <c r="D311" s="37">
        <v>3023</v>
      </c>
      <c r="E311" s="37">
        <v>3663</v>
      </c>
      <c r="F311" s="37">
        <v>3838</v>
      </c>
      <c r="G311" s="37">
        <v>4391</v>
      </c>
      <c r="H311" s="37">
        <v>4888</v>
      </c>
      <c r="I311" s="37">
        <v>4759</v>
      </c>
      <c r="J311" s="37">
        <v>5919</v>
      </c>
      <c r="K311">
        <v>4639</v>
      </c>
      <c r="L311">
        <v>3308</v>
      </c>
      <c r="M311">
        <v>3961</v>
      </c>
      <c r="N311">
        <v>6017</v>
      </c>
      <c r="O311">
        <v>425</v>
      </c>
      <c r="P311">
        <v>333</v>
      </c>
      <c r="Q311">
        <v>526</v>
      </c>
      <c r="R311">
        <v>681</v>
      </c>
      <c r="S311">
        <v>646</v>
      </c>
      <c r="T311">
        <v>691</v>
      </c>
      <c r="U311">
        <v>762</v>
      </c>
      <c r="V311">
        <v>809</v>
      </c>
      <c r="W311">
        <v>1054</v>
      </c>
      <c r="X311">
        <v>763</v>
      </c>
      <c r="Y311">
        <v>564</v>
      </c>
      <c r="Z311">
        <v>741</v>
      </c>
      <c r="AA311">
        <v>973</v>
      </c>
    </row>
    <row r="312" spans="1:27" hidden="1">
      <c r="A312" s="37" t="s">
        <v>185</v>
      </c>
      <c r="B312" s="37">
        <v>1659</v>
      </c>
      <c r="C312" s="37">
        <v>1434</v>
      </c>
      <c r="D312" s="37">
        <v>1562</v>
      </c>
      <c r="E312" s="37">
        <v>1244</v>
      </c>
      <c r="F312" s="37">
        <v>1149</v>
      </c>
      <c r="G312" s="37">
        <v>1155</v>
      </c>
      <c r="H312" s="37">
        <v>1334</v>
      </c>
      <c r="I312" s="37">
        <v>1368</v>
      </c>
      <c r="J312" s="37">
        <v>1380</v>
      </c>
      <c r="K312">
        <v>1302</v>
      </c>
      <c r="L312">
        <v>1097</v>
      </c>
      <c r="M312">
        <v>906</v>
      </c>
      <c r="N312">
        <v>1231</v>
      </c>
      <c r="O312">
        <v>380</v>
      </c>
      <c r="P312">
        <v>400</v>
      </c>
      <c r="Q312">
        <v>358</v>
      </c>
      <c r="R312">
        <v>310</v>
      </c>
      <c r="S312">
        <v>299</v>
      </c>
      <c r="T312">
        <v>286</v>
      </c>
      <c r="U312">
        <v>340</v>
      </c>
      <c r="V312">
        <v>328</v>
      </c>
      <c r="W312">
        <v>392</v>
      </c>
      <c r="X312">
        <v>308</v>
      </c>
      <c r="Y312">
        <v>290</v>
      </c>
      <c r="Z312">
        <v>241</v>
      </c>
      <c r="AA312">
        <v>380</v>
      </c>
    </row>
    <row r="313" spans="1:27" hidden="1">
      <c r="A313" s="37" t="s">
        <v>814</v>
      </c>
      <c r="B313" s="37">
        <v>876</v>
      </c>
      <c r="C313" s="37">
        <v>860</v>
      </c>
      <c r="D313" s="37">
        <v>1105</v>
      </c>
      <c r="E313" s="37">
        <v>1072</v>
      </c>
      <c r="F313" s="37">
        <v>983</v>
      </c>
      <c r="G313" s="37">
        <v>1089</v>
      </c>
      <c r="H313" s="37">
        <v>848</v>
      </c>
      <c r="I313" s="37">
        <v>1287</v>
      </c>
      <c r="J313" s="37">
        <v>1780</v>
      </c>
      <c r="K313">
        <v>1008</v>
      </c>
      <c r="L313">
        <v>1408</v>
      </c>
      <c r="M313">
        <v>1192</v>
      </c>
      <c r="N313">
        <v>1706</v>
      </c>
      <c r="O313">
        <v>210</v>
      </c>
      <c r="P313">
        <v>176</v>
      </c>
      <c r="Q313">
        <v>258</v>
      </c>
      <c r="R313">
        <v>247</v>
      </c>
      <c r="S313">
        <v>282</v>
      </c>
      <c r="T313">
        <v>243</v>
      </c>
      <c r="U313">
        <v>213</v>
      </c>
      <c r="V313">
        <v>350</v>
      </c>
      <c r="W313">
        <v>436</v>
      </c>
      <c r="X313">
        <v>269</v>
      </c>
      <c r="Y313">
        <v>381</v>
      </c>
      <c r="Z313">
        <v>305</v>
      </c>
      <c r="AA313">
        <v>427</v>
      </c>
    </row>
    <row r="314" spans="1:27" hidden="1">
      <c r="A314" s="37" t="s">
        <v>1092</v>
      </c>
      <c r="B314" s="37">
        <v>997</v>
      </c>
      <c r="C314" s="37">
        <v>1850</v>
      </c>
      <c r="D314" s="37">
        <v>1025</v>
      </c>
      <c r="E314" s="37">
        <v>799</v>
      </c>
      <c r="F314" s="37">
        <v>710</v>
      </c>
      <c r="G314" s="37">
        <v>691</v>
      </c>
      <c r="H314" s="37">
        <v>660</v>
      </c>
      <c r="I314" s="37">
        <v>770</v>
      </c>
      <c r="J314" s="37">
        <v>542</v>
      </c>
      <c r="K314">
        <v>515</v>
      </c>
      <c r="L314">
        <v>376</v>
      </c>
      <c r="M314">
        <v>461</v>
      </c>
      <c r="N314">
        <v>1002</v>
      </c>
      <c r="O314">
        <v>253</v>
      </c>
      <c r="P314">
        <v>311</v>
      </c>
      <c r="Q314">
        <v>250</v>
      </c>
      <c r="R314">
        <v>247</v>
      </c>
      <c r="S314">
        <v>204</v>
      </c>
      <c r="T314">
        <v>184</v>
      </c>
      <c r="U314">
        <v>193</v>
      </c>
      <c r="V314">
        <v>250</v>
      </c>
      <c r="W314">
        <v>171</v>
      </c>
      <c r="X314">
        <v>191</v>
      </c>
      <c r="Y314">
        <v>184</v>
      </c>
      <c r="Z314">
        <v>141</v>
      </c>
      <c r="AA314">
        <v>318</v>
      </c>
    </row>
    <row r="315" spans="1:27" hidden="1">
      <c r="A315" s="37" t="s">
        <v>1221</v>
      </c>
      <c r="B315" s="37">
        <v>2355</v>
      </c>
      <c r="C315" s="37">
        <v>1934</v>
      </c>
      <c r="D315" s="37">
        <v>2039</v>
      </c>
      <c r="E315" s="37">
        <v>1536</v>
      </c>
      <c r="F315" s="37">
        <v>1410</v>
      </c>
      <c r="G315" s="37">
        <v>1279</v>
      </c>
      <c r="H315" s="37">
        <v>1075</v>
      </c>
      <c r="I315" s="37">
        <v>1303</v>
      </c>
      <c r="J315" s="37">
        <v>1283</v>
      </c>
      <c r="K315">
        <v>1276</v>
      </c>
      <c r="L315">
        <v>1115</v>
      </c>
      <c r="M315">
        <v>1307</v>
      </c>
      <c r="N315">
        <v>1304</v>
      </c>
      <c r="O315">
        <v>642</v>
      </c>
      <c r="P315">
        <v>523</v>
      </c>
      <c r="Q315">
        <v>569</v>
      </c>
      <c r="R315">
        <v>458</v>
      </c>
      <c r="S315">
        <v>462</v>
      </c>
      <c r="T315">
        <v>439</v>
      </c>
      <c r="U315">
        <v>375</v>
      </c>
      <c r="V315">
        <v>419</v>
      </c>
      <c r="W315">
        <v>466</v>
      </c>
      <c r="X315">
        <v>460</v>
      </c>
      <c r="Y315">
        <v>408</v>
      </c>
      <c r="Z315">
        <v>433</v>
      </c>
      <c r="AA315">
        <v>454</v>
      </c>
    </row>
    <row r="316" spans="1:27" hidden="1">
      <c r="A316" s="37" t="s">
        <v>1100</v>
      </c>
      <c r="B316" s="37">
        <v>2621</v>
      </c>
      <c r="C316" s="37">
        <v>2019</v>
      </c>
      <c r="D316" s="37">
        <v>2673</v>
      </c>
      <c r="E316" s="37">
        <v>2544</v>
      </c>
      <c r="F316" s="37">
        <v>1653</v>
      </c>
      <c r="G316" s="37">
        <v>1577</v>
      </c>
      <c r="H316" s="37">
        <v>1246</v>
      </c>
      <c r="I316" s="37">
        <v>1403</v>
      </c>
      <c r="J316" s="37">
        <v>1508</v>
      </c>
      <c r="K316">
        <v>1929</v>
      </c>
      <c r="L316">
        <v>1198</v>
      </c>
      <c r="M316">
        <v>1480</v>
      </c>
      <c r="N316">
        <v>1555</v>
      </c>
      <c r="O316">
        <v>582</v>
      </c>
      <c r="P316">
        <v>542</v>
      </c>
      <c r="Q316">
        <v>818</v>
      </c>
      <c r="R316">
        <v>863</v>
      </c>
      <c r="S316">
        <v>501</v>
      </c>
      <c r="T316">
        <v>507</v>
      </c>
      <c r="U316">
        <v>405</v>
      </c>
      <c r="V316">
        <v>455</v>
      </c>
      <c r="W316">
        <v>466</v>
      </c>
      <c r="X316">
        <v>574</v>
      </c>
      <c r="Y316">
        <v>439</v>
      </c>
      <c r="Z316">
        <v>368</v>
      </c>
      <c r="AA316">
        <v>405</v>
      </c>
    </row>
    <row r="317" spans="1:27" hidden="1">
      <c r="A317" s="37" t="s">
        <v>962</v>
      </c>
      <c r="B317" s="37">
        <v>0</v>
      </c>
      <c r="C317" s="37">
        <v>0</v>
      </c>
      <c r="D317" s="37">
        <v>11</v>
      </c>
      <c r="E317" s="37">
        <v>1977</v>
      </c>
      <c r="F317" s="37">
        <v>2804</v>
      </c>
      <c r="G317" s="37">
        <v>1930</v>
      </c>
      <c r="H317" s="37">
        <v>863</v>
      </c>
      <c r="I317" s="37">
        <v>540</v>
      </c>
      <c r="J317" s="37">
        <v>582</v>
      </c>
      <c r="K317">
        <v>495</v>
      </c>
      <c r="L317">
        <v>580</v>
      </c>
      <c r="M317">
        <v>742</v>
      </c>
      <c r="N317">
        <v>940</v>
      </c>
      <c r="O317">
        <v>0</v>
      </c>
      <c r="P317">
        <v>0</v>
      </c>
      <c r="Q317">
        <v>0</v>
      </c>
      <c r="R317">
        <v>532</v>
      </c>
      <c r="S317">
        <v>956</v>
      </c>
      <c r="T317">
        <v>628</v>
      </c>
      <c r="U317">
        <v>252</v>
      </c>
      <c r="V317">
        <v>196</v>
      </c>
      <c r="W317">
        <v>219</v>
      </c>
      <c r="X317">
        <v>208</v>
      </c>
      <c r="Y317">
        <v>236</v>
      </c>
      <c r="Z317">
        <v>308</v>
      </c>
      <c r="AA317">
        <v>392</v>
      </c>
    </row>
    <row r="318" spans="1:27" hidden="1">
      <c r="A318" s="37" t="s">
        <v>1621</v>
      </c>
      <c r="B318" s="37">
        <v>0</v>
      </c>
      <c r="C318" s="37">
        <v>1336</v>
      </c>
      <c r="D318" s="37">
        <v>1505</v>
      </c>
      <c r="E318" s="37">
        <v>392</v>
      </c>
      <c r="F318" s="37">
        <v>847</v>
      </c>
      <c r="G318" s="37">
        <v>516</v>
      </c>
      <c r="H318" s="37">
        <v>980</v>
      </c>
      <c r="I318" s="37">
        <v>968</v>
      </c>
      <c r="J318" s="37">
        <v>923</v>
      </c>
      <c r="K318">
        <v>858</v>
      </c>
      <c r="L318">
        <v>1181</v>
      </c>
      <c r="M318">
        <v>769</v>
      </c>
      <c r="N318">
        <v>1132</v>
      </c>
      <c r="O318">
        <v>0</v>
      </c>
      <c r="P318">
        <v>127</v>
      </c>
      <c r="Q318">
        <v>197</v>
      </c>
      <c r="R318">
        <v>70</v>
      </c>
      <c r="S318">
        <v>188</v>
      </c>
      <c r="T318">
        <v>143</v>
      </c>
      <c r="U318">
        <v>173</v>
      </c>
      <c r="V318">
        <v>189</v>
      </c>
      <c r="W318">
        <v>189</v>
      </c>
      <c r="X318">
        <v>183</v>
      </c>
      <c r="Y318">
        <v>251</v>
      </c>
      <c r="Z318">
        <v>174</v>
      </c>
      <c r="AA318">
        <v>187</v>
      </c>
    </row>
    <row r="319" spans="1:27" hidden="1">
      <c r="A319" s="37" t="s">
        <v>840</v>
      </c>
      <c r="B319" s="37">
        <v>1136</v>
      </c>
      <c r="C319" s="37">
        <v>1864</v>
      </c>
      <c r="D319" s="37">
        <v>4153</v>
      </c>
      <c r="E319" s="37">
        <v>4283</v>
      </c>
      <c r="F319" s="37">
        <v>4912</v>
      </c>
      <c r="G319" s="37">
        <v>2632</v>
      </c>
      <c r="H319" s="37">
        <v>1166</v>
      </c>
      <c r="I319" s="37">
        <v>4260</v>
      </c>
      <c r="J319" s="37">
        <v>2100</v>
      </c>
      <c r="K319">
        <v>1433</v>
      </c>
      <c r="L319">
        <v>1296</v>
      </c>
      <c r="M319">
        <v>1769</v>
      </c>
      <c r="N319">
        <v>2403</v>
      </c>
      <c r="O319">
        <v>198</v>
      </c>
      <c r="P319">
        <v>290</v>
      </c>
      <c r="Q319">
        <v>457</v>
      </c>
      <c r="R319">
        <v>729</v>
      </c>
      <c r="S319">
        <v>860</v>
      </c>
      <c r="T319">
        <v>498</v>
      </c>
      <c r="U319">
        <v>233</v>
      </c>
      <c r="V319">
        <v>635</v>
      </c>
      <c r="W319">
        <v>460</v>
      </c>
      <c r="X319">
        <v>334</v>
      </c>
      <c r="Y319">
        <v>263</v>
      </c>
      <c r="Z319">
        <v>287</v>
      </c>
      <c r="AA319">
        <v>450</v>
      </c>
    </row>
    <row r="320" spans="1:27" hidden="1">
      <c r="A320" s="37" t="s">
        <v>233</v>
      </c>
      <c r="B320" s="37">
        <v>0</v>
      </c>
      <c r="C320" s="37">
        <v>0</v>
      </c>
      <c r="D320" s="37">
        <v>0</v>
      </c>
      <c r="E320" s="37">
        <v>164</v>
      </c>
      <c r="F320" s="37">
        <v>53</v>
      </c>
      <c r="G320" s="37">
        <v>371</v>
      </c>
      <c r="H320" s="37">
        <v>517</v>
      </c>
      <c r="I320" s="37">
        <v>388</v>
      </c>
      <c r="J320" s="37">
        <v>404</v>
      </c>
      <c r="K320">
        <v>419</v>
      </c>
      <c r="L320">
        <v>367</v>
      </c>
      <c r="M320">
        <v>313</v>
      </c>
      <c r="N320">
        <v>340</v>
      </c>
      <c r="O320">
        <v>0</v>
      </c>
      <c r="P320">
        <v>0</v>
      </c>
      <c r="Q320">
        <v>0</v>
      </c>
      <c r="R320">
        <v>43</v>
      </c>
      <c r="S320">
        <v>2</v>
      </c>
      <c r="T320">
        <v>125</v>
      </c>
      <c r="U320">
        <v>225</v>
      </c>
      <c r="V320">
        <v>142</v>
      </c>
      <c r="W320">
        <v>120</v>
      </c>
      <c r="X320">
        <v>170</v>
      </c>
      <c r="Y320">
        <v>132</v>
      </c>
      <c r="Z320">
        <v>82</v>
      </c>
      <c r="AA320">
        <v>112</v>
      </c>
    </row>
    <row r="321" spans="1:27" hidden="1">
      <c r="A321" s="37" t="s">
        <v>229</v>
      </c>
      <c r="B321" s="37">
        <v>0</v>
      </c>
      <c r="C321" s="37">
        <v>0</v>
      </c>
      <c r="D321" s="37">
        <v>0</v>
      </c>
      <c r="E321" s="37">
        <v>0</v>
      </c>
      <c r="F321" s="37">
        <v>0</v>
      </c>
      <c r="G321" s="37">
        <v>0</v>
      </c>
      <c r="H321" s="37">
        <v>1040</v>
      </c>
      <c r="I321" s="37">
        <v>0</v>
      </c>
      <c r="J321" s="37">
        <v>756</v>
      </c>
      <c r="K321">
        <v>1171</v>
      </c>
      <c r="L321">
        <v>1110</v>
      </c>
      <c r="M321">
        <v>1275</v>
      </c>
      <c r="N321">
        <v>0</v>
      </c>
      <c r="O321">
        <v>0</v>
      </c>
      <c r="P321">
        <v>0</v>
      </c>
      <c r="Q321">
        <v>0</v>
      </c>
      <c r="R321">
        <v>0</v>
      </c>
      <c r="S321">
        <v>0</v>
      </c>
      <c r="T321">
        <v>0</v>
      </c>
      <c r="U321">
        <v>374</v>
      </c>
      <c r="V321">
        <v>0</v>
      </c>
      <c r="W321">
        <v>222</v>
      </c>
      <c r="X321">
        <v>287</v>
      </c>
      <c r="Y321">
        <v>167</v>
      </c>
      <c r="Z321">
        <v>150</v>
      </c>
      <c r="AA321">
        <v>0</v>
      </c>
    </row>
    <row r="322" spans="1:27" hidden="1">
      <c r="A322" s="37" t="s">
        <v>445</v>
      </c>
      <c r="B322" s="37">
        <v>0</v>
      </c>
      <c r="C322" s="37">
        <v>435</v>
      </c>
      <c r="D322" s="37">
        <v>405</v>
      </c>
      <c r="E322" s="37">
        <v>972</v>
      </c>
      <c r="F322" s="37">
        <v>925</v>
      </c>
      <c r="G322" s="37">
        <v>761</v>
      </c>
      <c r="H322" s="37">
        <v>830</v>
      </c>
      <c r="I322" s="37">
        <v>1199</v>
      </c>
      <c r="J322" s="37">
        <v>957</v>
      </c>
      <c r="K322">
        <v>1040</v>
      </c>
      <c r="L322">
        <v>737</v>
      </c>
      <c r="M322">
        <v>877</v>
      </c>
      <c r="N322">
        <v>1126</v>
      </c>
      <c r="O322">
        <v>0</v>
      </c>
      <c r="P322">
        <v>11</v>
      </c>
      <c r="Q322">
        <v>43</v>
      </c>
      <c r="R322">
        <v>159</v>
      </c>
      <c r="S322">
        <v>187</v>
      </c>
      <c r="T322">
        <v>173</v>
      </c>
      <c r="U322">
        <v>239</v>
      </c>
      <c r="V322">
        <v>306</v>
      </c>
      <c r="W322">
        <v>240</v>
      </c>
      <c r="X322">
        <v>228</v>
      </c>
      <c r="Y322">
        <v>165</v>
      </c>
      <c r="Z322">
        <v>229</v>
      </c>
      <c r="AA322">
        <v>261</v>
      </c>
    </row>
    <row r="323" spans="1:27" hidden="1">
      <c r="A323" s="37" t="s">
        <v>539</v>
      </c>
      <c r="B323" s="37">
        <v>0</v>
      </c>
      <c r="C323" s="37">
        <v>0</v>
      </c>
      <c r="D323" s="37">
        <v>356</v>
      </c>
      <c r="E323" s="37">
        <v>1037</v>
      </c>
      <c r="F323" s="37">
        <v>959</v>
      </c>
      <c r="G323" s="37">
        <v>880</v>
      </c>
      <c r="H323" s="37">
        <v>751</v>
      </c>
      <c r="I323" s="37">
        <v>1087</v>
      </c>
      <c r="J323" s="37">
        <v>986</v>
      </c>
      <c r="K323">
        <v>930</v>
      </c>
      <c r="L323">
        <v>962</v>
      </c>
      <c r="M323">
        <v>799</v>
      </c>
      <c r="N323">
        <v>866</v>
      </c>
      <c r="O323">
        <v>0</v>
      </c>
      <c r="P323">
        <v>0</v>
      </c>
      <c r="Q323">
        <v>129</v>
      </c>
      <c r="R323">
        <v>276</v>
      </c>
      <c r="S323">
        <v>248</v>
      </c>
      <c r="T323">
        <v>167</v>
      </c>
      <c r="U323">
        <v>188</v>
      </c>
      <c r="V323">
        <v>328</v>
      </c>
      <c r="W323">
        <v>276</v>
      </c>
      <c r="X323">
        <v>263</v>
      </c>
      <c r="Y323">
        <v>246</v>
      </c>
      <c r="Z323">
        <v>201</v>
      </c>
      <c r="AA323">
        <v>215</v>
      </c>
    </row>
    <row r="324" spans="1:27" hidden="1">
      <c r="A324" s="37" t="s">
        <v>824</v>
      </c>
      <c r="B324" s="37">
        <v>1577</v>
      </c>
      <c r="C324" s="37">
        <v>2979</v>
      </c>
      <c r="D324" s="37">
        <v>2259</v>
      </c>
      <c r="E324" s="37">
        <v>1840</v>
      </c>
      <c r="F324" s="37">
        <v>1839</v>
      </c>
      <c r="G324" s="37">
        <v>2765</v>
      </c>
      <c r="H324" s="37">
        <v>2954</v>
      </c>
      <c r="I324" s="37">
        <v>2655</v>
      </c>
      <c r="J324" s="37">
        <v>6893</v>
      </c>
      <c r="K324">
        <v>3083</v>
      </c>
      <c r="L324">
        <v>4084</v>
      </c>
      <c r="M324">
        <v>3621</v>
      </c>
      <c r="N324">
        <v>4108</v>
      </c>
      <c r="O324">
        <v>248</v>
      </c>
      <c r="P324">
        <v>541</v>
      </c>
      <c r="Q324">
        <v>381</v>
      </c>
      <c r="R324">
        <v>315</v>
      </c>
      <c r="S324">
        <v>352</v>
      </c>
      <c r="T324">
        <v>509</v>
      </c>
      <c r="U324">
        <v>551</v>
      </c>
      <c r="V324">
        <v>611</v>
      </c>
      <c r="W324">
        <v>2393</v>
      </c>
      <c r="X324">
        <v>954</v>
      </c>
      <c r="Y324">
        <v>1301</v>
      </c>
      <c r="Z324">
        <v>928</v>
      </c>
      <c r="AA324">
        <v>1188</v>
      </c>
    </row>
    <row r="325" spans="1:27" hidden="1">
      <c r="A325" s="37" t="s">
        <v>655</v>
      </c>
      <c r="B325" s="37">
        <v>0</v>
      </c>
      <c r="C325" s="37">
        <v>0</v>
      </c>
      <c r="D325" s="37">
        <v>0</v>
      </c>
      <c r="E325" s="37">
        <v>104</v>
      </c>
      <c r="F325" s="37">
        <v>0</v>
      </c>
      <c r="G325" s="37">
        <v>815</v>
      </c>
      <c r="H325" s="37">
        <v>1012</v>
      </c>
      <c r="I325" s="37">
        <v>957</v>
      </c>
      <c r="J325" s="37">
        <v>975</v>
      </c>
      <c r="K325">
        <v>800</v>
      </c>
      <c r="L325">
        <v>911</v>
      </c>
      <c r="M325">
        <v>550</v>
      </c>
      <c r="N325">
        <v>665</v>
      </c>
      <c r="O325">
        <v>0</v>
      </c>
      <c r="P325">
        <v>0</v>
      </c>
      <c r="Q325">
        <v>0</v>
      </c>
      <c r="R325">
        <v>21</v>
      </c>
      <c r="S325">
        <v>0</v>
      </c>
      <c r="T325">
        <v>346</v>
      </c>
      <c r="U325">
        <v>337</v>
      </c>
      <c r="V325">
        <v>285</v>
      </c>
      <c r="W325">
        <v>309</v>
      </c>
      <c r="X325">
        <v>232</v>
      </c>
      <c r="Y325">
        <v>260</v>
      </c>
      <c r="Z325">
        <v>98</v>
      </c>
      <c r="AA325">
        <v>186</v>
      </c>
    </row>
    <row r="326" spans="1:27" hidden="1">
      <c r="A326" s="37" t="s">
        <v>565</v>
      </c>
      <c r="B326" s="37">
        <v>0</v>
      </c>
      <c r="C326" s="37">
        <v>123</v>
      </c>
      <c r="D326" s="37">
        <v>330</v>
      </c>
      <c r="E326" s="37">
        <v>372</v>
      </c>
      <c r="F326" s="37">
        <v>240</v>
      </c>
      <c r="G326" s="37">
        <v>375</v>
      </c>
      <c r="H326" s="37">
        <v>438</v>
      </c>
      <c r="I326" s="37">
        <v>591</v>
      </c>
      <c r="J326" s="37">
        <v>553</v>
      </c>
      <c r="K326">
        <v>640</v>
      </c>
      <c r="L326">
        <v>248</v>
      </c>
      <c r="M326">
        <v>224</v>
      </c>
      <c r="N326">
        <v>632</v>
      </c>
      <c r="O326">
        <v>0</v>
      </c>
      <c r="P326">
        <v>32</v>
      </c>
      <c r="Q326">
        <v>71</v>
      </c>
      <c r="R326">
        <v>80</v>
      </c>
      <c r="S326">
        <v>61</v>
      </c>
      <c r="T326">
        <v>94</v>
      </c>
      <c r="U326">
        <v>125</v>
      </c>
      <c r="V326">
        <v>216</v>
      </c>
      <c r="W326">
        <v>210</v>
      </c>
      <c r="X326">
        <v>216</v>
      </c>
      <c r="Y326">
        <v>82</v>
      </c>
      <c r="Z326">
        <v>51</v>
      </c>
      <c r="AA326">
        <v>194</v>
      </c>
    </row>
    <row r="327" spans="1:27" hidden="1">
      <c r="A327" s="37" t="s">
        <v>485</v>
      </c>
      <c r="B327" s="37">
        <v>0</v>
      </c>
      <c r="C327" s="37">
        <v>0</v>
      </c>
      <c r="D327" s="37">
        <v>0</v>
      </c>
      <c r="E327" s="37">
        <v>0</v>
      </c>
      <c r="F327" s="37">
        <v>0</v>
      </c>
      <c r="G327" s="37">
        <v>0</v>
      </c>
      <c r="H327" s="37">
        <v>3</v>
      </c>
      <c r="I327" s="37">
        <v>285</v>
      </c>
      <c r="J327" s="37">
        <v>734</v>
      </c>
      <c r="K327">
        <v>788</v>
      </c>
      <c r="L327">
        <v>450</v>
      </c>
      <c r="M327">
        <v>417</v>
      </c>
      <c r="N327">
        <v>668</v>
      </c>
      <c r="O327">
        <v>0</v>
      </c>
      <c r="P327">
        <v>0</v>
      </c>
      <c r="Q327">
        <v>0</v>
      </c>
      <c r="R327">
        <v>0</v>
      </c>
      <c r="S327">
        <v>0</v>
      </c>
      <c r="T327">
        <v>0</v>
      </c>
      <c r="U327">
        <v>0</v>
      </c>
      <c r="V327">
        <v>56</v>
      </c>
      <c r="W327">
        <v>184</v>
      </c>
      <c r="X327">
        <v>193</v>
      </c>
      <c r="Y327">
        <v>82</v>
      </c>
      <c r="Z327">
        <v>146</v>
      </c>
      <c r="AA327">
        <v>155</v>
      </c>
    </row>
    <row r="328" spans="1:27" hidden="1">
      <c r="A328" s="37" t="s">
        <v>1129</v>
      </c>
      <c r="B328" s="37">
        <v>0</v>
      </c>
      <c r="C328" s="37">
        <v>0</v>
      </c>
      <c r="D328" s="37">
        <v>822</v>
      </c>
      <c r="E328" s="37">
        <v>1928</v>
      </c>
      <c r="F328" s="37">
        <v>1563</v>
      </c>
      <c r="G328" s="37">
        <v>2064</v>
      </c>
      <c r="H328" s="37">
        <v>2099</v>
      </c>
      <c r="I328" s="37">
        <v>2454</v>
      </c>
      <c r="J328" s="37">
        <v>2249</v>
      </c>
      <c r="K328">
        <v>2529</v>
      </c>
      <c r="L328">
        <v>2010</v>
      </c>
      <c r="M328">
        <v>2080</v>
      </c>
      <c r="N328">
        <v>2848</v>
      </c>
      <c r="O328">
        <v>0</v>
      </c>
      <c r="P328">
        <v>0</v>
      </c>
      <c r="Q328">
        <v>148</v>
      </c>
      <c r="R328">
        <v>407</v>
      </c>
      <c r="S328">
        <v>380</v>
      </c>
      <c r="T328">
        <v>441</v>
      </c>
      <c r="U328">
        <v>470</v>
      </c>
      <c r="V328">
        <v>553</v>
      </c>
      <c r="W328">
        <v>533</v>
      </c>
      <c r="X328">
        <v>705</v>
      </c>
      <c r="Y328">
        <v>582</v>
      </c>
      <c r="Z328">
        <v>565</v>
      </c>
      <c r="AA328">
        <v>643</v>
      </c>
    </row>
    <row r="329" spans="1:27" hidden="1">
      <c r="A329" s="37" t="s">
        <v>1234</v>
      </c>
      <c r="B329" s="37">
        <v>1295</v>
      </c>
      <c r="C329" s="37">
        <v>3249</v>
      </c>
      <c r="D329" s="37">
        <v>2721</v>
      </c>
      <c r="E329" s="37">
        <v>2361</v>
      </c>
      <c r="F329" s="37">
        <v>2349</v>
      </c>
      <c r="G329" s="37">
        <v>1891</v>
      </c>
      <c r="H329" s="37">
        <v>2300</v>
      </c>
      <c r="I329" s="37">
        <v>1954</v>
      </c>
      <c r="J329" s="37">
        <v>2260</v>
      </c>
      <c r="K329">
        <v>1843</v>
      </c>
      <c r="L329">
        <v>2133</v>
      </c>
      <c r="M329">
        <v>1713</v>
      </c>
      <c r="N329">
        <v>3087</v>
      </c>
      <c r="O329">
        <v>323</v>
      </c>
      <c r="P329">
        <v>850</v>
      </c>
      <c r="Q329">
        <v>483</v>
      </c>
      <c r="R329">
        <v>512</v>
      </c>
      <c r="S329">
        <v>544</v>
      </c>
      <c r="T329">
        <v>480</v>
      </c>
      <c r="U329">
        <v>574</v>
      </c>
      <c r="V329">
        <v>510</v>
      </c>
      <c r="W329">
        <v>678</v>
      </c>
      <c r="X329">
        <v>511</v>
      </c>
      <c r="Y329">
        <v>563</v>
      </c>
      <c r="Z329">
        <v>464</v>
      </c>
      <c r="AA329">
        <v>763</v>
      </c>
    </row>
    <row r="330" spans="1:27" hidden="1">
      <c r="A330" s="37" t="s">
        <v>1200</v>
      </c>
      <c r="B330" s="37">
        <v>0</v>
      </c>
      <c r="C330" s="37">
        <v>0</v>
      </c>
      <c r="D330" s="37">
        <v>41</v>
      </c>
      <c r="E330" s="37">
        <v>419</v>
      </c>
      <c r="F330" s="37">
        <v>509</v>
      </c>
      <c r="G330" s="37">
        <v>582</v>
      </c>
      <c r="H330" s="37">
        <v>1850</v>
      </c>
      <c r="I330" s="37">
        <v>1334</v>
      </c>
      <c r="J330" s="37">
        <v>1414</v>
      </c>
      <c r="K330">
        <v>1302</v>
      </c>
      <c r="L330">
        <v>827</v>
      </c>
      <c r="M330">
        <v>792</v>
      </c>
      <c r="N330">
        <v>815</v>
      </c>
      <c r="O330">
        <v>0</v>
      </c>
      <c r="P330">
        <v>0</v>
      </c>
      <c r="Q330">
        <v>25</v>
      </c>
      <c r="R330">
        <v>117</v>
      </c>
      <c r="S330">
        <v>156</v>
      </c>
      <c r="T330">
        <v>187</v>
      </c>
      <c r="U330">
        <v>1210</v>
      </c>
      <c r="V330">
        <v>543</v>
      </c>
      <c r="W330">
        <v>574</v>
      </c>
      <c r="X330">
        <v>642</v>
      </c>
      <c r="Y330">
        <v>334</v>
      </c>
      <c r="Z330">
        <v>334</v>
      </c>
      <c r="AA330">
        <v>348</v>
      </c>
    </row>
    <row r="331" spans="1:27" hidden="1">
      <c r="A331" s="37" t="s">
        <v>922</v>
      </c>
      <c r="B331" s="37">
        <v>0</v>
      </c>
      <c r="C331" s="37">
        <v>0</v>
      </c>
      <c r="D331" s="37">
        <v>136</v>
      </c>
      <c r="E331" s="37">
        <v>1743</v>
      </c>
      <c r="F331" s="37">
        <v>962</v>
      </c>
      <c r="G331" s="37">
        <v>672</v>
      </c>
      <c r="H331" s="37">
        <v>854</v>
      </c>
      <c r="I331" s="37">
        <v>999</v>
      </c>
      <c r="J331" s="37">
        <v>775</v>
      </c>
      <c r="K331">
        <v>1182</v>
      </c>
      <c r="L331">
        <v>1075</v>
      </c>
      <c r="M331">
        <v>1723</v>
      </c>
      <c r="N331">
        <v>2281</v>
      </c>
      <c r="O331">
        <v>0</v>
      </c>
      <c r="P331">
        <v>0</v>
      </c>
      <c r="Q331">
        <v>19</v>
      </c>
      <c r="R331">
        <v>556</v>
      </c>
      <c r="S331">
        <v>257</v>
      </c>
      <c r="T331">
        <v>198</v>
      </c>
      <c r="U331">
        <v>287</v>
      </c>
      <c r="V331">
        <v>344</v>
      </c>
      <c r="W331">
        <v>264</v>
      </c>
      <c r="X331">
        <v>406</v>
      </c>
      <c r="Y331">
        <v>352</v>
      </c>
      <c r="Z331">
        <v>539</v>
      </c>
      <c r="AA331">
        <v>610</v>
      </c>
    </row>
    <row r="332" spans="1:27" hidden="1">
      <c r="A332" s="37" t="s">
        <v>1156</v>
      </c>
      <c r="B332" s="37">
        <v>0</v>
      </c>
      <c r="C332" s="37">
        <v>0</v>
      </c>
      <c r="D332" s="37">
        <v>1136</v>
      </c>
      <c r="E332" s="37">
        <v>1169</v>
      </c>
      <c r="F332" s="37">
        <v>907</v>
      </c>
      <c r="G332" s="37">
        <v>861</v>
      </c>
      <c r="H332" s="37">
        <v>710</v>
      </c>
      <c r="I332" s="37">
        <v>602</v>
      </c>
      <c r="J332" s="37">
        <v>529</v>
      </c>
      <c r="K332">
        <v>746</v>
      </c>
      <c r="L332">
        <v>600</v>
      </c>
      <c r="M332">
        <v>787</v>
      </c>
      <c r="N332">
        <v>1002</v>
      </c>
      <c r="O332">
        <v>0</v>
      </c>
      <c r="P332">
        <v>0</v>
      </c>
      <c r="Q332">
        <v>297</v>
      </c>
      <c r="R332">
        <v>266</v>
      </c>
      <c r="S332">
        <v>233</v>
      </c>
      <c r="T332">
        <v>247</v>
      </c>
      <c r="U332">
        <v>190</v>
      </c>
      <c r="V332">
        <v>209</v>
      </c>
      <c r="W332">
        <v>146</v>
      </c>
      <c r="X332">
        <v>253</v>
      </c>
      <c r="Y332">
        <v>196</v>
      </c>
      <c r="Z332">
        <v>274</v>
      </c>
      <c r="AA332">
        <v>347</v>
      </c>
    </row>
    <row r="333" spans="1:27" hidden="1">
      <c r="A333" s="37" t="s">
        <v>976</v>
      </c>
      <c r="B333" s="37">
        <v>2010</v>
      </c>
      <c r="C333" s="37">
        <v>3174</v>
      </c>
      <c r="D333" s="37">
        <v>823</v>
      </c>
      <c r="E333" s="37">
        <v>3749</v>
      </c>
      <c r="F333" s="37">
        <v>2541</v>
      </c>
      <c r="G333" s="37">
        <v>2523</v>
      </c>
      <c r="H333" s="37">
        <v>1288</v>
      </c>
      <c r="I333" s="37">
        <v>3176</v>
      </c>
      <c r="J333" s="37">
        <v>1193</v>
      </c>
      <c r="K333">
        <v>940</v>
      </c>
      <c r="L333">
        <v>625</v>
      </c>
      <c r="M333">
        <v>613</v>
      </c>
      <c r="N333">
        <v>748</v>
      </c>
      <c r="O333">
        <v>422</v>
      </c>
      <c r="P333">
        <v>897</v>
      </c>
      <c r="Q333">
        <v>183</v>
      </c>
      <c r="R333">
        <v>1014</v>
      </c>
      <c r="S333">
        <v>912</v>
      </c>
      <c r="T333">
        <v>726</v>
      </c>
      <c r="U333">
        <v>326</v>
      </c>
      <c r="V333">
        <v>1045</v>
      </c>
      <c r="W333">
        <v>363</v>
      </c>
      <c r="X333">
        <v>298</v>
      </c>
      <c r="Y333">
        <v>216</v>
      </c>
      <c r="Z333">
        <v>211</v>
      </c>
      <c r="AA333">
        <v>267</v>
      </c>
    </row>
    <row r="334" spans="1:27" hidden="1">
      <c r="A334" s="37" t="s">
        <v>153</v>
      </c>
      <c r="B334" s="37">
        <v>0</v>
      </c>
      <c r="C334" s="37">
        <v>0</v>
      </c>
      <c r="D334" s="37">
        <v>0</v>
      </c>
      <c r="E334" s="37">
        <v>0</v>
      </c>
      <c r="F334" s="37">
        <v>0</v>
      </c>
      <c r="G334" s="37">
        <v>0</v>
      </c>
      <c r="H334" s="37">
        <v>326</v>
      </c>
      <c r="I334" s="37">
        <v>736</v>
      </c>
      <c r="J334" s="37">
        <v>567</v>
      </c>
      <c r="K334">
        <v>2399</v>
      </c>
      <c r="L334">
        <v>1225</v>
      </c>
      <c r="M334">
        <v>1088</v>
      </c>
      <c r="N334">
        <v>2548</v>
      </c>
      <c r="O334">
        <v>0</v>
      </c>
      <c r="P334">
        <v>0</v>
      </c>
      <c r="Q334">
        <v>0</v>
      </c>
      <c r="R334">
        <v>0</v>
      </c>
      <c r="S334">
        <v>0</v>
      </c>
      <c r="T334">
        <v>0</v>
      </c>
      <c r="U334">
        <v>38</v>
      </c>
      <c r="V334">
        <v>110</v>
      </c>
      <c r="W334">
        <v>53</v>
      </c>
      <c r="X334">
        <v>392</v>
      </c>
      <c r="Y334">
        <v>165</v>
      </c>
      <c r="Z334">
        <v>186</v>
      </c>
      <c r="AA334">
        <v>457</v>
      </c>
    </row>
    <row r="335" spans="1:27" hidden="1">
      <c r="A335" s="37" t="s">
        <v>71</v>
      </c>
      <c r="B335" s="37">
        <v>0</v>
      </c>
      <c r="C335" s="37">
        <v>0</v>
      </c>
      <c r="D335" s="37">
        <v>0</v>
      </c>
      <c r="E335" s="37">
        <v>0</v>
      </c>
      <c r="F335" s="37">
        <v>0</v>
      </c>
      <c r="G335" s="37">
        <v>495</v>
      </c>
      <c r="H335" s="37">
        <v>934</v>
      </c>
      <c r="I335" s="37">
        <v>2236</v>
      </c>
      <c r="J335" s="37">
        <v>1954</v>
      </c>
      <c r="K335">
        <v>1579</v>
      </c>
      <c r="L335">
        <v>1718</v>
      </c>
      <c r="M335">
        <v>2380</v>
      </c>
      <c r="N335">
        <v>1473</v>
      </c>
      <c r="O335">
        <v>0</v>
      </c>
      <c r="P335">
        <v>0</v>
      </c>
      <c r="Q335">
        <v>0</v>
      </c>
      <c r="R335">
        <v>0</v>
      </c>
      <c r="S335">
        <v>0</v>
      </c>
      <c r="T335">
        <v>66</v>
      </c>
      <c r="U335">
        <v>141</v>
      </c>
      <c r="V335">
        <v>309</v>
      </c>
      <c r="W335">
        <v>335</v>
      </c>
      <c r="X335">
        <v>316</v>
      </c>
      <c r="Y335">
        <v>293</v>
      </c>
      <c r="Z335">
        <v>294</v>
      </c>
      <c r="AA335">
        <v>321</v>
      </c>
    </row>
    <row r="336" spans="1:27" hidden="1">
      <c r="A336" s="37" t="s">
        <v>67</v>
      </c>
      <c r="B336" s="37">
        <v>0</v>
      </c>
      <c r="C336" s="37">
        <v>0</v>
      </c>
      <c r="D336" s="37">
        <v>0</v>
      </c>
      <c r="E336" s="37">
        <v>0</v>
      </c>
      <c r="F336" s="37">
        <v>0</v>
      </c>
      <c r="G336" s="37">
        <v>145</v>
      </c>
      <c r="H336" s="37">
        <v>2954</v>
      </c>
      <c r="I336" s="37">
        <v>3011</v>
      </c>
      <c r="J336" s="37">
        <v>1938</v>
      </c>
      <c r="K336">
        <v>2398</v>
      </c>
      <c r="L336">
        <v>2000</v>
      </c>
      <c r="M336">
        <v>2125</v>
      </c>
      <c r="N336">
        <v>2735</v>
      </c>
      <c r="O336">
        <v>0</v>
      </c>
      <c r="P336">
        <v>0</v>
      </c>
      <c r="Q336">
        <v>0</v>
      </c>
      <c r="R336">
        <v>0</v>
      </c>
      <c r="S336">
        <v>0</v>
      </c>
      <c r="T336">
        <v>7</v>
      </c>
      <c r="U336">
        <v>223</v>
      </c>
      <c r="V336">
        <v>540</v>
      </c>
      <c r="W336">
        <v>309</v>
      </c>
      <c r="X336">
        <v>461</v>
      </c>
      <c r="Y336">
        <v>401</v>
      </c>
      <c r="Z336">
        <v>480</v>
      </c>
      <c r="AA336">
        <v>527</v>
      </c>
    </row>
    <row r="337" spans="1:27" hidden="1">
      <c r="A337" s="37" t="s">
        <v>870</v>
      </c>
      <c r="B337" s="37">
        <v>0</v>
      </c>
      <c r="C337" s="37">
        <v>0</v>
      </c>
      <c r="D337" s="37">
        <v>0</v>
      </c>
      <c r="E337" s="37">
        <v>0</v>
      </c>
      <c r="F337" s="37">
        <v>8530</v>
      </c>
      <c r="G337" s="37">
        <v>9175</v>
      </c>
      <c r="H337" s="37">
        <v>7003</v>
      </c>
      <c r="I337" s="37">
        <v>6856</v>
      </c>
      <c r="J337" s="37">
        <v>4631</v>
      </c>
      <c r="K337">
        <v>4375</v>
      </c>
      <c r="L337">
        <v>5819</v>
      </c>
      <c r="M337">
        <v>4976</v>
      </c>
      <c r="N337">
        <v>5695</v>
      </c>
      <c r="O337">
        <v>0</v>
      </c>
      <c r="P337">
        <v>0</v>
      </c>
      <c r="Q337">
        <v>0</v>
      </c>
      <c r="R337">
        <v>0</v>
      </c>
      <c r="S337">
        <v>990</v>
      </c>
      <c r="T337">
        <v>925</v>
      </c>
      <c r="U337">
        <v>759</v>
      </c>
      <c r="V337">
        <v>807</v>
      </c>
      <c r="W337">
        <v>547</v>
      </c>
      <c r="X337">
        <v>684</v>
      </c>
      <c r="Y337">
        <v>677</v>
      </c>
      <c r="Z337">
        <v>660</v>
      </c>
      <c r="AA337">
        <v>887</v>
      </c>
    </row>
    <row r="338" spans="1:27" hidden="1">
      <c r="A338" s="37" t="s">
        <v>181</v>
      </c>
      <c r="B338" s="37">
        <v>0</v>
      </c>
      <c r="C338" s="37">
        <v>0</v>
      </c>
      <c r="D338" s="37">
        <v>0</v>
      </c>
      <c r="E338" s="37">
        <v>0</v>
      </c>
      <c r="F338" s="37">
        <v>0</v>
      </c>
      <c r="G338" s="37">
        <v>334</v>
      </c>
      <c r="H338" s="37">
        <v>456</v>
      </c>
      <c r="I338" s="37">
        <v>562</v>
      </c>
      <c r="J338" s="37">
        <v>607</v>
      </c>
      <c r="K338">
        <v>792</v>
      </c>
      <c r="L338">
        <v>430</v>
      </c>
      <c r="M338">
        <v>476</v>
      </c>
      <c r="N338">
        <v>784</v>
      </c>
      <c r="O338">
        <v>0</v>
      </c>
      <c r="P338">
        <v>0</v>
      </c>
      <c r="Q338">
        <v>0</v>
      </c>
      <c r="R338">
        <v>0</v>
      </c>
      <c r="S338">
        <v>0</v>
      </c>
      <c r="T338">
        <v>41</v>
      </c>
      <c r="U338">
        <v>75</v>
      </c>
      <c r="V338">
        <v>78</v>
      </c>
      <c r="W338">
        <v>88</v>
      </c>
      <c r="X338">
        <v>127</v>
      </c>
      <c r="Y338">
        <v>94</v>
      </c>
      <c r="Z338">
        <v>103</v>
      </c>
      <c r="AA338">
        <v>171</v>
      </c>
    </row>
    <row r="339" spans="1:27" hidden="1">
      <c r="A339" s="37" t="s">
        <v>589</v>
      </c>
      <c r="B339" s="37">
        <v>0</v>
      </c>
      <c r="C339" s="37">
        <v>0</v>
      </c>
      <c r="D339" s="37">
        <v>0</v>
      </c>
      <c r="E339" s="37">
        <v>0</v>
      </c>
      <c r="F339" s="37">
        <v>0</v>
      </c>
      <c r="G339" s="37">
        <v>212</v>
      </c>
      <c r="H339" s="37">
        <v>308</v>
      </c>
      <c r="I339" s="37">
        <v>326</v>
      </c>
      <c r="J339" s="37">
        <v>475</v>
      </c>
      <c r="K339">
        <v>458</v>
      </c>
      <c r="L339">
        <v>458</v>
      </c>
      <c r="M339">
        <v>545</v>
      </c>
      <c r="N339">
        <v>722</v>
      </c>
      <c r="O339">
        <v>0</v>
      </c>
      <c r="P339">
        <v>0</v>
      </c>
      <c r="Q339">
        <v>0</v>
      </c>
      <c r="R339">
        <v>0</v>
      </c>
      <c r="S339">
        <v>0</v>
      </c>
      <c r="T339">
        <v>22</v>
      </c>
      <c r="U339">
        <v>70</v>
      </c>
      <c r="V339">
        <v>87</v>
      </c>
      <c r="W339">
        <v>124</v>
      </c>
      <c r="X339">
        <v>118</v>
      </c>
      <c r="Y339">
        <v>101</v>
      </c>
      <c r="Z339">
        <v>118</v>
      </c>
      <c r="AA339">
        <v>215</v>
      </c>
    </row>
    <row r="340" spans="1:27" hidden="1">
      <c r="A340" s="37" t="s">
        <v>1705</v>
      </c>
      <c r="B340" s="37">
        <v>0</v>
      </c>
      <c r="C340" s="37">
        <v>0</v>
      </c>
      <c r="D340" s="37">
        <v>0</v>
      </c>
      <c r="E340" s="37">
        <v>0</v>
      </c>
      <c r="F340" s="37">
        <v>0</v>
      </c>
      <c r="G340" s="37">
        <v>0</v>
      </c>
      <c r="H340" s="37">
        <v>3140</v>
      </c>
      <c r="I340" s="37">
        <v>1959</v>
      </c>
      <c r="J340" s="37">
        <v>4171</v>
      </c>
      <c r="K340">
        <v>3650</v>
      </c>
      <c r="L340">
        <v>3312</v>
      </c>
      <c r="M340">
        <v>4458</v>
      </c>
      <c r="N340">
        <v>4003</v>
      </c>
      <c r="O340">
        <v>0</v>
      </c>
      <c r="P340">
        <v>0</v>
      </c>
      <c r="Q340">
        <v>0</v>
      </c>
      <c r="R340">
        <v>0</v>
      </c>
      <c r="S340">
        <v>0</v>
      </c>
      <c r="T340">
        <v>0</v>
      </c>
      <c r="U340">
        <v>1065</v>
      </c>
      <c r="V340">
        <v>484</v>
      </c>
      <c r="W340">
        <v>1138</v>
      </c>
      <c r="X340">
        <v>1032</v>
      </c>
      <c r="Y340">
        <v>716</v>
      </c>
      <c r="Z340">
        <v>994</v>
      </c>
      <c r="AA340">
        <v>796</v>
      </c>
    </row>
    <row r="341" spans="1:27" hidden="1">
      <c r="A341" s="37" t="s">
        <v>569</v>
      </c>
      <c r="B341" s="37">
        <v>0</v>
      </c>
      <c r="C341" s="37">
        <v>0</v>
      </c>
      <c r="D341" s="37">
        <v>0</v>
      </c>
      <c r="E341" s="37">
        <v>0</v>
      </c>
      <c r="F341" s="37">
        <v>10326</v>
      </c>
      <c r="G341" s="37">
        <v>8337</v>
      </c>
      <c r="H341" s="37">
        <v>7328</v>
      </c>
      <c r="I341" s="37">
        <v>8243</v>
      </c>
      <c r="J341" s="37">
        <v>4856</v>
      </c>
      <c r="K341">
        <v>4622</v>
      </c>
      <c r="L341">
        <v>3425</v>
      </c>
      <c r="M341">
        <v>2313</v>
      </c>
      <c r="N341">
        <v>5707</v>
      </c>
      <c r="O341">
        <v>0</v>
      </c>
      <c r="P341">
        <v>0</v>
      </c>
      <c r="Q341">
        <v>0</v>
      </c>
      <c r="R341">
        <v>0</v>
      </c>
      <c r="S341">
        <v>93</v>
      </c>
      <c r="T341">
        <v>453</v>
      </c>
      <c r="U341">
        <v>411</v>
      </c>
      <c r="V341">
        <v>706</v>
      </c>
      <c r="W341">
        <v>446</v>
      </c>
      <c r="X341">
        <v>721</v>
      </c>
      <c r="Y341">
        <v>363</v>
      </c>
      <c r="Z341">
        <v>426</v>
      </c>
      <c r="AA341">
        <v>1136</v>
      </c>
    </row>
    <row r="342" spans="1:27" hidden="1">
      <c r="A342" s="37" t="s">
        <v>745</v>
      </c>
      <c r="B342" s="37">
        <v>0</v>
      </c>
      <c r="C342" s="37">
        <v>0</v>
      </c>
      <c r="D342" s="37">
        <v>0</v>
      </c>
      <c r="E342" s="37">
        <v>0</v>
      </c>
      <c r="F342" s="37">
        <v>0</v>
      </c>
      <c r="G342" s="37">
        <v>0</v>
      </c>
      <c r="H342" s="37">
        <v>172</v>
      </c>
      <c r="I342" s="37">
        <v>1743</v>
      </c>
      <c r="J342" s="37">
        <v>770</v>
      </c>
      <c r="K342">
        <v>2303</v>
      </c>
      <c r="L342">
        <v>2067</v>
      </c>
      <c r="M342">
        <v>1775</v>
      </c>
      <c r="N342">
        <v>1828</v>
      </c>
      <c r="O342">
        <v>0</v>
      </c>
      <c r="P342">
        <v>0</v>
      </c>
      <c r="Q342">
        <v>0</v>
      </c>
      <c r="R342">
        <v>0</v>
      </c>
      <c r="S342">
        <v>0</v>
      </c>
      <c r="T342">
        <v>0</v>
      </c>
      <c r="U342">
        <v>27</v>
      </c>
      <c r="V342">
        <v>424</v>
      </c>
      <c r="W342">
        <v>151</v>
      </c>
      <c r="X342">
        <v>597</v>
      </c>
      <c r="Y342">
        <v>594</v>
      </c>
      <c r="Z342">
        <v>505</v>
      </c>
      <c r="AA342">
        <v>493</v>
      </c>
    </row>
    <row r="343" spans="1:27" hidden="1">
      <c r="A343" s="37" t="s">
        <v>623</v>
      </c>
      <c r="B343" s="37">
        <v>0</v>
      </c>
      <c r="C343" s="37">
        <v>0</v>
      </c>
      <c r="D343" s="37">
        <v>0</v>
      </c>
      <c r="E343" s="37">
        <v>0</v>
      </c>
      <c r="F343" s="37">
        <v>8752</v>
      </c>
      <c r="G343" s="37">
        <v>12087</v>
      </c>
      <c r="H343" s="37">
        <v>10201</v>
      </c>
      <c r="I343" s="37">
        <v>8685</v>
      </c>
      <c r="J343" s="37">
        <v>6433</v>
      </c>
      <c r="K343">
        <v>6174</v>
      </c>
      <c r="L343">
        <v>7717</v>
      </c>
      <c r="M343">
        <v>6267</v>
      </c>
      <c r="N343">
        <v>6149</v>
      </c>
      <c r="O343">
        <v>0</v>
      </c>
      <c r="P343">
        <v>0</v>
      </c>
      <c r="Q343">
        <v>0</v>
      </c>
      <c r="R343">
        <v>0</v>
      </c>
      <c r="S343">
        <v>398</v>
      </c>
      <c r="T343">
        <v>564</v>
      </c>
      <c r="U343">
        <v>483</v>
      </c>
      <c r="V343">
        <v>492</v>
      </c>
      <c r="W343">
        <v>332</v>
      </c>
      <c r="X343">
        <v>359</v>
      </c>
      <c r="Y343">
        <v>559</v>
      </c>
      <c r="Z343">
        <v>342</v>
      </c>
      <c r="AA343">
        <v>404</v>
      </c>
    </row>
    <row r="344" spans="1:27" hidden="1">
      <c r="A344" s="37" t="s">
        <v>79</v>
      </c>
      <c r="B344" s="37">
        <v>0</v>
      </c>
      <c r="C344" s="37">
        <v>0</v>
      </c>
      <c r="D344" s="37">
        <v>0</v>
      </c>
      <c r="E344" s="37">
        <v>0</v>
      </c>
      <c r="F344" s="37">
        <v>0</v>
      </c>
      <c r="G344" s="37">
        <v>436</v>
      </c>
      <c r="H344" s="37">
        <v>0</v>
      </c>
      <c r="I344" s="37">
        <v>0</v>
      </c>
      <c r="J344" s="37">
        <v>564</v>
      </c>
      <c r="K344">
        <v>852</v>
      </c>
      <c r="L344">
        <v>648</v>
      </c>
      <c r="M344">
        <v>473</v>
      </c>
      <c r="N344">
        <v>828</v>
      </c>
      <c r="O344">
        <v>0</v>
      </c>
      <c r="P344">
        <v>0</v>
      </c>
      <c r="Q344">
        <v>0</v>
      </c>
      <c r="R344">
        <v>0</v>
      </c>
      <c r="S344">
        <v>0</v>
      </c>
      <c r="T344">
        <v>94</v>
      </c>
      <c r="U344">
        <v>0</v>
      </c>
      <c r="V344">
        <v>0</v>
      </c>
      <c r="W344">
        <v>68</v>
      </c>
      <c r="X344">
        <v>121</v>
      </c>
      <c r="Y344">
        <v>117</v>
      </c>
      <c r="Z344">
        <v>70</v>
      </c>
      <c r="AA344">
        <v>153</v>
      </c>
    </row>
    <row r="345" spans="1:27" hidden="1">
      <c r="A345" s="37" t="s">
        <v>1164</v>
      </c>
      <c r="B345" s="37">
        <v>0</v>
      </c>
      <c r="C345" s="37">
        <v>0</v>
      </c>
      <c r="D345" s="37">
        <v>0</v>
      </c>
      <c r="E345" s="37">
        <v>0</v>
      </c>
      <c r="F345" s="37">
        <v>0</v>
      </c>
      <c r="G345" s="37">
        <v>390</v>
      </c>
      <c r="H345" s="37">
        <v>691</v>
      </c>
      <c r="I345" s="37">
        <v>1148</v>
      </c>
      <c r="J345" s="37">
        <v>1255</v>
      </c>
      <c r="K345">
        <v>1022</v>
      </c>
      <c r="L345">
        <v>2574</v>
      </c>
      <c r="M345">
        <v>4585</v>
      </c>
      <c r="N345">
        <v>2321</v>
      </c>
      <c r="O345">
        <v>0</v>
      </c>
      <c r="P345">
        <v>0</v>
      </c>
      <c r="Q345">
        <v>0</v>
      </c>
      <c r="R345">
        <v>0</v>
      </c>
      <c r="S345">
        <v>0</v>
      </c>
      <c r="T345">
        <v>64</v>
      </c>
      <c r="U345">
        <v>223</v>
      </c>
      <c r="V345">
        <v>342</v>
      </c>
      <c r="W345">
        <v>354</v>
      </c>
      <c r="X345">
        <v>254</v>
      </c>
      <c r="Y345">
        <v>552</v>
      </c>
      <c r="Z345">
        <v>637</v>
      </c>
      <c r="AA345">
        <v>537</v>
      </c>
    </row>
    <row r="346" spans="1:27" hidden="1">
      <c r="A346" s="37" t="s">
        <v>1187</v>
      </c>
      <c r="B346" s="37">
        <v>0</v>
      </c>
      <c r="C346" s="37">
        <v>0</v>
      </c>
      <c r="D346" s="37">
        <v>0</v>
      </c>
      <c r="E346" s="37">
        <v>0</v>
      </c>
      <c r="F346" s="37">
        <v>0</v>
      </c>
      <c r="G346" s="37">
        <v>739</v>
      </c>
      <c r="H346" s="37">
        <v>1555</v>
      </c>
      <c r="I346" s="37">
        <v>751</v>
      </c>
      <c r="J346" s="37">
        <v>1647</v>
      </c>
      <c r="K346">
        <v>1035</v>
      </c>
      <c r="L346">
        <v>876</v>
      </c>
      <c r="M346">
        <v>862</v>
      </c>
      <c r="N346">
        <v>926</v>
      </c>
      <c r="O346">
        <v>0</v>
      </c>
      <c r="P346">
        <v>0</v>
      </c>
      <c r="Q346">
        <v>0</v>
      </c>
      <c r="R346">
        <v>0</v>
      </c>
      <c r="S346">
        <v>0</v>
      </c>
      <c r="T346">
        <v>231</v>
      </c>
      <c r="U346">
        <v>657</v>
      </c>
      <c r="V346">
        <v>116</v>
      </c>
      <c r="W346">
        <v>789</v>
      </c>
      <c r="X346">
        <v>342</v>
      </c>
      <c r="Y346">
        <v>305</v>
      </c>
      <c r="Z346">
        <v>258</v>
      </c>
      <c r="AA346">
        <v>282</v>
      </c>
    </row>
    <row r="347" spans="1:27" hidden="1">
      <c r="A347" s="37" t="s">
        <v>1212</v>
      </c>
      <c r="B347" s="37">
        <v>0</v>
      </c>
      <c r="C347" s="37">
        <v>0</v>
      </c>
      <c r="D347" s="37">
        <v>0</v>
      </c>
      <c r="E347" s="37">
        <v>0</v>
      </c>
      <c r="F347" s="37">
        <v>98</v>
      </c>
      <c r="G347" s="37">
        <v>561</v>
      </c>
      <c r="H347" s="37">
        <v>584</v>
      </c>
      <c r="I347" s="37">
        <v>524</v>
      </c>
      <c r="J347" s="37">
        <v>632</v>
      </c>
      <c r="K347">
        <v>890</v>
      </c>
      <c r="L347">
        <v>2179</v>
      </c>
      <c r="M347">
        <v>4759</v>
      </c>
      <c r="N347">
        <v>1624</v>
      </c>
      <c r="O347">
        <v>0</v>
      </c>
      <c r="P347">
        <v>0</v>
      </c>
      <c r="Q347">
        <v>0</v>
      </c>
      <c r="R347">
        <v>0</v>
      </c>
      <c r="S347">
        <v>31</v>
      </c>
      <c r="T347">
        <v>125</v>
      </c>
      <c r="U347">
        <v>145</v>
      </c>
      <c r="V347">
        <v>60</v>
      </c>
      <c r="W347">
        <v>162</v>
      </c>
      <c r="X347">
        <v>205</v>
      </c>
      <c r="Y347">
        <v>326</v>
      </c>
      <c r="Z347">
        <v>428</v>
      </c>
      <c r="AA347">
        <v>305</v>
      </c>
    </row>
    <row r="348" spans="1:27" hidden="1">
      <c r="A348" s="37" t="s">
        <v>1146</v>
      </c>
      <c r="B348" s="37">
        <v>0</v>
      </c>
      <c r="C348" s="37">
        <v>0</v>
      </c>
      <c r="D348" s="37">
        <v>0</v>
      </c>
      <c r="E348" s="37">
        <v>0</v>
      </c>
      <c r="F348" s="37">
        <v>0</v>
      </c>
      <c r="G348" s="37">
        <v>0</v>
      </c>
      <c r="H348" s="37">
        <v>393</v>
      </c>
      <c r="I348" s="37">
        <v>2532</v>
      </c>
      <c r="J348" s="37">
        <v>2864</v>
      </c>
      <c r="K348">
        <v>3379</v>
      </c>
      <c r="L348">
        <v>2157</v>
      </c>
      <c r="M348">
        <v>2349</v>
      </c>
      <c r="N348">
        <v>2197</v>
      </c>
      <c r="O348">
        <v>0</v>
      </c>
      <c r="P348">
        <v>0</v>
      </c>
      <c r="Q348">
        <v>0</v>
      </c>
      <c r="R348">
        <v>0</v>
      </c>
      <c r="S348">
        <v>0</v>
      </c>
      <c r="T348">
        <v>0</v>
      </c>
      <c r="U348">
        <v>91</v>
      </c>
      <c r="V348">
        <v>796</v>
      </c>
      <c r="W348">
        <v>917</v>
      </c>
      <c r="X348">
        <v>1053</v>
      </c>
      <c r="Y348">
        <v>674</v>
      </c>
      <c r="Z348">
        <v>744</v>
      </c>
      <c r="AA348">
        <v>607</v>
      </c>
    </row>
    <row r="349" spans="1:27" hidden="1">
      <c r="A349" s="37" t="s">
        <v>33</v>
      </c>
      <c r="B349" s="37">
        <v>0</v>
      </c>
      <c r="C349" s="37">
        <v>0</v>
      </c>
      <c r="D349" s="37">
        <v>0</v>
      </c>
      <c r="E349" s="37">
        <v>0</v>
      </c>
      <c r="F349" s="37">
        <v>0</v>
      </c>
      <c r="G349" s="37">
        <v>0</v>
      </c>
      <c r="H349" s="37">
        <v>0</v>
      </c>
      <c r="I349" s="37">
        <v>0</v>
      </c>
      <c r="J349" s="37">
        <v>1557</v>
      </c>
      <c r="K349">
        <v>2098</v>
      </c>
      <c r="L349">
        <v>1575</v>
      </c>
      <c r="M349">
        <v>1557</v>
      </c>
      <c r="N349">
        <v>2041</v>
      </c>
      <c r="O349">
        <v>0</v>
      </c>
      <c r="P349">
        <v>0</v>
      </c>
      <c r="Q349">
        <v>0</v>
      </c>
      <c r="R349">
        <v>0</v>
      </c>
      <c r="S349">
        <v>0</v>
      </c>
      <c r="T349">
        <v>0</v>
      </c>
      <c r="U349">
        <v>0</v>
      </c>
      <c r="V349">
        <v>0</v>
      </c>
      <c r="W349">
        <v>213</v>
      </c>
      <c r="X349">
        <v>263</v>
      </c>
      <c r="Y349">
        <v>232</v>
      </c>
      <c r="Z349">
        <v>253</v>
      </c>
      <c r="AA349">
        <v>326</v>
      </c>
    </row>
    <row r="350" spans="1:27" hidden="1">
      <c r="A350" s="37" t="s">
        <v>1072</v>
      </c>
      <c r="B350" s="37">
        <v>0</v>
      </c>
      <c r="C350" s="37">
        <v>0</v>
      </c>
      <c r="D350" s="37">
        <v>0</v>
      </c>
      <c r="E350" s="37">
        <v>0</v>
      </c>
      <c r="F350" s="37">
        <v>0</v>
      </c>
      <c r="G350" s="37">
        <v>12</v>
      </c>
      <c r="H350" s="37">
        <v>279</v>
      </c>
      <c r="I350" s="37">
        <v>1318</v>
      </c>
      <c r="J350" s="37">
        <v>573</v>
      </c>
      <c r="K350">
        <v>395</v>
      </c>
      <c r="L350">
        <v>1570</v>
      </c>
      <c r="M350">
        <v>3596</v>
      </c>
      <c r="N350">
        <v>744</v>
      </c>
      <c r="O350">
        <v>0</v>
      </c>
      <c r="P350">
        <v>0</v>
      </c>
      <c r="Q350">
        <v>0</v>
      </c>
      <c r="R350">
        <v>0</v>
      </c>
      <c r="S350">
        <v>0</v>
      </c>
      <c r="T350">
        <v>0</v>
      </c>
      <c r="U350">
        <v>64</v>
      </c>
      <c r="V350">
        <v>112</v>
      </c>
      <c r="W350">
        <v>138</v>
      </c>
      <c r="X350">
        <v>189</v>
      </c>
      <c r="Y350">
        <v>129</v>
      </c>
      <c r="Z350">
        <v>390</v>
      </c>
      <c r="AA350">
        <v>145</v>
      </c>
    </row>
    <row r="351" spans="1:27" hidden="1">
      <c r="A351" s="37" t="s">
        <v>938</v>
      </c>
      <c r="B351" s="37">
        <v>0</v>
      </c>
      <c r="C351" s="37">
        <v>0</v>
      </c>
      <c r="D351" s="37">
        <v>0</v>
      </c>
      <c r="E351" s="37">
        <v>0</v>
      </c>
      <c r="F351" s="37">
        <v>0</v>
      </c>
      <c r="G351" s="37">
        <v>0</v>
      </c>
      <c r="H351" s="37">
        <v>160</v>
      </c>
      <c r="I351" s="37">
        <v>1483</v>
      </c>
      <c r="J351" s="37">
        <v>2491</v>
      </c>
      <c r="K351">
        <v>3416</v>
      </c>
      <c r="L351">
        <v>3566</v>
      </c>
      <c r="M351">
        <v>1842</v>
      </c>
      <c r="N351">
        <v>3462</v>
      </c>
      <c r="O351">
        <v>0</v>
      </c>
      <c r="P351">
        <v>0</v>
      </c>
      <c r="Q351">
        <v>0</v>
      </c>
      <c r="R351">
        <v>0</v>
      </c>
      <c r="S351">
        <v>0</v>
      </c>
      <c r="T351">
        <v>0</v>
      </c>
      <c r="U351">
        <v>19</v>
      </c>
      <c r="V351">
        <v>248</v>
      </c>
      <c r="W351">
        <v>484</v>
      </c>
      <c r="X351">
        <v>675</v>
      </c>
      <c r="Y351">
        <v>597</v>
      </c>
      <c r="Z351">
        <v>351</v>
      </c>
      <c r="AA351">
        <v>715</v>
      </c>
    </row>
    <row r="352" spans="1:27" hidden="1">
      <c r="A352" s="37" t="s">
        <v>1181</v>
      </c>
      <c r="B352" s="37">
        <v>0</v>
      </c>
      <c r="C352" s="37">
        <v>0</v>
      </c>
      <c r="D352" s="37">
        <v>0</v>
      </c>
      <c r="E352" s="37">
        <v>0</v>
      </c>
      <c r="F352" s="37">
        <v>0</v>
      </c>
      <c r="G352" s="37">
        <v>301</v>
      </c>
      <c r="H352" s="37">
        <v>600</v>
      </c>
      <c r="I352" s="37">
        <v>576</v>
      </c>
      <c r="J352" s="37">
        <v>397</v>
      </c>
      <c r="K352">
        <v>653</v>
      </c>
      <c r="L352">
        <v>537</v>
      </c>
      <c r="M352">
        <v>517</v>
      </c>
      <c r="N352">
        <v>550</v>
      </c>
      <c r="O352">
        <v>0</v>
      </c>
      <c r="P352">
        <v>0</v>
      </c>
      <c r="Q352">
        <v>0</v>
      </c>
      <c r="R352">
        <v>0</v>
      </c>
      <c r="S352">
        <v>0</v>
      </c>
      <c r="T352">
        <v>125</v>
      </c>
      <c r="U352">
        <v>294</v>
      </c>
      <c r="V352">
        <v>269</v>
      </c>
      <c r="W352">
        <v>148</v>
      </c>
      <c r="X352">
        <v>243</v>
      </c>
      <c r="Y352">
        <v>229</v>
      </c>
      <c r="Z352">
        <v>175</v>
      </c>
      <c r="AA352">
        <v>249</v>
      </c>
    </row>
    <row r="353" spans="1:27" hidden="1">
      <c r="A353" s="37" t="s">
        <v>1706</v>
      </c>
      <c r="B353" s="37">
        <v>0</v>
      </c>
      <c r="C353" s="37">
        <v>0</v>
      </c>
      <c r="D353" s="37">
        <v>0</v>
      </c>
      <c r="E353" s="37">
        <v>0</v>
      </c>
      <c r="F353" s="37">
        <v>0</v>
      </c>
      <c r="G353" s="37">
        <v>138</v>
      </c>
      <c r="H353" s="37">
        <v>416</v>
      </c>
      <c r="I353" s="37">
        <v>484</v>
      </c>
      <c r="J353" s="37">
        <v>540</v>
      </c>
      <c r="K353">
        <v>395</v>
      </c>
      <c r="L353">
        <v>268</v>
      </c>
      <c r="M353">
        <v>489</v>
      </c>
      <c r="N353">
        <v>0</v>
      </c>
      <c r="O353">
        <v>0</v>
      </c>
      <c r="P353">
        <v>0</v>
      </c>
      <c r="Q353">
        <v>0</v>
      </c>
      <c r="R353">
        <v>0</v>
      </c>
      <c r="S353">
        <v>0</v>
      </c>
      <c r="T353">
        <v>36</v>
      </c>
      <c r="U353">
        <v>138</v>
      </c>
      <c r="V353">
        <v>196</v>
      </c>
      <c r="W353">
        <v>216</v>
      </c>
      <c r="X353">
        <v>168</v>
      </c>
      <c r="Y353">
        <v>119</v>
      </c>
      <c r="Z353">
        <v>199</v>
      </c>
      <c r="AA353">
        <v>1</v>
      </c>
    </row>
    <row r="354" spans="1:27" hidden="1">
      <c r="A354" s="37" t="s">
        <v>1707</v>
      </c>
      <c r="B354" s="37">
        <v>0</v>
      </c>
      <c r="C354" s="37">
        <v>0</v>
      </c>
      <c r="D354" s="37">
        <v>0</v>
      </c>
      <c r="E354" s="37">
        <v>0</v>
      </c>
      <c r="F354" s="37">
        <v>0</v>
      </c>
      <c r="G354" s="37">
        <v>0</v>
      </c>
      <c r="H354" s="37">
        <v>0</v>
      </c>
      <c r="I354" s="37">
        <v>408</v>
      </c>
      <c r="J354" s="37">
        <v>599</v>
      </c>
      <c r="K354">
        <v>871</v>
      </c>
      <c r="L354">
        <v>557</v>
      </c>
      <c r="M354">
        <v>780</v>
      </c>
      <c r="N354">
        <v>550</v>
      </c>
      <c r="O354">
        <v>0</v>
      </c>
      <c r="P354">
        <v>0</v>
      </c>
      <c r="Q354">
        <v>0</v>
      </c>
      <c r="R354">
        <v>0</v>
      </c>
      <c r="S354">
        <v>0</v>
      </c>
      <c r="T354">
        <v>0</v>
      </c>
      <c r="U354">
        <v>0</v>
      </c>
      <c r="V354">
        <v>122</v>
      </c>
      <c r="W354">
        <v>234</v>
      </c>
      <c r="X354">
        <v>328</v>
      </c>
      <c r="Y354">
        <v>236</v>
      </c>
      <c r="Z354">
        <v>330</v>
      </c>
      <c r="AA354">
        <v>182</v>
      </c>
    </row>
    <row r="355" spans="1:27" hidden="1">
      <c r="A355" s="37" t="s">
        <v>1403</v>
      </c>
      <c r="B355" s="37">
        <v>0</v>
      </c>
      <c r="C355" s="37">
        <v>0</v>
      </c>
      <c r="D355" s="37">
        <v>0</v>
      </c>
      <c r="E355" s="37">
        <v>0</v>
      </c>
      <c r="F355" s="37">
        <v>0</v>
      </c>
      <c r="G355" s="37">
        <v>0</v>
      </c>
      <c r="H355" s="37">
        <v>6</v>
      </c>
      <c r="I355" s="37">
        <v>957</v>
      </c>
      <c r="J355" s="37">
        <v>1314</v>
      </c>
      <c r="K355">
        <v>951</v>
      </c>
      <c r="L355">
        <v>1123</v>
      </c>
      <c r="M355">
        <v>1273</v>
      </c>
      <c r="N355">
        <v>1684</v>
      </c>
      <c r="O355">
        <v>0</v>
      </c>
      <c r="P355">
        <v>0</v>
      </c>
      <c r="Q355">
        <v>0</v>
      </c>
      <c r="R355">
        <v>0</v>
      </c>
      <c r="S355">
        <v>0</v>
      </c>
      <c r="T355">
        <v>0</v>
      </c>
      <c r="U355">
        <v>0</v>
      </c>
      <c r="V355">
        <v>116</v>
      </c>
      <c r="W355">
        <v>154</v>
      </c>
      <c r="X355">
        <v>171</v>
      </c>
      <c r="Y355">
        <v>113</v>
      </c>
      <c r="Z355">
        <v>130</v>
      </c>
      <c r="AA355">
        <v>176</v>
      </c>
    </row>
    <row r="356" spans="1:27" hidden="1">
      <c r="A356" s="37" t="s">
        <v>1370</v>
      </c>
      <c r="B356" s="37">
        <v>0</v>
      </c>
      <c r="C356" s="37">
        <v>0</v>
      </c>
      <c r="D356" s="37">
        <v>0</v>
      </c>
      <c r="E356" s="37">
        <v>0</v>
      </c>
      <c r="F356" s="37">
        <v>0</v>
      </c>
      <c r="G356" s="37">
        <v>773</v>
      </c>
      <c r="H356" s="37">
        <v>647</v>
      </c>
      <c r="I356" s="37">
        <v>608</v>
      </c>
      <c r="J356" s="37">
        <v>765</v>
      </c>
      <c r="K356">
        <v>794</v>
      </c>
      <c r="L356">
        <v>654</v>
      </c>
      <c r="M356">
        <v>1075</v>
      </c>
      <c r="N356">
        <v>683</v>
      </c>
      <c r="O356">
        <v>0</v>
      </c>
      <c r="P356">
        <v>0</v>
      </c>
      <c r="Q356">
        <v>0</v>
      </c>
      <c r="R356">
        <v>0</v>
      </c>
      <c r="S356">
        <v>0</v>
      </c>
      <c r="T356">
        <v>220</v>
      </c>
      <c r="U356">
        <v>182</v>
      </c>
      <c r="V356">
        <v>221</v>
      </c>
      <c r="W356">
        <v>260</v>
      </c>
      <c r="X356">
        <v>243</v>
      </c>
      <c r="Y356">
        <v>231</v>
      </c>
      <c r="Z356">
        <v>385</v>
      </c>
      <c r="AA356">
        <v>246</v>
      </c>
    </row>
    <row r="357" spans="1:27" hidden="1">
      <c r="A357" s="37" t="s">
        <v>1441</v>
      </c>
      <c r="B357" s="37">
        <v>0</v>
      </c>
      <c r="C357" s="37">
        <v>0</v>
      </c>
      <c r="D357" s="37">
        <v>0</v>
      </c>
      <c r="E357" s="37">
        <v>0</v>
      </c>
      <c r="F357" s="37">
        <v>0</v>
      </c>
      <c r="G357" s="37">
        <v>7</v>
      </c>
      <c r="H357" s="37">
        <v>2458</v>
      </c>
      <c r="I357" s="37">
        <v>1177</v>
      </c>
      <c r="J357" s="37">
        <v>1357</v>
      </c>
      <c r="K357">
        <v>1990</v>
      </c>
      <c r="L357">
        <v>2238</v>
      </c>
      <c r="M357">
        <v>2466</v>
      </c>
      <c r="N357">
        <v>2610</v>
      </c>
      <c r="O357">
        <v>0</v>
      </c>
      <c r="P357">
        <v>0</v>
      </c>
      <c r="Q357">
        <v>0</v>
      </c>
      <c r="R357">
        <v>0</v>
      </c>
      <c r="S357">
        <v>0</v>
      </c>
      <c r="T357">
        <v>0</v>
      </c>
      <c r="U357">
        <v>862</v>
      </c>
      <c r="V357">
        <v>311</v>
      </c>
      <c r="W357">
        <v>472</v>
      </c>
      <c r="X357">
        <v>633</v>
      </c>
      <c r="Y357">
        <v>793</v>
      </c>
      <c r="Z357">
        <v>642</v>
      </c>
      <c r="AA357">
        <v>749</v>
      </c>
    </row>
    <row r="358" spans="1:27" hidden="1">
      <c r="A358" s="37" t="s">
        <v>1515</v>
      </c>
      <c r="B358" s="37">
        <v>0</v>
      </c>
      <c r="C358" s="37">
        <v>0</v>
      </c>
      <c r="D358" s="37">
        <v>0</v>
      </c>
      <c r="E358" s="37">
        <v>0</v>
      </c>
      <c r="F358" s="37">
        <v>0</v>
      </c>
      <c r="G358" s="37">
        <v>1446</v>
      </c>
      <c r="H358" s="37">
        <v>2491</v>
      </c>
      <c r="I358" s="37">
        <v>3474</v>
      </c>
      <c r="J358" s="37">
        <v>3257</v>
      </c>
      <c r="K358">
        <v>5293</v>
      </c>
      <c r="L358">
        <v>4070</v>
      </c>
      <c r="M358">
        <v>3634</v>
      </c>
      <c r="N358">
        <v>4404</v>
      </c>
      <c r="O358">
        <v>0</v>
      </c>
      <c r="P358">
        <v>0</v>
      </c>
      <c r="Q358">
        <v>0</v>
      </c>
      <c r="R358">
        <v>0</v>
      </c>
      <c r="S358">
        <v>0</v>
      </c>
      <c r="T358">
        <v>399</v>
      </c>
      <c r="U358">
        <v>566</v>
      </c>
      <c r="V358">
        <v>836</v>
      </c>
      <c r="W358">
        <v>784</v>
      </c>
      <c r="X358">
        <v>1447</v>
      </c>
      <c r="Y358">
        <v>1139</v>
      </c>
      <c r="Z358">
        <v>825</v>
      </c>
      <c r="AA358">
        <v>953</v>
      </c>
    </row>
    <row r="359" spans="1:27" hidden="1">
      <c r="A359" s="37" t="s">
        <v>1708</v>
      </c>
      <c r="B359" s="37">
        <v>0</v>
      </c>
      <c r="C359" s="37">
        <v>0</v>
      </c>
      <c r="D359" s="37">
        <v>0</v>
      </c>
      <c r="E359" s="37">
        <v>0</v>
      </c>
      <c r="F359" s="37">
        <v>0</v>
      </c>
      <c r="G359" s="37">
        <v>1785</v>
      </c>
      <c r="H359" s="37">
        <v>1444</v>
      </c>
      <c r="I359" s="37">
        <v>1189</v>
      </c>
      <c r="J359" s="37">
        <v>618</v>
      </c>
      <c r="K359">
        <v>291</v>
      </c>
      <c r="L359">
        <v>635</v>
      </c>
      <c r="M359">
        <v>501</v>
      </c>
      <c r="N359">
        <v>658</v>
      </c>
      <c r="O359">
        <v>0</v>
      </c>
      <c r="P359">
        <v>0</v>
      </c>
      <c r="Q359">
        <v>0</v>
      </c>
      <c r="R359">
        <v>0</v>
      </c>
      <c r="S359">
        <v>0</v>
      </c>
      <c r="T359">
        <v>205</v>
      </c>
      <c r="U359">
        <v>289</v>
      </c>
      <c r="V359">
        <v>263</v>
      </c>
      <c r="W359">
        <v>106</v>
      </c>
      <c r="X359">
        <v>80</v>
      </c>
      <c r="Y359">
        <v>76</v>
      </c>
      <c r="Z359">
        <v>68</v>
      </c>
      <c r="AA359">
        <v>112</v>
      </c>
    </row>
    <row r="360" spans="1:27" hidden="1">
      <c r="A360" s="37" t="s">
        <v>119</v>
      </c>
      <c r="B360" s="37">
        <v>0</v>
      </c>
      <c r="C360" s="37">
        <v>0</v>
      </c>
      <c r="D360" s="37">
        <v>0</v>
      </c>
      <c r="E360" s="37">
        <v>0</v>
      </c>
      <c r="F360" s="37">
        <v>0</v>
      </c>
      <c r="G360" s="37">
        <v>0</v>
      </c>
      <c r="H360" s="37">
        <v>0</v>
      </c>
      <c r="I360" s="37">
        <v>762</v>
      </c>
      <c r="J360" s="37">
        <v>5336</v>
      </c>
      <c r="K360">
        <v>13248</v>
      </c>
      <c r="L360">
        <v>15839</v>
      </c>
      <c r="M360">
        <v>12484</v>
      </c>
      <c r="N360">
        <v>26717</v>
      </c>
      <c r="O360">
        <v>0</v>
      </c>
      <c r="P360">
        <v>0</v>
      </c>
      <c r="Q360">
        <v>0</v>
      </c>
      <c r="R360">
        <v>0</v>
      </c>
      <c r="S360">
        <v>0</v>
      </c>
      <c r="T360">
        <v>0</v>
      </c>
      <c r="U360">
        <v>0</v>
      </c>
      <c r="V360">
        <v>48</v>
      </c>
      <c r="W360">
        <v>1064</v>
      </c>
      <c r="X360">
        <v>2923</v>
      </c>
      <c r="Y360">
        <v>3698</v>
      </c>
      <c r="Z360">
        <v>2909</v>
      </c>
      <c r="AA360">
        <v>6897</v>
      </c>
    </row>
    <row r="361" spans="1:27" hidden="1">
      <c r="A361" s="37" t="s">
        <v>403</v>
      </c>
      <c r="B361" s="37">
        <v>0</v>
      </c>
      <c r="C361" s="37">
        <v>0</v>
      </c>
      <c r="D361" s="37">
        <v>0</v>
      </c>
      <c r="E361" s="37">
        <v>0</v>
      </c>
      <c r="F361" s="37">
        <v>0</v>
      </c>
      <c r="G361" s="37">
        <v>7630</v>
      </c>
      <c r="H361" s="37">
        <v>2562</v>
      </c>
      <c r="I361" s="37">
        <v>2152</v>
      </c>
      <c r="J361" s="37">
        <v>3470</v>
      </c>
      <c r="K361">
        <v>5129</v>
      </c>
      <c r="L361">
        <v>3255</v>
      </c>
      <c r="M361">
        <v>2612</v>
      </c>
      <c r="N361">
        <v>6158</v>
      </c>
      <c r="O361">
        <v>0</v>
      </c>
      <c r="P361">
        <v>0</v>
      </c>
      <c r="Q361">
        <v>0</v>
      </c>
      <c r="R361">
        <v>0</v>
      </c>
      <c r="S361">
        <v>0</v>
      </c>
      <c r="T361">
        <v>176</v>
      </c>
      <c r="U361">
        <v>639</v>
      </c>
      <c r="V361">
        <v>75</v>
      </c>
      <c r="W361">
        <v>1013</v>
      </c>
      <c r="X361">
        <v>844</v>
      </c>
      <c r="Y361">
        <v>323</v>
      </c>
      <c r="Z361">
        <v>310</v>
      </c>
      <c r="AA361">
        <v>476</v>
      </c>
    </row>
    <row r="362" spans="1:27" hidden="1">
      <c r="A362" s="37" t="s">
        <v>1121</v>
      </c>
      <c r="B362" s="37">
        <v>0</v>
      </c>
      <c r="C362" s="37">
        <v>0</v>
      </c>
      <c r="D362" s="37">
        <v>0</v>
      </c>
      <c r="E362" s="37">
        <v>0</v>
      </c>
      <c r="F362" s="37">
        <v>0</v>
      </c>
      <c r="G362" s="37">
        <v>260</v>
      </c>
      <c r="H362" s="37">
        <v>228</v>
      </c>
      <c r="I362" s="37">
        <v>499</v>
      </c>
      <c r="J362" s="37">
        <v>895</v>
      </c>
      <c r="K362">
        <v>947</v>
      </c>
      <c r="L362">
        <v>1210</v>
      </c>
      <c r="M362">
        <v>1576</v>
      </c>
      <c r="N362">
        <v>1459</v>
      </c>
      <c r="O362">
        <v>0</v>
      </c>
      <c r="P362">
        <v>0</v>
      </c>
      <c r="Q362">
        <v>0</v>
      </c>
      <c r="R362">
        <v>0</v>
      </c>
      <c r="S362">
        <v>0</v>
      </c>
      <c r="T362">
        <v>72</v>
      </c>
      <c r="U362">
        <v>46</v>
      </c>
      <c r="V362">
        <v>84</v>
      </c>
      <c r="W362">
        <v>174</v>
      </c>
      <c r="X362">
        <v>238</v>
      </c>
      <c r="Y362">
        <v>296</v>
      </c>
      <c r="Z362">
        <v>354</v>
      </c>
      <c r="AA362">
        <v>337</v>
      </c>
    </row>
    <row r="363" spans="1:27" hidden="1">
      <c r="A363" s="37" t="s">
        <v>1709</v>
      </c>
      <c r="B363" s="37">
        <v>0</v>
      </c>
      <c r="C363" s="37">
        <v>0</v>
      </c>
      <c r="D363" s="37">
        <v>0</v>
      </c>
      <c r="E363" s="37">
        <v>74</v>
      </c>
      <c r="F363" s="37">
        <v>732</v>
      </c>
      <c r="G363" s="37">
        <v>2355</v>
      </c>
      <c r="H363" s="37">
        <v>1554</v>
      </c>
      <c r="I363" s="37">
        <v>1083</v>
      </c>
      <c r="J363" s="37">
        <v>1206</v>
      </c>
      <c r="K363">
        <v>1104</v>
      </c>
      <c r="L363">
        <v>1035</v>
      </c>
      <c r="M363">
        <v>1001</v>
      </c>
      <c r="N363">
        <v>1273</v>
      </c>
      <c r="O363">
        <v>0</v>
      </c>
      <c r="P363">
        <v>0</v>
      </c>
      <c r="Q363">
        <v>0</v>
      </c>
      <c r="R363">
        <v>30</v>
      </c>
      <c r="S363">
        <v>356</v>
      </c>
      <c r="T363">
        <v>1057</v>
      </c>
      <c r="U363">
        <v>565</v>
      </c>
      <c r="V363">
        <v>381</v>
      </c>
      <c r="W363">
        <v>462</v>
      </c>
      <c r="X363">
        <v>475</v>
      </c>
      <c r="Y363">
        <v>341</v>
      </c>
      <c r="Z363">
        <v>366</v>
      </c>
      <c r="AA363">
        <v>408</v>
      </c>
    </row>
    <row r="364" spans="1:27" hidden="1">
      <c r="A364" s="37" t="s">
        <v>1710</v>
      </c>
      <c r="B364" s="37">
        <v>0</v>
      </c>
      <c r="C364" s="37">
        <v>0</v>
      </c>
      <c r="D364" s="37">
        <v>0</v>
      </c>
      <c r="E364" s="37">
        <v>66</v>
      </c>
      <c r="F364" s="37">
        <v>40</v>
      </c>
      <c r="G364" s="37">
        <v>147</v>
      </c>
      <c r="H364" s="37">
        <v>138</v>
      </c>
      <c r="I364" s="37">
        <v>116</v>
      </c>
      <c r="J364" s="37">
        <v>178</v>
      </c>
      <c r="K364">
        <v>141</v>
      </c>
      <c r="L364">
        <v>183</v>
      </c>
      <c r="M364">
        <v>0</v>
      </c>
      <c r="N364">
        <v>61</v>
      </c>
      <c r="O364">
        <v>0</v>
      </c>
      <c r="P364">
        <v>0</v>
      </c>
      <c r="Q364">
        <v>0</v>
      </c>
      <c r="R364">
        <v>18</v>
      </c>
      <c r="S364">
        <v>12</v>
      </c>
      <c r="T364">
        <v>25</v>
      </c>
      <c r="U364">
        <v>31</v>
      </c>
      <c r="V364">
        <v>27</v>
      </c>
      <c r="W364">
        <v>45</v>
      </c>
      <c r="X364">
        <v>28</v>
      </c>
      <c r="Y364">
        <v>68</v>
      </c>
      <c r="Z364">
        <v>0</v>
      </c>
      <c r="AA364">
        <v>26</v>
      </c>
    </row>
    <row r="365" spans="1:27" hidden="1">
      <c r="A365" s="37" t="s">
        <v>379</v>
      </c>
      <c r="B365" s="37">
        <v>0</v>
      </c>
      <c r="C365" s="37">
        <v>0</v>
      </c>
      <c r="D365" s="37">
        <v>0</v>
      </c>
      <c r="E365" s="37">
        <v>216</v>
      </c>
      <c r="F365" s="37">
        <v>572</v>
      </c>
      <c r="G365" s="37">
        <v>531</v>
      </c>
      <c r="H365" s="37">
        <v>442</v>
      </c>
      <c r="I365" s="37">
        <v>923</v>
      </c>
      <c r="J365" s="37">
        <v>619</v>
      </c>
      <c r="K365">
        <v>960</v>
      </c>
      <c r="L365">
        <v>135</v>
      </c>
      <c r="M365">
        <v>437</v>
      </c>
      <c r="N365">
        <v>1445</v>
      </c>
      <c r="O365">
        <v>0</v>
      </c>
      <c r="P365">
        <v>0</v>
      </c>
      <c r="Q365">
        <v>0</v>
      </c>
      <c r="R365">
        <v>9</v>
      </c>
      <c r="S365">
        <v>92</v>
      </c>
      <c r="T365">
        <v>93</v>
      </c>
      <c r="U365">
        <v>57</v>
      </c>
      <c r="V365">
        <v>145</v>
      </c>
      <c r="W365">
        <v>89</v>
      </c>
      <c r="X365">
        <v>220</v>
      </c>
      <c r="Y365">
        <v>31</v>
      </c>
      <c r="Z365">
        <v>90</v>
      </c>
      <c r="AA365">
        <v>178</v>
      </c>
    </row>
    <row r="366" spans="1:27" hidden="1">
      <c r="A366" s="37" t="s">
        <v>1711</v>
      </c>
      <c r="B366" s="37">
        <v>0</v>
      </c>
      <c r="C366" s="37">
        <v>0</v>
      </c>
      <c r="D366" s="37">
        <v>0</v>
      </c>
      <c r="E366" s="37">
        <v>0</v>
      </c>
      <c r="F366" s="37">
        <v>0</v>
      </c>
      <c r="G366" s="37">
        <v>0</v>
      </c>
      <c r="H366" s="37">
        <v>0</v>
      </c>
      <c r="I366" s="37">
        <v>0</v>
      </c>
      <c r="J366" s="37">
        <v>187</v>
      </c>
      <c r="K366">
        <v>988</v>
      </c>
      <c r="L366">
        <v>532</v>
      </c>
      <c r="M366">
        <v>680</v>
      </c>
      <c r="N366">
        <v>0</v>
      </c>
      <c r="O366">
        <v>0</v>
      </c>
      <c r="P366">
        <v>0</v>
      </c>
      <c r="Q366">
        <v>0</v>
      </c>
      <c r="R366">
        <v>0</v>
      </c>
      <c r="S366">
        <v>0</v>
      </c>
      <c r="T366">
        <v>0</v>
      </c>
      <c r="U366">
        <v>0</v>
      </c>
      <c r="V366">
        <v>0</v>
      </c>
      <c r="W366">
        <v>38</v>
      </c>
      <c r="X366">
        <v>121</v>
      </c>
      <c r="Y366">
        <v>86</v>
      </c>
      <c r="Z366">
        <v>89</v>
      </c>
      <c r="AA366">
        <v>0</v>
      </c>
    </row>
    <row r="367" spans="1:27" hidden="1">
      <c r="A367" s="37" t="s">
        <v>563</v>
      </c>
      <c r="B367" s="37">
        <v>0</v>
      </c>
      <c r="C367" s="37">
        <v>0</v>
      </c>
      <c r="D367" s="37">
        <v>0</v>
      </c>
      <c r="E367" s="37">
        <v>0</v>
      </c>
      <c r="F367" s="37">
        <v>0</v>
      </c>
      <c r="G367" s="37">
        <v>0</v>
      </c>
      <c r="H367" s="37">
        <v>0</v>
      </c>
      <c r="I367" s="37">
        <v>15</v>
      </c>
      <c r="J367" s="37">
        <v>282</v>
      </c>
      <c r="K367">
        <v>279</v>
      </c>
      <c r="L367">
        <v>175</v>
      </c>
      <c r="M367">
        <v>310</v>
      </c>
      <c r="N367">
        <v>457</v>
      </c>
      <c r="O367">
        <v>0</v>
      </c>
      <c r="P367">
        <v>0</v>
      </c>
      <c r="Q367">
        <v>0</v>
      </c>
      <c r="R367">
        <v>0</v>
      </c>
      <c r="S367">
        <v>0</v>
      </c>
      <c r="T367">
        <v>0</v>
      </c>
      <c r="U367">
        <v>0</v>
      </c>
      <c r="V367">
        <v>0</v>
      </c>
      <c r="W367">
        <v>50</v>
      </c>
      <c r="X367">
        <v>47</v>
      </c>
      <c r="Y367">
        <v>22</v>
      </c>
      <c r="Z367">
        <v>38</v>
      </c>
      <c r="AA367">
        <v>72</v>
      </c>
    </row>
    <row r="368" spans="1:27" hidden="1">
      <c r="A368" s="37" t="s">
        <v>129</v>
      </c>
      <c r="B368" s="37">
        <v>0</v>
      </c>
      <c r="C368" s="37">
        <v>0</v>
      </c>
      <c r="D368" s="37">
        <v>0</v>
      </c>
      <c r="E368" s="37">
        <v>0</v>
      </c>
      <c r="F368" s="37">
        <v>0</v>
      </c>
      <c r="G368" s="37">
        <v>0</v>
      </c>
      <c r="H368" s="37">
        <v>0</v>
      </c>
      <c r="I368" s="37">
        <v>3</v>
      </c>
      <c r="J368" s="37">
        <v>1632</v>
      </c>
      <c r="K368">
        <v>1654</v>
      </c>
      <c r="L368">
        <v>1612</v>
      </c>
      <c r="M368">
        <v>1324</v>
      </c>
      <c r="N368">
        <v>2097</v>
      </c>
      <c r="O368">
        <v>0</v>
      </c>
      <c r="P368">
        <v>0</v>
      </c>
      <c r="Q368">
        <v>0</v>
      </c>
      <c r="R368">
        <v>0</v>
      </c>
      <c r="S368">
        <v>0</v>
      </c>
      <c r="T368">
        <v>0</v>
      </c>
      <c r="U368">
        <v>0</v>
      </c>
      <c r="V368">
        <v>0</v>
      </c>
      <c r="W368">
        <v>193</v>
      </c>
      <c r="X368">
        <v>226</v>
      </c>
      <c r="Y368">
        <v>213</v>
      </c>
      <c r="Z368">
        <v>212</v>
      </c>
      <c r="AA368">
        <v>353</v>
      </c>
    </row>
    <row r="369" spans="1:27" hidden="1">
      <c r="A369" s="37" t="s">
        <v>481</v>
      </c>
      <c r="B369" s="37">
        <v>0</v>
      </c>
      <c r="C369" s="37">
        <v>0</v>
      </c>
      <c r="D369" s="37">
        <v>0</v>
      </c>
      <c r="E369" s="37">
        <v>0</v>
      </c>
      <c r="F369" s="37">
        <v>0</v>
      </c>
      <c r="G369" s="37">
        <v>0</v>
      </c>
      <c r="H369" s="37">
        <v>0</v>
      </c>
      <c r="I369" s="37">
        <v>0</v>
      </c>
      <c r="J369" s="37">
        <v>0</v>
      </c>
      <c r="K369">
        <v>89</v>
      </c>
      <c r="L369">
        <v>1099</v>
      </c>
      <c r="M369">
        <v>901</v>
      </c>
      <c r="N369">
        <v>1775</v>
      </c>
      <c r="O369">
        <v>0</v>
      </c>
      <c r="P369">
        <v>0</v>
      </c>
      <c r="Q369">
        <v>0</v>
      </c>
      <c r="R369">
        <v>0</v>
      </c>
      <c r="S369">
        <v>0</v>
      </c>
      <c r="T369">
        <v>0</v>
      </c>
      <c r="U369">
        <v>0</v>
      </c>
      <c r="V369">
        <v>0</v>
      </c>
      <c r="W369">
        <v>0</v>
      </c>
      <c r="X369">
        <v>24</v>
      </c>
      <c r="Y369">
        <v>339</v>
      </c>
      <c r="Z369">
        <v>137</v>
      </c>
      <c r="AA369">
        <v>370</v>
      </c>
    </row>
    <row r="370" spans="1:27" hidden="1">
      <c r="A370" s="37" t="s">
        <v>645</v>
      </c>
      <c r="B370" s="37">
        <v>0</v>
      </c>
      <c r="C370" s="37">
        <v>0</v>
      </c>
      <c r="D370" s="37">
        <v>0</v>
      </c>
      <c r="E370" s="37">
        <v>0</v>
      </c>
      <c r="F370" s="37">
        <v>0</v>
      </c>
      <c r="G370" s="37">
        <v>0</v>
      </c>
      <c r="H370" s="37">
        <v>0</v>
      </c>
      <c r="I370" s="37">
        <v>1854</v>
      </c>
      <c r="J370" s="37">
        <v>5025</v>
      </c>
      <c r="K370">
        <v>3061</v>
      </c>
      <c r="L370">
        <v>3625</v>
      </c>
      <c r="M370">
        <v>4380</v>
      </c>
      <c r="N370">
        <v>5852</v>
      </c>
      <c r="O370">
        <v>0</v>
      </c>
      <c r="P370">
        <v>0</v>
      </c>
      <c r="Q370">
        <v>0</v>
      </c>
      <c r="R370">
        <v>0</v>
      </c>
      <c r="S370">
        <v>0</v>
      </c>
      <c r="T370">
        <v>0</v>
      </c>
      <c r="U370">
        <v>0</v>
      </c>
      <c r="V370">
        <v>331</v>
      </c>
      <c r="W370">
        <v>1087</v>
      </c>
      <c r="X370">
        <v>665</v>
      </c>
      <c r="Y370">
        <v>801</v>
      </c>
      <c r="Z370">
        <v>946</v>
      </c>
      <c r="AA370">
        <v>1305</v>
      </c>
    </row>
    <row r="371" spans="1:27" hidden="1">
      <c r="A371" s="37" t="s">
        <v>273</v>
      </c>
      <c r="B371" s="37">
        <v>0</v>
      </c>
      <c r="C371" s="37">
        <v>0</v>
      </c>
      <c r="D371" s="37">
        <v>0</v>
      </c>
      <c r="E371" s="37">
        <v>0</v>
      </c>
      <c r="F371" s="37">
        <v>0</v>
      </c>
      <c r="G371" s="37">
        <v>0</v>
      </c>
      <c r="H371" s="37">
        <v>18</v>
      </c>
      <c r="I371" s="37">
        <v>1584</v>
      </c>
      <c r="J371" s="37">
        <v>722</v>
      </c>
      <c r="K371">
        <v>2957</v>
      </c>
      <c r="L371">
        <v>3729</v>
      </c>
      <c r="M371">
        <v>1711</v>
      </c>
      <c r="N371">
        <v>4745</v>
      </c>
      <c r="O371">
        <v>0</v>
      </c>
      <c r="P371">
        <v>0</v>
      </c>
      <c r="Q371">
        <v>0</v>
      </c>
      <c r="R371">
        <v>0</v>
      </c>
      <c r="S371">
        <v>0</v>
      </c>
      <c r="T371">
        <v>0</v>
      </c>
      <c r="U371">
        <v>0</v>
      </c>
      <c r="V371">
        <v>24</v>
      </c>
      <c r="W371">
        <v>20</v>
      </c>
      <c r="X371">
        <v>87</v>
      </c>
      <c r="Y371">
        <v>66</v>
      </c>
      <c r="Z371">
        <v>67</v>
      </c>
      <c r="AA371">
        <v>201</v>
      </c>
    </row>
    <row r="372" spans="1:27" hidden="1">
      <c r="A372" s="37" t="s">
        <v>547</v>
      </c>
      <c r="B372" s="37">
        <v>0</v>
      </c>
      <c r="C372" s="37">
        <v>0</v>
      </c>
      <c r="D372" s="37">
        <v>0</v>
      </c>
      <c r="E372" s="37">
        <v>0</v>
      </c>
      <c r="F372" s="37">
        <v>0</v>
      </c>
      <c r="G372" s="37">
        <v>0</v>
      </c>
      <c r="H372" s="37">
        <v>0</v>
      </c>
      <c r="I372" s="37">
        <v>169</v>
      </c>
      <c r="J372" s="37">
        <v>1813</v>
      </c>
      <c r="K372">
        <v>5468</v>
      </c>
      <c r="L372">
        <v>2750</v>
      </c>
      <c r="M372">
        <v>2999</v>
      </c>
      <c r="N372">
        <v>5283</v>
      </c>
      <c r="O372">
        <v>0</v>
      </c>
      <c r="P372">
        <v>0</v>
      </c>
      <c r="Q372">
        <v>0</v>
      </c>
      <c r="R372">
        <v>0</v>
      </c>
      <c r="S372">
        <v>0</v>
      </c>
      <c r="T372">
        <v>0</v>
      </c>
      <c r="U372">
        <v>0</v>
      </c>
      <c r="V372">
        <v>48</v>
      </c>
      <c r="W372">
        <v>155</v>
      </c>
      <c r="X372">
        <v>502</v>
      </c>
      <c r="Y372">
        <v>389</v>
      </c>
      <c r="Z372">
        <v>415</v>
      </c>
      <c r="AA372">
        <v>810</v>
      </c>
    </row>
    <row r="373" spans="1:27" hidden="1">
      <c r="A373" s="37" t="s">
        <v>515</v>
      </c>
      <c r="B373" s="37">
        <v>0</v>
      </c>
      <c r="C373" s="37">
        <v>0</v>
      </c>
      <c r="D373" s="37">
        <v>0</v>
      </c>
      <c r="E373" s="37">
        <v>0</v>
      </c>
      <c r="F373" s="37">
        <v>0</v>
      </c>
      <c r="G373" s="37">
        <v>0</v>
      </c>
      <c r="H373" s="37">
        <v>0</v>
      </c>
      <c r="I373" s="37">
        <v>0</v>
      </c>
      <c r="J373" s="37">
        <v>0</v>
      </c>
      <c r="K373">
        <v>1</v>
      </c>
      <c r="L373">
        <v>432</v>
      </c>
      <c r="M373">
        <v>794</v>
      </c>
      <c r="N373">
        <v>1176</v>
      </c>
      <c r="O373">
        <v>0</v>
      </c>
      <c r="P373">
        <v>0</v>
      </c>
      <c r="Q373">
        <v>0</v>
      </c>
      <c r="R373">
        <v>0</v>
      </c>
      <c r="S373">
        <v>0</v>
      </c>
      <c r="T373">
        <v>0</v>
      </c>
      <c r="U373">
        <v>0</v>
      </c>
      <c r="V373">
        <v>0</v>
      </c>
      <c r="W373">
        <v>0</v>
      </c>
      <c r="X373">
        <v>0</v>
      </c>
      <c r="Y373">
        <v>153</v>
      </c>
      <c r="Z373">
        <v>202</v>
      </c>
      <c r="AA373">
        <v>338</v>
      </c>
    </row>
    <row r="374" spans="1:27" hidden="1">
      <c r="A374" s="37" t="s">
        <v>619</v>
      </c>
      <c r="B374" s="37">
        <v>0</v>
      </c>
      <c r="C374" s="37">
        <v>0</v>
      </c>
      <c r="D374" s="37">
        <v>0</v>
      </c>
      <c r="E374" s="37">
        <v>0</v>
      </c>
      <c r="F374" s="37">
        <v>0</v>
      </c>
      <c r="G374" s="37">
        <v>0</v>
      </c>
      <c r="H374" s="37">
        <v>0</v>
      </c>
      <c r="I374" s="37">
        <v>699</v>
      </c>
      <c r="J374" s="37">
        <v>1548</v>
      </c>
      <c r="K374">
        <v>1571</v>
      </c>
      <c r="L374">
        <v>1659</v>
      </c>
      <c r="M374">
        <v>3665</v>
      </c>
      <c r="N374">
        <v>1988</v>
      </c>
      <c r="O374">
        <v>0</v>
      </c>
      <c r="P374">
        <v>0</v>
      </c>
      <c r="Q374">
        <v>0</v>
      </c>
      <c r="R374">
        <v>0</v>
      </c>
      <c r="S374">
        <v>0</v>
      </c>
      <c r="T374">
        <v>0</v>
      </c>
      <c r="U374">
        <v>0</v>
      </c>
      <c r="V374">
        <v>225</v>
      </c>
      <c r="W374">
        <v>396</v>
      </c>
      <c r="X374">
        <v>370</v>
      </c>
      <c r="Y374">
        <v>381</v>
      </c>
      <c r="Z374">
        <v>872</v>
      </c>
      <c r="AA374">
        <v>391</v>
      </c>
    </row>
    <row r="375" spans="1:27" hidden="1">
      <c r="A375" s="37" t="s">
        <v>675</v>
      </c>
      <c r="B375" s="37">
        <v>0</v>
      </c>
      <c r="C375" s="37">
        <v>0</v>
      </c>
      <c r="D375" s="37">
        <v>0</v>
      </c>
      <c r="E375" s="37">
        <v>0</v>
      </c>
      <c r="F375" s="37">
        <v>0</v>
      </c>
      <c r="G375" s="37">
        <v>0</v>
      </c>
      <c r="H375" s="37">
        <v>0</v>
      </c>
      <c r="I375" s="37">
        <v>0</v>
      </c>
      <c r="J375" s="37">
        <v>1598</v>
      </c>
      <c r="K375">
        <v>2982</v>
      </c>
      <c r="L375">
        <v>1770</v>
      </c>
      <c r="M375">
        <v>1550</v>
      </c>
      <c r="N375">
        <v>2410</v>
      </c>
      <c r="O375">
        <v>0</v>
      </c>
      <c r="P375">
        <v>0</v>
      </c>
      <c r="Q375">
        <v>0</v>
      </c>
      <c r="R375">
        <v>0</v>
      </c>
      <c r="S375">
        <v>0</v>
      </c>
      <c r="T375">
        <v>0</v>
      </c>
      <c r="U375">
        <v>0</v>
      </c>
      <c r="V375">
        <v>0</v>
      </c>
      <c r="W375">
        <v>229</v>
      </c>
      <c r="X375">
        <v>547</v>
      </c>
      <c r="Y375">
        <v>284</v>
      </c>
      <c r="Z375">
        <v>264</v>
      </c>
      <c r="AA375">
        <v>322</v>
      </c>
    </row>
    <row r="376" spans="1:27" hidden="1">
      <c r="A376" s="37" t="s">
        <v>601</v>
      </c>
      <c r="B376" s="37">
        <v>0</v>
      </c>
      <c r="C376" s="37">
        <v>0</v>
      </c>
      <c r="D376" s="37">
        <v>0</v>
      </c>
      <c r="E376" s="37">
        <v>0</v>
      </c>
      <c r="F376" s="37">
        <v>0</v>
      </c>
      <c r="G376" s="37">
        <v>0</v>
      </c>
      <c r="H376" s="37">
        <v>0</v>
      </c>
      <c r="I376" s="37">
        <v>0</v>
      </c>
      <c r="J376" s="37">
        <v>0</v>
      </c>
      <c r="K376">
        <v>199</v>
      </c>
      <c r="L376">
        <v>944</v>
      </c>
      <c r="M376">
        <v>1775</v>
      </c>
      <c r="N376">
        <v>2660</v>
      </c>
      <c r="O376">
        <v>0</v>
      </c>
      <c r="P376">
        <v>0</v>
      </c>
      <c r="Q376">
        <v>0</v>
      </c>
      <c r="R376">
        <v>0</v>
      </c>
      <c r="S376">
        <v>0</v>
      </c>
      <c r="T376">
        <v>0</v>
      </c>
      <c r="U376">
        <v>0</v>
      </c>
      <c r="V376">
        <v>0</v>
      </c>
      <c r="W376">
        <v>0</v>
      </c>
      <c r="X376">
        <v>36</v>
      </c>
      <c r="Y376">
        <v>154</v>
      </c>
      <c r="Z376">
        <v>291</v>
      </c>
      <c r="AA376">
        <v>400</v>
      </c>
    </row>
    <row r="377" spans="1:27" hidden="1">
      <c r="A377" s="37" t="s">
        <v>1689</v>
      </c>
      <c r="B377" s="37">
        <v>0</v>
      </c>
      <c r="C377" s="37">
        <v>0</v>
      </c>
      <c r="D377" s="37">
        <v>0</v>
      </c>
      <c r="E377" s="37">
        <v>0</v>
      </c>
      <c r="F377" s="37">
        <v>0</v>
      </c>
      <c r="G377" s="37">
        <v>0</v>
      </c>
      <c r="H377" s="37">
        <v>0</v>
      </c>
      <c r="I377" s="37">
        <v>0</v>
      </c>
      <c r="J377" s="37">
        <v>8</v>
      </c>
      <c r="K377">
        <v>1041</v>
      </c>
      <c r="L377">
        <v>1036</v>
      </c>
      <c r="M377">
        <v>1029</v>
      </c>
      <c r="N377">
        <v>2453</v>
      </c>
      <c r="O377">
        <v>0</v>
      </c>
      <c r="P377">
        <v>0</v>
      </c>
      <c r="Q377">
        <v>0</v>
      </c>
      <c r="R377">
        <v>0</v>
      </c>
      <c r="S377">
        <v>0</v>
      </c>
      <c r="T377">
        <v>0</v>
      </c>
      <c r="U377">
        <v>0</v>
      </c>
      <c r="V377">
        <v>0</v>
      </c>
      <c r="W377">
        <v>0</v>
      </c>
      <c r="X377">
        <v>171</v>
      </c>
      <c r="Y377">
        <v>171</v>
      </c>
      <c r="Z377">
        <v>133</v>
      </c>
      <c r="AA377">
        <v>422</v>
      </c>
    </row>
    <row r="378" spans="1:27" hidden="1">
      <c r="A378" s="37" t="s">
        <v>121</v>
      </c>
      <c r="B378" s="37">
        <v>0</v>
      </c>
      <c r="C378" s="37">
        <v>0</v>
      </c>
      <c r="D378" s="37">
        <v>0</v>
      </c>
      <c r="E378" s="37">
        <v>0</v>
      </c>
      <c r="F378" s="37">
        <v>0</v>
      </c>
      <c r="G378" s="37">
        <v>0</v>
      </c>
      <c r="H378" s="37">
        <v>0</v>
      </c>
      <c r="I378" s="37">
        <v>0</v>
      </c>
      <c r="J378" s="37">
        <v>0</v>
      </c>
      <c r="K378">
        <v>365</v>
      </c>
      <c r="L378">
        <v>961</v>
      </c>
      <c r="M378">
        <v>851</v>
      </c>
      <c r="N378">
        <v>1606</v>
      </c>
      <c r="O378">
        <v>0</v>
      </c>
      <c r="P378">
        <v>0</v>
      </c>
      <c r="Q378">
        <v>0</v>
      </c>
      <c r="R378">
        <v>0</v>
      </c>
      <c r="S378">
        <v>0</v>
      </c>
      <c r="T378">
        <v>0</v>
      </c>
      <c r="U378">
        <v>0</v>
      </c>
      <c r="V378">
        <v>0</v>
      </c>
      <c r="W378">
        <v>0</v>
      </c>
      <c r="X378">
        <v>73</v>
      </c>
      <c r="Y378">
        <v>253</v>
      </c>
      <c r="Z378">
        <v>222</v>
      </c>
      <c r="AA378">
        <v>355</v>
      </c>
    </row>
    <row r="379" spans="1:27" hidden="1">
      <c r="A379" s="37" t="s">
        <v>1712</v>
      </c>
      <c r="B379" s="37">
        <v>0</v>
      </c>
      <c r="C379" s="37">
        <v>0</v>
      </c>
      <c r="D379" s="37">
        <v>0</v>
      </c>
      <c r="E379" s="37">
        <v>0</v>
      </c>
      <c r="F379" s="37">
        <v>0</v>
      </c>
      <c r="G379" s="37">
        <v>1321</v>
      </c>
      <c r="H379" s="37">
        <v>2615</v>
      </c>
      <c r="I379" s="37">
        <v>2472</v>
      </c>
      <c r="J379" s="37">
        <v>1956</v>
      </c>
      <c r="K379">
        <v>1699</v>
      </c>
      <c r="L379">
        <v>2976</v>
      </c>
      <c r="M379">
        <v>2260</v>
      </c>
      <c r="N379">
        <v>2133</v>
      </c>
      <c r="O379">
        <v>0</v>
      </c>
      <c r="P379">
        <v>0</v>
      </c>
      <c r="Q379">
        <v>0</v>
      </c>
      <c r="R379">
        <v>0</v>
      </c>
      <c r="S379">
        <v>0</v>
      </c>
      <c r="T379">
        <v>111</v>
      </c>
      <c r="U379">
        <v>249</v>
      </c>
      <c r="V379">
        <v>291</v>
      </c>
      <c r="W379">
        <v>336</v>
      </c>
      <c r="X379">
        <v>284</v>
      </c>
      <c r="Y379">
        <v>1193</v>
      </c>
      <c r="Z379">
        <v>335</v>
      </c>
      <c r="AA379">
        <v>341</v>
      </c>
    </row>
    <row r="380" spans="1:27" hidden="1">
      <c r="A380" s="37" t="s">
        <v>1142</v>
      </c>
      <c r="B380" s="37">
        <v>0</v>
      </c>
      <c r="C380" s="37">
        <v>0</v>
      </c>
      <c r="D380" s="37">
        <v>0</v>
      </c>
      <c r="E380" s="37">
        <v>0</v>
      </c>
      <c r="F380" s="37">
        <v>0</v>
      </c>
      <c r="G380" s="37">
        <v>0</v>
      </c>
      <c r="H380" s="37">
        <v>0</v>
      </c>
      <c r="I380" s="37">
        <v>0</v>
      </c>
      <c r="J380" s="37">
        <v>168</v>
      </c>
      <c r="K380">
        <v>609</v>
      </c>
      <c r="L380">
        <v>662</v>
      </c>
      <c r="M380">
        <v>945</v>
      </c>
      <c r="N380">
        <v>1137</v>
      </c>
      <c r="O380">
        <v>0</v>
      </c>
      <c r="P380">
        <v>0</v>
      </c>
      <c r="Q380">
        <v>0</v>
      </c>
      <c r="R380">
        <v>0</v>
      </c>
      <c r="S380">
        <v>0</v>
      </c>
      <c r="T380">
        <v>0</v>
      </c>
      <c r="U380">
        <v>0</v>
      </c>
      <c r="V380">
        <v>0</v>
      </c>
      <c r="W380">
        <v>34</v>
      </c>
      <c r="X380">
        <v>143</v>
      </c>
      <c r="Y380">
        <v>141</v>
      </c>
      <c r="Z380">
        <v>221</v>
      </c>
      <c r="AA380">
        <v>241</v>
      </c>
    </row>
    <row r="381" spans="1:27" hidden="1">
      <c r="A381" s="37" t="s">
        <v>916</v>
      </c>
      <c r="B381" s="37">
        <v>0</v>
      </c>
      <c r="C381" s="37">
        <v>0</v>
      </c>
      <c r="D381" s="37">
        <v>0</v>
      </c>
      <c r="E381" s="37">
        <v>0</v>
      </c>
      <c r="F381" s="37">
        <v>0</v>
      </c>
      <c r="G381" s="37">
        <v>0</v>
      </c>
      <c r="H381" s="37">
        <v>0</v>
      </c>
      <c r="I381" s="37">
        <v>0</v>
      </c>
      <c r="J381" s="37">
        <v>677</v>
      </c>
      <c r="K381">
        <v>5736</v>
      </c>
      <c r="L381">
        <v>2881</v>
      </c>
      <c r="M381">
        <v>6153</v>
      </c>
      <c r="N381">
        <v>8709</v>
      </c>
      <c r="O381">
        <v>0</v>
      </c>
      <c r="P381">
        <v>0</v>
      </c>
      <c r="Q381">
        <v>0</v>
      </c>
      <c r="R381">
        <v>0</v>
      </c>
      <c r="S381">
        <v>0</v>
      </c>
      <c r="T381">
        <v>0</v>
      </c>
      <c r="U381">
        <v>0</v>
      </c>
      <c r="V381">
        <v>0</v>
      </c>
      <c r="W381">
        <v>74</v>
      </c>
      <c r="X381">
        <v>1033</v>
      </c>
      <c r="Y381">
        <v>439</v>
      </c>
      <c r="Z381">
        <v>749</v>
      </c>
      <c r="AA381">
        <v>1717</v>
      </c>
    </row>
    <row r="382" spans="1:27" hidden="1">
      <c r="A382" s="37" t="s">
        <v>974</v>
      </c>
      <c r="B382" s="37">
        <v>0</v>
      </c>
      <c r="C382" s="37">
        <v>0</v>
      </c>
      <c r="D382" s="37">
        <v>0</v>
      </c>
      <c r="E382" s="37">
        <v>0</v>
      </c>
      <c r="F382" s="37">
        <v>0</v>
      </c>
      <c r="G382" s="37">
        <v>0</v>
      </c>
      <c r="H382" s="37">
        <v>0</v>
      </c>
      <c r="I382" s="37">
        <v>0</v>
      </c>
      <c r="J382" s="37">
        <v>0</v>
      </c>
      <c r="K382">
        <v>75</v>
      </c>
      <c r="L382">
        <v>647</v>
      </c>
      <c r="M382">
        <v>1370</v>
      </c>
      <c r="N382">
        <v>949</v>
      </c>
      <c r="O382">
        <v>0</v>
      </c>
      <c r="P382">
        <v>0</v>
      </c>
      <c r="Q382">
        <v>0</v>
      </c>
      <c r="R382">
        <v>0</v>
      </c>
      <c r="S382">
        <v>0</v>
      </c>
      <c r="T382">
        <v>0</v>
      </c>
      <c r="U382">
        <v>0</v>
      </c>
      <c r="V382">
        <v>0</v>
      </c>
      <c r="W382">
        <v>0</v>
      </c>
      <c r="X382">
        <v>21</v>
      </c>
      <c r="Y382">
        <v>197</v>
      </c>
      <c r="Z382">
        <v>381</v>
      </c>
      <c r="AA382">
        <v>235</v>
      </c>
    </row>
    <row r="383" spans="1:27" hidden="1">
      <c r="A383" s="37" t="s">
        <v>1115</v>
      </c>
      <c r="B383" s="37">
        <v>0</v>
      </c>
      <c r="C383" s="37">
        <v>0</v>
      </c>
      <c r="D383" s="37">
        <v>0</v>
      </c>
      <c r="E383" s="37">
        <v>0</v>
      </c>
      <c r="F383" s="37">
        <v>0</v>
      </c>
      <c r="G383" s="37">
        <v>0</v>
      </c>
      <c r="H383" s="37">
        <v>0</v>
      </c>
      <c r="I383" s="37">
        <v>0</v>
      </c>
      <c r="J383" s="37">
        <v>19</v>
      </c>
      <c r="K383">
        <v>317</v>
      </c>
      <c r="L383">
        <v>353</v>
      </c>
      <c r="M383">
        <v>423</v>
      </c>
      <c r="N383">
        <v>836</v>
      </c>
      <c r="O383">
        <v>0</v>
      </c>
      <c r="P383">
        <v>0</v>
      </c>
      <c r="Q383">
        <v>0</v>
      </c>
      <c r="R383">
        <v>0</v>
      </c>
      <c r="S383">
        <v>0</v>
      </c>
      <c r="T383">
        <v>0</v>
      </c>
      <c r="U383">
        <v>0</v>
      </c>
      <c r="V383">
        <v>0</v>
      </c>
      <c r="W383">
        <v>4</v>
      </c>
      <c r="X383">
        <v>83</v>
      </c>
      <c r="Y383">
        <v>89</v>
      </c>
      <c r="Z383">
        <v>101</v>
      </c>
      <c r="AA383">
        <v>231</v>
      </c>
    </row>
    <row r="384" spans="1:27" hidden="1">
      <c r="A384" s="37" t="s">
        <v>1713</v>
      </c>
      <c r="B384" s="37">
        <v>0</v>
      </c>
      <c r="C384" s="37">
        <v>0</v>
      </c>
      <c r="D384" s="37">
        <v>0</v>
      </c>
      <c r="E384" s="37">
        <v>0</v>
      </c>
      <c r="F384" s="37">
        <v>0</v>
      </c>
      <c r="G384" s="37">
        <v>0</v>
      </c>
      <c r="H384" s="37">
        <v>0</v>
      </c>
      <c r="I384" s="37">
        <v>729</v>
      </c>
      <c r="J384" s="37">
        <v>77</v>
      </c>
      <c r="K384">
        <v>36</v>
      </c>
      <c r="L384">
        <v>48</v>
      </c>
      <c r="M384">
        <v>9</v>
      </c>
      <c r="N384">
        <v>13</v>
      </c>
      <c r="O384">
        <v>0</v>
      </c>
      <c r="P384">
        <v>0</v>
      </c>
      <c r="Q384">
        <v>0</v>
      </c>
      <c r="R384">
        <v>0</v>
      </c>
      <c r="S384">
        <v>0</v>
      </c>
      <c r="T384">
        <v>0</v>
      </c>
      <c r="U384">
        <v>0</v>
      </c>
      <c r="V384">
        <v>0</v>
      </c>
      <c r="W384">
        <v>0</v>
      </c>
      <c r="X384">
        <v>0</v>
      </c>
      <c r="Y384">
        <v>0</v>
      </c>
      <c r="Z384">
        <v>0</v>
      </c>
      <c r="AA384">
        <v>0</v>
      </c>
    </row>
    <row r="385" spans="1:27" hidden="1">
      <c r="A385" s="37" t="s">
        <v>1714</v>
      </c>
      <c r="B385" s="37">
        <v>0</v>
      </c>
      <c r="C385" s="37">
        <v>0</v>
      </c>
      <c r="D385" s="37">
        <v>0</v>
      </c>
      <c r="E385" s="37">
        <v>0</v>
      </c>
      <c r="F385" s="37">
        <v>0</v>
      </c>
      <c r="G385" s="37">
        <v>0</v>
      </c>
      <c r="H385" s="37">
        <v>0</v>
      </c>
      <c r="I385" s="37">
        <v>1351</v>
      </c>
      <c r="J385" s="37">
        <v>465</v>
      </c>
      <c r="K385">
        <v>306</v>
      </c>
      <c r="L385">
        <v>240</v>
      </c>
      <c r="M385">
        <v>151</v>
      </c>
      <c r="N385">
        <v>102</v>
      </c>
      <c r="O385">
        <v>0</v>
      </c>
      <c r="P385">
        <v>0</v>
      </c>
      <c r="Q385">
        <v>0</v>
      </c>
      <c r="R385">
        <v>0</v>
      </c>
      <c r="S385">
        <v>0</v>
      </c>
      <c r="T385">
        <v>0</v>
      </c>
      <c r="U385">
        <v>0</v>
      </c>
      <c r="V385">
        <v>0</v>
      </c>
      <c r="W385">
        <v>0</v>
      </c>
      <c r="X385">
        <v>0</v>
      </c>
      <c r="Y385">
        <v>0</v>
      </c>
      <c r="Z385">
        <v>0</v>
      </c>
      <c r="AA385">
        <v>0</v>
      </c>
    </row>
    <row r="386" spans="1:27" hidden="1">
      <c r="A386" s="37" t="s">
        <v>1479</v>
      </c>
      <c r="B386" s="37">
        <v>0</v>
      </c>
      <c r="C386" s="37">
        <v>0</v>
      </c>
      <c r="D386" s="37">
        <v>0</v>
      </c>
      <c r="E386" s="37">
        <v>0</v>
      </c>
      <c r="F386" s="37">
        <v>0</v>
      </c>
      <c r="G386" s="37">
        <v>0</v>
      </c>
      <c r="H386" s="37">
        <v>0</v>
      </c>
      <c r="I386" s="37">
        <v>0</v>
      </c>
      <c r="J386" s="37">
        <v>0</v>
      </c>
      <c r="K386">
        <v>574</v>
      </c>
      <c r="L386">
        <v>1481</v>
      </c>
      <c r="M386">
        <v>1922</v>
      </c>
      <c r="N386">
        <v>2377</v>
      </c>
      <c r="O386">
        <v>0</v>
      </c>
      <c r="P386">
        <v>0</v>
      </c>
      <c r="Q386">
        <v>0</v>
      </c>
      <c r="R386">
        <v>0</v>
      </c>
      <c r="S386">
        <v>0</v>
      </c>
      <c r="T386">
        <v>0</v>
      </c>
      <c r="U386">
        <v>0</v>
      </c>
      <c r="V386">
        <v>0</v>
      </c>
      <c r="W386">
        <v>0</v>
      </c>
      <c r="X386">
        <v>4</v>
      </c>
      <c r="Y386">
        <v>102</v>
      </c>
      <c r="Z386">
        <v>153</v>
      </c>
      <c r="AA386">
        <v>215</v>
      </c>
    </row>
    <row r="387" spans="1:27" hidden="1">
      <c r="A387" s="37" t="s">
        <v>1295</v>
      </c>
      <c r="B387" s="37">
        <v>0</v>
      </c>
      <c r="C387" s="37">
        <v>0</v>
      </c>
      <c r="D387" s="37">
        <v>0</v>
      </c>
      <c r="E387" s="37">
        <v>0</v>
      </c>
      <c r="F387" s="37">
        <v>0</v>
      </c>
      <c r="G387" s="37">
        <v>0</v>
      </c>
      <c r="H387" s="37">
        <v>0</v>
      </c>
      <c r="I387" s="37">
        <v>0</v>
      </c>
      <c r="J387" s="37">
        <v>0</v>
      </c>
      <c r="K387">
        <v>8</v>
      </c>
      <c r="L387">
        <v>98</v>
      </c>
      <c r="M387">
        <v>578</v>
      </c>
      <c r="N387">
        <v>559</v>
      </c>
      <c r="O387">
        <v>0</v>
      </c>
      <c r="P387">
        <v>0</v>
      </c>
      <c r="Q387">
        <v>0</v>
      </c>
      <c r="R387">
        <v>0</v>
      </c>
      <c r="S387">
        <v>0</v>
      </c>
      <c r="T387">
        <v>0</v>
      </c>
      <c r="U387">
        <v>0</v>
      </c>
      <c r="V387">
        <v>0</v>
      </c>
      <c r="W387">
        <v>0</v>
      </c>
      <c r="X387">
        <v>0</v>
      </c>
      <c r="Y387">
        <v>15</v>
      </c>
      <c r="Z387">
        <v>78</v>
      </c>
      <c r="AA387">
        <v>75</v>
      </c>
    </row>
    <row r="388" spans="1:27" hidden="1">
      <c r="A388" s="37" t="s">
        <v>1715</v>
      </c>
      <c r="B388" s="37">
        <v>0</v>
      </c>
      <c r="C388" s="37">
        <v>0</v>
      </c>
      <c r="D388" s="37">
        <v>0</v>
      </c>
      <c r="E388" s="37">
        <v>0</v>
      </c>
      <c r="F388" s="37">
        <v>0</v>
      </c>
      <c r="G388" s="37">
        <v>0</v>
      </c>
      <c r="H388" s="37">
        <v>0</v>
      </c>
      <c r="I388" s="37">
        <v>0</v>
      </c>
      <c r="J388" s="37">
        <v>0</v>
      </c>
      <c r="K388">
        <v>30</v>
      </c>
      <c r="L388">
        <v>119</v>
      </c>
      <c r="M388">
        <v>327</v>
      </c>
      <c r="N388">
        <v>295</v>
      </c>
      <c r="O388">
        <v>0</v>
      </c>
      <c r="P388">
        <v>0</v>
      </c>
      <c r="Q388">
        <v>0</v>
      </c>
      <c r="R388">
        <v>0</v>
      </c>
      <c r="S388">
        <v>0</v>
      </c>
      <c r="T388">
        <v>0</v>
      </c>
      <c r="U388">
        <v>0</v>
      </c>
      <c r="V388">
        <v>0</v>
      </c>
      <c r="W388">
        <v>0</v>
      </c>
      <c r="X388">
        <v>0</v>
      </c>
      <c r="Y388">
        <v>15</v>
      </c>
      <c r="Z388">
        <v>43</v>
      </c>
      <c r="AA388">
        <v>53</v>
      </c>
    </row>
    <row r="389" spans="1:27" hidden="1">
      <c r="A389" s="37" t="s">
        <v>1716</v>
      </c>
      <c r="B389" s="37">
        <v>0</v>
      </c>
      <c r="C389" s="37">
        <v>0</v>
      </c>
      <c r="D389" s="37">
        <v>0</v>
      </c>
      <c r="E389" s="37">
        <v>0</v>
      </c>
      <c r="F389" s="37">
        <v>0</v>
      </c>
      <c r="G389" s="37">
        <v>0</v>
      </c>
      <c r="H389" s="37">
        <v>0</v>
      </c>
      <c r="I389" s="37">
        <v>1661</v>
      </c>
      <c r="J389" s="37">
        <v>427</v>
      </c>
      <c r="K389">
        <v>205</v>
      </c>
      <c r="L389">
        <v>301</v>
      </c>
      <c r="M389">
        <v>64</v>
      </c>
      <c r="N389">
        <v>36</v>
      </c>
      <c r="O389">
        <v>0</v>
      </c>
      <c r="P389">
        <v>0</v>
      </c>
      <c r="Q389">
        <v>0</v>
      </c>
      <c r="R389">
        <v>0</v>
      </c>
      <c r="S389">
        <v>0</v>
      </c>
      <c r="T389">
        <v>0</v>
      </c>
      <c r="U389">
        <v>0</v>
      </c>
      <c r="V389">
        <v>0</v>
      </c>
      <c r="W389">
        <v>0</v>
      </c>
      <c r="X389">
        <v>0</v>
      </c>
      <c r="Y389">
        <v>0</v>
      </c>
      <c r="Z389">
        <v>0</v>
      </c>
      <c r="AA389">
        <v>0</v>
      </c>
    </row>
    <row r="390" spans="1:27" hidden="1">
      <c r="A390" s="37" t="s">
        <v>1717</v>
      </c>
      <c r="B390" s="37">
        <v>0</v>
      </c>
      <c r="C390" s="37">
        <v>0</v>
      </c>
      <c r="D390" s="37">
        <v>0</v>
      </c>
      <c r="E390" s="37">
        <v>0</v>
      </c>
      <c r="F390" s="37">
        <v>0</v>
      </c>
      <c r="G390" s="37">
        <v>0</v>
      </c>
      <c r="H390" s="37">
        <v>0</v>
      </c>
      <c r="I390" s="37">
        <v>1163</v>
      </c>
      <c r="J390" s="37">
        <v>215</v>
      </c>
      <c r="K390">
        <v>165</v>
      </c>
      <c r="L390">
        <v>57</v>
      </c>
      <c r="M390">
        <v>28</v>
      </c>
      <c r="N390">
        <v>50</v>
      </c>
      <c r="O390">
        <v>0</v>
      </c>
      <c r="P390">
        <v>0</v>
      </c>
      <c r="Q390">
        <v>0</v>
      </c>
      <c r="R390">
        <v>0</v>
      </c>
      <c r="S390">
        <v>0</v>
      </c>
      <c r="T390">
        <v>0</v>
      </c>
      <c r="U390">
        <v>0</v>
      </c>
      <c r="V390">
        <v>0</v>
      </c>
      <c r="W390">
        <v>0</v>
      </c>
      <c r="X390">
        <v>0</v>
      </c>
      <c r="Y390">
        <v>0</v>
      </c>
      <c r="Z390">
        <v>0</v>
      </c>
      <c r="AA390">
        <v>0</v>
      </c>
    </row>
    <row r="391" spans="1:27" hidden="1">
      <c r="A391" s="37" t="s">
        <v>1102</v>
      </c>
      <c r="B391" s="37">
        <v>0</v>
      </c>
      <c r="C391" s="37">
        <v>0</v>
      </c>
      <c r="D391" s="37">
        <v>0</v>
      </c>
      <c r="E391" s="37">
        <v>0</v>
      </c>
      <c r="F391" s="37">
        <v>0</v>
      </c>
      <c r="G391" s="37">
        <v>0</v>
      </c>
      <c r="H391" s="37">
        <v>0</v>
      </c>
      <c r="I391" s="37">
        <v>0</v>
      </c>
      <c r="J391" s="37">
        <v>0</v>
      </c>
      <c r="K391">
        <v>866</v>
      </c>
      <c r="L391">
        <v>1026</v>
      </c>
      <c r="M391">
        <v>1378</v>
      </c>
      <c r="N391">
        <v>1195</v>
      </c>
      <c r="O391">
        <v>0</v>
      </c>
      <c r="P391">
        <v>0</v>
      </c>
      <c r="Q391">
        <v>0</v>
      </c>
      <c r="R391">
        <v>0</v>
      </c>
      <c r="S391">
        <v>0</v>
      </c>
      <c r="T391">
        <v>0</v>
      </c>
      <c r="U391">
        <v>0</v>
      </c>
      <c r="V391">
        <v>0</v>
      </c>
      <c r="W391">
        <v>0</v>
      </c>
      <c r="X391">
        <v>306</v>
      </c>
      <c r="Y391">
        <v>420</v>
      </c>
      <c r="Z391">
        <v>412</v>
      </c>
      <c r="AA391">
        <v>377</v>
      </c>
    </row>
    <row r="392" spans="1:27" hidden="1">
      <c r="A392" s="37" t="s">
        <v>1718</v>
      </c>
      <c r="B392" s="37">
        <v>0</v>
      </c>
      <c r="C392" s="37">
        <v>0</v>
      </c>
      <c r="D392" s="37">
        <v>0</v>
      </c>
      <c r="E392" s="37">
        <v>0</v>
      </c>
      <c r="F392" s="37">
        <v>0</v>
      </c>
      <c r="G392" s="37">
        <v>0</v>
      </c>
      <c r="H392" s="37">
        <v>0</v>
      </c>
      <c r="I392" s="37">
        <v>327</v>
      </c>
      <c r="J392" s="37">
        <v>298</v>
      </c>
      <c r="K392">
        <v>313</v>
      </c>
      <c r="L392">
        <v>379</v>
      </c>
      <c r="M392">
        <v>113</v>
      </c>
      <c r="N392">
        <v>209</v>
      </c>
      <c r="O392">
        <v>0</v>
      </c>
      <c r="P392">
        <v>0</v>
      </c>
      <c r="Q392">
        <v>0</v>
      </c>
      <c r="R392">
        <v>0</v>
      </c>
      <c r="S392">
        <v>0</v>
      </c>
      <c r="T392">
        <v>0</v>
      </c>
      <c r="U392">
        <v>0</v>
      </c>
      <c r="V392">
        <v>0</v>
      </c>
      <c r="W392">
        <v>0</v>
      </c>
      <c r="X392">
        <v>0</v>
      </c>
      <c r="Y392">
        <v>0</v>
      </c>
      <c r="Z392">
        <v>0</v>
      </c>
      <c r="AA392">
        <v>0</v>
      </c>
    </row>
    <row r="393" spans="1:27" hidden="1">
      <c r="A393" s="37" t="s">
        <v>1719</v>
      </c>
      <c r="B393" s="37">
        <v>0</v>
      </c>
      <c r="C393" s="37">
        <v>0</v>
      </c>
      <c r="D393" s="37">
        <v>0</v>
      </c>
      <c r="E393" s="37">
        <v>0</v>
      </c>
      <c r="F393" s="37">
        <v>0</v>
      </c>
      <c r="G393" s="37">
        <v>0</v>
      </c>
      <c r="H393" s="37">
        <v>0</v>
      </c>
      <c r="I393" s="37">
        <v>184</v>
      </c>
      <c r="J393" s="37">
        <v>103</v>
      </c>
      <c r="K393">
        <v>76</v>
      </c>
      <c r="L393">
        <v>90</v>
      </c>
      <c r="M393">
        <v>44</v>
      </c>
      <c r="N393">
        <v>69</v>
      </c>
      <c r="O393">
        <v>0</v>
      </c>
      <c r="P393">
        <v>0</v>
      </c>
      <c r="Q393">
        <v>0</v>
      </c>
      <c r="R393">
        <v>0</v>
      </c>
      <c r="S393">
        <v>0</v>
      </c>
      <c r="T393">
        <v>0</v>
      </c>
      <c r="U393">
        <v>0</v>
      </c>
      <c r="V393">
        <v>0</v>
      </c>
      <c r="W393">
        <v>0</v>
      </c>
      <c r="X393">
        <v>0</v>
      </c>
      <c r="Y393">
        <v>0</v>
      </c>
      <c r="Z393">
        <v>0</v>
      </c>
      <c r="AA393">
        <v>0</v>
      </c>
    </row>
    <row r="394" spans="1:27" hidden="1">
      <c r="A394" s="37" t="s">
        <v>914</v>
      </c>
      <c r="B394" s="37">
        <v>0</v>
      </c>
      <c r="C394" s="37">
        <v>0</v>
      </c>
      <c r="D394" s="37">
        <v>0</v>
      </c>
      <c r="E394" s="37">
        <v>0</v>
      </c>
      <c r="F394" s="37">
        <v>0</v>
      </c>
      <c r="G394" s="37">
        <v>0</v>
      </c>
      <c r="H394" s="37">
        <v>0</v>
      </c>
      <c r="I394" s="37">
        <v>0</v>
      </c>
      <c r="J394" s="37">
        <v>0</v>
      </c>
      <c r="K394">
        <v>1005</v>
      </c>
      <c r="L394">
        <v>1751</v>
      </c>
      <c r="M394">
        <v>1776</v>
      </c>
      <c r="N394">
        <v>1642</v>
      </c>
      <c r="O394">
        <v>0</v>
      </c>
      <c r="P394">
        <v>0</v>
      </c>
      <c r="Q394">
        <v>0</v>
      </c>
      <c r="R394">
        <v>0</v>
      </c>
      <c r="S394">
        <v>0</v>
      </c>
      <c r="T394">
        <v>0</v>
      </c>
      <c r="U394">
        <v>0</v>
      </c>
      <c r="V394">
        <v>0</v>
      </c>
      <c r="W394">
        <v>0</v>
      </c>
      <c r="X394">
        <v>236</v>
      </c>
      <c r="Y394">
        <v>420</v>
      </c>
      <c r="Z394">
        <v>487</v>
      </c>
      <c r="AA394">
        <v>418</v>
      </c>
    </row>
    <row r="395" spans="1:27" hidden="1">
      <c r="A395" s="37" t="s">
        <v>471</v>
      </c>
      <c r="B395" s="37">
        <v>0</v>
      </c>
      <c r="C395" s="37">
        <v>0</v>
      </c>
      <c r="D395" s="37">
        <v>0</v>
      </c>
      <c r="E395" s="37">
        <v>0</v>
      </c>
      <c r="F395" s="37">
        <v>0</v>
      </c>
      <c r="G395" s="37">
        <v>0</v>
      </c>
      <c r="H395" s="37">
        <v>0</v>
      </c>
      <c r="I395" s="37">
        <v>0</v>
      </c>
      <c r="J395" s="37">
        <v>0</v>
      </c>
      <c r="K395">
        <v>2</v>
      </c>
      <c r="L395">
        <v>1208</v>
      </c>
      <c r="M395">
        <v>2572</v>
      </c>
      <c r="N395">
        <v>2779</v>
      </c>
      <c r="O395">
        <v>0</v>
      </c>
      <c r="P395">
        <v>0</v>
      </c>
      <c r="Q395">
        <v>0</v>
      </c>
      <c r="R395">
        <v>0</v>
      </c>
      <c r="S395">
        <v>0</v>
      </c>
      <c r="T395">
        <v>0</v>
      </c>
      <c r="U395">
        <v>0</v>
      </c>
      <c r="V395">
        <v>0</v>
      </c>
      <c r="W395">
        <v>0</v>
      </c>
      <c r="X395">
        <v>0</v>
      </c>
      <c r="Y395">
        <v>488</v>
      </c>
      <c r="Z395">
        <v>684</v>
      </c>
      <c r="AA395">
        <v>463</v>
      </c>
    </row>
    <row r="396" spans="1:27" hidden="1">
      <c r="A396" s="37" t="s">
        <v>1720</v>
      </c>
      <c r="B396" s="37">
        <v>0</v>
      </c>
      <c r="C396" s="37">
        <v>0</v>
      </c>
      <c r="D396" s="37">
        <v>0</v>
      </c>
      <c r="E396" s="37">
        <v>0</v>
      </c>
      <c r="F396" s="37">
        <v>0</v>
      </c>
      <c r="G396" s="37">
        <v>0</v>
      </c>
      <c r="H396" s="37">
        <v>0</v>
      </c>
      <c r="I396" s="37">
        <v>864</v>
      </c>
      <c r="J396" s="37">
        <v>253</v>
      </c>
      <c r="K396">
        <v>224</v>
      </c>
      <c r="L396">
        <v>389</v>
      </c>
      <c r="M396">
        <v>517</v>
      </c>
      <c r="N396">
        <v>415</v>
      </c>
      <c r="O396">
        <v>0</v>
      </c>
      <c r="P396">
        <v>0</v>
      </c>
      <c r="Q396">
        <v>0</v>
      </c>
      <c r="R396">
        <v>0</v>
      </c>
      <c r="S396">
        <v>0</v>
      </c>
      <c r="T396">
        <v>0</v>
      </c>
      <c r="U396">
        <v>0</v>
      </c>
      <c r="V396">
        <v>0</v>
      </c>
      <c r="W396">
        <v>0</v>
      </c>
      <c r="X396">
        <v>0</v>
      </c>
      <c r="Y396">
        <v>0</v>
      </c>
      <c r="Z396">
        <v>0</v>
      </c>
      <c r="AA396">
        <v>0</v>
      </c>
    </row>
    <row r="397" spans="1:27" hidden="1">
      <c r="A397" s="37" t="s">
        <v>1721</v>
      </c>
      <c r="B397" s="37">
        <v>0</v>
      </c>
      <c r="C397" s="37">
        <v>0</v>
      </c>
      <c r="D397" s="37">
        <v>0</v>
      </c>
      <c r="E397" s="37">
        <v>0</v>
      </c>
      <c r="F397" s="37">
        <v>0</v>
      </c>
      <c r="G397" s="37">
        <v>0</v>
      </c>
      <c r="H397" s="37">
        <v>0</v>
      </c>
      <c r="I397" s="37">
        <v>1066</v>
      </c>
      <c r="J397" s="37">
        <v>373</v>
      </c>
      <c r="K397">
        <v>349</v>
      </c>
      <c r="L397">
        <v>534</v>
      </c>
      <c r="M397">
        <v>303</v>
      </c>
      <c r="N397">
        <v>554</v>
      </c>
      <c r="O397">
        <v>0</v>
      </c>
      <c r="P397">
        <v>0</v>
      </c>
      <c r="Q397">
        <v>0</v>
      </c>
      <c r="R397">
        <v>0</v>
      </c>
      <c r="S397">
        <v>0</v>
      </c>
      <c r="T397">
        <v>0</v>
      </c>
      <c r="U397">
        <v>0</v>
      </c>
      <c r="V397">
        <v>0</v>
      </c>
      <c r="W397">
        <v>0</v>
      </c>
      <c r="X397">
        <v>0</v>
      </c>
      <c r="Y397">
        <v>0</v>
      </c>
      <c r="Z397">
        <v>0</v>
      </c>
      <c r="AA397">
        <v>0</v>
      </c>
    </row>
    <row r="398" spans="1:27" hidden="1">
      <c r="A398" s="37" t="s">
        <v>1722</v>
      </c>
      <c r="B398" s="37">
        <v>0</v>
      </c>
      <c r="C398" s="37">
        <v>0</v>
      </c>
      <c r="D398" s="37">
        <v>0</v>
      </c>
      <c r="E398" s="37">
        <v>0</v>
      </c>
      <c r="F398" s="37">
        <v>0</v>
      </c>
      <c r="G398" s="37">
        <v>0</v>
      </c>
      <c r="H398" s="37">
        <v>0</v>
      </c>
      <c r="I398" s="37">
        <v>113</v>
      </c>
      <c r="J398" s="37">
        <v>126</v>
      </c>
      <c r="K398">
        <v>150</v>
      </c>
      <c r="L398">
        <v>242</v>
      </c>
      <c r="M398">
        <v>129</v>
      </c>
      <c r="N398">
        <v>109</v>
      </c>
      <c r="O398">
        <v>0</v>
      </c>
      <c r="P398">
        <v>0</v>
      </c>
      <c r="Q398">
        <v>0</v>
      </c>
      <c r="R398">
        <v>0</v>
      </c>
      <c r="S398">
        <v>0</v>
      </c>
      <c r="T398">
        <v>0</v>
      </c>
      <c r="U398">
        <v>0</v>
      </c>
      <c r="V398">
        <v>0</v>
      </c>
      <c r="W398">
        <v>0</v>
      </c>
      <c r="X398">
        <v>0</v>
      </c>
      <c r="Y398">
        <v>0</v>
      </c>
      <c r="Z398">
        <v>0</v>
      </c>
      <c r="AA398">
        <v>0</v>
      </c>
    </row>
    <row r="399" spans="1:27" hidden="1">
      <c r="A399" s="37" t="s">
        <v>1723</v>
      </c>
      <c r="B399" s="37">
        <v>0</v>
      </c>
      <c r="C399" s="37">
        <v>0</v>
      </c>
      <c r="D399" s="37">
        <v>0</v>
      </c>
      <c r="E399" s="37">
        <v>0</v>
      </c>
      <c r="F399" s="37">
        <v>0</v>
      </c>
      <c r="G399" s="37">
        <v>0</v>
      </c>
      <c r="H399" s="37">
        <v>0</v>
      </c>
      <c r="I399" s="37">
        <v>132</v>
      </c>
      <c r="J399" s="37">
        <v>167</v>
      </c>
      <c r="K399">
        <v>161</v>
      </c>
      <c r="L399">
        <v>147</v>
      </c>
      <c r="M399">
        <v>86</v>
      </c>
      <c r="N399">
        <v>80</v>
      </c>
      <c r="O399">
        <v>0</v>
      </c>
      <c r="P399">
        <v>0</v>
      </c>
      <c r="Q399">
        <v>0</v>
      </c>
      <c r="R399">
        <v>0</v>
      </c>
      <c r="S399">
        <v>0</v>
      </c>
      <c r="T399">
        <v>0</v>
      </c>
      <c r="U399">
        <v>0</v>
      </c>
      <c r="V399">
        <v>0</v>
      </c>
      <c r="W399">
        <v>0</v>
      </c>
      <c r="X399">
        <v>0</v>
      </c>
      <c r="Y399">
        <v>0</v>
      </c>
      <c r="Z399">
        <v>0</v>
      </c>
      <c r="AA399">
        <v>0</v>
      </c>
    </row>
    <row r="400" spans="1:27" hidden="1">
      <c r="A400" s="37" t="s">
        <v>1724</v>
      </c>
      <c r="B400" s="37">
        <v>0</v>
      </c>
      <c r="C400" s="37">
        <v>0</v>
      </c>
      <c r="D400" s="37">
        <v>0</v>
      </c>
      <c r="E400" s="37">
        <v>0</v>
      </c>
      <c r="F400" s="37">
        <v>0</v>
      </c>
      <c r="G400" s="37">
        <v>0</v>
      </c>
      <c r="H400" s="37">
        <v>0</v>
      </c>
      <c r="I400" s="37">
        <v>23</v>
      </c>
      <c r="J400" s="37">
        <v>36</v>
      </c>
      <c r="K400">
        <v>45</v>
      </c>
      <c r="L400">
        <v>61</v>
      </c>
      <c r="M400">
        <v>8</v>
      </c>
      <c r="N400">
        <v>13</v>
      </c>
      <c r="O400">
        <v>0</v>
      </c>
      <c r="P400">
        <v>0</v>
      </c>
      <c r="Q400">
        <v>0</v>
      </c>
      <c r="R400">
        <v>0</v>
      </c>
      <c r="S400">
        <v>0</v>
      </c>
      <c r="T400">
        <v>0</v>
      </c>
      <c r="U400">
        <v>0</v>
      </c>
      <c r="V400">
        <v>0</v>
      </c>
      <c r="W400">
        <v>0</v>
      </c>
      <c r="X400">
        <v>0</v>
      </c>
      <c r="Y400">
        <v>0</v>
      </c>
      <c r="Z400">
        <v>0</v>
      </c>
      <c r="AA400">
        <v>0</v>
      </c>
    </row>
    <row r="401" spans="1:27" hidden="1">
      <c r="A401" s="37" t="s">
        <v>1725</v>
      </c>
      <c r="B401" s="37">
        <v>0</v>
      </c>
      <c r="C401" s="37">
        <v>0</v>
      </c>
      <c r="D401" s="37">
        <v>0</v>
      </c>
      <c r="E401" s="37">
        <v>0</v>
      </c>
      <c r="F401" s="37">
        <v>0</v>
      </c>
      <c r="G401" s="37">
        <v>0</v>
      </c>
      <c r="H401" s="37">
        <v>0</v>
      </c>
      <c r="I401" s="37">
        <v>355</v>
      </c>
      <c r="J401" s="37">
        <v>161</v>
      </c>
      <c r="K401">
        <v>106</v>
      </c>
      <c r="L401">
        <v>130</v>
      </c>
      <c r="M401">
        <v>46</v>
      </c>
      <c r="N401">
        <v>19</v>
      </c>
      <c r="O401">
        <v>0</v>
      </c>
      <c r="P401">
        <v>0</v>
      </c>
      <c r="Q401">
        <v>0</v>
      </c>
      <c r="R401">
        <v>0</v>
      </c>
      <c r="S401">
        <v>0</v>
      </c>
      <c r="T401">
        <v>0</v>
      </c>
      <c r="U401">
        <v>0</v>
      </c>
      <c r="V401">
        <v>0</v>
      </c>
      <c r="W401">
        <v>0</v>
      </c>
      <c r="X401">
        <v>0</v>
      </c>
      <c r="Y401">
        <v>0</v>
      </c>
      <c r="Z401">
        <v>0</v>
      </c>
      <c r="AA401">
        <v>0</v>
      </c>
    </row>
    <row r="402" spans="1:27" hidden="1">
      <c r="A402" s="37" t="s">
        <v>1726</v>
      </c>
      <c r="B402" s="37">
        <v>0</v>
      </c>
      <c r="C402" s="37">
        <v>0</v>
      </c>
      <c r="D402" s="37">
        <v>0</v>
      </c>
      <c r="E402" s="37">
        <v>0</v>
      </c>
      <c r="F402" s="37">
        <v>0</v>
      </c>
      <c r="G402" s="37">
        <v>0</v>
      </c>
      <c r="H402" s="37">
        <v>0</v>
      </c>
      <c r="I402" s="37">
        <v>23</v>
      </c>
      <c r="J402" s="37">
        <v>26</v>
      </c>
      <c r="K402">
        <v>35</v>
      </c>
      <c r="L402">
        <v>13</v>
      </c>
      <c r="M402">
        <v>19</v>
      </c>
      <c r="N402">
        <v>18</v>
      </c>
      <c r="O402">
        <v>0</v>
      </c>
      <c r="P402">
        <v>0</v>
      </c>
      <c r="Q402">
        <v>0</v>
      </c>
      <c r="R402">
        <v>0</v>
      </c>
      <c r="S402">
        <v>0</v>
      </c>
      <c r="T402">
        <v>0</v>
      </c>
      <c r="U402">
        <v>0</v>
      </c>
      <c r="V402">
        <v>0</v>
      </c>
      <c r="W402">
        <v>0</v>
      </c>
      <c r="X402">
        <v>0</v>
      </c>
      <c r="Y402">
        <v>0</v>
      </c>
      <c r="Z402">
        <v>0</v>
      </c>
      <c r="AA402">
        <v>0</v>
      </c>
    </row>
    <row r="403" spans="1:27" hidden="1">
      <c r="A403" s="37" t="s">
        <v>1727</v>
      </c>
      <c r="B403" s="37">
        <v>0</v>
      </c>
      <c r="C403" s="37">
        <v>0</v>
      </c>
      <c r="D403" s="37">
        <v>0</v>
      </c>
      <c r="E403" s="37">
        <v>0</v>
      </c>
      <c r="F403" s="37">
        <v>0</v>
      </c>
      <c r="G403" s="37">
        <v>0</v>
      </c>
      <c r="H403" s="37">
        <v>0</v>
      </c>
      <c r="I403" s="37">
        <v>211</v>
      </c>
      <c r="J403" s="37">
        <v>98</v>
      </c>
      <c r="K403">
        <v>82</v>
      </c>
      <c r="L403">
        <v>85</v>
      </c>
      <c r="M403">
        <v>7</v>
      </c>
      <c r="N403">
        <v>10</v>
      </c>
      <c r="O403">
        <v>0</v>
      </c>
      <c r="P403">
        <v>0</v>
      </c>
      <c r="Q403">
        <v>0</v>
      </c>
      <c r="R403">
        <v>0</v>
      </c>
      <c r="S403">
        <v>0</v>
      </c>
      <c r="T403">
        <v>0</v>
      </c>
      <c r="U403">
        <v>0</v>
      </c>
      <c r="V403">
        <v>0</v>
      </c>
      <c r="W403">
        <v>0</v>
      </c>
      <c r="X403">
        <v>0</v>
      </c>
      <c r="Y403">
        <v>0</v>
      </c>
      <c r="Z403">
        <v>0</v>
      </c>
      <c r="AA403">
        <v>0</v>
      </c>
    </row>
    <row r="404" spans="1:27" hidden="1">
      <c r="A404" s="37" t="s">
        <v>1728</v>
      </c>
      <c r="B404" s="37">
        <v>0</v>
      </c>
      <c r="C404" s="37">
        <v>0</v>
      </c>
      <c r="D404" s="37">
        <v>0</v>
      </c>
      <c r="E404" s="37">
        <v>0</v>
      </c>
      <c r="F404" s="37">
        <v>0</v>
      </c>
      <c r="G404" s="37">
        <v>0</v>
      </c>
      <c r="H404" s="37">
        <v>0</v>
      </c>
      <c r="I404" s="37">
        <v>367</v>
      </c>
      <c r="J404" s="37">
        <v>469</v>
      </c>
      <c r="K404">
        <v>215</v>
      </c>
      <c r="L404">
        <v>252</v>
      </c>
      <c r="M404">
        <v>135</v>
      </c>
      <c r="N404">
        <v>360</v>
      </c>
      <c r="O404">
        <v>0</v>
      </c>
      <c r="P404">
        <v>0</v>
      </c>
      <c r="Q404">
        <v>0</v>
      </c>
      <c r="R404">
        <v>0</v>
      </c>
      <c r="S404">
        <v>0</v>
      </c>
      <c r="T404">
        <v>0</v>
      </c>
      <c r="U404">
        <v>0</v>
      </c>
      <c r="V404">
        <v>0</v>
      </c>
      <c r="W404">
        <v>0</v>
      </c>
      <c r="X404">
        <v>0</v>
      </c>
      <c r="Y404">
        <v>0</v>
      </c>
      <c r="Z404">
        <v>0</v>
      </c>
      <c r="AA404">
        <v>0</v>
      </c>
    </row>
    <row r="405" spans="1:27" hidden="1">
      <c r="A405" s="37" t="s">
        <v>1729</v>
      </c>
      <c r="B405" s="37">
        <v>0</v>
      </c>
      <c r="C405" s="37">
        <v>0</v>
      </c>
      <c r="D405" s="37">
        <v>0</v>
      </c>
      <c r="E405" s="37">
        <v>0</v>
      </c>
      <c r="F405" s="37">
        <v>0</v>
      </c>
      <c r="G405" s="37">
        <v>0</v>
      </c>
      <c r="H405" s="37">
        <v>0</v>
      </c>
      <c r="I405" s="37">
        <v>68</v>
      </c>
      <c r="J405" s="37">
        <v>90</v>
      </c>
      <c r="K405">
        <v>50</v>
      </c>
      <c r="L405">
        <v>68</v>
      </c>
      <c r="M405">
        <v>13</v>
      </c>
      <c r="N405">
        <v>14</v>
      </c>
      <c r="O405">
        <v>0</v>
      </c>
      <c r="P405">
        <v>0</v>
      </c>
      <c r="Q405">
        <v>0</v>
      </c>
      <c r="R405">
        <v>0</v>
      </c>
      <c r="S405">
        <v>0</v>
      </c>
      <c r="T405">
        <v>0</v>
      </c>
      <c r="U405">
        <v>0</v>
      </c>
      <c r="V405">
        <v>0</v>
      </c>
      <c r="W405">
        <v>0</v>
      </c>
      <c r="X405">
        <v>0</v>
      </c>
      <c r="Y405">
        <v>0</v>
      </c>
      <c r="Z405">
        <v>0</v>
      </c>
      <c r="AA405">
        <v>0</v>
      </c>
    </row>
    <row r="406" spans="1:27" hidden="1">
      <c r="A406" s="37" t="s">
        <v>1730</v>
      </c>
      <c r="B406" s="37">
        <v>0</v>
      </c>
      <c r="C406" s="37">
        <v>0</v>
      </c>
      <c r="D406" s="37">
        <v>0</v>
      </c>
      <c r="E406" s="37">
        <v>0</v>
      </c>
      <c r="F406" s="37">
        <v>0</v>
      </c>
      <c r="G406" s="37">
        <v>0</v>
      </c>
      <c r="H406" s="37">
        <v>0</v>
      </c>
      <c r="I406" s="37">
        <v>0</v>
      </c>
      <c r="J406" s="37">
        <v>156</v>
      </c>
      <c r="K406">
        <v>354</v>
      </c>
      <c r="L406">
        <v>834</v>
      </c>
      <c r="M406">
        <v>732</v>
      </c>
      <c r="N406">
        <v>654</v>
      </c>
      <c r="O406">
        <v>0</v>
      </c>
      <c r="P406">
        <v>0</v>
      </c>
      <c r="Q406">
        <v>0</v>
      </c>
      <c r="R406">
        <v>0</v>
      </c>
      <c r="S406">
        <v>0</v>
      </c>
      <c r="T406">
        <v>0</v>
      </c>
      <c r="U406">
        <v>0</v>
      </c>
      <c r="V406">
        <v>0</v>
      </c>
      <c r="W406">
        <v>34</v>
      </c>
      <c r="X406">
        <v>126</v>
      </c>
      <c r="Y406">
        <v>251</v>
      </c>
      <c r="Z406">
        <v>239</v>
      </c>
      <c r="AA406">
        <v>237</v>
      </c>
    </row>
    <row r="407" spans="1:27" hidden="1">
      <c r="A407" s="37" t="s">
        <v>1731</v>
      </c>
      <c r="B407" s="37">
        <v>0</v>
      </c>
      <c r="C407" s="37">
        <v>0</v>
      </c>
      <c r="D407" s="37">
        <v>0</v>
      </c>
      <c r="E407" s="37">
        <v>0</v>
      </c>
      <c r="F407" s="37">
        <v>0</v>
      </c>
      <c r="G407" s="37">
        <v>0</v>
      </c>
      <c r="H407" s="37">
        <v>0</v>
      </c>
      <c r="I407" s="37">
        <v>0</v>
      </c>
      <c r="J407" s="37">
        <v>112</v>
      </c>
      <c r="K407">
        <v>104</v>
      </c>
      <c r="L407">
        <v>156</v>
      </c>
      <c r="M407">
        <v>112</v>
      </c>
      <c r="N407">
        <v>151</v>
      </c>
      <c r="O407">
        <v>0</v>
      </c>
      <c r="P407">
        <v>0</v>
      </c>
      <c r="Q407">
        <v>0</v>
      </c>
      <c r="R407">
        <v>0</v>
      </c>
      <c r="S407">
        <v>0</v>
      </c>
      <c r="T407">
        <v>0</v>
      </c>
      <c r="U407">
        <v>0</v>
      </c>
      <c r="V407">
        <v>0</v>
      </c>
      <c r="W407">
        <v>0</v>
      </c>
      <c r="X407">
        <v>0</v>
      </c>
      <c r="Y407">
        <v>0</v>
      </c>
      <c r="Z407">
        <v>0</v>
      </c>
      <c r="AA407">
        <v>0</v>
      </c>
    </row>
    <row r="408" spans="1:27" hidden="1">
      <c r="A408" s="37" t="s">
        <v>1732</v>
      </c>
      <c r="B408" s="37">
        <v>0</v>
      </c>
      <c r="C408" s="37">
        <v>0</v>
      </c>
      <c r="D408" s="37">
        <v>0</v>
      </c>
      <c r="E408" s="37">
        <v>0</v>
      </c>
      <c r="F408" s="37">
        <v>0</v>
      </c>
      <c r="G408" s="37">
        <v>0</v>
      </c>
      <c r="H408" s="37">
        <v>0</v>
      </c>
      <c r="I408" s="37">
        <v>0</v>
      </c>
      <c r="J408" s="37">
        <v>104</v>
      </c>
      <c r="K408">
        <v>59</v>
      </c>
      <c r="L408">
        <v>26</v>
      </c>
      <c r="M408">
        <v>27</v>
      </c>
      <c r="N408">
        <v>23</v>
      </c>
      <c r="O408">
        <v>0</v>
      </c>
      <c r="P408">
        <v>0</v>
      </c>
      <c r="Q408">
        <v>0</v>
      </c>
      <c r="R408">
        <v>0</v>
      </c>
      <c r="S408">
        <v>0</v>
      </c>
      <c r="T408">
        <v>0</v>
      </c>
      <c r="U408">
        <v>0</v>
      </c>
      <c r="V408">
        <v>0</v>
      </c>
      <c r="W408">
        <v>0</v>
      </c>
      <c r="X408">
        <v>0</v>
      </c>
      <c r="Y408">
        <v>0</v>
      </c>
      <c r="Z408">
        <v>0</v>
      </c>
      <c r="AA408">
        <v>0</v>
      </c>
    </row>
    <row r="409" spans="1:27" hidden="1">
      <c r="A409" s="37" t="s">
        <v>1733</v>
      </c>
      <c r="B409" s="37">
        <v>0</v>
      </c>
      <c r="C409" s="37">
        <v>0</v>
      </c>
      <c r="D409" s="37">
        <v>0</v>
      </c>
      <c r="E409" s="37">
        <v>0</v>
      </c>
      <c r="F409" s="37">
        <v>0</v>
      </c>
      <c r="G409" s="37">
        <v>0</v>
      </c>
      <c r="H409" s="37">
        <v>0</v>
      </c>
      <c r="I409" s="37">
        <v>0</v>
      </c>
      <c r="J409" s="37">
        <v>59</v>
      </c>
      <c r="K409">
        <v>43</v>
      </c>
      <c r="L409">
        <v>94</v>
      </c>
      <c r="M409">
        <v>142</v>
      </c>
      <c r="N409">
        <v>122</v>
      </c>
      <c r="O409">
        <v>0</v>
      </c>
      <c r="P409">
        <v>0</v>
      </c>
      <c r="Q409">
        <v>0</v>
      </c>
      <c r="R409">
        <v>0</v>
      </c>
      <c r="S409">
        <v>0</v>
      </c>
      <c r="T409">
        <v>0</v>
      </c>
      <c r="U409">
        <v>0</v>
      </c>
      <c r="V409">
        <v>0</v>
      </c>
      <c r="W409">
        <v>0</v>
      </c>
      <c r="X409">
        <v>0</v>
      </c>
      <c r="Y409">
        <v>0</v>
      </c>
      <c r="Z409">
        <v>0</v>
      </c>
      <c r="AA409">
        <v>0</v>
      </c>
    </row>
    <row r="410" spans="1:27" hidden="1">
      <c r="A410" s="37" t="s">
        <v>1734</v>
      </c>
      <c r="B410" s="37">
        <v>0</v>
      </c>
      <c r="C410" s="37">
        <v>0</v>
      </c>
      <c r="D410" s="37">
        <v>0</v>
      </c>
      <c r="E410" s="37">
        <v>0</v>
      </c>
      <c r="F410" s="37">
        <v>0</v>
      </c>
      <c r="G410" s="37">
        <v>0</v>
      </c>
      <c r="H410" s="37">
        <v>0</v>
      </c>
      <c r="I410" s="37">
        <v>0</v>
      </c>
      <c r="J410" s="37">
        <v>99</v>
      </c>
      <c r="K410">
        <v>45</v>
      </c>
      <c r="L410">
        <v>20</v>
      </c>
      <c r="M410">
        <v>5</v>
      </c>
      <c r="N410">
        <v>7</v>
      </c>
      <c r="O410">
        <v>0</v>
      </c>
      <c r="P410">
        <v>0</v>
      </c>
      <c r="Q410">
        <v>0</v>
      </c>
      <c r="R410">
        <v>0</v>
      </c>
      <c r="S410">
        <v>0</v>
      </c>
      <c r="T410">
        <v>0</v>
      </c>
      <c r="U410">
        <v>0</v>
      </c>
      <c r="V410">
        <v>0</v>
      </c>
      <c r="W410">
        <v>0</v>
      </c>
      <c r="X410">
        <v>0</v>
      </c>
      <c r="Y410">
        <v>0</v>
      </c>
      <c r="Z410">
        <v>0</v>
      </c>
      <c r="AA410">
        <v>0</v>
      </c>
    </row>
    <row r="411" spans="1:27" hidden="1">
      <c r="A411" s="37" t="s">
        <v>1735</v>
      </c>
      <c r="B411" s="37">
        <v>0</v>
      </c>
      <c r="C411" s="37">
        <v>0</v>
      </c>
      <c r="D411" s="37">
        <v>0</v>
      </c>
      <c r="E411" s="37">
        <v>0</v>
      </c>
      <c r="F411" s="37">
        <v>0</v>
      </c>
      <c r="G411" s="37">
        <v>0</v>
      </c>
      <c r="H411" s="37">
        <v>0</v>
      </c>
      <c r="I411" s="37">
        <v>0</v>
      </c>
      <c r="J411" s="37">
        <v>41</v>
      </c>
      <c r="K411">
        <v>37</v>
      </c>
      <c r="L411">
        <v>50</v>
      </c>
      <c r="M411">
        <v>32</v>
      </c>
      <c r="N411">
        <v>15</v>
      </c>
      <c r="O411">
        <v>0</v>
      </c>
      <c r="P411">
        <v>0</v>
      </c>
      <c r="Q411">
        <v>0</v>
      </c>
      <c r="R411">
        <v>0</v>
      </c>
      <c r="S411">
        <v>0</v>
      </c>
      <c r="T411">
        <v>0</v>
      </c>
      <c r="U411">
        <v>0</v>
      </c>
      <c r="V411">
        <v>0</v>
      </c>
      <c r="W411">
        <v>0</v>
      </c>
      <c r="X411">
        <v>0</v>
      </c>
      <c r="Y411">
        <v>0</v>
      </c>
      <c r="Z411">
        <v>0</v>
      </c>
      <c r="AA411">
        <v>0</v>
      </c>
    </row>
    <row r="412" spans="1:27" hidden="1">
      <c r="A412" s="37" t="s">
        <v>1736</v>
      </c>
      <c r="B412" s="37">
        <v>0</v>
      </c>
      <c r="C412" s="37">
        <v>0</v>
      </c>
      <c r="D412" s="37">
        <v>0</v>
      </c>
      <c r="E412" s="37">
        <v>0</v>
      </c>
      <c r="F412" s="37">
        <v>0</v>
      </c>
      <c r="G412" s="37">
        <v>0</v>
      </c>
      <c r="H412" s="37">
        <v>0</v>
      </c>
      <c r="I412" s="37">
        <v>0</v>
      </c>
      <c r="J412" s="37">
        <v>20</v>
      </c>
      <c r="K412">
        <v>30</v>
      </c>
      <c r="L412">
        <v>17</v>
      </c>
      <c r="M412">
        <v>14</v>
      </c>
      <c r="N412">
        <v>13</v>
      </c>
      <c r="O412">
        <v>0</v>
      </c>
      <c r="P412">
        <v>0</v>
      </c>
      <c r="Q412">
        <v>0</v>
      </c>
      <c r="R412">
        <v>0</v>
      </c>
      <c r="S412">
        <v>0</v>
      </c>
      <c r="T412">
        <v>0</v>
      </c>
      <c r="U412">
        <v>0</v>
      </c>
      <c r="V412">
        <v>0</v>
      </c>
      <c r="W412">
        <v>0</v>
      </c>
      <c r="X412">
        <v>0</v>
      </c>
      <c r="Y412">
        <v>0</v>
      </c>
      <c r="Z412">
        <v>0</v>
      </c>
      <c r="AA412">
        <v>0</v>
      </c>
    </row>
    <row r="413" spans="1:27" hidden="1">
      <c r="A413" s="37" t="s">
        <v>1737</v>
      </c>
      <c r="B413" s="37">
        <v>0</v>
      </c>
      <c r="C413" s="37">
        <v>0</v>
      </c>
      <c r="D413" s="37">
        <v>0</v>
      </c>
      <c r="E413" s="37">
        <v>0</v>
      </c>
      <c r="F413" s="37">
        <v>0</v>
      </c>
      <c r="G413" s="37">
        <v>0</v>
      </c>
      <c r="H413" s="37">
        <v>0</v>
      </c>
      <c r="I413" s="37">
        <v>0</v>
      </c>
      <c r="J413" s="37">
        <v>109</v>
      </c>
      <c r="K413">
        <v>153</v>
      </c>
      <c r="L413">
        <v>130</v>
      </c>
      <c r="M413">
        <v>43</v>
      </c>
      <c r="N413">
        <v>42</v>
      </c>
      <c r="O413">
        <v>0</v>
      </c>
      <c r="P413">
        <v>0</v>
      </c>
      <c r="Q413">
        <v>0</v>
      </c>
      <c r="R413">
        <v>0</v>
      </c>
      <c r="S413">
        <v>0</v>
      </c>
      <c r="T413">
        <v>0</v>
      </c>
      <c r="U413">
        <v>0</v>
      </c>
      <c r="V413">
        <v>0</v>
      </c>
      <c r="W413">
        <v>0</v>
      </c>
      <c r="X413">
        <v>0</v>
      </c>
      <c r="Y413">
        <v>0</v>
      </c>
      <c r="Z413">
        <v>0</v>
      </c>
      <c r="AA413">
        <v>0</v>
      </c>
    </row>
    <row r="414" spans="1:27" hidden="1">
      <c r="A414" s="37" t="s">
        <v>1738</v>
      </c>
      <c r="B414" s="37">
        <v>0</v>
      </c>
      <c r="C414" s="37">
        <v>0</v>
      </c>
      <c r="D414" s="37">
        <v>0</v>
      </c>
      <c r="E414" s="37">
        <v>0</v>
      </c>
      <c r="F414" s="37">
        <v>0</v>
      </c>
      <c r="G414" s="37">
        <v>0</v>
      </c>
      <c r="H414" s="37">
        <v>0</v>
      </c>
      <c r="I414" s="37">
        <v>0</v>
      </c>
      <c r="J414" s="37">
        <v>0</v>
      </c>
      <c r="K414">
        <v>18</v>
      </c>
      <c r="L414">
        <v>54</v>
      </c>
      <c r="M414">
        <v>9</v>
      </c>
      <c r="N414">
        <v>9</v>
      </c>
      <c r="O414">
        <v>0</v>
      </c>
      <c r="P414">
        <v>0</v>
      </c>
      <c r="Q414">
        <v>0</v>
      </c>
      <c r="R414">
        <v>0</v>
      </c>
      <c r="S414">
        <v>0</v>
      </c>
      <c r="T414">
        <v>0</v>
      </c>
      <c r="U414">
        <v>0</v>
      </c>
      <c r="V414">
        <v>0</v>
      </c>
      <c r="W414">
        <v>0</v>
      </c>
      <c r="X414">
        <v>0</v>
      </c>
      <c r="Y414">
        <v>0</v>
      </c>
      <c r="Z414">
        <v>0</v>
      </c>
      <c r="AA414">
        <v>0</v>
      </c>
    </row>
    <row r="415" spans="1:27" hidden="1">
      <c r="A415" s="37" t="s">
        <v>1739</v>
      </c>
      <c r="B415" s="37">
        <v>0</v>
      </c>
      <c r="C415" s="37">
        <v>0</v>
      </c>
      <c r="D415" s="37">
        <v>0</v>
      </c>
      <c r="E415" s="37">
        <v>0</v>
      </c>
      <c r="F415" s="37">
        <v>0</v>
      </c>
      <c r="G415" s="37">
        <v>0</v>
      </c>
      <c r="H415" s="37">
        <v>0</v>
      </c>
      <c r="I415" s="37">
        <v>0</v>
      </c>
      <c r="J415" s="37">
        <v>0</v>
      </c>
      <c r="K415">
        <v>7</v>
      </c>
      <c r="L415">
        <v>23</v>
      </c>
      <c r="M415">
        <v>12</v>
      </c>
      <c r="N415">
        <v>22</v>
      </c>
      <c r="O415">
        <v>0</v>
      </c>
      <c r="P415">
        <v>0</v>
      </c>
      <c r="Q415">
        <v>0</v>
      </c>
      <c r="R415">
        <v>0</v>
      </c>
      <c r="S415">
        <v>0</v>
      </c>
      <c r="T415">
        <v>0</v>
      </c>
      <c r="U415">
        <v>0</v>
      </c>
      <c r="V415">
        <v>0</v>
      </c>
      <c r="W415">
        <v>0</v>
      </c>
      <c r="X415">
        <v>0</v>
      </c>
      <c r="Y415">
        <v>0</v>
      </c>
      <c r="Z415">
        <v>0</v>
      </c>
      <c r="AA415">
        <v>0</v>
      </c>
    </row>
    <row r="416" spans="1:27" hidden="1">
      <c r="A416" s="37" t="s">
        <v>1740</v>
      </c>
      <c r="B416" s="37">
        <v>0</v>
      </c>
      <c r="C416" s="37">
        <v>0</v>
      </c>
      <c r="D416" s="37">
        <v>0</v>
      </c>
      <c r="E416" s="37">
        <v>0</v>
      </c>
      <c r="F416" s="37">
        <v>0</v>
      </c>
      <c r="G416" s="37">
        <v>0</v>
      </c>
      <c r="H416" s="37">
        <v>0</v>
      </c>
      <c r="I416" s="37">
        <v>0</v>
      </c>
      <c r="J416" s="37">
        <v>83</v>
      </c>
      <c r="K416">
        <v>80</v>
      </c>
      <c r="L416">
        <v>111</v>
      </c>
      <c r="M416">
        <v>53</v>
      </c>
      <c r="N416">
        <v>51</v>
      </c>
      <c r="O416">
        <v>0</v>
      </c>
      <c r="P416">
        <v>0</v>
      </c>
      <c r="Q416">
        <v>0</v>
      </c>
      <c r="R416">
        <v>0</v>
      </c>
      <c r="S416">
        <v>0</v>
      </c>
      <c r="T416">
        <v>0</v>
      </c>
      <c r="U416">
        <v>0</v>
      </c>
      <c r="V416">
        <v>0</v>
      </c>
      <c r="W416">
        <v>0</v>
      </c>
      <c r="X416">
        <v>0</v>
      </c>
      <c r="Y416">
        <v>0</v>
      </c>
      <c r="Z416">
        <v>0</v>
      </c>
      <c r="AA416">
        <v>0</v>
      </c>
    </row>
    <row r="417" spans="1:30" hidden="1">
      <c r="A417" s="37" t="s">
        <v>1741</v>
      </c>
      <c r="B417" s="37">
        <v>0</v>
      </c>
      <c r="C417" s="37">
        <v>0</v>
      </c>
      <c r="D417" s="37">
        <v>0</v>
      </c>
      <c r="E417" s="37">
        <v>0</v>
      </c>
      <c r="F417" s="37">
        <v>0</v>
      </c>
      <c r="G417" s="37">
        <v>0</v>
      </c>
      <c r="H417" s="37">
        <v>0</v>
      </c>
      <c r="I417" s="37">
        <v>0</v>
      </c>
      <c r="J417" s="37">
        <v>226</v>
      </c>
      <c r="K417">
        <v>171</v>
      </c>
      <c r="L417">
        <v>164</v>
      </c>
      <c r="M417">
        <v>93</v>
      </c>
      <c r="N417">
        <v>79</v>
      </c>
      <c r="O417">
        <v>0</v>
      </c>
      <c r="P417">
        <v>0</v>
      </c>
      <c r="Q417">
        <v>0</v>
      </c>
      <c r="R417">
        <v>0</v>
      </c>
      <c r="S417">
        <v>0</v>
      </c>
      <c r="T417">
        <v>0</v>
      </c>
      <c r="U417">
        <v>0</v>
      </c>
      <c r="V417">
        <v>0</v>
      </c>
      <c r="W417">
        <v>0</v>
      </c>
      <c r="X417">
        <v>0</v>
      </c>
      <c r="Y417">
        <v>0</v>
      </c>
      <c r="Z417">
        <v>0</v>
      </c>
      <c r="AA417">
        <v>0</v>
      </c>
    </row>
    <row r="418" spans="1:30" hidden="1">
      <c r="A418" s="37" t="s">
        <v>1742</v>
      </c>
      <c r="B418" s="37">
        <v>0</v>
      </c>
      <c r="C418" s="37">
        <v>0</v>
      </c>
      <c r="D418" s="37">
        <v>0</v>
      </c>
      <c r="E418" s="37">
        <v>0</v>
      </c>
      <c r="F418" s="37">
        <v>0</v>
      </c>
      <c r="G418" s="37">
        <v>0</v>
      </c>
      <c r="H418" s="37">
        <v>0</v>
      </c>
      <c r="I418" s="37">
        <v>0</v>
      </c>
      <c r="J418" s="37">
        <v>196</v>
      </c>
      <c r="K418">
        <v>206</v>
      </c>
      <c r="L418">
        <v>200</v>
      </c>
      <c r="M418">
        <v>150</v>
      </c>
      <c r="N418">
        <v>93</v>
      </c>
      <c r="O418">
        <v>0</v>
      </c>
      <c r="P418">
        <v>0</v>
      </c>
      <c r="Q418">
        <v>0</v>
      </c>
      <c r="R418">
        <v>0</v>
      </c>
      <c r="S418">
        <v>0</v>
      </c>
      <c r="T418">
        <v>0</v>
      </c>
      <c r="U418">
        <v>0</v>
      </c>
      <c r="V418">
        <v>0</v>
      </c>
      <c r="W418">
        <v>0</v>
      </c>
      <c r="X418">
        <v>0</v>
      </c>
      <c r="Y418">
        <v>0</v>
      </c>
      <c r="Z418">
        <v>0</v>
      </c>
      <c r="AA418">
        <v>0</v>
      </c>
    </row>
    <row r="419" spans="1:30" hidden="1">
      <c r="A419" s="37" t="s">
        <v>1743</v>
      </c>
      <c r="B419" s="37">
        <v>0</v>
      </c>
      <c r="C419" s="37">
        <v>0</v>
      </c>
      <c r="D419" s="37">
        <v>0</v>
      </c>
      <c r="E419" s="37">
        <v>0</v>
      </c>
      <c r="F419" s="37">
        <v>0</v>
      </c>
      <c r="G419" s="37">
        <v>0</v>
      </c>
      <c r="H419" s="37">
        <v>0</v>
      </c>
      <c r="I419" s="37">
        <v>0</v>
      </c>
      <c r="J419" s="37">
        <v>160</v>
      </c>
      <c r="K419">
        <v>212</v>
      </c>
      <c r="L419">
        <v>442</v>
      </c>
      <c r="M419">
        <v>140</v>
      </c>
      <c r="N419">
        <v>289</v>
      </c>
      <c r="O419">
        <v>0</v>
      </c>
      <c r="P419">
        <v>0</v>
      </c>
      <c r="Q419">
        <v>0</v>
      </c>
      <c r="R419">
        <v>0</v>
      </c>
      <c r="S419">
        <v>0</v>
      </c>
      <c r="T419">
        <v>0</v>
      </c>
      <c r="U419">
        <v>0</v>
      </c>
      <c r="V419">
        <v>0</v>
      </c>
      <c r="W419">
        <v>0</v>
      </c>
      <c r="X419">
        <v>0</v>
      </c>
      <c r="Y419">
        <v>0</v>
      </c>
      <c r="Z419">
        <v>0</v>
      </c>
      <c r="AA419">
        <v>0</v>
      </c>
    </row>
    <row r="420" spans="1:30" hidden="1">
      <c r="A420" s="37" t="s">
        <v>1744</v>
      </c>
      <c r="B420" s="37">
        <v>0</v>
      </c>
      <c r="C420" s="37">
        <v>0</v>
      </c>
      <c r="D420" s="37">
        <v>0</v>
      </c>
      <c r="E420" s="37">
        <v>0</v>
      </c>
      <c r="F420" s="37">
        <v>0</v>
      </c>
      <c r="G420" s="37">
        <v>0</v>
      </c>
      <c r="H420" s="37">
        <v>0</v>
      </c>
      <c r="I420" s="37">
        <v>0</v>
      </c>
      <c r="J420" s="37">
        <v>56</v>
      </c>
      <c r="K420">
        <v>116</v>
      </c>
      <c r="L420">
        <v>143</v>
      </c>
      <c r="M420">
        <v>79</v>
      </c>
      <c r="N420">
        <v>74</v>
      </c>
      <c r="O420">
        <v>0</v>
      </c>
      <c r="P420">
        <v>0</v>
      </c>
      <c r="Q420">
        <v>0</v>
      </c>
      <c r="R420">
        <v>0</v>
      </c>
      <c r="S420">
        <v>0</v>
      </c>
      <c r="T420">
        <v>0</v>
      </c>
      <c r="U420">
        <v>0</v>
      </c>
      <c r="V420">
        <v>0</v>
      </c>
      <c r="W420">
        <v>0</v>
      </c>
      <c r="X420">
        <v>0</v>
      </c>
      <c r="Y420">
        <v>0</v>
      </c>
      <c r="Z420">
        <v>0</v>
      </c>
      <c r="AA420">
        <v>0</v>
      </c>
    </row>
    <row r="421" spans="1:30" hidden="1">
      <c r="A421" s="37" t="s">
        <v>1745</v>
      </c>
      <c r="B421" s="37">
        <v>0</v>
      </c>
      <c r="C421" s="37">
        <v>0</v>
      </c>
      <c r="D421" s="37">
        <v>0</v>
      </c>
      <c r="E421" s="37">
        <v>0</v>
      </c>
      <c r="F421" s="37">
        <v>0</v>
      </c>
      <c r="G421" s="37">
        <v>0</v>
      </c>
      <c r="H421" s="37">
        <v>0</v>
      </c>
      <c r="I421" s="37">
        <v>0</v>
      </c>
      <c r="J421" s="37">
        <v>0</v>
      </c>
      <c r="K421">
        <v>126</v>
      </c>
      <c r="L421">
        <v>181</v>
      </c>
      <c r="M421">
        <v>145</v>
      </c>
      <c r="N421">
        <v>91</v>
      </c>
      <c r="O421">
        <v>0</v>
      </c>
      <c r="P421">
        <v>0</v>
      </c>
      <c r="Q421">
        <v>0</v>
      </c>
      <c r="R421">
        <v>0</v>
      </c>
      <c r="S421">
        <v>0</v>
      </c>
      <c r="T421">
        <v>0</v>
      </c>
      <c r="U421">
        <v>0</v>
      </c>
      <c r="V421">
        <v>0</v>
      </c>
      <c r="W421">
        <v>0</v>
      </c>
      <c r="X421">
        <v>0</v>
      </c>
      <c r="Y421">
        <v>0</v>
      </c>
      <c r="Z421">
        <v>0</v>
      </c>
      <c r="AA421">
        <v>0</v>
      </c>
    </row>
    <row r="422" spans="1:30" hidden="1">
      <c r="A422" s="37" t="s">
        <v>1746</v>
      </c>
      <c r="B422" s="37">
        <v>0</v>
      </c>
      <c r="C422" s="37">
        <v>0</v>
      </c>
      <c r="D422" s="37">
        <v>0</v>
      </c>
      <c r="E422" s="37">
        <v>0</v>
      </c>
      <c r="F422" s="37">
        <v>0</v>
      </c>
      <c r="G422" s="37">
        <v>0</v>
      </c>
      <c r="H422" s="37">
        <v>0</v>
      </c>
      <c r="I422" s="37">
        <v>0</v>
      </c>
      <c r="J422" s="37">
        <v>0</v>
      </c>
      <c r="K422">
        <v>890</v>
      </c>
      <c r="L422">
        <v>860</v>
      </c>
      <c r="M422">
        <v>532</v>
      </c>
      <c r="N422">
        <v>667</v>
      </c>
      <c r="O422">
        <v>0</v>
      </c>
      <c r="P422">
        <v>0</v>
      </c>
      <c r="Q422">
        <v>0</v>
      </c>
      <c r="R422">
        <v>0</v>
      </c>
      <c r="S422">
        <v>0</v>
      </c>
      <c r="T422">
        <v>0</v>
      </c>
      <c r="U422">
        <v>0</v>
      </c>
      <c r="V422">
        <v>0</v>
      </c>
      <c r="W422">
        <v>0</v>
      </c>
      <c r="X422">
        <v>0</v>
      </c>
      <c r="Y422">
        <v>0</v>
      </c>
      <c r="Z422">
        <v>0</v>
      </c>
      <c r="AA422">
        <v>0</v>
      </c>
    </row>
    <row r="423" spans="1:30" hidden="1">
      <c r="A423" s="37" t="s">
        <v>1747</v>
      </c>
      <c r="B423" s="37">
        <v>0</v>
      </c>
      <c r="C423" s="37">
        <v>0</v>
      </c>
      <c r="D423" s="37">
        <v>0</v>
      </c>
      <c r="E423" s="37">
        <v>0</v>
      </c>
      <c r="F423" s="37">
        <v>0</v>
      </c>
      <c r="G423" s="37">
        <v>0</v>
      </c>
      <c r="H423" s="37">
        <v>0</v>
      </c>
      <c r="I423" s="37">
        <v>0</v>
      </c>
      <c r="J423" s="37">
        <v>0</v>
      </c>
      <c r="K423">
        <v>260</v>
      </c>
      <c r="L423">
        <v>409</v>
      </c>
      <c r="M423">
        <v>186</v>
      </c>
      <c r="N423">
        <v>459</v>
      </c>
      <c r="O423">
        <v>0</v>
      </c>
      <c r="P423">
        <v>0</v>
      </c>
      <c r="Q423">
        <v>0</v>
      </c>
      <c r="R423">
        <v>0</v>
      </c>
      <c r="S423">
        <v>0</v>
      </c>
      <c r="T423">
        <v>0</v>
      </c>
      <c r="U423">
        <v>0</v>
      </c>
      <c r="V423">
        <v>0</v>
      </c>
      <c r="W423">
        <v>0</v>
      </c>
      <c r="X423">
        <v>0</v>
      </c>
      <c r="Y423">
        <v>0</v>
      </c>
      <c r="Z423">
        <v>0</v>
      </c>
      <c r="AA423">
        <v>0</v>
      </c>
    </row>
    <row r="424" spans="1:30" hidden="1">
      <c r="B424" s="37"/>
      <c r="C424" s="37"/>
      <c r="D424" s="37"/>
      <c r="E424" s="37"/>
      <c r="F424" s="37"/>
      <c r="G424" s="37"/>
      <c r="H424" s="37"/>
      <c r="I424" s="37"/>
    </row>
    <row r="425" spans="1:30" hidden="1">
      <c r="B425">
        <f t="shared" ref="B425:X425" si="0">SUM(B2:B423)</f>
        <v>545886</v>
      </c>
      <c r="C425">
        <f t="shared" si="0"/>
        <v>601699</v>
      </c>
      <c r="D425">
        <f t="shared" si="0"/>
        <v>663434</v>
      </c>
      <c r="E425">
        <f t="shared" si="0"/>
        <v>749524</v>
      </c>
      <c r="F425">
        <f t="shared" si="0"/>
        <v>714291</v>
      </c>
      <c r="G425">
        <f t="shared" si="0"/>
        <v>731546</v>
      </c>
      <c r="H425">
        <f t="shared" si="0"/>
        <v>630443</v>
      </c>
      <c r="I425">
        <f t="shared" si="0"/>
        <v>688916</v>
      </c>
      <c r="J425">
        <f t="shared" si="0"/>
        <v>634809</v>
      </c>
      <c r="K425">
        <f t="shared" si="0"/>
        <v>655773</v>
      </c>
      <c r="L425">
        <f t="shared" si="0"/>
        <v>743002</v>
      </c>
      <c r="M425">
        <f>SUM(M2:M423)</f>
        <v>669215</v>
      </c>
      <c r="N425">
        <f>SUM(N2:N423)</f>
        <v>942927</v>
      </c>
      <c r="O425">
        <f t="shared" si="0"/>
        <v>129740</v>
      </c>
      <c r="P425">
        <f t="shared" si="0"/>
        <v>141473</v>
      </c>
      <c r="Q425">
        <f t="shared" si="0"/>
        <v>148089</v>
      </c>
      <c r="R425">
        <f t="shared" si="0"/>
        <v>167042</v>
      </c>
      <c r="S425">
        <f t="shared" si="0"/>
        <v>167994</v>
      </c>
      <c r="T425">
        <f t="shared" si="0"/>
        <v>167147</v>
      </c>
      <c r="U425">
        <f t="shared" si="0"/>
        <v>160333</v>
      </c>
      <c r="V425">
        <f t="shared" si="0"/>
        <v>174041</v>
      </c>
      <c r="W425">
        <f t="shared" si="0"/>
        <v>174952</v>
      </c>
      <c r="X425">
        <f t="shared" si="0"/>
        <v>185249</v>
      </c>
      <c r="Y425">
        <f>SUM(Y2:Y423)</f>
        <v>211464</v>
      </c>
      <c r="Z425">
        <f>SUM(Z2:Z423)</f>
        <v>179091</v>
      </c>
      <c r="AA425">
        <f>SUM(AA2:AA423)</f>
        <v>241911</v>
      </c>
    </row>
    <row r="426" spans="1:30" hidden="1">
      <c r="B426" s="37"/>
      <c r="C426" s="37"/>
      <c r="D426" s="37"/>
      <c r="E426" s="37"/>
      <c r="F426" s="37"/>
      <c r="G426" s="37"/>
      <c r="H426" s="37"/>
      <c r="I426" s="37"/>
    </row>
    <row r="427" spans="1:30" hidden="1">
      <c r="B427" s="37"/>
      <c r="C427" s="37"/>
      <c r="D427" s="37"/>
      <c r="E427" s="37"/>
      <c r="F427" s="37"/>
      <c r="G427" s="37"/>
      <c r="H427" s="37"/>
      <c r="I427" s="37"/>
    </row>
    <row r="428" spans="1:30" hidden="1">
      <c r="B428" s="37"/>
      <c r="C428" s="37"/>
      <c r="D428" s="37"/>
      <c r="E428" s="37"/>
      <c r="F428" s="37"/>
      <c r="G428" s="37"/>
      <c r="H428" s="37"/>
      <c r="J428" s="37"/>
    </row>
    <row r="429" spans="1:30" ht="18.75" hidden="1" customHeight="1">
      <c r="B429" s="37"/>
      <c r="C429" s="37"/>
      <c r="D429" s="37"/>
      <c r="E429" s="37"/>
      <c r="F429" s="37"/>
      <c r="G429" s="37"/>
      <c r="H429" s="37"/>
      <c r="I429" s="37"/>
    </row>
    <row r="430" spans="1:30">
      <c r="B430" s="37"/>
      <c r="C430" s="37"/>
      <c r="D430" s="37"/>
      <c r="E430" s="37"/>
      <c r="F430" s="37"/>
      <c r="G430" s="37"/>
      <c r="H430" s="37"/>
      <c r="I430" s="37"/>
    </row>
    <row r="431" spans="1:30" ht="12.75" customHeight="1">
      <c r="A431">
        <v>2024</v>
      </c>
      <c r="B431">
        <v>2024</v>
      </c>
      <c r="C431">
        <v>2024</v>
      </c>
      <c r="D431">
        <v>2024</v>
      </c>
      <c r="E431">
        <v>2024</v>
      </c>
      <c r="F431">
        <v>2024</v>
      </c>
      <c r="G431">
        <v>2024</v>
      </c>
      <c r="H431">
        <v>2024</v>
      </c>
      <c r="I431">
        <v>2024</v>
      </c>
      <c r="J431">
        <v>2024</v>
      </c>
      <c r="K431">
        <v>2024</v>
      </c>
      <c r="L431">
        <v>2024</v>
      </c>
      <c r="M431">
        <v>2025</v>
      </c>
      <c r="N431">
        <v>2025</v>
      </c>
      <c r="O431">
        <v>2025</v>
      </c>
      <c r="P431">
        <v>2025</v>
      </c>
      <c r="Q431">
        <v>2025</v>
      </c>
      <c r="R431">
        <v>2025</v>
      </c>
      <c r="S431">
        <v>2025</v>
      </c>
      <c r="T431">
        <v>2025</v>
      </c>
      <c r="U431">
        <v>2025</v>
      </c>
      <c r="V431">
        <v>2025</v>
      </c>
      <c r="W431">
        <v>2025</v>
      </c>
      <c r="X431">
        <v>2025</v>
      </c>
      <c r="Y431">
        <v>2026</v>
      </c>
      <c r="Z431">
        <v>2026</v>
      </c>
      <c r="AA431">
        <v>2026</v>
      </c>
      <c r="AB431">
        <v>2026</v>
      </c>
      <c r="AC431">
        <v>2026</v>
      </c>
      <c r="AD431">
        <v>2026</v>
      </c>
    </row>
    <row r="432" spans="1:30">
      <c r="A432" t="s">
        <v>1748</v>
      </c>
      <c r="B432" t="s">
        <v>9</v>
      </c>
      <c r="C432" t="s">
        <v>10</v>
      </c>
      <c r="D432" t="s">
        <v>1749</v>
      </c>
      <c r="E432" t="s">
        <v>1750</v>
      </c>
      <c r="F432" t="s">
        <v>1751</v>
      </c>
      <c r="G432" t="s">
        <v>1752</v>
      </c>
      <c r="H432" t="s">
        <v>1753</v>
      </c>
      <c r="I432" t="s">
        <v>1754</v>
      </c>
      <c r="J432" t="s">
        <v>1755</v>
      </c>
      <c r="K432" t="s">
        <v>1756</v>
      </c>
      <c r="L432" t="s">
        <v>1757</v>
      </c>
      <c r="M432" t="s">
        <v>1748</v>
      </c>
      <c r="N432" t="s">
        <v>9</v>
      </c>
      <c r="O432" t="s">
        <v>10</v>
      </c>
      <c r="P432" t="s">
        <v>1749</v>
      </c>
      <c r="Q432" t="s">
        <v>1750</v>
      </c>
      <c r="R432" t="s">
        <v>1751</v>
      </c>
      <c r="S432" t="s">
        <v>1752</v>
      </c>
      <c r="T432" t="s">
        <v>1753</v>
      </c>
      <c r="U432" t="s">
        <v>1754</v>
      </c>
      <c r="V432" t="s">
        <v>1755</v>
      </c>
      <c r="W432" t="s">
        <v>1756</v>
      </c>
      <c r="X432" t="s">
        <v>1757</v>
      </c>
      <c r="Y432" t="s">
        <v>1748</v>
      </c>
      <c r="Z432" t="s">
        <v>9</v>
      </c>
      <c r="AA432" t="s">
        <v>10</v>
      </c>
      <c r="AB432" t="s">
        <v>1749</v>
      </c>
      <c r="AC432" t="s">
        <v>1750</v>
      </c>
      <c r="AD432" t="s">
        <v>1956</v>
      </c>
    </row>
    <row r="433" spans="1:30">
      <c r="A433" s="165">
        <v>0.17119999999999999</v>
      </c>
      <c r="B433" s="165">
        <v>0.16869999999999999</v>
      </c>
      <c r="C433" s="165">
        <v>0.15559999999999999</v>
      </c>
      <c r="D433" s="165">
        <v>0.15379999999999999</v>
      </c>
      <c r="E433" s="165">
        <v>0.17710000000000001</v>
      </c>
      <c r="F433" s="165">
        <v>0.192</v>
      </c>
      <c r="G433" s="165">
        <v>0.19189999999999999</v>
      </c>
      <c r="H433" s="165">
        <v>0.19600000000000001</v>
      </c>
      <c r="I433" s="165">
        <v>0.1981</v>
      </c>
      <c r="J433" s="165">
        <v>0.20469999999999999</v>
      </c>
      <c r="K433" s="165">
        <v>0.1976</v>
      </c>
      <c r="L433" s="165">
        <v>0.2024</v>
      </c>
      <c r="M433" s="165">
        <v>0.182</v>
      </c>
      <c r="N433" s="165">
        <v>0.189</v>
      </c>
      <c r="O433" s="165">
        <v>0.1938</v>
      </c>
      <c r="P433" s="165">
        <v>0.1951</v>
      </c>
      <c r="Q433" s="165">
        <v>0.1973</v>
      </c>
      <c r="R433" s="165">
        <v>0.2051</v>
      </c>
      <c r="S433" s="165">
        <v>0.2167</v>
      </c>
      <c r="T433" s="165">
        <v>0.2099</v>
      </c>
      <c r="U433" s="165">
        <v>0.2248</v>
      </c>
      <c r="V433" s="165">
        <v>0.2351</v>
      </c>
      <c r="W433" s="165">
        <v>0.22670000000000001</v>
      </c>
      <c r="X433" s="165">
        <v>0.24079999999999999</v>
      </c>
      <c r="Y433" s="165">
        <v>0.2243</v>
      </c>
      <c r="Z433" s="165">
        <v>0.2288</v>
      </c>
      <c r="AA433" s="170">
        <v>0.23319999999999999</v>
      </c>
      <c r="AB433" s="170">
        <v>0.23120000000000002</v>
      </c>
      <c r="AC433" s="170">
        <v>0.24489999999999998</v>
      </c>
      <c r="AD433" s="170">
        <v>0.2409</v>
      </c>
    </row>
    <row r="434" spans="1:30">
      <c r="A434" s="165"/>
      <c r="B434" s="165"/>
      <c r="C434" s="165"/>
      <c r="D434" s="165"/>
      <c r="E434" s="165"/>
      <c r="F434" s="165"/>
      <c r="G434" s="165"/>
      <c r="H434" s="165"/>
      <c r="I434" s="165"/>
      <c r="J434" s="165"/>
      <c r="K434" s="165"/>
      <c r="L434" s="165"/>
      <c r="M434" s="165"/>
      <c r="N434" s="165"/>
      <c r="P434" s="165"/>
      <c r="Q434" s="165"/>
      <c r="S434" s="165"/>
      <c r="T434" s="165"/>
      <c r="V434" s="165"/>
      <c r="W434" s="165"/>
      <c r="Y434" s="165"/>
    </row>
    <row r="488" spans="30:30">
      <c r="AD488">
        <v>1000989</v>
      </c>
    </row>
  </sheetData>
  <phoneticPr fontId="12"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0D377-3820-4DB4-B8D5-8AE187021F68}">
  <sheetPr filterMode="1"/>
  <dimension ref="A1:Q641"/>
  <sheetViews>
    <sheetView workbookViewId="0">
      <pane xSplit="2" topLeftCell="C1" activePane="topRight" state="frozen"/>
      <selection pane="topRight" activeCell="K212" sqref="K212"/>
    </sheetView>
  </sheetViews>
  <sheetFormatPr defaultRowHeight="15"/>
  <cols>
    <col min="1" max="1" width="97.85546875" customWidth="1"/>
    <col min="2" max="2" width="14" customWidth="1"/>
    <col min="3" max="3" width="21" customWidth="1"/>
    <col min="4" max="4" width="14.85546875" style="18" customWidth="1"/>
    <col min="5" max="5" width="20.7109375" style="113" customWidth="1"/>
    <col min="6" max="7" width="1.7109375" customWidth="1"/>
    <col min="8" max="8" width="19" style="105" customWidth="1"/>
    <col min="9" max="9" width="9.7109375" customWidth="1"/>
    <col min="10" max="10" width="10.85546875" customWidth="1"/>
    <col min="11" max="12" width="13.85546875" customWidth="1"/>
    <col min="13" max="13" width="13.85546875" style="106" customWidth="1"/>
    <col min="15" max="17" width="0" hidden="1" customWidth="1"/>
  </cols>
  <sheetData>
    <row r="1" spans="1:17" s="2" customFormat="1" ht="10.5" customHeight="1">
      <c r="A1" s="20" t="s">
        <v>1759</v>
      </c>
      <c r="B1" s="20" t="s">
        <v>1579</v>
      </c>
      <c r="C1" s="20" t="s">
        <v>1760</v>
      </c>
      <c r="D1" s="21" t="s">
        <v>1761</v>
      </c>
      <c r="E1" s="115" t="s">
        <v>1762</v>
      </c>
      <c r="F1" s="20"/>
      <c r="G1" s="20"/>
      <c r="H1" s="104" t="s">
        <v>1763</v>
      </c>
      <c r="I1" s="20" t="s">
        <v>1764</v>
      </c>
      <c r="J1" s="20"/>
      <c r="K1" s="20" t="s">
        <v>1765</v>
      </c>
      <c r="L1" s="20" t="s">
        <v>1766</v>
      </c>
      <c r="M1" s="107" t="s">
        <v>1767</v>
      </c>
      <c r="O1" s="2" t="s">
        <v>17</v>
      </c>
      <c r="P1" s="2">
        <v>67399</v>
      </c>
      <c r="Q1" s="2">
        <v>74374.570000000007</v>
      </c>
    </row>
    <row r="2" spans="1:17" hidden="1">
      <c r="A2" s="38" t="s">
        <v>865</v>
      </c>
      <c r="B2" s="35" t="s">
        <v>866</v>
      </c>
      <c r="C2" s="27">
        <v>9506</v>
      </c>
      <c r="D2" s="18">
        <f>C2/30</f>
        <v>316.86666666666667</v>
      </c>
      <c r="E2" s="5">
        <v>10114.459999999999</v>
      </c>
      <c r="H2" s="18">
        <f>IF((C2/30)&gt;100,C2*2,C2*2)</f>
        <v>19012</v>
      </c>
      <c r="I2" t="b">
        <f>IF(E2&gt;1.2*H2,FALSE,TRUE)</f>
        <v>1</v>
      </c>
      <c r="J2" s="4">
        <f t="shared" ref="J2:J64" si="0">E2/H2-1</f>
        <v>-0.46799600252472129</v>
      </c>
      <c r="M2"/>
      <c r="O2" t="s">
        <v>345</v>
      </c>
      <c r="P2">
        <v>4822</v>
      </c>
      <c r="Q2">
        <v>9600.5</v>
      </c>
    </row>
    <row r="3" spans="1:17" hidden="1">
      <c r="A3" t="s">
        <v>1768</v>
      </c>
      <c r="B3" t="s">
        <v>886</v>
      </c>
      <c r="C3" s="27">
        <v>45231</v>
      </c>
      <c r="D3" s="18">
        <f t="shared" ref="D3:D66" si="1">C3/30</f>
        <v>1507.7</v>
      </c>
      <c r="E3" s="5">
        <v>70406.539999999994</v>
      </c>
      <c r="H3" s="18">
        <f>IF((C3/30)&gt;100,C3*2,C3*2)</f>
        <v>90462</v>
      </c>
      <c r="I3" t="b">
        <f>IF(E3&gt;1.2*H3,FALSE,TRUE)</f>
        <v>1</v>
      </c>
      <c r="J3" s="4">
        <f t="shared" si="0"/>
        <v>-0.22170038248104185</v>
      </c>
      <c r="M3"/>
      <c r="O3" t="s">
        <v>836</v>
      </c>
      <c r="P3">
        <v>10249</v>
      </c>
      <c r="Q3">
        <v>16634</v>
      </c>
    </row>
    <row r="4" spans="1:17" hidden="1">
      <c r="A4" t="s">
        <v>98</v>
      </c>
      <c r="B4" t="s">
        <v>99</v>
      </c>
      <c r="C4" s="27">
        <v>28031</v>
      </c>
      <c r="D4" s="18">
        <f t="shared" si="1"/>
        <v>934.36666666666667</v>
      </c>
      <c r="E4" s="5">
        <v>27518.240000000002</v>
      </c>
      <c r="H4" s="18">
        <f t="shared" ref="H4:H66" si="2">IF((C4/30)&gt;100,C4*2,C4*2)</f>
        <v>56062</v>
      </c>
      <c r="I4" t="b">
        <f t="shared" ref="I4:I64" si="3">IF(E4&gt;1.2*H4,FALSE,TRUE)</f>
        <v>1</v>
      </c>
      <c r="J4" s="4">
        <f t="shared" si="0"/>
        <v>-0.50914630230815883</v>
      </c>
      <c r="M4"/>
      <c r="O4" t="s">
        <v>119</v>
      </c>
      <c r="P4">
        <v>26241</v>
      </c>
      <c r="Q4">
        <v>30072.34</v>
      </c>
    </row>
    <row r="5" spans="1:17" hidden="1">
      <c r="A5" t="s">
        <v>20</v>
      </c>
      <c r="B5" t="s">
        <v>21</v>
      </c>
      <c r="C5" s="27">
        <v>19097</v>
      </c>
      <c r="D5" s="18">
        <f t="shared" si="1"/>
        <v>636.56666666666672</v>
      </c>
      <c r="E5" s="5">
        <v>30133.62</v>
      </c>
      <c r="H5" s="18">
        <f t="shared" si="2"/>
        <v>38194</v>
      </c>
      <c r="I5" t="b">
        <f t="shared" si="3"/>
        <v>1</v>
      </c>
      <c r="J5" s="4">
        <f t="shared" si="0"/>
        <v>-0.21103785934963615</v>
      </c>
      <c r="M5"/>
      <c r="O5" t="s">
        <v>21</v>
      </c>
      <c r="P5">
        <v>20605</v>
      </c>
      <c r="Q5">
        <v>19405.060000000001</v>
      </c>
    </row>
    <row r="6" spans="1:17" hidden="1">
      <c r="A6" t="s">
        <v>690</v>
      </c>
      <c r="B6" t="s">
        <v>691</v>
      </c>
      <c r="C6" s="27">
        <v>6218</v>
      </c>
      <c r="D6" s="18">
        <f t="shared" si="1"/>
        <v>207.26666666666668</v>
      </c>
      <c r="E6" s="5">
        <v>8884.27</v>
      </c>
      <c r="H6" s="18">
        <f t="shared" si="2"/>
        <v>12436</v>
      </c>
      <c r="I6" t="b">
        <f t="shared" si="3"/>
        <v>1</v>
      </c>
      <c r="J6" s="4">
        <f t="shared" si="0"/>
        <v>-0.28560067545834666</v>
      </c>
      <c r="M6"/>
      <c r="O6" t="s">
        <v>639</v>
      </c>
      <c r="P6">
        <v>6929</v>
      </c>
      <c r="Q6">
        <v>10453.85</v>
      </c>
    </row>
    <row r="7" spans="1:17" hidden="1">
      <c r="A7" t="s">
        <v>857</v>
      </c>
      <c r="B7" t="s">
        <v>858</v>
      </c>
      <c r="C7" s="27">
        <v>5468</v>
      </c>
      <c r="D7" s="18">
        <f t="shared" si="1"/>
        <v>182.26666666666668</v>
      </c>
      <c r="E7" s="5">
        <v>3342.52</v>
      </c>
      <c r="H7" s="18">
        <f t="shared" si="2"/>
        <v>10936</v>
      </c>
      <c r="I7" t="b">
        <f t="shared" si="3"/>
        <v>1</v>
      </c>
      <c r="J7" s="4">
        <f t="shared" si="0"/>
        <v>-0.69435625457205563</v>
      </c>
      <c r="M7"/>
      <c r="O7" t="s">
        <v>481</v>
      </c>
      <c r="P7">
        <v>2129</v>
      </c>
      <c r="Q7">
        <v>3078.97</v>
      </c>
    </row>
    <row r="8" spans="1:17" hidden="1">
      <c r="A8" t="s">
        <v>887</v>
      </c>
      <c r="B8" t="s">
        <v>888</v>
      </c>
      <c r="C8" s="27">
        <v>19403</v>
      </c>
      <c r="D8" s="18">
        <f t="shared" si="1"/>
        <v>646.76666666666665</v>
      </c>
      <c r="E8" s="5">
        <v>17429.87</v>
      </c>
      <c r="H8" s="18">
        <f t="shared" si="2"/>
        <v>38806</v>
      </c>
      <c r="I8" t="b">
        <f t="shared" si="3"/>
        <v>1</v>
      </c>
      <c r="J8" s="4">
        <f t="shared" si="0"/>
        <v>-0.55084600319538213</v>
      </c>
      <c r="M8"/>
      <c r="O8" t="s">
        <v>65</v>
      </c>
      <c r="P8">
        <v>11862</v>
      </c>
      <c r="Q8">
        <v>7272.85</v>
      </c>
    </row>
    <row r="9" spans="1:17">
      <c r="A9" t="s">
        <v>130</v>
      </c>
      <c r="B9" t="s">
        <v>131</v>
      </c>
      <c r="C9" s="27">
        <v>755</v>
      </c>
      <c r="D9" s="18">
        <f t="shared" si="1"/>
        <v>25.166666666666668</v>
      </c>
      <c r="E9" s="5">
        <v>1970.32</v>
      </c>
      <c r="H9" s="18">
        <f t="shared" si="2"/>
        <v>1510</v>
      </c>
      <c r="I9" t="b">
        <f t="shared" si="3"/>
        <v>0</v>
      </c>
      <c r="J9" s="4">
        <f t="shared" si="0"/>
        <v>0.30484768211920521</v>
      </c>
      <c r="M9"/>
      <c r="O9" t="s">
        <v>211</v>
      </c>
      <c r="P9">
        <v>4129</v>
      </c>
      <c r="Q9">
        <v>7431.5</v>
      </c>
    </row>
    <row r="10" spans="1:17" hidden="1">
      <c r="A10" t="s">
        <v>779</v>
      </c>
      <c r="B10" t="s">
        <v>780</v>
      </c>
      <c r="C10" s="27">
        <v>3286</v>
      </c>
      <c r="D10" s="18">
        <f t="shared" si="1"/>
        <v>109.53333333333333</v>
      </c>
      <c r="E10" s="5">
        <v>4783.6899999999996</v>
      </c>
      <c r="H10" s="18">
        <f t="shared" si="2"/>
        <v>6572</v>
      </c>
      <c r="I10" t="b">
        <f t="shared" si="3"/>
        <v>1</v>
      </c>
      <c r="J10" s="4">
        <f t="shared" si="0"/>
        <v>-0.27211046865489963</v>
      </c>
      <c r="M10"/>
      <c r="O10" t="s">
        <v>888</v>
      </c>
      <c r="P10">
        <v>25786</v>
      </c>
      <c r="Q10">
        <v>18542.5</v>
      </c>
    </row>
    <row r="11" spans="1:17" hidden="1">
      <c r="A11" t="s">
        <v>546</v>
      </c>
      <c r="B11" t="s">
        <v>547</v>
      </c>
      <c r="C11" s="27">
        <v>2188</v>
      </c>
      <c r="D11" s="18">
        <f t="shared" si="1"/>
        <v>72.933333333333337</v>
      </c>
      <c r="E11" s="5">
        <v>1738.93</v>
      </c>
      <c r="H11" s="18">
        <f t="shared" si="2"/>
        <v>4376</v>
      </c>
      <c r="I11" t="b">
        <f t="shared" si="3"/>
        <v>1</v>
      </c>
      <c r="J11" s="4">
        <f t="shared" si="0"/>
        <v>-0.60262111517367456</v>
      </c>
      <c r="M11"/>
      <c r="O11" t="s">
        <v>37</v>
      </c>
      <c r="P11">
        <v>4818</v>
      </c>
      <c r="Q11">
        <v>8527.9500000000007</v>
      </c>
    </row>
    <row r="12" spans="1:17" hidden="1">
      <c r="A12" t="s">
        <v>146</v>
      </c>
      <c r="B12" t="s">
        <v>147</v>
      </c>
      <c r="C12" s="27">
        <v>1979</v>
      </c>
      <c r="D12" s="18">
        <f t="shared" si="1"/>
        <v>65.966666666666669</v>
      </c>
      <c r="E12" s="5">
        <v>2026.12</v>
      </c>
      <c r="H12" s="18">
        <f t="shared" si="2"/>
        <v>3958</v>
      </c>
      <c r="I12" t="b">
        <f t="shared" si="3"/>
        <v>1</v>
      </c>
      <c r="J12" s="4">
        <f t="shared" si="0"/>
        <v>-0.48809499747347151</v>
      </c>
      <c r="M12"/>
      <c r="O12" t="s">
        <v>771</v>
      </c>
      <c r="P12">
        <v>3732</v>
      </c>
      <c r="Q12">
        <v>7397.98</v>
      </c>
    </row>
    <row r="13" spans="1:17" hidden="1">
      <c r="A13" t="s">
        <v>817</v>
      </c>
      <c r="B13" t="s">
        <v>818</v>
      </c>
      <c r="C13" s="27">
        <v>2714</v>
      </c>
      <c r="D13" s="18">
        <f t="shared" si="1"/>
        <v>90.466666666666669</v>
      </c>
      <c r="E13" s="5">
        <v>2026.55</v>
      </c>
      <c r="H13" s="18">
        <f t="shared" si="2"/>
        <v>5428</v>
      </c>
      <c r="I13" t="b">
        <f t="shared" si="3"/>
        <v>1</v>
      </c>
      <c r="J13" s="4">
        <f t="shared" si="0"/>
        <v>-0.62664885777450263</v>
      </c>
      <c r="M13"/>
      <c r="O13" t="s">
        <v>691</v>
      </c>
      <c r="P13">
        <v>11641</v>
      </c>
      <c r="Q13">
        <v>10505.25</v>
      </c>
    </row>
    <row r="14" spans="1:17" hidden="1">
      <c r="A14" t="s">
        <v>847</v>
      </c>
      <c r="B14" t="s">
        <v>848</v>
      </c>
      <c r="C14" s="27">
        <v>1284</v>
      </c>
      <c r="D14" s="18">
        <f t="shared" si="1"/>
        <v>42.8</v>
      </c>
      <c r="E14" s="5">
        <v>2591.89</v>
      </c>
      <c r="H14" s="18">
        <f t="shared" si="2"/>
        <v>2568</v>
      </c>
      <c r="I14" t="b">
        <f t="shared" si="3"/>
        <v>1</v>
      </c>
      <c r="J14" s="4">
        <f t="shared" si="0"/>
        <v>9.3029595015576838E-3</v>
      </c>
      <c r="M14"/>
      <c r="O14" t="s">
        <v>99</v>
      </c>
      <c r="P14">
        <v>7271</v>
      </c>
      <c r="Q14">
        <v>8084.91</v>
      </c>
    </row>
    <row r="15" spans="1:17" hidden="1">
      <c r="A15" t="s">
        <v>480</v>
      </c>
      <c r="B15" t="s">
        <v>481</v>
      </c>
      <c r="C15" s="27">
        <v>1581</v>
      </c>
      <c r="D15" s="18">
        <f t="shared" si="1"/>
        <v>52.7</v>
      </c>
      <c r="E15" s="5">
        <v>2987.58</v>
      </c>
      <c r="H15" s="18">
        <f t="shared" si="2"/>
        <v>3162</v>
      </c>
      <c r="I15" t="b">
        <f t="shared" si="3"/>
        <v>1</v>
      </c>
      <c r="J15" s="4">
        <f t="shared" si="0"/>
        <v>-5.5161290322580658E-2</v>
      </c>
      <c r="M15"/>
      <c r="O15" t="s">
        <v>880</v>
      </c>
      <c r="P15">
        <v>4069</v>
      </c>
      <c r="Q15">
        <v>7312.03</v>
      </c>
    </row>
    <row r="16" spans="1:17" hidden="1">
      <c r="A16" t="s">
        <v>548</v>
      </c>
      <c r="B16" t="s">
        <v>549</v>
      </c>
      <c r="C16" s="27">
        <v>2714</v>
      </c>
      <c r="D16" s="18">
        <f t="shared" si="1"/>
        <v>90.466666666666669</v>
      </c>
      <c r="E16" s="5">
        <v>5063.22</v>
      </c>
      <c r="H16" s="18">
        <f t="shared" si="2"/>
        <v>5428</v>
      </c>
      <c r="I16" t="b">
        <f t="shared" si="3"/>
        <v>1</v>
      </c>
      <c r="J16" s="4">
        <f t="shared" si="0"/>
        <v>-6.7203389830508442E-2</v>
      </c>
      <c r="M16"/>
      <c r="O16" t="s">
        <v>147</v>
      </c>
      <c r="P16">
        <v>3689</v>
      </c>
      <c r="Q16">
        <v>5998.01</v>
      </c>
    </row>
    <row r="17" spans="1:17" hidden="1">
      <c r="A17" t="s">
        <v>30</v>
      </c>
      <c r="B17" t="s">
        <v>31</v>
      </c>
      <c r="C17" s="27">
        <v>4768</v>
      </c>
      <c r="D17" s="18">
        <f t="shared" si="1"/>
        <v>158.93333333333334</v>
      </c>
      <c r="E17" s="5">
        <v>7917.13</v>
      </c>
      <c r="H17" s="18">
        <f t="shared" si="2"/>
        <v>9536</v>
      </c>
      <c r="I17" t="b">
        <f t="shared" si="3"/>
        <v>1</v>
      </c>
      <c r="J17" s="4">
        <f t="shared" si="0"/>
        <v>-0.16976405201342282</v>
      </c>
      <c r="M17"/>
      <c r="O17" t="s">
        <v>487</v>
      </c>
      <c r="P17">
        <v>1500</v>
      </c>
      <c r="Q17">
        <v>3242.85</v>
      </c>
    </row>
    <row r="18" spans="1:17" hidden="1">
      <c r="A18" t="s">
        <v>805</v>
      </c>
      <c r="B18" t="s">
        <v>806</v>
      </c>
      <c r="C18" s="27">
        <v>2999</v>
      </c>
      <c r="D18" s="18">
        <f t="shared" si="1"/>
        <v>99.966666666666669</v>
      </c>
      <c r="E18" s="5">
        <v>2333.2399999999998</v>
      </c>
      <c r="H18" s="18">
        <f t="shared" si="2"/>
        <v>5998</v>
      </c>
      <c r="I18" t="b">
        <f t="shared" si="3"/>
        <v>1</v>
      </c>
      <c r="J18" s="4">
        <f t="shared" si="0"/>
        <v>-0.61099699899966664</v>
      </c>
      <c r="M18"/>
      <c r="O18" t="s">
        <v>431</v>
      </c>
      <c r="P18">
        <v>2196</v>
      </c>
      <c r="Q18">
        <v>4307.3100000000004</v>
      </c>
    </row>
    <row r="19" spans="1:17" hidden="1">
      <c r="A19" t="s">
        <v>344</v>
      </c>
      <c r="B19" t="s">
        <v>345</v>
      </c>
      <c r="C19" s="27">
        <v>2389</v>
      </c>
      <c r="D19" s="18">
        <f t="shared" si="1"/>
        <v>79.63333333333334</v>
      </c>
      <c r="E19" s="5">
        <v>2187.46</v>
      </c>
      <c r="H19" s="18">
        <f t="shared" si="2"/>
        <v>4778</v>
      </c>
      <c r="I19" t="b">
        <f t="shared" si="3"/>
        <v>1</v>
      </c>
      <c r="J19" s="4">
        <f t="shared" si="0"/>
        <v>-0.54218082879866047</v>
      </c>
      <c r="M19"/>
      <c r="O19" t="s">
        <v>573</v>
      </c>
      <c r="P19">
        <v>1326</v>
      </c>
      <c r="Q19">
        <v>2816.7</v>
      </c>
    </row>
    <row r="20" spans="1:17" hidden="1">
      <c r="A20" t="s">
        <v>56</v>
      </c>
      <c r="B20" t="s">
        <v>57</v>
      </c>
      <c r="C20" s="27">
        <v>2364</v>
      </c>
      <c r="D20" s="18">
        <f t="shared" si="1"/>
        <v>78.8</v>
      </c>
      <c r="E20" s="5">
        <v>4986.3500000000004</v>
      </c>
      <c r="H20" s="18">
        <f t="shared" si="2"/>
        <v>4728</v>
      </c>
      <c r="I20" t="b">
        <f t="shared" si="3"/>
        <v>1</v>
      </c>
      <c r="J20" s="4">
        <f t="shared" si="0"/>
        <v>5.4642554991539916E-2</v>
      </c>
      <c r="M20"/>
      <c r="O20" t="s">
        <v>763</v>
      </c>
      <c r="P20">
        <v>1109</v>
      </c>
      <c r="Q20">
        <v>2476.85</v>
      </c>
    </row>
    <row r="21" spans="1:17" hidden="1">
      <c r="A21" t="s">
        <v>726</v>
      </c>
      <c r="B21" t="s">
        <v>727</v>
      </c>
      <c r="C21" s="27">
        <v>2346</v>
      </c>
      <c r="D21" s="18">
        <f t="shared" si="1"/>
        <v>78.2</v>
      </c>
      <c r="E21" s="5">
        <v>2479.91</v>
      </c>
      <c r="H21" s="18">
        <f t="shared" si="2"/>
        <v>4692</v>
      </c>
      <c r="I21" t="b">
        <f t="shared" si="3"/>
        <v>1</v>
      </c>
      <c r="J21" s="4">
        <f t="shared" si="0"/>
        <v>-0.47145993179880652</v>
      </c>
      <c r="M21"/>
      <c r="O21" t="s">
        <v>547</v>
      </c>
      <c r="P21">
        <v>4052</v>
      </c>
      <c r="Q21">
        <v>6748.08</v>
      </c>
    </row>
    <row r="22" spans="1:17" hidden="1">
      <c r="A22" t="s">
        <v>64</v>
      </c>
      <c r="B22" t="s">
        <v>65</v>
      </c>
      <c r="C22" s="27">
        <v>10872</v>
      </c>
      <c r="D22" s="18">
        <f t="shared" si="1"/>
        <v>362.4</v>
      </c>
      <c r="E22" s="5">
        <v>7767.42</v>
      </c>
      <c r="H22" s="18">
        <f t="shared" si="2"/>
        <v>21744</v>
      </c>
      <c r="I22" t="b">
        <f t="shared" si="3"/>
        <v>1</v>
      </c>
      <c r="J22" s="4">
        <f t="shared" si="0"/>
        <v>-0.642778697571744</v>
      </c>
      <c r="M22"/>
      <c r="O22" t="s">
        <v>245</v>
      </c>
      <c r="P22">
        <v>1476</v>
      </c>
      <c r="Q22">
        <v>2358.27</v>
      </c>
    </row>
    <row r="23" spans="1:17" hidden="1">
      <c r="A23" t="s">
        <v>664</v>
      </c>
      <c r="B23" t="s">
        <v>665</v>
      </c>
      <c r="C23" s="27">
        <v>1490</v>
      </c>
      <c r="D23" s="18">
        <f t="shared" si="1"/>
        <v>49.666666666666664</v>
      </c>
      <c r="E23" s="5">
        <v>3129.62</v>
      </c>
      <c r="H23" s="18">
        <f t="shared" si="2"/>
        <v>2980</v>
      </c>
      <c r="I23" t="b">
        <f t="shared" si="3"/>
        <v>1</v>
      </c>
      <c r="J23" s="4">
        <f t="shared" si="0"/>
        <v>5.0208053691275234E-2</v>
      </c>
      <c r="O23" t="s">
        <v>15</v>
      </c>
      <c r="P23">
        <v>14987</v>
      </c>
      <c r="Q23">
        <v>5594.85</v>
      </c>
    </row>
    <row r="24" spans="1:17" hidden="1">
      <c r="A24" t="s">
        <v>696</v>
      </c>
      <c r="B24" t="s">
        <v>697</v>
      </c>
      <c r="C24" s="27">
        <v>3162</v>
      </c>
      <c r="D24" s="18">
        <f t="shared" si="1"/>
        <v>105.4</v>
      </c>
      <c r="E24" s="5">
        <v>2446.33</v>
      </c>
      <c r="H24" s="18">
        <f t="shared" si="2"/>
        <v>6324</v>
      </c>
      <c r="I24" t="b">
        <f t="shared" si="3"/>
        <v>1</v>
      </c>
      <c r="J24" s="4">
        <f t="shared" si="0"/>
        <v>-0.6131672991777356</v>
      </c>
      <c r="M24"/>
      <c r="O24" t="s">
        <v>309</v>
      </c>
      <c r="P24">
        <v>652</v>
      </c>
      <c r="Q24">
        <v>1070.94</v>
      </c>
    </row>
    <row r="25" spans="1:17" hidden="1">
      <c r="A25" s="35" t="s">
        <v>801</v>
      </c>
      <c r="B25" s="35" t="s">
        <v>802</v>
      </c>
      <c r="C25" s="27">
        <v>880</v>
      </c>
      <c r="D25" s="18">
        <f t="shared" si="1"/>
        <v>29.333333333333332</v>
      </c>
      <c r="E25" s="5">
        <v>1374.25</v>
      </c>
      <c r="H25" s="18">
        <f t="shared" si="2"/>
        <v>1760</v>
      </c>
      <c r="I25" t="b">
        <f t="shared" si="3"/>
        <v>1</v>
      </c>
      <c r="J25" s="4">
        <f t="shared" si="0"/>
        <v>-0.21917613636363631</v>
      </c>
      <c r="M25"/>
      <c r="O25" t="s">
        <v>483</v>
      </c>
      <c r="P25">
        <v>1671</v>
      </c>
      <c r="Q25">
        <v>2325.75</v>
      </c>
    </row>
    <row r="26" spans="1:17" hidden="1">
      <c r="A26" t="s">
        <v>328</v>
      </c>
      <c r="B26" t="s">
        <v>329</v>
      </c>
      <c r="C26" s="27">
        <v>2783</v>
      </c>
      <c r="D26" s="18">
        <f t="shared" si="1"/>
        <v>92.766666666666666</v>
      </c>
      <c r="E26" s="5">
        <v>2620.79</v>
      </c>
      <c r="H26" s="18">
        <f t="shared" si="2"/>
        <v>5566</v>
      </c>
      <c r="I26" t="b">
        <f t="shared" si="3"/>
        <v>1</v>
      </c>
      <c r="J26" s="4">
        <f t="shared" si="0"/>
        <v>-0.52914301113905859</v>
      </c>
      <c r="M26"/>
      <c r="O26" t="s">
        <v>471</v>
      </c>
      <c r="P26">
        <v>2656</v>
      </c>
      <c r="Q26">
        <v>5003.68</v>
      </c>
    </row>
    <row r="27" spans="1:17" hidden="1">
      <c r="A27" t="s">
        <v>869</v>
      </c>
      <c r="B27" t="s">
        <v>870</v>
      </c>
      <c r="C27" s="27">
        <v>3367</v>
      </c>
      <c r="D27" s="18">
        <f t="shared" si="1"/>
        <v>112.23333333333333</v>
      </c>
      <c r="E27" s="5">
        <v>3817.39</v>
      </c>
      <c r="H27" s="18">
        <f t="shared" si="2"/>
        <v>6734</v>
      </c>
      <c r="I27" t="b">
        <f t="shared" si="3"/>
        <v>1</v>
      </c>
      <c r="J27" s="4">
        <f t="shared" si="0"/>
        <v>-0.43311701811701808</v>
      </c>
      <c r="M27"/>
      <c r="O27" t="s">
        <v>469</v>
      </c>
      <c r="P27">
        <v>596</v>
      </c>
      <c r="Q27">
        <v>1267.94</v>
      </c>
    </row>
    <row r="28" spans="1:17" hidden="1">
      <c r="A28" t="s">
        <v>470</v>
      </c>
      <c r="B28" t="s">
        <v>471</v>
      </c>
      <c r="C28" s="27">
        <v>1688</v>
      </c>
      <c r="D28" s="18">
        <f t="shared" si="1"/>
        <v>56.266666666666666</v>
      </c>
      <c r="E28" s="5">
        <v>3162.84</v>
      </c>
      <c r="H28" s="18">
        <f t="shared" si="2"/>
        <v>3376</v>
      </c>
      <c r="I28" t="b">
        <f t="shared" si="3"/>
        <v>1</v>
      </c>
      <c r="J28" s="4">
        <f t="shared" si="0"/>
        <v>-6.3139810426540266E-2</v>
      </c>
      <c r="M28"/>
      <c r="O28" t="s">
        <v>755</v>
      </c>
      <c r="P28">
        <v>1681</v>
      </c>
      <c r="Q28">
        <v>3245.25</v>
      </c>
    </row>
    <row r="29" spans="1:17" hidden="1">
      <c r="A29" t="s">
        <v>552</v>
      </c>
      <c r="B29" t="s">
        <v>553</v>
      </c>
      <c r="C29" s="27">
        <v>3550</v>
      </c>
      <c r="D29" s="18">
        <f t="shared" si="1"/>
        <v>118.33333333333333</v>
      </c>
      <c r="E29" s="5">
        <v>5180.68</v>
      </c>
      <c r="H29" s="18">
        <f t="shared" si="2"/>
        <v>7100</v>
      </c>
      <c r="I29" t="b">
        <f t="shared" si="3"/>
        <v>1</v>
      </c>
      <c r="J29" s="4">
        <f t="shared" si="0"/>
        <v>-0.27032676056338023</v>
      </c>
      <c r="M29"/>
      <c r="O29" t="s">
        <v>802</v>
      </c>
      <c r="P29">
        <v>1969</v>
      </c>
      <c r="Q29">
        <v>2178.64</v>
      </c>
    </row>
    <row r="30" spans="1:17" hidden="1">
      <c r="A30" s="38" t="s">
        <v>512</v>
      </c>
      <c r="B30" s="35" t="s">
        <v>513</v>
      </c>
      <c r="C30" s="18">
        <v>628</v>
      </c>
      <c r="D30" s="18">
        <f t="shared" si="1"/>
        <v>20.933333333333334</v>
      </c>
      <c r="E30" s="5">
        <v>1409.24</v>
      </c>
      <c r="H30" s="18">
        <f t="shared" si="2"/>
        <v>1256</v>
      </c>
      <c r="I30" t="b">
        <f t="shared" si="3"/>
        <v>1</v>
      </c>
      <c r="J30" s="4">
        <f t="shared" si="0"/>
        <v>0.12200636942675169</v>
      </c>
      <c r="M30"/>
      <c r="O30" t="s">
        <v>429</v>
      </c>
      <c r="P30">
        <v>1923</v>
      </c>
      <c r="Q30">
        <v>3253.75</v>
      </c>
    </row>
    <row r="31" spans="1:17" hidden="1">
      <c r="A31" t="s">
        <v>770</v>
      </c>
      <c r="B31" t="s">
        <v>771</v>
      </c>
      <c r="C31" s="27">
        <v>2739</v>
      </c>
      <c r="D31" s="18">
        <f t="shared" si="1"/>
        <v>91.3</v>
      </c>
      <c r="E31" s="5">
        <v>2627.36</v>
      </c>
      <c r="H31" s="18">
        <f t="shared" si="2"/>
        <v>5478</v>
      </c>
      <c r="I31" t="b">
        <f t="shared" si="3"/>
        <v>1</v>
      </c>
      <c r="J31" s="4">
        <f t="shared" si="0"/>
        <v>-0.52037970062066452</v>
      </c>
      <c r="M31"/>
      <c r="O31" t="s">
        <v>457</v>
      </c>
      <c r="P31">
        <v>1541</v>
      </c>
      <c r="Q31">
        <v>3749.62</v>
      </c>
    </row>
    <row r="32" spans="1:17" hidden="1">
      <c r="A32" t="s">
        <v>819</v>
      </c>
      <c r="B32" t="s">
        <v>820</v>
      </c>
      <c r="C32" s="27">
        <v>2772</v>
      </c>
      <c r="D32" s="18">
        <f t="shared" si="1"/>
        <v>92.4</v>
      </c>
      <c r="E32" s="5">
        <v>4480.6099999999997</v>
      </c>
      <c r="H32" s="18">
        <f t="shared" si="2"/>
        <v>5544</v>
      </c>
      <c r="I32" t="b">
        <f t="shared" si="3"/>
        <v>1</v>
      </c>
      <c r="J32" s="4">
        <f t="shared" si="0"/>
        <v>-0.19180916305916307</v>
      </c>
      <c r="M32"/>
      <c r="O32" t="s">
        <v>820</v>
      </c>
      <c r="P32">
        <v>2159</v>
      </c>
      <c r="Q32">
        <v>4083.97</v>
      </c>
    </row>
    <row r="33" spans="1:17" hidden="1">
      <c r="A33" t="s">
        <v>644</v>
      </c>
      <c r="B33" t="s">
        <v>645</v>
      </c>
      <c r="C33" s="27">
        <v>2533</v>
      </c>
      <c r="D33" s="18">
        <f t="shared" si="1"/>
        <v>84.433333333333337</v>
      </c>
      <c r="E33" s="5">
        <v>2430.31</v>
      </c>
      <c r="H33" s="18">
        <f t="shared" si="2"/>
        <v>5066</v>
      </c>
      <c r="I33" t="b">
        <f t="shared" si="3"/>
        <v>1</v>
      </c>
      <c r="J33" s="4">
        <f t="shared" si="0"/>
        <v>-0.52027043031977893</v>
      </c>
      <c r="M33" s="108"/>
      <c r="O33" t="s">
        <v>814</v>
      </c>
      <c r="P33">
        <v>1658</v>
      </c>
      <c r="Q33">
        <v>4124.5</v>
      </c>
    </row>
    <row r="34" spans="1:17" hidden="1">
      <c r="A34" s="38" t="s">
        <v>636</v>
      </c>
      <c r="B34" s="35" t="s">
        <v>637</v>
      </c>
      <c r="C34" s="18">
        <v>920</v>
      </c>
      <c r="D34" s="18">
        <f t="shared" si="1"/>
        <v>30.666666666666668</v>
      </c>
      <c r="E34" s="5">
        <v>1651.06</v>
      </c>
      <c r="H34" s="18">
        <f t="shared" si="2"/>
        <v>1840</v>
      </c>
      <c r="I34" t="b">
        <f t="shared" si="3"/>
        <v>1</v>
      </c>
      <c r="J34" s="4">
        <f t="shared" si="0"/>
        <v>-0.10268478260869573</v>
      </c>
      <c r="M34"/>
      <c r="O34" t="s">
        <v>215</v>
      </c>
      <c r="P34">
        <v>1546</v>
      </c>
      <c r="Q34">
        <v>1959.09</v>
      </c>
    </row>
    <row r="35" spans="1:17" hidden="1">
      <c r="A35" t="s">
        <v>756</v>
      </c>
      <c r="B35" t="s">
        <v>757</v>
      </c>
      <c r="C35" s="27">
        <v>1239</v>
      </c>
      <c r="D35" s="18">
        <f t="shared" si="1"/>
        <v>41.3</v>
      </c>
      <c r="E35" s="5">
        <v>1326.54</v>
      </c>
      <c r="H35" s="18">
        <f t="shared" si="2"/>
        <v>2478</v>
      </c>
      <c r="I35" t="b">
        <f t="shared" si="3"/>
        <v>1</v>
      </c>
      <c r="J35" s="4">
        <f t="shared" si="0"/>
        <v>-0.46467312348668277</v>
      </c>
      <c r="M35"/>
      <c r="O35" t="s">
        <v>329</v>
      </c>
      <c r="P35">
        <v>2684</v>
      </c>
      <c r="Q35">
        <v>4208.54</v>
      </c>
    </row>
    <row r="36" spans="1:17" hidden="1">
      <c r="A36" t="s">
        <v>783</v>
      </c>
      <c r="B36" t="s">
        <v>784</v>
      </c>
      <c r="C36" s="27">
        <v>2476</v>
      </c>
      <c r="D36" s="18">
        <f t="shared" si="1"/>
        <v>82.533333333333331</v>
      </c>
      <c r="E36" s="5">
        <v>2201.6</v>
      </c>
      <c r="H36" s="18">
        <f t="shared" si="2"/>
        <v>4952</v>
      </c>
      <c r="I36" t="b">
        <f t="shared" si="3"/>
        <v>1</v>
      </c>
      <c r="J36" s="4">
        <f t="shared" si="0"/>
        <v>-0.55541195476575123</v>
      </c>
      <c r="M36"/>
      <c r="O36" t="s">
        <v>41</v>
      </c>
      <c r="P36">
        <v>4901</v>
      </c>
      <c r="Q36">
        <v>9133.83</v>
      </c>
    </row>
    <row r="37" spans="1:17" hidden="1">
      <c r="A37" t="s">
        <v>1769</v>
      </c>
      <c r="B37" t="s">
        <v>1689</v>
      </c>
      <c r="C37" s="27">
        <v>0</v>
      </c>
      <c r="D37" s="18">
        <f t="shared" si="1"/>
        <v>0</v>
      </c>
      <c r="E37" s="5">
        <v>0</v>
      </c>
      <c r="H37" s="18">
        <f t="shared" si="2"/>
        <v>0</v>
      </c>
      <c r="I37" t="b">
        <f t="shared" si="3"/>
        <v>1</v>
      </c>
      <c r="J37" s="4" t="e">
        <f t="shared" si="0"/>
        <v>#DIV/0!</v>
      </c>
      <c r="M37"/>
      <c r="O37" t="s">
        <v>703</v>
      </c>
      <c r="P37">
        <v>1150</v>
      </c>
      <c r="Q37">
        <v>1379.51</v>
      </c>
    </row>
    <row r="38" spans="1:17" hidden="1">
      <c r="A38" t="s">
        <v>36</v>
      </c>
      <c r="B38" t="s">
        <v>37</v>
      </c>
      <c r="C38" s="27">
        <v>1461</v>
      </c>
      <c r="D38" s="18">
        <f t="shared" si="1"/>
        <v>48.7</v>
      </c>
      <c r="E38" s="5">
        <v>1320.7</v>
      </c>
      <c r="H38" s="18">
        <f t="shared" si="2"/>
        <v>2922</v>
      </c>
      <c r="I38" t="b">
        <f t="shared" si="3"/>
        <v>1</v>
      </c>
      <c r="J38" s="4">
        <f t="shared" si="0"/>
        <v>-0.54801505817932927</v>
      </c>
      <c r="M38"/>
      <c r="O38" t="s">
        <v>757</v>
      </c>
      <c r="P38">
        <v>3490</v>
      </c>
      <c r="Q38">
        <v>6233.8</v>
      </c>
    </row>
    <row r="39" spans="1:17" hidden="1">
      <c r="A39" t="s">
        <v>772</v>
      </c>
      <c r="B39" t="s">
        <v>773</v>
      </c>
      <c r="C39" s="27">
        <v>1780</v>
      </c>
      <c r="D39" s="18">
        <f t="shared" si="1"/>
        <v>59.333333333333336</v>
      </c>
      <c r="E39" s="5">
        <v>1849.63</v>
      </c>
      <c r="H39" s="18">
        <f t="shared" si="2"/>
        <v>3560</v>
      </c>
      <c r="I39" t="b">
        <f t="shared" si="3"/>
        <v>1</v>
      </c>
      <c r="J39" s="4">
        <f t="shared" si="0"/>
        <v>-0.48044101123595506</v>
      </c>
      <c r="M39"/>
      <c r="O39" t="s">
        <v>331</v>
      </c>
      <c r="P39">
        <v>973</v>
      </c>
      <c r="Q39">
        <v>1765</v>
      </c>
    </row>
    <row r="40" spans="1:17" hidden="1">
      <c r="A40" t="s">
        <v>875</v>
      </c>
      <c r="B40" t="s">
        <v>876</v>
      </c>
      <c r="C40" s="27">
        <v>759</v>
      </c>
      <c r="D40" s="18">
        <f t="shared" si="1"/>
        <v>25.3</v>
      </c>
      <c r="E40" s="5">
        <v>369.35</v>
      </c>
      <c r="H40" s="18">
        <f t="shared" si="2"/>
        <v>1518</v>
      </c>
      <c r="I40" t="b">
        <f t="shared" si="3"/>
        <v>1</v>
      </c>
      <c r="J40" s="4">
        <f t="shared" si="0"/>
        <v>-0.75668642951251641</v>
      </c>
      <c r="M40"/>
      <c r="O40" t="s">
        <v>145</v>
      </c>
      <c r="P40">
        <v>1611</v>
      </c>
      <c r="Q40">
        <v>2692.2</v>
      </c>
    </row>
    <row r="41" spans="1:17" hidden="1">
      <c r="A41" t="s">
        <v>182</v>
      </c>
      <c r="B41" t="s">
        <v>183</v>
      </c>
      <c r="C41" s="27">
        <v>84</v>
      </c>
      <c r="D41" s="18">
        <f t="shared" si="1"/>
        <v>2.8</v>
      </c>
      <c r="E41" s="5">
        <v>0</v>
      </c>
      <c r="H41" s="18">
        <f t="shared" si="2"/>
        <v>168</v>
      </c>
      <c r="I41" t="b">
        <f t="shared" si="3"/>
        <v>1</v>
      </c>
      <c r="J41" s="4">
        <f t="shared" si="0"/>
        <v>-1</v>
      </c>
      <c r="M41"/>
      <c r="O41" t="s">
        <v>697</v>
      </c>
      <c r="P41">
        <v>2321</v>
      </c>
      <c r="Q41">
        <v>4250.3999999999996</v>
      </c>
    </row>
    <row r="42" spans="1:17" hidden="1">
      <c r="A42" t="s">
        <v>728</v>
      </c>
      <c r="B42" t="s">
        <v>729</v>
      </c>
      <c r="C42" s="27">
        <v>4920</v>
      </c>
      <c r="D42" s="18">
        <f t="shared" si="1"/>
        <v>164</v>
      </c>
      <c r="E42" s="5">
        <v>8589.69</v>
      </c>
      <c r="H42" s="18">
        <f t="shared" si="2"/>
        <v>9840</v>
      </c>
      <c r="I42" t="b">
        <f t="shared" si="3"/>
        <v>1</v>
      </c>
      <c r="J42" s="4">
        <f t="shared" si="0"/>
        <v>-0.12706402439024389</v>
      </c>
      <c r="M42"/>
      <c r="O42" t="s">
        <v>844</v>
      </c>
      <c r="P42">
        <v>2223</v>
      </c>
      <c r="Q42">
        <v>4480.07</v>
      </c>
    </row>
    <row r="43" spans="1:17" hidden="1">
      <c r="A43" t="s">
        <v>32</v>
      </c>
      <c r="B43" s="26" t="s">
        <v>33</v>
      </c>
      <c r="C43" s="27">
        <v>3073</v>
      </c>
      <c r="D43" s="18">
        <f t="shared" si="1"/>
        <v>102.43333333333334</v>
      </c>
      <c r="E43" s="5">
        <v>2614.14</v>
      </c>
      <c r="H43" s="18">
        <f t="shared" si="2"/>
        <v>6146</v>
      </c>
      <c r="I43" t="b">
        <f t="shared" si="3"/>
        <v>1</v>
      </c>
      <c r="J43" s="4">
        <f t="shared" si="0"/>
        <v>-0.57465994142531729</v>
      </c>
      <c r="M43"/>
      <c r="O43" t="s">
        <v>565</v>
      </c>
      <c r="P43">
        <v>741</v>
      </c>
      <c r="Q43">
        <v>1596.79</v>
      </c>
    </row>
    <row r="44" spans="1:17" hidden="1">
      <c r="A44" s="38" t="s">
        <v>192</v>
      </c>
      <c r="B44" s="35" t="s">
        <v>193</v>
      </c>
      <c r="C44" s="27">
        <v>394</v>
      </c>
      <c r="D44" s="18">
        <f t="shared" si="1"/>
        <v>13.133333333333333</v>
      </c>
      <c r="E44" s="5">
        <v>380.91</v>
      </c>
      <c r="H44" s="18">
        <f t="shared" si="2"/>
        <v>788</v>
      </c>
      <c r="I44" t="b">
        <f t="shared" si="3"/>
        <v>1</v>
      </c>
      <c r="J44" s="4">
        <f t="shared" si="0"/>
        <v>-0.51661167512690354</v>
      </c>
      <c r="M44"/>
      <c r="O44" t="s">
        <v>549</v>
      </c>
      <c r="P44">
        <v>1931</v>
      </c>
      <c r="Q44">
        <v>4461.28</v>
      </c>
    </row>
    <row r="45" spans="1:17" hidden="1">
      <c r="A45" t="s">
        <v>310</v>
      </c>
      <c r="B45" t="s">
        <v>311</v>
      </c>
      <c r="C45" s="27">
        <v>666</v>
      </c>
      <c r="D45" s="18">
        <f t="shared" si="1"/>
        <v>22.2</v>
      </c>
      <c r="E45" s="5">
        <v>304.29000000000002</v>
      </c>
      <c r="H45" s="18">
        <f t="shared" si="2"/>
        <v>1332</v>
      </c>
      <c r="I45" t="b">
        <f t="shared" si="3"/>
        <v>1</v>
      </c>
      <c r="J45" s="4">
        <f t="shared" si="0"/>
        <v>-0.77155405405405397</v>
      </c>
      <c r="M45"/>
      <c r="O45" t="s">
        <v>131</v>
      </c>
      <c r="P45">
        <v>1390</v>
      </c>
      <c r="Q45">
        <v>1789.01</v>
      </c>
    </row>
    <row r="46" spans="1:17" hidden="1">
      <c r="A46" t="s">
        <v>712</v>
      </c>
      <c r="B46" t="s">
        <v>713</v>
      </c>
      <c r="C46" s="27">
        <v>2751</v>
      </c>
      <c r="D46" s="18">
        <f t="shared" si="1"/>
        <v>91.7</v>
      </c>
      <c r="E46" s="5">
        <v>4243.88</v>
      </c>
      <c r="H46" s="18">
        <f t="shared" si="2"/>
        <v>5502</v>
      </c>
      <c r="I46" t="b">
        <f t="shared" si="3"/>
        <v>1</v>
      </c>
      <c r="J46" s="4">
        <f t="shared" si="0"/>
        <v>-0.22866593965830606</v>
      </c>
      <c r="M46"/>
      <c r="O46" t="s">
        <v>721</v>
      </c>
      <c r="P46">
        <v>940</v>
      </c>
      <c r="Q46">
        <v>1618.45</v>
      </c>
    </row>
    <row r="47" spans="1:17" hidden="1">
      <c r="A47" t="s">
        <v>809</v>
      </c>
      <c r="B47" t="s">
        <v>810</v>
      </c>
      <c r="C47" s="27">
        <v>1248</v>
      </c>
      <c r="D47" s="18">
        <f t="shared" si="1"/>
        <v>41.6</v>
      </c>
      <c r="E47" s="5">
        <v>1195.5</v>
      </c>
      <c r="H47" s="18">
        <f t="shared" si="2"/>
        <v>2496</v>
      </c>
      <c r="I47" t="b">
        <f t="shared" si="3"/>
        <v>1</v>
      </c>
      <c r="J47" s="4">
        <f t="shared" si="0"/>
        <v>-0.52103365384615385</v>
      </c>
      <c r="M47"/>
      <c r="O47" t="s">
        <v>733</v>
      </c>
      <c r="P47">
        <v>3488</v>
      </c>
      <c r="Q47">
        <v>6528.03</v>
      </c>
    </row>
    <row r="48" spans="1:17" hidden="1">
      <c r="A48" t="s">
        <v>584</v>
      </c>
      <c r="B48" t="s">
        <v>585</v>
      </c>
      <c r="C48" s="27">
        <v>2293</v>
      </c>
      <c r="D48" s="18">
        <f t="shared" si="1"/>
        <v>76.433333333333337</v>
      </c>
      <c r="E48" s="5">
        <v>2431.2199999999998</v>
      </c>
      <c r="H48" s="18">
        <f t="shared" si="2"/>
        <v>4586</v>
      </c>
      <c r="I48" t="b">
        <f t="shared" si="3"/>
        <v>1</v>
      </c>
      <c r="J48" s="4">
        <f t="shared" si="0"/>
        <v>-0.46986044483209777</v>
      </c>
      <c r="M48"/>
      <c r="O48" t="s">
        <v>832</v>
      </c>
      <c r="P48">
        <v>5377</v>
      </c>
      <c r="Q48">
        <v>8788.83</v>
      </c>
    </row>
    <row r="49" spans="1:17" hidden="1">
      <c r="A49" t="s">
        <v>730</v>
      </c>
      <c r="B49" t="s">
        <v>731</v>
      </c>
      <c r="C49" s="27">
        <v>1688</v>
      </c>
      <c r="D49" s="18">
        <f t="shared" si="1"/>
        <v>56.266666666666666</v>
      </c>
      <c r="E49" s="5">
        <v>2852.32</v>
      </c>
      <c r="H49" s="18">
        <f t="shared" si="2"/>
        <v>3376</v>
      </c>
      <c r="I49" t="b">
        <f t="shared" si="3"/>
        <v>1</v>
      </c>
      <c r="J49" s="4">
        <f t="shared" si="0"/>
        <v>-0.15511848341232226</v>
      </c>
      <c r="M49"/>
      <c r="O49" t="s">
        <v>751</v>
      </c>
      <c r="P49">
        <v>633</v>
      </c>
      <c r="Q49">
        <v>1173.22</v>
      </c>
    </row>
    <row r="50" spans="1:17" hidden="1">
      <c r="A50" t="s">
        <v>678</v>
      </c>
      <c r="B50" t="s">
        <v>679</v>
      </c>
      <c r="C50" s="27">
        <v>2457</v>
      </c>
      <c r="D50" s="18">
        <f t="shared" si="1"/>
        <v>81.900000000000006</v>
      </c>
      <c r="E50" s="5">
        <v>2084.63</v>
      </c>
      <c r="H50" s="18">
        <f t="shared" si="2"/>
        <v>4914</v>
      </c>
      <c r="I50" t="b">
        <f t="shared" si="3"/>
        <v>1</v>
      </c>
      <c r="J50" s="4">
        <f t="shared" si="0"/>
        <v>-0.57577737077737079</v>
      </c>
      <c r="M50"/>
      <c r="O50" t="s">
        <v>753</v>
      </c>
      <c r="P50">
        <v>1412</v>
      </c>
      <c r="Q50">
        <v>2519.35</v>
      </c>
    </row>
    <row r="51" spans="1:17" hidden="1">
      <c r="A51" s="26" t="s">
        <v>843</v>
      </c>
      <c r="B51" t="s">
        <v>844</v>
      </c>
      <c r="C51" s="27">
        <v>1974</v>
      </c>
      <c r="D51" s="18">
        <f t="shared" si="1"/>
        <v>65.8</v>
      </c>
      <c r="E51" s="5">
        <v>1635.21</v>
      </c>
      <c r="H51" s="18">
        <f t="shared" si="2"/>
        <v>3948</v>
      </c>
      <c r="I51" t="b">
        <f t="shared" si="3"/>
        <v>1</v>
      </c>
      <c r="J51" s="4">
        <f t="shared" si="0"/>
        <v>-0.58581306990881465</v>
      </c>
      <c r="M51"/>
      <c r="O51" t="s">
        <v>157</v>
      </c>
      <c r="P51">
        <v>829</v>
      </c>
      <c r="Q51">
        <v>1139.6600000000001</v>
      </c>
    </row>
    <row r="52" spans="1:17" hidden="1">
      <c r="A52" t="s">
        <v>528</v>
      </c>
      <c r="B52" t="s">
        <v>529</v>
      </c>
      <c r="C52" s="27">
        <v>1774</v>
      </c>
      <c r="D52" s="18">
        <f t="shared" si="1"/>
        <v>59.133333333333333</v>
      </c>
      <c r="E52" s="5">
        <v>2407.3200000000002</v>
      </c>
      <c r="H52" s="18">
        <f t="shared" si="2"/>
        <v>3548</v>
      </c>
      <c r="I52" t="b">
        <f t="shared" si="3"/>
        <v>1</v>
      </c>
      <c r="J52" s="4">
        <f t="shared" si="0"/>
        <v>-0.32149943630214206</v>
      </c>
      <c r="M52"/>
      <c r="O52" t="s">
        <v>569</v>
      </c>
      <c r="P52">
        <v>3176</v>
      </c>
      <c r="Q52">
        <v>4296.8900000000003</v>
      </c>
    </row>
    <row r="53" spans="1:17" hidden="1">
      <c r="A53" t="s">
        <v>676</v>
      </c>
      <c r="B53" t="s">
        <v>677</v>
      </c>
      <c r="C53" s="27">
        <v>10959</v>
      </c>
      <c r="D53" s="18">
        <f t="shared" si="1"/>
        <v>365.3</v>
      </c>
      <c r="E53" s="5">
        <v>7898.32</v>
      </c>
      <c r="H53" s="18">
        <f t="shared" si="2"/>
        <v>21918</v>
      </c>
      <c r="I53" t="b">
        <f t="shared" si="3"/>
        <v>1</v>
      </c>
      <c r="J53" s="4">
        <f t="shared" si="0"/>
        <v>-0.6396423031298476</v>
      </c>
      <c r="O53" t="s">
        <v>339</v>
      </c>
      <c r="P53">
        <v>775</v>
      </c>
      <c r="Q53">
        <v>1364.36</v>
      </c>
    </row>
    <row r="54" spans="1:17" hidden="1">
      <c r="A54" t="s">
        <v>752</v>
      </c>
      <c r="B54" t="s">
        <v>753</v>
      </c>
      <c r="C54" s="27">
        <v>1242</v>
      </c>
      <c r="D54" s="18">
        <f t="shared" si="1"/>
        <v>41.4</v>
      </c>
      <c r="E54" s="5">
        <v>1651.81</v>
      </c>
      <c r="H54" s="18">
        <f t="shared" si="2"/>
        <v>2484</v>
      </c>
      <c r="I54" t="b">
        <f t="shared" si="3"/>
        <v>1</v>
      </c>
      <c r="J54" s="4">
        <f t="shared" si="0"/>
        <v>-0.33502012882447663</v>
      </c>
      <c r="M54"/>
      <c r="O54" t="s">
        <v>79</v>
      </c>
      <c r="P54">
        <v>652</v>
      </c>
      <c r="Q54">
        <v>1543.21</v>
      </c>
    </row>
    <row r="55" spans="1:17" hidden="1">
      <c r="A55" t="s">
        <v>460</v>
      </c>
      <c r="B55" t="s">
        <v>461</v>
      </c>
      <c r="C55" s="27">
        <v>168</v>
      </c>
      <c r="D55" s="18">
        <f t="shared" si="1"/>
        <v>5.6</v>
      </c>
      <c r="E55" s="5">
        <v>82.73</v>
      </c>
      <c r="H55" s="18">
        <f t="shared" si="2"/>
        <v>336</v>
      </c>
      <c r="I55" t="b">
        <f t="shared" si="3"/>
        <v>1</v>
      </c>
      <c r="J55" s="4">
        <f t="shared" si="0"/>
        <v>-0.75377976190476192</v>
      </c>
      <c r="M55"/>
      <c r="O55" t="s">
        <v>473</v>
      </c>
      <c r="P55">
        <v>7423</v>
      </c>
      <c r="Q55">
        <v>11232.22</v>
      </c>
    </row>
    <row r="56" spans="1:17" hidden="1">
      <c r="A56" t="s">
        <v>264</v>
      </c>
      <c r="B56" t="s">
        <v>265</v>
      </c>
      <c r="C56" s="27">
        <v>815</v>
      </c>
      <c r="D56" s="18">
        <f t="shared" si="1"/>
        <v>27.166666666666668</v>
      </c>
      <c r="E56" s="5">
        <v>489.07</v>
      </c>
      <c r="H56" s="18">
        <f t="shared" si="2"/>
        <v>1630</v>
      </c>
      <c r="I56" t="b">
        <f t="shared" si="3"/>
        <v>1</v>
      </c>
      <c r="J56" s="4">
        <f t="shared" si="0"/>
        <v>-0.69995705521472396</v>
      </c>
      <c r="M56"/>
      <c r="O56" t="s">
        <v>601</v>
      </c>
      <c r="P56">
        <v>1327</v>
      </c>
      <c r="Q56">
        <v>3076.45</v>
      </c>
    </row>
    <row r="57" spans="1:17" hidden="1">
      <c r="A57" t="s">
        <v>1770</v>
      </c>
      <c r="B57" t="s">
        <v>1616</v>
      </c>
      <c r="C57" s="27">
        <v>0</v>
      </c>
      <c r="D57" s="18">
        <f t="shared" si="1"/>
        <v>0</v>
      </c>
      <c r="E57" s="5">
        <v>0</v>
      </c>
      <c r="H57" s="18">
        <f t="shared" si="2"/>
        <v>0</v>
      </c>
      <c r="I57" t="b">
        <f t="shared" si="3"/>
        <v>1</v>
      </c>
      <c r="J57" s="4" t="e">
        <f t="shared" si="0"/>
        <v>#DIV/0!</v>
      </c>
      <c r="M57"/>
      <c r="O57" t="s">
        <v>279</v>
      </c>
      <c r="P57">
        <v>932</v>
      </c>
      <c r="Q57">
        <v>1032.94</v>
      </c>
    </row>
    <row r="58" spans="1:17" hidden="1">
      <c r="A58" t="s">
        <v>476</v>
      </c>
      <c r="B58" t="s">
        <v>477</v>
      </c>
      <c r="C58" s="27">
        <v>1039</v>
      </c>
      <c r="D58" s="18">
        <f t="shared" si="1"/>
        <v>34.633333333333333</v>
      </c>
      <c r="E58" s="5">
        <v>640.91</v>
      </c>
      <c r="H58" s="18">
        <f t="shared" si="2"/>
        <v>2078</v>
      </c>
      <c r="I58" t="b">
        <f t="shared" si="3"/>
        <v>1</v>
      </c>
      <c r="J58" s="4">
        <f t="shared" si="0"/>
        <v>-0.69157362848893167</v>
      </c>
      <c r="M58"/>
      <c r="O58" t="s">
        <v>685</v>
      </c>
      <c r="P58">
        <v>1214</v>
      </c>
      <c r="Q58">
        <v>1000.47</v>
      </c>
    </row>
    <row r="59" spans="1:17" hidden="1">
      <c r="A59" t="s">
        <v>186</v>
      </c>
      <c r="B59" t="s">
        <v>187</v>
      </c>
      <c r="C59" s="27">
        <v>1366</v>
      </c>
      <c r="D59" s="18">
        <f t="shared" si="1"/>
        <v>45.533333333333331</v>
      </c>
      <c r="E59" s="5">
        <v>1201.6400000000001</v>
      </c>
      <c r="H59" s="18">
        <f t="shared" si="2"/>
        <v>2732</v>
      </c>
      <c r="I59" t="b">
        <f t="shared" si="3"/>
        <v>1</v>
      </c>
      <c r="J59" s="4">
        <f t="shared" si="0"/>
        <v>-0.56016105417276718</v>
      </c>
      <c r="M59"/>
      <c r="O59" t="s">
        <v>221</v>
      </c>
      <c r="P59">
        <v>1982</v>
      </c>
      <c r="Q59">
        <v>1597.03</v>
      </c>
    </row>
    <row r="60" spans="1:17" hidden="1">
      <c r="A60" t="s">
        <v>110</v>
      </c>
      <c r="B60" t="s">
        <v>111</v>
      </c>
      <c r="C60" s="27">
        <v>1166</v>
      </c>
      <c r="D60" s="18">
        <f t="shared" si="1"/>
        <v>38.866666666666667</v>
      </c>
      <c r="E60" s="5">
        <v>1201.21</v>
      </c>
      <c r="H60" s="18">
        <f t="shared" si="2"/>
        <v>2332</v>
      </c>
      <c r="I60" t="b">
        <f t="shared" si="3"/>
        <v>1</v>
      </c>
      <c r="J60" s="4">
        <f t="shared" si="0"/>
        <v>-0.48490137221269292</v>
      </c>
      <c r="M60"/>
      <c r="O60" t="s">
        <v>675</v>
      </c>
      <c r="P60">
        <v>1254</v>
      </c>
      <c r="Q60">
        <v>3319.52</v>
      </c>
    </row>
    <row r="61" spans="1:17" hidden="1">
      <c r="A61" t="s">
        <v>218</v>
      </c>
      <c r="B61" t="s">
        <v>219</v>
      </c>
      <c r="C61" s="27">
        <v>2267</v>
      </c>
      <c r="D61" s="18">
        <f t="shared" si="1"/>
        <v>75.566666666666663</v>
      </c>
      <c r="E61" s="5">
        <v>1755.92</v>
      </c>
      <c r="H61" s="18">
        <f t="shared" si="2"/>
        <v>4534</v>
      </c>
      <c r="I61" t="b">
        <f t="shared" si="3"/>
        <v>1</v>
      </c>
      <c r="J61" s="4">
        <f t="shared" si="0"/>
        <v>-0.61272165857962069</v>
      </c>
      <c r="M61"/>
      <c r="O61" t="s">
        <v>307</v>
      </c>
      <c r="P61">
        <v>971</v>
      </c>
      <c r="Q61">
        <v>1914.05</v>
      </c>
    </row>
    <row r="62" spans="1:17" hidden="1">
      <c r="A62" t="s">
        <v>378</v>
      </c>
      <c r="B62" t="s">
        <v>379</v>
      </c>
      <c r="C62" s="27">
        <v>584</v>
      </c>
      <c r="D62" s="18">
        <f t="shared" si="1"/>
        <v>19.466666666666665</v>
      </c>
      <c r="E62" s="5">
        <v>497.9</v>
      </c>
      <c r="H62" s="18">
        <f t="shared" si="2"/>
        <v>1168</v>
      </c>
      <c r="I62" t="b">
        <f t="shared" si="3"/>
        <v>1</v>
      </c>
      <c r="J62" s="4">
        <f t="shared" si="0"/>
        <v>-0.57371575342465753</v>
      </c>
      <c r="M62"/>
      <c r="O62" t="s">
        <v>842</v>
      </c>
      <c r="P62">
        <v>3925</v>
      </c>
      <c r="Q62">
        <v>5623.45</v>
      </c>
    </row>
    <row r="63" spans="1:17" hidden="1">
      <c r="A63" t="s">
        <v>356</v>
      </c>
      <c r="B63" t="s">
        <v>357</v>
      </c>
      <c r="C63" s="27">
        <v>621</v>
      </c>
      <c r="D63" s="18">
        <f t="shared" si="1"/>
        <v>20.7</v>
      </c>
      <c r="E63" s="5">
        <v>412.75</v>
      </c>
      <c r="H63" s="18">
        <f t="shared" si="2"/>
        <v>1242</v>
      </c>
      <c r="I63" t="b">
        <f t="shared" si="3"/>
        <v>1</v>
      </c>
      <c r="J63" s="4">
        <f t="shared" si="0"/>
        <v>-0.66767310789049916</v>
      </c>
      <c r="M63"/>
      <c r="O63" t="s">
        <v>1590</v>
      </c>
      <c r="P63">
        <v>470</v>
      </c>
      <c r="Q63">
        <v>1363.19</v>
      </c>
    </row>
    <row r="64" spans="1:17" hidden="1">
      <c r="A64" t="s">
        <v>764</v>
      </c>
      <c r="B64" t="s">
        <v>765</v>
      </c>
      <c r="C64" s="27">
        <v>1680</v>
      </c>
      <c r="D64" s="18">
        <f t="shared" si="1"/>
        <v>56</v>
      </c>
      <c r="E64" s="5">
        <v>628.65</v>
      </c>
      <c r="H64" s="18">
        <f t="shared" si="2"/>
        <v>3360</v>
      </c>
      <c r="I64" t="b">
        <f t="shared" si="3"/>
        <v>1</v>
      </c>
      <c r="J64" s="4">
        <f t="shared" si="0"/>
        <v>-0.81290178571428573</v>
      </c>
      <c r="M64"/>
      <c r="O64" t="s">
        <v>407</v>
      </c>
      <c r="P64">
        <v>2026</v>
      </c>
      <c r="Q64">
        <v>2164.4299999999998</v>
      </c>
    </row>
    <row r="65" spans="1:17" hidden="1">
      <c r="A65" t="s">
        <v>388</v>
      </c>
      <c r="B65" t="s">
        <v>389</v>
      </c>
      <c r="C65" s="27">
        <v>917</v>
      </c>
      <c r="D65" s="18">
        <f t="shared" si="1"/>
        <v>30.566666666666666</v>
      </c>
      <c r="E65" s="5">
        <v>1010.25</v>
      </c>
      <c r="H65" s="18">
        <f t="shared" si="2"/>
        <v>1834</v>
      </c>
      <c r="I65" t="b">
        <f t="shared" ref="I65:I128" si="4">IF(E65&gt;1.2*H65,FALSE,TRUE)</f>
        <v>1</v>
      </c>
      <c r="J65" s="4">
        <f t="shared" ref="J65:J128" si="5">E65/H65-1</f>
        <v>-0.44915485278080702</v>
      </c>
      <c r="M65"/>
      <c r="O65" t="s">
        <v>585</v>
      </c>
      <c r="P65">
        <v>2247</v>
      </c>
      <c r="Q65">
        <v>4321.58</v>
      </c>
    </row>
    <row r="66" spans="1:17" hidden="1">
      <c r="A66" t="s">
        <v>799</v>
      </c>
      <c r="B66" t="s">
        <v>800</v>
      </c>
      <c r="C66" s="27">
        <v>2440</v>
      </c>
      <c r="D66" s="18">
        <f t="shared" si="1"/>
        <v>81.333333333333329</v>
      </c>
      <c r="E66" s="5">
        <v>3703.9</v>
      </c>
      <c r="H66" s="18">
        <f t="shared" si="2"/>
        <v>4880</v>
      </c>
      <c r="I66" t="b">
        <f t="shared" si="4"/>
        <v>1</v>
      </c>
      <c r="J66" s="4">
        <f t="shared" si="5"/>
        <v>-0.24100409836065573</v>
      </c>
      <c r="M66"/>
      <c r="O66" t="s">
        <v>745</v>
      </c>
      <c r="P66">
        <v>2514</v>
      </c>
      <c r="Q66">
        <v>2598.67</v>
      </c>
    </row>
    <row r="67" spans="1:17" hidden="1">
      <c r="A67" s="38" t="s">
        <v>168</v>
      </c>
      <c r="B67" s="35" t="s">
        <v>169</v>
      </c>
      <c r="C67" s="18">
        <v>379</v>
      </c>
      <c r="D67" s="18">
        <f t="shared" ref="D67:D130" si="6">C67/30</f>
        <v>12.633333333333333</v>
      </c>
      <c r="E67" s="5">
        <v>672.92</v>
      </c>
      <c r="H67" s="18">
        <f t="shared" ref="H67:H130" si="7">IF((C67/30)&gt;100,C67*2,C67*2)</f>
        <v>758</v>
      </c>
      <c r="I67" t="b">
        <f t="shared" si="4"/>
        <v>1</v>
      </c>
      <c r="J67" s="4">
        <f t="shared" si="5"/>
        <v>-0.11224274406332457</v>
      </c>
      <c r="M67"/>
      <c r="O67" t="s">
        <v>189</v>
      </c>
      <c r="P67">
        <v>666</v>
      </c>
      <c r="Q67">
        <v>974.04</v>
      </c>
    </row>
    <row r="68" spans="1:17" hidden="1">
      <c r="A68" t="s">
        <v>688</v>
      </c>
      <c r="B68" t="s">
        <v>689</v>
      </c>
      <c r="C68" s="27">
        <v>2124</v>
      </c>
      <c r="D68" s="18">
        <f t="shared" si="6"/>
        <v>70.8</v>
      </c>
      <c r="E68" s="5">
        <v>1594.76</v>
      </c>
      <c r="H68" s="18">
        <f t="shared" si="7"/>
        <v>4248</v>
      </c>
      <c r="I68" t="b">
        <f t="shared" si="4"/>
        <v>1</v>
      </c>
      <c r="J68" s="4">
        <f t="shared" si="5"/>
        <v>-0.62458568738229747</v>
      </c>
      <c r="M68"/>
      <c r="O68" t="s">
        <v>818</v>
      </c>
      <c r="P68">
        <v>2677</v>
      </c>
      <c r="Q68">
        <v>4678.3900000000003</v>
      </c>
    </row>
    <row r="69" spans="1:17" hidden="1">
      <c r="A69" s="38" t="s">
        <v>490</v>
      </c>
      <c r="B69" s="35" t="s">
        <v>491</v>
      </c>
      <c r="C69" s="27">
        <v>1605</v>
      </c>
      <c r="D69" s="18">
        <f t="shared" si="6"/>
        <v>53.5</v>
      </c>
      <c r="E69" s="5">
        <v>2765.8</v>
      </c>
      <c r="H69" s="18">
        <f t="shared" si="7"/>
        <v>3210</v>
      </c>
      <c r="I69" t="b">
        <f t="shared" si="4"/>
        <v>1</v>
      </c>
      <c r="J69" s="4">
        <f t="shared" si="5"/>
        <v>-0.13838006230529587</v>
      </c>
      <c r="M69"/>
      <c r="O69" t="s">
        <v>810</v>
      </c>
      <c r="P69">
        <v>1267</v>
      </c>
      <c r="Q69">
        <v>2666.4</v>
      </c>
    </row>
    <row r="70" spans="1:17" hidden="1">
      <c r="A70" s="26" t="s">
        <v>128</v>
      </c>
      <c r="B70" s="26" t="s">
        <v>129</v>
      </c>
      <c r="C70" s="27">
        <v>2285</v>
      </c>
      <c r="D70" s="18">
        <f t="shared" si="6"/>
        <v>76.166666666666671</v>
      </c>
      <c r="E70" s="5">
        <v>2020.11</v>
      </c>
      <c r="H70" s="18">
        <f t="shared" si="7"/>
        <v>4570</v>
      </c>
      <c r="I70" t="b">
        <f t="shared" si="4"/>
        <v>1</v>
      </c>
      <c r="J70" s="4">
        <f t="shared" si="5"/>
        <v>-0.5579628008752735</v>
      </c>
      <c r="M70"/>
      <c r="O70" t="s">
        <v>669</v>
      </c>
      <c r="P70">
        <v>1937</v>
      </c>
      <c r="Q70">
        <v>3822.55</v>
      </c>
    </row>
    <row r="71" spans="1:17" hidden="1">
      <c r="A71" s="38" t="s">
        <v>426</v>
      </c>
      <c r="B71" s="35" t="s">
        <v>427</v>
      </c>
      <c r="C71" s="18">
        <v>253</v>
      </c>
      <c r="D71" s="18">
        <f t="shared" si="6"/>
        <v>8.4333333333333336</v>
      </c>
      <c r="E71" s="5">
        <v>558.49</v>
      </c>
      <c r="H71" s="18">
        <f t="shared" si="7"/>
        <v>506</v>
      </c>
      <c r="I71" t="b">
        <f t="shared" si="4"/>
        <v>1</v>
      </c>
      <c r="J71" s="4">
        <f t="shared" si="5"/>
        <v>0.10373517786561259</v>
      </c>
      <c r="M71"/>
      <c r="O71" t="s">
        <v>155</v>
      </c>
      <c r="P71">
        <v>898</v>
      </c>
      <c r="Q71">
        <v>1192.75</v>
      </c>
    </row>
    <row r="72" spans="1:17" hidden="1">
      <c r="A72" t="s">
        <v>622</v>
      </c>
      <c r="B72" t="s">
        <v>623</v>
      </c>
      <c r="C72" s="27">
        <v>1036</v>
      </c>
      <c r="D72" s="18">
        <f t="shared" si="6"/>
        <v>34.533333333333331</v>
      </c>
      <c r="E72" s="5">
        <v>1801.37</v>
      </c>
      <c r="H72" s="18">
        <f t="shared" si="7"/>
        <v>2072</v>
      </c>
      <c r="I72" t="b">
        <f t="shared" si="4"/>
        <v>1</v>
      </c>
      <c r="J72" s="4">
        <f t="shared" si="5"/>
        <v>-0.13061293436293442</v>
      </c>
      <c r="M72"/>
      <c r="O72" t="s">
        <v>433</v>
      </c>
      <c r="P72">
        <v>866</v>
      </c>
      <c r="Q72">
        <v>951.69</v>
      </c>
    </row>
    <row r="73" spans="1:17" hidden="1">
      <c r="A73" t="s">
        <v>194</v>
      </c>
      <c r="B73" t="s">
        <v>195</v>
      </c>
      <c r="C73" s="27">
        <v>1054</v>
      </c>
      <c r="D73" s="18">
        <f t="shared" si="6"/>
        <v>35.133333333333333</v>
      </c>
      <c r="E73" s="5">
        <v>2405.59</v>
      </c>
      <c r="H73" s="18">
        <f t="shared" si="7"/>
        <v>2108</v>
      </c>
      <c r="I73" t="b">
        <f t="shared" si="4"/>
        <v>1</v>
      </c>
      <c r="J73" s="4">
        <f t="shared" si="5"/>
        <v>0.14117172675521839</v>
      </c>
      <c r="M73"/>
      <c r="O73" t="s">
        <v>129</v>
      </c>
      <c r="P73">
        <v>1675</v>
      </c>
      <c r="Q73">
        <v>3354.17</v>
      </c>
    </row>
    <row r="74" spans="1:17" hidden="1">
      <c r="A74" t="s">
        <v>514</v>
      </c>
      <c r="B74" t="s">
        <v>515</v>
      </c>
      <c r="C74" s="27">
        <v>238</v>
      </c>
      <c r="D74" s="18">
        <f t="shared" si="6"/>
        <v>7.9333333333333336</v>
      </c>
      <c r="E74" s="5">
        <v>484.89</v>
      </c>
      <c r="H74" s="18">
        <f t="shared" si="7"/>
        <v>476</v>
      </c>
      <c r="I74" t="b">
        <f t="shared" si="4"/>
        <v>1</v>
      </c>
      <c r="J74" s="4">
        <f t="shared" si="5"/>
        <v>1.8676470588235183E-2</v>
      </c>
      <c r="M74"/>
      <c r="O74" t="s">
        <v>295</v>
      </c>
      <c r="P74">
        <v>821</v>
      </c>
      <c r="Q74">
        <v>1269.99</v>
      </c>
    </row>
    <row r="75" spans="1:17" hidden="1">
      <c r="A75" t="s">
        <v>430</v>
      </c>
      <c r="B75" t="s">
        <v>431</v>
      </c>
      <c r="C75" s="27">
        <v>1813</v>
      </c>
      <c r="D75" s="18">
        <f t="shared" si="6"/>
        <v>60.43333333333333</v>
      </c>
      <c r="E75" s="5">
        <v>1517.72</v>
      </c>
      <c r="H75" s="18">
        <f t="shared" si="7"/>
        <v>3626</v>
      </c>
      <c r="I75" t="b">
        <f t="shared" si="4"/>
        <v>1</v>
      </c>
      <c r="J75" s="4">
        <f t="shared" si="5"/>
        <v>-0.58143408714837286</v>
      </c>
      <c r="M75"/>
      <c r="O75" t="s">
        <v>489</v>
      </c>
      <c r="P75">
        <v>472</v>
      </c>
      <c r="Q75">
        <v>962.02</v>
      </c>
    </row>
    <row r="76" spans="1:17" hidden="1">
      <c r="A76" s="38" t="s">
        <v>240</v>
      </c>
      <c r="B76" s="35" t="s">
        <v>241</v>
      </c>
      <c r="C76" s="27">
        <v>0</v>
      </c>
      <c r="D76" s="18">
        <f t="shared" si="6"/>
        <v>0</v>
      </c>
      <c r="E76" s="5">
        <v>0</v>
      </c>
      <c r="H76" s="18">
        <f t="shared" si="7"/>
        <v>0</v>
      </c>
      <c r="I76" t="b">
        <f t="shared" si="4"/>
        <v>1</v>
      </c>
      <c r="J76" s="4" t="e">
        <f t="shared" si="5"/>
        <v>#DIV/0!</v>
      </c>
      <c r="M76"/>
      <c r="O76" t="s">
        <v>301</v>
      </c>
      <c r="P76">
        <v>525</v>
      </c>
      <c r="Q76">
        <v>774.67</v>
      </c>
    </row>
    <row r="77" spans="1:17" hidden="1">
      <c r="A77" t="s">
        <v>254</v>
      </c>
      <c r="B77" t="s">
        <v>255</v>
      </c>
      <c r="C77" s="27">
        <v>0</v>
      </c>
      <c r="D77" s="18">
        <f t="shared" si="6"/>
        <v>0</v>
      </c>
      <c r="E77" s="5">
        <v>0</v>
      </c>
      <c r="H77" s="18">
        <f t="shared" si="7"/>
        <v>0</v>
      </c>
      <c r="I77" t="b">
        <f t="shared" si="4"/>
        <v>1</v>
      </c>
      <c r="J77" s="4" t="e">
        <f t="shared" si="5"/>
        <v>#DIV/0!</v>
      </c>
      <c r="M77"/>
      <c r="O77" t="s">
        <v>1618</v>
      </c>
      <c r="P77">
        <v>901</v>
      </c>
      <c r="Q77">
        <v>1451.22</v>
      </c>
    </row>
    <row r="78" spans="1:17" hidden="1">
      <c r="A78" t="s">
        <v>841</v>
      </c>
      <c r="B78" t="s">
        <v>842</v>
      </c>
      <c r="C78" s="27">
        <v>5047</v>
      </c>
      <c r="D78" s="18">
        <f t="shared" si="6"/>
        <v>168.23333333333332</v>
      </c>
      <c r="E78" s="5">
        <v>5154.9799999999996</v>
      </c>
      <c r="H78" s="18">
        <f t="shared" si="7"/>
        <v>10094</v>
      </c>
      <c r="I78" t="b">
        <f t="shared" si="4"/>
        <v>1</v>
      </c>
      <c r="J78" s="4">
        <f t="shared" si="5"/>
        <v>-0.48930255597384587</v>
      </c>
      <c r="M78"/>
      <c r="O78" t="s">
        <v>689</v>
      </c>
      <c r="P78">
        <v>2428</v>
      </c>
      <c r="Q78">
        <v>2821.81</v>
      </c>
    </row>
    <row r="79" spans="1:17" hidden="1">
      <c r="A79" s="38" t="s">
        <v>126</v>
      </c>
      <c r="B79" s="35" t="s">
        <v>127</v>
      </c>
      <c r="C79" s="27">
        <v>1471</v>
      </c>
      <c r="D79" s="18">
        <f t="shared" si="6"/>
        <v>49.033333333333331</v>
      </c>
      <c r="E79" s="5">
        <v>3125.37</v>
      </c>
      <c r="H79" s="18">
        <f t="shared" si="7"/>
        <v>2942</v>
      </c>
      <c r="I79" t="b">
        <f t="shared" si="4"/>
        <v>1</v>
      </c>
      <c r="J79" s="4">
        <f t="shared" si="5"/>
        <v>6.2328348062542505E-2</v>
      </c>
      <c r="M79"/>
      <c r="O79" t="s">
        <v>353</v>
      </c>
      <c r="P79">
        <v>1476</v>
      </c>
      <c r="Q79">
        <v>1165.81</v>
      </c>
    </row>
    <row r="80" spans="1:17">
      <c r="A80" s="38" t="s">
        <v>450</v>
      </c>
      <c r="B80" s="35" t="s">
        <v>451</v>
      </c>
      <c r="C80" s="27">
        <v>609</v>
      </c>
      <c r="D80" s="18">
        <f t="shared" si="6"/>
        <v>20.3</v>
      </c>
      <c r="E80" s="5">
        <v>1517.49</v>
      </c>
      <c r="H80" s="18">
        <f t="shared" si="7"/>
        <v>1218</v>
      </c>
      <c r="I80" t="b">
        <f t="shared" si="4"/>
        <v>0</v>
      </c>
      <c r="J80" s="4">
        <f>E80/H80-1</f>
        <v>0.24588669950738917</v>
      </c>
      <c r="O80" t="s">
        <v>235</v>
      </c>
      <c r="P80">
        <v>978</v>
      </c>
      <c r="Q80">
        <v>871.95</v>
      </c>
    </row>
    <row r="81" spans="1:17" hidden="1">
      <c r="A81" s="38" t="s">
        <v>414</v>
      </c>
      <c r="B81" s="35" t="s">
        <v>415</v>
      </c>
      <c r="C81" s="18">
        <v>748</v>
      </c>
      <c r="D81" s="18">
        <f t="shared" si="6"/>
        <v>24.933333333333334</v>
      </c>
      <c r="E81" s="5">
        <v>1085.7</v>
      </c>
      <c r="H81" s="18">
        <f t="shared" si="7"/>
        <v>1496</v>
      </c>
      <c r="I81" t="b">
        <f t="shared" si="4"/>
        <v>1</v>
      </c>
      <c r="J81" s="4">
        <f t="shared" si="5"/>
        <v>-0.27426470588235297</v>
      </c>
      <c r="M81"/>
      <c r="O81" t="s">
        <v>441</v>
      </c>
      <c r="P81">
        <v>952</v>
      </c>
      <c r="Q81">
        <v>1464.03</v>
      </c>
    </row>
    <row r="82" spans="1:17" hidden="1">
      <c r="A82" s="39" t="s">
        <v>803</v>
      </c>
      <c r="B82" s="35" t="s">
        <v>804</v>
      </c>
      <c r="C82" s="27">
        <v>2252</v>
      </c>
      <c r="D82" s="18">
        <f t="shared" si="6"/>
        <v>75.066666666666663</v>
      </c>
      <c r="E82" s="5">
        <v>4340.08</v>
      </c>
      <c r="H82" s="18">
        <f t="shared" si="7"/>
        <v>4504</v>
      </c>
      <c r="I82" t="b">
        <f t="shared" si="4"/>
        <v>1</v>
      </c>
      <c r="J82" s="4">
        <f t="shared" si="5"/>
        <v>-3.6394316163410267E-2</v>
      </c>
      <c r="M82"/>
      <c r="O82" t="s">
        <v>765</v>
      </c>
      <c r="P82">
        <v>1631</v>
      </c>
      <c r="Q82">
        <v>994.98</v>
      </c>
    </row>
    <row r="83" spans="1:17" hidden="1">
      <c r="A83" t="s">
        <v>412</v>
      </c>
      <c r="B83" t="s">
        <v>413</v>
      </c>
      <c r="C83" s="27">
        <v>815</v>
      </c>
      <c r="D83" s="18">
        <f t="shared" si="6"/>
        <v>27.166666666666668</v>
      </c>
      <c r="E83" s="5">
        <v>1104.93</v>
      </c>
      <c r="H83" s="18">
        <f t="shared" si="7"/>
        <v>1630</v>
      </c>
      <c r="I83" t="b">
        <f t="shared" si="4"/>
        <v>1</v>
      </c>
      <c r="J83" s="4">
        <f t="shared" si="5"/>
        <v>-0.32212883435582818</v>
      </c>
      <c r="M83"/>
      <c r="O83" t="s">
        <v>447</v>
      </c>
      <c r="P83">
        <v>602</v>
      </c>
      <c r="Q83">
        <v>654.19000000000005</v>
      </c>
    </row>
    <row r="84" spans="1:17" hidden="1">
      <c r="A84" t="s">
        <v>666</v>
      </c>
      <c r="B84" t="s">
        <v>667</v>
      </c>
      <c r="C84" s="27">
        <v>571</v>
      </c>
      <c r="D84" s="18">
        <f t="shared" si="6"/>
        <v>19.033333333333335</v>
      </c>
      <c r="E84" s="5">
        <v>1300.3399999999999</v>
      </c>
      <c r="H84" s="18">
        <f t="shared" si="7"/>
        <v>1142</v>
      </c>
      <c r="I84" t="b">
        <f t="shared" si="4"/>
        <v>1</v>
      </c>
      <c r="J84" s="4">
        <f t="shared" si="5"/>
        <v>0.13865148861646226</v>
      </c>
      <c r="M84"/>
      <c r="O84" t="s">
        <v>185</v>
      </c>
      <c r="P84">
        <v>1231</v>
      </c>
      <c r="Q84">
        <v>2064.81</v>
      </c>
    </row>
    <row r="85" spans="1:17" hidden="1">
      <c r="A85" t="s">
        <v>542</v>
      </c>
      <c r="B85" t="s">
        <v>543</v>
      </c>
      <c r="C85" s="27">
        <v>1736</v>
      </c>
      <c r="D85" s="18">
        <f t="shared" si="6"/>
        <v>57.866666666666667</v>
      </c>
      <c r="E85" s="5">
        <v>696.69</v>
      </c>
      <c r="H85" s="18">
        <f t="shared" si="7"/>
        <v>3472</v>
      </c>
      <c r="I85" t="b">
        <f t="shared" si="4"/>
        <v>1</v>
      </c>
      <c r="J85" s="4">
        <f t="shared" si="5"/>
        <v>-0.79934043778801844</v>
      </c>
      <c r="M85"/>
      <c r="O85" t="s">
        <v>153</v>
      </c>
      <c r="P85">
        <v>1672</v>
      </c>
      <c r="Q85">
        <v>3182.12</v>
      </c>
    </row>
    <row r="86" spans="1:17" hidden="1">
      <c r="A86" t="s">
        <v>750</v>
      </c>
      <c r="B86" t="s">
        <v>751</v>
      </c>
      <c r="C86" s="27">
        <v>0</v>
      </c>
      <c r="D86" s="18">
        <f t="shared" si="6"/>
        <v>0</v>
      </c>
      <c r="E86" s="5">
        <v>0</v>
      </c>
      <c r="H86" s="18">
        <f t="shared" si="7"/>
        <v>0</v>
      </c>
      <c r="I86" t="b">
        <f t="shared" si="4"/>
        <v>1</v>
      </c>
      <c r="J86" s="4" t="e">
        <f t="shared" si="5"/>
        <v>#DIV/0!</v>
      </c>
      <c r="M86"/>
      <c r="O86" t="s">
        <v>423</v>
      </c>
      <c r="P86">
        <v>662</v>
      </c>
      <c r="Q86">
        <v>310.57</v>
      </c>
    </row>
    <row r="87" spans="1:17" hidden="1">
      <c r="A87" t="s">
        <v>530</v>
      </c>
      <c r="B87" t="s">
        <v>531</v>
      </c>
      <c r="C87" s="27">
        <v>818</v>
      </c>
      <c r="D87" s="18">
        <f t="shared" si="6"/>
        <v>27.266666666666666</v>
      </c>
      <c r="E87" s="5">
        <v>1112.03</v>
      </c>
      <c r="H87" s="18">
        <f t="shared" si="7"/>
        <v>1636</v>
      </c>
      <c r="I87" t="b">
        <f t="shared" si="4"/>
        <v>1</v>
      </c>
      <c r="J87" s="4">
        <f t="shared" si="5"/>
        <v>-0.32027506112469439</v>
      </c>
      <c r="M87"/>
      <c r="O87" t="s">
        <v>635</v>
      </c>
      <c r="P87">
        <v>423</v>
      </c>
      <c r="Q87">
        <v>765.94</v>
      </c>
    </row>
    <row r="88" spans="1:17" hidden="1">
      <c r="A88" s="38" t="s">
        <v>680</v>
      </c>
      <c r="B88" s="35" t="s">
        <v>681</v>
      </c>
      <c r="C88" s="27">
        <v>1272</v>
      </c>
      <c r="D88" s="18">
        <f t="shared" si="6"/>
        <v>42.4</v>
      </c>
      <c r="E88" s="5">
        <v>2328.4100000000003</v>
      </c>
      <c r="H88" s="18">
        <f t="shared" si="7"/>
        <v>2544</v>
      </c>
      <c r="I88" t="b">
        <f t="shared" si="4"/>
        <v>1</v>
      </c>
      <c r="J88" s="4">
        <f t="shared" si="5"/>
        <v>-8.4744496855345797E-2</v>
      </c>
      <c r="M88"/>
      <c r="O88" t="s">
        <v>287</v>
      </c>
      <c r="P88">
        <v>431</v>
      </c>
      <c r="Q88">
        <v>742.51</v>
      </c>
    </row>
    <row r="89" spans="1:17" hidden="1">
      <c r="A89" s="35" t="s">
        <v>720</v>
      </c>
      <c r="B89" s="35" t="s">
        <v>721</v>
      </c>
      <c r="C89" s="27">
        <v>1608</v>
      </c>
      <c r="D89" s="18">
        <f t="shared" si="6"/>
        <v>53.6</v>
      </c>
      <c r="E89" s="5">
        <v>2894.97</v>
      </c>
      <c r="H89" s="18">
        <f t="shared" si="7"/>
        <v>3216</v>
      </c>
      <c r="I89" t="b">
        <f t="shared" si="4"/>
        <v>1</v>
      </c>
      <c r="J89" s="4">
        <f t="shared" si="5"/>
        <v>-9.9822761194029885E-2</v>
      </c>
      <c r="M89"/>
      <c r="O89" t="s">
        <v>1605</v>
      </c>
      <c r="P89">
        <v>208</v>
      </c>
      <c r="Q89">
        <v>461.06</v>
      </c>
    </row>
    <row r="90" spans="1:17" hidden="1">
      <c r="A90" s="35" t="s">
        <v>720</v>
      </c>
      <c r="B90" s="35" t="s">
        <v>721</v>
      </c>
      <c r="C90" s="27">
        <v>1608</v>
      </c>
      <c r="D90" s="18">
        <f t="shared" si="6"/>
        <v>53.6</v>
      </c>
      <c r="E90" s="5">
        <v>2894.97</v>
      </c>
      <c r="H90" s="18">
        <f t="shared" si="7"/>
        <v>3216</v>
      </c>
      <c r="I90" t="b">
        <f t="shared" si="4"/>
        <v>1</v>
      </c>
      <c r="J90" s="4">
        <f t="shared" si="5"/>
        <v>-9.9822761194029885E-2</v>
      </c>
      <c r="M90"/>
      <c r="O90" t="s">
        <v>361</v>
      </c>
      <c r="P90">
        <v>427</v>
      </c>
      <c r="Q90">
        <v>594.62</v>
      </c>
    </row>
    <row r="91" spans="1:17" hidden="1">
      <c r="A91" t="s">
        <v>652</v>
      </c>
      <c r="B91" t="s">
        <v>653</v>
      </c>
      <c r="C91" s="27">
        <v>2410</v>
      </c>
      <c r="D91" s="18">
        <f t="shared" si="6"/>
        <v>80.333333333333329</v>
      </c>
      <c r="E91" s="5">
        <v>3586.03</v>
      </c>
      <c r="H91" s="18">
        <f t="shared" si="7"/>
        <v>4820</v>
      </c>
      <c r="I91" t="b">
        <f t="shared" si="4"/>
        <v>1</v>
      </c>
      <c r="J91" s="4">
        <f t="shared" si="5"/>
        <v>-0.25601037344398336</v>
      </c>
      <c r="M91"/>
      <c r="O91" t="s">
        <v>858</v>
      </c>
      <c r="P91">
        <v>6857</v>
      </c>
      <c r="Q91">
        <v>7319.16</v>
      </c>
    </row>
    <row r="92" spans="1:17" hidden="1">
      <c r="A92" t="s">
        <v>290</v>
      </c>
      <c r="B92" t="s">
        <v>291</v>
      </c>
      <c r="C92" s="27">
        <v>791</v>
      </c>
      <c r="D92" s="18">
        <f t="shared" si="6"/>
        <v>26.366666666666667</v>
      </c>
      <c r="E92" s="5">
        <v>670.99</v>
      </c>
      <c r="H92" s="18">
        <f t="shared" si="7"/>
        <v>1582</v>
      </c>
      <c r="I92" t="b">
        <f t="shared" si="4"/>
        <v>1</v>
      </c>
      <c r="J92" s="4">
        <f t="shared" si="5"/>
        <v>-0.5758596713021491</v>
      </c>
      <c r="M92"/>
      <c r="O92" t="s">
        <v>305</v>
      </c>
      <c r="P92">
        <v>1277</v>
      </c>
      <c r="Q92">
        <v>2567.0300000000002</v>
      </c>
    </row>
    <row r="93" spans="1:17" hidden="1">
      <c r="A93" t="s">
        <v>320</v>
      </c>
      <c r="B93" t="s">
        <v>321</v>
      </c>
      <c r="C93" s="27">
        <v>893</v>
      </c>
      <c r="D93" s="18">
        <f t="shared" si="6"/>
        <v>29.766666666666666</v>
      </c>
      <c r="E93" s="5">
        <v>1013.06</v>
      </c>
      <c r="H93" s="18">
        <f t="shared" si="7"/>
        <v>1786</v>
      </c>
      <c r="I93" t="b">
        <f t="shared" si="4"/>
        <v>1</v>
      </c>
      <c r="J93" s="4">
        <f t="shared" si="5"/>
        <v>-0.43277715565509522</v>
      </c>
      <c r="M93"/>
      <c r="O93" t="s">
        <v>435</v>
      </c>
      <c r="P93">
        <v>1046</v>
      </c>
      <c r="Q93">
        <v>905.93</v>
      </c>
    </row>
    <row r="94" spans="1:17" hidden="1">
      <c r="A94" s="38" t="s">
        <v>766</v>
      </c>
      <c r="B94" s="35" t="s">
        <v>767</v>
      </c>
      <c r="C94" s="27">
        <v>2080</v>
      </c>
      <c r="D94" s="18">
        <f t="shared" si="6"/>
        <v>69.333333333333329</v>
      </c>
      <c r="E94" s="5">
        <v>4815.33</v>
      </c>
      <c r="H94" s="18">
        <f t="shared" si="7"/>
        <v>4160</v>
      </c>
      <c r="I94" t="b">
        <f t="shared" si="4"/>
        <v>1</v>
      </c>
      <c r="J94" s="4">
        <f t="shared" si="5"/>
        <v>0.1575312499999999</v>
      </c>
      <c r="M94"/>
      <c r="O94" t="s">
        <v>417</v>
      </c>
      <c r="P94">
        <v>577</v>
      </c>
      <c r="Q94">
        <v>720.77</v>
      </c>
    </row>
    <row r="95" spans="1:17" hidden="1">
      <c r="A95" t="s">
        <v>434</v>
      </c>
      <c r="B95" t="s">
        <v>435</v>
      </c>
      <c r="C95" s="27">
        <v>820</v>
      </c>
      <c r="D95" s="18">
        <f t="shared" si="6"/>
        <v>27.333333333333332</v>
      </c>
      <c r="E95" s="5">
        <v>575.41999999999996</v>
      </c>
      <c r="H95" s="18">
        <f t="shared" si="7"/>
        <v>1640</v>
      </c>
      <c r="I95" t="b">
        <f t="shared" si="4"/>
        <v>1</v>
      </c>
      <c r="J95" s="4">
        <f t="shared" si="5"/>
        <v>-0.64913414634146349</v>
      </c>
      <c r="M95"/>
      <c r="O95" t="s">
        <v>191</v>
      </c>
      <c r="P95">
        <v>576</v>
      </c>
      <c r="Q95">
        <v>686.87</v>
      </c>
    </row>
    <row r="96" spans="1:17" hidden="1">
      <c r="A96" s="38" t="s">
        <v>124</v>
      </c>
      <c r="B96" s="35" t="s">
        <v>125</v>
      </c>
      <c r="C96" s="27">
        <v>507</v>
      </c>
      <c r="D96" s="18">
        <f t="shared" si="6"/>
        <v>16.899999999999999</v>
      </c>
      <c r="E96" s="5">
        <v>1084.56</v>
      </c>
      <c r="H96" s="18">
        <f t="shared" si="7"/>
        <v>1014</v>
      </c>
      <c r="I96" t="b">
        <f t="shared" si="4"/>
        <v>1</v>
      </c>
      <c r="J96" s="4">
        <f t="shared" si="5"/>
        <v>6.9585798816568012E-2</v>
      </c>
      <c r="M96"/>
      <c r="O96" t="s">
        <v>183</v>
      </c>
      <c r="P96">
        <v>752</v>
      </c>
      <c r="Q96">
        <v>616.62</v>
      </c>
    </row>
    <row r="97" spans="1:17" hidden="1">
      <c r="A97" s="38" t="s">
        <v>366</v>
      </c>
      <c r="B97" s="35" t="s">
        <v>367</v>
      </c>
      <c r="C97" s="27">
        <v>889</v>
      </c>
      <c r="D97" s="18">
        <f t="shared" si="6"/>
        <v>29.633333333333333</v>
      </c>
      <c r="E97" s="5">
        <v>1292.8599999999999</v>
      </c>
      <c r="H97" s="18">
        <f t="shared" si="7"/>
        <v>1778</v>
      </c>
      <c r="I97" t="b">
        <f t="shared" si="4"/>
        <v>1</v>
      </c>
      <c r="J97" s="4">
        <f t="shared" si="5"/>
        <v>-0.27285714285714291</v>
      </c>
      <c r="M97"/>
      <c r="O97" t="s">
        <v>273</v>
      </c>
      <c r="P97">
        <v>613</v>
      </c>
      <c r="Q97">
        <v>1513.71</v>
      </c>
    </row>
    <row r="98" spans="1:17" hidden="1">
      <c r="A98" t="s">
        <v>484</v>
      </c>
      <c r="B98" t="s">
        <v>485</v>
      </c>
      <c r="C98" s="27">
        <v>659</v>
      </c>
      <c r="D98" s="18">
        <f t="shared" si="6"/>
        <v>21.966666666666665</v>
      </c>
      <c r="E98" s="5">
        <v>1465.13</v>
      </c>
      <c r="H98" s="18">
        <f t="shared" si="7"/>
        <v>1318</v>
      </c>
      <c r="I98" t="b">
        <f t="shared" si="4"/>
        <v>1</v>
      </c>
      <c r="J98" s="4">
        <f t="shared" si="5"/>
        <v>0.11163125948406694</v>
      </c>
      <c r="M98"/>
      <c r="O98" t="s">
        <v>403</v>
      </c>
      <c r="P98">
        <v>1880</v>
      </c>
      <c r="Q98">
        <v>3516.22</v>
      </c>
    </row>
    <row r="99" spans="1:17" hidden="1">
      <c r="A99" t="s">
        <v>46</v>
      </c>
      <c r="B99" t="s">
        <v>47</v>
      </c>
      <c r="C99" s="27">
        <v>1298</v>
      </c>
      <c r="D99" s="18">
        <f t="shared" si="6"/>
        <v>43.266666666666666</v>
      </c>
      <c r="E99" s="5">
        <v>872.8</v>
      </c>
      <c r="H99" s="18">
        <f t="shared" si="7"/>
        <v>2596</v>
      </c>
      <c r="I99" t="b">
        <f t="shared" si="4"/>
        <v>1</v>
      </c>
      <c r="J99" s="4">
        <f t="shared" si="5"/>
        <v>-0.66379044684129429</v>
      </c>
      <c r="M99"/>
      <c r="O99" t="s">
        <v>657</v>
      </c>
      <c r="P99">
        <v>513</v>
      </c>
      <c r="Q99">
        <v>883.21</v>
      </c>
    </row>
    <row r="100" spans="1:17" hidden="1">
      <c r="A100" t="s">
        <v>1771</v>
      </c>
      <c r="B100" t="s">
        <v>1611</v>
      </c>
      <c r="C100" s="27">
        <v>0</v>
      </c>
      <c r="D100" s="18">
        <f t="shared" si="6"/>
        <v>0</v>
      </c>
      <c r="E100" s="5">
        <v>0</v>
      </c>
      <c r="H100" s="18">
        <f t="shared" si="7"/>
        <v>0</v>
      </c>
      <c r="I100" t="b">
        <f t="shared" si="4"/>
        <v>1</v>
      </c>
      <c r="J100" s="4" t="e">
        <f t="shared" si="5"/>
        <v>#DIV/0!</v>
      </c>
      <c r="M100"/>
      <c r="O100" t="s">
        <v>1603</v>
      </c>
      <c r="P100">
        <v>196</v>
      </c>
      <c r="Q100">
        <v>537.36</v>
      </c>
    </row>
    <row r="101" spans="1:17" hidden="1">
      <c r="A101" s="35" t="s">
        <v>620</v>
      </c>
      <c r="B101" s="35" t="s">
        <v>621</v>
      </c>
      <c r="C101" s="27">
        <v>1526</v>
      </c>
      <c r="D101" s="18">
        <f t="shared" si="6"/>
        <v>50.866666666666667</v>
      </c>
      <c r="E101" s="5">
        <v>1486.11</v>
      </c>
      <c r="H101" s="18">
        <f t="shared" si="7"/>
        <v>3052</v>
      </c>
      <c r="I101" t="b">
        <f t="shared" si="4"/>
        <v>1</v>
      </c>
      <c r="J101" s="4">
        <f t="shared" si="5"/>
        <v>-0.51307011795543911</v>
      </c>
      <c r="M101"/>
      <c r="O101" t="s">
        <v>505</v>
      </c>
      <c r="P101">
        <v>707</v>
      </c>
      <c r="Q101">
        <v>1007.87</v>
      </c>
    </row>
    <row r="102" spans="1:17" hidden="1">
      <c r="A102" s="38" t="s">
        <v>650</v>
      </c>
      <c r="B102" s="35" t="s">
        <v>651</v>
      </c>
      <c r="C102" s="27">
        <v>963</v>
      </c>
      <c r="D102" s="18">
        <f t="shared" si="6"/>
        <v>32.1</v>
      </c>
      <c r="E102" s="5">
        <v>1872.64</v>
      </c>
      <c r="H102" s="18">
        <f t="shared" si="7"/>
        <v>1926</v>
      </c>
      <c r="I102" t="b">
        <f t="shared" si="4"/>
        <v>1</v>
      </c>
      <c r="J102" s="4">
        <f t="shared" si="5"/>
        <v>-2.7705088265835842E-2</v>
      </c>
      <c r="M102"/>
      <c r="O102" t="s">
        <v>876</v>
      </c>
      <c r="P102">
        <v>1594</v>
      </c>
      <c r="Q102">
        <v>209.91</v>
      </c>
    </row>
    <row r="103" spans="1:17" hidden="1">
      <c r="A103" t="s">
        <v>1772</v>
      </c>
      <c r="B103" t="s">
        <v>1597</v>
      </c>
      <c r="C103" s="27">
        <v>0</v>
      </c>
      <c r="D103" s="18">
        <f t="shared" si="6"/>
        <v>0</v>
      </c>
      <c r="E103" s="5">
        <v>0</v>
      </c>
      <c r="H103" s="18">
        <f t="shared" si="7"/>
        <v>0</v>
      </c>
      <c r="I103" t="b">
        <f t="shared" si="4"/>
        <v>1</v>
      </c>
      <c r="J103" s="4" t="e">
        <f t="shared" si="5"/>
        <v>#DIV/0!</v>
      </c>
      <c r="M103"/>
      <c r="O103" t="s">
        <v>739</v>
      </c>
      <c r="P103">
        <v>2511</v>
      </c>
      <c r="Q103">
        <v>2473.92</v>
      </c>
    </row>
    <row r="104" spans="1:17" hidden="1">
      <c r="A104" t="s">
        <v>762</v>
      </c>
      <c r="B104" t="s">
        <v>763</v>
      </c>
      <c r="C104" s="27">
        <v>1099</v>
      </c>
      <c r="D104" s="18">
        <f t="shared" si="6"/>
        <v>36.633333333333333</v>
      </c>
      <c r="E104" s="5">
        <v>592.96</v>
      </c>
      <c r="H104" s="18">
        <f t="shared" si="7"/>
        <v>2198</v>
      </c>
      <c r="I104" t="b">
        <f t="shared" si="4"/>
        <v>1</v>
      </c>
      <c r="J104" s="4">
        <f t="shared" si="5"/>
        <v>-0.73022747952684264</v>
      </c>
      <c r="M104"/>
      <c r="O104" t="s">
        <v>265</v>
      </c>
      <c r="P104">
        <v>1114</v>
      </c>
      <c r="Q104">
        <v>1550.98</v>
      </c>
    </row>
    <row r="105" spans="1:17" hidden="1">
      <c r="A105" t="s">
        <v>142</v>
      </c>
      <c r="B105" t="s">
        <v>143</v>
      </c>
      <c r="C105" s="27">
        <v>2931</v>
      </c>
      <c r="D105" s="18">
        <f t="shared" si="6"/>
        <v>97.7</v>
      </c>
      <c r="E105" s="5">
        <v>4160.45</v>
      </c>
      <c r="H105" s="18">
        <f t="shared" si="7"/>
        <v>5862</v>
      </c>
      <c r="I105" t="b">
        <f t="shared" si="4"/>
        <v>1</v>
      </c>
      <c r="J105" s="4">
        <f t="shared" si="5"/>
        <v>-0.29026782668031392</v>
      </c>
      <c r="M105"/>
      <c r="O105" t="s">
        <v>363</v>
      </c>
      <c r="P105">
        <v>950</v>
      </c>
      <c r="Q105">
        <v>648.47</v>
      </c>
    </row>
    <row r="106" spans="1:17">
      <c r="A106" t="s">
        <v>308</v>
      </c>
      <c r="B106" t="s">
        <v>309</v>
      </c>
      <c r="C106" s="27">
        <v>31</v>
      </c>
      <c r="D106" s="18">
        <f t="shared" si="6"/>
        <v>1.0333333333333334</v>
      </c>
      <c r="E106" s="5">
        <v>78.61</v>
      </c>
      <c r="H106" s="18">
        <f t="shared" si="7"/>
        <v>62</v>
      </c>
      <c r="I106" t="b">
        <f t="shared" si="4"/>
        <v>0</v>
      </c>
      <c r="J106" s="4">
        <f t="shared" si="5"/>
        <v>0.26790322580645154</v>
      </c>
      <c r="M106"/>
      <c r="O106" t="s">
        <v>323</v>
      </c>
      <c r="P106">
        <v>756</v>
      </c>
      <c r="Q106">
        <v>555.17999999999995</v>
      </c>
    </row>
    <row r="107" spans="1:17" hidden="1">
      <c r="A107" t="s">
        <v>592</v>
      </c>
      <c r="B107" t="s">
        <v>593</v>
      </c>
      <c r="C107" s="27">
        <v>701</v>
      </c>
      <c r="D107" s="18">
        <f t="shared" si="6"/>
        <v>23.366666666666667</v>
      </c>
      <c r="E107" s="5">
        <v>619.48</v>
      </c>
      <c r="H107" s="18">
        <f t="shared" si="7"/>
        <v>1402</v>
      </c>
      <c r="I107" t="b">
        <f t="shared" si="4"/>
        <v>1</v>
      </c>
      <c r="J107" s="4">
        <f t="shared" si="5"/>
        <v>-0.55814550641940086</v>
      </c>
      <c r="M107"/>
      <c r="O107" t="s">
        <v>1614</v>
      </c>
      <c r="P107">
        <v>535</v>
      </c>
      <c r="Q107">
        <v>654.45000000000005</v>
      </c>
    </row>
    <row r="108" spans="1:17" hidden="1">
      <c r="A108" t="s">
        <v>640</v>
      </c>
      <c r="B108" t="s">
        <v>641</v>
      </c>
      <c r="C108" s="27">
        <v>1862</v>
      </c>
      <c r="D108" s="18">
        <f t="shared" si="6"/>
        <v>62.06666666666667</v>
      </c>
      <c r="E108" s="5">
        <v>1500.37</v>
      </c>
      <c r="H108" s="18">
        <f t="shared" si="7"/>
        <v>3724</v>
      </c>
      <c r="I108" t="b">
        <f t="shared" si="4"/>
        <v>1</v>
      </c>
      <c r="J108" s="4">
        <f t="shared" si="5"/>
        <v>-0.59710794844253501</v>
      </c>
      <c r="M108"/>
      <c r="O108" t="s">
        <v>782</v>
      </c>
      <c r="P108">
        <v>1992</v>
      </c>
      <c r="Q108">
        <v>2894.27</v>
      </c>
    </row>
    <row r="109" spans="1:17" hidden="1">
      <c r="A109" s="38" t="s">
        <v>544</v>
      </c>
      <c r="B109" s="35" t="s">
        <v>545</v>
      </c>
      <c r="C109" s="18">
        <v>1600</v>
      </c>
      <c r="D109" s="18">
        <f t="shared" si="6"/>
        <v>53.333333333333336</v>
      </c>
      <c r="E109" s="5">
        <v>3018.95</v>
      </c>
      <c r="H109" s="18">
        <f t="shared" si="7"/>
        <v>3200</v>
      </c>
      <c r="I109" t="b">
        <f t="shared" si="4"/>
        <v>1</v>
      </c>
      <c r="J109" s="4">
        <f t="shared" si="5"/>
        <v>-5.6578125000000035E-2</v>
      </c>
      <c r="O109" t="s">
        <v>537</v>
      </c>
      <c r="P109">
        <v>910</v>
      </c>
      <c r="Q109">
        <v>725.37</v>
      </c>
    </row>
    <row r="110" spans="1:17" hidden="1">
      <c r="A110" t="s">
        <v>504</v>
      </c>
      <c r="B110" t="s">
        <v>505</v>
      </c>
      <c r="C110" s="27">
        <v>0</v>
      </c>
      <c r="D110" s="18">
        <f t="shared" si="6"/>
        <v>0</v>
      </c>
      <c r="E110" s="5">
        <v>0</v>
      </c>
      <c r="H110" s="18">
        <f t="shared" si="7"/>
        <v>0</v>
      </c>
      <c r="I110" t="b">
        <f t="shared" si="4"/>
        <v>1</v>
      </c>
      <c r="J110" s="4" t="e">
        <f t="shared" si="5"/>
        <v>#DIV/0!</v>
      </c>
      <c r="M110"/>
      <c r="O110" t="s">
        <v>439</v>
      </c>
      <c r="P110">
        <v>991</v>
      </c>
      <c r="Q110">
        <v>1487.32</v>
      </c>
    </row>
    <row r="111" spans="1:17" hidden="1">
      <c r="A111" t="s">
        <v>634</v>
      </c>
      <c r="B111" t="s">
        <v>635</v>
      </c>
      <c r="C111" s="27">
        <v>908</v>
      </c>
      <c r="D111" s="18">
        <f t="shared" si="6"/>
        <v>30.266666666666666</v>
      </c>
      <c r="E111" s="5">
        <v>1794.35</v>
      </c>
      <c r="H111" s="18">
        <f t="shared" si="7"/>
        <v>1816</v>
      </c>
      <c r="I111" t="b">
        <f t="shared" si="4"/>
        <v>1</v>
      </c>
      <c r="J111" s="4">
        <f t="shared" si="5"/>
        <v>-1.1921806167400906E-2</v>
      </c>
      <c r="M111"/>
      <c r="O111" t="s">
        <v>725</v>
      </c>
      <c r="P111">
        <v>1070</v>
      </c>
      <c r="Q111">
        <v>1533.49</v>
      </c>
    </row>
    <row r="112" spans="1:17" hidden="1">
      <c r="A112" t="s">
        <v>454</v>
      </c>
      <c r="B112" t="s">
        <v>455</v>
      </c>
      <c r="C112" s="27">
        <v>191</v>
      </c>
      <c r="D112" s="18">
        <f t="shared" si="6"/>
        <v>6.3666666666666663</v>
      </c>
      <c r="E112" s="5">
        <v>0</v>
      </c>
      <c r="H112" s="18">
        <f t="shared" si="7"/>
        <v>382</v>
      </c>
      <c r="I112" t="b">
        <f t="shared" si="4"/>
        <v>1</v>
      </c>
      <c r="J112" s="4">
        <f t="shared" si="5"/>
        <v>-1</v>
      </c>
      <c r="M112"/>
      <c r="O112" t="s">
        <v>237</v>
      </c>
      <c r="P112">
        <v>269</v>
      </c>
      <c r="Q112">
        <v>387.38</v>
      </c>
    </row>
    <row r="113" spans="1:17" hidden="1">
      <c r="A113" t="s">
        <v>140</v>
      </c>
      <c r="B113" t="s">
        <v>141</v>
      </c>
      <c r="C113" s="27">
        <v>1184</v>
      </c>
      <c r="D113" s="18">
        <f t="shared" si="6"/>
        <v>39.466666666666669</v>
      </c>
      <c r="E113" s="5">
        <v>973.08</v>
      </c>
      <c r="H113" s="18">
        <f t="shared" si="7"/>
        <v>2368</v>
      </c>
      <c r="I113" t="b">
        <f t="shared" si="4"/>
        <v>1</v>
      </c>
      <c r="J113" s="4">
        <f t="shared" si="5"/>
        <v>-0.589070945945946</v>
      </c>
      <c r="M113"/>
      <c r="O113" t="s">
        <v>205</v>
      </c>
      <c r="P113">
        <v>366</v>
      </c>
      <c r="Q113">
        <v>652.61</v>
      </c>
    </row>
    <row r="114" spans="1:17" hidden="1">
      <c r="A114" s="39" t="s">
        <v>478</v>
      </c>
      <c r="B114" s="35" t="s">
        <v>479</v>
      </c>
      <c r="C114" s="27">
        <v>953</v>
      </c>
      <c r="D114" s="18">
        <f t="shared" si="6"/>
        <v>31.766666666666666</v>
      </c>
      <c r="E114" s="5">
        <v>2072.29</v>
      </c>
      <c r="H114" s="18">
        <f t="shared" si="7"/>
        <v>1906</v>
      </c>
      <c r="I114" t="b">
        <f t="shared" si="4"/>
        <v>1</v>
      </c>
      <c r="J114" s="4">
        <f t="shared" si="5"/>
        <v>8.7245540398740884E-2</v>
      </c>
      <c r="M114"/>
      <c r="O114" t="s">
        <v>641</v>
      </c>
      <c r="P114">
        <v>2113</v>
      </c>
      <c r="Q114">
        <v>2307.63</v>
      </c>
    </row>
    <row r="115" spans="1:17" hidden="1">
      <c r="A115" t="s">
        <v>174</v>
      </c>
      <c r="B115" t="s">
        <v>175</v>
      </c>
      <c r="C115" s="27">
        <v>503</v>
      </c>
      <c r="D115" s="18">
        <f t="shared" si="6"/>
        <v>16.766666666666666</v>
      </c>
      <c r="E115" s="5">
        <v>568.49</v>
      </c>
      <c r="H115" s="18">
        <f t="shared" si="7"/>
        <v>1006</v>
      </c>
      <c r="I115" t="b">
        <f t="shared" si="4"/>
        <v>1</v>
      </c>
      <c r="J115" s="4">
        <f t="shared" si="5"/>
        <v>-0.43490059642147116</v>
      </c>
      <c r="M115"/>
      <c r="O115" t="s">
        <v>47</v>
      </c>
      <c r="P115">
        <v>1161</v>
      </c>
      <c r="Q115">
        <v>883.15</v>
      </c>
    </row>
    <row r="116" spans="1:17" hidden="1">
      <c r="A116" t="s">
        <v>306</v>
      </c>
      <c r="B116" t="s">
        <v>307</v>
      </c>
      <c r="C116" s="27">
        <v>760</v>
      </c>
      <c r="D116" s="18">
        <f t="shared" si="6"/>
        <v>25.333333333333332</v>
      </c>
      <c r="E116" s="5">
        <v>1522.27</v>
      </c>
      <c r="H116" s="18">
        <f t="shared" si="7"/>
        <v>1520</v>
      </c>
      <c r="I116" t="b">
        <f t="shared" si="4"/>
        <v>1</v>
      </c>
      <c r="J116" s="4">
        <f t="shared" si="5"/>
        <v>1.4934210526316161E-3</v>
      </c>
      <c r="M116"/>
      <c r="O116" t="s">
        <v>629</v>
      </c>
      <c r="P116">
        <v>690</v>
      </c>
      <c r="Q116">
        <v>545.20000000000005</v>
      </c>
    </row>
    <row r="117" spans="1:17" hidden="1">
      <c r="A117" s="38" t="s">
        <v>704</v>
      </c>
      <c r="B117" s="35" t="s">
        <v>705</v>
      </c>
      <c r="C117" s="27">
        <v>1434</v>
      </c>
      <c r="D117" s="18">
        <f t="shared" si="6"/>
        <v>47.8</v>
      </c>
      <c r="E117" s="5">
        <v>1884.57</v>
      </c>
      <c r="H117" s="18">
        <f t="shared" si="7"/>
        <v>2868</v>
      </c>
      <c r="I117" t="b">
        <f t="shared" si="4"/>
        <v>1</v>
      </c>
      <c r="J117" s="4">
        <f t="shared" si="5"/>
        <v>-0.34289748953974897</v>
      </c>
      <c r="M117"/>
      <c r="O117" t="s">
        <v>531</v>
      </c>
      <c r="P117">
        <v>1115</v>
      </c>
      <c r="Q117">
        <v>2200.4899999999998</v>
      </c>
    </row>
    <row r="118" spans="1:17" hidden="1">
      <c r="A118" t="s">
        <v>282</v>
      </c>
      <c r="B118" t="s">
        <v>283</v>
      </c>
      <c r="C118" s="27">
        <v>2007</v>
      </c>
      <c r="D118" s="18">
        <f t="shared" si="6"/>
        <v>66.900000000000006</v>
      </c>
      <c r="E118" s="5">
        <v>2982.77</v>
      </c>
      <c r="H118" s="18">
        <f t="shared" si="7"/>
        <v>4014</v>
      </c>
      <c r="I118" t="b">
        <f t="shared" si="4"/>
        <v>1</v>
      </c>
      <c r="J118" s="4">
        <f t="shared" si="5"/>
        <v>-0.25690832087693072</v>
      </c>
      <c r="M118"/>
      <c r="O118" t="s">
        <v>535</v>
      </c>
      <c r="P118">
        <v>1273</v>
      </c>
      <c r="Q118">
        <v>1409.27</v>
      </c>
    </row>
    <row r="119" spans="1:17" hidden="1">
      <c r="A119" s="35" t="s">
        <v>250</v>
      </c>
      <c r="B119" s="35" t="s">
        <v>251</v>
      </c>
      <c r="C119" s="27">
        <v>390</v>
      </c>
      <c r="D119" s="18">
        <f t="shared" si="6"/>
        <v>13</v>
      </c>
      <c r="E119" s="5">
        <v>355.31</v>
      </c>
      <c r="H119" s="18">
        <f t="shared" si="7"/>
        <v>780</v>
      </c>
      <c r="I119" t="b">
        <f t="shared" si="4"/>
        <v>1</v>
      </c>
      <c r="J119" s="4">
        <f t="shared" si="5"/>
        <v>-0.54447435897435903</v>
      </c>
      <c r="M119"/>
      <c r="O119" t="s">
        <v>161</v>
      </c>
      <c r="P119">
        <v>1003</v>
      </c>
      <c r="Q119">
        <v>2186.44</v>
      </c>
    </row>
    <row r="120" spans="1:17">
      <c r="A120" t="s">
        <v>572</v>
      </c>
      <c r="B120" t="s">
        <v>573</v>
      </c>
      <c r="C120" s="27">
        <v>181</v>
      </c>
      <c r="D120" s="18">
        <f t="shared" si="6"/>
        <v>6.0333333333333332</v>
      </c>
      <c r="E120" s="5">
        <v>666.94</v>
      </c>
      <c r="H120" s="18">
        <f t="shared" si="7"/>
        <v>362</v>
      </c>
      <c r="I120" t="b">
        <f t="shared" si="4"/>
        <v>0</v>
      </c>
      <c r="J120" s="4">
        <f t="shared" si="5"/>
        <v>0.84237569060773487</v>
      </c>
      <c r="M120"/>
      <c r="O120" t="s">
        <v>261</v>
      </c>
      <c r="P120">
        <v>425</v>
      </c>
      <c r="Q120">
        <v>530.95000000000005</v>
      </c>
    </row>
    <row r="121" spans="1:17" hidden="1">
      <c r="A121" t="s">
        <v>326</v>
      </c>
      <c r="B121" t="s">
        <v>327</v>
      </c>
      <c r="C121" s="27">
        <v>594</v>
      </c>
      <c r="D121" s="18">
        <f t="shared" si="6"/>
        <v>19.8</v>
      </c>
      <c r="E121" s="5">
        <v>310.83999999999997</v>
      </c>
      <c r="H121" s="18">
        <f t="shared" si="7"/>
        <v>1188</v>
      </c>
      <c r="I121" t="b">
        <f t="shared" si="4"/>
        <v>1</v>
      </c>
      <c r="J121" s="4">
        <f t="shared" si="5"/>
        <v>-0.73835016835016831</v>
      </c>
      <c r="M121"/>
      <c r="O121" t="s">
        <v>1616</v>
      </c>
      <c r="P121">
        <v>457</v>
      </c>
      <c r="Q121">
        <v>280.43</v>
      </c>
    </row>
    <row r="122" spans="1:17" hidden="1">
      <c r="A122" t="s">
        <v>66</v>
      </c>
      <c r="B122" t="s">
        <v>67</v>
      </c>
      <c r="C122" s="27">
        <v>544</v>
      </c>
      <c r="D122" s="18">
        <f t="shared" si="6"/>
        <v>18.133333333333333</v>
      </c>
      <c r="E122" s="5">
        <v>327.7</v>
      </c>
      <c r="H122" s="18">
        <f t="shared" si="7"/>
        <v>1088</v>
      </c>
      <c r="I122" t="b">
        <f t="shared" si="4"/>
        <v>1</v>
      </c>
      <c r="J122" s="4">
        <f t="shared" si="5"/>
        <v>-0.69880514705882346</v>
      </c>
      <c r="M122"/>
      <c r="O122" t="s">
        <v>1606</v>
      </c>
      <c r="P122">
        <v>396</v>
      </c>
      <c r="Q122">
        <v>403.81</v>
      </c>
    </row>
    <row r="123" spans="1:17" hidden="1">
      <c r="A123" t="s">
        <v>566</v>
      </c>
      <c r="B123" t="s">
        <v>567</v>
      </c>
      <c r="C123" s="27">
        <v>2415</v>
      </c>
      <c r="D123" s="18">
        <f t="shared" si="6"/>
        <v>80.5</v>
      </c>
      <c r="E123" s="5">
        <v>2131.06</v>
      </c>
      <c r="H123" s="18">
        <f t="shared" si="7"/>
        <v>4830</v>
      </c>
      <c r="I123" t="b">
        <f t="shared" si="4"/>
        <v>1</v>
      </c>
      <c r="J123" s="4">
        <f t="shared" si="5"/>
        <v>-0.5587867494824017</v>
      </c>
      <c r="M123"/>
      <c r="O123" t="s">
        <v>249</v>
      </c>
      <c r="P123">
        <v>374</v>
      </c>
      <c r="Q123">
        <v>329.94</v>
      </c>
    </row>
    <row r="124" spans="1:17" hidden="1">
      <c r="A124" t="s">
        <v>370</v>
      </c>
      <c r="B124" t="s">
        <v>371</v>
      </c>
      <c r="C124" s="27">
        <v>1176</v>
      </c>
      <c r="D124" s="18">
        <f t="shared" si="6"/>
        <v>39.200000000000003</v>
      </c>
      <c r="E124" s="5">
        <v>2262.2800000000002</v>
      </c>
      <c r="H124" s="18">
        <f t="shared" si="7"/>
        <v>2352</v>
      </c>
      <c r="I124" t="b">
        <f t="shared" si="4"/>
        <v>1</v>
      </c>
      <c r="J124" s="4">
        <f t="shared" si="5"/>
        <v>-3.8146258503401254E-2</v>
      </c>
      <c r="M124"/>
      <c r="O124" t="s">
        <v>199</v>
      </c>
      <c r="P124">
        <v>2024</v>
      </c>
      <c r="Q124">
        <v>4886.3999999999996</v>
      </c>
    </row>
    <row r="125" spans="1:17" hidden="1">
      <c r="A125" t="s">
        <v>304</v>
      </c>
      <c r="B125" t="s">
        <v>305</v>
      </c>
      <c r="C125" s="27">
        <v>653</v>
      </c>
      <c r="D125" s="18">
        <f t="shared" si="6"/>
        <v>21.766666666666666</v>
      </c>
      <c r="E125" s="5">
        <v>857.5</v>
      </c>
      <c r="H125" s="18">
        <f t="shared" si="7"/>
        <v>1306</v>
      </c>
      <c r="I125" t="b">
        <f t="shared" si="4"/>
        <v>1</v>
      </c>
      <c r="J125" s="4">
        <f t="shared" si="5"/>
        <v>-0.34341500765696786</v>
      </c>
      <c r="M125"/>
      <c r="O125" t="s">
        <v>1611</v>
      </c>
      <c r="P125">
        <v>444</v>
      </c>
      <c r="Q125">
        <v>278.83</v>
      </c>
    </row>
    <row r="126" spans="1:17">
      <c r="A126" s="38" t="s">
        <v>710</v>
      </c>
      <c r="B126" s="35" t="s">
        <v>711</v>
      </c>
      <c r="C126" s="27">
        <v>691</v>
      </c>
      <c r="D126" s="18">
        <f t="shared" si="6"/>
        <v>23.033333333333335</v>
      </c>
      <c r="E126" s="5">
        <v>2079.58</v>
      </c>
      <c r="H126" s="18">
        <f t="shared" si="7"/>
        <v>1382</v>
      </c>
      <c r="I126" t="b">
        <f t="shared" si="4"/>
        <v>0</v>
      </c>
      <c r="J126" s="4">
        <f t="shared" si="5"/>
        <v>0.50476121562952248</v>
      </c>
      <c r="M126"/>
      <c r="O126" t="s">
        <v>359</v>
      </c>
      <c r="P126">
        <v>384</v>
      </c>
      <c r="Q126">
        <v>284.83</v>
      </c>
    </row>
    <row r="127" spans="1:17" hidden="1">
      <c r="A127" t="s">
        <v>400</v>
      </c>
      <c r="B127" t="s">
        <v>401</v>
      </c>
      <c r="C127" s="27">
        <v>533</v>
      </c>
      <c r="D127" s="18">
        <f t="shared" si="6"/>
        <v>17.766666666666666</v>
      </c>
      <c r="E127" s="5">
        <v>0</v>
      </c>
      <c r="H127" s="18">
        <f t="shared" si="7"/>
        <v>1066</v>
      </c>
      <c r="I127" t="b">
        <f t="shared" si="4"/>
        <v>1</v>
      </c>
      <c r="J127" s="4">
        <f>E127/H127-1</f>
        <v>-1</v>
      </c>
      <c r="M127"/>
      <c r="O127" t="s">
        <v>567</v>
      </c>
      <c r="P127">
        <v>4667</v>
      </c>
      <c r="Q127">
        <v>10317.379999999999</v>
      </c>
    </row>
    <row r="128" spans="1:17" hidden="1">
      <c r="A128" s="39" t="s">
        <v>758</v>
      </c>
      <c r="B128" s="35" t="s">
        <v>759</v>
      </c>
      <c r="C128" s="27">
        <v>1096</v>
      </c>
      <c r="D128" s="18">
        <f t="shared" si="6"/>
        <v>36.533333333333331</v>
      </c>
      <c r="E128" s="5">
        <v>2417.54</v>
      </c>
      <c r="H128" s="18">
        <f t="shared" si="7"/>
        <v>2192</v>
      </c>
      <c r="I128" t="b">
        <f t="shared" si="4"/>
        <v>1</v>
      </c>
      <c r="J128" s="4">
        <f t="shared" si="5"/>
        <v>0.10289233576642332</v>
      </c>
      <c r="M128"/>
      <c r="O128" t="s">
        <v>57</v>
      </c>
      <c r="P128">
        <v>2577</v>
      </c>
      <c r="Q128">
        <v>5023.1499999999996</v>
      </c>
    </row>
    <row r="129" spans="1:17" hidden="1">
      <c r="A129" t="s">
        <v>534</v>
      </c>
      <c r="B129" t="s">
        <v>535</v>
      </c>
      <c r="C129" s="27">
        <v>371</v>
      </c>
      <c r="D129" s="18">
        <f t="shared" si="6"/>
        <v>12.366666666666667</v>
      </c>
      <c r="E129" s="5">
        <v>516.28</v>
      </c>
      <c r="H129" s="18">
        <f t="shared" si="7"/>
        <v>742</v>
      </c>
      <c r="I129" t="b">
        <f t="shared" ref="I129:I188" si="8">IF(E129&gt;1.2*H129,FALSE,TRUE)</f>
        <v>1</v>
      </c>
      <c r="J129" s="4">
        <f t="shared" ref="J129:J188" si="9">E129/H129-1</f>
        <v>-0.30420485175202161</v>
      </c>
      <c r="M129"/>
      <c r="O129" t="s">
        <v>653</v>
      </c>
      <c r="P129">
        <v>2165</v>
      </c>
      <c r="Q129">
        <v>3961.47</v>
      </c>
    </row>
    <row r="130" spans="1:17" hidden="1">
      <c r="A130" t="s">
        <v>630</v>
      </c>
      <c r="B130" t="s">
        <v>631</v>
      </c>
      <c r="C130" s="27">
        <v>1577</v>
      </c>
      <c r="D130" s="18">
        <f t="shared" si="6"/>
        <v>52.56666666666667</v>
      </c>
      <c r="E130" s="5">
        <v>2228.3200000000002</v>
      </c>
      <c r="H130" s="18">
        <f t="shared" si="7"/>
        <v>3154</v>
      </c>
      <c r="I130" t="b">
        <f t="shared" si="8"/>
        <v>1</v>
      </c>
      <c r="J130" s="4">
        <f t="shared" si="9"/>
        <v>-0.29349397590361437</v>
      </c>
      <c r="M130"/>
      <c r="O130" t="s">
        <v>393</v>
      </c>
      <c r="P130">
        <v>1108</v>
      </c>
      <c r="Q130">
        <v>2267.13</v>
      </c>
    </row>
    <row r="131" spans="1:17" hidden="1">
      <c r="A131" t="s">
        <v>360</v>
      </c>
      <c r="B131" t="s">
        <v>361</v>
      </c>
      <c r="C131" s="27">
        <v>46</v>
      </c>
      <c r="D131" s="18">
        <f t="shared" ref="D131:D194" si="10">C131/30</f>
        <v>1.5333333333333334</v>
      </c>
      <c r="E131" s="5">
        <v>0</v>
      </c>
      <c r="H131" s="18">
        <f t="shared" ref="H131:H194" si="11">IF((C131/30)&gt;100,C131*2,C131*2)</f>
        <v>92</v>
      </c>
      <c r="I131" t="b">
        <f t="shared" si="8"/>
        <v>1</v>
      </c>
      <c r="J131" s="4">
        <f t="shared" si="9"/>
        <v>-1</v>
      </c>
      <c r="M131"/>
      <c r="O131" t="s">
        <v>529</v>
      </c>
      <c r="P131">
        <v>2302</v>
      </c>
      <c r="Q131">
        <v>4803.66</v>
      </c>
    </row>
    <row r="132" spans="1:17" hidden="1">
      <c r="A132" t="s">
        <v>272</v>
      </c>
      <c r="B132" t="s">
        <v>273</v>
      </c>
      <c r="C132" s="27">
        <v>345</v>
      </c>
      <c r="D132" s="18">
        <f t="shared" si="10"/>
        <v>11.5</v>
      </c>
      <c r="E132" s="5">
        <v>620.91</v>
      </c>
      <c r="H132" s="18">
        <f t="shared" si="11"/>
        <v>690</v>
      </c>
      <c r="I132" t="b">
        <f t="shared" si="8"/>
        <v>1</v>
      </c>
      <c r="J132" s="4">
        <f t="shared" si="9"/>
        <v>-0.10013043478260875</v>
      </c>
      <c r="M132"/>
      <c r="O132" t="s">
        <v>589</v>
      </c>
      <c r="P132">
        <v>760</v>
      </c>
      <c r="Q132">
        <v>1679.4</v>
      </c>
    </row>
    <row r="133" spans="1:17" hidden="1">
      <c r="A133" s="35" t="s">
        <v>408</v>
      </c>
      <c r="B133" s="35" t="s">
        <v>409</v>
      </c>
      <c r="C133" s="27">
        <v>774</v>
      </c>
      <c r="D133" s="18">
        <f t="shared" si="10"/>
        <v>25.8</v>
      </c>
      <c r="E133" s="5">
        <v>1670.93</v>
      </c>
      <c r="H133" s="18">
        <f t="shared" si="11"/>
        <v>1548</v>
      </c>
      <c r="I133" t="b">
        <f t="shared" si="8"/>
        <v>1</v>
      </c>
      <c r="J133" s="4">
        <f t="shared" si="9"/>
        <v>7.9412144702842413E-2</v>
      </c>
      <c r="M133"/>
      <c r="O133" t="s">
        <v>321</v>
      </c>
      <c r="P133">
        <v>1249</v>
      </c>
      <c r="Q133">
        <v>1523.67</v>
      </c>
    </row>
    <row r="134" spans="1:17" hidden="1">
      <c r="A134" t="s">
        <v>198</v>
      </c>
      <c r="B134" t="s">
        <v>199</v>
      </c>
      <c r="C134" s="27">
        <v>1206</v>
      </c>
      <c r="D134" s="18">
        <f t="shared" si="10"/>
        <v>40.200000000000003</v>
      </c>
      <c r="E134" s="5">
        <v>1576.95</v>
      </c>
      <c r="H134" s="18">
        <f t="shared" si="11"/>
        <v>2412</v>
      </c>
      <c r="I134" t="b">
        <f t="shared" si="8"/>
        <v>1</v>
      </c>
      <c r="J134" s="4">
        <f t="shared" si="9"/>
        <v>-0.3462064676616915</v>
      </c>
      <c r="M134"/>
      <c r="P134">
        <v>0</v>
      </c>
      <c r="Q134">
        <v>0</v>
      </c>
    </row>
    <row r="135" spans="1:17" hidden="1">
      <c r="A135" t="s">
        <v>684</v>
      </c>
      <c r="B135" t="s">
        <v>685</v>
      </c>
      <c r="C135" s="27">
        <v>286</v>
      </c>
      <c r="D135" s="18">
        <f t="shared" si="10"/>
        <v>9.5333333333333332</v>
      </c>
      <c r="E135" s="5">
        <v>242.95</v>
      </c>
      <c r="H135" s="18">
        <f t="shared" si="11"/>
        <v>572</v>
      </c>
      <c r="I135" t="b">
        <f t="shared" si="8"/>
        <v>1</v>
      </c>
      <c r="J135" s="4">
        <f t="shared" si="9"/>
        <v>-0.57526223776223784</v>
      </c>
      <c r="M135"/>
      <c r="P135">
        <v>0</v>
      </c>
      <c r="Q135">
        <v>0</v>
      </c>
    </row>
    <row r="136" spans="1:17" hidden="1">
      <c r="A136" t="s">
        <v>362</v>
      </c>
      <c r="B136" t="s">
        <v>363</v>
      </c>
      <c r="C136" s="27">
        <v>255</v>
      </c>
      <c r="D136" s="18">
        <f t="shared" si="10"/>
        <v>8.5</v>
      </c>
      <c r="E136" s="5">
        <v>0</v>
      </c>
      <c r="H136" s="18">
        <f t="shared" si="11"/>
        <v>510</v>
      </c>
      <c r="I136" t="b">
        <f t="shared" si="8"/>
        <v>1</v>
      </c>
      <c r="J136" s="4">
        <f t="shared" si="9"/>
        <v>-1</v>
      </c>
      <c r="M136"/>
      <c r="P136">
        <v>0</v>
      </c>
      <c r="Q136">
        <v>0</v>
      </c>
    </row>
    <row r="137" spans="1:17" hidden="1">
      <c r="A137" t="s">
        <v>648</v>
      </c>
      <c r="B137" t="s">
        <v>649</v>
      </c>
      <c r="C137" s="27">
        <v>2536</v>
      </c>
      <c r="D137" s="18">
        <f t="shared" si="10"/>
        <v>84.533333333333331</v>
      </c>
      <c r="E137" s="5">
        <v>3095.45</v>
      </c>
      <c r="H137" s="18">
        <f t="shared" si="11"/>
        <v>5072</v>
      </c>
      <c r="I137" t="b">
        <f t="shared" si="8"/>
        <v>1</v>
      </c>
      <c r="J137" s="4">
        <f t="shared" si="9"/>
        <v>-0.38969834384858049</v>
      </c>
      <c r="M137"/>
      <c r="P137">
        <v>0</v>
      </c>
      <c r="Q137">
        <v>0</v>
      </c>
    </row>
    <row r="138" spans="1:17" hidden="1">
      <c r="A138" t="s">
        <v>744</v>
      </c>
      <c r="B138" t="s">
        <v>745</v>
      </c>
      <c r="C138" s="27">
        <v>789</v>
      </c>
      <c r="D138" s="18">
        <f t="shared" si="10"/>
        <v>26.3</v>
      </c>
      <c r="E138" s="5">
        <v>882.03</v>
      </c>
      <c r="H138" s="18">
        <f t="shared" si="11"/>
        <v>1578</v>
      </c>
      <c r="I138" t="b">
        <f t="shared" si="8"/>
        <v>1</v>
      </c>
      <c r="J138" s="4">
        <f t="shared" si="9"/>
        <v>-0.44104562737642583</v>
      </c>
      <c r="M138"/>
      <c r="P138">
        <v>0</v>
      </c>
      <c r="Q138">
        <v>0</v>
      </c>
    </row>
    <row r="139" spans="1:17" hidden="1">
      <c r="A139" t="s">
        <v>468</v>
      </c>
      <c r="B139" t="s">
        <v>469</v>
      </c>
      <c r="C139" s="27">
        <v>0</v>
      </c>
      <c r="D139" s="18">
        <f t="shared" si="10"/>
        <v>0</v>
      </c>
      <c r="E139" s="5">
        <v>0</v>
      </c>
      <c r="H139" s="18">
        <f t="shared" si="11"/>
        <v>0</v>
      </c>
      <c r="I139" t="b">
        <f t="shared" si="8"/>
        <v>1</v>
      </c>
      <c r="J139" s="4" t="e">
        <f t="shared" si="9"/>
        <v>#DIV/0!</v>
      </c>
      <c r="M139"/>
      <c r="P139">
        <v>0</v>
      </c>
      <c r="Q139">
        <v>0</v>
      </c>
    </row>
    <row r="140" spans="1:17" hidden="1">
      <c r="A140" t="s">
        <v>582</v>
      </c>
      <c r="B140" t="s">
        <v>583</v>
      </c>
      <c r="C140" s="27">
        <v>1352</v>
      </c>
      <c r="D140" s="18">
        <f t="shared" si="10"/>
        <v>45.06666666666667</v>
      </c>
      <c r="E140" s="5">
        <v>1072.6300000000001</v>
      </c>
      <c r="H140" s="18">
        <f t="shared" si="11"/>
        <v>2704</v>
      </c>
      <c r="I140" t="b">
        <f t="shared" si="8"/>
        <v>1</v>
      </c>
      <c r="J140" s="4">
        <f t="shared" si="9"/>
        <v>-0.60331730769230763</v>
      </c>
      <c r="M140"/>
      <c r="O140" t="s">
        <v>401</v>
      </c>
      <c r="P140">
        <v>477</v>
      </c>
      <c r="Q140">
        <v>944.89</v>
      </c>
    </row>
    <row r="141" spans="1:17" hidden="1">
      <c r="A141" t="s">
        <v>538</v>
      </c>
      <c r="B141" t="s">
        <v>539</v>
      </c>
      <c r="C141" s="27">
        <v>716</v>
      </c>
      <c r="D141" s="18">
        <f t="shared" si="10"/>
        <v>23.866666666666667</v>
      </c>
      <c r="E141" s="5">
        <v>1318.46</v>
      </c>
      <c r="H141" s="18">
        <f t="shared" si="11"/>
        <v>1432</v>
      </c>
      <c r="I141" t="b">
        <f t="shared" si="8"/>
        <v>1</v>
      </c>
      <c r="J141" s="4">
        <f t="shared" si="9"/>
        <v>-7.9287709497206649E-2</v>
      </c>
      <c r="M141"/>
      <c r="O141" t="s">
        <v>59</v>
      </c>
      <c r="P141">
        <v>732</v>
      </c>
      <c r="Q141">
        <v>2164.04</v>
      </c>
    </row>
    <row r="142" spans="1:17" hidden="1">
      <c r="A142" t="s">
        <v>152</v>
      </c>
      <c r="B142" t="s">
        <v>153</v>
      </c>
      <c r="C142" s="27">
        <v>1674</v>
      </c>
      <c r="D142" s="18">
        <f t="shared" si="10"/>
        <v>55.8</v>
      </c>
      <c r="E142" s="5">
        <v>1076.8800000000001</v>
      </c>
      <c r="H142" s="18">
        <f t="shared" si="11"/>
        <v>3348</v>
      </c>
      <c r="I142" t="b">
        <f t="shared" si="8"/>
        <v>1</v>
      </c>
      <c r="J142" s="4">
        <f t="shared" si="9"/>
        <v>-0.67835125448028677</v>
      </c>
      <c r="M142"/>
      <c r="O142" t="s">
        <v>175</v>
      </c>
      <c r="P142">
        <v>807</v>
      </c>
      <c r="Q142">
        <v>1003.12</v>
      </c>
    </row>
    <row r="143" spans="1:17" hidden="1">
      <c r="A143" s="35" t="s">
        <v>122</v>
      </c>
      <c r="B143" s="35" t="s">
        <v>123</v>
      </c>
      <c r="C143" s="27">
        <v>309</v>
      </c>
      <c r="D143" s="18">
        <f t="shared" si="10"/>
        <v>10.3</v>
      </c>
      <c r="E143" s="5">
        <v>289.98</v>
      </c>
      <c r="H143" s="18">
        <f t="shared" si="11"/>
        <v>618</v>
      </c>
      <c r="I143" t="b">
        <f t="shared" si="8"/>
        <v>1</v>
      </c>
      <c r="J143" s="4">
        <f t="shared" si="9"/>
        <v>-0.53077669902912616</v>
      </c>
      <c r="M143"/>
      <c r="O143" t="s">
        <v>543</v>
      </c>
      <c r="P143">
        <v>1176</v>
      </c>
      <c r="Q143">
        <v>1389.04</v>
      </c>
    </row>
    <row r="144" spans="1:17" hidden="1">
      <c r="A144" s="38" t="s">
        <v>714</v>
      </c>
      <c r="B144" s="35" t="s">
        <v>715</v>
      </c>
      <c r="C144" s="27">
        <v>1065</v>
      </c>
      <c r="D144" s="18">
        <f t="shared" si="10"/>
        <v>35.5</v>
      </c>
      <c r="E144" s="5">
        <v>1817.06</v>
      </c>
      <c r="H144" s="18">
        <f t="shared" si="11"/>
        <v>2130</v>
      </c>
      <c r="I144" t="b">
        <f t="shared" si="8"/>
        <v>1</v>
      </c>
      <c r="J144" s="4">
        <f t="shared" si="9"/>
        <v>-0.1469201877934273</v>
      </c>
      <c r="M144"/>
      <c r="O144" t="s">
        <v>455</v>
      </c>
      <c r="P144">
        <v>485</v>
      </c>
      <c r="Q144">
        <v>1024.1400000000001</v>
      </c>
    </row>
    <row r="145" spans="1:17" hidden="1">
      <c r="A145" t="s">
        <v>188</v>
      </c>
      <c r="B145" t="s">
        <v>189</v>
      </c>
      <c r="C145" s="27">
        <v>76</v>
      </c>
      <c r="D145" s="18">
        <f t="shared" si="10"/>
        <v>2.5333333333333332</v>
      </c>
      <c r="E145" s="5">
        <v>119.78</v>
      </c>
      <c r="H145" s="18">
        <f t="shared" si="11"/>
        <v>152</v>
      </c>
      <c r="I145" t="b">
        <f t="shared" si="8"/>
        <v>1</v>
      </c>
      <c r="J145" s="4">
        <f t="shared" si="9"/>
        <v>-0.21197368421052631</v>
      </c>
      <c r="M145"/>
      <c r="O145" t="s">
        <v>848</v>
      </c>
      <c r="P145">
        <v>1603</v>
      </c>
      <c r="Q145">
        <v>2952.38</v>
      </c>
    </row>
    <row r="146" spans="1:17" hidden="1">
      <c r="A146" t="s">
        <v>220</v>
      </c>
      <c r="B146" t="s">
        <v>221</v>
      </c>
      <c r="C146" s="27">
        <v>1871</v>
      </c>
      <c r="D146" s="18">
        <f t="shared" si="10"/>
        <v>62.366666666666667</v>
      </c>
      <c r="E146" s="5">
        <v>1565.68</v>
      </c>
      <c r="H146" s="18">
        <f t="shared" si="11"/>
        <v>3742</v>
      </c>
      <c r="I146" t="b">
        <f t="shared" si="8"/>
        <v>1</v>
      </c>
      <c r="J146" s="4">
        <f t="shared" si="9"/>
        <v>-0.58159273115980759</v>
      </c>
      <c r="M146"/>
      <c r="O146" t="s">
        <v>806</v>
      </c>
      <c r="P146">
        <v>5633</v>
      </c>
      <c r="Q146">
        <v>3251.64</v>
      </c>
    </row>
    <row r="147" spans="1:17" hidden="1">
      <c r="A147" s="38" t="s">
        <v>536</v>
      </c>
      <c r="B147" s="35" t="s">
        <v>537</v>
      </c>
      <c r="C147" s="27">
        <v>413</v>
      </c>
      <c r="D147" s="18">
        <f t="shared" si="10"/>
        <v>13.766666666666667</v>
      </c>
      <c r="E147" s="5">
        <v>457.51</v>
      </c>
      <c r="H147" s="18">
        <f t="shared" si="11"/>
        <v>826</v>
      </c>
      <c r="I147" t="b">
        <f t="shared" si="8"/>
        <v>1</v>
      </c>
      <c r="J147" s="4">
        <f t="shared" si="9"/>
        <v>-0.44611380145278456</v>
      </c>
      <c r="M147"/>
      <c r="O147" t="s">
        <v>735</v>
      </c>
      <c r="P147">
        <v>3162</v>
      </c>
      <c r="Q147">
        <v>3743.79</v>
      </c>
    </row>
    <row r="148" spans="1:17" hidden="1">
      <c r="A148" t="s">
        <v>610</v>
      </c>
      <c r="B148" t="s">
        <v>611</v>
      </c>
      <c r="C148" s="27">
        <v>744</v>
      </c>
      <c r="D148" s="18">
        <f t="shared" si="10"/>
        <v>24.8</v>
      </c>
      <c r="E148" s="5">
        <v>730.1</v>
      </c>
      <c r="H148" s="18">
        <f t="shared" si="11"/>
        <v>1488</v>
      </c>
      <c r="I148" t="b">
        <f t="shared" si="8"/>
        <v>1</v>
      </c>
      <c r="J148" s="4">
        <f t="shared" si="9"/>
        <v>-0.50934139784946231</v>
      </c>
      <c r="M148"/>
      <c r="O148" t="s">
        <v>111</v>
      </c>
      <c r="P148">
        <v>1430</v>
      </c>
      <c r="Q148">
        <v>2394.31</v>
      </c>
    </row>
    <row r="149" spans="1:17" hidden="1">
      <c r="A149" t="s">
        <v>781</v>
      </c>
      <c r="B149" t="s">
        <v>782</v>
      </c>
      <c r="C149" s="27">
        <v>2942</v>
      </c>
      <c r="D149" s="18">
        <f t="shared" si="10"/>
        <v>98.066666666666663</v>
      </c>
      <c r="E149" s="5">
        <v>4452.76</v>
      </c>
      <c r="H149" s="18">
        <f t="shared" si="11"/>
        <v>5884</v>
      </c>
      <c r="I149" t="b">
        <f t="shared" si="8"/>
        <v>1</v>
      </c>
      <c r="J149" s="4">
        <f t="shared" si="9"/>
        <v>-0.24324269204622706</v>
      </c>
      <c r="M149"/>
      <c r="O149" t="s">
        <v>699</v>
      </c>
      <c r="P149">
        <v>751</v>
      </c>
      <c r="Q149">
        <v>53.21</v>
      </c>
    </row>
    <row r="150" spans="1:17" hidden="1">
      <c r="A150" t="s">
        <v>698</v>
      </c>
      <c r="B150" t="s">
        <v>699</v>
      </c>
      <c r="C150" s="27">
        <v>167</v>
      </c>
      <c r="D150" s="18">
        <f t="shared" si="10"/>
        <v>5.5666666666666664</v>
      </c>
      <c r="E150" s="5">
        <v>21.01</v>
      </c>
      <c r="H150" s="18">
        <f t="shared" si="11"/>
        <v>334</v>
      </c>
      <c r="I150" t="b">
        <f t="shared" si="8"/>
        <v>1</v>
      </c>
      <c r="J150" s="4">
        <f t="shared" si="9"/>
        <v>-0.93709580838323348</v>
      </c>
      <c r="M150"/>
      <c r="O150" t="s">
        <v>1597</v>
      </c>
      <c r="P150">
        <v>696</v>
      </c>
      <c r="Q150">
        <v>966.85</v>
      </c>
    </row>
    <row r="151" spans="1:17" hidden="1">
      <c r="A151" s="38" t="s">
        <v>380</v>
      </c>
      <c r="B151" s="35" t="s">
        <v>381</v>
      </c>
      <c r="C151" s="27">
        <v>1100</v>
      </c>
      <c r="D151" s="18">
        <f t="shared" si="10"/>
        <v>36.666666666666664</v>
      </c>
      <c r="E151" s="5">
        <v>1794.32</v>
      </c>
      <c r="H151" s="18">
        <f t="shared" si="11"/>
        <v>2200</v>
      </c>
      <c r="I151" t="b">
        <f t="shared" si="8"/>
        <v>1</v>
      </c>
      <c r="J151" s="4">
        <f t="shared" si="9"/>
        <v>-0.18440000000000001</v>
      </c>
      <c r="M151"/>
      <c r="O151" t="s">
        <v>587</v>
      </c>
      <c r="P151">
        <v>1272</v>
      </c>
      <c r="Q151">
        <v>2336.77</v>
      </c>
    </row>
    <row r="152" spans="1:17" hidden="1">
      <c r="A152" t="s">
        <v>160</v>
      </c>
      <c r="B152" t="s">
        <v>161</v>
      </c>
      <c r="C152" s="27">
        <v>860</v>
      </c>
      <c r="D152" s="18">
        <f t="shared" si="10"/>
        <v>28.666666666666668</v>
      </c>
      <c r="E152" s="5">
        <v>1445.77</v>
      </c>
      <c r="H152" s="18">
        <f t="shared" si="11"/>
        <v>1720</v>
      </c>
      <c r="I152" t="b">
        <f t="shared" si="8"/>
        <v>1</v>
      </c>
      <c r="J152" s="4">
        <f t="shared" si="9"/>
        <v>-0.1594360465116279</v>
      </c>
      <c r="M152"/>
      <c r="O152" t="s">
        <v>816</v>
      </c>
      <c r="P152">
        <v>924</v>
      </c>
      <c r="Q152">
        <v>1371.73</v>
      </c>
    </row>
    <row r="153" spans="1:17" hidden="1">
      <c r="A153" t="s">
        <v>656</v>
      </c>
      <c r="B153" t="s">
        <v>657</v>
      </c>
      <c r="C153" s="27">
        <v>0</v>
      </c>
      <c r="D153" s="18">
        <f t="shared" si="10"/>
        <v>0</v>
      </c>
      <c r="E153" s="5">
        <v>0</v>
      </c>
      <c r="H153" s="18">
        <f t="shared" si="11"/>
        <v>0</v>
      </c>
      <c r="I153" t="b">
        <f t="shared" si="8"/>
        <v>1</v>
      </c>
      <c r="J153" s="4" t="e">
        <f t="shared" si="9"/>
        <v>#DIV/0!</v>
      </c>
      <c r="M153"/>
      <c r="O153" t="s">
        <v>1619</v>
      </c>
      <c r="P153">
        <v>3</v>
      </c>
      <c r="Q153">
        <v>4.76</v>
      </c>
    </row>
    <row r="154" spans="1:17">
      <c r="A154" t="s">
        <v>286</v>
      </c>
      <c r="B154" t="s">
        <v>287</v>
      </c>
      <c r="C154" s="27">
        <v>121</v>
      </c>
      <c r="D154" s="18">
        <f t="shared" si="10"/>
        <v>4.0333333333333332</v>
      </c>
      <c r="E154" s="5">
        <v>389.35</v>
      </c>
      <c r="H154" s="18">
        <f t="shared" si="11"/>
        <v>242</v>
      </c>
      <c r="I154" t="b">
        <f t="shared" si="8"/>
        <v>0</v>
      </c>
      <c r="J154" s="4">
        <f t="shared" si="9"/>
        <v>0.6088842975206612</v>
      </c>
      <c r="M154"/>
      <c r="O154" t="s">
        <v>485</v>
      </c>
      <c r="P154">
        <v>654</v>
      </c>
      <c r="Q154">
        <v>1923.98</v>
      </c>
    </row>
    <row r="155" spans="1:17" hidden="1">
      <c r="A155" s="38" t="s">
        <v>298</v>
      </c>
      <c r="B155" s="35" t="s">
        <v>299</v>
      </c>
      <c r="C155" s="18">
        <v>160</v>
      </c>
      <c r="D155" s="18">
        <f t="shared" si="10"/>
        <v>5.333333333333333</v>
      </c>
      <c r="E155" s="5">
        <v>220.54</v>
      </c>
      <c r="H155" s="18">
        <f t="shared" si="11"/>
        <v>320</v>
      </c>
      <c r="I155" t="b">
        <f t="shared" si="8"/>
        <v>1</v>
      </c>
      <c r="J155" s="4">
        <f t="shared" si="9"/>
        <v>-0.31081250000000005</v>
      </c>
      <c r="M155"/>
      <c r="O155" t="s">
        <v>1591</v>
      </c>
      <c r="P155">
        <v>272</v>
      </c>
      <c r="Q155">
        <v>150.43</v>
      </c>
    </row>
    <row r="156" spans="1:17" hidden="1">
      <c r="A156" t="s">
        <v>180</v>
      </c>
      <c r="B156" t="s">
        <v>181</v>
      </c>
      <c r="C156" s="27">
        <v>336</v>
      </c>
      <c r="D156" s="18">
        <f t="shared" si="10"/>
        <v>11.2</v>
      </c>
      <c r="E156" s="5">
        <v>0</v>
      </c>
      <c r="H156" s="18">
        <f t="shared" si="11"/>
        <v>672</v>
      </c>
      <c r="I156" t="b">
        <f t="shared" si="8"/>
        <v>1</v>
      </c>
      <c r="J156" s="4">
        <f t="shared" si="9"/>
        <v>-1</v>
      </c>
      <c r="M156"/>
      <c r="O156" t="s">
        <v>1583</v>
      </c>
      <c r="P156">
        <v>8</v>
      </c>
      <c r="Q156">
        <v>0</v>
      </c>
    </row>
    <row r="157" spans="1:17" hidden="1">
      <c r="A157" t="s">
        <v>486</v>
      </c>
      <c r="B157" t="s">
        <v>487</v>
      </c>
      <c r="C157" s="27">
        <v>143</v>
      </c>
      <c r="D157" s="18">
        <f t="shared" si="10"/>
        <v>4.7666666666666666</v>
      </c>
      <c r="E157" s="5">
        <v>340.54</v>
      </c>
      <c r="H157" s="18">
        <f t="shared" si="11"/>
        <v>286</v>
      </c>
      <c r="I157" t="b">
        <f t="shared" si="8"/>
        <v>1</v>
      </c>
      <c r="J157" s="4">
        <f t="shared" si="9"/>
        <v>0.19069930069930074</v>
      </c>
      <c r="O157" t="s">
        <v>599</v>
      </c>
      <c r="P157">
        <v>460</v>
      </c>
      <c r="Q157">
        <v>0</v>
      </c>
    </row>
    <row r="158" spans="1:17" hidden="1">
      <c r="A158" t="s">
        <v>1773</v>
      </c>
      <c r="B158" t="s">
        <v>1603</v>
      </c>
      <c r="C158" s="27">
        <v>0</v>
      </c>
      <c r="D158" s="18">
        <f t="shared" si="10"/>
        <v>0</v>
      </c>
      <c r="E158" s="5">
        <v>0</v>
      </c>
      <c r="H158" s="18">
        <f t="shared" si="11"/>
        <v>0</v>
      </c>
      <c r="I158" t="b">
        <f t="shared" si="8"/>
        <v>1</v>
      </c>
      <c r="J158" s="4" t="e">
        <f t="shared" si="9"/>
        <v>#DIV/0!</v>
      </c>
      <c r="M158"/>
      <c r="O158" t="s">
        <v>195</v>
      </c>
      <c r="P158">
        <v>1605</v>
      </c>
      <c r="Q158">
        <v>3252.58</v>
      </c>
    </row>
    <row r="159" spans="1:17" hidden="1">
      <c r="A159" t="s">
        <v>438</v>
      </c>
      <c r="B159" t="s">
        <v>439</v>
      </c>
      <c r="C159" s="27">
        <v>152</v>
      </c>
      <c r="D159" s="18">
        <f t="shared" si="10"/>
        <v>5.0666666666666664</v>
      </c>
      <c r="E159" s="5">
        <v>4.37</v>
      </c>
      <c r="H159" s="18">
        <f t="shared" si="11"/>
        <v>304</v>
      </c>
      <c r="I159" t="b">
        <f t="shared" si="8"/>
        <v>1</v>
      </c>
      <c r="J159" s="4">
        <f t="shared" si="9"/>
        <v>-0.98562499999999997</v>
      </c>
      <c r="M159"/>
      <c r="O159" t="s">
        <v>311</v>
      </c>
      <c r="P159">
        <v>906</v>
      </c>
      <c r="Q159">
        <v>870.89</v>
      </c>
    </row>
    <row r="160" spans="1:17" hidden="1">
      <c r="A160" t="s">
        <v>598</v>
      </c>
      <c r="B160" t="s">
        <v>599</v>
      </c>
      <c r="C160" s="27">
        <v>36</v>
      </c>
      <c r="D160" s="18">
        <f t="shared" si="10"/>
        <v>1.2</v>
      </c>
      <c r="E160" s="5">
        <v>0</v>
      </c>
      <c r="H160" s="18">
        <f t="shared" si="11"/>
        <v>72</v>
      </c>
      <c r="I160" t="b">
        <f t="shared" si="8"/>
        <v>1</v>
      </c>
      <c r="J160" s="4">
        <f t="shared" si="9"/>
        <v>-1</v>
      </c>
      <c r="M160"/>
      <c r="O160" t="s">
        <v>1599</v>
      </c>
      <c r="P160">
        <v>2</v>
      </c>
      <c r="Q160">
        <v>5.22</v>
      </c>
    </row>
    <row r="161" spans="1:17" hidden="1">
      <c r="A161" t="s">
        <v>54</v>
      </c>
      <c r="B161" t="s">
        <v>55</v>
      </c>
      <c r="C161" s="27">
        <v>406</v>
      </c>
      <c r="D161" s="18">
        <f t="shared" si="10"/>
        <v>13.533333333333333</v>
      </c>
      <c r="E161" s="5">
        <v>758.45</v>
      </c>
      <c r="H161" s="18">
        <f t="shared" si="11"/>
        <v>812</v>
      </c>
      <c r="I161" t="b">
        <f t="shared" si="8"/>
        <v>1</v>
      </c>
      <c r="J161" s="4">
        <f t="shared" si="9"/>
        <v>-6.5948275862068861E-2</v>
      </c>
      <c r="O161" t="s">
        <v>673</v>
      </c>
      <c r="P161">
        <v>910</v>
      </c>
      <c r="Q161">
        <v>1227.83</v>
      </c>
    </row>
    <row r="162" spans="1:17">
      <c r="A162" t="s">
        <v>78</v>
      </c>
      <c r="B162" t="s">
        <v>79</v>
      </c>
      <c r="C162" s="27">
        <v>343</v>
      </c>
      <c r="D162" s="18">
        <f>C162/30</f>
        <v>11.433333333333334</v>
      </c>
      <c r="E162" s="5">
        <v>993.82</v>
      </c>
      <c r="H162" s="18">
        <f>IF((C162/30)&gt;100,C162*2,C162*2)</f>
        <v>686</v>
      </c>
      <c r="I162" t="b">
        <f>IF(E162&gt;1.2*H162,FALSE,TRUE)</f>
        <v>0</v>
      </c>
      <c r="J162" s="4">
        <f>E162/H162-1</f>
        <v>0.44871720116618086</v>
      </c>
      <c r="M162"/>
      <c r="O162" t="s">
        <v>1607</v>
      </c>
      <c r="P162">
        <v>401</v>
      </c>
      <c r="Q162">
        <v>371.16</v>
      </c>
    </row>
    <row r="163" spans="1:17" hidden="1">
      <c r="A163" t="s">
        <v>562</v>
      </c>
      <c r="B163" t="s">
        <v>563</v>
      </c>
      <c r="C163" s="27">
        <v>303</v>
      </c>
      <c r="D163" s="18">
        <f t="shared" si="10"/>
        <v>10.1</v>
      </c>
      <c r="E163" s="5">
        <v>604.80999999999995</v>
      </c>
      <c r="H163" s="18">
        <f t="shared" si="11"/>
        <v>606</v>
      </c>
      <c r="I163" t="b">
        <f t="shared" si="8"/>
        <v>1</v>
      </c>
      <c r="J163" s="4">
        <f t="shared" si="9"/>
        <v>-1.9636963696370024E-3</v>
      </c>
      <c r="M163"/>
      <c r="O163" t="s">
        <v>19</v>
      </c>
      <c r="P163">
        <v>2224</v>
      </c>
      <c r="Q163">
        <v>3393.97</v>
      </c>
    </row>
    <row r="164" spans="1:17" hidden="1">
      <c r="A164" t="s">
        <v>156</v>
      </c>
      <c r="B164" t="s">
        <v>157</v>
      </c>
      <c r="C164" s="27">
        <v>260</v>
      </c>
      <c r="D164" s="18">
        <f t="shared" si="10"/>
        <v>8.6666666666666661</v>
      </c>
      <c r="E164" s="5">
        <v>355</v>
      </c>
      <c r="H164" s="18">
        <f t="shared" si="11"/>
        <v>520</v>
      </c>
      <c r="I164" t="b">
        <f t="shared" si="8"/>
        <v>1</v>
      </c>
      <c r="J164" s="4">
        <f t="shared" si="9"/>
        <v>-0.31730769230769229</v>
      </c>
      <c r="O164" t="s">
        <v>687</v>
      </c>
      <c r="P164">
        <v>739</v>
      </c>
      <c r="Q164">
        <v>1714.51</v>
      </c>
    </row>
    <row r="165" spans="1:17" hidden="1">
      <c r="A165" s="38" t="s">
        <v>482</v>
      </c>
      <c r="B165" s="35" t="s">
        <v>483</v>
      </c>
      <c r="C165" s="27">
        <v>702</v>
      </c>
      <c r="D165" s="18">
        <f t="shared" si="10"/>
        <v>23.4</v>
      </c>
      <c r="E165" s="5">
        <v>932.2</v>
      </c>
      <c r="H165" s="18">
        <f t="shared" si="11"/>
        <v>1404</v>
      </c>
      <c r="I165" t="b">
        <f t="shared" si="8"/>
        <v>1</v>
      </c>
      <c r="J165" s="4">
        <f t="shared" si="9"/>
        <v>-0.33603988603988599</v>
      </c>
      <c r="M165"/>
      <c r="O165" t="s">
        <v>1602</v>
      </c>
      <c r="P165">
        <v>131</v>
      </c>
      <c r="Q165">
        <v>91.13</v>
      </c>
    </row>
    <row r="166" spans="1:17" hidden="1">
      <c r="A166" t="s">
        <v>402</v>
      </c>
      <c r="B166" t="s">
        <v>403</v>
      </c>
      <c r="C166" s="27">
        <v>1259</v>
      </c>
      <c r="D166" s="18">
        <f t="shared" si="10"/>
        <v>41.966666666666669</v>
      </c>
      <c r="E166" s="5">
        <v>2087.88</v>
      </c>
      <c r="H166" s="18">
        <f t="shared" si="11"/>
        <v>2518</v>
      </c>
      <c r="I166" t="b">
        <f t="shared" si="8"/>
        <v>1</v>
      </c>
      <c r="J166" s="4">
        <f t="shared" si="9"/>
        <v>-0.17081810961080213</v>
      </c>
      <c r="M166"/>
      <c r="O166" t="s">
        <v>563</v>
      </c>
      <c r="P166">
        <v>241</v>
      </c>
      <c r="Q166">
        <v>1011.31</v>
      </c>
    </row>
    <row r="167" spans="1:17" hidden="1">
      <c r="A167" t="s">
        <v>204</v>
      </c>
      <c r="B167" t="s">
        <v>205</v>
      </c>
      <c r="C167" s="27">
        <v>376</v>
      </c>
      <c r="D167" s="18">
        <f t="shared" si="10"/>
        <v>12.533333333333333</v>
      </c>
      <c r="E167" s="5">
        <v>412.38</v>
      </c>
      <c r="H167" s="18">
        <f t="shared" si="11"/>
        <v>752</v>
      </c>
      <c r="I167" t="b">
        <f t="shared" si="8"/>
        <v>1</v>
      </c>
      <c r="J167" s="4">
        <f t="shared" si="9"/>
        <v>-0.45162234042553195</v>
      </c>
      <c r="M167"/>
      <c r="O167" t="s">
        <v>784</v>
      </c>
      <c r="P167">
        <v>2823</v>
      </c>
      <c r="Q167">
        <v>3165.3</v>
      </c>
    </row>
    <row r="168" spans="1:17">
      <c r="A168" s="123" t="s">
        <v>226</v>
      </c>
      <c r="B168" s="35" t="s">
        <v>227</v>
      </c>
      <c r="C168" s="27">
        <v>240</v>
      </c>
      <c r="D168" s="18">
        <f t="shared" si="10"/>
        <v>8</v>
      </c>
      <c r="E168" s="5">
        <v>721.45</v>
      </c>
      <c r="H168" s="18">
        <f t="shared" si="11"/>
        <v>480</v>
      </c>
      <c r="I168" t="b">
        <f t="shared" si="8"/>
        <v>0</v>
      </c>
      <c r="J168" s="4">
        <f t="shared" si="9"/>
        <v>0.50302083333333347</v>
      </c>
      <c r="M168" s="108"/>
      <c r="O168" t="s">
        <v>493</v>
      </c>
      <c r="P168">
        <v>1428</v>
      </c>
      <c r="Q168">
        <v>2934.62</v>
      </c>
    </row>
    <row r="169" spans="1:17" hidden="1">
      <c r="A169" s="38" t="s">
        <v>632</v>
      </c>
      <c r="B169" s="35" t="s">
        <v>633</v>
      </c>
      <c r="C169" s="27">
        <v>764</v>
      </c>
      <c r="D169" s="18">
        <f t="shared" si="10"/>
        <v>25.466666666666665</v>
      </c>
      <c r="E169" s="5">
        <v>281.48</v>
      </c>
      <c r="H169" s="18">
        <f t="shared" si="11"/>
        <v>1528</v>
      </c>
      <c r="I169" t="b">
        <f t="shared" si="8"/>
        <v>1</v>
      </c>
      <c r="J169" s="4">
        <f t="shared" si="9"/>
        <v>-0.81578534031413608</v>
      </c>
      <c r="M169"/>
      <c r="O169" t="s">
        <v>181</v>
      </c>
      <c r="P169">
        <v>623</v>
      </c>
      <c r="Q169">
        <v>1035.93</v>
      </c>
    </row>
    <row r="170" spans="1:17" hidden="1">
      <c r="A170" s="38" t="s">
        <v>736</v>
      </c>
      <c r="B170" s="35" t="s">
        <v>737</v>
      </c>
      <c r="C170" s="27">
        <v>198</v>
      </c>
      <c r="D170" s="18">
        <f t="shared" si="10"/>
        <v>6.6</v>
      </c>
      <c r="E170" s="5">
        <v>38.85</v>
      </c>
      <c r="H170" s="18">
        <f t="shared" si="11"/>
        <v>396</v>
      </c>
      <c r="I170" t="b">
        <f t="shared" si="8"/>
        <v>1</v>
      </c>
      <c r="J170" s="4">
        <f t="shared" si="9"/>
        <v>-0.90189393939393936</v>
      </c>
      <c r="M170"/>
      <c r="O170" t="s">
        <v>405</v>
      </c>
      <c r="P170">
        <v>787</v>
      </c>
      <c r="Q170">
        <v>1703.07</v>
      </c>
    </row>
    <row r="171" spans="1:17" hidden="1">
      <c r="A171" s="122" t="s">
        <v>42</v>
      </c>
      <c r="B171" s="122" t="s">
        <v>43</v>
      </c>
      <c r="C171" s="27">
        <v>509</v>
      </c>
      <c r="D171" s="18">
        <f t="shared" si="10"/>
        <v>16.966666666666665</v>
      </c>
      <c r="E171" s="5">
        <v>817.05</v>
      </c>
      <c r="H171" s="18">
        <f t="shared" si="11"/>
        <v>1018</v>
      </c>
      <c r="I171" t="b">
        <f t="shared" si="8"/>
        <v>1</v>
      </c>
      <c r="J171" s="4">
        <f t="shared" si="9"/>
        <v>-0.1973968565815325</v>
      </c>
      <c r="M171"/>
      <c r="O171" t="s">
        <v>379</v>
      </c>
      <c r="P171">
        <v>626</v>
      </c>
      <c r="Q171">
        <v>1564.77</v>
      </c>
    </row>
    <row r="172" spans="1:17" hidden="1">
      <c r="A172" t="s">
        <v>120</v>
      </c>
      <c r="B172" t="s">
        <v>121</v>
      </c>
      <c r="C172" s="27">
        <v>607</v>
      </c>
      <c r="D172" s="18">
        <f t="shared" si="10"/>
        <v>20.233333333333334</v>
      </c>
      <c r="E172" s="5">
        <v>938.14</v>
      </c>
      <c r="H172" s="18">
        <f t="shared" si="11"/>
        <v>1214</v>
      </c>
      <c r="I172" t="b">
        <f t="shared" si="8"/>
        <v>1</v>
      </c>
      <c r="J172" s="4">
        <f t="shared" si="9"/>
        <v>-0.22723228995057665</v>
      </c>
      <c r="M172"/>
      <c r="O172" t="s">
        <v>611</v>
      </c>
      <c r="P172">
        <v>685</v>
      </c>
      <c r="Q172">
        <v>641.12</v>
      </c>
    </row>
    <row r="173" spans="1:17" hidden="1">
      <c r="A173" t="s">
        <v>1774</v>
      </c>
      <c r="B173" t="s">
        <v>1590</v>
      </c>
      <c r="C173" s="27">
        <v>0</v>
      </c>
      <c r="D173" s="18">
        <f t="shared" si="10"/>
        <v>0</v>
      </c>
      <c r="E173" s="5">
        <v>0</v>
      </c>
      <c r="H173" s="18">
        <f t="shared" si="11"/>
        <v>0</v>
      </c>
      <c r="I173" t="b">
        <f t="shared" si="8"/>
        <v>1</v>
      </c>
      <c r="J173" s="4" t="e">
        <f t="shared" si="9"/>
        <v>#DIV/0!</v>
      </c>
      <c r="M173"/>
      <c r="O173" t="s">
        <v>593</v>
      </c>
      <c r="P173">
        <v>1328</v>
      </c>
      <c r="Q173">
        <v>1448.98</v>
      </c>
    </row>
    <row r="174" spans="1:17" hidden="1">
      <c r="A174" t="s">
        <v>278</v>
      </c>
      <c r="B174" t="s">
        <v>279</v>
      </c>
      <c r="C174" s="27">
        <v>52</v>
      </c>
      <c r="D174" s="18">
        <f t="shared" si="10"/>
        <v>1.7333333333333334</v>
      </c>
      <c r="E174" s="5">
        <v>2.4300000000000002</v>
      </c>
      <c r="H174" s="18">
        <f t="shared" si="11"/>
        <v>104</v>
      </c>
      <c r="I174" t="b">
        <f t="shared" si="8"/>
        <v>1</v>
      </c>
      <c r="J174" s="4">
        <f t="shared" si="9"/>
        <v>-0.97663461538461538</v>
      </c>
      <c r="M174"/>
      <c r="O174" t="s">
        <v>719</v>
      </c>
      <c r="P174">
        <v>668</v>
      </c>
      <c r="Q174">
        <v>1066.51</v>
      </c>
    </row>
    <row r="175" spans="1:17">
      <c r="A175" s="123" t="s">
        <v>448</v>
      </c>
      <c r="B175" s="35" t="s">
        <v>449</v>
      </c>
      <c r="C175" s="27">
        <v>104</v>
      </c>
      <c r="D175" s="18">
        <f t="shared" si="10"/>
        <v>3.4666666666666668</v>
      </c>
      <c r="E175" s="5">
        <v>707.82</v>
      </c>
      <c r="H175" s="18">
        <f t="shared" si="11"/>
        <v>208</v>
      </c>
      <c r="I175" t="b">
        <f t="shared" si="8"/>
        <v>0</v>
      </c>
      <c r="J175" s="4">
        <f t="shared" si="9"/>
        <v>2.4029807692307696</v>
      </c>
      <c r="M175"/>
      <c r="O175" t="s">
        <v>1689</v>
      </c>
      <c r="P175">
        <v>1509</v>
      </c>
      <c r="Q175">
        <v>1951.13</v>
      </c>
    </row>
    <row r="176" spans="1:17" hidden="1">
      <c r="A176" s="123" t="s">
        <v>604</v>
      </c>
      <c r="B176" s="35" t="s">
        <v>605</v>
      </c>
      <c r="C176" s="27">
        <v>1078</v>
      </c>
      <c r="D176" s="18">
        <f t="shared" si="10"/>
        <v>35.93333333333333</v>
      </c>
      <c r="E176" s="5">
        <v>1869.26</v>
      </c>
      <c r="H176" s="18">
        <f t="shared" si="11"/>
        <v>2156</v>
      </c>
      <c r="I176" t="b">
        <f t="shared" si="8"/>
        <v>1</v>
      </c>
      <c r="J176" s="4">
        <f t="shared" si="9"/>
        <v>-0.13299628942486086</v>
      </c>
      <c r="M176"/>
      <c r="O176" t="s">
        <v>727</v>
      </c>
      <c r="P176">
        <v>3022</v>
      </c>
      <c r="Q176">
        <v>5124.5200000000004</v>
      </c>
    </row>
    <row r="177" spans="1:17">
      <c r="A177" t="s">
        <v>488</v>
      </c>
      <c r="B177" t="s">
        <v>489</v>
      </c>
      <c r="C177" s="27">
        <v>54</v>
      </c>
      <c r="D177" s="18">
        <f t="shared" si="10"/>
        <v>1.8</v>
      </c>
      <c r="E177" s="5">
        <v>227.08</v>
      </c>
      <c r="H177" s="18">
        <f t="shared" si="11"/>
        <v>108</v>
      </c>
      <c r="I177" t="b">
        <f t="shared" si="8"/>
        <v>0</v>
      </c>
      <c r="J177" s="4">
        <f t="shared" si="9"/>
        <v>1.1025925925925928</v>
      </c>
      <c r="M177"/>
      <c r="O177" t="s">
        <v>445</v>
      </c>
      <c r="P177">
        <v>1145</v>
      </c>
      <c r="Q177">
        <v>1818.18</v>
      </c>
    </row>
    <row r="178" spans="1:17" hidden="1">
      <c r="A178" t="s">
        <v>734</v>
      </c>
      <c r="B178" t="s">
        <v>735</v>
      </c>
      <c r="C178" s="27">
        <v>2357</v>
      </c>
      <c r="D178" s="18">
        <f t="shared" si="10"/>
        <v>78.566666666666663</v>
      </c>
      <c r="E178" s="5">
        <v>1910.73</v>
      </c>
      <c r="H178" s="18">
        <f t="shared" si="11"/>
        <v>4714</v>
      </c>
      <c r="I178" t="b">
        <f t="shared" si="8"/>
        <v>1</v>
      </c>
      <c r="J178" s="4">
        <f t="shared" si="9"/>
        <v>-0.59466907085277887</v>
      </c>
      <c r="M178"/>
      <c r="O178" t="s">
        <v>107</v>
      </c>
      <c r="P178">
        <v>1394</v>
      </c>
      <c r="Q178">
        <v>1861.92</v>
      </c>
    </row>
    <row r="179" spans="1:17" hidden="1">
      <c r="A179" t="s">
        <v>672</v>
      </c>
      <c r="B179" t="s">
        <v>673</v>
      </c>
      <c r="C179" s="27">
        <v>1393</v>
      </c>
      <c r="D179" s="18">
        <f t="shared" si="10"/>
        <v>46.43333333333333</v>
      </c>
      <c r="E179" s="5">
        <v>1937.17</v>
      </c>
      <c r="H179" s="18">
        <f t="shared" si="11"/>
        <v>2786</v>
      </c>
      <c r="I179" t="b">
        <f t="shared" si="8"/>
        <v>1</v>
      </c>
      <c r="J179" s="4">
        <f t="shared" si="9"/>
        <v>-0.30467695620961954</v>
      </c>
      <c r="M179"/>
      <c r="O179" t="s">
        <v>886</v>
      </c>
      <c r="P179">
        <v>33472</v>
      </c>
      <c r="Q179">
        <v>35816.089999999997</v>
      </c>
    </row>
    <row r="180" spans="1:17">
      <c r="A180" t="s">
        <v>444</v>
      </c>
      <c r="B180" t="s">
        <v>445</v>
      </c>
      <c r="C180" s="27">
        <v>406</v>
      </c>
      <c r="D180" s="18">
        <f t="shared" si="10"/>
        <v>13.533333333333333</v>
      </c>
      <c r="E180" s="5">
        <v>1023.78</v>
      </c>
      <c r="H180" s="18">
        <f t="shared" si="11"/>
        <v>812</v>
      </c>
      <c r="I180" t="b">
        <f t="shared" si="8"/>
        <v>0</v>
      </c>
      <c r="J180" s="4">
        <f t="shared" si="9"/>
        <v>0.2608128078817733</v>
      </c>
      <c r="M180"/>
      <c r="O180" t="s">
        <v>291</v>
      </c>
      <c r="P180">
        <v>1079</v>
      </c>
      <c r="Q180">
        <v>1820.14</v>
      </c>
    </row>
    <row r="181" spans="1:17" hidden="1">
      <c r="A181" t="s">
        <v>738</v>
      </c>
      <c r="B181" t="s">
        <v>739</v>
      </c>
      <c r="C181" s="27">
        <v>1351</v>
      </c>
      <c r="D181" s="18">
        <f t="shared" si="10"/>
        <v>45.033333333333331</v>
      </c>
      <c r="E181" s="5">
        <v>1837.16</v>
      </c>
      <c r="H181" s="18">
        <f t="shared" si="11"/>
        <v>2702</v>
      </c>
      <c r="I181" t="b">
        <f t="shared" si="8"/>
        <v>1</v>
      </c>
      <c r="J181" s="4">
        <f>E181/H181-1</f>
        <v>-0.32007401924500367</v>
      </c>
      <c r="M181"/>
      <c r="O181" t="s">
        <v>33</v>
      </c>
      <c r="P181">
        <v>1417</v>
      </c>
      <c r="Q181">
        <v>2743.68</v>
      </c>
    </row>
    <row r="182" spans="1:17" hidden="1">
      <c r="A182" t="s">
        <v>300</v>
      </c>
      <c r="B182" t="s">
        <v>301</v>
      </c>
      <c r="C182" s="27">
        <v>26</v>
      </c>
      <c r="D182" s="18">
        <f t="shared" si="10"/>
        <v>0.8666666666666667</v>
      </c>
      <c r="E182" s="5">
        <v>2.42</v>
      </c>
      <c r="H182" s="18">
        <f t="shared" si="11"/>
        <v>52</v>
      </c>
      <c r="I182" t="b">
        <f t="shared" si="8"/>
        <v>1</v>
      </c>
      <c r="J182" s="4">
        <f t="shared" si="9"/>
        <v>-0.95346153846153847</v>
      </c>
      <c r="M182"/>
      <c r="O182" t="s">
        <v>327</v>
      </c>
      <c r="P182">
        <v>834</v>
      </c>
      <c r="Q182">
        <v>558.63</v>
      </c>
    </row>
    <row r="183" spans="1:17" hidden="1">
      <c r="A183" t="s">
        <v>260</v>
      </c>
      <c r="B183" t="s">
        <v>261</v>
      </c>
      <c r="C183" s="27">
        <v>131</v>
      </c>
      <c r="D183" s="18">
        <f t="shared" si="10"/>
        <v>4.3666666666666663</v>
      </c>
      <c r="E183" s="5">
        <v>135.21</v>
      </c>
      <c r="H183" s="18">
        <f t="shared" si="11"/>
        <v>262</v>
      </c>
      <c r="I183" t="b">
        <f t="shared" si="8"/>
        <v>1</v>
      </c>
      <c r="J183" s="4">
        <f t="shared" si="9"/>
        <v>-0.4839312977099236</v>
      </c>
      <c r="O183" t="s">
        <v>800</v>
      </c>
      <c r="P183">
        <v>1625</v>
      </c>
      <c r="Q183">
        <v>2545.71</v>
      </c>
    </row>
    <row r="184" spans="1:17" hidden="1">
      <c r="A184" t="s">
        <v>352</v>
      </c>
      <c r="B184" t="s">
        <v>353</v>
      </c>
      <c r="C184" s="27">
        <v>303</v>
      </c>
      <c r="D184" s="18">
        <f t="shared" si="10"/>
        <v>10.1</v>
      </c>
      <c r="E184" s="5">
        <v>0</v>
      </c>
      <c r="H184" s="18">
        <f t="shared" si="11"/>
        <v>606</v>
      </c>
      <c r="I184" t="b">
        <f t="shared" si="8"/>
        <v>1</v>
      </c>
      <c r="J184" s="4">
        <f t="shared" si="9"/>
        <v>-1</v>
      </c>
      <c r="M184"/>
      <c r="O184" t="s">
        <v>71</v>
      </c>
      <c r="P184">
        <v>1102</v>
      </c>
      <c r="Q184">
        <v>2842.03</v>
      </c>
    </row>
    <row r="185" spans="1:17" hidden="1">
      <c r="A185" s="123" t="s">
        <v>855</v>
      </c>
      <c r="B185" s="35" t="s">
        <v>856</v>
      </c>
      <c r="C185" s="27">
        <v>2475</v>
      </c>
      <c r="D185" s="18">
        <f t="shared" si="10"/>
        <v>82.5</v>
      </c>
      <c r="E185" s="5">
        <v>3219.59</v>
      </c>
      <c r="H185" s="18">
        <f t="shared" si="11"/>
        <v>4950</v>
      </c>
      <c r="I185" t="b">
        <f t="shared" si="8"/>
        <v>1</v>
      </c>
      <c r="J185" s="4">
        <f t="shared" si="9"/>
        <v>-0.34957777777777777</v>
      </c>
      <c r="M185"/>
      <c r="O185" t="s">
        <v>631</v>
      </c>
      <c r="P185">
        <v>2369</v>
      </c>
      <c r="Q185">
        <v>4283</v>
      </c>
    </row>
    <row r="186" spans="1:17" hidden="1">
      <c r="A186" s="123" t="s">
        <v>550</v>
      </c>
      <c r="B186" s="35" t="s">
        <v>551</v>
      </c>
      <c r="C186" s="27">
        <v>640</v>
      </c>
      <c r="D186" s="18">
        <f t="shared" si="10"/>
        <v>21.333333333333332</v>
      </c>
      <c r="E186" s="5">
        <v>1042.71</v>
      </c>
      <c r="H186" s="18">
        <f t="shared" si="11"/>
        <v>1280</v>
      </c>
      <c r="I186" t="b">
        <f t="shared" si="8"/>
        <v>1</v>
      </c>
      <c r="J186" s="4">
        <f t="shared" si="9"/>
        <v>-0.18538281249999999</v>
      </c>
      <c r="M186"/>
      <c r="O186" t="s">
        <v>233</v>
      </c>
      <c r="P186">
        <v>399</v>
      </c>
      <c r="Q186">
        <v>1084.67</v>
      </c>
    </row>
    <row r="187" spans="1:17" hidden="1">
      <c r="A187" s="38" t="s">
        <v>722</v>
      </c>
      <c r="B187" s="35" t="s">
        <v>723</v>
      </c>
      <c r="C187" s="27">
        <v>1713</v>
      </c>
      <c r="D187" s="18">
        <f t="shared" si="10"/>
        <v>57.1</v>
      </c>
      <c r="E187" s="5">
        <v>3315.32</v>
      </c>
      <c r="H187" s="18">
        <f t="shared" si="11"/>
        <v>3426</v>
      </c>
      <c r="I187" t="b">
        <f t="shared" si="8"/>
        <v>1</v>
      </c>
      <c r="J187" s="4">
        <f t="shared" si="9"/>
        <v>-3.2305896088733133E-2</v>
      </c>
      <c r="M187"/>
      <c r="O187" t="s">
        <v>759</v>
      </c>
      <c r="P187">
        <v>2274</v>
      </c>
      <c r="Q187">
        <v>2660.71</v>
      </c>
    </row>
    <row r="188" spans="1:17" hidden="1">
      <c r="A188" t="s">
        <v>1775</v>
      </c>
      <c r="B188" t="s">
        <v>1618</v>
      </c>
      <c r="C188" s="27">
        <v>0</v>
      </c>
      <c r="D188" s="18">
        <f t="shared" si="10"/>
        <v>0</v>
      </c>
      <c r="E188" s="5">
        <v>0</v>
      </c>
      <c r="H188" s="18">
        <f t="shared" si="11"/>
        <v>0</v>
      </c>
      <c r="I188" t="b">
        <f t="shared" si="8"/>
        <v>1</v>
      </c>
      <c r="J188" s="4" t="e">
        <f t="shared" si="9"/>
        <v>#DIV/0!</v>
      </c>
      <c r="M188"/>
      <c r="O188" t="s">
        <v>229</v>
      </c>
      <c r="P188">
        <v>15</v>
      </c>
      <c r="Q188">
        <v>6.29</v>
      </c>
    </row>
    <row r="189" spans="1:17" hidden="1">
      <c r="A189" t="s">
        <v>404</v>
      </c>
      <c r="B189" t="s">
        <v>405</v>
      </c>
      <c r="C189" s="27">
        <v>706</v>
      </c>
      <c r="D189" s="18">
        <f t="shared" si="10"/>
        <v>23.533333333333335</v>
      </c>
      <c r="E189" s="5">
        <v>968.48</v>
      </c>
      <c r="H189" s="18">
        <f t="shared" si="11"/>
        <v>1412</v>
      </c>
      <c r="I189" t="b">
        <f t="shared" ref="I189:I246" si="12">IF(E189&gt;1.2*H189,FALSE,TRUE)</f>
        <v>1</v>
      </c>
      <c r="J189" s="4">
        <f t="shared" ref="J189:J246" si="13">E189/H189-1</f>
        <v>-0.31410764872521246</v>
      </c>
      <c r="M189"/>
      <c r="O189" t="s">
        <v>665</v>
      </c>
      <c r="P189">
        <v>1363</v>
      </c>
      <c r="Q189">
        <v>2351.85</v>
      </c>
    </row>
    <row r="190" spans="1:17" hidden="1">
      <c r="A190" t="s">
        <v>392</v>
      </c>
      <c r="B190" t="s">
        <v>393</v>
      </c>
      <c r="C190" s="27">
        <v>893</v>
      </c>
      <c r="D190" s="18">
        <f t="shared" si="10"/>
        <v>29.766666666666666</v>
      </c>
      <c r="E190" s="5">
        <v>1190.75</v>
      </c>
      <c r="H190" s="18">
        <f t="shared" si="11"/>
        <v>1786</v>
      </c>
      <c r="I190" t="b">
        <f t="shared" si="12"/>
        <v>1</v>
      </c>
      <c r="J190" s="4">
        <f t="shared" si="13"/>
        <v>-0.33328667413213886</v>
      </c>
      <c r="M190"/>
      <c r="O190" t="s">
        <v>713</v>
      </c>
      <c r="P190">
        <v>3262</v>
      </c>
      <c r="Q190">
        <v>5310.92</v>
      </c>
    </row>
    <row r="191" spans="1:17" hidden="1">
      <c r="A191" t="s">
        <v>446</v>
      </c>
      <c r="B191" t="s">
        <v>447</v>
      </c>
      <c r="C191" s="27">
        <v>63</v>
      </c>
      <c r="D191" s="18">
        <f t="shared" si="10"/>
        <v>2.1</v>
      </c>
      <c r="E191" s="5">
        <v>0</v>
      </c>
      <c r="H191" s="18">
        <f t="shared" si="11"/>
        <v>126</v>
      </c>
      <c r="I191" t="b">
        <f t="shared" si="12"/>
        <v>1</v>
      </c>
      <c r="J191" s="4">
        <f t="shared" si="13"/>
        <v>-1</v>
      </c>
      <c r="M191"/>
      <c r="O191" t="s">
        <v>583</v>
      </c>
      <c r="P191">
        <v>1048</v>
      </c>
      <c r="Q191">
        <v>1891.9</v>
      </c>
    </row>
    <row r="192" spans="1:17" hidden="1">
      <c r="A192" t="s">
        <v>432</v>
      </c>
      <c r="B192" t="s">
        <v>433</v>
      </c>
      <c r="C192" s="27">
        <v>190</v>
      </c>
      <c r="D192" s="18">
        <f t="shared" si="10"/>
        <v>6.333333333333333</v>
      </c>
      <c r="E192" s="5">
        <v>0</v>
      </c>
      <c r="H192" s="18">
        <f t="shared" si="11"/>
        <v>380</v>
      </c>
      <c r="I192" t="b">
        <f t="shared" si="12"/>
        <v>1</v>
      </c>
      <c r="J192" s="4">
        <f t="shared" si="13"/>
        <v>-1</v>
      </c>
      <c r="M192"/>
      <c r="O192" t="s">
        <v>515</v>
      </c>
      <c r="P192">
        <v>1647</v>
      </c>
      <c r="Q192">
        <v>2183.27</v>
      </c>
    </row>
    <row r="193" spans="1:17" hidden="1">
      <c r="A193" t="s">
        <v>456</v>
      </c>
      <c r="B193" t="s">
        <v>457</v>
      </c>
      <c r="C193" s="27">
        <v>1126</v>
      </c>
      <c r="D193" s="18">
        <f t="shared" si="10"/>
        <v>37.533333333333331</v>
      </c>
      <c r="E193" s="5">
        <v>1491.89</v>
      </c>
      <c r="H193" s="18">
        <f t="shared" si="11"/>
        <v>2252</v>
      </c>
      <c r="I193" t="b">
        <f t="shared" si="12"/>
        <v>1</v>
      </c>
      <c r="J193" s="4">
        <f t="shared" si="13"/>
        <v>-0.33752664298401414</v>
      </c>
      <c r="M193"/>
      <c r="O193" t="s">
        <v>105</v>
      </c>
      <c r="P193">
        <v>704</v>
      </c>
      <c r="Q193">
        <v>1247.75</v>
      </c>
    </row>
    <row r="194" spans="1:17" hidden="1">
      <c r="A194" s="38" t="s">
        <v>96</v>
      </c>
      <c r="B194" s="35" t="s">
        <v>97</v>
      </c>
      <c r="C194" s="18">
        <v>790</v>
      </c>
      <c r="D194" s="18">
        <f t="shared" si="10"/>
        <v>26.333333333333332</v>
      </c>
      <c r="E194" s="5">
        <v>1492.59</v>
      </c>
      <c r="H194" s="18">
        <f t="shared" si="11"/>
        <v>1580</v>
      </c>
      <c r="I194" t="b">
        <f t="shared" si="12"/>
        <v>1</v>
      </c>
      <c r="J194" s="4">
        <f t="shared" si="13"/>
        <v>-5.5322784810126646E-2</v>
      </c>
      <c r="M194"/>
      <c r="O194" t="s">
        <v>743</v>
      </c>
      <c r="P194">
        <v>1322</v>
      </c>
      <c r="Q194">
        <v>3434.74</v>
      </c>
    </row>
    <row r="195" spans="1:17" hidden="1">
      <c r="A195" t="s">
        <v>851</v>
      </c>
      <c r="B195" t="s">
        <v>852</v>
      </c>
      <c r="C195" s="27">
        <v>2746</v>
      </c>
      <c r="D195" s="18">
        <f t="shared" ref="D195:D258" si="14">C195/30</f>
        <v>91.533333333333331</v>
      </c>
      <c r="E195" s="5">
        <v>1065.21</v>
      </c>
      <c r="H195" s="18">
        <f t="shared" ref="H195:H258" si="15">IF((C195/30)&gt;100,C195*2,C195*2)</f>
        <v>5492</v>
      </c>
      <c r="I195" t="b">
        <f t="shared" si="12"/>
        <v>1</v>
      </c>
      <c r="J195" s="4">
        <f t="shared" si="13"/>
        <v>-0.80604333576110709</v>
      </c>
      <c r="M195"/>
      <c r="O195" t="s">
        <v>219</v>
      </c>
      <c r="P195">
        <v>1858</v>
      </c>
      <c r="Q195">
        <v>2426.17</v>
      </c>
    </row>
    <row r="196" spans="1:17" hidden="1">
      <c r="A196" t="s">
        <v>184</v>
      </c>
      <c r="B196" t="s">
        <v>185</v>
      </c>
      <c r="C196" s="27">
        <v>567</v>
      </c>
      <c r="D196" s="18">
        <f t="shared" si="14"/>
        <v>18.899999999999999</v>
      </c>
      <c r="E196" s="5">
        <v>674.03</v>
      </c>
      <c r="H196" s="18">
        <f t="shared" si="15"/>
        <v>1134</v>
      </c>
      <c r="I196" t="b">
        <f t="shared" si="12"/>
        <v>1</v>
      </c>
      <c r="J196" s="4">
        <f t="shared" si="13"/>
        <v>-0.40561728395061736</v>
      </c>
      <c r="M196"/>
      <c r="O196" t="s">
        <v>840</v>
      </c>
      <c r="P196">
        <v>1829</v>
      </c>
      <c r="Q196">
        <v>3966.6</v>
      </c>
    </row>
    <row r="197" spans="1:17">
      <c r="A197" s="38" t="s">
        <v>452</v>
      </c>
      <c r="B197" s="35" t="s">
        <v>453</v>
      </c>
      <c r="C197" s="18">
        <v>1</v>
      </c>
      <c r="D197" s="18">
        <f t="shared" si="14"/>
        <v>3.3333333333333333E-2</v>
      </c>
      <c r="E197" s="5">
        <v>2.6</v>
      </c>
      <c r="H197" s="18">
        <f t="shared" si="15"/>
        <v>2</v>
      </c>
      <c r="I197" t="b">
        <f t="shared" si="12"/>
        <v>0</v>
      </c>
      <c r="J197" s="4">
        <f t="shared" si="13"/>
        <v>0.30000000000000004</v>
      </c>
      <c r="O197" t="s">
        <v>255</v>
      </c>
      <c r="P197">
        <v>1488</v>
      </c>
      <c r="Q197">
        <v>1258.69</v>
      </c>
    </row>
    <row r="198" spans="1:17" hidden="1">
      <c r="A198" t="s">
        <v>358</v>
      </c>
      <c r="B198" t="s">
        <v>359</v>
      </c>
      <c r="C198" s="27">
        <v>43</v>
      </c>
      <c r="D198" s="18">
        <f t="shared" si="14"/>
        <v>1.4333333333333333</v>
      </c>
      <c r="E198" s="5">
        <v>1.1200000000000001</v>
      </c>
      <c r="H198" s="18">
        <f t="shared" si="15"/>
        <v>86</v>
      </c>
      <c r="I198" t="b">
        <f t="shared" si="12"/>
        <v>1</v>
      </c>
      <c r="J198" s="4">
        <f t="shared" si="13"/>
        <v>-0.98697674418604653</v>
      </c>
      <c r="M198"/>
      <c r="O198" t="s">
        <v>729</v>
      </c>
      <c r="P198">
        <v>4708</v>
      </c>
      <c r="Q198">
        <v>8799.1</v>
      </c>
    </row>
    <row r="199" spans="1:17" hidden="1">
      <c r="A199" t="s">
        <v>228</v>
      </c>
      <c r="B199" t="s">
        <v>229</v>
      </c>
      <c r="C199" s="27">
        <v>662</v>
      </c>
      <c r="D199" s="18">
        <f t="shared" si="14"/>
        <v>22.066666666666666</v>
      </c>
      <c r="E199" s="5">
        <v>1229.4100000000001</v>
      </c>
      <c r="H199" s="18">
        <f t="shared" si="15"/>
        <v>1324</v>
      </c>
      <c r="I199" t="b">
        <f t="shared" si="12"/>
        <v>1</v>
      </c>
      <c r="J199" s="4">
        <f t="shared" si="13"/>
        <v>-7.1442598187311135E-2</v>
      </c>
      <c r="M199"/>
      <c r="O199" t="s">
        <v>679</v>
      </c>
      <c r="P199">
        <v>1863</v>
      </c>
      <c r="Q199">
        <v>2162.81</v>
      </c>
    </row>
    <row r="200" spans="1:17" hidden="1">
      <c r="A200" s="38" t="s">
        <v>288</v>
      </c>
      <c r="B200" s="35" t="s">
        <v>289</v>
      </c>
      <c r="C200" s="18">
        <v>285</v>
      </c>
      <c r="D200" s="18">
        <f t="shared" si="14"/>
        <v>9.5</v>
      </c>
      <c r="E200" s="5">
        <v>352.04999999999995</v>
      </c>
      <c r="H200" s="18">
        <f t="shared" si="15"/>
        <v>570</v>
      </c>
      <c r="I200" t="b">
        <f t="shared" si="12"/>
        <v>1</v>
      </c>
      <c r="J200" s="4">
        <f t="shared" si="13"/>
        <v>-0.38236842105263169</v>
      </c>
      <c r="M200"/>
      <c r="O200" t="s">
        <v>461</v>
      </c>
      <c r="P200">
        <v>872</v>
      </c>
      <c r="Q200">
        <v>1214.8699999999999</v>
      </c>
    </row>
    <row r="201" spans="1:17" hidden="1">
      <c r="A201" t="s">
        <v>248</v>
      </c>
      <c r="B201" t="s">
        <v>249</v>
      </c>
      <c r="C201" s="27">
        <v>73</v>
      </c>
      <c r="D201" s="18">
        <f t="shared" si="14"/>
        <v>2.4333333333333331</v>
      </c>
      <c r="E201" s="5">
        <v>0.9</v>
      </c>
      <c r="H201" s="18">
        <f t="shared" si="15"/>
        <v>146</v>
      </c>
      <c r="I201" t="b">
        <f t="shared" si="12"/>
        <v>1</v>
      </c>
      <c r="J201" s="4">
        <f t="shared" si="13"/>
        <v>-0.99383561643835616</v>
      </c>
      <c r="M201"/>
      <c r="O201" t="s">
        <v>667</v>
      </c>
      <c r="P201">
        <v>881</v>
      </c>
      <c r="Q201">
        <v>1652.3</v>
      </c>
    </row>
    <row r="202" spans="1:17" ht="14.25" hidden="1" customHeight="1">
      <c r="A202" t="s">
        <v>831</v>
      </c>
      <c r="B202" t="s">
        <v>832</v>
      </c>
      <c r="C202" s="27">
        <v>5476</v>
      </c>
      <c r="D202" s="18">
        <f t="shared" si="14"/>
        <v>182.53333333333333</v>
      </c>
      <c r="E202" s="5">
        <v>4344.22</v>
      </c>
      <c r="H202" s="18">
        <f t="shared" si="15"/>
        <v>10952</v>
      </c>
      <c r="I202" t="b">
        <f t="shared" si="12"/>
        <v>1</v>
      </c>
      <c r="J202" s="4">
        <f t="shared" si="13"/>
        <v>-0.60334002921840757</v>
      </c>
      <c r="M202"/>
      <c r="O202" t="s">
        <v>649</v>
      </c>
      <c r="P202">
        <v>1829</v>
      </c>
      <c r="Q202">
        <v>4095.28</v>
      </c>
    </row>
    <row r="203" spans="1:17" hidden="1">
      <c r="A203" t="s">
        <v>338</v>
      </c>
      <c r="B203" t="s">
        <v>339</v>
      </c>
      <c r="C203" s="27">
        <v>286</v>
      </c>
      <c r="D203" s="18">
        <f t="shared" si="14"/>
        <v>9.5333333333333332</v>
      </c>
      <c r="E203" s="5">
        <v>283.83</v>
      </c>
      <c r="H203" s="18">
        <f t="shared" si="15"/>
        <v>572</v>
      </c>
      <c r="I203" t="b">
        <f t="shared" si="12"/>
        <v>1</v>
      </c>
      <c r="J203" s="4">
        <f t="shared" si="13"/>
        <v>-0.50379370629370634</v>
      </c>
      <c r="M203"/>
      <c r="O203" t="s">
        <v>1613</v>
      </c>
      <c r="P203">
        <v>0</v>
      </c>
      <c r="Q203">
        <v>0</v>
      </c>
    </row>
    <row r="204" spans="1:17" hidden="1">
      <c r="A204" t="s">
        <v>234</v>
      </c>
      <c r="B204" t="s">
        <v>235</v>
      </c>
      <c r="C204" s="27">
        <v>86</v>
      </c>
      <c r="D204" s="18">
        <f t="shared" si="14"/>
        <v>2.8666666666666667</v>
      </c>
      <c r="E204" s="5">
        <v>0</v>
      </c>
      <c r="H204" s="18">
        <f t="shared" si="15"/>
        <v>172</v>
      </c>
      <c r="I204" t="b">
        <f t="shared" si="12"/>
        <v>1</v>
      </c>
      <c r="J204" s="4">
        <f t="shared" si="13"/>
        <v>-1</v>
      </c>
      <c r="M204"/>
      <c r="O204" t="s">
        <v>862</v>
      </c>
      <c r="P204">
        <v>3661</v>
      </c>
      <c r="Q204">
        <v>7728.05</v>
      </c>
    </row>
    <row r="205" spans="1:17">
      <c r="A205" s="122" t="s">
        <v>410</v>
      </c>
      <c r="B205" s="35" t="s">
        <v>411</v>
      </c>
      <c r="C205" s="27">
        <v>143</v>
      </c>
      <c r="D205" s="18">
        <f t="shared" si="14"/>
        <v>4.7666666666666666</v>
      </c>
      <c r="E205" s="5">
        <v>398.4</v>
      </c>
      <c r="H205" s="18">
        <f t="shared" si="15"/>
        <v>286</v>
      </c>
      <c r="I205" t="b">
        <f t="shared" si="12"/>
        <v>0</v>
      </c>
      <c r="J205" s="4">
        <f t="shared" si="13"/>
        <v>0.39300699300699282</v>
      </c>
      <c r="M205"/>
      <c r="O205" t="s">
        <v>413</v>
      </c>
      <c r="P205">
        <v>941</v>
      </c>
      <c r="Q205">
        <v>2119.17</v>
      </c>
    </row>
    <row r="206" spans="1:17" hidden="1">
      <c r="A206" s="38" t="s">
        <v>576</v>
      </c>
      <c r="B206" s="35" t="s">
        <v>577</v>
      </c>
      <c r="C206" s="27">
        <v>278</v>
      </c>
      <c r="D206" s="18">
        <f t="shared" si="14"/>
        <v>9.2666666666666675</v>
      </c>
      <c r="E206" s="5">
        <v>523.67999999999995</v>
      </c>
      <c r="H206" s="18">
        <f t="shared" si="15"/>
        <v>556</v>
      </c>
      <c r="I206" t="b">
        <f t="shared" si="12"/>
        <v>1</v>
      </c>
      <c r="J206" s="4">
        <f t="shared" si="13"/>
        <v>-5.8129496402877789E-2</v>
      </c>
      <c r="M206"/>
      <c r="O206" t="s">
        <v>67</v>
      </c>
      <c r="P206">
        <v>1614</v>
      </c>
      <c r="Q206">
        <v>3807.06</v>
      </c>
    </row>
    <row r="207" spans="1:17">
      <c r="A207" t="s">
        <v>244</v>
      </c>
      <c r="B207" t="s">
        <v>245</v>
      </c>
      <c r="C207" s="27">
        <v>110</v>
      </c>
      <c r="D207" s="18">
        <f t="shared" si="14"/>
        <v>3.6666666666666665</v>
      </c>
      <c r="E207" s="5">
        <v>318.18</v>
      </c>
      <c r="H207" s="18">
        <f t="shared" si="15"/>
        <v>220</v>
      </c>
      <c r="I207" t="b">
        <f t="shared" si="12"/>
        <v>0</v>
      </c>
      <c r="J207" s="4">
        <f t="shared" si="13"/>
        <v>0.44627272727272738</v>
      </c>
      <c r="M207"/>
      <c r="O207" t="s">
        <v>655</v>
      </c>
      <c r="P207">
        <v>627</v>
      </c>
      <c r="Q207">
        <v>626.16</v>
      </c>
    </row>
    <row r="208" spans="1:17" hidden="1">
      <c r="A208" s="122" t="s">
        <v>424</v>
      </c>
      <c r="B208" s="35" t="s">
        <v>425</v>
      </c>
      <c r="C208" s="27">
        <v>246</v>
      </c>
      <c r="D208" s="18">
        <f t="shared" si="14"/>
        <v>8.1999999999999993</v>
      </c>
      <c r="E208" s="5">
        <v>175.74</v>
      </c>
      <c r="H208" s="18">
        <f t="shared" si="15"/>
        <v>492</v>
      </c>
      <c r="I208" t="b">
        <f t="shared" si="12"/>
        <v>1</v>
      </c>
      <c r="J208" s="4">
        <f t="shared" si="13"/>
        <v>-0.6428048780487805</v>
      </c>
      <c r="M208"/>
      <c r="O208" t="s">
        <v>187</v>
      </c>
      <c r="P208">
        <v>1753</v>
      </c>
      <c r="Q208">
        <v>1596.89</v>
      </c>
    </row>
    <row r="209" spans="1:17" hidden="1">
      <c r="A209" t="s">
        <v>190</v>
      </c>
      <c r="B209" t="s">
        <v>191</v>
      </c>
      <c r="C209" s="27">
        <v>42</v>
      </c>
      <c r="D209" s="18">
        <f t="shared" si="14"/>
        <v>1.4</v>
      </c>
      <c r="E209" s="5">
        <v>0</v>
      </c>
      <c r="H209" s="18">
        <f t="shared" si="15"/>
        <v>84</v>
      </c>
      <c r="I209" t="b">
        <f t="shared" si="12"/>
        <v>1</v>
      </c>
      <c r="J209" s="4">
        <f t="shared" si="13"/>
        <v>-1</v>
      </c>
      <c r="M209"/>
      <c r="O209" t="s">
        <v>477</v>
      </c>
      <c r="P209">
        <v>1376</v>
      </c>
      <c r="Q209">
        <v>2237.9499999999998</v>
      </c>
    </row>
    <row r="210" spans="1:17" hidden="1">
      <c r="A210" t="s">
        <v>668</v>
      </c>
      <c r="B210" t="s">
        <v>669</v>
      </c>
      <c r="C210" s="27">
        <v>1943</v>
      </c>
      <c r="D210" s="18">
        <f t="shared" si="14"/>
        <v>64.766666666666666</v>
      </c>
      <c r="E210" s="5">
        <v>2440.9299999999998</v>
      </c>
      <c r="H210" s="18">
        <f t="shared" si="15"/>
        <v>3886</v>
      </c>
      <c r="I210" t="b">
        <f t="shared" si="12"/>
        <v>1</v>
      </c>
      <c r="J210" s="4">
        <f t="shared" si="13"/>
        <v>-0.37186567164179107</v>
      </c>
      <c r="M210"/>
      <c r="O210" t="s">
        <v>357</v>
      </c>
      <c r="P210">
        <v>351</v>
      </c>
      <c r="Q210">
        <v>625.14</v>
      </c>
    </row>
    <row r="211" spans="1:17" hidden="1">
      <c r="A211" s="38" t="s">
        <v>86</v>
      </c>
      <c r="B211" s="35" t="s">
        <v>87</v>
      </c>
      <c r="C211" s="18">
        <v>1427</v>
      </c>
      <c r="D211" s="18">
        <f>C211/30</f>
        <v>47.56666666666667</v>
      </c>
      <c r="E211" s="5">
        <v>3130.51</v>
      </c>
      <c r="H211" s="18">
        <f t="shared" si="15"/>
        <v>2854</v>
      </c>
      <c r="I211" t="b">
        <f t="shared" si="12"/>
        <v>1</v>
      </c>
      <c r="J211" s="4">
        <f t="shared" si="13"/>
        <v>9.6885073580939007E-2</v>
      </c>
      <c r="M211"/>
      <c r="O211" t="s">
        <v>870</v>
      </c>
      <c r="P211">
        <v>4617</v>
      </c>
      <c r="Q211">
        <v>5247.92</v>
      </c>
    </row>
    <row r="212" spans="1:17">
      <c r="A212" t="s">
        <v>214</v>
      </c>
      <c r="B212" t="s">
        <v>215</v>
      </c>
      <c r="C212" s="27">
        <v>89</v>
      </c>
      <c r="D212" s="18">
        <f t="shared" si="14"/>
        <v>2.9666666666666668</v>
      </c>
      <c r="E212" s="17">
        <v>261.19</v>
      </c>
      <c r="H212" s="18">
        <f t="shared" si="15"/>
        <v>178</v>
      </c>
      <c r="I212" t="b">
        <f t="shared" si="12"/>
        <v>0</v>
      </c>
      <c r="J212" s="4">
        <f t="shared" si="13"/>
        <v>0.46735955056179779</v>
      </c>
      <c r="M212"/>
      <c r="O212" t="s">
        <v>731</v>
      </c>
      <c r="P212">
        <v>3350</v>
      </c>
      <c r="Q212">
        <v>6045.53</v>
      </c>
    </row>
    <row r="213" spans="1:17" hidden="1">
      <c r="A213" s="38" t="s">
        <v>825</v>
      </c>
      <c r="B213" s="35" t="s">
        <v>826</v>
      </c>
      <c r="C213" s="27">
        <v>923</v>
      </c>
      <c r="D213" s="18">
        <f t="shared" si="14"/>
        <v>30.766666666666666</v>
      </c>
      <c r="E213" s="5">
        <v>1483.97</v>
      </c>
      <c r="H213" s="18">
        <f t="shared" si="15"/>
        <v>1846</v>
      </c>
      <c r="I213" t="b">
        <f t="shared" si="12"/>
        <v>1</v>
      </c>
      <c r="J213" s="4">
        <f t="shared" si="13"/>
        <v>-0.19611592632719388</v>
      </c>
      <c r="M213"/>
      <c r="O213" t="s">
        <v>141</v>
      </c>
      <c r="P213">
        <v>1866</v>
      </c>
      <c r="Q213">
        <v>3855.15</v>
      </c>
    </row>
    <row r="214" spans="1:17" hidden="1">
      <c r="A214" t="s">
        <v>1776</v>
      </c>
      <c r="B214" t="s">
        <v>1606</v>
      </c>
      <c r="C214" s="27">
        <v>0</v>
      </c>
      <c r="D214" s="18">
        <f t="shared" si="14"/>
        <v>0</v>
      </c>
      <c r="E214" s="5">
        <v>0</v>
      </c>
      <c r="H214" s="18">
        <f t="shared" si="15"/>
        <v>0</v>
      </c>
      <c r="I214" t="b">
        <f t="shared" si="12"/>
        <v>1</v>
      </c>
      <c r="J214" s="4" t="e">
        <f t="shared" si="13"/>
        <v>#DIV/0!</v>
      </c>
      <c r="M214"/>
      <c r="O214" t="s">
        <v>623</v>
      </c>
      <c r="P214">
        <v>1077</v>
      </c>
      <c r="Q214">
        <v>3291.87</v>
      </c>
    </row>
    <row r="215" spans="1:17" hidden="1">
      <c r="A215" t="s">
        <v>144</v>
      </c>
      <c r="B215" t="s">
        <v>145</v>
      </c>
      <c r="C215" s="27">
        <v>1712</v>
      </c>
      <c r="D215" s="18">
        <f t="shared" si="14"/>
        <v>57.06666666666667</v>
      </c>
      <c r="E215" s="5">
        <v>2937.39</v>
      </c>
      <c r="H215" s="18">
        <f t="shared" si="15"/>
        <v>3424</v>
      </c>
      <c r="I215" t="b">
        <f t="shared" si="12"/>
        <v>1</v>
      </c>
      <c r="J215" s="4">
        <f t="shared" si="13"/>
        <v>-0.14211740654205607</v>
      </c>
      <c r="M215"/>
      <c r="O215" t="s">
        <v>151</v>
      </c>
      <c r="P215">
        <v>746</v>
      </c>
      <c r="Q215">
        <v>1167.75</v>
      </c>
    </row>
    <row r="216" spans="1:17" hidden="1">
      <c r="A216" t="s">
        <v>150</v>
      </c>
      <c r="B216" t="s">
        <v>151</v>
      </c>
      <c r="C216" s="27">
        <v>159</v>
      </c>
      <c r="D216" s="18">
        <f t="shared" si="14"/>
        <v>5.3</v>
      </c>
      <c r="E216" s="5">
        <v>34.770000000000003</v>
      </c>
      <c r="H216" s="18">
        <f t="shared" si="15"/>
        <v>318</v>
      </c>
      <c r="I216" t="b">
        <f t="shared" si="12"/>
        <v>1</v>
      </c>
      <c r="J216" s="4">
        <f t="shared" si="13"/>
        <v>-0.89066037735849057</v>
      </c>
      <c r="M216"/>
      <c r="O216" t="s">
        <v>852</v>
      </c>
      <c r="P216">
        <v>1508</v>
      </c>
      <c r="Q216">
        <v>26.36</v>
      </c>
    </row>
    <row r="217" spans="1:17" hidden="1">
      <c r="A217" t="s">
        <v>322</v>
      </c>
      <c r="B217" t="s">
        <v>323</v>
      </c>
      <c r="C217" s="27">
        <v>44</v>
      </c>
      <c r="D217" s="18">
        <f t="shared" si="14"/>
        <v>1.4666666666666666</v>
      </c>
      <c r="E217" s="5">
        <v>7.53</v>
      </c>
      <c r="H217" s="18">
        <f t="shared" si="15"/>
        <v>88</v>
      </c>
      <c r="I217" t="b">
        <f t="shared" si="12"/>
        <v>1</v>
      </c>
      <c r="J217" s="4">
        <f t="shared" si="13"/>
        <v>-0.91443181818181818</v>
      </c>
      <c r="M217"/>
      <c r="O217" t="s">
        <v>371</v>
      </c>
      <c r="P217">
        <v>1031</v>
      </c>
      <c r="Q217">
        <v>2527.0700000000002</v>
      </c>
    </row>
    <row r="218" spans="1:17" hidden="1">
      <c r="A218" t="s">
        <v>406</v>
      </c>
      <c r="B218" t="s">
        <v>407</v>
      </c>
      <c r="C218" s="27">
        <v>1077</v>
      </c>
      <c r="D218" s="18">
        <f t="shared" si="14"/>
        <v>35.9</v>
      </c>
      <c r="E218" s="5">
        <v>297.7</v>
      </c>
      <c r="H218" s="18">
        <f t="shared" si="15"/>
        <v>2154</v>
      </c>
      <c r="I218" t="b">
        <f t="shared" si="12"/>
        <v>1</v>
      </c>
      <c r="J218" s="4">
        <f t="shared" si="13"/>
        <v>-0.8617920148560817</v>
      </c>
      <c r="O218" t="s">
        <v>31</v>
      </c>
      <c r="P218">
        <v>4286</v>
      </c>
      <c r="Q218">
        <v>4897.3</v>
      </c>
    </row>
    <row r="219" spans="1:17">
      <c r="A219" s="38" t="s">
        <v>797</v>
      </c>
      <c r="B219" s="35" t="s">
        <v>798</v>
      </c>
      <c r="C219" s="27">
        <v>517</v>
      </c>
      <c r="D219" s="18">
        <f t="shared" si="14"/>
        <v>17.233333333333334</v>
      </c>
      <c r="E219" s="5">
        <v>1528.72</v>
      </c>
      <c r="H219" s="18">
        <f t="shared" si="15"/>
        <v>1034</v>
      </c>
      <c r="I219" t="b">
        <f t="shared" si="12"/>
        <v>0</v>
      </c>
      <c r="J219" s="4">
        <f t="shared" si="13"/>
        <v>0.47845261121856875</v>
      </c>
      <c r="M219"/>
      <c r="O219" t="s">
        <v>553</v>
      </c>
      <c r="P219">
        <v>5987</v>
      </c>
      <c r="Q219">
        <v>6518.57</v>
      </c>
    </row>
    <row r="220" spans="1:17" hidden="1">
      <c r="A220" s="38" t="s">
        <v>833</v>
      </c>
      <c r="B220" s="35" t="s">
        <v>834</v>
      </c>
      <c r="C220" s="27">
        <v>702</v>
      </c>
      <c r="D220" s="18">
        <f t="shared" si="14"/>
        <v>23.4</v>
      </c>
      <c r="E220" s="5">
        <v>1632.4</v>
      </c>
      <c r="H220" s="18">
        <f t="shared" si="15"/>
        <v>1404</v>
      </c>
      <c r="I220" t="b">
        <f t="shared" si="12"/>
        <v>1</v>
      </c>
      <c r="J220" s="4">
        <f t="shared" si="13"/>
        <v>0.16267806267806284</v>
      </c>
      <c r="M220"/>
      <c r="O220" t="s">
        <v>773</v>
      </c>
      <c r="P220">
        <v>2067</v>
      </c>
      <c r="Q220">
        <v>1152.29</v>
      </c>
    </row>
    <row r="221" spans="1:17" hidden="1">
      <c r="A221" t="s">
        <v>588</v>
      </c>
      <c r="B221" t="s">
        <v>589</v>
      </c>
      <c r="C221" s="27">
        <v>413</v>
      </c>
      <c r="D221" s="18">
        <f t="shared" si="14"/>
        <v>13.766666666666667</v>
      </c>
      <c r="E221" s="5">
        <v>804.67</v>
      </c>
      <c r="H221" s="18">
        <f t="shared" si="15"/>
        <v>826</v>
      </c>
      <c r="I221" t="b">
        <f t="shared" si="12"/>
        <v>1</v>
      </c>
      <c r="J221" s="4">
        <f t="shared" si="13"/>
        <v>-2.58232445520582E-2</v>
      </c>
      <c r="M221"/>
      <c r="O221" t="s">
        <v>780</v>
      </c>
      <c r="P221">
        <v>3090</v>
      </c>
      <c r="Q221">
        <v>3298.37</v>
      </c>
    </row>
    <row r="222" spans="1:17">
      <c r="A222" s="38" t="s">
        <v>436</v>
      </c>
      <c r="B222" s="35" t="s">
        <v>437</v>
      </c>
      <c r="C222" s="27">
        <v>320</v>
      </c>
      <c r="D222" s="18">
        <f t="shared" si="14"/>
        <v>10.666666666666666</v>
      </c>
      <c r="E222" s="5">
        <v>1060.18</v>
      </c>
      <c r="H222" s="18">
        <f t="shared" si="15"/>
        <v>640</v>
      </c>
      <c r="I222" t="b">
        <f t="shared" si="12"/>
        <v>0</v>
      </c>
      <c r="J222" s="4">
        <f t="shared" si="13"/>
        <v>0.65653125000000001</v>
      </c>
      <c r="M222"/>
      <c r="O222" t="s">
        <v>283</v>
      </c>
      <c r="P222">
        <v>1664</v>
      </c>
      <c r="Q222">
        <v>2049.73</v>
      </c>
    </row>
    <row r="223" spans="1:17" hidden="1">
      <c r="A223" s="35" t="s">
        <v>116</v>
      </c>
      <c r="B223" s="35" t="s">
        <v>117</v>
      </c>
      <c r="C223" s="27">
        <v>1842</v>
      </c>
      <c r="D223" s="18">
        <f t="shared" si="14"/>
        <v>61.4</v>
      </c>
      <c r="E223" s="5">
        <v>3291.33</v>
      </c>
      <c r="H223" s="18">
        <f t="shared" si="15"/>
        <v>3684</v>
      </c>
      <c r="I223" t="b">
        <f t="shared" si="12"/>
        <v>1</v>
      </c>
      <c r="J223" s="4">
        <f t="shared" si="13"/>
        <v>-0.10658794788273618</v>
      </c>
      <c r="O223" t="s">
        <v>539</v>
      </c>
      <c r="P223">
        <v>124</v>
      </c>
      <c r="Q223">
        <v>275.04000000000002</v>
      </c>
    </row>
    <row r="224" spans="1:17" hidden="1">
      <c r="A224" t="s">
        <v>628</v>
      </c>
      <c r="B224" t="s">
        <v>629</v>
      </c>
      <c r="C224" s="27">
        <v>191</v>
      </c>
      <c r="D224" s="18">
        <f t="shared" si="14"/>
        <v>6.3666666666666663</v>
      </c>
      <c r="E224" s="5">
        <v>2.16</v>
      </c>
      <c r="H224" s="18">
        <f t="shared" si="15"/>
        <v>382</v>
      </c>
      <c r="I224" t="b">
        <f t="shared" si="12"/>
        <v>1</v>
      </c>
      <c r="J224" s="4">
        <f t="shared" si="13"/>
        <v>-0.99434554973821987</v>
      </c>
      <c r="M224"/>
      <c r="O224" t="s">
        <v>1621</v>
      </c>
      <c r="P224">
        <v>64</v>
      </c>
      <c r="Q224">
        <v>178.31</v>
      </c>
    </row>
    <row r="225" spans="1:17">
      <c r="A225" s="38" t="s">
        <v>827</v>
      </c>
      <c r="B225" s="35" t="s">
        <v>828</v>
      </c>
      <c r="C225" s="27">
        <v>751</v>
      </c>
      <c r="D225" s="18">
        <f t="shared" si="14"/>
        <v>25.033333333333335</v>
      </c>
      <c r="E225" s="5">
        <v>1914.59</v>
      </c>
      <c r="H225" s="18">
        <f t="shared" si="15"/>
        <v>1502</v>
      </c>
      <c r="I225" t="b">
        <f t="shared" si="12"/>
        <v>0</v>
      </c>
      <c r="J225" s="4">
        <f t="shared" si="13"/>
        <v>0.27469374167776284</v>
      </c>
      <c r="M225"/>
      <c r="O225" t="s">
        <v>463</v>
      </c>
      <c r="P225">
        <v>1664</v>
      </c>
      <c r="Q225">
        <v>1764.37</v>
      </c>
    </row>
    <row r="226" spans="1:17" hidden="1">
      <c r="A226" t="s">
        <v>422</v>
      </c>
      <c r="B226" t="s">
        <v>423</v>
      </c>
      <c r="C226" s="27">
        <v>542</v>
      </c>
      <c r="D226" s="18">
        <f t="shared" si="14"/>
        <v>18.066666666666666</v>
      </c>
      <c r="E226" s="5">
        <v>249.94</v>
      </c>
      <c r="H226" s="18">
        <f t="shared" si="15"/>
        <v>1084</v>
      </c>
      <c r="I226" t="b">
        <f t="shared" si="12"/>
        <v>1</v>
      </c>
      <c r="J226" s="4">
        <f t="shared" si="13"/>
        <v>-0.76942804428044287</v>
      </c>
      <c r="M226"/>
      <c r="O226" t="s">
        <v>121</v>
      </c>
      <c r="P226">
        <v>1145</v>
      </c>
      <c r="Q226">
        <v>1234.98</v>
      </c>
    </row>
    <row r="227" spans="1:17" hidden="1">
      <c r="A227" t="s">
        <v>236</v>
      </c>
      <c r="B227" t="s">
        <v>237</v>
      </c>
      <c r="C227" s="27">
        <v>0</v>
      </c>
      <c r="D227" s="18">
        <f t="shared" si="14"/>
        <v>0</v>
      </c>
      <c r="E227" s="5">
        <v>0</v>
      </c>
      <c r="H227" s="18">
        <f t="shared" si="15"/>
        <v>0</v>
      </c>
      <c r="I227" t="b">
        <f t="shared" si="12"/>
        <v>1</v>
      </c>
      <c r="J227" s="4" t="e">
        <f t="shared" si="13"/>
        <v>#DIV/0!</v>
      </c>
      <c r="M227"/>
      <c r="O227" t="s">
        <v>619</v>
      </c>
      <c r="P227">
        <v>1134</v>
      </c>
      <c r="Q227">
        <v>2253.0500000000002</v>
      </c>
    </row>
    <row r="228" spans="1:17" hidden="1">
      <c r="A228" t="s">
        <v>702</v>
      </c>
      <c r="B228" t="s">
        <v>703</v>
      </c>
      <c r="C228" s="27">
        <v>419</v>
      </c>
      <c r="D228" s="18">
        <f t="shared" si="14"/>
        <v>13.966666666666667</v>
      </c>
      <c r="E228" s="5">
        <v>536.86</v>
      </c>
      <c r="H228" s="18">
        <f t="shared" si="15"/>
        <v>838</v>
      </c>
      <c r="I228" t="b">
        <f t="shared" si="12"/>
        <v>1</v>
      </c>
      <c r="J228" s="4">
        <f t="shared" si="13"/>
        <v>-0.35935560859188542</v>
      </c>
      <c r="M228"/>
      <c r="O228" t="s">
        <v>397</v>
      </c>
      <c r="P228">
        <v>38</v>
      </c>
      <c r="Q228">
        <v>156.91</v>
      </c>
    </row>
    <row r="229" spans="1:17" hidden="1">
      <c r="A229" t="s">
        <v>724</v>
      </c>
      <c r="B229" t="s">
        <v>725</v>
      </c>
      <c r="C229" s="27">
        <v>1065</v>
      </c>
      <c r="D229" s="18">
        <f t="shared" si="14"/>
        <v>35.5</v>
      </c>
      <c r="E229" s="5">
        <v>906.31</v>
      </c>
      <c r="H229" s="18">
        <f t="shared" si="15"/>
        <v>2130</v>
      </c>
      <c r="I229" t="b">
        <f t="shared" si="12"/>
        <v>1</v>
      </c>
      <c r="J229" s="4">
        <f t="shared" si="13"/>
        <v>-0.57450234741784034</v>
      </c>
      <c r="M229"/>
      <c r="O229" t="s">
        <v>824</v>
      </c>
      <c r="P229">
        <v>4242</v>
      </c>
      <c r="Q229">
        <v>7415.45</v>
      </c>
    </row>
    <row r="230" spans="1:17" hidden="1">
      <c r="A230" t="s">
        <v>294</v>
      </c>
      <c r="B230" t="s">
        <v>295</v>
      </c>
      <c r="C230" s="27">
        <v>43</v>
      </c>
      <c r="D230" s="18">
        <f t="shared" si="14"/>
        <v>1.4333333333333333</v>
      </c>
      <c r="E230" s="5">
        <v>0</v>
      </c>
      <c r="H230" s="18">
        <f t="shared" si="15"/>
        <v>86</v>
      </c>
      <c r="I230" t="b">
        <f t="shared" si="12"/>
        <v>1</v>
      </c>
      <c r="J230" s="4">
        <f t="shared" si="13"/>
        <v>-1</v>
      </c>
      <c r="M230"/>
      <c r="O230" t="s">
        <v>645</v>
      </c>
      <c r="P230">
        <v>6399</v>
      </c>
      <c r="Q230">
        <v>1838.47</v>
      </c>
    </row>
    <row r="231" spans="1:17" hidden="1">
      <c r="A231" s="35" t="s">
        <v>212</v>
      </c>
      <c r="B231" s="35" t="s">
        <v>213</v>
      </c>
      <c r="C231" s="27">
        <v>970</v>
      </c>
      <c r="D231" s="18">
        <f t="shared" si="14"/>
        <v>32.333333333333336</v>
      </c>
      <c r="E231" s="5">
        <v>1863.28</v>
      </c>
      <c r="H231" s="18">
        <f t="shared" si="15"/>
        <v>1940</v>
      </c>
      <c r="I231" t="b">
        <f t="shared" si="12"/>
        <v>1</v>
      </c>
      <c r="J231" s="4">
        <f t="shared" si="13"/>
        <v>-3.9546391752577348E-2</v>
      </c>
      <c r="M231"/>
      <c r="O231" t="s">
        <v>1088</v>
      </c>
      <c r="P231">
        <v>7632</v>
      </c>
      <c r="Q231">
        <v>11858.24</v>
      </c>
    </row>
    <row r="232" spans="1:17" hidden="1">
      <c r="A232" t="s">
        <v>813</v>
      </c>
      <c r="B232" t="s">
        <v>814</v>
      </c>
      <c r="C232" s="27">
        <v>1750</v>
      </c>
      <c r="D232" s="18">
        <f t="shared" si="14"/>
        <v>58.333333333333336</v>
      </c>
      <c r="E232" s="5">
        <v>2165.52</v>
      </c>
      <c r="H232" s="18">
        <f t="shared" si="15"/>
        <v>3500</v>
      </c>
      <c r="I232" t="b">
        <f t="shared" si="12"/>
        <v>1</v>
      </c>
      <c r="J232" s="4">
        <f t="shared" si="13"/>
        <v>-0.38127999999999995</v>
      </c>
      <c r="M232"/>
      <c r="O232" t="s">
        <v>936</v>
      </c>
      <c r="P232">
        <v>3762</v>
      </c>
      <c r="Q232">
        <v>6511.64</v>
      </c>
    </row>
    <row r="233" spans="1:17" hidden="1">
      <c r="A233" s="38" t="s">
        <v>178</v>
      </c>
      <c r="B233" s="35" t="s">
        <v>179</v>
      </c>
      <c r="C233" s="27">
        <v>313</v>
      </c>
      <c r="D233" s="18">
        <f t="shared" si="14"/>
        <v>10.433333333333334</v>
      </c>
      <c r="E233" s="5">
        <v>558.67999999999995</v>
      </c>
      <c r="H233" s="18">
        <f t="shared" si="15"/>
        <v>626</v>
      </c>
      <c r="I233" t="b">
        <f t="shared" si="12"/>
        <v>1</v>
      </c>
      <c r="J233" s="4">
        <f t="shared" si="13"/>
        <v>-0.10753993610223656</v>
      </c>
      <c r="M233"/>
      <c r="O233" t="s">
        <v>1170</v>
      </c>
      <c r="P233">
        <v>3048</v>
      </c>
      <c r="Q233">
        <v>4722.41</v>
      </c>
    </row>
    <row r="234" spans="1:17" hidden="1">
      <c r="A234" s="38" t="s">
        <v>284</v>
      </c>
      <c r="B234" s="35" t="s">
        <v>285</v>
      </c>
      <c r="C234" s="27">
        <v>5113</v>
      </c>
      <c r="D234" s="18">
        <f t="shared" si="14"/>
        <v>170.43333333333334</v>
      </c>
      <c r="E234" s="5">
        <v>5756.9</v>
      </c>
      <c r="H234" s="18">
        <f t="shared" si="15"/>
        <v>10226</v>
      </c>
      <c r="I234" t="b">
        <f t="shared" si="12"/>
        <v>1</v>
      </c>
      <c r="J234" s="4">
        <f t="shared" si="13"/>
        <v>-0.43703305300215145</v>
      </c>
      <c r="M234"/>
      <c r="O234" t="s">
        <v>1189</v>
      </c>
      <c r="P234">
        <v>3637</v>
      </c>
      <c r="Q234">
        <v>7335.47</v>
      </c>
    </row>
    <row r="235" spans="1:17" hidden="1">
      <c r="A235" s="38" t="s">
        <v>280</v>
      </c>
      <c r="B235" s="35" t="s">
        <v>281</v>
      </c>
      <c r="C235" s="18">
        <v>485</v>
      </c>
      <c r="D235" s="18">
        <f t="shared" si="14"/>
        <v>16.166666666666668</v>
      </c>
      <c r="E235" s="5">
        <v>733.57</v>
      </c>
      <c r="H235" s="18">
        <f t="shared" si="15"/>
        <v>970</v>
      </c>
      <c r="I235" t="b">
        <f t="shared" si="12"/>
        <v>1</v>
      </c>
      <c r="J235" s="4">
        <f t="shared" si="13"/>
        <v>-0.24374226804123711</v>
      </c>
      <c r="M235"/>
      <c r="O235" t="s">
        <v>916</v>
      </c>
      <c r="P235">
        <v>4317</v>
      </c>
      <c r="Q235">
        <v>6897.7699999999995</v>
      </c>
    </row>
    <row r="236" spans="1:17" hidden="1">
      <c r="A236" s="35" t="s">
        <v>474</v>
      </c>
      <c r="B236" s="35" t="s">
        <v>475</v>
      </c>
      <c r="C236" s="27">
        <v>248</v>
      </c>
      <c r="D236" s="18">
        <f t="shared" si="14"/>
        <v>8.2666666666666675</v>
      </c>
      <c r="E236" s="5">
        <v>179</v>
      </c>
      <c r="H236" s="18">
        <f t="shared" si="15"/>
        <v>496</v>
      </c>
      <c r="I236" t="b">
        <f t="shared" si="12"/>
        <v>1</v>
      </c>
      <c r="J236" s="4">
        <f t="shared" si="13"/>
        <v>-0.63911290322580649</v>
      </c>
      <c r="M236"/>
      <c r="O236" t="s">
        <v>1104</v>
      </c>
      <c r="P236">
        <v>5550</v>
      </c>
      <c r="Q236">
        <v>9885.65</v>
      </c>
    </row>
    <row r="237" spans="1:17" hidden="1">
      <c r="A237" t="s">
        <v>586</v>
      </c>
      <c r="B237" t="s">
        <v>587</v>
      </c>
      <c r="C237" s="27">
        <v>1163</v>
      </c>
      <c r="D237" s="18">
        <f t="shared" si="14"/>
        <v>38.766666666666666</v>
      </c>
      <c r="E237" s="5">
        <v>1795.62</v>
      </c>
      <c r="H237" s="18">
        <f t="shared" si="15"/>
        <v>2326</v>
      </c>
      <c r="I237" t="b">
        <f t="shared" si="12"/>
        <v>1</v>
      </c>
      <c r="J237" s="4">
        <f t="shared" si="13"/>
        <v>-0.22802235597592435</v>
      </c>
      <c r="M237"/>
      <c r="O237" t="s">
        <v>1082</v>
      </c>
      <c r="P237">
        <v>1894</v>
      </c>
      <c r="Q237">
        <v>3441.08</v>
      </c>
    </row>
    <row r="238" spans="1:17" hidden="1">
      <c r="A238" t="s">
        <v>416</v>
      </c>
      <c r="B238" t="s">
        <v>417</v>
      </c>
      <c r="C238" s="27">
        <v>67</v>
      </c>
      <c r="D238" s="18">
        <f t="shared" si="14"/>
        <v>2.2333333333333334</v>
      </c>
      <c r="E238" s="5">
        <v>3.33</v>
      </c>
      <c r="H238" s="18">
        <f t="shared" si="15"/>
        <v>134</v>
      </c>
      <c r="I238" t="b">
        <f t="shared" si="12"/>
        <v>1</v>
      </c>
      <c r="J238" s="4">
        <f t="shared" si="13"/>
        <v>-0.97514925373134331</v>
      </c>
      <c r="M238"/>
      <c r="O238" t="s">
        <v>1636</v>
      </c>
      <c r="P238">
        <v>2</v>
      </c>
      <c r="Q238">
        <v>0</v>
      </c>
    </row>
    <row r="239" spans="1:17" hidden="1">
      <c r="A239" t="s">
        <v>1777</v>
      </c>
      <c r="B239" t="s">
        <v>1614</v>
      </c>
      <c r="C239" s="27">
        <v>0</v>
      </c>
      <c r="D239" s="18">
        <f t="shared" si="14"/>
        <v>0</v>
      </c>
      <c r="E239" s="5">
        <v>0</v>
      </c>
      <c r="H239" s="18">
        <f t="shared" si="15"/>
        <v>0</v>
      </c>
      <c r="I239" t="b">
        <f t="shared" si="12"/>
        <v>1</v>
      </c>
      <c r="J239" s="4" t="e">
        <f t="shared" si="13"/>
        <v>#DIV/0!</v>
      </c>
      <c r="M239"/>
      <c r="O239" t="s">
        <v>1177</v>
      </c>
      <c r="P239">
        <v>3398</v>
      </c>
      <c r="Q239">
        <v>4409.53</v>
      </c>
    </row>
    <row r="240" spans="1:17" hidden="1">
      <c r="A240" t="s">
        <v>686</v>
      </c>
      <c r="B240" t="s">
        <v>687</v>
      </c>
      <c r="C240" s="27">
        <v>1090</v>
      </c>
      <c r="D240" s="18">
        <f t="shared" si="14"/>
        <v>36.333333333333336</v>
      </c>
      <c r="E240" s="5">
        <v>1479.67</v>
      </c>
      <c r="H240" s="18">
        <f t="shared" si="15"/>
        <v>2180</v>
      </c>
      <c r="I240" t="b">
        <f t="shared" si="12"/>
        <v>1</v>
      </c>
      <c r="J240" s="4">
        <f t="shared" si="13"/>
        <v>-0.32125229357798157</v>
      </c>
      <c r="M240"/>
      <c r="O240" t="s">
        <v>1204</v>
      </c>
      <c r="P240">
        <v>5137</v>
      </c>
      <c r="Q240">
        <v>8701.9699999999993</v>
      </c>
    </row>
    <row r="241" spans="1:17" hidden="1">
      <c r="A241" s="123" t="s">
        <v>134</v>
      </c>
      <c r="B241" s="35" t="s">
        <v>135</v>
      </c>
      <c r="C241" s="27">
        <v>386</v>
      </c>
      <c r="D241" s="18">
        <f t="shared" si="14"/>
        <v>12.866666666666667</v>
      </c>
      <c r="E241" s="5">
        <v>803</v>
      </c>
      <c r="H241" s="18">
        <f t="shared" si="15"/>
        <v>772</v>
      </c>
      <c r="I241" t="b">
        <f t="shared" si="12"/>
        <v>1</v>
      </c>
      <c r="J241" s="4">
        <f t="shared" si="13"/>
        <v>4.0155440414507693E-2</v>
      </c>
      <c r="M241"/>
      <c r="O241" t="s">
        <v>932</v>
      </c>
      <c r="P241">
        <v>711</v>
      </c>
      <c r="Q241">
        <v>1448.65</v>
      </c>
    </row>
    <row r="242" spans="1:17" hidden="1">
      <c r="A242" t="s">
        <v>742</v>
      </c>
      <c r="B242" s="26" t="s">
        <v>743</v>
      </c>
      <c r="C242" s="27">
        <v>1466</v>
      </c>
      <c r="D242" s="18">
        <f t="shared" si="14"/>
        <v>48.866666666666667</v>
      </c>
      <c r="E242" s="5">
        <v>2406.5</v>
      </c>
      <c r="H242" s="18">
        <f t="shared" si="15"/>
        <v>2932</v>
      </c>
      <c r="I242" t="b">
        <f t="shared" si="12"/>
        <v>1</v>
      </c>
      <c r="J242" s="4">
        <f t="shared" si="13"/>
        <v>-0.17922919508867663</v>
      </c>
      <c r="M242"/>
      <c r="O242" t="s">
        <v>1164</v>
      </c>
      <c r="P242">
        <v>2183</v>
      </c>
      <c r="Q242">
        <v>3642.64</v>
      </c>
    </row>
    <row r="243" spans="1:17" hidden="1">
      <c r="A243" t="s">
        <v>104</v>
      </c>
      <c r="B243" t="s">
        <v>105</v>
      </c>
      <c r="C243" s="27">
        <v>162</v>
      </c>
      <c r="D243" s="18">
        <f t="shared" si="14"/>
        <v>5.4</v>
      </c>
      <c r="E243" s="5">
        <v>209.17</v>
      </c>
      <c r="H243" s="18">
        <f t="shared" si="15"/>
        <v>324</v>
      </c>
      <c r="I243" t="b">
        <f t="shared" si="12"/>
        <v>1</v>
      </c>
      <c r="J243" s="4">
        <f t="shared" si="13"/>
        <v>-0.35441358024691361</v>
      </c>
      <c r="M243"/>
      <c r="O243" t="s">
        <v>1032</v>
      </c>
      <c r="P243">
        <v>1995</v>
      </c>
      <c r="Q243">
        <v>4535.91</v>
      </c>
    </row>
    <row r="244" spans="1:17" hidden="1">
      <c r="A244" t="s">
        <v>564</v>
      </c>
      <c r="B244" t="s">
        <v>565</v>
      </c>
      <c r="C244" s="27">
        <v>616</v>
      </c>
      <c r="D244" s="18">
        <f t="shared" si="14"/>
        <v>20.533333333333335</v>
      </c>
      <c r="E244" s="5">
        <v>1050.58</v>
      </c>
      <c r="H244" s="18">
        <f t="shared" si="15"/>
        <v>1232</v>
      </c>
      <c r="I244" t="b">
        <f t="shared" si="12"/>
        <v>1</v>
      </c>
      <c r="J244" s="4">
        <f t="shared" si="13"/>
        <v>-0.14725649350649361</v>
      </c>
      <c r="M244"/>
      <c r="O244" t="s">
        <v>914</v>
      </c>
      <c r="P244">
        <v>1870</v>
      </c>
      <c r="Q244">
        <v>3839.5</v>
      </c>
    </row>
    <row r="245" spans="1:17" hidden="1">
      <c r="A245" s="122" t="s">
        <v>789</v>
      </c>
      <c r="B245" s="35" t="s">
        <v>790</v>
      </c>
      <c r="C245" s="27">
        <v>480</v>
      </c>
      <c r="D245" s="18">
        <f t="shared" si="14"/>
        <v>16</v>
      </c>
      <c r="E245" s="5">
        <v>560.6</v>
      </c>
      <c r="H245" s="18">
        <f t="shared" si="15"/>
        <v>960</v>
      </c>
      <c r="I245" t="b">
        <f t="shared" si="12"/>
        <v>1</v>
      </c>
      <c r="J245" s="4">
        <f t="shared" si="13"/>
        <v>-0.41604166666666664</v>
      </c>
      <c r="M245"/>
      <c r="O245" t="s">
        <v>955</v>
      </c>
      <c r="P245">
        <v>1727</v>
      </c>
      <c r="Q245">
        <v>3534.84</v>
      </c>
    </row>
    <row r="246" spans="1:17" hidden="1">
      <c r="A246" s="35" t="s">
        <v>428</v>
      </c>
      <c r="B246" s="35" t="s">
        <v>429</v>
      </c>
      <c r="C246" s="27">
        <v>1440</v>
      </c>
      <c r="D246" s="18">
        <f t="shared" si="14"/>
        <v>48</v>
      </c>
      <c r="E246" s="5">
        <v>1968.64</v>
      </c>
      <c r="H246" s="18">
        <f t="shared" si="15"/>
        <v>2880</v>
      </c>
      <c r="I246" t="b">
        <f t="shared" si="12"/>
        <v>1</v>
      </c>
      <c r="J246" s="4">
        <f t="shared" si="13"/>
        <v>-0.31644444444444442</v>
      </c>
      <c r="M246"/>
      <c r="O246" t="s">
        <v>1244</v>
      </c>
      <c r="P246">
        <v>40373</v>
      </c>
      <c r="Q246">
        <v>31043.68</v>
      </c>
    </row>
    <row r="247" spans="1:17" hidden="1">
      <c r="A247" s="38" t="s">
        <v>252</v>
      </c>
      <c r="B247" s="35" t="s">
        <v>253</v>
      </c>
      <c r="C247" s="27">
        <v>0</v>
      </c>
      <c r="D247" s="18">
        <f t="shared" si="14"/>
        <v>0</v>
      </c>
      <c r="E247" s="5">
        <v>0</v>
      </c>
      <c r="H247" s="18">
        <f t="shared" si="15"/>
        <v>0</v>
      </c>
      <c r="I247" t="b">
        <f t="shared" ref="I247:I296" si="16">IF(E247&gt;1.2*H247,FALSE,TRUE)</f>
        <v>1</v>
      </c>
      <c r="J247" s="4" t="e">
        <f t="shared" ref="J247:J296" si="17">E247/H247-1</f>
        <v>#DIV/0!</v>
      </c>
      <c r="M247"/>
      <c r="O247" t="s">
        <v>1236</v>
      </c>
      <c r="P247">
        <v>1614</v>
      </c>
      <c r="Q247">
        <v>3358.06</v>
      </c>
    </row>
    <row r="248" spans="1:17" hidden="1">
      <c r="A248" t="s">
        <v>654</v>
      </c>
      <c r="B248" t="s">
        <v>655</v>
      </c>
      <c r="C248" s="27">
        <v>1109</v>
      </c>
      <c r="D248" s="18">
        <f t="shared" si="14"/>
        <v>36.966666666666669</v>
      </c>
      <c r="E248" s="5">
        <v>1960</v>
      </c>
      <c r="H248" s="18">
        <f t="shared" si="15"/>
        <v>2218</v>
      </c>
      <c r="I248" t="b">
        <f t="shared" si="16"/>
        <v>1</v>
      </c>
      <c r="J248" s="4">
        <f t="shared" si="17"/>
        <v>-0.11632100991884575</v>
      </c>
      <c r="M248"/>
      <c r="O248" t="s">
        <v>1232</v>
      </c>
      <c r="P248">
        <v>2721</v>
      </c>
      <c r="Q248">
        <v>5511.35</v>
      </c>
    </row>
    <row r="249" spans="1:17">
      <c r="A249" s="38" t="s">
        <v>262</v>
      </c>
      <c r="B249" s="26" t="s">
        <v>263</v>
      </c>
      <c r="C249" s="27">
        <v>219</v>
      </c>
      <c r="D249" s="18">
        <f t="shared" si="14"/>
        <v>7.3</v>
      </c>
      <c r="E249" s="5">
        <v>661.61</v>
      </c>
      <c r="H249" s="18">
        <f t="shared" si="15"/>
        <v>438</v>
      </c>
      <c r="I249" t="b">
        <f t="shared" si="16"/>
        <v>0</v>
      </c>
      <c r="J249" s="4">
        <f t="shared" si="17"/>
        <v>0.51052511415525115</v>
      </c>
      <c r="M249"/>
      <c r="O249" t="s">
        <v>976</v>
      </c>
      <c r="P249">
        <v>1207</v>
      </c>
      <c r="Q249">
        <v>2348.6</v>
      </c>
    </row>
    <row r="250" spans="1:17" hidden="1">
      <c r="A250" t="s">
        <v>330</v>
      </c>
      <c r="B250" t="s">
        <v>331</v>
      </c>
      <c r="C250" s="27">
        <v>540</v>
      </c>
      <c r="D250" s="18">
        <f t="shared" si="14"/>
        <v>18</v>
      </c>
      <c r="E250" s="5">
        <v>527.48</v>
      </c>
      <c r="H250" s="18">
        <f t="shared" si="15"/>
        <v>1080</v>
      </c>
      <c r="I250" t="b">
        <f t="shared" si="16"/>
        <v>1</v>
      </c>
      <c r="J250" s="4">
        <f t="shared" si="17"/>
        <v>-0.5115925925925926</v>
      </c>
      <c r="M250"/>
      <c r="O250" t="s">
        <v>1028</v>
      </c>
      <c r="P250">
        <v>611</v>
      </c>
      <c r="Q250">
        <v>1458.74</v>
      </c>
    </row>
    <row r="251" spans="1:17" hidden="1">
      <c r="A251" t="s">
        <v>440</v>
      </c>
      <c r="B251" t="s">
        <v>441</v>
      </c>
      <c r="C251" s="27">
        <v>749</v>
      </c>
      <c r="D251" s="18">
        <f t="shared" si="14"/>
        <v>24.966666666666665</v>
      </c>
      <c r="E251" s="5">
        <v>977.2</v>
      </c>
      <c r="H251" s="18">
        <f t="shared" si="15"/>
        <v>1498</v>
      </c>
      <c r="I251" t="b">
        <f t="shared" si="16"/>
        <v>1</v>
      </c>
      <c r="J251" s="4">
        <f t="shared" si="17"/>
        <v>-0.34766355140186911</v>
      </c>
      <c r="M251"/>
      <c r="O251" t="s">
        <v>1179</v>
      </c>
      <c r="P251">
        <v>2751</v>
      </c>
      <c r="Q251">
        <v>3498.09</v>
      </c>
    </row>
    <row r="252" spans="1:17" hidden="1">
      <c r="A252" s="38" t="s">
        <v>496</v>
      </c>
      <c r="B252" s="35" t="s">
        <v>497</v>
      </c>
      <c r="C252" s="27">
        <v>1103</v>
      </c>
      <c r="D252" s="18">
        <f t="shared" si="14"/>
        <v>36.766666666666666</v>
      </c>
      <c r="E252" s="5">
        <v>2218.86</v>
      </c>
      <c r="H252" s="18">
        <f t="shared" si="15"/>
        <v>2206</v>
      </c>
      <c r="I252" t="b">
        <f t="shared" si="16"/>
        <v>1</v>
      </c>
      <c r="J252" s="4">
        <f t="shared" si="17"/>
        <v>5.8295557570262613E-3</v>
      </c>
      <c r="M252"/>
      <c r="O252" t="s">
        <v>1050</v>
      </c>
      <c r="P252">
        <v>2185</v>
      </c>
      <c r="Q252">
        <v>3732.5</v>
      </c>
    </row>
    <row r="253" spans="1:17" hidden="1">
      <c r="A253" s="123" t="s">
        <v>246</v>
      </c>
      <c r="B253" s="35" t="s">
        <v>247</v>
      </c>
      <c r="C253" s="27">
        <v>0</v>
      </c>
      <c r="D253" s="18">
        <f t="shared" si="14"/>
        <v>0</v>
      </c>
      <c r="E253" s="5">
        <v>0</v>
      </c>
      <c r="H253" s="18">
        <f t="shared" si="15"/>
        <v>0</v>
      </c>
      <c r="I253" t="b">
        <f t="shared" si="16"/>
        <v>1</v>
      </c>
      <c r="J253" s="4" t="e">
        <f t="shared" si="17"/>
        <v>#DIV/0!</v>
      </c>
      <c r="M253"/>
      <c r="O253" t="s">
        <v>978</v>
      </c>
      <c r="P253">
        <v>1039</v>
      </c>
      <c r="Q253">
        <v>1446.12</v>
      </c>
    </row>
    <row r="254" spans="1:17" hidden="1">
      <c r="A254" s="26" t="s">
        <v>58</v>
      </c>
      <c r="B254" s="35" t="s">
        <v>59</v>
      </c>
      <c r="C254" s="27">
        <v>712</v>
      </c>
      <c r="D254" s="18">
        <f t="shared" si="14"/>
        <v>23.733333333333334</v>
      </c>
      <c r="E254" s="5">
        <v>930.55</v>
      </c>
      <c r="H254" s="18">
        <f t="shared" si="15"/>
        <v>1424</v>
      </c>
      <c r="I254" t="b">
        <f t="shared" si="16"/>
        <v>1</v>
      </c>
      <c r="J254" s="4">
        <f t="shared" si="17"/>
        <v>-0.34652387640449445</v>
      </c>
      <c r="M254"/>
      <c r="O254" t="s">
        <v>1107</v>
      </c>
      <c r="P254">
        <v>1195</v>
      </c>
      <c r="Q254">
        <v>2255.9299999999998</v>
      </c>
    </row>
    <row r="255" spans="1:17" hidden="1">
      <c r="A255" t="s">
        <v>154</v>
      </c>
      <c r="B255" t="s">
        <v>155</v>
      </c>
      <c r="C255" s="27">
        <v>2367</v>
      </c>
      <c r="D255" s="18">
        <f t="shared" si="14"/>
        <v>78.900000000000006</v>
      </c>
      <c r="E255" s="5">
        <v>5462.96</v>
      </c>
      <c r="H255" s="18">
        <f t="shared" si="15"/>
        <v>4734</v>
      </c>
      <c r="I255" t="b">
        <f t="shared" si="16"/>
        <v>1</v>
      </c>
      <c r="J255" s="4">
        <f t="shared" si="17"/>
        <v>0.15398394592310938</v>
      </c>
      <c r="L255" s="106"/>
      <c r="M255"/>
      <c r="O255" t="s">
        <v>1129</v>
      </c>
      <c r="P255">
        <v>2263</v>
      </c>
      <c r="Q255">
        <v>5130.78</v>
      </c>
    </row>
    <row r="256" spans="1:17" hidden="1">
      <c r="A256" t="s">
        <v>462</v>
      </c>
      <c r="B256" t="s">
        <v>463</v>
      </c>
      <c r="C256" s="27">
        <v>1210</v>
      </c>
      <c r="D256" s="18">
        <f t="shared" si="14"/>
        <v>40.333333333333336</v>
      </c>
      <c r="E256" s="5">
        <v>1319</v>
      </c>
      <c r="H256" s="18">
        <f t="shared" si="15"/>
        <v>2420</v>
      </c>
      <c r="I256" t="b">
        <f t="shared" si="16"/>
        <v>1</v>
      </c>
      <c r="J256" s="4">
        <f t="shared" si="17"/>
        <v>-0.45495867768595044</v>
      </c>
      <c r="O256" t="s">
        <v>1096</v>
      </c>
      <c r="P256">
        <v>2201</v>
      </c>
      <c r="Q256">
        <v>2780.43</v>
      </c>
    </row>
    <row r="257" spans="1:17" hidden="1">
      <c r="A257" t="s">
        <v>70</v>
      </c>
      <c r="B257" t="s">
        <v>71</v>
      </c>
      <c r="C257" s="27">
        <v>2465</v>
      </c>
      <c r="D257" s="18">
        <f t="shared" si="14"/>
        <v>82.166666666666671</v>
      </c>
      <c r="E257" s="5">
        <v>3417.68</v>
      </c>
      <c r="H257" s="18">
        <f t="shared" si="15"/>
        <v>4930</v>
      </c>
      <c r="I257" t="b">
        <f t="shared" si="16"/>
        <v>1</v>
      </c>
      <c r="J257" s="4">
        <f t="shared" si="17"/>
        <v>-0.3067586206896552</v>
      </c>
      <c r="M257"/>
      <c r="O257" t="s">
        <v>1100</v>
      </c>
      <c r="P257">
        <v>1667</v>
      </c>
      <c r="Q257">
        <v>2965.44</v>
      </c>
    </row>
    <row r="258" spans="1:17" hidden="1">
      <c r="A258" t="s">
        <v>839</v>
      </c>
      <c r="B258" t="s">
        <v>840</v>
      </c>
      <c r="C258" s="27">
        <v>1133</v>
      </c>
      <c r="D258" s="18">
        <f t="shared" si="14"/>
        <v>37.766666666666666</v>
      </c>
      <c r="E258" s="5">
        <v>904.59</v>
      </c>
      <c r="H258" s="18">
        <f t="shared" si="15"/>
        <v>2266</v>
      </c>
      <c r="I258" t="b">
        <f t="shared" si="16"/>
        <v>1</v>
      </c>
      <c r="J258" s="4">
        <f t="shared" si="17"/>
        <v>-0.60079876434245372</v>
      </c>
      <c r="M258"/>
      <c r="O258" t="s">
        <v>928</v>
      </c>
      <c r="P258">
        <v>4039</v>
      </c>
      <c r="Q258">
        <v>5176.58</v>
      </c>
    </row>
    <row r="259" spans="1:17" hidden="1">
      <c r="A259" t="s">
        <v>618</v>
      </c>
      <c r="B259" t="s">
        <v>619</v>
      </c>
      <c r="C259" s="27">
        <v>1341</v>
      </c>
      <c r="D259" s="18">
        <f t="shared" ref="D259:D322" si="18">C259/30</f>
        <v>44.7</v>
      </c>
      <c r="E259" s="5">
        <v>2516.9</v>
      </c>
      <c r="H259" s="18">
        <f t="shared" ref="H259:H322" si="19">IF((C259/30)&gt;100,C259*2,C259*2)</f>
        <v>2682</v>
      </c>
      <c r="I259" t="b">
        <f t="shared" si="16"/>
        <v>1</v>
      </c>
      <c r="J259" s="4">
        <f t="shared" si="17"/>
        <v>-6.1558538404175911E-2</v>
      </c>
      <c r="M259"/>
      <c r="O259" t="s">
        <v>1223</v>
      </c>
      <c r="P259">
        <v>1372</v>
      </c>
      <c r="Q259">
        <v>3179.39</v>
      </c>
    </row>
    <row r="260" spans="1:17" hidden="1">
      <c r="A260" s="38" t="s">
        <v>642</v>
      </c>
      <c r="B260" s="35" t="s">
        <v>643</v>
      </c>
      <c r="C260" s="27">
        <v>601</v>
      </c>
      <c r="D260" s="18">
        <f t="shared" si="18"/>
        <v>20.033333333333335</v>
      </c>
      <c r="E260" s="5">
        <v>839.89</v>
      </c>
      <c r="H260" s="18">
        <f t="shared" si="19"/>
        <v>1202</v>
      </c>
      <c r="I260" t="b">
        <f t="shared" si="16"/>
        <v>1</v>
      </c>
      <c r="J260" s="4">
        <f t="shared" si="17"/>
        <v>-0.30125623960066561</v>
      </c>
      <c r="M260" s="109"/>
      <c r="O260" t="s">
        <v>1638</v>
      </c>
      <c r="P260">
        <v>3</v>
      </c>
      <c r="Q260">
        <v>0</v>
      </c>
    </row>
    <row r="261" spans="1:17" hidden="1">
      <c r="A261" s="38" t="s">
        <v>138</v>
      </c>
      <c r="B261" s="35" t="s">
        <v>139</v>
      </c>
      <c r="C261" s="27">
        <v>872</v>
      </c>
      <c r="D261" s="18">
        <f t="shared" si="18"/>
        <v>29.066666666666666</v>
      </c>
      <c r="E261" s="5">
        <v>1330.92</v>
      </c>
      <c r="H261" s="18">
        <f t="shared" si="19"/>
        <v>1744</v>
      </c>
      <c r="I261" t="b">
        <f t="shared" si="16"/>
        <v>1</v>
      </c>
      <c r="J261" s="4">
        <f t="shared" si="17"/>
        <v>-0.23685779816513752</v>
      </c>
      <c r="M261"/>
      <c r="O261" t="s">
        <v>1133</v>
      </c>
      <c r="P261">
        <v>740</v>
      </c>
      <c r="Q261">
        <v>1692.16</v>
      </c>
    </row>
    <row r="262" spans="1:17" hidden="1">
      <c r="A262" t="s">
        <v>835</v>
      </c>
      <c r="B262" t="s">
        <v>836</v>
      </c>
      <c r="C262" s="27">
        <v>14036</v>
      </c>
      <c r="D262" s="18">
        <f t="shared" si="18"/>
        <v>467.86666666666667</v>
      </c>
      <c r="E262" s="5">
        <v>16588.150000000001</v>
      </c>
      <c r="H262" s="18">
        <f t="shared" si="19"/>
        <v>28072</v>
      </c>
      <c r="I262" t="b">
        <f t="shared" si="16"/>
        <v>1</v>
      </c>
      <c r="J262" s="4">
        <f t="shared" si="17"/>
        <v>-0.40908556568823018</v>
      </c>
      <c r="M262"/>
      <c r="O262" t="s">
        <v>974</v>
      </c>
      <c r="P262">
        <v>934</v>
      </c>
      <c r="Q262">
        <v>1679.4</v>
      </c>
    </row>
    <row r="263" spans="1:17" hidden="1">
      <c r="A263" t="s">
        <v>232</v>
      </c>
      <c r="B263" t="s">
        <v>233</v>
      </c>
      <c r="C263" s="27">
        <v>110</v>
      </c>
      <c r="D263" s="18">
        <f t="shared" si="18"/>
        <v>3.6666666666666665</v>
      </c>
      <c r="E263" s="5">
        <v>98.12</v>
      </c>
      <c r="H263" s="18">
        <f t="shared" si="19"/>
        <v>220</v>
      </c>
      <c r="I263" t="b">
        <f t="shared" si="16"/>
        <v>1</v>
      </c>
      <c r="J263" s="4">
        <f t="shared" si="17"/>
        <v>-0.55400000000000005</v>
      </c>
      <c r="M263"/>
      <c r="O263" t="s">
        <v>1012</v>
      </c>
      <c r="P263">
        <v>1221</v>
      </c>
      <c r="Q263">
        <v>1238.4000000000001</v>
      </c>
    </row>
    <row r="264" spans="1:17" hidden="1">
      <c r="A264" t="s">
        <v>106</v>
      </c>
      <c r="B264" t="s">
        <v>107</v>
      </c>
      <c r="C264" s="27">
        <v>2206</v>
      </c>
      <c r="D264" s="18">
        <f t="shared" si="18"/>
        <v>73.533333333333331</v>
      </c>
      <c r="E264" s="5">
        <v>2600.87</v>
      </c>
      <c r="H264" s="18">
        <f t="shared" si="19"/>
        <v>4412</v>
      </c>
      <c r="I264" t="b">
        <f t="shared" si="16"/>
        <v>1</v>
      </c>
      <c r="J264" s="4">
        <f t="shared" si="17"/>
        <v>-0.41050090661831373</v>
      </c>
      <c r="M264"/>
      <c r="O264" t="s">
        <v>945</v>
      </c>
      <c r="P264">
        <v>706</v>
      </c>
      <c r="Q264">
        <v>887.74</v>
      </c>
    </row>
    <row r="265" spans="1:17" hidden="1">
      <c r="A265" s="35" t="s">
        <v>374</v>
      </c>
      <c r="B265" s="35" t="s">
        <v>375</v>
      </c>
      <c r="C265" s="27">
        <v>782</v>
      </c>
      <c r="D265" s="18">
        <f t="shared" si="18"/>
        <v>26.066666666666666</v>
      </c>
      <c r="E265" s="5">
        <v>1723.89</v>
      </c>
      <c r="H265" s="18">
        <f t="shared" si="19"/>
        <v>1564</v>
      </c>
      <c r="I265" t="b">
        <f t="shared" si="16"/>
        <v>1</v>
      </c>
      <c r="J265" s="4">
        <f t="shared" si="17"/>
        <v>0.10223145780051168</v>
      </c>
      <c r="M265"/>
      <c r="O265" t="s">
        <v>930</v>
      </c>
      <c r="P265">
        <v>995</v>
      </c>
      <c r="Q265">
        <v>1253.03</v>
      </c>
    </row>
    <row r="266" spans="1:17" hidden="1">
      <c r="A266" t="s">
        <v>638</v>
      </c>
      <c r="B266" t="s">
        <v>639</v>
      </c>
      <c r="C266" s="27">
        <v>4999</v>
      </c>
      <c r="D266" s="18">
        <f t="shared" si="18"/>
        <v>166.63333333333333</v>
      </c>
      <c r="E266" s="5">
        <v>4708.91</v>
      </c>
      <c r="H266" s="18">
        <f t="shared" si="19"/>
        <v>9998</v>
      </c>
      <c r="I266" t="b">
        <f t="shared" si="16"/>
        <v>1</v>
      </c>
      <c r="J266" s="4">
        <f t="shared" si="17"/>
        <v>-0.52901480296059211</v>
      </c>
      <c r="M266"/>
      <c r="O266" t="s">
        <v>1697</v>
      </c>
      <c r="P266">
        <v>942</v>
      </c>
      <c r="Q266">
        <v>1905.07</v>
      </c>
    </row>
    <row r="267" spans="1:17" hidden="1">
      <c r="A267" s="38" t="s">
        <v>28</v>
      </c>
      <c r="B267" s="35" t="s">
        <v>29</v>
      </c>
      <c r="C267" s="27">
        <v>3353</v>
      </c>
      <c r="D267" s="18">
        <f t="shared" si="18"/>
        <v>111.76666666666667</v>
      </c>
      <c r="E267" s="5">
        <v>3510.39</v>
      </c>
      <c r="H267" s="18">
        <f t="shared" si="19"/>
        <v>6706</v>
      </c>
      <c r="I267" t="b">
        <f t="shared" si="16"/>
        <v>1</v>
      </c>
      <c r="J267" s="4">
        <f t="shared" si="17"/>
        <v>-0.47652997315836565</v>
      </c>
      <c r="M267"/>
      <c r="O267" t="s">
        <v>1014</v>
      </c>
      <c r="P267">
        <v>697</v>
      </c>
      <c r="Q267">
        <v>933.22</v>
      </c>
    </row>
    <row r="268" spans="1:17" hidden="1">
      <c r="A268" s="38" t="s">
        <v>774</v>
      </c>
      <c r="B268" s="35" t="s">
        <v>775</v>
      </c>
      <c r="C268" s="27">
        <v>478</v>
      </c>
      <c r="D268" s="18">
        <f t="shared" si="18"/>
        <v>15.933333333333334</v>
      </c>
      <c r="E268" s="5">
        <v>624.49</v>
      </c>
      <c r="H268" s="18">
        <f t="shared" si="19"/>
        <v>956</v>
      </c>
      <c r="I268" t="b">
        <f t="shared" si="16"/>
        <v>1</v>
      </c>
      <c r="J268" s="4">
        <f t="shared" si="17"/>
        <v>-0.34676778242677819</v>
      </c>
      <c r="M268"/>
      <c r="O268" t="s">
        <v>1022</v>
      </c>
      <c r="P268">
        <v>1585</v>
      </c>
      <c r="Q268">
        <v>1853.67</v>
      </c>
    </row>
    <row r="269" spans="1:17" hidden="1">
      <c r="A269" t="s">
        <v>210</v>
      </c>
      <c r="B269" t="s">
        <v>211</v>
      </c>
      <c r="C269" s="27">
        <v>3221</v>
      </c>
      <c r="D269" s="18">
        <f t="shared" si="18"/>
        <v>107.36666666666666</v>
      </c>
      <c r="E269" s="5">
        <v>3841.18</v>
      </c>
      <c r="H269" s="18">
        <f t="shared" si="19"/>
        <v>6442</v>
      </c>
      <c r="I269" t="b">
        <f t="shared" si="16"/>
        <v>1</v>
      </c>
      <c r="J269" s="4">
        <f t="shared" si="17"/>
        <v>-0.40372865569698857</v>
      </c>
      <c r="M269"/>
      <c r="O269" t="s">
        <v>922</v>
      </c>
      <c r="P269">
        <v>1841</v>
      </c>
      <c r="Q269">
        <v>2630.37</v>
      </c>
    </row>
    <row r="270" spans="1:17">
      <c r="A270" t="s">
        <v>384</v>
      </c>
      <c r="B270" t="s">
        <v>385</v>
      </c>
      <c r="C270" s="27">
        <v>238</v>
      </c>
      <c r="D270" s="18">
        <f t="shared" si="18"/>
        <v>7.9333333333333336</v>
      </c>
      <c r="E270" s="5">
        <v>677.06</v>
      </c>
      <c r="H270" s="18">
        <f t="shared" si="19"/>
        <v>476</v>
      </c>
      <c r="I270" t="b">
        <f t="shared" si="16"/>
        <v>0</v>
      </c>
      <c r="J270" s="4">
        <f t="shared" si="17"/>
        <v>0.42239495798319315</v>
      </c>
      <c r="M270"/>
      <c r="O270" t="s">
        <v>1062</v>
      </c>
      <c r="P270">
        <v>1079</v>
      </c>
      <c r="Q270">
        <v>2122.04</v>
      </c>
    </row>
    <row r="271" spans="1:17" hidden="1">
      <c r="A271" s="38" t="s">
        <v>859</v>
      </c>
      <c r="B271" s="35" t="s">
        <v>860</v>
      </c>
      <c r="C271" s="27">
        <v>472</v>
      </c>
      <c r="D271" s="18">
        <f t="shared" si="18"/>
        <v>15.733333333333333</v>
      </c>
      <c r="E271" s="5">
        <v>1045.97</v>
      </c>
      <c r="H271" s="18">
        <f t="shared" si="19"/>
        <v>944</v>
      </c>
      <c r="I271" t="b">
        <f t="shared" si="16"/>
        <v>1</v>
      </c>
      <c r="J271" s="4">
        <f t="shared" si="17"/>
        <v>0.10801906779661019</v>
      </c>
      <c r="M271"/>
      <c r="O271" t="s">
        <v>1046</v>
      </c>
      <c r="P271">
        <v>337</v>
      </c>
      <c r="Q271">
        <v>529.88</v>
      </c>
    </row>
    <row r="272" spans="1:17" hidden="1">
      <c r="A272" t="s">
        <v>600</v>
      </c>
      <c r="B272" t="s">
        <v>601</v>
      </c>
      <c r="C272" s="27">
        <v>2477</v>
      </c>
      <c r="D272" s="18">
        <f t="shared" si="18"/>
        <v>82.566666666666663</v>
      </c>
      <c r="E272" s="5">
        <v>1640.77</v>
      </c>
      <c r="H272" s="18">
        <f t="shared" si="19"/>
        <v>4954</v>
      </c>
      <c r="I272" t="b">
        <f t="shared" si="16"/>
        <v>1</v>
      </c>
      <c r="J272" s="4">
        <f t="shared" si="17"/>
        <v>-0.66879895034315706</v>
      </c>
      <c r="M272"/>
      <c r="O272" t="s">
        <v>1042</v>
      </c>
      <c r="P272">
        <v>456</v>
      </c>
      <c r="Q272">
        <v>569.27</v>
      </c>
    </row>
    <row r="273" spans="1:17" hidden="1">
      <c r="A273" t="s">
        <v>114</v>
      </c>
      <c r="B273" t="s">
        <v>115</v>
      </c>
      <c r="C273" s="27">
        <v>373</v>
      </c>
      <c r="D273" s="18">
        <f t="shared" si="18"/>
        <v>12.433333333333334</v>
      </c>
      <c r="E273" s="5">
        <v>589.41</v>
      </c>
      <c r="H273" s="18">
        <f t="shared" si="19"/>
        <v>746</v>
      </c>
      <c r="I273" t="b">
        <f t="shared" si="16"/>
        <v>1</v>
      </c>
      <c r="J273" s="4">
        <f t="shared" si="17"/>
        <v>-0.20990616621983915</v>
      </c>
      <c r="M273"/>
      <c r="O273" t="s">
        <v>1070</v>
      </c>
      <c r="P273">
        <v>1330</v>
      </c>
      <c r="Q273">
        <v>1531.91</v>
      </c>
    </row>
    <row r="274" spans="1:17" hidden="1">
      <c r="A274" t="s">
        <v>200</v>
      </c>
      <c r="B274" t="s">
        <v>201</v>
      </c>
      <c r="C274" s="27">
        <v>163</v>
      </c>
      <c r="D274" s="18">
        <f t="shared" si="18"/>
        <v>5.4333333333333336</v>
      </c>
      <c r="E274" s="5">
        <v>27.42</v>
      </c>
      <c r="H274" s="18">
        <f t="shared" si="19"/>
        <v>326</v>
      </c>
      <c r="I274" t="b">
        <f t="shared" si="16"/>
        <v>1</v>
      </c>
      <c r="J274" s="4">
        <f t="shared" si="17"/>
        <v>-0.91588957055214726</v>
      </c>
      <c r="M274"/>
      <c r="O274" t="s">
        <v>1054</v>
      </c>
      <c r="P274">
        <v>736</v>
      </c>
      <c r="Q274">
        <v>930.48</v>
      </c>
    </row>
    <row r="275" spans="1:17" hidden="1">
      <c r="A275" t="s">
        <v>80</v>
      </c>
      <c r="B275" t="s">
        <v>81</v>
      </c>
      <c r="C275" s="27">
        <v>437</v>
      </c>
      <c r="D275" s="18">
        <f t="shared" si="18"/>
        <v>14.566666666666666</v>
      </c>
      <c r="E275" s="5">
        <v>988.49</v>
      </c>
      <c r="H275" s="18">
        <f t="shared" si="19"/>
        <v>874</v>
      </c>
      <c r="I275" t="b">
        <f t="shared" si="16"/>
        <v>1</v>
      </c>
      <c r="J275" s="4">
        <f t="shared" si="17"/>
        <v>0.13099542334096115</v>
      </c>
      <c r="M275"/>
      <c r="O275" t="s">
        <v>972</v>
      </c>
      <c r="P275">
        <v>468</v>
      </c>
      <c r="Q275">
        <v>604.41</v>
      </c>
    </row>
    <row r="276" spans="1:17" hidden="1">
      <c r="A276" s="38" t="s">
        <v>510</v>
      </c>
      <c r="B276" s="35" t="s">
        <v>511</v>
      </c>
      <c r="C276" s="27">
        <v>991</v>
      </c>
      <c r="D276" s="18">
        <f t="shared" si="18"/>
        <v>33.033333333333331</v>
      </c>
      <c r="E276" s="5">
        <v>1396.96</v>
      </c>
      <c r="H276" s="18">
        <f t="shared" si="19"/>
        <v>1982</v>
      </c>
      <c r="I276" t="b">
        <f t="shared" si="16"/>
        <v>1</v>
      </c>
      <c r="J276" s="4">
        <f t="shared" si="17"/>
        <v>-0.29517658930373358</v>
      </c>
      <c r="M276"/>
      <c r="O276" t="s">
        <v>1102</v>
      </c>
      <c r="P276">
        <v>1391</v>
      </c>
      <c r="Q276">
        <v>3435.81</v>
      </c>
    </row>
    <row r="277" spans="1:17" hidden="1">
      <c r="A277" t="s">
        <v>492</v>
      </c>
      <c r="B277" t="s">
        <v>493</v>
      </c>
      <c r="C277" s="27">
        <v>1645</v>
      </c>
      <c r="D277" s="18">
        <f t="shared" si="18"/>
        <v>54.833333333333336</v>
      </c>
      <c r="E277" s="5">
        <v>2647.17</v>
      </c>
      <c r="H277" s="18">
        <f t="shared" si="19"/>
        <v>3290</v>
      </c>
      <c r="I277" t="b">
        <f t="shared" si="16"/>
        <v>1</v>
      </c>
      <c r="J277" s="4">
        <f t="shared" si="17"/>
        <v>-0.19538905775075988</v>
      </c>
      <c r="M277"/>
      <c r="O277" t="s">
        <v>962</v>
      </c>
      <c r="P277">
        <v>1388</v>
      </c>
      <c r="Q277">
        <v>939.57</v>
      </c>
    </row>
    <row r="278" spans="1:17">
      <c r="A278" s="38" t="s">
        <v>670</v>
      </c>
      <c r="B278" s="35" t="s">
        <v>671</v>
      </c>
      <c r="C278" s="18">
        <v>357</v>
      </c>
      <c r="D278" s="18">
        <f t="shared" si="18"/>
        <v>11.9</v>
      </c>
      <c r="E278" s="5">
        <v>1004.71</v>
      </c>
      <c r="H278" s="18">
        <f t="shared" si="19"/>
        <v>714</v>
      </c>
      <c r="I278" t="b">
        <f t="shared" si="16"/>
        <v>0</v>
      </c>
      <c r="J278" s="4">
        <f t="shared" si="17"/>
        <v>0.4071568627450981</v>
      </c>
      <c r="M278"/>
      <c r="O278" t="s">
        <v>900</v>
      </c>
      <c r="P278">
        <v>2475</v>
      </c>
      <c r="Q278">
        <v>4662.12</v>
      </c>
    </row>
    <row r="279" spans="1:17" hidden="1">
      <c r="A279" s="35" t="s">
        <v>815</v>
      </c>
      <c r="B279" s="35" t="s">
        <v>816</v>
      </c>
      <c r="C279" s="27">
        <v>993</v>
      </c>
      <c r="D279" s="18">
        <f t="shared" si="18"/>
        <v>33.1</v>
      </c>
      <c r="E279" s="5">
        <v>1656.96</v>
      </c>
      <c r="H279" s="18">
        <f t="shared" si="19"/>
        <v>1986</v>
      </c>
      <c r="I279" t="b">
        <f t="shared" si="16"/>
        <v>1</v>
      </c>
      <c r="J279" s="4">
        <f t="shared" si="17"/>
        <v>-0.16567975830815707</v>
      </c>
      <c r="M279"/>
      <c r="O279" t="s">
        <v>1020</v>
      </c>
      <c r="P279">
        <v>480</v>
      </c>
      <c r="Q279">
        <v>1367.15</v>
      </c>
    </row>
    <row r="280" spans="1:17" hidden="1">
      <c r="A280" s="38" t="s">
        <v>136</v>
      </c>
      <c r="B280" s="35" t="s">
        <v>137</v>
      </c>
      <c r="C280" s="18">
        <v>1009</v>
      </c>
      <c r="D280" s="18">
        <f t="shared" si="18"/>
        <v>33.633333333333333</v>
      </c>
      <c r="E280" s="5">
        <v>1427.13</v>
      </c>
      <c r="H280" s="18">
        <f t="shared" si="19"/>
        <v>2018</v>
      </c>
      <c r="I280" t="b">
        <f t="shared" si="16"/>
        <v>1</v>
      </c>
      <c r="J280" s="4">
        <f t="shared" si="17"/>
        <v>-0.29279980178394449</v>
      </c>
      <c r="M280"/>
      <c r="O280" t="s">
        <v>1115</v>
      </c>
      <c r="P280">
        <v>2459</v>
      </c>
      <c r="Q280">
        <v>2134.25</v>
      </c>
    </row>
    <row r="281" spans="1:17" hidden="1">
      <c r="A281" t="s">
        <v>502</v>
      </c>
      <c r="B281" t="s">
        <v>503</v>
      </c>
      <c r="C281" s="27">
        <v>346</v>
      </c>
      <c r="D281" s="18">
        <f t="shared" si="18"/>
        <v>11.533333333333333</v>
      </c>
      <c r="E281" s="5">
        <v>733.87</v>
      </c>
      <c r="H281" s="18">
        <f t="shared" si="19"/>
        <v>692</v>
      </c>
      <c r="I281" t="b">
        <f t="shared" si="16"/>
        <v>1</v>
      </c>
      <c r="J281" s="4">
        <f t="shared" si="17"/>
        <v>6.0505780346820748E-2</v>
      </c>
      <c r="M281"/>
      <c r="O281" t="s">
        <v>964</v>
      </c>
      <c r="P281">
        <v>957</v>
      </c>
      <c r="Q281">
        <v>952.57</v>
      </c>
    </row>
    <row r="282" spans="1:17" hidden="1">
      <c r="A282" t="s">
        <v>48</v>
      </c>
      <c r="B282" t="s">
        <v>49</v>
      </c>
      <c r="C282" s="27">
        <v>1792</v>
      </c>
      <c r="D282" s="18">
        <f t="shared" si="18"/>
        <v>59.733333333333334</v>
      </c>
      <c r="E282" s="5">
        <v>352.05</v>
      </c>
      <c r="H282" s="18">
        <f t="shared" si="19"/>
        <v>3584</v>
      </c>
      <c r="I282" t="b">
        <f t="shared" si="16"/>
        <v>1</v>
      </c>
      <c r="J282" s="4">
        <f t="shared" si="17"/>
        <v>-0.90177176339285714</v>
      </c>
      <c r="M282"/>
      <c r="O282" t="s">
        <v>1626</v>
      </c>
      <c r="P282">
        <v>171</v>
      </c>
      <c r="Q282">
        <v>98.72</v>
      </c>
    </row>
    <row r="283" spans="1:17" hidden="1">
      <c r="A283" t="s">
        <v>568</v>
      </c>
      <c r="B283" t="s">
        <v>569</v>
      </c>
      <c r="C283" s="27">
        <v>3165</v>
      </c>
      <c r="D283" s="18">
        <f t="shared" si="18"/>
        <v>105.5</v>
      </c>
      <c r="E283" s="5">
        <v>2441.23</v>
      </c>
      <c r="H283" s="18">
        <f t="shared" si="19"/>
        <v>6330</v>
      </c>
      <c r="I283" t="b">
        <f t="shared" si="16"/>
        <v>1</v>
      </c>
      <c r="J283" s="4">
        <f t="shared" si="17"/>
        <v>-0.61433965244865718</v>
      </c>
      <c r="M283"/>
      <c r="O283" t="s">
        <v>1711</v>
      </c>
      <c r="P283">
        <v>0</v>
      </c>
      <c r="Q283">
        <v>0</v>
      </c>
    </row>
    <row r="284" spans="1:17">
      <c r="A284" t="s">
        <v>754</v>
      </c>
      <c r="B284" t="s">
        <v>755</v>
      </c>
      <c r="C284" s="27">
        <v>930</v>
      </c>
      <c r="D284" s="18">
        <f t="shared" si="18"/>
        <v>31</v>
      </c>
      <c r="E284" s="5">
        <v>2942.27</v>
      </c>
      <c r="H284" s="18">
        <f t="shared" si="19"/>
        <v>1860</v>
      </c>
      <c r="I284" t="b">
        <f t="shared" si="16"/>
        <v>0</v>
      </c>
      <c r="J284" s="4">
        <f t="shared" si="17"/>
        <v>0.58186559139784944</v>
      </c>
      <c r="M284"/>
      <c r="O284" t="s">
        <v>1005</v>
      </c>
      <c r="P284">
        <v>671</v>
      </c>
      <c r="Q284">
        <v>0</v>
      </c>
    </row>
    <row r="285" spans="1:17" hidden="1">
      <c r="A285" t="s">
        <v>74</v>
      </c>
      <c r="B285" t="s">
        <v>75</v>
      </c>
      <c r="C285" s="27">
        <v>948</v>
      </c>
      <c r="D285" s="18">
        <f t="shared" si="18"/>
        <v>31.6</v>
      </c>
      <c r="E285" s="5">
        <v>2034.47</v>
      </c>
      <c r="H285" s="18">
        <f t="shared" si="19"/>
        <v>1896</v>
      </c>
      <c r="I285" t="b">
        <f t="shared" si="16"/>
        <v>1</v>
      </c>
      <c r="J285" s="4">
        <f t="shared" si="17"/>
        <v>7.3032700421940877E-2</v>
      </c>
      <c r="M285"/>
      <c r="O285" t="s">
        <v>1206</v>
      </c>
      <c r="P285">
        <v>1758</v>
      </c>
      <c r="Q285">
        <v>3478.4</v>
      </c>
    </row>
    <row r="286" spans="1:17" hidden="1">
      <c r="A286" t="s">
        <v>674</v>
      </c>
      <c r="B286" s="26" t="s">
        <v>675</v>
      </c>
      <c r="C286" s="27">
        <v>1890</v>
      </c>
      <c r="D286" s="18">
        <f t="shared" si="18"/>
        <v>63</v>
      </c>
      <c r="E286" s="5">
        <v>2315.33</v>
      </c>
      <c r="H286" s="18">
        <f t="shared" si="19"/>
        <v>3780</v>
      </c>
      <c r="I286" t="b">
        <f t="shared" si="16"/>
        <v>1</v>
      </c>
      <c r="J286" s="4">
        <f t="shared" si="17"/>
        <v>-0.38747883597883603</v>
      </c>
      <c r="M286"/>
      <c r="O286" t="s">
        <v>1139</v>
      </c>
      <c r="P286">
        <v>1810</v>
      </c>
      <c r="Q286">
        <v>2248.7199999999998</v>
      </c>
    </row>
    <row r="287" spans="1:17" hidden="1">
      <c r="A287" s="38" t="s">
        <v>867</v>
      </c>
      <c r="B287" s="35" t="s">
        <v>868</v>
      </c>
      <c r="C287" s="18">
        <v>6157</v>
      </c>
      <c r="D287" s="18">
        <f t="shared" si="18"/>
        <v>205.23333333333332</v>
      </c>
      <c r="E287" s="5">
        <v>7976.37</v>
      </c>
      <c r="H287" s="18">
        <f t="shared" si="19"/>
        <v>12314</v>
      </c>
      <c r="I287" t="b">
        <f t="shared" si="16"/>
        <v>1</v>
      </c>
      <c r="J287" s="4">
        <f t="shared" si="17"/>
        <v>-0.35225190839694653</v>
      </c>
      <c r="M287"/>
      <c r="O287" t="s">
        <v>1637</v>
      </c>
      <c r="P287">
        <v>130</v>
      </c>
      <c r="Q287">
        <v>0</v>
      </c>
    </row>
    <row r="288" spans="1:17" hidden="1">
      <c r="A288" t="s">
        <v>396</v>
      </c>
      <c r="B288" t="s">
        <v>397</v>
      </c>
      <c r="C288" s="27">
        <v>1566</v>
      </c>
      <c r="D288" s="18">
        <f t="shared" si="18"/>
        <v>52.2</v>
      </c>
      <c r="E288" s="5">
        <v>958.25</v>
      </c>
      <c r="H288" s="18">
        <f t="shared" si="19"/>
        <v>3132</v>
      </c>
      <c r="I288" t="b">
        <f t="shared" si="16"/>
        <v>1</v>
      </c>
      <c r="J288" s="4">
        <f t="shared" si="17"/>
        <v>-0.69404533844189009</v>
      </c>
      <c r="M288"/>
      <c r="O288" t="s">
        <v>1183</v>
      </c>
      <c r="P288">
        <v>1461</v>
      </c>
      <c r="Q288">
        <v>3193.14</v>
      </c>
    </row>
    <row r="289" spans="1:17" hidden="1">
      <c r="A289" t="s">
        <v>16</v>
      </c>
      <c r="B289" t="s">
        <v>17</v>
      </c>
      <c r="C289" s="27">
        <v>44290</v>
      </c>
      <c r="D289" s="18">
        <f t="shared" si="18"/>
        <v>1476.3333333333333</v>
      </c>
      <c r="E289" s="5">
        <v>54763.47</v>
      </c>
      <c r="H289" s="18">
        <f t="shared" si="19"/>
        <v>88580</v>
      </c>
      <c r="I289" t="b">
        <f t="shared" si="16"/>
        <v>1</v>
      </c>
      <c r="J289" s="4">
        <f t="shared" si="17"/>
        <v>-0.38176258749153302</v>
      </c>
      <c r="M289" s="109"/>
      <c r="O289" t="s">
        <v>924</v>
      </c>
      <c r="P289">
        <v>898</v>
      </c>
      <c r="Q289">
        <v>1140.48</v>
      </c>
    </row>
    <row r="290" spans="1:17" hidden="1">
      <c r="A290" s="35" t="s">
        <v>853</v>
      </c>
      <c r="B290" s="26" t="s">
        <v>854</v>
      </c>
      <c r="C290" s="27">
        <v>2016</v>
      </c>
      <c r="D290" s="18">
        <f t="shared" si="18"/>
        <v>67.2</v>
      </c>
      <c r="E290" s="5">
        <v>3087.29</v>
      </c>
      <c r="H290" s="18">
        <f t="shared" si="19"/>
        <v>4032</v>
      </c>
      <c r="I290" t="b">
        <f t="shared" si="16"/>
        <v>1</v>
      </c>
      <c r="J290" s="4">
        <f t="shared" si="17"/>
        <v>-0.23430307539682538</v>
      </c>
      <c r="M290"/>
      <c r="O290" t="s">
        <v>926</v>
      </c>
      <c r="P290">
        <v>767</v>
      </c>
      <c r="Q290">
        <v>780.51</v>
      </c>
    </row>
    <row r="291" spans="1:17" hidden="1">
      <c r="A291" s="38" t="s">
        <v>52</v>
      </c>
      <c r="B291" s="35" t="s">
        <v>53</v>
      </c>
      <c r="C291" s="27">
        <v>676</v>
      </c>
      <c r="D291" s="18">
        <f t="shared" si="18"/>
        <v>22.533333333333335</v>
      </c>
      <c r="E291" s="5">
        <v>1283.93</v>
      </c>
      <c r="H291" s="18">
        <f t="shared" si="19"/>
        <v>1352</v>
      </c>
      <c r="I291" t="b">
        <f t="shared" si="16"/>
        <v>1</v>
      </c>
      <c r="J291" s="4">
        <f t="shared" si="17"/>
        <v>-5.0347633136094583E-2</v>
      </c>
      <c r="M291"/>
      <c r="O291" t="s">
        <v>966</v>
      </c>
      <c r="P291">
        <v>1069</v>
      </c>
      <c r="Q291">
        <v>1609.44</v>
      </c>
    </row>
    <row r="292" spans="1:17" hidden="1">
      <c r="A292" s="39" t="s">
        <v>845</v>
      </c>
      <c r="B292" s="35" t="s">
        <v>846</v>
      </c>
      <c r="C292" s="27">
        <v>3821</v>
      </c>
      <c r="D292" s="18">
        <f t="shared" si="18"/>
        <v>127.36666666666666</v>
      </c>
      <c r="E292" s="5">
        <v>7184.69</v>
      </c>
      <c r="H292" s="18">
        <f t="shared" si="19"/>
        <v>7642</v>
      </c>
      <c r="I292" t="b">
        <f t="shared" si="16"/>
        <v>1</v>
      </c>
      <c r="J292" s="4">
        <f t="shared" si="17"/>
        <v>-5.9841664485736801E-2</v>
      </c>
      <c r="M292"/>
      <c r="O292" t="s">
        <v>1218</v>
      </c>
      <c r="P292">
        <v>1050</v>
      </c>
      <c r="Q292">
        <v>2642.42</v>
      </c>
    </row>
    <row r="293" spans="1:17">
      <c r="A293" t="s">
        <v>821</v>
      </c>
      <c r="B293" t="s">
        <v>822</v>
      </c>
      <c r="C293" s="27">
        <v>902</v>
      </c>
      <c r="D293" s="18">
        <f t="shared" si="18"/>
        <v>30.066666666666666</v>
      </c>
      <c r="E293" s="5">
        <v>2559.46</v>
      </c>
      <c r="H293" s="18">
        <f t="shared" si="19"/>
        <v>1804</v>
      </c>
      <c r="I293" t="b">
        <f t="shared" si="16"/>
        <v>0</v>
      </c>
      <c r="J293" s="4">
        <f t="shared" si="17"/>
        <v>0.41876940133037688</v>
      </c>
      <c r="M293"/>
      <c r="O293" t="s">
        <v>957</v>
      </c>
      <c r="P293">
        <v>1599</v>
      </c>
      <c r="Q293">
        <v>2462.29</v>
      </c>
    </row>
    <row r="294" spans="1:17" hidden="1">
      <c r="A294" s="35" t="s">
        <v>718</v>
      </c>
      <c r="B294" s="35" t="s">
        <v>719</v>
      </c>
      <c r="C294" s="27">
        <v>1403</v>
      </c>
      <c r="D294" s="18">
        <f t="shared" si="18"/>
        <v>46.766666666666666</v>
      </c>
      <c r="E294" s="5">
        <v>2037.94</v>
      </c>
      <c r="H294" s="18">
        <f t="shared" si="19"/>
        <v>2806</v>
      </c>
      <c r="I294" t="b">
        <f t="shared" si="16"/>
        <v>1</v>
      </c>
      <c r="J294" s="4">
        <f t="shared" si="17"/>
        <v>-0.27372059871703491</v>
      </c>
      <c r="M294"/>
      <c r="O294" t="s">
        <v>1036</v>
      </c>
      <c r="P294">
        <v>986</v>
      </c>
      <c r="Q294">
        <v>1511.76</v>
      </c>
    </row>
    <row r="295" spans="1:17" hidden="1">
      <c r="A295" t="s">
        <v>224</v>
      </c>
      <c r="B295" t="s">
        <v>225</v>
      </c>
      <c r="C295" s="27">
        <v>853</v>
      </c>
      <c r="D295" s="18">
        <f t="shared" si="18"/>
        <v>28.433333333333334</v>
      </c>
      <c r="E295" s="5">
        <v>1382.39</v>
      </c>
      <c r="H295" s="18">
        <f t="shared" si="19"/>
        <v>1706</v>
      </c>
      <c r="I295" t="b">
        <f t="shared" si="16"/>
        <v>1</v>
      </c>
      <c r="J295" s="4">
        <f t="shared" si="17"/>
        <v>-0.18968933177022274</v>
      </c>
      <c r="M295"/>
      <c r="O295" t="s">
        <v>1156</v>
      </c>
      <c r="P295">
        <v>1097</v>
      </c>
      <c r="Q295">
        <v>2322.02</v>
      </c>
    </row>
    <row r="296" spans="1:17" hidden="1">
      <c r="A296" s="38" t="s">
        <v>270</v>
      </c>
      <c r="B296" s="35" t="s">
        <v>271</v>
      </c>
      <c r="C296" s="27">
        <v>877</v>
      </c>
      <c r="D296" s="18">
        <f t="shared" si="18"/>
        <v>29.233333333333334</v>
      </c>
      <c r="E296" s="5">
        <v>1962.91</v>
      </c>
      <c r="H296" s="18">
        <f t="shared" si="19"/>
        <v>1754</v>
      </c>
      <c r="I296" t="b">
        <f t="shared" si="16"/>
        <v>1</v>
      </c>
      <c r="J296" s="4">
        <f t="shared" si="17"/>
        <v>0.11910490307867727</v>
      </c>
      <c r="M296"/>
      <c r="O296" t="s">
        <v>970</v>
      </c>
      <c r="P296">
        <v>4451</v>
      </c>
      <c r="Q296">
        <v>6429.45</v>
      </c>
    </row>
    <row r="297" spans="1:17" hidden="1">
      <c r="A297" s="35" t="s">
        <v>442</v>
      </c>
      <c r="B297" s="35" t="s">
        <v>443</v>
      </c>
      <c r="C297" s="27">
        <v>5735</v>
      </c>
      <c r="D297" s="18">
        <f t="shared" si="18"/>
        <v>191.16666666666666</v>
      </c>
      <c r="E297" s="5">
        <v>9966.93</v>
      </c>
      <c r="H297" s="18">
        <f t="shared" si="19"/>
        <v>11470</v>
      </c>
      <c r="I297" t="b">
        <f t="shared" ref="I297:I338" si="20">IF(E297&gt;1.2*H297,FALSE,TRUE)</f>
        <v>1</v>
      </c>
      <c r="J297" s="4">
        <f t="shared" ref="J297:J338" si="21">E297/H297-1</f>
        <v>-0.13104359197907578</v>
      </c>
      <c r="M297"/>
      <c r="O297" t="s">
        <v>1040</v>
      </c>
      <c r="P297">
        <v>1048</v>
      </c>
      <c r="Q297">
        <v>1274.44</v>
      </c>
    </row>
    <row r="298" spans="1:17" hidden="1">
      <c r="A298" s="38" t="s">
        <v>785</v>
      </c>
      <c r="B298" s="35" t="s">
        <v>786</v>
      </c>
      <c r="C298" s="27">
        <v>2780</v>
      </c>
      <c r="D298" s="18">
        <f t="shared" si="18"/>
        <v>92.666666666666671</v>
      </c>
      <c r="E298" s="5">
        <v>3450.76</v>
      </c>
      <c r="H298" s="18">
        <f t="shared" si="19"/>
        <v>5560</v>
      </c>
      <c r="I298" t="b">
        <f t="shared" si="20"/>
        <v>1</v>
      </c>
      <c r="J298" s="4">
        <f t="shared" si="21"/>
        <v>-0.37935971223021581</v>
      </c>
      <c r="O298" t="s">
        <v>1639</v>
      </c>
      <c r="P298">
        <v>140</v>
      </c>
      <c r="Q298">
        <v>0</v>
      </c>
    </row>
    <row r="299" spans="1:17">
      <c r="A299" s="38" t="s">
        <v>594</v>
      </c>
      <c r="B299" s="35" t="s">
        <v>595</v>
      </c>
      <c r="C299" s="27">
        <v>972</v>
      </c>
      <c r="D299" s="18">
        <f t="shared" si="18"/>
        <v>32.4</v>
      </c>
      <c r="E299" s="113">
        <v>2876.56</v>
      </c>
      <c r="H299" s="18">
        <f t="shared" si="19"/>
        <v>1944</v>
      </c>
      <c r="I299" t="b">
        <f t="shared" si="20"/>
        <v>0</v>
      </c>
      <c r="J299" s="4">
        <f t="shared" si="21"/>
        <v>0.47971193415637847</v>
      </c>
      <c r="M299"/>
      <c r="O299" t="s">
        <v>1192</v>
      </c>
      <c r="P299">
        <v>931</v>
      </c>
      <c r="Q299">
        <v>1583.03</v>
      </c>
    </row>
    <row r="300" spans="1:17" hidden="1">
      <c r="A300" t="s">
        <v>50</v>
      </c>
      <c r="B300" t="s">
        <v>51</v>
      </c>
      <c r="C300" s="27">
        <v>1001</v>
      </c>
      <c r="D300" s="18">
        <f t="shared" si="18"/>
        <v>33.366666666666667</v>
      </c>
      <c r="E300" s="5">
        <v>1730.43</v>
      </c>
      <c r="H300" s="18">
        <f t="shared" si="19"/>
        <v>2002</v>
      </c>
      <c r="I300" t="b">
        <f t="shared" si="20"/>
        <v>1</v>
      </c>
      <c r="J300" s="4">
        <f t="shared" si="21"/>
        <v>-0.13564935064935058</v>
      </c>
      <c r="M300"/>
      <c r="O300" t="s">
        <v>1026</v>
      </c>
      <c r="P300">
        <v>348</v>
      </c>
      <c r="Q300">
        <v>233.13</v>
      </c>
    </row>
    <row r="301" spans="1:17" hidden="1">
      <c r="A301" s="38" t="s">
        <v>776</v>
      </c>
      <c r="B301" s="35" t="s">
        <v>777</v>
      </c>
      <c r="C301" s="27">
        <v>3358</v>
      </c>
      <c r="D301" s="18">
        <f t="shared" si="18"/>
        <v>111.93333333333334</v>
      </c>
      <c r="E301" s="5">
        <v>5986.86</v>
      </c>
      <c r="H301" s="18">
        <f t="shared" si="19"/>
        <v>6716</v>
      </c>
      <c r="I301" t="b">
        <f t="shared" si="20"/>
        <v>1</v>
      </c>
      <c r="J301" s="4">
        <f t="shared" si="21"/>
        <v>-0.108567599761763</v>
      </c>
      <c r="M301"/>
      <c r="O301" t="s">
        <v>1194</v>
      </c>
      <c r="P301">
        <v>1493</v>
      </c>
      <c r="Q301">
        <v>2515.94</v>
      </c>
    </row>
    <row r="302" spans="1:17" hidden="1">
      <c r="A302" s="38" t="s">
        <v>170</v>
      </c>
      <c r="B302" s="35" t="s">
        <v>171</v>
      </c>
      <c r="C302" s="27">
        <v>1753</v>
      </c>
      <c r="D302" s="18">
        <f t="shared" si="18"/>
        <v>58.43333333333333</v>
      </c>
      <c r="E302" s="5">
        <v>3027.01</v>
      </c>
      <c r="H302" s="18">
        <f t="shared" si="19"/>
        <v>3506</v>
      </c>
      <c r="I302" t="b">
        <f t="shared" si="20"/>
        <v>1</v>
      </c>
      <c r="J302" s="4">
        <f t="shared" si="21"/>
        <v>-0.13662007986309177</v>
      </c>
      <c r="M302"/>
      <c r="O302" t="s">
        <v>908</v>
      </c>
      <c r="P302">
        <v>1954</v>
      </c>
      <c r="Q302">
        <v>2412.92</v>
      </c>
    </row>
    <row r="303" spans="1:17" hidden="1">
      <c r="A303" t="s">
        <v>40</v>
      </c>
      <c r="B303" t="s">
        <v>41</v>
      </c>
      <c r="C303" s="27">
        <v>3067</v>
      </c>
      <c r="D303" s="18">
        <f t="shared" si="18"/>
        <v>102.23333333333333</v>
      </c>
      <c r="E303" s="5">
        <v>3786.18</v>
      </c>
      <c r="H303" s="18">
        <f t="shared" si="19"/>
        <v>6134</v>
      </c>
      <c r="I303" t="b">
        <f t="shared" si="20"/>
        <v>1</v>
      </c>
      <c r="J303" s="4">
        <f t="shared" si="21"/>
        <v>-0.38275513531137928</v>
      </c>
      <c r="M303"/>
      <c r="O303" t="s">
        <v>1624</v>
      </c>
      <c r="P303">
        <v>595</v>
      </c>
      <c r="Q303">
        <v>486.99</v>
      </c>
    </row>
    <row r="304" spans="1:17">
      <c r="A304" t="s">
        <v>508</v>
      </c>
      <c r="B304" t="s">
        <v>509</v>
      </c>
      <c r="C304" s="27">
        <v>347</v>
      </c>
      <c r="D304" s="18">
        <f t="shared" si="18"/>
        <v>11.566666666666666</v>
      </c>
      <c r="E304" s="5">
        <v>868.68</v>
      </c>
      <c r="H304" s="18">
        <f t="shared" si="19"/>
        <v>694</v>
      </c>
      <c r="I304" t="b">
        <f t="shared" si="20"/>
        <v>0</v>
      </c>
      <c r="J304" s="4">
        <f t="shared" si="21"/>
        <v>0.2517002881844379</v>
      </c>
      <c r="M304"/>
      <c r="O304" t="s">
        <v>1131</v>
      </c>
      <c r="P304">
        <v>1003</v>
      </c>
      <c r="Q304">
        <v>879.2</v>
      </c>
    </row>
    <row r="305" spans="1:17" hidden="1">
      <c r="A305" t="s">
        <v>823</v>
      </c>
      <c r="B305" t="s">
        <v>824</v>
      </c>
      <c r="C305" s="27">
        <v>3199</v>
      </c>
      <c r="D305" s="18">
        <f t="shared" si="18"/>
        <v>106.63333333333334</v>
      </c>
      <c r="E305" s="5">
        <v>5302.99</v>
      </c>
      <c r="H305" s="18">
        <f t="shared" si="19"/>
        <v>6398</v>
      </c>
      <c r="I305" t="b">
        <f t="shared" si="20"/>
        <v>1</v>
      </c>
      <c r="J305" s="4">
        <f t="shared" si="21"/>
        <v>-0.17114879649890591</v>
      </c>
      <c r="M305"/>
      <c r="O305" t="s">
        <v>1090</v>
      </c>
      <c r="P305">
        <v>721</v>
      </c>
      <c r="Q305">
        <v>855.88</v>
      </c>
    </row>
    <row r="306" spans="1:17" hidden="1">
      <c r="A306" t="s">
        <v>522</v>
      </c>
      <c r="B306" t="s">
        <v>523</v>
      </c>
      <c r="C306" s="27">
        <v>1102</v>
      </c>
      <c r="D306" s="18">
        <f t="shared" si="18"/>
        <v>36.733333333333334</v>
      </c>
      <c r="E306" s="5">
        <v>1535.33</v>
      </c>
      <c r="H306" s="18">
        <f t="shared" si="19"/>
        <v>2204</v>
      </c>
      <c r="I306" t="b">
        <f t="shared" si="20"/>
        <v>1</v>
      </c>
      <c r="J306" s="4">
        <f t="shared" si="21"/>
        <v>-0.3033892921960073</v>
      </c>
      <c r="M306"/>
      <c r="O306" t="s">
        <v>1135</v>
      </c>
      <c r="P306">
        <v>1221</v>
      </c>
      <c r="Q306">
        <v>0</v>
      </c>
    </row>
    <row r="307" spans="1:17" hidden="1">
      <c r="A307" t="s">
        <v>807</v>
      </c>
      <c r="B307" t="s">
        <v>808</v>
      </c>
      <c r="C307" s="27">
        <v>1514</v>
      </c>
      <c r="D307" s="18">
        <f t="shared" si="18"/>
        <v>50.466666666666669</v>
      </c>
      <c r="E307" s="5">
        <v>3537.1</v>
      </c>
      <c r="H307" s="18">
        <f t="shared" si="19"/>
        <v>3028</v>
      </c>
      <c r="I307" t="b">
        <f t="shared" si="20"/>
        <v>1</v>
      </c>
      <c r="J307" s="4">
        <f t="shared" si="21"/>
        <v>0.16813077939233811</v>
      </c>
      <c r="M307"/>
      <c r="O307" t="s">
        <v>940</v>
      </c>
      <c r="P307">
        <v>722</v>
      </c>
      <c r="Q307">
        <v>486.87</v>
      </c>
    </row>
    <row r="308" spans="1:17" hidden="1">
      <c r="A308" t="s">
        <v>692</v>
      </c>
      <c r="B308" t="s">
        <v>693</v>
      </c>
      <c r="C308" s="27">
        <v>2677</v>
      </c>
      <c r="D308" s="18">
        <f t="shared" si="18"/>
        <v>89.233333333333334</v>
      </c>
      <c r="E308" s="5">
        <v>523.46</v>
      </c>
      <c r="H308" s="18">
        <f t="shared" si="19"/>
        <v>5354</v>
      </c>
      <c r="I308" t="b">
        <f t="shared" si="20"/>
        <v>1</v>
      </c>
      <c r="J308" s="4">
        <f t="shared" si="21"/>
        <v>-0.90223010833022044</v>
      </c>
      <c r="M308"/>
      <c r="O308" t="s">
        <v>1187</v>
      </c>
      <c r="P308">
        <v>1270</v>
      </c>
      <c r="Q308">
        <v>2839.08</v>
      </c>
    </row>
    <row r="309" spans="1:17" hidden="1">
      <c r="A309" s="38" t="s">
        <v>84</v>
      </c>
      <c r="B309" s="35" t="s">
        <v>85</v>
      </c>
      <c r="C309" s="27">
        <v>1147</v>
      </c>
      <c r="D309" s="18">
        <f t="shared" si="18"/>
        <v>38.233333333333334</v>
      </c>
      <c r="E309" s="5">
        <v>1024.6099999999999</v>
      </c>
      <c r="H309" s="18">
        <f t="shared" si="19"/>
        <v>2294</v>
      </c>
      <c r="I309" t="b">
        <f t="shared" si="20"/>
        <v>1</v>
      </c>
      <c r="J309" s="4">
        <f t="shared" si="21"/>
        <v>-0.55335222319093291</v>
      </c>
      <c r="O309" t="s">
        <v>1234</v>
      </c>
      <c r="P309">
        <v>3590</v>
      </c>
      <c r="Q309">
        <v>3329.15</v>
      </c>
    </row>
    <row r="310" spans="1:17" hidden="1">
      <c r="A310" t="s">
        <v>18</v>
      </c>
      <c r="B310" t="s">
        <v>19</v>
      </c>
      <c r="C310" s="27">
        <v>7220</v>
      </c>
      <c r="D310" s="18">
        <f t="shared" si="18"/>
        <v>240.66666666666666</v>
      </c>
      <c r="E310" s="5">
        <v>6293.82</v>
      </c>
      <c r="H310" s="18">
        <f t="shared" si="19"/>
        <v>14440</v>
      </c>
      <c r="I310" t="b">
        <f t="shared" si="20"/>
        <v>1</v>
      </c>
      <c r="J310" s="4">
        <f t="shared" si="21"/>
        <v>-0.5641398891966759</v>
      </c>
      <c r="M310"/>
      <c r="O310" t="s">
        <v>920</v>
      </c>
      <c r="P310">
        <v>1071</v>
      </c>
      <c r="Q310">
        <v>1111.29</v>
      </c>
    </row>
    <row r="311" spans="1:17" hidden="1">
      <c r="A311" s="38" t="s">
        <v>164</v>
      </c>
      <c r="B311" s="35" t="s">
        <v>165</v>
      </c>
      <c r="C311" s="18">
        <v>1527</v>
      </c>
      <c r="D311" s="18">
        <f t="shared" si="18"/>
        <v>50.9</v>
      </c>
      <c r="E311" s="5">
        <v>2792.36</v>
      </c>
      <c r="H311" s="18">
        <f t="shared" si="19"/>
        <v>3054</v>
      </c>
      <c r="I311" t="b">
        <f t="shared" si="20"/>
        <v>1</v>
      </c>
      <c r="J311" s="4">
        <f t="shared" si="21"/>
        <v>-8.5671250818598499E-2</v>
      </c>
      <c r="M311"/>
      <c r="O311" t="s">
        <v>1074</v>
      </c>
      <c r="P311">
        <v>1019</v>
      </c>
      <c r="Q311">
        <v>2154.46</v>
      </c>
    </row>
    <row r="312" spans="1:17" hidden="1">
      <c r="A312" t="s">
        <v>14</v>
      </c>
      <c r="B312" t="s">
        <v>15</v>
      </c>
      <c r="C312" s="27">
        <v>19267</v>
      </c>
      <c r="D312" s="18">
        <f t="shared" si="18"/>
        <v>642.23333333333335</v>
      </c>
      <c r="E312" s="5">
        <v>14033.66</v>
      </c>
      <c r="H312" s="18">
        <f t="shared" si="19"/>
        <v>38534</v>
      </c>
      <c r="I312" t="b">
        <f t="shared" si="20"/>
        <v>1</v>
      </c>
      <c r="J312" s="4">
        <f t="shared" si="21"/>
        <v>-0.6358109721285099</v>
      </c>
      <c r="M312"/>
      <c r="O312" t="s">
        <v>1202</v>
      </c>
      <c r="P312">
        <v>2100</v>
      </c>
      <c r="Q312">
        <v>2900.04</v>
      </c>
    </row>
    <row r="313" spans="1:17" hidden="1">
      <c r="A313" s="38" t="s">
        <v>863</v>
      </c>
      <c r="B313" s="35" t="s">
        <v>864</v>
      </c>
      <c r="C313" s="27">
        <v>3135</v>
      </c>
      <c r="D313" s="18">
        <f t="shared" si="18"/>
        <v>104.5</v>
      </c>
      <c r="E313" s="5">
        <v>4052.96</v>
      </c>
      <c r="H313" s="18">
        <f t="shared" si="19"/>
        <v>6270</v>
      </c>
      <c r="I313" t="b">
        <f t="shared" si="20"/>
        <v>1</v>
      </c>
      <c r="J313" s="4">
        <f t="shared" si="21"/>
        <v>-0.35359489633173846</v>
      </c>
      <c r="M313"/>
      <c r="O313" t="s">
        <v>1240</v>
      </c>
      <c r="P313">
        <v>2322</v>
      </c>
      <c r="Q313">
        <v>2781.16</v>
      </c>
    </row>
    <row r="314" spans="1:17" hidden="1">
      <c r="A314" s="38" t="s">
        <v>578</v>
      </c>
      <c r="B314" s="35" t="s">
        <v>579</v>
      </c>
      <c r="C314" s="18">
        <v>670</v>
      </c>
      <c r="D314" s="18">
        <f t="shared" si="18"/>
        <v>22.333333333333332</v>
      </c>
      <c r="E314" s="5">
        <v>918.98</v>
      </c>
      <c r="H314" s="18">
        <f t="shared" si="19"/>
        <v>1340</v>
      </c>
      <c r="I314" t="b">
        <f t="shared" si="20"/>
        <v>1</v>
      </c>
      <c r="J314" s="4">
        <f t="shared" si="21"/>
        <v>-0.31419402985074629</v>
      </c>
      <c r="M314"/>
      <c r="O314" t="s">
        <v>1078</v>
      </c>
      <c r="P314">
        <v>485</v>
      </c>
      <c r="Q314">
        <v>329.07</v>
      </c>
    </row>
    <row r="315" spans="1:17" hidden="1">
      <c r="A315" t="s">
        <v>861</v>
      </c>
      <c r="B315" t="s">
        <v>862</v>
      </c>
      <c r="C315" s="27">
        <v>5932</v>
      </c>
      <c r="D315" s="18">
        <f t="shared" si="18"/>
        <v>197.73333333333332</v>
      </c>
      <c r="E315" s="5">
        <v>9421.5499999999993</v>
      </c>
      <c r="H315" s="18">
        <f t="shared" si="19"/>
        <v>11864</v>
      </c>
      <c r="I315" t="b">
        <f t="shared" si="20"/>
        <v>1</v>
      </c>
      <c r="J315" s="4">
        <f t="shared" si="21"/>
        <v>-0.2058707012811869</v>
      </c>
      <c r="M315"/>
      <c r="O315" t="s">
        <v>1208</v>
      </c>
      <c r="P315">
        <v>1498</v>
      </c>
      <c r="Q315">
        <v>723.63</v>
      </c>
    </row>
    <row r="316" spans="1:17" hidden="1">
      <c r="A316" s="38" t="s">
        <v>102</v>
      </c>
      <c r="B316" s="35" t="s">
        <v>103</v>
      </c>
      <c r="C316" s="27">
        <v>730</v>
      </c>
      <c r="D316" s="18">
        <f t="shared" si="18"/>
        <v>24.333333333333332</v>
      </c>
      <c r="E316" s="5">
        <v>1294.94</v>
      </c>
      <c r="H316" s="18">
        <f t="shared" si="19"/>
        <v>1460</v>
      </c>
      <c r="I316" t="b">
        <f t="shared" si="20"/>
        <v>1</v>
      </c>
      <c r="J316" s="4">
        <f t="shared" si="21"/>
        <v>-0.1130547945205479</v>
      </c>
      <c r="M316"/>
      <c r="O316" t="s">
        <v>1166</v>
      </c>
      <c r="P316">
        <v>10278</v>
      </c>
      <c r="Q316">
        <v>8437.92</v>
      </c>
    </row>
    <row r="317" spans="1:17" hidden="1">
      <c r="A317" s="38" t="s">
        <v>60</v>
      </c>
      <c r="B317" s="35" t="s">
        <v>61</v>
      </c>
      <c r="C317" s="27">
        <v>797</v>
      </c>
      <c r="D317" s="18">
        <f t="shared" si="18"/>
        <v>26.566666666666666</v>
      </c>
      <c r="E317" s="5">
        <v>1848.16</v>
      </c>
      <c r="H317" s="18">
        <f t="shared" si="19"/>
        <v>1594</v>
      </c>
      <c r="I317" t="b">
        <f t="shared" si="20"/>
        <v>1</v>
      </c>
      <c r="J317" s="4">
        <f t="shared" si="21"/>
        <v>0.1594479297365119</v>
      </c>
      <c r="M317"/>
      <c r="O317" t="s">
        <v>1160</v>
      </c>
      <c r="P317">
        <v>1468</v>
      </c>
      <c r="Q317">
        <v>459.8</v>
      </c>
    </row>
    <row r="318" spans="1:17" hidden="1">
      <c r="A318" t="s">
        <v>879</v>
      </c>
      <c r="B318" t="s">
        <v>880</v>
      </c>
      <c r="C318" s="27">
        <v>7409</v>
      </c>
      <c r="D318" s="18">
        <f t="shared" si="18"/>
        <v>246.96666666666667</v>
      </c>
      <c r="E318" s="5">
        <v>13315.49</v>
      </c>
      <c r="H318" s="18">
        <f t="shared" si="19"/>
        <v>14818</v>
      </c>
      <c r="I318" t="b">
        <f t="shared" si="20"/>
        <v>1</v>
      </c>
      <c r="J318" s="4">
        <f t="shared" si="21"/>
        <v>-0.1013976245107302</v>
      </c>
      <c r="M318"/>
      <c r="O318" t="s">
        <v>1154</v>
      </c>
      <c r="P318">
        <v>1079</v>
      </c>
      <c r="Q318">
        <v>2197.5700000000002</v>
      </c>
    </row>
    <row r="319" spans="1:17" hidden="1">
      <c r="A319" s="38" t="s">
        <v>540</v>
      </c>
      <c r="B319" s="35" t="s">
        <v>541</v>
      </c>
      <c r="C319" s="18">
        <v>2370</v>
      </c>
      <c r="D319" s="18">
        <f t="shared" si="18"/>
        <v>79</v>
      </c>
      <c r="E319" s="5">
        <v>934.33</v>
      </c>
      <c r="H319" s="18">
        <f t="shared" si="19"/>
        <v>4740</v>
      </c>
      <c r="I319" t="b">
        <f t="shared" si="20"/>
        <v>1</v>
      </c>
      <c r="J319" s="4">
        <f t="shared" si="21"/>
        <v>-0.80288396624472569</v>
      </c>
      <c r="M319"/>
      <c r="O319" t="s">
        <v>1162</v>
      </c>
      <c r="P319">
        <v>1017</v>
      </c>
      <c r="Q319">
        <v>1281.21</v>
      </c>
    </row>
    <row r="320" spans="1:17" hidden="1">
      <c r="A320" s="38" t="s">
        <v>740</v>
      </c>
      <c r="B320" s="35" t="s">
        <v>741</v>
      </c>
      <c r="C320" s="27">
        <v>1918</v>
      </c>
      <c r="D320" s="18">
        <f t="shared" si="18"/>
        <v>63.93333333333333</v>
      </c>
      <c r="E320" s="5">
        <v>3458.7</v>
      </c>
      <c r="H320" s="18">
        <f t="shared" si="19"/>
        <v>3836</v>
      </c>
      <c r="I320" t="b">
        <f t="shared" si="20"/>
        <v>1</v>
      </c>
      <c r="J320" s="4">
        <f t="shared" si="21"/>
        <v>-9.8357664233576725E-2</v>
      </c>
      <c r="M320"/>
      <c r="O320" t="s">
        <v>1038</v>
      </c>
      <c r="P320">
        <v>1132</v>
      </c>
      <c r="Q320">
        <v>960.15</v>
      </c>
    </row>
    <row r="321" spans="1:17" hidden="1">
      <c r="A321" t="s">
        <v>791</v>
      </c>
      <c r="B321" t="s">
        <v>792</v>
      </c>
      <c r="C321" s="27">
        <v>8</v>
      </c>
      <c r="D321" s="18">
        <f t="shared" si="18"/>
        <v>0.26666666666666666</v>
      </c>
      <c r="E321" s="5">
        <v>0</v>
      </c>
      <c r="H321" s="18">
        <f t="shared" si="19"/>
        <v>16</v>
      </c>
      <c r="I321" t="b">
        <f t="shared" si="20"/>
        <v>1</v>
      </c>
      <c r="J321" s="4">
        <f t="shared" si="21"/>
        <v>-1</v>
      </c>
      <c r="M321"/>
      <c r="O321" t="s">
        <v>918</v>
      </c>
      <c r="P321">
        <v>1142</v>
      </c>
      <c r="Q321">
        <v>598.61</v>
      </c>
    </row>
    <row r="322" spans="1:17" hidden="1">
      <c r="A322" t="s">
        <v>732</v>
      </c>
      <c r="B322" t="s">
        <v>733</v>
      </c>
      <c r="C322" s="27">
        <v>3353</v>
      </c>
      <c r="D322" s="18">
        <f t="shared" si="18"/>
        <v>111.76666666666667</v>
      </c>
      <c r="E322" s="5">
        <v>6897.94</v>
      </c>
      <c r="H322" s="18">
        <f t="shared" si="19"/>
        <v>6706</v>
      </c>
      <c r="I322" t="b">
        <f t="shared" si="20"/>
        <v>1</v>
      </c>
      <c r="J322" s="4">
        <f t="shared" si="21"/>
        <v>2.8622129436325583E-2</v>
      </c>
      <c r="M322"/>
      <c r="O322" t="s">
        <v>1052</v>
      </c>
      <c r="P322">
        <v>1001</v>
      </c>
      <c r="Q322">
        <v>1293.8800000000001</v>
      </c>
    </row>
    <row r="323" spans="1:17" hidden="1">
      <c r="A323" t="s">
        <v>556</v>
      </c>
      <c r="B323" t="s">
        <v>557</v>
      </c>
      <c r="C323" s="27">
        <v>475</v>
      </c>
      <c r="D323" s="18">
        <f t="shared" ref="D323:D386" si="22">C323/30</f>
        <v>15.833333333333334</v>
      </c>
      <c r="E323" s="5">
        <v>656.78</v>
      </c>
      <c r="H323" s="18">
        <f t="shared" ref="H323:H386" si="23">IF((C323/30)&gt;100,C323*2,C323*2)</f>
        <v>950</v>
      </c>
      <c r="I323" t="b">
        <f t="shared" si="20"/>
        <v>1</v>
      </c>
      <c r="J323" s="4">
        <f t="shared" si="21"/>
        <v>-0.3086526315789474</v>
      </c>
      <c r="M323"/>
      <c r="O323" t="s">
        <v>968</v>
      </c>
      <c r="P323">
        <v>442</v>
      </c>
      <c r="Q323">
        <v>0</v>
      </c>
    </row>
    <row r="324" spans="1:17" hidden="1">
      <c r="A324" s="38" t="s">
        <v>760</v>
      </c>
      <c r="B324" s="35" t="s">
        <v>761</v>
      </c>
      <c r="C324" s="27">
        <v>744</v>
      </c>
      <c r="D324" s="18">
        <f t="shared" si="22"/>
        <v>24.8</v>
      </c>
      <c r="E324" s="5">
        <v>1710.47</v>
      </c>
      <c r="H324" s="18">
        <f t="shared" si="23"/>
        <v>1488</v>
      </c>
      <c r="I324" t="b">
        <f t="shared" si="20"/>
        <v>1</v>
      </c>
      <c r="J324" s="4">
        <f t="shared" si="21"/>
        <v>0.14950940860215045</v>
      </c>
      <c r="M324"/>
      <c r="O324" t="s">
        <v>1024</v>
      </c>
      <c r="P324">
        <v>352</v>
      </c>
      <c r="Q324">
        <v>304.18</v>
      </c>
    </row>
    <row r="325" spans="1:17" hidden="1">
      <c r="A325" t="s">
        <v>849</v>
      </c>
      <c r="B325" t="s">
        <v>850</v>
      </c>
      <c r="C325" s="27">
        <v>3366</v>
      </c>
      <c r="D325" s="18">
        <f t="shared" si="22"/>
        <v>112.2</v>
      </c>
      <c r="E325" s="5">
        <v>6572.1</v>
      </c>
      <c r="H325" s="18">
        <f t="shared" si="23"/>
        <v>6732</v>
      </c>
      <c r="I325" t="b">
        <f t="shared" si="20"/>
        <v>1</v>
      </c>
      <c r="J325" s="4">
        <f>E325/H325-1</f>
        <v>-2.3752228163992806E-2</v>
      </c>
      <c r="M325"/>
      <c r="O325" t="s">
        <v>998</v>
      </c>
      <c r="P325">
        <v>433</v>
      </c>
      <c r="Q325">
        <v>283.95999999999998</v>
      </c>
    </row>
    <row r="326" spans="1:17" hidden="1">
      <c r="A326" t="s">
        <v>466</v>
      </c>
      <c r="B326" t="s">
        <v>467</v>
      </c>
      <c r="C326" s="27">
        <v>2225</v>
      </c>
      <c r="D326" s="18">
        <f t="shared" si="22"/>
        <v>74.166666666666671</v>
      </c>
      <c r="E326" s="5">
        <v>3535.64</v>
      </c>
      <c r="H326" s="18">
        <f t="shared" si="23"/>
        <v>4450</v>
      </c>
      <c r="I326" t="b">
        <f t="shared" si="20"/>
        <v>1</v>
      </c>
      <c r="J326" s="4">
        <f t="shared" si="21"/>
        <v>-0.20547415730337082</v>
      </c>
      <c r="M326"/>
      <c r="O326" t="s">
        <v>1111</v>
      </c>
      <c r="P326">
        <v>1773</v>
      </c>
      <c r="Q326">
        <v>658.97</v>
      </c>
    </row>
    <row r="327" spans="1:17" hidden="1">
      <c r="A327" t="s">
        <v>793</v>
      </c>
      <c r="B327" t="s">
        <v>794</v>
      </c>
      <c r="C327" s="27">
        <v>4331</v>
      </c>
      <c r="D327" s="18">
        <f t="shared" si="22"/>
        <v>144.36666666666667</v>
      </c>
      <c r="E327" s="5">
        <v>5669.93</v>
      </c>
      <c r="H327" s="18">
        <f t="shared" si="23"/>
        <v>8662</v>
      </c>
      <c r="I327" t="b">
        <f t="shared" si="20"/>
        <v>1</v>
      </c>
      <c r="J327" s="4">
        <f t="shared" si="21"/>
        <v>-0.34542484414684826</v>
      </c>
      <c r="M327"/>
      <c r="O327" t="s">
        <v>949</v>
      </c>
      <c r="P327">
        <v>4088</v>
      </c>
      <c r="Q327">
        <v>1357.7</v>
      </c>
    </row>
    <row r="328" spans="1:17">
      <c r="A328" s="38" t="s">
        <v>364</v>
      </c>
      <c r="B328" s="35" t="s">
        <v>365</v>
      </c>
      <c r="C328" s="27">
        <v>684</v>
      </c>
      <c r="D328" s="18">
        <f t="shared" si="22"/>
        <v>22.8</v>
      </c>
      <c r="E328" s="5">
        <v>2037.61</v>
      </c>
      <c r="H328" s="18">
        <f t="shared" si="23"/>
        <v>1368</v>
      </c>
      <c r="I328" t="b">
        <f t="shared" si="20"/>
        <v>0</v>
      </c>
      <c r="J328" s="4">
        <f t="shared" si="21"/>
        <v>0.4894809941520466</v>
      </c>
      <c r="M328"/>
      <c r="O328" t="s">
        <v>1094</v>
      </c>
      <c r="P328">
        <v>307</v>
      </c>
      <c r="Q328">
        <v>316.98</v>
      </c>
    </row>
    <row r="329" spans="1:17">
      <c r="A329" t="s">
        <v>372</v>
      </c>
      <c r="B329" t="s">
        <v>373</v>
      </c>
      <c r="C329" s="27">
        <v>2005</v>
      </c>
      <c r="D329" s="18">
        <f t="shared" si="22"/>
        <v>66.833333333333329</v>
      </c>
      <c r="E329" s="5">
        <v>5094.05</v>
      </c>
      <c r="H329" s="18">
        <f t="shared" si="23"/>
        <v>4010</v>
      </c>
      <c r="I329" t="b">
        <f t="shared" si="20"/>
        <v>0</v>
      </c>
      <c r="J329" s="4">
        <f t="shared" si="21"/>
        <v>0.27033665835411469</v>
      </c>
      <c r="M329"/>
      <c r="O329" t="s">
        <v>1200</v>
      </c>
      <c r="P329">
        <v>1359</v>
      </c>
      <c r="Q329">
        <v>2670.18</v>
      </c>
    </row>
    <row r="330" spans="1:17" hidden="1">
      <c r="A330" t="s">
        <v>34</v>
      </c>
      <c r="B330" t="s">
        <v>35</v>
      </c>
      <c r="C330" s="27">
        <v>2227</v>
      </c>
      <c r="D330" s="18">
        <f t="shared" si="22"/>
        <v>74.233333333333334</v>
      </c>
      <c r="E330" s="5">
        <v>3893.45</v>
      </c>
      <c r="H330" s="18">
        <f t="shared" si="23"/>
        <v>4454</v>
      </c>
      <c r="I330" t="b">
        <f t="shared" si="20"/>
        <v>1</v>
      </c>
      <c r="J330" s="4">
        <f t="shared" si="21"/>
        <v>-0.12585316569375848</v>
      </c>
      <c r="M330"/>
      <c r="O330" t="s">
        <v>1152</v>
      </c>
      <c r="P330">
        <v>4341</v>
      </c>
      <c r="Q330">
        <v>5128.26</v>
      </c>
    </row>
    <row r="331" spans="1:17" hidden="1">
      <c r="A331" s="38" t="s">
        <v>877</v>
      </c>
      <c r="B331" s="35" t="s">
        <v>878</v>
      </c>
      <c r="C331" s="18">
        <v>6556</v>
      </c>
      <c r="D331" s="18">
        <f t="shared" si="22"/>
        <v>218.53333333333333</v>
      </c>
      <c r="E331" s="5">
        <v>7910.14</v>
      </c>
      <c r="H331" s="18">
        <f t="shared" si="23"/>
        <v>13112</v>
      </c>
      <c r="I331" t="b">
        <f t="shared" si="20"/>
        <v>1</v>
      </c>
      <c r="J331" s="4">
        <f t="shared" si="21"/>
        <v>-0.39672513727882852</v>
      </c>
      <c r="M331"/>
      <c r="O331" t="s">
        <v>1146</v>
      </c>
      <c r="P331">
        <v>2197</v>
      </c>
      <c r="Q331">
        <v>3365.88</v>
      </c>
    </row>
    <row r="332" spans="1:17" hidden="1">
      <c r="A332" s="35" t="s">
        <v>700</v>
      </c>
      <c r="B332" s="35" t="s">
        <v>701</v>
      </c>
      <c r="C332" s="27">
        <v>1356</v>
      </c>
      <c r="D332" s="18">
        <f t="shared" si="22"/>
        <v>45.2</v>
      </c>
      <c r="E332" s="5">
        <v>1191.68</v>
      </c>
      <c r="H332" s="18">
        <f t="shared" si="23"/>
        <v>2712</v>
      </c>
      <c r="I332" t="b">
        <f t="shared" si="20"/>
        <v>1</v>
      </c>
      <c r="J332" s="4">
        <f t="shared" si="21"/>
        <v>-0.56058997050147497</v>
      </c>
      <c r="M332"/>
      <c r="O332" t="s">
        <v>1030</v>
      </c>
      <c r="P332">
        <v>680</v>
      </c>
      <c r="Q332">
        <v>313.06</v>
      </c>
    </row>
    <row r="333" spans="1:17" hidden="1">
      <c r="A333" t="s">
        <v>24</v>
      </c>
      <c r="B333" t="s">
        <v>25</v>
      </c>
      <c r="C333" s="27">
        <v>5729</v>
      </c>
      <c r="D333" s="18">
        <f t="shared" si="22"/>
        <v>190.96666666666667</v>
      </c>
      <c r="E333" s="5">
        <v>9543.24</v>
      </c>
      <c r="H333" s="18">
        <f t="shared" si="23"/>
        <v>11458</v>
      </c>
      <c r="I333" t="b">
        <f t="shared" si="20"/>
        <v>1</v>
      </c>
      <c r="J333" s="4">
        <f t="shared" si="21"/>
        <v>-0.16711118868912556</v>
      </c>
      <c r="M333"/>
      <c r="O333" t="s">
        <v>1072</v>
      </c>
      <c r="P333">
        <v>556</v>
      </c>
      <c r="Q333">
        <v>825.59</v>
      </c>
    </row>
    <row r="334" spans="1:17" hidden="1">
      <c r="A334" t="s">
        <v>118</v>
      </c>
      <c r="B334" t="s">
        <v>119</v>
      </c>
      <c r="C334" s="27">
        <v>14458</v>
      </c>
      <c r="D334" s="18">
        <f t="shared" si="22"/>
        <v>481.93333333333334</v>
      </c>
      <c r="E334" s="18">
        <v>12138.01</v>
      </c>
      <c r="H334" s="18">
        <f t="shared" si="23"/>
        <v>28916</v>
      </c>
      <c r="I334" t="b">
        <f t="shared" si="20"/>
        <v>1</v>
      </c>
      <c r="J334" s="4">
        <f t="shared" si="21"/>
        <v>-0.58023205145939971</v>
      </c>
      <c r="M334"/>
      <c r="O334" t="s">
        <v>1080</v>
      </c>
      <c r="P334">
        <v>709</v>
      </c>
      <c r="Q334">
        <v>343.68</v>
      </c>
    </row>
    <row r="335" spans="1:17" hidden="1">
      <c r="A335" t="s">
        <v>472</v>
      </c>
      <c r="B335" t="s">
        <v>473</v>
      </c>
      <c r="C335" s="27">
        <v>6741</v>
      </c>
      <c r="D335" s="18">
        <f t="shared" si="22"/>
        <v>224.7</v>
      </c>
      <c r="E335" s="5">
        <v>8686.35</v>
      </c>
      <c r="H335" s="18">
        <f t="shared" si="23"/>
        <v>13482</v>
      </c>
      <c r="I335" t="b">
        <f t="shared" si="20"/>
        <v>1</v>
      </c>
      <c r="J335" s="4">
        <f t="shared" si="21"/>
        <v>-0.35570761014686247</v>
      </c>
      <c r="M335"/>
      <c r="O335" t="s">
        <v>1150</v>
      </c>
      <c r="P335">
        <v>1391</v>
      </c>
      <c r="Q335">
        <v>753.72</v>
      </c>
    </row>
    <row r="336" spans="1:17" hidden="1">
      <c r="A336" s="35" t="s">
        <v>748</v>
      </c>
      <c r="B336" s="35" t="s">
        <v>749</v>
      </c>
      <c r="C336" s="27">
        <v>37319</v>
      </c>
      <c r="D336" s="18">
        <f t="shared" si="22"/>
        <v>1243.9666666666667</v>
      </c>
      <c r="E336" s="5">
        <v>44355.740000000005</v>
      </c>
      <c r="H336" s="18">
        <f t="shared" si="23"/>
        <v>74638</v>
      </c>
      <c r="I336" t="b">
        <f t="shared" si="20"/>
        <v>1</v>
      </c>
      <c r="J336" s="4">
        <f t="shared" si="21"/>
        <v>-0.40572175031485291</v>
      </c>
      <c r="M336"/>
      <c r="O336" t="s">
        <v>1076</v>
      </c>
      <c r="P336">
        <v>994</v>
      </c>
      <c r="Q336">
        <v>2606.08</v>
      </c>
    </row>
    <row r="337" spans="1:17" hidden="1">
      <c r="A337" s="38" t="s">
        <v>662</v>
      </c>
      <c r="B337" s="35" t="s">
        <v>663</v>
      </c>
      <c r="C337" s="27">
        <v>546</v>
      </c>
      <c r="D337" s="18">
        <f t="shared" si="22"/>
        <v>18.2</v>
      </c>
      <c r="E337" s="5">
        <v>1153.6099999999999</v>
      </c>
      <c r="H337" s="18">
        <f t="shared" si="23"/>
        <v>1092</v>
      </c>
      <c r="I337" t="b">
        <f t="shared" si="20"/>
        <v>1</v>
      </c>
      <c r="J337" s="4">
        <f t="shared" si="21"/>
        <v>5.6419413919413852E-2</v>
      </c>
      <c r="M337"/>
      <c r="O337" t="s">
        <v>1225</v>
      </c>
      <c r="P337">
        <v>2392</v>
      </c>
      <c r="Q337">
        <v>3804.61</v>
      </c>
    </row>
    <row r="338" spans="1:17" hidden="1">
      <c r="A338" s="26" t="s">
        <v>90</v>
      </c>
      <c r="B338" s="129" t="s">
        <v>91</v>
      </c>
      <c r="C338" s="27">
        <v>1131</v>
      </c>
      <c r="D338" s="18">
        <f t="shared" si="22"/>
        <v>37.700000000000003</v>
      </c>
      <c r="E338" s="5">
        <v>1389.41</v>
      </c>
      <c r="H338" s="18">
        <f t="shared" si="23"/>
        <v>2262</v>
      </c>
      <c r="I338" t="b">
        <f t="shared" si="20"/>
        <v>1</v>
      </c>
      <c r="J338" s="4">
        <f t="shared" si="21"/>
        <v>-0.38576038903625109</v>
      </c>
      <c r="M338"/>
      <c r="O338" t="s">
        <v>1181</v>
      </c>
      <c r="P338">
        <v>968</v>
      </c>
      <c r="Q338">
        <v>2030.96</v>
      </c>
    </row>
    <row r="339" spans="1:17">
      <c r="A339" s="130" t="s">
        <v>276</v>
      </c>
      <c r="B339" s="129" t="s">
        <v>277</v>
      </c>
      <c r="C339" s="27">
        <v>305</v>
      </c>
      <c r="D339" s="18">
        <f t="shared" si="22"/>
        <v>10.166666666666666</v>
      </c>
      <c r="E339" s="5">
        <v>756.01</v>
      </c>
      <c r="H339" s="18">
        <f t="shared" si="23"/>
        <v>610</v>
      </c>
      <c r="I339" t="b">
        <f t="shared" ref="I339:I362" si="24">IF(E339&gt;1.2*H339,FALSE,TRUE)</f>
        <v>0</v>
      </c>
      <c r="J339" s="4">
        <f t="shared" ref="J339:J362" si="25">E339/H339-1</f>
        <v>0.23936065573770482</v>
      </c>
      <c r="M339"/>
      <c r="O339" t="s">
        <v>1119</v>
      </c>
      <c r="P339">
        <v>1050</v>
      </c>
      <c r="Q339">
        <v>214.39</v>
      </c>
    </row>
    <row r="340" spans="1:17" hidden="1">
      <c r="A340" s="38" t="s">
        <v>256</v>
      </c>
      <c r="B340" s="26" t="s">
        <v>257</v>
      </c>
      <c r="C340" s="27">
        <v>178</v>
      </c>
      <c r="D340" s="18">
        <f t="shared" si="22"/>
        <v>5.9333333333333336</v>
      </c>
      <c r="E340" s="5">
        <v>199.06</v>
      </c>
      <c r="H340" s="18">
        <f t="shared" si="23"/>
        <v>356</v>
      </c>
      <c r="I340" t="b">
        <f t="shared" si="24"/>
        <v>1</v>
      </c>
      <c r="J340" s="4">
        <f t="shared" si="25"/>
        <v>-0.44084269662921349</v>
      </c>
      <c r="M340"/>
      <c r="O340" t="s">
        <v>1196</v>
      </c>
      <c r="P340">
        <v>932</v>
      </c>
      <c r="Q340">
        <v>1821.75</v>
      </c>
    </row>
    <row r="341" spans="1:17">
      <c r="A341" s="38" t="s">
        <v>518</v>
      </c>
      <c r="B341" s="35" t="s">
        <v>519</v>
      </c>
      <c r="C341" s="27">
        <v>472</v>
      </c>
      <c r="D341" s="18">
        <f t="shared" si="22"/>
        <v>15.733333333333333</v>
      </c>
      <c r="E341" s="5">
        <v>1202.57</v>
      </c>
      <c r="H341" s="18">
        <f t="shared" si="23"/>
        <v>944</v>
      </c>
      <c r="I341" t="b">
        <f t="shared" si="24"/>
        <v>0</v>
      </c>
      <c r="J341" s="4">
        <f t="shared" si="25"/>
        <v>0.27390889830508458</v>
      </c>
      <c r="M341"/>
      <c r="O341" t="s">
        <v>1098</v>
      </c>
      <c r="P341">
        <v>2202</v>
      </c>
      <c r="Q341">
        <v>4728.72</v>
      </c>
    </row>
    <row r="342" spans="1:17" hidden="1">
      <c r="A342" s="38" t="s">
        <v>266</v>
      </c>
      <c r="B342" s="35" t="s">
        <v>267</v>
      </c>
      <c r="C342" s="27">
        <v>0</v>
      </c>
      <c r="D342" s="18">
        <f t="shared" si="22"/>
        <v>0</v>
      </c>
      <c r="E342" s="5">
        <v>0</v>
      </c>
      <c r="H342" s="18">
        <f t="shared" si="23"/>
        <v>0</v>
      </c>
      <c r="I342" t="b">
        <f t="shared" si="24"/>
        <v>1</v>
      </c>
      <c r="J342" s="4" t="e">
        <f t="shared" si="25"/>
        <v>#DIV/0!</v>
      </c>
      <c r="O342" t="s">
        <v>1068</v>
      </c>
      <c r="P342">
        <v>1002</v>
      </c>
      <c r="Q342">
        <v>1222.03</v>
      </c>
    </row>
    <row r="343" spans="1:17" hidden="1">
      <c r="A343" s="38" t="s">
        <v>1778</v>
      </c>
      <c r="B343" s="35" t="s">
        <v>1779</v>
      </c>
      <c r="C343" s="27">
        <v>0</v>
      </c>
      <c r="D343" s="18">
        <f t="shared" si="22"/>
        <v>0</v>
      </c>
      <c r="E343" s="113">
        <v>0</v>
      </c>
      <c r="H343" s="18">
        <f t="shared" si="23"/>
        <v>0</v>
      </c>
      <c r="I343" t="b">
        <f t="shared" si="24"/>
        <v>1</v>
      </c>
      <c r="J343" s="4" t="e">
        <f t="shared" si="25"/>
        <v>#DIV/0!</v>
      </c>
      <c r="M343"/>
      <c r="O343" t="s">
        <v>1158</v>
      </c>
      <c r="P343">
        <v>871</v>
      </c>
      <c r="Q343">
        <v>1788.28</v>
      </c>
    </row>
    <row r="344" spans="1:17" ht="30" hidden="1">
      <c r="A344" s="38" t="s">
        <v>82</v>
      </c>
      <c r="B344" s="35" t="s">
        <v>83</v>
      </c>
      <c r="C344" s="27">
        <v>2539</v>
      </c>
      <c r="D344" s="18">
        <f t="shared" si="22"/>
        <v>84.63333333333334</v>
      </c>
      <c r="E344" s="5">
        <v>5376.81</v>
      </c>
      <c r="H344" s="18">
        <f t="shared" si="23"/>
        <v>5078</v>
      </c>
      <c r="I344" t="b">
        <f t="shared" si="24"/>
        <v>1</v>
      </c>
      <c r="J344" s="4">
        <f t="shared" si="25"/>
        <v>5.8844033083891301E-2</v>
      </c>
      <c r="M344"/>
      <c r="P344">
        <v>0</v>
      </c>
      <c r="Q344">
        <v>0</v>
      </c>
    </row>
    <row r="345" spans="1:17">
      <c r="A345" s="38" t="s">
        <v>158</v>
      </c>
      <c r="B345" s="35" t="s">
        <v>159</v>
      </c>
      <c r="C345" s="27">
        <v>96</v>
      </c>
      <c r="D345" s="18">
        <f t="shared" si="22"/>
        <v>3.2</v>
      </c>
      <c r="E345" s="5">
        <v>296.70999999999998</v>
      </c>
      <c r="H345" s="18">
        <f t="shared" si="23"/>
        <v>192</v>
      </c>
      <c r="I345" t="b">
        <f t="shared" si="24"/>
        <v>0</v>
      </c>
      <c r="J345" s="4">
        <f t="shared" si="25"/>
        <v>0.54536458333333315</v>
      </c>
      <c r="M345"/>
      <c r="P345">
        <v>0</v>
      </c>
      <c r="Q345">
        <v>0</v>
      </c>
    </row>
    <row r="346" spans="1:17" hidden="1">
      <c r="A346" s="38" t="s">
        <v>624</v>
      </c>
      <c r="B346" s="35" t="s">
        <v>625</v>
      </c>
      <c r="C346" s="27">
        <v>253</v>
      </c>
      <c r="D346" s="18">
        <f t="shared" si="22"/>
        <v>8.4333333333333336</v>
      </c>
      <c r="E346" s="5">
        <v>474.33</v>
      </c>
      <c r="H346" s="18">
        <f t="shared" si="23"/>
        <v>506</v>
      </c>
      <c r="I346" t="b">
        <f t="shared" si="24"/>
        <v>1</v>
      </c>
      <c r="J346" s="4">
        <f t="shared" si="25"/>
        <v>-6.258893280632416E-2</v>
      </c>
      <c r="M346"/>
      <c r="P346">
        <v>0</v>
      </c>
      <c r="Q346">
        <v>0</v>
      </c>
    </row>
    <row r="347" spans="1:17" hidden="1">
      <c r="A347" s="123" t="s">
        <v>708</v>
      </c>
      <c r="B347" s="35" t="s">
        <v>709</v>
      </c>
      <c r="C347" s="27">
        <v>683</v>
      </c>
      <c r="D347" s="18">
        <f t="shared" si="22"/>
        <v>22.766666666666666</v>
      </c>
      <c r="E347" s="5">
        <v>1491.01</v>
      </c>
      <c r="H347" s="18">
        <f t="shared" si="23"/>
        <v>1366</v>
      </c>
      <c r="I347" t="b">
        <f t="shared" si="24"/>
        <v>1</v>
      </c>
      <c r="J347" s="4">
        <f t="shared" si="25"/>
        <v>9.1515373352855089E-2</v>
      </c>
      <c r="M347"/>
      <c r="P347">
        <v>0</v>
      </c>
      <c r="Q347">
        <v>0</v>
      </c>
    </row>
    <row r="348" spans="1:17">
      <c r="A348" s="123" t="s">
        <v>706</v>
      </c>
      <c r="B348" s="123" t="s">
        <v>707</v>
      </c>
      <c r="C348" s="27">
        <v>518</v>
      </c>
      <c r="D348" s="18">
        <f t="shared" si="22"/>
        <v>17.266666666666666</v>
      </c>
      <c r="E348" s="5">
        <v>1584.42</v>
      </c>
      <c r="H348" s="18">
        <f t="shared" si="23"/>
        <v>1036</v>
      </c>
      <c r="I348" t="b">
        <f t="shared" si="24"/>
        <v>0</v>
      </c>
      <c r="J348" s="4">
        <f t="shared" si="25"/>
        <v>0.52936293436293447</v>
      </c>
      <c r="M348"/>
      <c r="P348">
        <v>0</v>
      </c>
      <c r="Q348">
        <v>0</v>
      </c>
    </row>
    <row r="349" spans="1:17">
      <c r="A349" s="123" t="s">
        <v>208</v>
      </c>
      <c r="B349" s="123" t="s">
        <v>209</v>
      </c>
      <c r="C349" s="27">
        <v>101</v>
      </c>
      <c r="D349" s="18">
        <f t="shared" si="22"/>
        <v>3.3666666666666667</v>
      </c>
      <c r="E349" s="5">
        <v>388.07</v>
      </c>
      <c r="H349" s="18">
        <f t="shared" si="23"/>
        <v>202</v>
      </c>
      <c r="I349" t="b">
        <f t="shared" si="24"/>
        <v>0</v>
      </c>
      <c r="J349" s="4">
        <f t="shared" si="25"/>
        <v>0.92113861386138618</v>
      </c>
      <c r="M349"/>
      <c r="O349" t="s">
        <v>1475</v>
      </c>
      <c r="P349">
        <v>2357</v>
      </c>
      <c r="Q349">
        <v>4551.13</v>
      </c>
    </row>
    <row r="350" spans="1:17">
      <c r="A350" s="123" t="s">
        <v>222</v>
      </c>
      <c r="B350" s="123" t="s">
        <v>223</v>
      </c>
      <c r="C350" s="27">
        <v>39</v>
      </c>
      <c r="D350" s="18">
        <f t="shared" si="22"/>
        <v>1.3</v>
      </c>
      <c r="E350" s="5">
        <v>107.6</v>
      </c>
      <c r="H350" s="18">
        <f t="shared" si="23"/>
        <v>78</v>
      </c>
      <c r="I350" t="b">
        <f t="shared" si="24"/>
        <v>0</v>
      </c>
      <c r="J350" s="4">
        <f t="shared" si="25"/>
        <v>0.37948717948717947</v>
      </c>
      <c r="M350"/>
      <c r="O350" t="s">
        <v>1456</v>
      </c>
      <c r="P350">
        <v>1605</v>
      </c>
      <c r="Q350">
        <v>1997.57</v>
      </c>
    </row>
    <row r="351" spans="1:17" hidden="1">
      <c r="A351" s="123" t="s">
        <v>92</v>
      </c>
      <c r="B351" s="123" t="s">
        <v>93</v>
      </c>
      <c r="C351" s="27">
        <v>371</v>
      </c>
      <c r="D351" s="18">
        <f t="shared" si="22"/>
        <v>12.366666666666667</v>
      </c>
      <c r="E351" s="5">
        <v>349.63</v>
      </c>
      <c r="H351" s="18">
        <f t="shared" si="23"/>
        <v>742</v>
      </c>
      <c r="I351" t="b">
        <f t="shared" si="24"/>
        <v>1</v>
      </c>
      <c r="J351" s="4">
        <f t="shared" si="25"/>
        <v>-0.52880053908355795</v>
      </c>
      <c r="M351"/>
      <c r="O351" t="s">
        <v>1500</v>
      </c>
      <c r="P351">
        <v>2820</v>
      </c>
      <c r="Q351">
        <v>5352.41</v>
      </c>
    </row>
    <row r="352" spans="1:17" hidden="1">
      <c r="A352" s="123" t="s">
        <v>748</v>
      </c>
      <c r="B352" s="123" t="s">
        <v>749</v>
      </c>
      <c r="C352" s="27">
        <v>37319</v>
      </c>
      <c r="D352" s="18">
        <f t="shared" si="22"/>
        <v>1243.9666666666667</v>
      </c>
      <c r="E352" s="5">
        <v>44355.740000000005</v>
      </c>
      <c r="H352" s="18">
        <f t="shared" si="23"/>
        <v>74638</v>
      </c>
      <c r="I352" t="b">
        <f t="shared" si="24"/>
        <v>1</v>
      </c>
      <c r="J352" s="4">
        <f t="shared" si="25"/>
        <v>-0.40572175031485291</v>
      </c>
      <c r="M352"/>
      <c r="O352" t="s">
        <v>1483</v>
      </c>
      <c r="P352">
        <v>4202</v>
      </c>
      <c r="Q352">
        <v>3829.56</v>
      </c>
    </row>
    <row r="353" spans="1:17" hidden="1">
      <c r="A353" s="123" t="s">
        <v>778</v>
      </c>
      <c r="B353" s="123" t="s">
        <v>777</v>
      </c>
      <c r="C353" s="27">
        <v>3358</v>
      </c>
      <c r="D353" s="18">
        <f t="shared" si="22"/>
        <v>111.93333333333334</v>
      </c>
      <c r="E353" s="5">
        <v>5986.86</v>
      </c>
      <c r="H353" s="18">
        <f t="shared" si="23"/>
        <v>6716</v>
      </c>
      <c r="I353" t="b">
        <f t="shared" si="24"/>
        <v>1</v>
      </c>
      <c r="J353" s="4">
        <f t="shared" si="25"/>
        <v>-0.108567599761763</v>
      </c>
      <c r="M353"/>
      <c r="O353" t="s">
        <v>1421</v>
      </c>
      <c r="P353">
        <v>1460</v>
      </c>
      <c r="Q353">
        <v>3168.75</v>
      </c>
    </row>
    <row r="354" spans="1:17" hidden="1">
      <c r="A354" s="123" t="s">
        <v>510</v>
      </c>
      <c r="B354" s="123" t="s">
        <v>511</v>
      </c>
      <c r="C354" s="27">
        <v>991</v>
      </c>
      <c r="D354" s="18">
        <f t="shared" si="22"/>
        <v>33.033333333333331</v>
      </c>
      <c r="E354" s="5">
        <v>1396.96</v>
      </c>
      <c r="H354" s="18">
        <f t="shared" si="23"/>
        <v>1982</v>
      </c>
      <c r="I354" t="b">
        <f t="shared" si="24"/>
        <v>1</v>
      </c>
      <c r="J354" s="4">
        <f t="shared" si="25"/>
        <v>-0.29517658930373358</v>
      </c>
      <c r="M354"/>
      <c r="O354" t="s">
        <v>1309</v>
      </c>
      <c r="P354">
        <v>871</v>
      </c>
      <c r="Q354">
        <v>1459.05</v>
      </c>
    </row>
    <row r="355" spans="1:17">
      <c r="A355" s="123" t="s">
        <v>202</v>
      </c>
      <c r="B355" s="123" t="s">
        <v>203</v>
      </c>
      <c r="C355" s="27">
        <v>354</v>
      </c>
      <c r="D355" s="18">
        <f t="shared" si="22"/>
        <v>11.8</v>
      </c>
      <c r="E355" s="5">
        <v>1075.28</v>
      </c>
      <c r="H355" s="18">
        <f t="shared" si="23"/>
        <v>708</v>
      </c>
      <c r="I355" t="b">
        <f t="shared" si="24"/>
        <v>0</v>
      </c>
      <c r="J355" s="4">
        <f t="shared" si="25"/>
        <v>0.51875706214689266</v>
      </c>
      <c r="O355" t="s">
        <v>1508</v>
      </c>
      <c r="P355">
        <v>4871</v>
      </c>
      <c r="Q355">
        <v>8603.15</v>
      </c>
    </row>
    <row r="356" spans="1:17" hidden="1">
      <c r="A356" s="123" t="s">
        <v>172</v>
      </c>
      <c r="B356" s="123" t="s">
        <v>173</v>
      </c>
      <c r="C356" s="27">
        <v>219</v>
      </c>
      <c r="D356" s="18">
        <f t="shared" si="22"/>
        <v>7.3</v>
      </c>
      <c r="E356" s="5">
        <v>354.88</v>
      </c>
      <c r="H356" s="18">
        <f t="shared" si="23"/>
        <v>438</v>
      </c>
      <c r="I356" t="b">
        <f t="shared" si="24"/>
        <v>1</v>
      </c>
      <c r="J356" s="4">
        <f t="shared" si="25"/>
        <v>-0.18977168949771694</v>
      </c>
      <c r="M356"/>
      <c r="O356" t="s">
        <v>1517</v>
      </c>
      <c r="P356">
        <v>10863</v>
      </c>
      <c r="Q356">
        <v>10572.08</v>
      </c>
    </row>
    <row r="357" spans="1:17">
      <c r="A357" s="123" t="s">
        <v>336</v>
      </c>
      <c r="B357" s="123" t="s">
        <v>337</v>
      </c>
      <c r="C357" s="27">
        <v>404</v>
      </c>
      <c r="D357" s="18">
        <f t="shared" si="22"/>
        <v>13.466666666666667</v>
      </c>
      <c r="E357" s="5">
        <v>1200.6099999999999</v>
      </c>
      <c r="H357" s="18">
        <f t="shared" si="23"/>
        <v>808</v>
      </c>
      <c r="I357" t="b">
        <f t="shared" si="24"/>
        <v>0</v>
      </c>
      <c r="J357" s="4">
        <f t="shared" si="25"/>
        <v>0.48590346534653461</v>
      </c>
      <c r="M357"/>
      <c r="O357" t="s">
        <v>1380</v>
      </c>
      <c r="P357">
        <v>2105</v>
      </c>
      <c r="Q357">
        <v>5222.25</v>
      </c>
    </row>
    <row r="358" spans="1:17" hidden="1">
      <c r="A358" s="123" t="s">
        <v>132</v>
      </c>
      <c r="B358" s="123" t="s">
        <v>133</v>
      </c>
      <c r="C358" s="27">
        <v>280</v>
      </c>
      <c r="D358" s="18">
        <f t="shared" si="22"/>
        <v>9.3333333333333339</v>
      </c>
      <c r="E358" s="5">
        <v>624.87</v>
      </c>
      <c r="H358" s="18">
        <f t="shared" si="23"/>
        <v>560</v>
      </c>
      <c r="I358" t="b">
        <f t="shared" si="24"/>
        <v>1</v>
      </c>
      <c r="J358" s="4">
        <f t="shared" si="25"/>
        <v>0.11583928571428581</v>
      </c>
      <c r="O358" t="s">
        <v>1451</v>
      </c>
      <c r="P358">
        <v>1161</v>
      </c>
      <c r="Q358">
        <v>1374.2</v>
      </c>
    </row>
    <row r="359" spans="1:17" hidden="1">
      <c r="A359" s="123" t="s">
        <v>68</v>
      </c>
      <c r="B359" s="123" t="s">
        <v>69</v>
      </c>
      <c r="C359" s="27">
        <v>875</v>
      </c>
      <c r="D359" s="18">
        <f t="shared" si="22"/>
        <v>29.166666666666668</v>
      </c>
      <c r="E359" s="5">
        <v>1679.27</v>
      </c>
      <c r="H359" s="18">
        <f t="shared" si="23"/>
        <v>1750</v>
      </c>
      <c r="I359" t="b">
        <f t="shared" si="24"/>
        <v>1</v>
      </c>
      <c r="J359" s="4">
        <f t="shared" si="25"/>
        <v>-4.0417142857142818E-2</v>
      </c>
      <c r="M359"/>
      <c r="O359" t="s">
        <v>1364</v>
      </c>
      <c r="P359">
        <v>2704</v>
      </c>
      <c r="Q359">
        <v>3791.04</v>
      </c>
    </row>
    <row r="360" spans="1:17">
      <c r="A360" s="123" t="s">
        <v>418</v>
      </c>
      <c r="B360" s="123" t="s">
        <v>419</v>
      </c>
      <c r="C360" s="27">
        <v>477</v>
      </c>
      <c r="D360" s="18">
        <f t="shared" si="22"/>
        <v>15.9</v>
      </c>
      <c r="E360" s="5">
        <v>1240.3</v>
      </c>
      <c r="H360" s="18">
        <f t="shared" si="23"/>
        <v>954</v>
      </c>
      <c r="I360" t="b">
        <f t="shared" si="24"/>
        <v>0</v>
      </c>
      <c r="J360" s="4">
        <f t="shared" si="25"/>
        <v>0.30010482180293496</v>
      </c>
      <c r="M360"/>
      <c r="O360" t="s">
        <v>1439</v>
      </c>
      <c r="P360">
        <v>1464</v>
      </c>
      <c r="Q360">
        <v>1310.06</v>
      </c>
    </row>
    <row r="361" spans="1:17" ht="16.5" hidden="1" customHeight="1">
      <c r="A361" s="123" t="s">
        <v>626</v>
      </c>
      <c r="B361" s="123" t="s">
        <v>627</v>
      </c>
      <c r="C361" s="27">
        <v>636</v>
      </c>
      <c r="D361" s="18">
        <f t="shared" si="22"/>
        <v>21.2</v>
      </c>
      <c r="E361" s="5">
        <v>1158.94</v>
      </c>
      <c r="H361" s="18">
        <f t="shared" si="23"/>
        <v>1272</v>
      </c>
      <c r="I361" t="b">
        <f t="shared" si="24"/>
        <v>1</v>
      </c>
      <c r="J361" s="4">
        <f t="shared" si="25"/>
        <v>-8.8883647798742138E-2</v>
      </c>
      <c r="M361"/>
      <c r="O361" t="s">
        <v>1270</v>
      </c>
      <c r="P361">
        <v>432</v>
      </c>
      <c r="Q361">
        <v>657.51</v>
      </c>
    </row>
    <row r="362" spans="1:17" hidden="1">
      <c r="A362" s="123" t="s">
        <v>62</v>
      </c>
      <c r="B362" s="123" t="s">
        <v>63</v>
      </c>
      <c r="C362" s="27">
        <v>484</v>
      </c>
      <c r="D362" s="18">
        <f t="shared" si="22"/>
        <v>16.133333333333333</v>
      </c>
      <c r="E362" s="5">
        <v>873.32</v>
      </c>
      <c r="H362" s="18">
        <f t="shared" si="23"/>
        <v>968</v>
      </c>
      <c r="I362" t="b">
        <f t="shared" si="24"/>
        <v>1</v>
      </c>
      <c r="J362" s="4">
        <f t="shared" si="25"/>
        <v>-9.7809917355371812E-2</v>
      </c>
      <c r="O362" t="s">
        <v>1431</v>
      </c>
      <c r="P362">
        <v>1424</v>
      </c>
      <c r="Q362">
        <v>3264.21</v>
      </c>
    </row>
    <row r="363" spans="1:17" hidden="1">
      <c r="A363" s="123" t="s">
        <v>881</v>
      </c>
      <c r="B363" s="123" t="s">
        <v>882</v>
      </c>
      <c r="C363" s="27">
        <v>2003</v>
      </c>
      <c r="D363" s="18">
        <f t="shared" si="22"/>
        <v>66.766666666666666</v>
      </c>
      <c r="E363" s="5">
        <v>2500.86</v>
      </c>
      <c r="H363" s="18">
        <f t="shared" si="23"/>
        <v>4006</v>
      </c>
      <c r="I363" t="b">
        <f t="shared" ref="I363:I426" si="26">IF(E363&gt;1.2*H363,FALSE,TRUE)</f>
        <v>1</v>
      </c>
      <c r="J363" s="4">
        <f t="shared" ref="J363:J426" si="27">E363/H363-1</f>
        <v>-0.37572141787319013</v>
      </c>
      <c r="O363" t="s">
        <v>1465</v>
      </c>
      <c r="P363">
        <v>1014</v>
      </c>
      <c r="Q363">
        <v>1354.39</v>
      </c>
    </row>
    <row r="364" spans="1:17" hidden="1">
      <c r="A364" s="123" t="s">
        <v>1780</v>
      </c>
      <c r="B364" s="123" t="s">
        <v>1781</v>
      </c>
      <c r="C364" s="27">
        <v>0</v>
      </c>
      <c r="D364" s="18">
        <f t="shared" si="22"/>
        <v>0</v>
      </c>
      <c r="E364" s="5">
        <v>0</v>
      </c>
      <c r="H364" s="18">
        <f t="shared" si="23"/>
        <v>0</v>
      </c>
      <c r="I364" t="b">
        <f t="shared" si="26"/>
        <v>1</v>
      </c>
      <c r="J364" s="4" t="e">
        <f t="shared" si="27"/>
        <v>#DIV/0!</v>
      </c>
      <c r="O364" t="s">
        <v>1378</v>
      </c>
      <c r="P364">
        <v>1525</v>
      </c>
      <c r="Q364">
        <v>2359.86</v>
      </c>
    </row>
    <row r="365" spans="1:17" hidden="1">
      <c r="A365" s="123" t="s">
        <v>22</v>
      </c>
      <c r="B365" s="123" t="s">
        <v>23</v>
      </c>
      <c r="C365" s="27">
        <v>1857</v>
      </c>
      <c r="D365" s="18">
        <f t="shared" si="22"/>
        <v>61.9</v>
      </c>
      <c r="E365" s="5">
        <v>2909</v>
      </c>
      <c r="H365" s="18">
        <f t="shared" si="23"/>
        <v>3714</v>
      </c>
      <c r="I365" t="b">
        <f t="shared" si="26"/>
        <v>1</v>
      </c>
      <c r="J365" s="4">
        <f t="shared" si="27"/>
        <v>-0.21674744211093167</v>
      </c>
      <c r="O365" t="s">
        <v>1388</v>
      </c>
      <c r="P365">
        <v>816</v>
      </c>
      <c r="Q365">
        <v>2073.8200000000002</v>
      </c>
    </row>
    <row r="366" spans="1:17">
      <c r="A366" s="123" t="s">
        <v>44</v>
      </c>
      <c r="B366" s="123" t="s">
        <v>45</v>
      </c>
      <c r="C366" s="27">
        <v>169</v>
      </c>
      <c r="D366" s="18">
        <f t="shared" si="22"/>
        <v>5.6333333333333337</v>
      </c>
      <c r="E366" s="5">
        <v>405.63</v>
      </c>
      <c r="H366" s="18">
        <f t="shared" si="23"/>
        <v>338</v>
      </c>
      <c r="I366" t="b">
        <f t="shared" si="26"/>
        <v>0</v>
      </c>
      <c r="J366" s="4">
        <f t="shared" si="27"/>
        <v>0.2000887573964496</v>
      </c>
      <c r="L366" s="123"/>
      <c r="O366" t="s">
        <v>1368</v>
      </c>
      <c r="P366">
        <v>1682</v>
      </c>
      <c r="Q366">
        <v>580.09</v>
      </c>
    </row>
    <row r="367" spans="1:17">
      <c r="A367" s="123" t="s">
        <v>390</v>
      </c>
      <c r="B367" s="123" t="s">
        <v>391</v>
      </c>
      <c r="C367" s="27">
        <v>411</v>
      </c>
      <c r="D367" s="18">
        <f t="shared" si="22"/>
        <v>13.7</v>
      </c>
      <c r="E367" s="5">
        <v>1248.03</v>
      </c>
      <c r="H367" s="18">
        <f t="shared" si="23"/>
        <v>822</v>
      </c>
      <c r="I367" t="b">
        <f t="shared" si="26"/>
        <v>0</v>
      </c>
      <c r="J367" s="4">
        <f t="shared" si="27"/>
        <v>0.51828467153284663</v>
      </c>
      <c r="O367" t="s">
        <v>1326</v>
      </c>
      <c r="P367">
        <v>261</v>
      </c>
      <c r="Q367">
        <v>1405.71</v>
      </c>
    </row>
    <row r="368" spans="1:17" hidden="1">
      <c r="A368" s="123" t="s">
        <v>94</v>
      </c>
      <c r="B368" s="123" t="s">
        <v>95</v>
      </c>
      <c r="C368" s="27">
        <v>904</v>
      </c>
      <c r="D368" s="18">
        <f t="shared" si="22"/>
        <v>30.133333333333333</v>
      </c>
      <c r="E368" s="5">
        <v>1838.53</v>
      </c>
      <c r="H368" s="18">
        <f t="shared" si="23"/>
        <v>1808</v>
      </c>
      <c r="I368" t="b">
        <f t="shared" si="26"/>
        <v>1</v>
      </c>
      <c r="J368" s="4">
        <f t="shared" si="27"/>
        <v>1.6886061946902675E-2</v>
      </c>
      <c r="O368" t="s">
        <v>1498</v>
      </c>
      <c r="P368">
        <v>1366</v>
      </c>
      <c r="Q368">
        <v>3088.32</v>
      </c>
    </row>
    <row r="369" spans="1:17" hidden="1">
      <c r="A369" t="s">
        <v>935</v>
      </c>
      <c r="B369" t="s">
        <v>936</v>
      </c>
      <c r="C369" s="18">
        <v>5147</v>
      </c>
      <c r="D369" s="18">
        <f t="shared" si="22"/>
        <v>171.56666666666666</v>
      </c>
      <c r="E369" s="5">
        <v>4371.66</v>
      </c>
      <c r="H369" s="18">
        <f t="shared" si="23"/>
        <v>10294</v>
      </c>
      <c r="I369" t="b">
        <f t="shared" si="26"/>
        <v>1</v>
      </c>
      <c r="J369" s="4">
        <f t="shared" si="27"/>
        <v>-0.57531960365261314</v>
      </c>
      <c r="O369" t="s">
        <v>1360</v>
      </c>
      <c r="P369">
        <v>1601</v>
      </c>
      <c r="Q369">
        <v>3000.95</v>
      </c>
    </row>
    <row r="370" spans="1:17" hidden="1">
      <c r="A370" t="s">
        <v>1243</v>
      </c>
      <c r="B370" t="s">
        <v>1244</v>
      </c>
      <c r="C370" s="18">
        <v>44766</v>
      </c>
      <c r="D370" s="18">
        <f t="shared" si="22"/>
        <v>1492.2</v>
      </c>
      <c r="E370" s="5">
        <v>36342.639999999999</v>
      </c>
      <c r="H370" s="18">
        <f t="shared" si="23"/>
        <v>89532</v>
      </c>
      <c r="I370" t="b">
        <f t="shared" si="26"/>
        <v>1</v>
      </c>
      <c r="J370" s="4">
        <f t="shared" si="27"/>
        <v>-0.59408211589152482</v>
      </c>
      <c r="O370" t="s">
        <v>1453</v>
      </c>
      <c r="P370">
        <v>7185</v>
      </c>
      <c r="Q370">
        <v>9078.4500000000007</v>
      </c>
    </row>
    <row r="371" spans="1:17" hidden="1">
      <c r="A371" s="122" t="s">
        <v>903</v>
      </c>
      <c r="B371" s="35" t="s">
        <v>904</v>
      </c>
      <c r="C371">
        <v>3292</v>
      </c>
      <c r="D371" s="18">
        <f t="shared" si="22"/>
        <v>109.73333333333333</v>
      </c>
      <c r="E371" s="5">
        <v>1927.02</v>
      </c>
      <c r="H371" s="18">
        <f t="shared" si="23"/>
        <v>6584</v>
      </c>
      <c r="I371" t="b">
        <f t="shared" si="26"/>
        <v>1</v>
      </c>
      <c r="J371" s="4">
        <f t="shared" si="27"/>
        <v>-0.70731773997569869</v>
      </c>
      <c r="O371" t="s">
        <v>1417</v>
      </c>
      <c r="P371">
        <v>1016</v>
      </c>
      <c r="Q371">
        <v>2364.4699999999998</v>
      </c>
    </row>
    <row r="372" spans="1:17" hidden="1">
      <c r="A372" t="s">
        <v>1057</v>
      </c>
      <c r="B372" t="s">
        <v>1058</v>
      </c>
      <c r="C372" s="18">
        <v>718</v>
      </c>
      <c r="D372" s="18">
        <f t="shared" si="22"/>
        <v>23.933333333333334</v>
      </c>
      <c r="E372" s="5">
        <v>351.79</v>
      </c>
      <c r="H372" s="18">
        <f t="shared" si="23"/>
        <v>1436</v>
      </c>
      <c r="I372" t="b">
        <f t="shared" si="26"/>
        <v>1</v>
      </c>
      <c r="J372" s="4">
        <f t="shared" si="27"/>
        <v>-0.75502089136490247</v>
      </c>
      <c r="O372" t="s">
        <v>1374</v>
      </c>
      <c r="P372">
        <v>1074</v>
      </c>
      <c r="Q372">
        <v>1191.3399999999999</v>
      </c>
    </row>
    <row r="373" spans="1:17" hidden="1">
      <c r="A373" t="s">
        <v>1231</v>
      </c>
      <c r="B373" t="s">
        <v>1232</v>
      </c>
      <c r="C373" s="18">
        <v>3065</v>
      </c>
      <c r="D373" s="18">
        <f t="shared" si="22"/>
        <v>102.16666666666667</v>
      </c>
      <c r="E373" s="5">
        <v>7137.31</v>
      </c>
      <c r="H373" s="18">
        <f t="shared" si="23"/>
        <v>6130</v>
      </c>
      <c r="I373" t="b">
        <f t="shared" si="26"/>
        <v>1</v>
      </c>
      <c r="J373" s="4">
        <f t="shared" si="27"/>
        <v>0.16432463295269173</v>
      </c>
      <c r="P373">
        <v>0</v>
      </c>
      <c r="Q373">
        <v>0</v>
      </c>
    </row>
    <row r="374" spans="1:17" hidden="1">
      <c r="A374" t="s">
        <v>969</v>
      </c>
      <c r="B374" t="s">
        <v>970</v>
      </c>
      <c r="C374" s="18">
        <v>1137</v>
      </c>
      <c r="D374" s="18">
        <f t="shared" si="22"/>
        <v>37.9</v>
      </c>
      <c r="E374" s="5">
        <v>1445.69</v>
      </c>
      <c r="H374" s="18">
        <f t="shared" si="23"/>
        <v>2274</v>
      </c>
      <c r="I374" t="b">
        <f t="shared" si="26"/>
        <v>1</v>
      </c>
      <c r="J374" s="4">
        <f t="shared" si="27"/>
        <v>-0.36425241864555846</v>
      </c>
      <c r="O374" t="s">
        <v>1356</v>
      </c>
      <c r="P374">
        <v>539</v>
      </c>
      <c r="Q374">
        <v>1057.49</v>
      </c>
    </row>
    <row r="375" spans="1:17" hidden="1">
      <c r="A375" t="s">
        <v>1165</v>
      </c>
      <c r="B375" t="s">
        <v>1166</v>
      </c>
      <c r="C375" s="18">
        <v>9160</v>
      </c>
      <c r="D375" s="18">
        <f t="shared" si="22"/>
        <v>305.33333333333331</v>
      </c>
      <c r="E375" s="113">
        <v>6638.18</v>
      </c>
      <c r="H375" s="18">
        <f t="shared" si="23"/>
        <v>18320</v>
      </c>
      <c r="I375" t="b">
        <f t="shared" si="26"/>
        <v>1</v>
      </c>
      <c r="J375" s="4">
        <f t="shared" si="27"/>
        <v>-0.63765393013100435</v>
      </c>
      <c r="O375" t="s">
        <v>1443</v>
      </c>
      <c r="P375">
        <v>1075</v>
      </c>
      <c r="Q375">
        <v>1761.57</v>
      </c>
    </row>
    <row r="376" spans="1:17" hidden="1">
      <c r="A376" t="s">
        <v>907</v>
      </c>
      <c r="B376" t="s">
        <v>908</v>
      </c>
      <c r="C376" s="18">
        <v>2589</v>
      </c>
      <c r="D376" s="18">
        <f t="shared" si="22"/>
        <v>86.3</v>
      </c>
      <c r="E376" s="5">
        <v>1399.24</v>
      </c>
      <c r="H376" s="18">
        <f t="shared" si="23"/>
        <v>5178</v>
      </c>
      <c r="I376" t="b">
        <f t="shared" si="26"/>
        <v>1</v>
      </c>
      <c r="J376" s="4">
        <f t="shared" si="27"/>
        <v>-0.72977211278485909</v>
      </c>
      <c r="O376" t="s">
        <v>1413</v>
      </c>
      <c r="P376">
        <v>1470</v>
      </c>
      <c r="Q376">
        <v>2032.1</v>
      </c>
    </row>
    <row r="377" spans="1:17" hidden="1">
      <c r="A377" s="122" t="s">
        <v>1174</v>
      </c>
      <c r="B377" s="35" t="s">
        <v>1175</v>
      </c>
      <c r="C377">
        <v>652</v>
      </c>
      <c r="D377" s="18">
        <f t="shared" si="22"/>
        <v>21.733333333333334</v>
      </c>
      <c r="E377" s="5">
        <v>1071.98</v>
      </c>
      <c r="H377" s="18">
        <f t="shared" si="23"/>
        <v>1304</v>
      </c>
      <c r="I377" t="b">
        <f t="shared" si="26"/>
        <v>1</v>
      </c>
      <c r="J377" s="4">
        <f t="shared" si="27"/>
        <v>-0.17792944785276077</v>
      </c>
      <c r="O377" t="s">
        <v>1437</v>
      </c>
      <c r="P377">
        <v>1676</v>
      </c>
      <c r="Q377">
        <v>2748.23</v>
      </c>
    </row>
    <row r="378" spans="1:17" hidden="1">
      <c r="A378" t="s">
        <v>946</v>
      </c>
      <c r="B378" t="s">
        <v>947</v>
      </c>
      <c r="C378" s="18">
        <v>420</v>
      </c>
      <c r="D378" s="18">
        <f t="shared" si="22"/>
        <v>14</v>
      </c>
      <c r="E378" s="5">
        <v>863.07</v>
      </c>
      <c r="H378" s="18">
        <f t="shared" si="23"/>
        <v>840</v>
      </c>
      <c r="I378" t="b">
        <f t="shared" si="26"/>
        <v>1</v>
      </c>
      <c r="J378" s="4">
        <f t="shared" si="27"/>
        <v>2.7464285714285719E-2</v>
      </c>
      <c r="O378" t="s">
        <v>1700</v>
      </c>
      <c r="P378">
        <v>556</v>
      </c>
      <c r="Q378">
        <v>399.59</v>
      </c>
    </row>
    <row r="379" spans="1:17" hidden="1">
      <c r="A379" s="26" t="s">
        <v>1195</v>
      </c>
      <c r="B379" s="26" t="s">
        <v>1196</v>
      </c>
      <c r="C379" s="18">
        <v>580</v>
      </c>
      <c r="D379" s="18">
        <f t="shared" si="22"/>
        <v>19.333333333333332</v>
      </c>
      <c r="E379" s="5">
        <v>190.09</v>
      </c>
      <c r="H379" s="18">
        <f t="shared" si="23"/>
        <v>1160</v>
      </c>
      <c r="I379" t="b">
        <f t="shared" si="26"/>
        <v>1</v>
      </c>
      <c r="J379" s="4">
        <f t="shared" si="27"/>
        <v>-0.83612931034482751</v>
      </c>
      <c r="O379" t="s">
        <v>1349</v>
      </c>
      <c r="P379">
        <v>1179</v>
      </c>
      <c r="Q379">
        <v>2708.58</v>
      </c>
    </row>
    <row r="380" spans="1:17" hidden="1">
      <c r="A380" t="s">
        <v>1215</v>
      </c>
      <c r="B380" t="s">
        <v>1216</v>
      </c>
      <c r="C380" s="18">
        <v>903</v>
      </c>
      <c r="D380" s="18">
        <f t="shared" si="22"/>
        <v>30.1</v>
      </c>
      <c r="E380" s="5">
        <v>374.9</v>
      </c>
      <c r="H380" s="18">
        <f t="shared" si="23"/>
        <v>1806</v>
      </c>
      <c r="I380" t="b">
        <f t="shared" si="26"/>
        <v>1</v>
      </c>
      <c r="J380" s="4">
        <f t="shared" si="27"/>
        <v>-0.79241417497231459</v>
      </c>
      <c r="O380" t="s">
        <v>1492</v>
      </c>
      <c r="P380">
        <v>1553</v>
      </c>
      <c r="Q380">
        <v>1075</v>
      </c>
    </row>
    <row r="381" spans="1:17" hidden="1">
      <c r="A381" s="112" t="s">
        <v>1043</v>
      </c>
      <c r="B381" s="35" t="s">
        <v>1044</v>
      </c>
      <c r="C381">
        <v>3</v>
      </c>
      <c r="D381" s="18">
        <f t="shared" si="22"/>
        <v>0.1</v>
      </c>
      <c r="E381" s="5">
        <v>0</v>
      </c>
      <c r="H381" s="18">
        <f t="shared" si="23"/>
        <v>6</v>
      </c>
      <c r="I381" t="b">
        <f t="shared" si="26"/>
        <v>1</v>
      </c>
      <c r="J381" s="4">
        <f t="shared" si="27"/>
        <v>-1</v>
      </c>
      <c r="O381" t="s">
        <v>1427</v>
      </c>
      <c r="P381">
        <v>1400</v>
      </c>
      <c r="Q381">
        <v>1440.96</v>
      </c>
    </row>
    <row r="382" spans="1:17" hidden="1">
      <c r="A382" t="s">
        <v>1130</v>
      </c>
      <c r="B382" t="s">
        <v>1131</v>
      </c>
      <c r="C382" s="18">
        <v>985</v>
      </c>
      <c r="D382" s="18">
        <f t="shared" si="22"/>
        <v>32.833333333333336</v>
      </c>
      <c r="E382" s="5">
        <v>624.55999999999995</v>
      </c>
      <c r="H382" s="18">
        <f t="shared" si="23"/>
        <v>1970</v>
      </c>
      <c r="I382" t="b">
        <f t="shared" si="26"/>
        <v>1</v>
      </c>
      <c r="J382" s="4">
        <f t="shared" si="27"/>
        <v>-0.68296446700507618</v>
      </c>
      <c r="O382" t="s">
        <v>1390</v>
      </c>
      <c r="P382">
        <v>1462</v>
      </c>
      <c r="Q382">
        <v>1070.9000000000001</v>
      </c>
    </row>
    <row r="383" spans="1:17" hidden="1">
      <c r="A383" s="26" t="s">
        <v>1027</v>
      </c>
      <c r="B383" s="35" t="s">
        <v>1028</v>
      </c>
      <c r="C383" s="18">
        <v>645</v>
      </c>
      <c r="D383" s="18">
        <f t="shared" si="22"/>
        <v>21.5</v>
      </c>
      <c r="E383" s="5">
        <v>569.04999999999995</v>
      </c>
      <c r="H383" s="18">
        <f t="shared" si="23"/>
        <v>1290</v>
      </c>
      <c r="I383" t="b">
        <f t="shared" si="26"/>
        <v>1</v>
      </c>
      <c r="J383" s="4">
        <f t="shared" si="27"/>
        <v>-0.55887596899224812</v>
      </c>
      <c r="O383" t="s">
        <v>1358</v>
      </c>
      <c r="P383">
        <v>7031</v>
      </c>
      <c r="Q383">
        <v>6062.04</v>
      </c>
    </row>
    <row r="384" spans="1:17" hidden="1">
      <c r="A384" t="s">
        <v>1118</v>
      </c>
      <c r="B384" t="s">
        <v>1119</v>
      </c>
      <c r="C384" s="18">
        <v>802</v>
      </c>
      <c r="D384" s="18">
        <f t="shared" si="22"/>
        <v>26.733333333333334</v>
      </c>
      <c r="E384" s="5">
        <v>176.68</v>
      </c>
      <c r="H384" s="18">
        <f t="shared" si="23"/>
        <v>1604</v>
      </c>
      <c r="I384" t="b">
        <f t="shared" si="26"/>
        <v>1</v>
      </c>
      <c r="J384" s="4">
        <f t="shared" si="27"/>
        <v>-0.88985037406483791</v>
      </c>
      <c r="O384" t="s">
        <v>1407</v>
      </c>
      <c r="P384">
        <v>1743</v>
      </c>
      <c r="Q384">
        <v>2986.39</v>
      </c>
    </row>
    <row r="385" spans="1:17" hidden="1">
      <c r="A385" t="s">
        <v>1049</v>
      </c>
      <c r="B385" t="s">
        <v>1050</v>
      </c>
      <c r="C385" s="18">
        <v>2034</v>
      </c>
      <c r="D385" s="18">
        <f t="shared" si="22"/>
        <v>67.8</v>
      </c>
      <c r="E385" s="5">
        <v>683.2</v>
      </c>
      <c r="H385" s="18">
        <f t="shared" si="23"/>
        <v>4068</v>
      </c>
      <c r="I385" t="b">
        <f t="shared" si="26"/>
        <v>1</v>
      </c>
      <c r="J385" s="4">
        <f t="shared" si="27"/>
        <v>-0.83205506391347095</v>
      </c>
      <c r="O385" t="s">
        <v>1283</v>
      </c>
      <c r="P385">
        <v>1235</v>
      </c>
      <c r="Q385">
        <v>2031.46</v>
      </c>
    </row>
    <row r="386" spans="1:17" hidden="1">
      <c r="A386" t="s">
        <v>1134</v>
      </c>
      <c r="B386" t="s">
        <v>1135</v>
      </c>
      <c r="C386" s="18">
        <v>936</v>
      </c>
      <c r="D386" s="18">
        <f t="shared" si="22"/>
        <v>31.2</v>
      </c>
      <c r="E386" s="5">
        <v>0</v>
      </c>
      <c r="H386" s="18">
        <f t="shared" si="23"/>
        <v>1872</v>
      </c>
      <c r="I386" t="b">
        <f t="shared" si="26"/>
        <v>1</v>
      </c>
      <c r="J386" s="4">
        <f t="shared" si="27"/>
        <v>-1</v>
      </c>
      <c r="O386" t="s">
        <v>1703</v>
      </c>
      <c r="P386">
        <v>1</v>
      </c>
      <c r="Q386">
        <v>0</v>
      </c>
    </row>
    <row r="387" spans="1:17" hidden="1">
      <c r="A387" t="s">
        <v>1220</v>
      </c>
      <c r="B387" t="s">
        <v>1221</v>
      </c>
      <c r="C387" s="18">
        <v>2086</v>
      </c>
      <c r="D387" s="18">
        <f t="shared" ref="D387:D450" si="28">C387/30</f>
        <v>69.533333333333331</v>
      </c>
      <c r="E387" s="5">
        <v>1756.12</v>
      </c>
      <c r="H387" s="18">
        <f t="shared" ref="H387:H450" si="29">IF((C387/30)&gt;100,C387*2,C387*2)</f>
        <v>4172</v>
      </c>
      <c r="I387" t="b">
        <f t="shared" si="26"/>
        <v>1</v>
      </c>
      <c r="J387" s="4">
        <f t="shared" si="27"/>
        <v>-0.57906999041227225</v>
      </c>
      <c r="O387" t="s">
        <v>1333</v>
      </c>
      <c r="P387">
        <v>1060</v>
      </c>
      <c r="Q387">
        <v>1987.32</v>
      </c>
    </row>
    <row r="388" spans="1:17" hidden="1">
      <c r="A388" t="s">
        <v>1163</v>
      </c>
      <c r="B388" t="s">
        <v>1164</v>
      </c>
      <c r="C388" s="18">
        <v>1117</v>
      </c>
      <c r="D388" s="18">
        <f t="shared" si="28"/>
        <v>37.233333333333334</v>
      </c>
      <c r="E388" s="5">
        <v>1107.23</v>
      </c>
      <c r="H388" s="18">
        <f t="shared" si="29"/>
        <v>2234</v>
      </c>
      <c r="I388" t="b">
        <f t="shared" si="26"/>
        <v>1</v>
      </c>
      <c r="J388" s="4">
        <f t="shared" si="27"/>
        <v>-0.50437332139659796</v>
      </c>
      <c r="O388" t="s">
        <v>1331</v>
      </c>
      <c r="P388">
        <v>810</v>
      </c>
      <c r="Q388">
        <v>987.64</v>
      </c>
    </row>
    <row r="389" spans="1:17" hidden="1">
      <c r="A389" t="s">
        <v>929</v>
      </c>
      <c r="B389" t="s">
        <v>930</v>
      </c>
      <c r="C389" s="18">
        <v>886</v>
      </c>
      <c r="D389" s="18">
        <f t="shared" si="28"/>
        <v>29.533333333333335</v>
      </c>
      <c r="E389" s="5">
        <v>1028.22</v>
      </c>
      <c r="H389" s="18">
        <f t="shared" si="29"/>
        <v>1772</v>
      </c>
      <c r="I389" t="b">
        <f t="shared" si="26"/>
        <v>1</v>
      </c>
      <c r="J389" s="4">
        <f t="shared" si="27"/>
        <v>-0.41974040632054177</v>
      </c>
      <c r="O389" t="s">
        <v>1462</v>
      </c>
      <c r="P389">
        <v>1161</v>
      </c>
      <c r="Q389">
        <v>2264.92</v>
      </c>
    </row>
    <row r="390" spans="1:17" hidden="1">
      <c r="A390" s="26" t="s">
        <v>1116</v>
      </c>
      <c r="B390" s="26" t="s">
        <v>1117</v>
      </c>
      <c r="C390" s="18">
        <v>744</v>
      </c>
      <c r="D390" s="18">
        <f t="shared" si="28"/>
        <v>24.8</v>
      </c>
      <c r="E390" s="113">
        <v>305.93</v>
      </c>
      <c r="H390" s="18">
        <f t="shared" si="29"/>
        <v>1488</v>
      </c>
      <c r="I390" t="b">
        <f t="shared" si="26"/>
        <v>1</v>
      </c>
      <c r="J390" s="4">
        <f t="shared" si="27"/>
        <v>-0.79440188172043014</v>
      </c>
      <c r="O390" t="s">
        <v>1481</v>
      </c>
      <c r="P390">
        <v>1609</v>
      </c>
      <c r="Q390">
        <v>1661.07</v>
      </c>
    </row>
    <row r="391" spans="1:17" hidden="1">
      <c r="A391" t="s">
        <v>1059</v>
      </c>
      <c r="B391" t="s">
        <v>1060</v>
      </c>
      <c r="C391" s="18">
        <v>2101</v>
      </c>
      <c r="D391" s="18">
        <f t="shared" si="28"/>
        <v>70.033333333333331</v>
      </c>
      <c r="E391" s="5">
        <v>1469.59</v>
      </c>
      <c r="H391" s="18">
        <f t="shared" si="29"/>
        <v>4202</v>
      </c>
      <c r="I391" t="b">
        <f t="shared" si="26"/>
        <v>1</v>
      </c>
      <c r="J391" s="4">
        <f t="shared" si="27"/>
        <v>-0.65026415992384579</v>
      </c>
      <c r="O391" t="s">
        <v>1429</v>
      </c>
      <c r="P391">
        <v>1107</v>
      </c>
      <c r="Q391">
        <v>1110.52</v>
      </c>
    </row>
    <row r="392" spans="1:17" hidden="1">
      <c r="A392" t="s">
        <v>1122</v>
      </c>
      <c r="B392" t="s">
        <v>1123</v>
      </c>
      <c r="C392" s="18">
        <v>1518</v>
      </c>
      <c r="D392" s="18">
        <f t="shared" si="28"/>
        <v>50.6</v>
      </c>
      <c r="E392" s="5">
        <v>3463.2599999999998</v>
      </c>
      <c r="H392" s="18">
        <f t="shared" si="29"/>
        <v>3036</v>
      </c>
      <c r="I392" t="b">
        <f t="shared" si="26"/>
        <v>1</v>
      </c>
      <c r="J392" s="4">
        <f t="shared" si="27"/>
        <v>0.14073122529644255</v>
      </c>
      <c r="O392" t="s">
        <v>1681</v>
      </c>
      <c r="P392">
        <v>550</v>
      </c>
      <c r="Q392">
        <v>515.15</v>
      </c>
    </row>
    <row r="393" spans="1:17" hidden="1">
      <c r="A393" t="s">
        <v>927</v>
      </c>
      <c r="B393" t="s">
        <v>928</v>
      </c>
      <c r="C393" s="18">
        <v>4340</v>
      </c>
      <c r="D393" s="18">
        <f t="shared" si="28"/>
        <v>144.66666666666666</v>
      </c>
      <c r="E393" s="5">
        <v>10105.969999999999</v>
      </c>
      <c r="H393" s="18">
        <f t="shared" si="29"/>
        <v>8680</v>
      </c>
      <c r="I393" t="b">
        <f t="shared" si="26"/>
        <v>1</v>
      </c>
      <c r="J393" s="4">
        <f t="shared" si="27"/>
        <v>0.16428225806451602</v>
      </c>
      <c r="O393" t="s">
        <v>1403</v>
      </c>
      <c r="P393">
        <v>925</v>
      </c>
      <c r="Q393">
        <v>1261.25</v>
      </c>
    </row>
    <row r="394" spans="1:17" hidden="1">
      <c r="A394" t="s">
        <v>967</v>
      </c>
      <c r="B394" t="s">
        <v>968</v>
      </c>
      <c r="C394" s="18">
        <v>491</v>
      </c>
      <c r="D394" s="18">
        <f t="shared" si="28"/>
        <v>16.366666666666667</v>
      </c>
      <c r="E394" s="5">
        <v>0</v>
      </c>
      <c r="H394" s="18">
        <f t="shared" si="29"/>
        <v>982</v>
      </c>
      <c r="I394" t="b">
        <f t="shared" si="26"/>
        <v>1</v>
      </c>
      <c r="J394" s="4">
        <f t="shared" si="27"/>
        <v>-1</v>
      </c>
      <c r="O394" t="s">
        <v>1447</v>
      </c>
      <c r="P394">
        <v>1375</v>
      </c>
      <c r="Q394">
        <v>2480.4</v>
      </c>
    </row>
    <row r="395" spans="1:17" hidden="1">
      <c r="A395" t="s">
        <v>1207</v>
      </c>
      <c r="B395" t="s">
        <v>1208</v>
      </c>
      <c r="C395" s="18">
        <v>1482</v>
      </c>
      <c r="D395" s="18">
        <f t="shared" si="28"/>
        <v>49.4</v>
      </c>
      <c r="E395" s="5">
        <v>702.38</v>
      </c>
      <c r="H395" s="18">
        <f t="shared" si="29"/>
        <v>2964</v>
      </c>
      <c r="I395" t="b">
        <f t="shared" si="26"/>
        <v>1</v>
      </c>
      <c r="J395" s="4">
        <f t="shared" si="27"/>
        <v>-0.76302968960863704</v>
      </c>
      <c r="O395" t="s">
        <v>1321</v>
      </c>
      <c r="P395">
        <v>770</v>
      </c>
      <c r="Q395">
        <v>85.89</v>
      </c>
    </row>
    <row r="396" spans="1:17" hidden="1">
      <c r="A396" t="s">
        <v>1222</v>
      </c>
      <c r="B396" t="s">
        <v>1223</v>
      </c>
      <c r="C396" s="18">
        <v>1226</v>
      </c>
      <c r="D396" s="18">
        <f t="shared" si="28"/>
        <v>40.866666666666667</v>
      </c>
      <c r="E396" s="5">
        <v>1163.29</v>
      </c>
      <c r="H396" s="18">
        <f t="shared" si="29"/>
        <v>2452</v>
      </c>
      <c r="I396" t="b">
        <f t="shared" si="26"/>
        <v>1</v>
      </c>
      <c r="J396" s="4">
        <f t="shared" si="27"/>
        <v>-0.5255750407830343</v>
      </c>
      <c r="O396" t="s">
        <v>1423</v>
      </c>
      <c r="P396">
        <v>1104</v>
      </c>
      <c r="Q396">
        <v>2117</v>
      </c>
    </row>
    <row r="397" spans="1:17" hidden="1">
      <c r="A397" s="39" t="s">
        <v>1097</v>
      </c>
      <c r="B397" s="35" t="s">
        <v>1098</v>
      </c>
      <c r="C397" s="18">
        <v>812</v>
      </c>
      <c r="D397" s="18">
        <f t="shared" si="28"/>
        <v>27.066666666666666</v>
      </c>
      <c r="E397" s="5">
        <v>1375.16</v>
      </c>
      <c r="H397" s="18">
        <f t="shared" si="29"/>
        <v>1624</v>
      </c>
      <c r="I397" t="b">
        <f t="shared" si="26"/>
        <v>1</v>
      </c>
      <c r="J397" s="4">
        <f t="shared" si="27"/>
        <v>-0.15322660098522167</v>
      </c>
      <c r="O397" t="s">
        <v>1449</v>
      </c>
      <c r="P397">
        <v>1299</v>
      </c>
      <c r="Q397">
        <v>2181.89</v>
      </c>
    </row>
    <row r="398" spans="1:17" hidden="1">
      <c r="A398" t="s">
        <v>1151</v>
      </c>
      <c r="B398" t="s">
        <v>1152</v>
      </c>
      <c r="C398" s="18">
        <v>3170</v>
      </c>
      <c r="D398" s="18">
        <f t="shared" si="28"/>
        <v>105.66666666666667</v>
      </c>
      <c r="E398" s="5">
        <v>4688.3999999999996</v>
      </c>
      <c r="H398" s="18">
        <f t="shared" si="29"/>
        <v>6340</v>
      </c>
      <c r="I398" t="b">
        <f t="shared" si="26"/>
        <v>1</v>
      </c>
      <c r="J398" s="4">
        <f t="shared" si="27"/>
        <v>-0.26050473186119882</v>
      </c>
      <c r="O398" t="s">
        <v>1279</v>
      </c>
      <c r="P398">
        <v>930</v>
      </c>
      <c r="Q398">
        <v>2178.85</v>
      </c>
    </row>
    <row r="399" spans="1:17" hidden="1">
      <c r="A399" t="s">
        <v>1077</v>
      </c>
      <c r="B399" t="s">
        <v>1078</v>
      </c>
      <c r="C399" s="18">
        <v>486</v>
      </c>
      <c r="D399" s="18">
        <f t="shared" si="28"/>
        <v>16.2</v>
      </c>
      <c r="E399" s="5">
        <v>256.63</v>
      </c>
      <c r="H399" s="18">
        <f t="shared" si="29"/>
        <v>972</v>
      </c>
      <c r="I399" t="b">
        <f t="shared" si="26"/>
        <v>1</v>
      </c>
      <c r="J399" s="4">
        <f t="shared" si="27"/>
        <v>-0.73597736625514409</v>
      </c>
      <c r="O399" t="s">
        <v>1376</v>
      </c>
      <c r="P399">
        <v>531</v>
      </c>
      <c r="Q399">
        <v>251.56</v>
      </c>
    </row>
    <row r="400" spans="1:17" hidden="1">
      <c r="A400" t="s">
        <v>1079</v>
      </c>
      <c r="B400" t="s">
        <v>1080</v>
      </c>
      <c r="C400" s="18">
        <v>864</v>
      </c>
      <c r="D400" s="18">
        <f t="shared" si="28"/>
        <v>28.8</v>
      </c>
      <c r="E400" s="5">
        <v>918.92</v>
      </c>
      <c r="H400" s="18">
        <f t="shared" si="29"/>
        <v>1728</v>
      </c>
      <c r="I400" t="b">
        <f t="shared" si="26"/>
        <v>1</v>
      </c>
      <c r="J400" s="4">
        <f t="shared" si="27"/>
        <v>-0.46821759259259266</v>
      </c>
      <c r="O400" t="s">
        <v>1253</v>
      </c>
      <c r="P400">
        <v>1122</v>
      </c>
      <c r="Q400">
        <v>2440.81</v>
      </c>
    </row>
    <row r="401" spans="1:17" hidden="1">
      <c r="A401" t="s">
        <v>931</v>
      </c>
      <c r="B401" t="s">
        <v>932</v>
      </c>
      <c r="C401" s="18">
        <v>990</v>
      </c>
      <c r="D401" s="18">
        <f t="shared" si="28"/>
        <v>33</v>
      </c>
      <c r="E401" s="5">
        <v>1859.79</v>
      </c>
      <c r="H401" s="18">
        <f t="shared" si="29"/>
        <v>1980</v>
      </c>
      <c r="I401" t="b">
        <f t="shared" si="26"/>
        <v>1</v>
      </c>
      <c r="J401" s="4">
        <f t="shared" si="27"/>
        <v>-6.0712121212121217E-2</v>
      </c>
      <c r="O401" t="s">
        <v>1295</v>
      </c>
      <c r="P401">
        <v>325</v>
      </c>
      <c r="Q401">
        <v>978.93</v>
      </c>
    </row>
    <row r="402" spans="1:17" hidden="1">
      <c r="A402" s="26" t="s">
        <v>1157</v>
      </c>
      <c r="B402" s="26" t="s">
        <v>1158</v>
      </c>
      <c r="C402" s="18">
        <v>1776</v>
      </c>
      <c r="D402" s="18">
        <f t="shared" si="28"/>
        <v>59.2</v>
      </c>
      <c r="E402" s="5">
        <v>2597.09</v>
      </c>
      <c r="H402" s="18">
        <f t="shared" si="29"/>
        <v>3552</v>
      </c>
      <c r="I402" t="b">
        <f t="shared" si="26"/>
        <v>1</v>
      </c>
      <c r="J402" s="4">
        <f t="shared" si="27"/>
        <v>-0.2688372747747747</v>
      </c>
      <c r="O402" t="s">
        <v>1479</v>
      </c>
      <c r="P402">
        <v>1173</v>
      </c>
      <c r="Q402">
        <v>2045.63</v>
      </c>
    </row>
    <row r="403" spans="1:17" hidden="1">
      <c r="A403" t="s">
        <v>1138</v>
      </c>
      <c r="B403" t="s">
        <v>1139</v>
      </c>
      <c r="C403" s="18">
        <v>678</v>
      </c>
      <c r="D403" s="18">
        <f t="shared" si="28"/>
        <v>22.6</v>
      </c>
      <c r="E403" s="5">
        <v>386.88</v>
      </c>
      <c r="H403" s="18">
        <f t="shared" si="29"/>
        <v>1356</v>
      </c>
      <c r="I403" t="b">
        <f t="shared" si="26"/>
        <v>1</v>
      </c>
      <c r="J403" s="4">
        <f t="shared" si="27"/>
        <v>-0.71469026548672565</v>
      </c>
      <c r="O403" t="s">
        <v>1758</v>
      </c>
      <c r="P403">
        <v>0</v>
      </c>
      <c r="Q403">
        <v>0</v>
      </c>
    </row>
    <row r="404" spans="1:17" hidden="1">
      <c r="A404" t="s">
        <v>1114</v>
      </c>
      <c r="B404" t="s">
        <v>1115</v>
      </c>
      <c r="C404" s="18">
        <v>791</v>
      </c>
      <c r="D404" s="18">
        <f t="shared" si="28"/>
        <v>26.366666666666667</v>
      </c>
      <c r="E404" s="5">
        <v>662</v>
      </c>
      <c r="H404" s="18">
        <f t="shared" si="29"/>
        <v>1582</v>
      </c>
      <c r="I404" t="b">
        <f t="shared" si="26"/>
        <v>1</v>
      </c>
      <c r="J404" s="4">
        <f t="shared" si="27"/>
        <v>-0.5815423514538558</v>
      </c>
      <c r="P404">
        <v>0</v>
      </c>
      <c r="Q404">
        <v>0</v>
      </c>
    </row>
    <row r="405" spans="1:17" hidden="1">
      <c r="A405" s="39" t="s">
        <v>1073</v>
      </c>
      <c r="B405" s="35" t="s">
        <v>1074</v>
      </c>
      <c r="C405" s="18">
        <v>1093</v>
      </c>
      <c r="D405" s="18">
        <f t="shared" si="28"/>
        <v>36.43333333333333</v>
      </c>
      <c r="E405" s="5">
        <v>1278.44</v>
      </c>
      <c r="H405" s="18">
        <f t="shared" si="29"/>
        <v>2186</v>
      </c>
      <c r="I405" t="b">
        <f t="shared" si="26"/>
        <v>1</v>
      </c>
      <c r="J405" s="4">
        <f t="shared" si="27"/>
        <v>-0.41516925892040257</v>
      </c>
      <c r="P405">
        <v>0</v>
      </c>
      <c r="Q405">
        <v>0</v>
      </c>
    </row>
    <row r="406" spans="1:17" hidden="1">
      <c r="A406" t="s">
        <v>1209</v>
      </c>
      <c r="B406" t="s">
        <v>1210</v>
      </c>
      <c r="C406" s="18">
        <v>790</v>
      </c>
      <c r="D406" s="18">
        <f t="shared" si="28"/>
        <v>26.333333333333332</v>
      </c>
      <c r="E406" s="5">
        <v>656.08</v>
      </c>
      <c r="H406" s="18">
        <f t="shared" si="29"/>
        <v>1580</v>
      </c>
      <c r="I406" t="b">
        <f t="shared" si="26"/>
        <v>1</v>
      </c>
      <c r="J406" s="4">
        <f t="shared" si="27"/>
        <v>-0.58475949367088598</v>
      </c>
      <c r="O406" t="s">
        <v>1393</v>
      </c>
      <c r="P406">
        <v>1253</v>
      </c>
      <c r="Q406">
        <v>1938.81</v>
      </c>
    </row>
    <row r="407" spans="1:17" hidden="1">
      <c r="A407" s="38" t="s">
        <v>1193</v>
      </c>
      <c r="B407" s="35" t="s">
        <v>1194</v>
      </c>
      <c r="C407" s="18">
        <v>877</v>
      </c>
      <c r="D407" s="18">
        <f t="shared" si="28"/>
        <v>29.233333333333334</v>
      </c>
      <c r="E407" s="113">
        <v>1227.8399999999999</v>
      </c>
      <c r="H407" s="18">
        <f t="shared" si="29"/>
        <v>1754</v>
      </c>
      <c r="I407" t="b">
        <f t="shared" si="26"/>
        <v>1</v>
      </c>
      <c r="J407" s="4">
        <f t="shared" si="27"/>
        <v>-0.29997719498289632</v>
      </c>
      <c r="P407">
        <v>0</v>
      </c>
      <c r="Q407">
        <v>0</v>
      </c>
    </row>
    <row r="408" spans="1:17" hidden="1">
      <c r="A408" s="26" t="s">
        <v>1172</v>
      </c>
      <c r="B408" s="35" t="s">
        <v>1173</v>
      </c>
      <c r="C408" s="18">
        <v>621</v>
      </c>
      <c r="D408" s="18">
        <f t="shared" si="28"/>
        <v>20.7</v>
      </c>
      <c r="E408" s="5">
        <v>495.17</v>
      </c>
      <c r="H408" s="18">
        <f t="shared" si="29"/>
        <v>1242</v>
      </c>
      <c r="I408" t="b">
        <f t="shared" si="26"/>
        <v>1</v>
      </c>
      <c r="J408" s="4">
        <f t="shared" si="27"/>
        <v>-0.60131239935587755</v>
      </c>
      <c r="O408" t="s">
        <v>1266</v>
      </c>
      <c r="P408">
        <v>566</v>
      </c>
      <c r="Q408">
        <v>1224.96</v>
      </c>
    </row>
    <row r="409" spans="1:17" hidden="1">
      <c r="A409" t="s">
        <v>1188</v>
      </c>
      <c r="B409" t="s">
        <v>1189</v>
      </c>
      <c r="C409" s="18">
        <v>2431</v>
      </c>
      <c r="D409" s="18">
        <f t="shared" si="28"/>
        <v>81.033333333333331</v>
      </c>
      <c r="E409" s="5">
        <v>2390.73</v>
      </c>
      <c r="H409" s="18">
        <f t="shared" si="29"/>
        <v>4862</v>
      </c>
      <c r="I409" t="b">
        <f t="shared" si="26"/>
        <v>1</v>
      </c>
      <c r="J409" s="4">
        <f t="shared" si="27"/>
        <v>-0.5082825997531879</v>
      </c>
      <c r="O409" t="s">
        <v>1345</v>
      </c>
      <c r="P409">
        <v>601</v>
      </c>
      <c r="Q409">
        <v>1605.96</v>
      </c>
    </row>
    <row r="410" spans="1:17" hidden="1">
      <c r="A410" s="26" t="s">
        <v>973</v>
      </c>
      <c r="B410" s="26" t="s">
        <v>974</v>
      </c>
      <c r="C410" s="18">
        <v>498</v>
      </c>
      <c r="D410" s="18">
        <f t="shared" si="28"/>
        <v>16.600000000000001</v>
      </c>
      <c r="E410" s="113">
        <v>863.5</v>
      </c>
      <c r="H410" s="18">
        <f t="shared" si="29"/>
        <v>996</v>
      </c>
      <c r="I410" t="b">
        <f t="shared" si="26"/>
        <v>1</v>
      </c>
      <c r="J410" s="4">
        <f t="shared" si="27"/>
        <v>-0.13303212851405621</v>
      </c>
      <c r="O410" t="s">
        <v>1708</v>
      </c>
      <c r="P410">
        <v>375</v>
      </c>
      <c r="Q410">
        <v>652.58000000000004</v>
      </c>
    </row>
    <row r="411" spans="1:17" hidden="1">
      <c r="A411" t="s">
        <v>1051</v>
      </c>
      <c r="B411" t="s">
        <v>1052</v>
      </c>
      <c r="C411" s="18">
        <v>863</v>
      </c>
      <c r="D411" s="18">
        <f t="shared" si="28"/>
        <v>28.766666666666666</v>
      </c>
      <c r="E411" s="5">
        <v>1239.45</v>
      </c>
      <c r="H411" s="18">
        <f t="shared" si="29"/>
        <v>1726</v>
      </c>
      <c r="I411" t="b">
        <f t="shared" si="26"/>
        <v>1</v>
      </c>
      <c r="J411" s="4">
        <f t="shared" si="27"/>
        <v>-0.28189455388180762</v>
      </c>
      <c r="O411" t="s">
        <v>1690</v>
      </c>
      <c r="P411">
        <v>17</v>
      </c>
      <c r="Q411">
        <v>31</v>
      </c>
    </row>
    <row r="412" spans="1:17" hidden="1">
      <c r="A412" s="38" t="s">
        <v>1197</v>
      </c>
      <c r="B412" s="35" t="s">
        <v>1198</v>
      </c>
      <c r="C412">
        <v>418</v>
      </c>
      <c r="D412" s="18">
        <f t="shared" si="28"/>
        <v>13.933333333333334</v>
      </c>
      <c r="E412" s="5">
        <v>936.48</v>
      </c>
      <c r="H412" s="18">
        <f t="shared" si="29"/>
        <v>836</v>
      </c>
      <c r="I412" t="b">
        <f t="shared" si="26"/>
        <v>1</v>
      </c>
      <c r="J412" s="4">
        <f t="shared" si="27"/>
        <v>0.12019138755980863</v>
      </c>
      <c r="O412" t="s">
        <v>1275</v>
      </c>
      <c r="P412">
        <v>0</v>
      </c>
      <c r="Q412">
        <v>0</v>
      </c>
    </row>
    <row r="413" spans="1:17" hidden="1">
      <c r="A413" t="s">
        <v>1217</v>
      </c>
      <c r="B413" t="s">
        <v>1218</v>
      </c>
      <c r="C413" s="18">
        <v>996</v>
      </c>
      <c r="D413" s="18">
        <f t="shared" si="28"/>
        <v>33.200000000000003</v>
      </c>
      <c r="E413" s="5">
        <v>1296.17</v>
      </c>
      <c r="H413" s="18">
        <f t="shared" si="29"/>
        <v>1992</v>
      </c>
      <c r="I413" t="b">
        <f t="shared" si="26"/>
        <v>1</v>
      </c>
      <c r="J413" s="4">
        <f t="shared" si="27"/>
        <v>-0.3493122489959839</v>
      </c>
      <c r="O413" t="s">
        <v>1395</v>
      </c>
      <c r="P413">
        <v>966</v>
      </c>
      <c r="Q413">
        <v>591.04999999999995</v>
      </c>
    </row>
    <row r="414" spans="1:17" hidden="1">
      <c r="A414" t="s">
        <v>1041</v>
      </c>
      <c r="B414" t="s">
        <v>1042</v>
      </c>
      <c r="C414" s="18">
        <v>277</v>
      </c>
      <c r="D414" s="18">
        <f t="shared" si="28"/>
        <v>9.2333333333333325</v>
      </c>
      <c r="E414" s="5">
        <v>178.93</v>
      </c>
      <c r="H414" s="18">
        <f t="shared" si="29"/>
        <v>554</v>
      </c>
      <c r="I414" t="b">
        <f t="shared" si="26"/>
        <v>1</v>
      </c>
      <c r="J414" s="4">
        <f t="shared" si="27"/>
        <v>-0.6770216606498195</v>
      </c>
      <c r="O414" t="s">
        <v>1297</v>
      </c>
      <c r="P414">
        <v>22</v>
      </c>
      <c r="Q414">
        <v>26.05</v>
      </c>
    </row>
    <row r="415" spans="1:17" hidden="1">
      <c r="A415" t="s">
        <v>1004</v>
      </c>
      <c r="B415" t="s">
        <v>1005</v>
      </c>
      <c r="C415" s="18">
        <v>144</v>
      </c>
      <c r="D415" s="18">
        <f t="shared" si="28"/>
        <v>4.8</v>
      </c>
      <c r="E415" s="5">
        <v>41.63</v>
      </c>
      <c r="H415" s="18">
        <f t="shared" si="29"/>
        <v>288</v>
      </c>
      <c r="I415" t="b">
        <f t="shared" si="26"/>
        <v>1</v>
      </c>
      <c r="J415" s="4">
        <f t="shared" si="27"/>
        <v>-0.85545138888888883</v>
      </c>
      <c r="O415" t="s">
        <v>1433</v>
      </c>
      <c r="P415">
        <v>1292</v>
      </c>
      <c r="Q415">
        <v>1954.98</v>
      </c>
    </row>
    <row r="416" spans="1:17" hidden="1">
      <c r="A416" t="s">
        <v>965</v>
      </c>
      <c r="B416" t="s">
        <v>966</v>
      </c>
      <c r="C416" s="18">
        <v>1210</v>
      </c>
      <c r="D416" s="18">
        <f t="shared" si="28"/>
        <v>40.333333333333336</v>
      </c>
      <c r="E416" s="5">
        <v>939.85</v>
      </c>
      <c r="H416" s="18">
        <f t="shared" si="29"/>
        <v>2420</v>
      </c>
      <c r="I416" t="b">
        <f t="shared" si="26"/>
        <v>1</v>
      </c>
      <c r="J416" s="4">
        <f t="shared" si="27"/>
        <v>-0.6116322314049587</v>
      </c>
      <c r="O416" t="s">
        <v>1488</v>
      </c>
      <c r="P416">
        <v>840</v>
      </c>
      <c r="Q416">
        <v>462.91</v>
      </c>
    </row>
    <row r="417" spans="1:17" hidden="1">
      <c r="A417" s="5" t="s">
        <v>921</v>
      </c>
      <c r="B417" t="s">
        <v>922</v>
      </c>
      <c r="C417" s="18">
        <v>1360</v>
      </c>
      <c r="D417" s="18">
        <f t="shared" si="28"/>
        <v>45.333333333333336</v>
      </c>
      <c r="E417" s="5">
        <v>0</v>
      </c>
      <c r="H417" s="18">
        <f t="shared" si="29"/>
        <v>2720</v>
      </c>
      <c r="I417" t="b">
        <f t="shared" si="26"/>
        <v>1</v>
      </c>
      <c r="J417" s="4">
        <f t="shared" si="27"/>
        <v>-1</v>
      </c>
      <c r="O417" t="s">
        <v>1680</v>
      </c>
      <c r="P417">
        <v>142</v>
      </c>
      <c r="Q417">
        <v>0</v>
      </c>
    </row>
    <row r="418" spans="1:17" hidden="1">
      <c r="A418" t="s">
        <v>1224</v>
      </c>
      <c r="B418" t="s">
        <v>1225</v>
      </c>
      <c r="C418" s="18">
        <v>3281</v>
      </c>
      <c r="D418" s="18">
        <f t="shared" si="28"/>
        <v>109.36666666666666</v>
      </c>
      <c r="E418" s="5">
        <v>4528.9399999999996</v>
      </c>
      <c r="H418" s="18">
        <f t="shared" si="29"/>
        <v>6562</v>
      </c>
      <c r="I418" t="b">
        <f t="shared" si="26"/>
        <v>1</v>
      </c>
      <c r="J418" s="4">
        <f t="shared" si="27"/>
        <v>-0.30982322462663825</v>
      </c>
      <c r="O418" t="s">
        <v>1715</v>
      </c>
      <c r="P418">
        <v>131</v>
      </c>
      <c r="Q418">
        <v>513.11</v>
      </c>
    </row>
    <row r="419" spans="1:17" hidden="1">
      <c r="A419" t="s">
        <v>1176</v>
      </c>
      <c r="B419" t="s">
        <v>1177</v>
      </c>
      <c r="C419" s="18">
        <v>2538</v>
      </c>
      <c r="D419" s="18">
        <f t="shared" si="28"/>
        <v>84.6</v>
      </c>
      <c r="E419" s="5">
        <v>2125.27</v>
      </c>
      <c r="H419" s="18">
        <f t="shared" si="29"/>
        <v>5076</v>
      </c>
      <c r="I419" t="b">
        <f t="shared" si="26"/>
        <v>1</v>
      </c>
      <c r="J419" s="4">
        <f t="shared" si="27"/>
        <v>-0.58131008668242712</v>
      </c>
      <c r="O419" t="s">
        <v>1299</v>
      </c>
      <c r="P419">
        <v>0</v>
      </c>
      <c r="Q419">
        <v>0</v>
      </c>
    </row>
    <row r="420" spans="1:17" hidden="1">
      <c r="A420" t="s">
        <v>1037</v>
      </c>
      <c r="B420" t="s">
        <v>1038</v>
      </c>
      <c r="C420" s="18">
        <v>850</v>
      </c>
      <c r="D420" s="18">
        <f t="shared" si="28"/>
        <v>28.333333333333332</v>
      </c>
      <c r="E420" s="5">
        <v>459.42</v>
      </c>
      <c r="H420" s="18">
        <f t="shared" si="29"/>
        <v>1700</v>
      </c>
      <c r="I420" t="b">
        <f t="shared" si="26"/>
        <v>1</v>
      </c>
      <c r="J420" s="4">
        <f t="shared" si="27"/>
        <v>-0.7297529411764706</v>
      </c>
      <c r="O420" t="s">
        <v>1409</v>
      </c>
      <c r="P420">
        <v>683</v>
      </c>
      <c r="Q420">
        <v>642.48</v>
      </c>
    </row>
    <row r="421" spans="1:17" hidden="1">
      <c r="A421" t="s">
        <v>1069</v>
      </c>
      <c r="B421" t="s">
        <v>1070</v>
      </c>
      <c r="C421" s="18">
        <v>1182</v>
      </c>
      <c r="D421" s="18">
        <f t="shared" si="28"/>
        <v>39.4</v>
      </c>
      <c r="E421" s="113">
        <v>1002.73</v>
      </c>
      <c r="H421" s="18">
        <f t="shared" si="29"/>
        <v>2364</v>
      </c>
      <c r="I421" t="b">
        <f t="shared" si="26"/>
        <v>1</v>
      </c>
      <c r="J421" s="4">
        <f t="shared" si="27"/>
        <v>-0.57583333333333331</v>
      </c>
      <c r="O421" t="s">
        <v>1287</v>
      </c>
      <c r="P421">
        <v>276</v>
      </c>
      <c r="Q421">
        <v>0</v>
      </c>
    </row>
    <row r="422" spans="1:17" hidden="1">
      <c r="A422" t="s">
        <v>1124</v>
      </c>
      <c r="B422" t="s">
        <v>1125</v>
      </c>
      <c r="C422" s="18">
        <v>709</v>
      </c>
      <c r="D422" s="18">
        <f t="shared" si="28"/>
        <v>23.633333333333333</v>
      </c>
      <c r="E422" s="5">
        <v>552.99</v>
      </c>
      <c r="H422" s="18">
        <f t="shared" si="29"/>
        <v>1418</v>
      </c>
      <c r="I422" t="b">
        <f t="shared" si="26"/>
        <v>1</v>
      </c>
      <c r="J422" s="4">
        <f t="shared" si="27"/>
        <v>-0.61002115655853317</v>
      </c>
      <c r="O422" t="s">
        <v>1289</v>
      </c>
      <c r="P422">
        <v>295</v>
      </c>
      <c r="Q422">
        <v>114.7</v>
      </c>
    </row>
    <row r="423" spans="1:17" hidden="1">
      <c r="A423" t="s">
        <v>1103</v>
      </c>
      <c r="B423" t="s">
        <v>1104</v>
      </c>
      <c r="C423" s="18">
        <v>4182</v>
      </c>
      <c r="D423" s="18">
        <f t="shared" si="28"/>
        <v>139.4</v>
      </c>
      <c r="E423" s="5">
        <v>8609.49</v>
      </c>
      <c r="H423" s="18">
        <f t="shared" si="29"/>
        <v>8364</v>
      </c>
      <c r="I423" t="b">
        <f t="shared" si="26"/>
        <v>1</v>
      </c>
      <c r="J423" s="4">
        <f t="shared" si="27"/>
        <v>2.9350789096126206E-2</v>
      </c>
      <c r="O423" t="s">
        <v>1682</v>
      </c>
      <c r="P423">
        <v>279</v>
      </c>
      <c r="Q423">
        <v>0</v>
      </c>
    </row>
    <row r="424" spans="1:17" hidden="1">
      <c r="A424" t="s">
        <v>1011</v>
      </c>
      <c r="B424" t="s">
        <v>1012</v>
      </c>
      <c r="C424" s="18">
        <v>710</v>
      </c>
      <c r="D424" s="18">
        <f t="shared" si="28"/>
        <v>23.666666666666668</v>
      </c>
      <c r="E424" s="5">
        <v>422.77</v>
      </c>
      <c r="H424" s="18">
        <f t="shared" si="29"/>
        <v>1420</v>
      </c>
      <c r="I424" t="b">
        <f t="shared" si="26"/>
        <v>1</v>
      </c>
      <c r="J424" s="4">
        <f t="shared" si="27"/>
        <v>-0.70227464788732397</v>
      </c>
      <c r="O424" t="s">
        <v>1511</v>
      </c>
      <c r="P424">
        <v>1946</v>
      </c>
      <c r="Q424">
        <v>2591</v>
      </c>
    </row>
    <row r="425" spans="1:17" hidden="1">
      <c r="A425" t="s">
        <v>956</v>
      </c>
      <c r="B425" t="s">
        <v>957</v>
      </c>
      <c r="C425" s="18">
        <v>1074</v>
      </c>
      <c r="D425" s="18">
        <f t="shared" si="28"/>
        <v>35.799999999999997</v>
      </c>
      <c r="E425" s="113">
        <v>436.72</v>
      </c>
      <c r="H425" s="18">
        <f t="shared" si="29"/>
        <v>2148</v>
      </c>
      <c r="I425" t="b">
        <f t="shared" si="26"/>
        <v>1</v>
      </c>
      <c r="J425" s="4">
        <f t="shared" si="27"/>
        <v>-0.79668528864059596</v>
      </c>
      <c r="O425" t="s">
        <v>1490</v>
      </c>
      <c r="P425">
        <v>1462</v>
      </c>
      <c r="Q425">
        <v>2207.94</v>
      </c>
    </row>
    <row r="426" spans="1:17" hidden="1">
      <c r="A426" t="s">
        <v>1233</v>
      </c>
      <c r="B426" t="s">
        <v>1234</v>
      </c>
      <c r="C426" s="18">
        <v>3054</v>
      </c>
      <c r="D426" s="18">
        <f t="shared" si="28"/>
        <v>101.8</v>
      </c>
      <c r="E426" s="5">
        <v>1102.8599999999999</v>
      </c>
      <c r="H426" s="18">
        <f t="shared" si="29"/>
        <v>6108</v>
      </c>
      <c r="I426" t="b">
        <f t="shared" si="26"/>
        <v>1</v>
      </c>
      <c r="J426" s="4">
        <f t="shared" si="27"/>
        <v>-0.81944007858546164</v>
      </c>
      <c r="O426" t="s">
        <v>1513</v>
      </c>
      <c r="P426">
        <v>2083</v>
      </c>
      <c r="Q426">
        <v>2456.46</v>
      </c>
    </row>
    <row r="427" spans="1:17" hidden="1">
      <c r="A427" s="116" t="s">
        <v>1237</v>
      </c>
      <c r="B427" s="35" t="s">
        <v>1238</v>
      </c>
      <c r="C427" s="18">
        <v>933</v>
      </c>
      <c r="D427" s="18">
        <f t="shared" si="28"/>
        <v>31.1</v>
      </c>
      <c r="E427" s="5">
        <v>1460.04</v>
      </c>
      <c r="H427" s="18">
        <f t="shared" si="29"/>
        <v>1866</v>
      </c>
      <c r="I427" t="b">
        <f t="shared" ref="I427:I490" si="30">IF(E427&gt;1.2*H427,FALSE,TRUE)</f>
        <v>1</v>
      </c>
      <c r="J427" s="4">
        <f t="shared" ref="J427:J490" si="31">E427/H427-1</f>
        <v>-0.21755627009646306</v>
      </c>
      <c r="O427" t="s">
        <v>1311</v>
      </c>
      <c r="P427">
        <v>336</v>
      </c>
      <c r="Q427">
        <v>1014.8</v>
      </c>
    </row>
    <row r="428" spans="1:17" hidden="1">
      <c r="A428" t="s">
        <v>1782</v>
      </c>
      <c r="B428" t="s">
        <v>1697</v>
      </c>
      <c r="C428" s="18">
        <v>0</v>
      </c>
      <c r="D428" s="18">
        <f t="shared" si="28"/>
        <v>0</v>
      </c>
      <c r="E428" s="5">
        <v>0</v>
      </c>
      <c r="H428" s="18">
        <f t="shared" si="29"/>
        <v>0</v>
      </c>
      <c r="I428" t="b">
        <f t="shared" si="30"/>
        <v>1</v>
      </c>
      <c r="J428" s="4" t="e">
        <f t="shared" si="31"/>
        <v>#DIV/0!</v>
      </c>
      <c r="O428" t="s">
        <v>1273</v>
      </c>
      <c r="P428">
        <v>1332</v>
      </c>
      <c r="Q428">
        <v>1485.85</v>
      </c>
    </row>
    <row r="429" spans="1:17" hidden="1">
      <c r="A429" t="s">
        <v>1126</v>
      </c>
      <c r="B429" t="s">
        <v>1127</v>
      </c>
      <c r="C429" s="18">
        <v>1109</v>
      </c>
      <c r="D429" s="18">
        <f t="shared" si="28"/>
        <v>36.966666666666669</v>
      </c>
      <c r="E429" s="5">
        <v>580.1</v>
      </c>
      <c r="H429" s="18">
        <f t="shared" si="29"/>
        <v>2218</v>
      </c>
      <c r="I429" t="b">
        <f t="shared" si="30"/>
        <v>1</v>
      </c>
      <c r="J429" s="4">
        <f t="shared" si="31"/>
        <v>-0.73845807033363386</v>
      </c>
      <c r="O429" t="s">
        <v>1411</v>
      </c>
      <c r="P429">
        <v>796</v>
      </c>
      <c r="Q429">
        <v>1368.16</v>
      </c>
    </row>
    <row r="430" spans="1:17" hidden="1">
      <c r="A430" t="s">
        <v>1783</v>
      </c>
      <c r="B430" t="s">
        <v>1641</v>
      </c>
      <c r="C430" s="18">
        <v>0</v>
      </c>
      <c r="D430" s="18">
        <f t="shared" si="28"/>
        <v>0</v>
      </c>
      <c r="E430" s="5">
        <v>0</v>
      </c>
      <c r="H430" s="18">
        <f t="shared" si="29"/>
        <v>0</v>
      </c>
      <c r="I430" t="b">
        <f t="shared" si="30"/>
        <v>1</v>
      </c>
      <c r="J430" s="4" t="e">
        <f t="shared" si="31"/>
        <v>#DIV/0!</v>
      </c>
      <c r="O430" t="s">
        <v>1473</v>
      </c>
      <c r="P430">
        <v>3891</v>
      </c>
      <c r="Q430">
        <v>3675.14</v>
      </c>
    </row>
    <row r="431" spans="1:17" hidden="1">
      <c r="A431" s="38" t="s">
        <v>901</v>
      </c>
      <c r="B431" s="35" t="s">
        <v>902</v>
      </c>
      <c r="C431">
        <v>570</v>
      </c>
      <c r="D431" s="18">
        <f t="shared" si="28"/>
        <v>19</v>
      </c>
      <c r="E431" s="5">
        <v>658.06</v>
      </c>
      <c r="H431" s="18">
        <f t="shared" si="29"/>
        <v>1140</v>
      </c>
      <c r="I431" t="b">
        <f t="shared" si="30"/>
        <v>1</v>
      </c>
      <c r="J431" s="4">
        <f t="shared" si="31"/>
        <v>-0.42275438596491233</v>
      </c>
      <c r="O431" t="s">
        <v>1486</v>
      </c>
      <c r="P431">
        <v>1452</v>
      </c>
      <c r="Q431">
        <v>3178.29</v>
      </c>
    </row>
    <row r="432" spans="1:17" hidden="1">
      <c r="A432" t="s">
        <v>939</v>
      </c>
      <c r="B432" t="s">
        <v>940</v>
      </c>
      <c r="C432" s="18">
        <v>718</v>
      </c>
      <c r="D432" s="18">
        <f t="shared" si="28"/>
        <v>23.933333333333334</v>
      </c>
      <c r="E432" s="5">
        <v>333.26</v>
      </c>
      <c r="H432" s="18">
        <f t="shared" si="29"/>
        <v>1436</v>
      </c>
      <c r="I432" t="b">
        <f t="shared" si="30"/>
        <v>1</v>
      </c>
      <c r="J432" s="4">
        <f t="shared" si="31"/>
        <v>-0.76792479108635092</v>
      </c>
      <c r="O432" t="s">
        <v>1458</v>
      </c>
      <c r="P432">
        <v>1547</v>
      </c>
      <c r="Q432">
        <v>2379.5700000000002</v>
      </c>
    </row>
    <row r="433" spans="1:17" hidden="1">
      <c r="A433" t="s">
        <v>1784</v>
      </c>
      <c r="B433" t="s">
        <v>1626</v>
      </c>
      <c r="C433" s="18">
        <v>0</v>
      </c>
      <c r="D433" s="18">
        <f t="shared" si="28"/>
        <v>0</v>
      </c>
      <c r="E433" s="5">
        <v>0</v>
      </c>
      <c r="H433" s="18">
        <f t="shared" si="29"/>
        <v>0</v>
      </c>
      <c r="I433" t="b">
        <f t="shared" si="30"/>
        <v>1</v>
      </c>
      <c r="J433" s="4" t="e">
        <f t="shared" si="31"/>
        <v>#DIV/0!</v>
      </c>
      <c r="O433" t="s">
        <v>1281</v>
      </c>
      <c r="P433">
        <v>303</v>
      </c>
      <c r="Q433">
        <v>0</v>
      </c>
    </row>
    <row r="434" spans="1:17" hidden="1">
      <c r="A434" t="s">
        <v>1063</v>
      </c>
      <c r="B434" t="s">
        <v>1064</v>
      </c>
      <c r="C434" s="18">
        <v>480</v>
      </c>
      <c r="D434" s="18">
        <f t="shared" si="28"/>
        <v>16</v>
      </c>
      <c r="E434" s="5">
        <v>137.13999999999999</v>
      </c>
      <c r="H434" s="18">
        <f t="shared" si="29"/>
        <v>960</v>
      </c>
      <c r="I434" t="b">
        <f t="shared" si="30"/>
        <v>1</v>
      </c>
      <c r="J434" s="4">
        <f t="shared" si="31"/>
        <v>-0.85714583333333338</v>
      </c>
      <c r="O434" t="s">
        <v>1471</v>
      </c>
      <c r="P434">
        <v>1797</v>
      </c>
      <c r="Q434">
        <v>1445.79</v>
      </c>
    </row>
    <row r="435" spans="1:17" hidden="1">
      <c r="A435" t="s">
        <v>1025</v>
      </c>
      <c r="B435" t="s">
        <v>1026</v>
      </c>
      <c r="C435" s="18">
        <v>344</v>
      </c>
      <c r="D435" s="18">
        <f t="shared" si="28"/>
        <v>11.466666666666667</v>
      </c>
      <c r="E435" s="5">
        <v>98.5</v>
      </c>
      <c r="H435" s="18">
        <f t="shared" si="29"/>
        <v>688</v>
      </c>
      <c r="I435" t="b">
        <f t="shared" si="30"/>
        <v>1</v>
      </c>
      <c r="J435" s="4">
        <f t="shared" si="31"/>
        <v>-0.85683139534883723</v>
      </c>
      <c r="O435" t="s">
        <v>1688</v>
      </c>
      <c r="P435">
        <v>313</v>
      </c>
      <c r="Q435">
        <v>201.38</v>
      </c>
    </row>
    <row r="436" spans="1:17" hidden="1">
      <c r="A436" t="s">
        <v>1023</v>
      </c>
      <c r="B436" t="s">
        <v>1024</v>
      </c>
      <c r="C436" s="18">
        <v>461</v>
      </c>
      <c r="D436" s="18">
        <f t="shared" si="28"/>
        <v>15.366666666666667</v>
      </c>
      <c r="E436" s="5">
        <v>230.3</v>
      </c>
      <c r="H436" s="18">
        <f t="shared" si="29"/>
        <v>922</v>
      </c>
      <c r="I436" t="b">
        <f t="shared" si="30"/>
        <v>1</v>
      </c>
      <c r="J436" s="4">
        <f t="shared" si="31"/>
        <v>-0.75021691973969629</v>
      </c>
      <c r="O436" t="s">
        <v>1317</v>
      </c>
      <c r="P436">
        <v>742</v>
      </c>
      <c r="Q436">
        <v>704.89</v>
      </c>
    </row>
    <row r="437" spans="1:17" hidden="1">
      <c r="A437" t="s">
        <v>1093</v>
      </c>
      <c r="B437" t="s">
        <v>1094</v>
      </c>
      <c r="C437" s="18">
        <v>148</v>
      </c>
      <c r="D437" s="18">
        <f t="shared" si="28"/>
        <v>4.9333333333333336</v>
      </c>
      <c r="E437" s="5">
        <v>91.11</v>
      </c>
      <c r="H437" s="18">
        <f t="shared" si="29"/>
        <v>296</v>
      </c>
      <c r="I437" t="b">
        <f t="shared" si="30"/>
        <v>1</v>
      </c>
      <c r="J437" s="4">
        <f t="shared" si="31"/>
        <v>-0.69219594594594591</v>
      </c>
      <c r="O437" t="s">
        <v>1313</v>
      </c>
      <c r="P437">
        <v>356</v>
      </c>
      <c r="Q437">
        <v>199.27</v>
      </c>
    </row>
    <row r="438" spans="1:17" hidden="1">
      <c r="A438" t="s">
        <v>1029</v>
      </c>
      <c r="B438" t="s">
        <v>1030</v>
      </c>
      <c r="C438" s="18">
        <v>677</v>
      </c>
      <c r="D438" s="18">
        <f t="shared" si="28"/>
        <v>22.566666666666666</v>
      </c>
      <c r="E438" s="113">
        <v>255.47</v>
      </c>
      <c r="H438" s="18">
        <f t="shared" si="29"/>
        <v>1354</v>
      </c>
      <c r="I438" t="b">
        <f t="shared" si="30"/>
        <v>1</v>
      </c>
      <c r="J438" s="4">
        <f t="shared" si="31"/>
        <v>-0.81132200886262928</v>
      </c>
      <c r="O438" t="s">
        <v>1445</v>
      </c>
      <c r="P438">
        <v>1874</v>
      </c>
      <c r="Q438">
        <v>3772.22</v>
      </c>
    </row>
    <row r="439" spans="1:17" hidden="1">
      <c r="A439" t="s">
        <v>1061</v>
      </c>
      <c r="B439" t="s">
        <v>1062</v>
      </c>
      <c r="C439" s="18">
        <v>458</v>
      </c>
      <c r="D439" s="18">
        <f t="shared" si="28"/>
        <v>15.266666666666667</v>
      </c>
      <c r="E439" s="5">
        <v>145.28</v>
      </c>
      <c r="H439" s="18">
        <f t="shared" si="29"/>
        <v>916</v>
      </c>
      <c r="I439" t="b">
        <f t="shared" si="30"/>
        <v>1</v>
      </c>
      <c r="J439" s="4">
        <f t="shared" si="31"/>
        <v>-0.84139737991266372</v>
      </c>
      <c r="O439" t="s">
        <v>1687</v>
      </c>
      <c r="P439">
        <v>434</v>
      </c>
      <c r="Q439">
        <v>676.99</v>
      </c>
    </row>
    <row r="440" spans="1:17" hidden="1">
      <c r="A440" t="s">
        <v>944</v>
      </c>
      <c r="B440" t="s">
        <v>945</v>
      </c>
      <c r="C440" s="18">
        <v>714</v>
      </c>
      <c r="D440" s="18">
        <f t="shared" si="28"/>
        <v>23.8</v>
      </c>
      <c r="E440" s="5">
        <v>388.15</v>
      </c>
      <c r="H440" s="18">
        <f t="shared" si="29"/>
        <v>1428</v>
      </c>
      <c r="I440" t="b">
        <f t="shared" si="30"/>
        <v>1</v>
      </c>
      <c r="J440" s="4">
        <f t="shared" si="31"/>
        <v>-0.728186274509804</v>
      </c>
      <c r="O440" t="s">
        <v>1382</v>
      </c>
      <c r="P440">
        <v>922</v>
      </c>
      <c r="Q440">
        <v>615.99</v>
      </c>
    </row>
    <row r="441" spans="1:17" hidden="1">
      <c r="A441" s="122" t="s">
        <v>1785</v>
      </c>
      <c r="B441" s="26" t="s">
        <v>1786</v>
      </c>
      <c r="C441">
        <v>0</v>
      </c>
      <c r="D441" s="18">
        <f t="shared" si="28"/>
        <v>0</v>
      </c>
      <c r="E441" s="5">
        <v>0</v>
      </c>
      <c r="H441" s="18">
        <f t="shared" si="29"/>
        <v>0</v>
      </c>
      <c r="I441" t="b">
        <f t="shared" si="30"/>
        <v>1</v>
      </c>
      <c r="J441" s="4" t="e">
        <f t="shared" si="31"/>
        <v>#DIV/0!</v>
      </c>
      <c r="O441" t="s">
        <v>1366</v>
      </c>
      <c r="P441">
        <v>1303</v>
      </c>
      <c r="Q441">
        <v>976.48</v>
      </c>
    </row>
    <row r="442" spans="1:17" hidden="1">
      <c r="A442" t="s">
        <v>1235</v>
      </c>
      <c r="B442" t="s">
        <v>1236</v>
      </c>
      <c r="C442" s="18">
        <v>1474</v>
      </c>
      <c r="D442" s="18">
        <f t="shared" si="28"/>
        <v>49.133333333333333</v>
      </c>
      <c r="E442" s="5">
        <v>1373.23</v>
      </c>
      <c r="H442" s="18">
        <f t="shared" si="29"/>
        <v>2948</v>
      </c>
      <c r="I442" t="b">
        <f t="shared" si="30"/>
        <v>1</v>
      </c>
      <c r="J442" s="4">
        <f t="shared" si="31"/>
        <v>-0.53418249660786976</v>
      </c>
      <c r="O442" t="s">
        <v>1441</v>
      </c>
      <c r="P442">
        <v>1967</v>
      </c>
      <c r="Q442">
        <v>2669.32</v>
      </c>
    </row>
    <row r="443" spans="1:17" hidden="1">
      <c r="A443" t="s">
        <v>1039</v>
      </c>
      <c r="B443" t="s">
        <v>1040</v>
      </c>
      <c r="C443" s="18">
        <v>665</v>
      </c>
      <c r="D443" s="18">
        <f t="shared" si="28"/>
        <v>22.166666666666668</v>
      </c>
      <c r="E443" s="5">
        <v>571.95000000000005</v>
      </c>
      <c r="H443" s="18">
        <f t="shared" si="29"/>
        <v>1330</v>
      </c>
      <c r="I443" t="b">
        <f t="shared" si="30"/>
        <v>1</v>
      </c>
      <c r="J443" s="4">
        <f t="shared" si="31"/>
        <v>-0.56996240601503756</v>
      </c>
      <c r="O443" t="s">
        <v>1401</v>
      </c>
      <c r="P443">
        <v>2648</v>
      </c>
      <c r="Q443">
        <v>1533.95</v>
      </c>
    </row>
    <row r="444" spans="1:17" hidden="1">
      <c r="A444" t="s">
        <v>1045</v>
      </c>
      <c r="B444" t="s">
        <v>1046</v>
      </c>
      <c r="C444" s="18">
        <v>426</v>
      </c>
      <c r="D444" s="18">
        <f t="shared" si="28"/>
        <v>14.2</v>
      </c>
      <c r="E444" s="5">
        <v>662.09</v>
      </c>
      <c r="H444" s="18">
        <f t="shared" si="29"/>
        <v>852</v>
      </c>
      <c r="I444" t="b">
        <f t="shared" si="30"/>
        <v>1</v>
      </c>
      <c r="J444" s="4">
        <f t="shared" si="31"/>
        <v>-0.22289906103286383</v>
      </c>
      <c r="O444" t="s">
        <v>1307</v>
      </c>
      <c r="P444">
        <v>1099</v>
      </c>
      <c r="Q444">
        <v>1681.39</v>
      </c>
    </row>
    <row r="445" spans="1:17" hidden="1">
      <c r="A445" t="s">
        <v>919</v>
      </c>
      <c r="B445" t="s">
        <v>920</v>
      </c>
      <c r="C445" s="18">
        <v>707</v>
      </c>
      <c r="D445" s="18">
        <f t="shared" si="28"/>
        <v>23.566666666666666</v>
      </c>
      <c r="E445" s="5">
        <v>375.79</v>
      </c>
      <c r="H445" s="18">
        <f t="shared" si="29"/>
        <v>1414</v>
      </c>
      <c r="I445" t="b">
        <f t="shared" si="30"/>
        <v>1</v>
      </c>
      <c r="J445" s="4">
        <f t="shared" si="31"/>
        <v>-0.73423620933521927</v>
      </c>
      <c r="O445" t="s">
        <v>1425</v>
      </c>
      <c r="P445">
        <v>3298</v>
      </c>
      <c r="Q445">
        <v>6920.57</v>
      </c>
    </row>
    <row r="446" spans="1:17" hidden="1">
      <c r="A446" t="s">
        <v>1153</v>
      </c>
      <c r="B446" t="s">
        <v>1154</v>
      </c>
      <c r="C446" s="18">
        <v>782</v>
      </c>
      <c r="D446" s="18">
        <f t="shared" si="28"/>
        <v>26.066666666666666</v>
      </c>
      <c r="E446" s="5">
        <v>538.47</v>
      </c>
      <c r="H446" s="18">
        <f t="shared" si="29"/>
        <v>1564</v>
      </c>
      <c r="I446" t="b">
        <f t="shared" si="30"/>
        <v>1</v>
      </c>
      <c r="J446" s="4">
        <f t="shared" si="31"/>
        <v>-0.65570971867007666</v>
      </c>
      <c r="O446" t="s">
        <v>1305</v>
      </c>
      <c r="P446">
        <v>355</v>
      </c>
      <c r="Q446">
        <v>1017.38</v>
      </c>
    </row>
    <row r="447" spans="1:17" hidden="1">
      <c r="A447" t="s">
        <v>1191</v>
      </c>
      <c r="B447" t="s">
        <v>1192</v>
      </c>
      <c r="C447" s="18">
        <v>661</v>
      </c>
      <c r="D447" s="18">
        <f t="shared" si="28"/>
        <v>22.033333333333335</v>
      </c>
      <c r="E447" s="5">
        <v>904.2</v>
      </c>
      <c r="H447" s="18">
        <f t="shared" si="29"/>
        <v>1322</v>
      </c>
      <c r="I447" t="b">
        <f t="shared" si="30"/>
        <v>1</v>
      </c>
      <c r="J447" s="4">
        <f t="shared" si="31"/>
        <v>-0.31603630862329801</v>
      </c>
      <c r="O447" t="s">
        <v>1468</v>
      </c>
      <c r="P447">
        <v>4192</v>
      </c>
      <c r="Q447">
        <v>3703.72</v>
      </c>
    </row>
    <row r="448" spans="1:17" hidden="1">
      <c r="A448" t="s">
        <v>1201</v>
      </c>
      <c r="B448" t="s">
        <v>1202</v>
      </c>
      <c r="C448" s="18">
        <v>1938</v>
      </c>
      <c r="D448" s="18">
        <f t="shared" si="28"/>
        <v>64.599999999999994</v>
      </c>
      <c r="E448" s="5">
        <v>1580.19</v>
      </c>
      <c r="H448" s="18">
        <f t="shared" si="29"/>
        <v>3876</v>
      </c>
      <c r="I448" t="b">
        <f t="shared" si="30"/>
        <v>1</v>
      </c>
      <c r="J448" s="4">
        <f t="shared" si="31"/>
        <v>-0.59231424148606804</v>
      </c>
      <c r="O448" t="s">
        <v>1415</v>
      </c>
      <c r="P448">
        <v>5893</v>
      </c>
      <c r="Q448">
        <v>4482.1899999999996</v>
      </c>
    </row>
    <row r="449" spans="1:17" hidden="1">
      <c r="A449" t="s">
        <v>1132</v>
      </c>
      <c r="B449" t="s">
        <v>1133</v>
      </c>
      <c r="C449" s="18">
        <v>573</v>
      </c>
      <c r="D449" s="18">
        <f t="shared" si="28"/>
        <v>19.100000000000001</v>
      </c>
      <c r="E449" s="5">
        <v>633.41999999999996</v>
      </c>
      <c r="H449" s="18">
        <f t="shared" si="29"/>
        <v>1146</v>
      </c>
      <c r="I449" t="b">
        <f t="shared" si="30"/>
        <v>1</v>
      </c>
      <c r="J449" s="4">
        <f t="shared" si="31"/>
        <v>-0.44727748691099478</v>
      </c>
      <c r="O449" t="s">
        <v>1435</v>
      </c>
      <c r="P449">
        <v>1168</v>
      </c>
      <c r="Q449">
        <v>1022.36</v>
      </c>
    </row>
    <row r="450" spans="1:17" hidden="1">
      <c r="A450" t="s">
        <v>1089</v>
      </c>
      <c r="B450" t="s">
        <v>1090</v>
      </c>
      <c r="C450" s="18">
        <v>655</v>
      </c>
      <c r="D450" s="18">
        <f t="shared" si="28"/>
        <v>21.833333333333332</v>
      </c>
      <c r="E450" s="5">
        <v>366.52</v>
      </c>
      <c r="H450" s="18">
        <f t="shared" si="29"/>
        <v>1310</v>
      </c>
      <c r="I450" t="b">
        <f t="shared" si="30"/>
        <v>1</v>
      </c>
      <c r="J450" s="4">
        <f t="shared" si="31"/>
        <v>-0.72021374045801534</v>
      </c>
      <c r="O450" t="s">
        <v>1405</v>
      </c>
      <c r="P450">
        <v>660</v>
      </c>
      <c r="Q450">
        <v>1099.67</v>
      </c>
    </row>
    <row r="451" spans="1:17" hidden="1">
      <c r="A451" t="s">
        <v>917</v>
      </c>
      <c r="B451" s="26" t="s">
        <v>918</v>
      </c>
      <c r="C451" s="18">
        <v>973</v>
      </c>
      <c r="D451" s="18">
        <f t="shared" ref="D451:D514" si="32">C451/30</f>
        <v>32.43333333333333</v>
      </c>
      <c r="E451" s="5">
        <v>1213.6199999999999</v>
      </c>
      <c r="H451" s="18">
        <f t="shared" ref="H451:H514" si="33">IF((C451/30)&gt;100,C451*2,C451*2)</f>
        <v>1946</v>
      </c>
      <c r="I451" t="b">
        <f t="shared" si="30"/>
        <v>1</v>
      </c>
      <c r="J451" s="4">
        <f t="shared" si="31"/>
        <v>-0.37635149023638237</v>
      </c>
      <c r="O451" t="s">
        <v>1506</v>
      </c>
      <c r="P451">
        <v>1341</v>
      </c>
      <c r="Q451">
        <v>2691.33</v>
      </c>
    </row>
    <row r="452" spans="1:17" hidden="1">
      <c r="A452" t="s">
        <v>1013</v>
      </c>
      <c r="B452" t="s">
        <v>1014</v>
      </c>
      <c r="C452" s="18">
        <v>796</v>
      </c>
      <c r="D452" s="18">
        <f t="shared" si="32"/>
        <v>26.533333333333335</v>
      </c>
      <c r="E452" s="5">
        <v>744.98</v>
      </c>
      <c r="H452" s="18">
        <f t="shared" si="33"/>
        <v>1592</v>
      </c>
      <c r="I452" t="b">
        <f t="shared" si="30"/>
        <v>1</v>
      </c>
      <c r="J452" s="4">
        <f t="shared" si="31"/>
        <v>-0.53204773869346733</v>
      </c>
      <c r="O452" t="s">
        <v>1502</v>
      </c>
      <c r="P452">
        <v>3129</v>
      </c>
      <c r="Q452">
        <v>2951.94</v>
      </c>
    </row>
    <row r="453" spans="1:17" hidden="1">
      <c r="A453" t="s">
        <v>971</v>
      </c>
      <c r="B453" t="s">
        <v>972</v>
      </c>
      <c r="C453" s="18">
        <v>395</v>
      </c>
      <c r="D453" s="18">
        <f t="shared" si="32"/>
        <v>13.166666666666666</v>
      </c>
      <c r="E453" s="5">
        <v>129.30000000000001</v>
      </c>
      <c r="H453" s="18">
        <f t="shared" si="33"/>
        <v>790</v>
      </c>
      <c r="I453" t="b">
        <f t="shared" si="30"/>
        <v>1</v>
      </c>
      <c r="J453" s="4">
        <f t="shared" si="31"/>
        <v>-0.83632911392405063</v>
      </c>
      <c r="O453" t="s">
        <v>1504</v>
      </c>
      <c r="P453">
        <v>3780</v>
      </c>
      <c r="Q453">
        <v>6358.12</v>
      </c>
    </row>
    <row r="454" spans="1:17" hidden="1">
      <c r="A454" t="s">
        <v>905</v>
      </c>
      <c r="B454" s="26" t="s">
        <v>906</v>
      </c>
      <c r="C454" s="18">
        <v>711</v>
      </c>
      <c r="D454" s="18">
        <f t="shared" si="32"/>
        <v>23.7</v>
      </c>
      <c r="E454" s="5">
        <v>350.3</v>
      </c>
      <c r="H454" s="18">
        <f t="shared" si="33"/>
        <v>1422</v>
      </c>
      <c r="I454" t="b">
        <f t="shared" si="30"/>
        <v>1</v>
      </c>
      <c r="J454" s="4">
        <f t="shared" si="31"/>
        <v>-0.75365682137834034</v>
      </c>
      <c r="O454" t="s">
        <v>1520</v>
      </c>
      <c r="P454">
        <v>4424</v>
      </c>
      <c r="Q454">
        <v>4518.8</v>
      </c>
    </row>
    <row r="455" spans="1:17" hidden="1">
      <c r="A455" t="s">
        <v>1021</v>
      </c>
      <c r="B455" t="s">
        <v>1022</v>
      </c>
      <c r="C455" s="18">
        <v>848</v>
      </c>
      <c r="D455" s="18">
        <f t="shared" si="32"/>
        <v>28.266666666666666</v>
      </c>
      <c r="E455" s="5">
        <v>1625.12</v>
      </c>
      <c r="H455" s="18">
        <f t="shared" si="33"/>
        <v>1696</v>
      </c>
      <c r="I455" t="b">
        <f t="shared" si="30"/>
        <v>1</v>
      </c>
      <c r="J455" s="4">
        <f t="shared" si="31"/>
        <v>-4.1792452830188731E-2</v>
      </c>
      <c r="O455" t="s">
        <v>1370</v>
      </c>
      <c r="P455">
        <v>910</v>
      </c>
      <c r="Q455">
        <v>2003.82</v>
      </c>
    </row>
    <row r="456" spans="1:17" hidden="1">
      <c r="A456" t="s">
        <v>1161</v>
      </c>
      <c r="B456" t="s">
        <v>1162</v>
      </c>
      <c r="C456" s="18">
        <v>1071</v>
      </c>
      <c r="D456" s="18">
        <f t="shared" si="32"/>
        <v>35.700000000000003</v>
      </c>
      <c r="E456" s="5">
        <v>592.04999999999995</v>
      </c>
      <c r="H456" s="18">
        <f t="shared" si="33"/>
        <v>2142</v>
      </c>
      <c r="I456" t="b">
        <f t="shared" si="30"/>
        <v>1</v>
      </c>
      <c r="J456" s="4">
        <f t="shared" si="31"/>
        <v>-0.72359943977591046</v>
      </c>
    </row>
    <row r="457" spans="1:17" hidden="1">
      <c r="A457" t="s">
        <v>1182</v>
      </c>
      <c r="B457" t="s">
        <v>1183</v>
      </c>
      <c r="C457" s="18">
        <v>1098</v>
      </c>
      <c r="D457" s="18">
        <f t="shared" si="32"/>
        <v>36.6</v>
      </c>
      <c r="E457" s="5">
        <v>604.21</v>
      </c>
      <c r="H457" s="18">
        <f t="shared" si="33"/>
        <v>2196</v>
      </c>
      <c r="I457" t="b">
        <f t="shared" si="30"/>
        <v>1</v>
      </c>
      <c r="J457" s="4">
        <f t="shared" si="31"/>
        <v>-0.72485883424408015</v>
      </c>
    </row>
    <row r="458" spans="1:17" hidden="1">
      <c r="A458" s="23" t="s">
        <v>1180</v>
      </c>
      <c r="B458" s="22" t="s">
        <v>1181</v>
      </c>
      <c r="C458" s="18">
        <v>668</v>
      </c>
      <c r="D458" s="18">
        <f t="shared" si="32"/>
        <v>22.266666666666666</v>
      </c>
      <c r="E458" s="5">
        <v>587.72</v>
      </c>
      <c r="H458" s="18">
        <f t="shared" si="33"/>
        <v>1336</v>
      </c>
      <c r="I458" t="b">
        <f t="shared" si="30"/>
        <v>1</v>
      </c>
      <c r="J458" s="4">
        <f t="shared" si="31"/>
        <v>-0.56008982035928145</v>
      </c>
    </row>
    <row r="459" spans="1:17" hidden="1">
      <c r="A459" t="s">
        <v>1067</v>
      </c>
      <c r="B459" t="s">
        <v>1068</v>
      </c>
      <c r="C459" s="18">
        <v>754</v>
      </c>
      <c r="D459" s="18">
        <f t="shared" si="32"/>
        <v>25.133333333333333</v>
      </c>
      <c r="E459" s="5">
        <v>179.87</v>
      </c>
      <c r="H459" s="18">
        <f t="shared" si="33"/>
        <v>1508</v>
      </c>
      <c r="I459" t="b">
        <f t="shared" si="30"/>
        <v>1</v>
      </c>
      <c r="J459" s="4">
        <f t="shared" si="31"/>
        <v>-0.88072281167108757</v>
      </c>
    </row>
    <row r="460" spans="1:17" hidden="1">
      <c r="A460" t="s">
        <v>1031</v>
      </c>
      <c r="B460" t="s">
        <v>1032</v>
      </c>
      <c r="C460" s="18">
        <v>801</v>
      </c>
      <c r="D460" s="18">
        <f t="shared" si="32"/>
        <v>26.7</v>
      </c>
      <c r="E460" s="5">
        <v>342.26</v>
      </c>
      <c r="H460" s="18">
        <f t="shared" si="33"/>
        <v>1602</v>
      </c>
      <c r="I460" t="b">
        <f t="shared" si="30"/>
        <v>1</v>
      </c>
      <c r="J460" s="4">
        <f t="shared" si="31"/>
        <v>-0.78635455680399502</v>
      </c>
    </row>
    <row r="461" spans="1:17" hidden="1">
      <c r="A461" t="s">
        <v>975</v>
      </c>
      <c r="B461" t="s">
        <v>976</v>
      </c>
      <c r="C461" s="18">
        <v>452</v>
      </c>
      <c r="D461" s="18">
        <f t="shared" si="32"/>
        <v>15.066666666666666</v>
      </c>
      <c r="E461" s="5">
        <v>70.459999999999994</v>
      </c>
      <c r="H461" s="18">
        <f t="shared" si="33"/>
        <v>904</v>
      </c>
      <c r="I461" t="b">
        <f t="shared" si="30"/>
        <v>1</v>
      </c>
      <c r="J461" s="4">
        <f t="shared" si="31"/>
        <v>-0.9220575221238938</v>
      </c>
    </row>
    <row r="462" spans="1:17" hidden="1">
      <c r="A462" t="s">
        <v>1239</v>
      </c>
      <c r="B462" t="s">
        <v>1240</v>
      </c>
      <c r="C462" s="18">
        <v>2485</v>
      </c>
      <c r="D462" s="18">
        <f t="shared" si="32"/>
        <v>82.833333333333329</v>
      </c>
      <c r="E462" s="5">
        <v>1332.6</v>
      </c>
      <c r="H462" s="18">
        <f t="shared" si="33"/>
        <v>4970</v>
      </c>
      <c r="I462" t="b">
        <f t="shared" si="30"/>
        <v>1</v>
      </c>
      <c r="J462" s="4">
        <f t="shared" si="31"/>
        <v>-0.7318712273641852</v>
      </c>
    </row>
    <row r="463" spans="1:17" hidden="1">
      <c r="A463" t="s">
        <v>963</v>
      </c>
      <c r="B463" t="s">
        <v>964</v>
      </c>
      <c r="C463" s="18">
        <v>535</v>
      </c>
      <c r="D463" s="18">
        <f t="shared" si="32"/>
        <v>17.833333333333332</v>
      </c>
      <c r="E463" s="5">
        <v>126.46</v>
      </c>
      <c r="H463" s="18">
        <f t="shared" si="33"/>
        <v>1070</v>
      </c>
      <c r="I463" t="b">
        <f t="shared" si="30"/>
        <v>1</v>
      </c>
      <c r="J463" s="4">
        <f t="shared" si="31"/>
        <v>-0.88181308411214954</v>
      </c>
    </row>
    <row r="464" spans="1:17" hidden="1">
      <c r="A464" t="s">
        <v>925</v>
      </c>
      <c r="B464" t="s">
        <v>926</v>
      </c>
      <c r="C464" s="18">
        <v>801</v>
      </c>
      <c r="D464" s="18">
        <f t="shared" si="32"/>
        <v>26.7</v>
      </c>
      <c r="E464" s="5">
        <v>584.39</v>
      </c>
      <c r="H464" s="18">
        <f t="shared" si="33"/>
        <v>1602</v>
      </c>
      <c r="I464" t="b">
        <f t="shared" si="30"/>
        <v>1</v>
      </c>
      <c r="J464" s="4">
        <f t="shared" si="31"/>
        <v>-0.6352122347066167</v>
      </c>
    </row>
    <row r="465" spans="1:10" hidden="1">
      <c r="A465" t="s">
        <v>1035</v>
      </c>
      <c r="B465" t="s">
        <v>1036</v>
      </c>
      <c r="C465" s="18">
        <v>792</v>
      </c>
      <c r="D465" s="18">
        <f t="shared" si="32"/>
        <v>26.4</v>
      </c>
      <c r="E465" s="5">
        <v>662.42</v>
      </c>
      <c r="H465" s="18">
        <f t="shared" si="33"/>
        <v>1584</v>
      </c>
      <c r="I465" t="b">
        <f t="shared" si="30"/>
        <v>1</v>
      </c>
      <c r="J465" s="4">
        <f t="shared" si="31"/>
        <v>-0.58180555555555558</v>
      </c>
    </row>
    <row r="466" spans="1:10" hidden="1">
      <c r="A466" t="s">
        <v>1053</v>
      </c>
      <c r="B466" t="s">
        <v>1054</v>
      </c>
      <c r="C466" s="18">
        <v>501</v>
      </c>
      <c r="D466" s="18">
        <f t="shared" si="32"/>
        <v>16.7</v>
      </c>
      <c r="E466" s="5">
        <v>245.85</v>
      </c>
      <c r="H466" s="18">
        <f t="shared" si="33"/>
        <v>1002</v>
      </c>
      <c r="I466" t="b">
        <f t="shared" si="30"/>
        <v>1</v>
      </c>
      <c r="J466" s="4">
        <f t="shared" si="31"/>
        <v>-0.75464071856287429</v>
      </c>
    </row>
    <row r="467" spans="1:10" hidden="1">
      <c r="A467" t="s">
        <v>1081</v>
      </c>
      <c r="B467" t="s">
        <v>1082</v>
      </c>
      <c r="C467" s="18">
        <v>732</v>
      </c>
      <c r="D467" s="18">
        <f t="shared" si="32"/>
        <v>24.4</v>
      </c>
      <c r="E467" s="5">
        <v>397.84</v>
      </c>
      <c r="H467" s="18">
        <f t="shared" si="33"/>
        <v>1464</v>
      </c>
      <c r="I467" t="b">
        <f t="shared" si="30"/>
        <v>1</v>
      </c>
      <c r="J467" s="4">
        <f t="shared" si="31"/>
        <v>-0.72825136612021857</v>
      </c>
    </row>
    <row r="468" spans="1:10" hidden="1">
      <c r="A468" t="s">
        <v>977</v>
      </c>
      <c r="B468" t="s">
        <v>978</v>
      </c>
      <c r="C468" s="18">
        <v>800</v>
      </c>
      <c r="D468" s="18">
        <f t="shared" si="32"/>
        <v>26.666666666666668</v>
      </c>
      <c r="E468" s="5">
        <v>547.70000000000005</v>
      </c>
      <c r="H468" s="18">
        <f t="shared" si="33"/>
        <v>1600</v>
      </c>
      <c r="I468" t="b">
        <f t="shared" si="30"/>
        <v>1</v>
      </c>
      <c r="J468" s="4">
        <f t="shared" si="31"/>
        <v>-0.65768749999999998</v>
      </c>
    </row>
    <row r="469" spans="1:10" hidden="1">
      <c r="A469" t="s">
        <v>1205</v>
      </c>
      <c r="B469" t="s">
        <v>1206</v>
      </c>
      <c r="C469" s="18">
        <v>1179</v>
      </c>
      <c r="D469" s="18">
        <f t="shared" si="32"/>
        <v>39.299999999999997</v>
      </c>
      <c r="E469" s="5">
        <v>1104.24</v>
      </c>
      <c r="H469" s="18">
        <f t="shared" si="33"/>
        <v>2358</v>
      </c>
      <c r="I469" t="b">
        <f t="shared" si="30"/>
        <v>1</v>
      </c>
      <c r="J469" s="4">
        <f t="shared" si="31"/>
        <v>-0.53170483460559792</v>
      </c>
    </row>
    <row r="470" spans="1:10" hidden="1">
      <c r="A470" t="s">
        <v>1019</v>
      </c>
      <c r="B470" t="s">
        <v>1020</v>
      </c>
      <c r="C470" s="18">
        <v>256</v>
      </c>
      <c r="D470" s="18">
        <f t="shared" si="32"/>
        <v>8.5333333333333332</v>
      </c>
      <c r="E470" s="5">
        <v>143.26</v>
      </c>
      <c r="H470" s="18">
        <f t="shared" si="33"/>
        <v>512</v>
      </c>
      <c r="I470" t="b">
        <f t="shared" si="30"/>
        <v>1</v>
      </c>
      <c r="J470" s="4">
        <f t="shared" si="31"/>
        <v>-0.72019531250000002</v>
      </c>
    </row>
    <row r="471" spans="1:10" hidden="1">
      <c r="A471" t="s">
        <v>1128</v>
      </c>
      <c r="B471" t="s">
        <v>1129</v>
      </c>
      <c r="C471" s="18">
        <v>1201</v>
      </c>
      <c r="D471" s="18">
        <f t="shared" si="32"/>
        <v>40.033333333333331</v>
      </c>
      <c r="E471" s="5">
        <v>1300.6099999999999</v>
      </c>
      <c r="H471" s="18">
        <f t="shared" si="33"/>
        <v>2402</v>
      </c>
      <c r="I471" t="b">
        <f t="shared" si="30"/>
        <v>1</v>
      </c>
      <c r="J471" s="4">
        <f t="shared" si="31"/>
        <v>-0.45853039134054963</v>
      </c>
    </row>
    <row r="472" spans="1:10" hidden="1">
      <c r="A472" t="s">
        <v>1159</v>
      </c>
      <c r="B472" t="s">
        <v>1160</v>
      </c>
      <c r="C472" s="18">
        <v>1148</v>
      </c>
      <c r="D472" s="18">
        <f t="shared" si="32"/>
        <v>38.266666666666666</v>
      </c>
      <c r="E472" s="5">
        <v>286.56</v>
      </c>
      <c r="H472" s="18">
        <f t="shared" si="33"/>
        <v>2296</v>
      </c>
      <c r="I472" t="b">
        <f t="shared" si="30"/>
        <v>1</v>
      </c>
      <c r="J472" s="4">
        <f t="shared" si="31"/>
        <v>-0.87519163763066199</v>
      </c>
    </row>
    <row r="473" spans="1:10" hidden="1">
      <c r="A473" t="s">
        <v>961</v>
      </c>
      <c r="B473" t="s">
        <v>962</v>
      </c>
      <c r="C473" s="18">
        <v>617</v>
      </c>
      <c r="D473" s="18">
        <f t="shared" si="32"/>
        <v>20.566666666666666</v>
      </c>
      <c r="E473" s="5">
        <v>507.56</v>
      </c>
      <c r="H473" s="18">
        <f t="shared" si="33"/>
        <v>1234</v>
      </c>
      <c r="I473" t="b">
        <f t="shared" si="30"/>
        <v>1</v>
      </c>
      <c r="J473" s="4">
        <f t="shared" si="31"/>
        <v>-0.5886871961102107</v>
      </c>
    </row>
    <row r="474" spans="1:10" hidden="1">
      <c r="A474" t="s">
        <v>923</v>
      </c>
      <c r="B474" t="s">
        <v>924</v>
      </c>
      <c r="C474" s="18">
        <v>708</v>
      </c>
      <c r="D474" s="18">
        <f t="shared" si="32"/>
        <v>23.6</v>
      </c>
      <c r="E474" s="5">
        <v>429.44</v>
      </c>
      <c r="H474" s="18">
        <f t="shared" si="33"/>
        <v>1416</v>
      </c>
      <c r="I474" t="b">
        <f t="shared" si="30"/>
        <v>1</v>
      </c>
      <c r="J474" s="4">
        <f t="shared" si="31"/>
        <v>-0.69672316384180788</v>
      </c>
    </row>
    <row r="475" spans="1:10" hidden="1">
      <c r="A475" t="s">
        <v>1186</v>
      </c>
      <c r="B475" t="s">
        <v>1187</v>
      </c>
      <c r="C475" s="18">
        <v>660</v>
      </c>
      <c r="D475" s="18">
        <f t="shared" si="32"/>
        <v>22</v>
      </c>
      <c r="E475" s="5">
        <v>1287.74</v>
      </c>
      <c r="H475" s="18">
        <f t="shared" si="33"/>
        <v>1320</v>
      </c>
      <c r="I475" t="b">
        <f t="shared" si="30"/>
        <v>1</v>
      </c>
      <c r="J475" s="4">
        <f t="shared" si="31"/>
        <v>-2.4439393939393983E-2</v>
      </c>
    </row>
    <row r="476" spans="1:10" hidden="1">
      <c r="A476" s="38" t="s">
        <v>979</v>
      </c>
      <c r="B476" s="35" t="s">
        <v>980</v>
      </c>
      <c r="C476">
        <v>0</v>
      </c>
      <c r="D476" s="18">
        <f t="shared" si="32"/>
        <v>0</v>
      </c>
      <c r="E476" s="5">
        <v>0</v>
      </c>
      <c r="H476" s="18">
        <f t="shared" si="33"/>
        <v>0</v>
      </c>
      <c r="I476" t="b">
        <f t="shared" si="30"/>
        <v>1</v>
      </c>
      <c r="J476" s="4" t="e">
        <f t="shared" si="31"/>
        <v>#DIV/0!</v>
      </c>
    </row>
    <row r="477" spans="1:10" hidden="1">
      <c r="A477" s="112" t="s">
        <v>952</v>
      </c>
      <c r="B477" s="35" t="s">
        <v>953</v>
      </c>
      <c r="C477">
        <v>116</v>
      </c>
      <c r="D477" s="18">
        <f t="shared" si="32"/>
        <v>3.8666666666666667</v>
      </c>
      <c r="E477" s="5">
        <v>5.18</v>
      </c>
      <c r="H477" s="18">
        <f t="shared" si="33"/>
        <v>232</v>
      </c>
      <c r="I477" t="b">
        <f t="shared" si="30"/>
        <v>1</v>
      </c>
      <c r="J477" s="4">
        <f t="shared" si="31"/>
        <v>-0.97767241379310343</v>
      </c>
    </row>
    <row r="478" spans="1:10" hidden="1">
      <c r="A478" t="s">
        <v>1199</v>
      </c>
      <c r="B478" t="s">
        <v>1200</v>
      </c>
      <c r="C478" s="18">
        <v>1609</v>
      </c>
      <c r="D478" s="18">
        <f t="shared" si="32"/>
        <v>53.633333333333333</v>
      </c>
      <c r="E478" s="5">
        <v>1930.63</v>
      </c>
      <c r="H478" s="18">
        <f t="shared" si="33"/>
        <v>3218</v>
      </c>
      <c r="I478" t="b">
        <f t="shared" si="30"/>
        <v>1</v>
      </c>
      <c r="J478" s="4">
        <f t="shared" si="31"/>
        <v>-0.40005282784338092</v>
      </c>
    </row>
    <row r="479" spans="1:10" hidden="1">
      <c r="A479" t="s">
        <v>1099</v>
      </c>
      <c r="B479" t="s">
        <v>1100</v>
      </c>
      <c r="C479" s="18">
        <v>1013</v>
      </c>
      <c r="D479" s="18">
        <f t="shared" si="32"/>
        <v>33.766666666666666</v>
      </c>
      <c r="E479" s="5">
        <v>1165.3800000000001</v>
      </c>
      <c r="H479" s="18">
        <f t="shared" si="33"/>
        <v>2026</v>
      </c>
      <c r="I479" t="b">
        <f t="shared" si="30"/>
        <v>1</v>
      </c>
      <c r="J479" s="4">
        <f t="shared" si="31"/>
        <v>-0.42478775913129319</v>
      </c>
    </row>
    <row r="480" spans="1:10" hidden="1">
      <c r="A480" t="s">
        <v>1110</v>
      </c>
      <c r="B480" t="s">
        <v>1111</v>
      </c>
      <c r="C480" s="18">
        <v>1216</v>
      </c>
      <c r="D480" s="18">
        <f t="shared" si="32"/>
        <v>40.533333333333331</v>
      </c>
      <c r="E480" s="5">
        <v>384.87</v>
      </c>
      <c r="H480" s="18">
        <f t="shared" si="33"/>
        <v>2432</v>
      </c>
      <c r="I480" t="b">
        <f t="shared" si="30"/>
        <v>1</v>
      </c>
      <c r="J480" s="4">
        <f t="shared" si="31"/>
        <v>-0.84174753289473681</v>
      </c>
    </row>
    <row r="481" spans="1:10" hidden="1">
      <c r="A481" s="26" t="s">
        <v>1147</v>
      </c>
      <c r="B481" s="26" t="s">
        <v>1148</v>
      </c>
      <c r="C481" s="18">
        <v>507</v>
      </c>
      <c r="D481" s="18">
        <f t="shared" si="32"/>
        <v>16.899999999999999</v>
      </c>
      <c r="E481" s="5">
        <v>785.63</v>
      </c>
      <c r="H481" s="18">
        <f t="shared" si="33"/>
        <v>1014</v>
      </c>
      <c r="I481" t="b">
        <f t="shared" si="30"/>
        <v>1</v>
      </c>
      <c r="J481" s="4">
        <f t="shared" si="31"/>
        <v>-0.22521696252465484</v>
      </c>
    </row>
    <row r="482" spans="1:10" hidden="1">
      <c r="A482" s="5" t="s">
        <v>1155</v>
      </c>
      <c r="B482" t="s">
        <v>1156</v>
      </c>
      <c r="C482" s="18">
        <v>770</v>
      </c>
      <c r="D482" s="18">
        <f t="shared" si="32"/>
        <v>25.666666666666668</v>
      </c>
      <c r="E482" s="5">
        <v>639.98</v>
      </c>
      <c r="H482" s="18">
        <f t="shared" si="33"/>
        <v>1540</v>
      </c>
      <c r="I482" t="b">
        <f t="shared" si="30"/>
        <v>1</v>
      </c>
      <c r="J482" s="4">
        <f t="shared" si="31"/>
        <v>-0.58442857142857141</v>
      </c>
    </row>
    <row r="483" spans="1:10" hidden="1">
      <c r="A483" t="s">
        <v>1095</v>
      </c>
      <c r="B483" t="s">
        <v>1096</v>
      </c>
      <c r="C483" s="18">
        <v>1552</v>
      </c>
      <c r="D483" s="18">
        <f t="shared" si="32"/>
        <v>51.733333333333334</v>
      </c>
      <c r="E483" s="5">
        <v>2570.36</v>
      </c>
      <c r="H483" s="18">
        <f t="shared" si="33"/>
        <v>3104</v>
      </c>
      <c r="I483" t="b">
        <f t="shared" si="30"/>
        <v>1</v>
      </c>
      <c r="J483" s="4">
        <f t="shared" si="31"/>
        <v>-0.17192010309278349</v>
      </c>
    </row>
    <row r="484" spans="1:10" hidden="1">
      <c r="A484" s="5" t="s">
        <v>1141</v>
      </c>
      <c r="B484" s="26" t="s">
        <v>1142</v>
      </c>
      <c r="C484" s="18">
        <v>654</v>
      </c>
      <c r="D484" s="18">
        <f t="shared" si="32"/>
        <v>21.8</v>
      </c>
      <c r="E484" s="5">
        <v>271.95999999999998</v>
      </c>
      <c r="H484" s="18">
        <f t="shared" si="33"/>
        <v>1308</v>
      </c>
      <c r="I484" t="b">
        <f t="shared" si="30"/>
        <v>1</v>
      </c>
      <c r="J484" s="4">
        <f t="shared" si="31"/>
        <v>-0.79207951070336391</v>
      </c>
    </row>
    <row r="485" spans="1:10" hidden="1">
      <c r="A485" t="s">
        <v>1178</v>
      </c>
      <c r="B485" t="s">
        <v>1179</v>
      </c>
      <c r="C485" s="18">
        <v>1465</v>
      </c>
      <c r="D485" s="18">
        <f t="shared" si="32"/>
        <v>48.833333333333336</v>
      </c>
      <c r="E485" s="5">
        <v>635.21</v>
      </c>
      <c r="H485" s="18">
        <f t="shared" si="33"/>
        <v>2930</v>
      </c>
      <c r="I485" t="b">
        <f t="shared" si="30"/>
        <v>1</v>
      </c>
      <c r="J485" s="4">
        <f t="shared" si="31"/>
        <v>-0.78320477815699663</v>
      </c>
    </row>
    <row r="486" spans="1:10" hidden="1">
      <c r="A486" t="s">
        <v>1108</v>
      </c>
      <c r="B486" t="s">
        <v>1109</v>
      </c>
      <c r="C486" s="18">
        <v>1152</v>
      </c>
      <c r="D486" s="18">
        <f t="shared" si="32"/>
        <v>38.4</v>
      </c>
      <c r="E486" s="5">
        <v>738.43</v>
      </c>
      <c r="H486" s="18">
        <f t="shared" si="33"/>
        <v>2304</v>
      </c>
      <c r="I486" t="b">
        <f t="shared" si="30"/>
        <v>1</v>
      </c>
      <c r="J486" s="4">
        <f t="shared" si="31"/>
        <v>-0.67950086805555565</v>
      </c>
    </row>
    <row r="487" spans="1:10" hidden="1">
      <c r="A487" t="s">
        <v>1091</v>
      </c>
      <c r="B487" t="s">
        <v>1092</v>
      </c>
      <c r="C487" s="18">
        <v>1115</v>
      </c>
      <c r="D487" s="18">
        <f t="shared" si="32"/>
        <v>37.166666666666664</v>
      </c>
      <c r="E487" s="5">
        <v>1713</v>
      </c>
      <c r="H487" s="18">
        <f t="shared" si="33"/>
        <v>2230</v>
      </c>
      <c r="I487" t="b">
        <f t="shared" si="30"/>
        <v>1</v>
      </c>
      <c r="J487" s="4">
        <f t="shared" si="31"/>
        <v>-0.23183856502242151</v>
      </c>
    </row>
    <row r="488" spans="1:10" hidden="1">
      <c r="A488" t="s">
        <v>1106</v>
      </c>
      <c r="B488" t="s">
        <v>1107</v>
      </c>
      <c r="C488" s="18">
        <v>771</v>
      </c>
      <c r="D488" s="18">
        <f t="shared" si="32"/>
        <v>25.7</v>
      </c>
      <c r="E488" s="5">
        <v>628.02</v>
      </c>
      <c r="H488" s="18">
        <f t="shared" si="33"/>
        <v>1542</v>
      </c>
      <c r="I488" t="b">
        <f t="shared" si="30"/>
        <v>1</v>
      </c>
      <c r="J488" s="4">
        <f t="shared" si="31"/>
        <v>-0.59272373540856038</v>
      </c>
    </row>
    <row r="489" spans="1:10" hidden="1">
      <c r="A489" t="s">
        <v>1169</v>
      </c>
      <c r="B489" t="s">
        <v>1170</v>
      </c>
      <c r="C489" s="18">
        <v>2221</v>
      </c>
      <c r="D489" s="18">
        <f>C489/30</f>
        <v>74.033333333333331</v>
      </c>
      <c r="E489" s="5">
        <v>1429.45</v>
      </c>
      <c r="H489" s="18">
        <f t="shared" si="33"/>
        <v>4442</v>
      </c>
      <c r="I489" t="b">
        <f t="shared" si="30"/>
        <v>1</v>
      </c>
      <c r="J489" s="4">
        <f t="shared" si="31"/>
        <v>-0.67819675821701941</v>
      </c>
    </row>
    <row r="490" spans="1:10" hidden="1">
      <c r="A490" s="26" t="s">
        <v>1101</v>
      </c>
      <c r="B490" s="35" t="s">
        <v>1102</v>
      </c>
      <c r="C490" s="18">
        <v>902</v>
      </c>
      <c r="D490" s="18">
        <f t="shared" si="32"/>
        <v>30.066666666666666</v>
      </c>
      <c r="E490" s="5">
        <v>1010.73</v>
      </c>
      <c r="H490" s="18">
        <f t="shared" si="33"/>
        <v>1804</v>
      </c>
      <c r="I490" t="b">
        <f t="shared" si="30"/>
        <v>1</v>
      </c>
      <c r="J490" s="4">
        <f t="shared" si="31"/>
        <v>-0.43972838137472281</v>
      </c>
    </row>
    <row r="491" spans="1:10" hidden="1">
      <c r="A491" s="112" t="s">
        <v>1229</v>
      </c>
      <c r="B491" s="35" t="s">
        <v>1230</v>
      </c>
      <c r="C491">
        <v>274</v>
      </c>
      <c r="D491" s="18">
        <f t="shared" si="32"/>
        <v>9.1333333333333329</v>
      </c>
      <c r="E491" s="5">
        <v>349.82</v>
      </c>
      <c r="H491" s="18">
        <f t="shared" si="33"/>
        <v>548</v>
      </c>
      <c r="I491" t="b">
        <f t="shared" ref="I491:I554" si="34">IF(E491&gt;1.2*H491,FALSE,TRUE)</f>
        <v>1</v>
      </c>
      <c r="J491" s="4">
        <f t="shared" ref="J491:J554" si="35">E491/H491-1</f>
        <v>-0.36164233576642335</v>
      </c>
    </row>
    <row r="492" spans="1:10" hidden="1">
      <c r="A492" s="23" t="s">
        <v>915</v>
      </c>
      <c r="B492" s="22" t="s">
        <v>916</v>
      </c>
      <c r="C492" s="18">
        <v>1507</v>
      </c>
      <c r="D492" s="18">
        <f t="shared" si="32"/>
        <v>50.233333333333334</v>
      </c>
      <c r="E492" s="5">
        <v>2488.0700000000002</v>
      </c>
      <c r="H492" s="18">
        <f t="shared" si="33"/>
        <v>3014</v>
      </c>
      <c r="I492" t="b">
        <f t="shared" si="34"/>
        <v>1</v>
      </c>
      <c r="J492" s="4">
        <f t="shared" si="35"/>
        <v>-0.17449568679495686</v>
      </c>
    </row>
    <row r="493" spans="1:10" hidden="1">
      <c r="A493" s="26" t="s">
        <v>899</v>
      </c>
      <c r="B493" s="26" t="s">
        <v>900</v>
      </c>
      <c r="C493" s="18">
        <v>3850</v>
      </c>
      <c r="D493" s="18">
        <f t="shared" si="32"/>
        <v>128.33333333333334</v>
      </c>
      <c r="E493" s="5">
        <v>2752.71</v>
      </c>
      <c r="H493" s="18">
        <f t="shared" si="33"/>
        <v>7700</v>
      </c>
      <c r="I493" t="b">
        <f t="shared" si="34"/>
        <v>1</v>
      </c>
      <c r="J493" s="4">
        <f t="shared" si="35"/>
        <v>-0.64250519480519475</v>
      </c>
    </row>
    <row r="494" spans="1:10" hidden="1">
      <c r="A494" s="23" t="s">
        <v>937</v>
      </c>
      <c r="B494" s="22" t="s">
        <v>938</v>
      </c>
      <c r="C494" s="18">
        <v>924</v>
      </c>
      <c r="D494" s="18">
        <f t="shared" si="32"/>
        <v>30.8</v>
      </c>
      <c r="E494" s="5">
        <v>552.72</v>
      </c>
      <c r="H494" s="18">
        <f t="shared" si="33"/>
        <v>1848</v>
      </c>
      <c r="I494" t="b">
        <f t="shared" si="34"/>
        <v>1</v>
      </c>
      <c r="J494" s="4">
        <f t="shared" si="35"/>
        <v>-0.70090909090909093</v>
      </c>
    </row>
    <row r="495" spans="1:10" hidden="1">
      <c r="A495" t="s">
        <v>1149</v>
      </c>
      <c r="B495" t="s">
        <v>1150</v>
      </c>
      <c r="C495" s="18">
        <v>1302</v>
      </c>
      <c r="D495" s="18">
        <f t="shared" si="32"/>
        <v>43.4</v>
      </c>
      <c r="E495" s="5">
        <v>714.73</v>
      </c>
      <c r="H495" s="18">
        <f t="shared" si="33"/>
        <v>2604</v>
      </c>
      <c r="I495" t="b">
        <f t="shared" si="34"/>
        <v>1</v>
      </c>
      <c r="J495" s="4">
        <f t="shared" si="35"/>
        <v>-0.72552611367127495</v>
      </c>
    </row>
    <row r="496" spans="1:10" hidden="1">
      <c r="A496" t="s">
        <v>1145</v>
      </c>
      <c r="B496" t="s">
        <v>1146</v>
      </c>
      <c r="C496" s="18">
        <v>964</v>
      </c>
      <c r="D496" s="18">
        <f t="shared" si="32"/>
        <v>32.133333333333333</v>
      </c>
      <c r="E496" s="5">
        <v>304.82</v>
      </c>
      <c r="H496" s="18">
        <f t="shared" si="33"/>
        <v>1928</v>
      </c>
      <c r="I496" t="b">
        <f t="shared" si="34"/>
        <v>1</v>
      </c>
      <c r="J496" s="4">
        <f t="shared" si="35"/>
        <v>-0.8418983402489626</v>
      </c>
    </row>
    <row r="497" spans="1:10" hidden="1">
      <c r="A497" t="s">
        <v>1071</v>
      </c>
      <c r="B497" t="s">
        <v>1072</v>
      </c>
      <c r="C497" s="18">
        <v>445</v>
      </c>
      <c r="D497" s="18">
        <f t="shared" si="32"/>
        <v>14.833333333333334</v>
      </c>
      <c r="E497" s="5">
        <v>343.45</v>
      </c>
      <c r="H497" s="18">
        <f t="shared" si="33"/>
        <v>890</v>
      </c>
      <c r="I497" t="b">
        <f t="shared" si="34"/>
        <v>1</v>
      </c>
      <c r="J497" s="4">
        <f t="shared" si="35"/>
        <v>-0.61410112359550562</v>
      </c>
    </row>
    <row r="498" spans="1:10" hidden="1">
      <c r="A498" t="s">
        <v>1213</v>
      </c>
      <c r="B498" t="s">
        <v>1214</v>
      </c>
      <c r="C498" s="18">
        <v>613</v>
      </c>
      <c r="D498" s="18">
        <f t="shared" si="32"/>
        <v>20.433333333333334</v>
      </c>
      <c r="E498" s="5">
        <v>949.84</v>
      </c>
      <c r="H498" s="18">
        <f t="shared" si="33"/>
        <v>1226</v>
      </c>
      <c r="I498" t="b">
        <f t="shared" si="34"/>
        <v>1</v>
      </c>
      <c r="J498" s="4">
        <f t="shared" si="35"/>
        <v>-0.22525285481239798</v>
      </c>
    </row>
    <row r="499" spans="1:10" hidden="1">
      <c r="A499" s="112" t="s">
        <v>1241</v>
      </c>
      <c r="B499" s="35" t="s">
        <v>1242</v>
      </c>
      <c r="C499">
        <v>1377</v>
      </c>
      <c r="D499" s="18">
        <f t="shared" si="32"/>
        <v>45.9</v>
      </c>
      <c r="E499" s="5">
        <v>1202.32</v>
      </c>
      <c r="H499" s="18">
        <f t="shared" si="33"/>
        <v>2754</v>
      </c>
      <c r="I499" t="b">
        <f t="shared" si="34"/>
        <v>1</v>
      </c>
      <c r="J499" s="4">
        <f t="shared" si="35"/>
        <v>-0.56342774146695718</v>
      </c>
    </row>
    <row r="500" spans="1:10" hidden="1">
      <c r="A500" s="35" t="s">
        <v>1075</v>
      </c>
      <c r="B500" s="35" t="s">
        <v>1076</v>
      </c>
      <c r="C500" s="18">
        <v>415</v>
      </c>
      <c r="D500" s="18">
        <f t="shared" si="32"/>
        <v>13.833333333333334</v>
      </c>
      <c r="E500" s="5">
        <v>112.53</v>
      </c>
      <c r="H500" s="18">
        <f t="shared" si="33"/>
        <v>830</v>
      </c>
      <c r="I500" t="b">
        <f t="shared" si="34"/>
        <v>1</v>
      </c>
      <c r="J500" s="4">
        <f t="shared" si="35"/>
        <v>-0.86442168674698794</v>
      </c>
    </row>
    <row r="501" spans="1:10" hidden="1">
      <c r="A501" t="s">
        <v>1211</v>
      </c>
      <c r="B501" t="s">
        <v>1212</v>
      </c>
      <c r="C501" s="18">
        <v>741</v>
      </c>
      <c r="D501" s="18">
        <f t="shared" si="32"/>
        <v>24.7</v>
      </c>
      <c r="E501" s="5">
        <v>887.28</v>
      </c>
      <c r="H501" s="18">
        <f t="shared" si="33"/>
        <v>1482</v>
      </c>
      <c r="I501" t="b">
        <f t="shared" si="34"/>
        <v>1</v>
      </c>
      <c r="J501" s="4">
        <f t="shared" si="35"/>
        <v>-0.40129554655870447</v>
      </c>
    </row>
    <row r="502" spans="1:10" hidden="1">
      <c r="A502" t="s">
        <v>1087</v>
      </c>
      <c r="B502" t="s">
        <v>1088</v>
      </c>
      <c r="C502" s="18">
        <v>2285</v>
      </c>
      <c r="D502" s="18">
        <f t="shared" si="32"/>
        <v>76.166666666666671</v>
      </c>
      <c r="E502" s="5">
        <v>2219.42</v>
      </c>
      <c r="H502" s="18">
        <f t="shared" si="33"/>
        <v>4570</v>
      </c>
      <c r="I502" t="b">
        <f t="shared" si="34"/>
        <v>1</v>
      </c>
      <c r="J502" s="4">
        <f t="shared" si="35"/>
        <v>-0.51435010940919035</v>
      </c>
    </row>
    <row r="503" spans="1:10" hidden="1">
      <c r="A503" t="s">
        <v>948</v>
      </c>
      <c r="B503" t="s">
        <v>949</v>
      </c>
      <c r="C503" s="18">
        <v>3904</v>
      </c>
      <c r="D503" s="18">
        <f t="shared" si="32"/>
        <v>130.13333333333333</v>
      </c>
      <c r="E503" s="5">
        <v>1513.42</v>
      </c>
      <c r="H503" s="18">
        <f t="shared" si="33"/>
        <v>7808</v>
      </c>
      <c r="I503" t="b">
        <f t="shared" si="34"/>
        <v>1</v>
      </c>
      <c r="J503" s="4">
        <f t="shared" si="35"/>
        <v>-0.80617059426229509</v>
      </c>
    </row>
    <row r="504" spans="1:10" hidden="1">
      <c r="A504" s="26" t="s">
        <v>913</v>
      </c>
      <c r="B504" s="26" t="s">
        <v>914</v>
      </c>
      <c r="C504" s="18">
        <v>708</v>
      </c>
      <c r="D504" s="18">
        <f t="shared" si="32"/>
        <v>23.6</v>
      </c>
      <c r="E504" s="5">
        <v>1136.3699999999999</v>
      </c>
      <c r="H504" s="18">
        <f t="shared" si="33"/>
        <v>1416</v>
      </c>
      <c r="I504" t="b">
        <f t="shared" si="34"/>
        <v>1</v>
      </c>
      <c r="J504" s="4">
        <f t="shared" si="35"/>
        <v>-0.19747881355932206</v>
      </c>
    </row>
    <row r="505" spans="1:10" hidden="1">
      <c r="A505" t="s">
        <v>1203</v>
      </c>
      <c r="B505" t="s">
        <v>1204</v>
      </c>
      <c r="C505" s="18">
        <v>4376</v>
      </c>
      <c r="D505" s="18">
        <f t="shared" si="32"/>
        <v>145.86666666666667</v>
      </c>
      <c r="E505" s="5">
        <v>8688.24</v>
      </c>
      <c r="H505" s="18">
        <f t="shared" si="33"/>
        <v>8752</v>
      </c>
      <c r="I505" t="b">
        <f t="shared" si="34"/>
        <v>1</v>
      </c>
      <c r="J505" s="4">
        <f t="shared" si="35"/>
        <v>-7.285191956124315E-3</v>
      </c>
    </row>
    <row r="506" spans="1:10" hidden="1">
      <c r="A506" t="s">
        <v>954</v>
      </c>
      <c r="B506" t="s">
        <v>955</v>
      </c>
      <c r="C506" s="18">
        <v>697</v>
      </c>
      <c r="D506" s="18">
        <f t="shared" si="32"/>
        <v>23.233333333333334</v>
      </c>
      <c r="E506" s="5">
        <v>1239.44</v>
      </c>
      <c r="H506" s="18">
        <f t="shared" si="33"/>
        <v>1394</v>
      </c>
      <c r="I506" t="b">
        <f t="shared" si="34"/>
        <v>1</v>
      </c>
      <c r="J506" s="4">
        <f t="shared" si="35"/>
        <v>-0.11087517934002866</v>
      </c>
    </row>
    <row r="507" spans="1:10" hidden="1">
      <c r="A507" s="38" t="s">
        <v>1065</v>
      </c>
      <c r="B507" s="35" t="s">
        <v>1066</v>
      </c>
      <c r="C507" s="18">
        <v>221</v>
      </c>
      <c r="D507" s="18">
        <f t="shared" si="32"/>
        <v>7.3666666666666663</v>
      </c>
      <c r="E507" s="5">
        <v>242.76</v>
      </c>
      <c r="H507" s="18">
        <f t="shared" si="33"/>
        <v>442</v>
      </c>
      <c r="I507" t="b">
        <f t="shared" si="34"/>
        <v>1</v>
      </c>
      <c r="J507" s="4">
        <f t="shared" si="35"/>
        <v>-0.45076923076923081</v>
      </c>
    </row>
    <row r="508" spans="1:10" hidden="1">
      <c r="A508" s="38" t="s">
        <v>909</v>
      </c>
      <c r="B508" s="35" t="s">
        <v>910</v>
      </c>
      <c r="C508" s="18">
        <v>620</v>
      </c>
      <c r="D508" s="18">
        <f t="shared" si="32"/>
        <v>20.666666666666668</v>
      </c>
      <c r="E508" s="5">
        <v>1385.34</v>
      </c>
      <c r="H508" s="18">
        <f t="shared" si="33"/>
        <v>1240</v>
      </c>
      <c r="I508" t="b">
        <f t="shared" si="34"/>
        <v>1</v>
      </c>
      <c r="J508" s="4">
        <f t="shared" si="35"/>
        <v>0.11720967741935473</v>
      </c>
    </row>
    <row r="509" spans="1:10" hidden="1">
      <c r="A509" s="38" t="s">
        <v>950</v>
      </c>
      <c r="B509" s="35" t="s">
        <v>951</v>
      </c>
      <c r="C509" s="18">
        <v>354</v>
      </c>
      <c r="D509" s="18">
        <f t="shared" si="32"/>
        <v>11.8</v>
      </c>
      <c r="E509" s="5">
        <v>847.69</v>
      </c>
      <c r="H509" s="18">
        <f t="shared" si="33"/>
        <v>708</v>
      </c>
      <c r="I509" t="b">
        <f t="shared" si="34"/>
        <v>1</v>
      </c>
      <c r="J509" s="4">
        <f t="shared" si="35"/>
        <v>0.19730225988700578</v>
      </c>
    </row>
    <row r="510" spans="1:10" hidden="1">
      <c r="A510" s="38" t="s">
        <v>1085</v>
      </c>
      <c r="B510" s="35" t="s">
        <v>1086</v>
      </c>
      <c r="C510" s="18">
        <v>853</v>
      </c>
      <c r="D510" s="18">
        <f t="shared" si="32"/>
        <v>28.433333333333334</v>
      </c>
      <c r="E510" s="5">
        <v>1487.78</v>
      </c>
      <c r="H510" s="18">
        <f t="shared" si="33"/>
        <v>1706</v>
      </c>
      <c r="I510" t="b">
        <f t="shared" si="34"/>
        <v>1</v>
      </c>
      <c r="J510" s="4">
        <f t="shared" si="35"/>
        <v>-0.12791324736225085</v>
      </c>
    </row>
    <row r="511" spans="1:10">
      <c r="A511" s="38" t="s">
        <v>1136</v>
      </c>
      <c r="B511" s="35" t="s">
        <v>1137</v>
      </c>
      <c r="C511" s="18">
        <v>198</v>
      </c>
      <c r="D511" s="18">
        <f t="shared" si="32"/>
        <v>6.6</v>
      </c>
      <c r="E511" s="5">
        <v>664.72</v>
      </c>
      <c r="H511" s="18">
        <f t="shared" si="33"/>
        <v>396</v>
      </c>
      <c r="I511" t="b">
        <f t="shared" si="34"/>
        <v>0</v>
      </c>
      <c r="J511" s="4">
        <f t="shared" si="35"/>
        <v>0.67858585858585863</v>
      </c>
    </row>
    <row r="512" spans="1:10" hidden="1">
      <c r="A512" s="38" t="s">
        <v>981</v>
      </c>
      <c r="B512" s="35" t="s">
        <v>982</v>
      </c>
      <c r="C512" s="18">
        <v>387</v>
      </c>
      <c r="D512" s="18">
        <f t="shared" si="32"/>
        <v>12.9</v>
      </c>
      <c r="E512" s="5">
        <v>808.89</v>
      </c>
      <c r="H512" s="18">
        <f t="shared" si="33"/>
        <v>774</v>
      </c>
      <c r="I512" t="b">
        <f t="shared" si="34"/>
        <v>1</v>
      </c>
      <c r="J512" s="4">
        <f t="shared" si="35"/>
        <v>4.5077519379844944E-2</v>
      </c>
    </row>
    <row r="513" spans="1:10">
      <c r="A513" s="116" t="s">
        <v>983</v>
      </c>
      <c r="B513" s="35" t="s">
        <v>984</v>
      </c>
      <c r="C513" s="18">
        <v>42</v>
      </c>
      <c r="D513" s="18">
        <f t="shared" si="32"/>
        <v>1.4</v>
      </c>
      <c r="E513" s="5">
        <v>135.93</v>
      </c>
      <c r="H513" s="18">
        <f t="shared" si="33"/>
        <v>84</v>
      </c>
      <c r="I513" t="b">
        <f t="shared" si="34"/>
        <v>0</v>
      </c>
      <c r="J513" s="4">
        <f t="shared" si="35"/>
        <v>0.61821428571428583</v>
      </c>
    </row>
    <row r="514" spans="1:10">
      <c r="A514" s="116" t="s">
        <v>985</v>
      </c>
      <c r="B514" s="35" t="s">
        <v>986</v>
      </c>
      <c r="C514" s="18">
        <v>64</v>
      </c>
      <c r="D514" s="18">
        <f t="shared" si="32"/>
        <v>2.1333333333333333</v>
      </c>
      <c r="E514" s="5">
        <v>266.36</v>
      </c>
      <c r="H514" s="18">
        <f t="shared" si="33"/>
        <v>128</v>
      </c>
      <c r="I514" t="b">
        <f t="shared" si="34"/>
        <v>0</v>
      </c>
      <c r="J514" s="4">
        <f t="shared" si="35"/>
        <v>1.0809375000000001</v>
      </c>
    </row>
    <row r="515" spans="1:10">
      <c r="A515" s="38" t="s">
        <v>987</v>
      </c>
      <c r="B515" s="35" t="s">
        <v>988</v>
      </c>
      <c r="C515" s="18">
        <v>328</v>
      </c>
      <c r="D515" s="18">
        <f t="shared" ref="D515:D556" si="36">C515/30</f>
        <v>10.933333333333334</v>
      </c>
      <c r="E515" s="5">
        <v>1263.01</v>
      </c>
      <c r="H515" s="18">
        <f t="shared" ref="H515:H578" si="37">IF((C515/30)&gt;100,C515*2,C515*2)</f>
        <v>656</v>
      </c>
      <c r="I515" t="b">
        <f t="shared" si="34"/>
        <v>0</v>
      </c>
      <c r="J515" s="4">
        <f t="shared" si="35"/>
        <v>0.92532012195121949</v>
      </c>
    </row>
    <row r="516" spans="1:10" hidden="1">
      <c r="A516" t="s">
        <v>1414</v>
      </c>
      <c r="B516" t="s">
        <v>1415</v>
      </c>
      <c r="C516">
        <v>3442</v>
      </c>
      <c r="D516" s="18">
        <f t="shared" si="36"/>
        <v>114.73333333333333</v>
      </c>
      <c r="E516" s="5">
        <v>1324.5</v>
      </c>
      <c r="H516" s="18">
        <f t="shared" si="37"/>
        <v>6884</v>
      </c>
      <c r="I516" t="b">
        <f t="shared" si="34"/>
        <v>1</v>
      </c>
      <c r="J516" s="4">
        <f t="shared" si="35"/>
        <v>-0.80759732713538646</v>
      </c>
    </row>
    <row r="517" spans="1:10" hidden="1">
      <c r="A517" t="s">
        <v>1512</v>
      </c>
      <c r="B517" t="s">
        <v>1513</v>
      </c>
      <c r="C517">
        <v>1060</v>
      </c>
      <c r="D517" s="18">
        <f t="shared" si="36"/>
        <v>35.333333333333336</v>
      </c>
      <c r="E517" s="5">
        <v>325.48</v>
      </c>
      <c r="H517" s="18">
        <f t="shared" si="37"/>
        <v>2120</v>
      </c>
      <c r="I517" t="b">
        <f t="shared" si="34"/>
        <v>1</v>
      </c>
      <c r="J517" s="4">
        <f t="shared" si="35"/>
        <v>-0.84647169811320755</v>
      </c>
    </row>
    <row r="518" spans="1:10" hidden="1">
      <c r="A518" t="s">
        <v>1470</v>
      </c>
      <c r="B518" t="s">
        <v>1471</v>
      </c>
      <c r="C518">
        <v>2051</v>
      </c>
      <c r="D518" s="18">
        <f t="shared" si="36"/>
        <v>68.36666666666666</v>
      </c>
      <c r="E518" s="5">
        <v>1798.87</v>
      </c>
      <c r="H518" s="18">
        <f t="shared" si="37"/>
        <v>4102</v>
      </c>
      <c r="I518" t="b">
        <f t="shared" si="34"/>
        <v>1</v>
      </c>
      <c r="J518" s="4">
        <f t="shared" si="35"/>
        <v>-0.56146513895660655</v>
      </c>
    </row>
    <row r="519" spans="1:10" hidden="1">
      <c r="A519" t="s">
        <v>1507</v>
      </c>
      <c r="B519" t="s">
        <v>1508</v>
      </c>
      <c r="C519">
        <v>3598</v>
      </c>
      <c r="D519" s="18">
        <f t="shared" si="36"/>
        <v>119.93333333333334</v>
      </c>
      <c r="E519" s="5">
        <v>2646.5</v>
      </c>
      <c r="H519" s="18">
        <f t="shared" si="37"/>
        <v>7196</v>
      </c>
      <c r="I519" t="b">
        <f t="shared" si="34"/>
        <v>1</v>
      </c>
      <c r="J519" s="4">
        <f t="shared" si="35"/>
        <v>-0.63222623679822121</v>
      </c>
    </row>
    <row r="520" spans="1:10" hidden="1">
      <c r="A520" s="39" t="s">
        <v>1254</v>
      </c>
      <c r="B520" s="35" t="s">
        <v>1255</v>
      </c>
      <c r="C520">
        <v>1317</v>
      </c>
      <c r="D520" s="18">
        <f t="shared" si="36"/>
        <v>43.9</v>
      </c>
      <c r="E520" s="5">
        <v>1370.33</v>
      </c>
      <c r="H520" s="18">
        <f t="shared" si="37"/>
        <v>2634</v>
      </c>
      <c r="I520" t="b">
        <f t="shared" si="34"/>
        <v>1</v>
      </c>
      <c r="J520" s="4">
        <f t="shared" si="35"/>
        <v>-0.47975322703113144</v>
      </c>
    </row>
    <row r="521" spans="1:10" hidden="1">
      <c r="A521" t="s">
        <v>1474</v>
      </c>
      <c r="B521" t="s">
        <v>1475</v>
      </c>
      <c r="C521">
        <v>2670</v>
      </c>
      <c r="D521" s="18">
        <f t="shared" si="36"/>
        <v>89</v>
      </c>
      <c r="E521" s="5">
        <v>2704.24</v>
      </c>
      <c r="H521" s="18">
        <f t="shared" si="37"/>
        <v>5340</v>
      </c>
      <c r="I521" t="b">
        <f t="shared" si="34"/>
        <v>1</v>
      </c>
      <c r="J521" s="4">
        <f t="shared" si="35"/>
        <v>-0.49358801498127347</v>
      </c>
    </row>
    <row r="522" spans="1:10" hidden="1">
      <c r="A522" t="s">
        <v>1389</v>
      </c>
      <c r="B522" t="s">
        <v>1390</v>
      </c>
      <c r="C522">
        <v>1157</v>
      </c>
      <c r="D522" s="18">
        <f t="shared" si="36"/>
        <v>38.56666666666667</v>
      </c>
      <c r="E522" s="5">
        <v>526.24</v>
      </c>
      <c r="H522" s="18">
        <f t="shared" si="37"/>
        <v>2314</v>
      </c>
      <c r="I522" t="b">
        <f t="shared" si="34"/>
        <v>1</v>
      </c>
      <c r="J522" s="4">
        <f t="shared" si="35"/>
        <v>-0.77258426966292137</v>
      </c>
    </row>
    <row r="523" spans="1:10" hidden="1">
      <c r="A523" t="s">
        <v>1448</v>
      </c>
      <c r="B523" t="s">
        <v>1449</v>
      </c>
      <c r="C523">
        <v>1566</v>
      </c>
      <c r="D523" s="18">
        <f t="shared" si="36"/>
        <v>52.2</v>
      </c>
      <c r="E523" s="5">
        <v>1962.36</v>
      </c>
      <c r="H523" s="18">
        <f t="shared" si="37"/>
        <v>3132</v>
      </c>
      <c r="I523" t="b">
        <f t="shared" si="34"/>
        <v>1</v>
      </c>
      <c r="J523" s="4">
        <f t="shared" si="35"/>
        <v>-0.37344827586206897</v>
      </c>
    </row>
    <row r="524" spans="1:10" hidden="1">
      <c r="A524" t="s">
        <v>1363</v>
      </c>
      <c r="B524" t="s">
        <v>1364</v>
      </c>
      <c r="C524">
        <v>2344</v>
      </c>
      <c r="D524" s="18">
        <f t="shared" si="36"/>
        <v>78.13333333333334</v>
      </c>
      <c r="E524" s="5">
        <v>2027.99</v>
      </c>
      <c r="H524" s="18">
        <f t="shared" si="37"/>
        <v>4688</v>
      </c>
      <c r="I524" t="b">
        <f t="shared" si="34"/>
        <v>1</v>
      </c>
      <c r="J524" s="4">
        <f t="shared" si="35"/>
        <v>-0.56740827645051195</v>
      </c>
    </row>
    <row r="525" spans="1:10" hidden="1">
      <c r="A525" t="s">
        <v>1503</v>
      </c>
      <c r="B525" t="s">
        <v>1504</v>
      </c>
      <c r="C525">
        <v>2854</v>
      </c>
      <c r="D525" s="18">
        <f t="shared" si="36"/>
        <v>95.13333333333334</v>
      </c>
      <c r="E525" s="5">
        <v>3330.89</v>
      </c>
      <c r="H525" s="18">
        <f t="shared" si="37"/>
        <v>5708</v>
      </c>
      <c r="I525" t="b">
        <f t="shared" si="34"/>
        <v>1</v>
      </c>
      <c r="J525" s="4">
        <f t="shared" si="35"/>
        <v>-0.41645234758234062</v>
      </c>
    </row>
    <row r="526" spans="1:10" hidden="1">
      <c r="A526" t="s">
        <v>1400</v>
      </c>
      <c r="B526" t="s">
        <v>1401</v>
      </c>
      <c r="C526">
        <v>2312</v>
      </c>
      <c r="D526" s="18">
        <f t="shared" si="36"/>
        <v>77.066666666666663</v>
      </c>
      <c r="E526" s="5">
        <v>1412.19</v>
      </c>
      <c r="H526" s="18">
        <f t="shared" si="37"/>
        <v>4624</v>
      </c>
      <c r="I526" t="b">
        <f t="shared" si="34"/>
        <v>1</v>
      </c>
      <c r="J526" s="4">
        <f t="shared" si="35"/>
        <v>-0.6945955882352941</v>
      </c>
    </row>
    <row r="527" spans="1:10" hidden="1">
      <c r="A527" s="38" t="s">
        <v>1459</v>
      </c>
      <c r="B527" s="35" t="s">
        <v>1460</v>
      </c>
      <c r="C527">
        <v>2218</v>
      </c>
      <c r="D527" s="18">
        <f t="shared" si="36"/>
        <v>73.933333333333337</v>
      </c>
      <c r="E527" s="5">
        <v>5303.19</v>
      </c>
      <c r="H527" s="18">
        <f t="shared" si="37"/>
        <v>4436</v>
      </c>
      <c r="I527" t="b">
        <f t="shared" si="34"/>
        <v>1</v>
      </c>
      <c r="J527" s="4">
        <f t="shared" si="35"/>
        <v>0.19548917944093769</v>
      </c>
    </row>
    <row r="528" spans="1:10" hidden="1">
      <c r="A528" t="s">
        <v>1495</v>
      </c>
      <c r="B528" t="s">
        <v>1496</v>
      </c>
      <c r="C528">
        <v>1843</v>
      </c>
      <c r="D528" s="18">
        <f t="shared" si="36"/>
        <v>61.43333333333333</v>
      </c>
      <c r="E528" s="5">
        <v>1915.18</v>
      </c>
      <c r="H528" s="18">
        <f t="shared" si="37"/>
        <v>3686</v>
      </c>
      <c r="I528" t="b">
        <f t="shared" si="34"/>
        <v>1</v>
      </c>
      <c r="J528" s="4">
        <f t="shared" si="35"/>
        <v>-0.48041779706999455</v>
      </c>
    </row>
    <row r="529" spans="1:10" hidden="1">
      <c r="A529" t="s">
        <v>1392</v>
      </c>
      <c r="B529" t="s">
        <v>1393</v>
      </c>
      <c r="C529">
        <v>1213</v>
      </c>
      <c r="D529" s="18">
        <f t="shared" si="36"/>
        <v>40.43333333333333</v>
      </c>
      <c r="E529" s="5">
        <v>1432.76</v>
      </c>
      <c r="H529" s="18">
        <f t="shared" si="37"/>
        <v>2426</v>
      </c>
      <c r="I529" t="b">
        <f t="shared" si="34"/>
        <v>1</v>
      </c>
      <c r="J529" s="4">
        <f t="shared" si="35"/>
        <v>-0.40941467436108825</v>
      </c>
    </row>
    <row r="530" spans="1:10" hidden="1">
      <c r="A530" t="s">
        <v>1434</v>
      </c>
      <c r="B530" t="s">
        <v>1435</v>
      </c>
      <c r="C530">
        <v>991</v>
      </c>
      <c r="D530" s="18">
        <f t="shared" si="36"/>
        <v>33.033333333333331</v>
      </c>
      <c r="E530" s="5">
        <v>898.36</v>
      </c>
      <c r="H530" s="18">
        <f t="shared" si="37"/>
        <v>1982</v>
      </c>
      <c r="I530" t="b">
        <f t="shared" si="34"/>
        <v>1</v>
      </c>
      <c r="J530" s="4">
        <f t="shared" si="35"/>
        <v>-0.54674066599394555</v>
      </c>
    </row>
    <row r="531" spans="1:10" hidden="1">
      <c r="A531" t="s">
        <v>1499</v>
      </c>
      <c r="B531" t="s">
        <v>1500</v>
      </c>
      <c r="C531">
        <v>1938</v>
      </c>
      <c r="D531" s="18">
        <f t="shared" si="36"/>
        <v>64.599999999999994</v>
      </c>
      <c r="E531" s="5">
        <v>1088.33</v>
      </c>
      <c r="H531" s="18">
        <f t="shared" si="37"/>
        <v>3876</v>
      </c>
      <c r="I531" t="b">
        <f t="shared" si="34"/>
        <v>1</v>
      </c>
      <c r="J531" s="4">
        <f t="shared" si="35"/>
        <v>-0.71921310629514967</v>
      </c>
    </row>
    <row r="532" spans="1:10" hidden="1">
      <c r="A532" s="38" t="s">
        <v>1371</v>
      </c>
      <c r="B532" s="35" t="s">
        <v>1372</v>
      </c>
      <c r="C532">
        <v>1289</v>
      </c>
      <c r="D532" s="18">
        <f t="shared" si="36"/>
        <v>42.966666666666669</v>
      </c>
      <c r="E532" s="5">
        <v>807.75</v>
      </c>
      <c r="H532" s="18">
        <f t="shared" si="37"/>
        <v>2578</v>
      </c>
      <c r="I532" t="b">
        <f t="shared" si="34"/>
        <v>1</v>
      </c>
      <c r="J532" s="4">
        <f t="shared" si="35"/>
        <v>-0.6866757176105508</v>
      </c>
    </row>
    <row r="533" spans="1:10" hidden="1">
      <c r="A533" t="s">
        <v>1464</v>
      </c>
      <c r="B533" t="s">
        <v>1465</v>
      </c>
      <c r="C533">
        <v>1180</v>
      </c>
      <c r="D533" s="18">
        <f t="shared" si="36"/>
        <v>39.333333333333336</v>
      </c>
      <c r="E533" s="5">
        <v>1210.3</v>
      </c>
      <c r="H533" s="18">
        <f t="shared" si="37"/>
        <v>2360</v>
      </c>
      <c r="I533" t="b">
        <f t="shared" si="34"/>
        <v>1</v>
      </c>
      <c r="J533" s="4">
        <f t="shared" si="35"/>
        <v>-0.48716101694915259</v>
      </c>
    </row>
    <row r="534" spans="1:10" hidden="1">
      <c r="A534" t="s">
        <v>1424</v>
      </c>
      <c r="B534" t="s">
        <v>1425</v>
      </c>
      <c r="C534">
        <v>1670</v>
      </c>
      <c r="D534" s="18">
        <f t="shared" si="36"/>
        <v>55.666666666666664</v>
      </c>
      <c r="E534" s="5">
        <v>2199.11</v>
      </c>
      <c r="H534" s="18">
        <f t="shared" si="37"/>
        <v>3340</v>
      </c>
      <c r="I534" t="b">
        <f t="shared" si="34"/>
        <v>1</v>
      </c>
      <c r="J534" s="4">
        <f t="shared" si="35"/>
        <v>-0.3415838323353293</v>
      </c>
    </row>
    <row r="535" spans="1:10" hidden="1">
      <c r="A535" t="s">
        <v>1377</v>
      </c>
      <c r="B535" t="s">
        <v>1378</v>
      </c>
      <c r="C535">
        <v>1065</v>
      </c>
      <c r="D535" s="18">
        <f t="shared" si="36"/>
        <v>35.5</v>
      </c>
      <c r="E535" s="5">
        <v>937.71</v>
      </c>
      <c r="H535" s="18">
        <f t="shared" si="37"/>
        <v>2130</v>
      </c>
      <c r="I535" t="b">
        <f t="shared" si="34"/>
        <v>1</v>
      </c>
      <c r="J535" s="4">
        <f t="shared" si="35"/>
        <v>-0.55976056338028168</v>
      </c>
    </row>
    <row r="536" spans="1:10" hidden="1">
      <c r="A536" t="s">
        <v>1436</v>
      </c>
      <c r="B536" t="s">
        <v>1437</v>
      </c>
      <c r="C536">
        <v>1773</v>
      </c>
      <c r="D536" s="18">
        <f t="shared" si="36"/>
        <v>59.1</v>
      </c>
      <c r="E536" s="5">
        <v>1282.8800000000001</v>
      </c>
      <c r="H536" s="18">
        <f t="shared" si="37"/>
        <v>3546</v>
      </c>
      <c r="I536" t="b">
        <f t="shared" si="34"/>
        <v>1</v>
      </c>
      <c r="J536" s="4">
        <f t="shared" si="35"/>
        <v>-0.63821771009588257</v>
      </c>
    </row>
    <row r="537" spans="1:10" hidden="1">
      <c r="A537" t="s">
        <v>1404</v>
      </c>
      <c r="B537" t="s">
        <v>1405</v>
      </c>
      <c r="C537">
        <v>191</v>
      </c>
      <c r="D537" s="18">
        <f t="shared" si="36"/>
        <v>6.3666666666666663</v>
      </c>
      <c r="E537" s="5">
        <v>257</v>
      </c>
      <c r="H537" s="18">
        <f t="shared" si="37"/>
        <v>382</v>
      </c>
      <c r="I537" t="b">
        <f t="shared" si="34"/>
        <v>1</v>
      </c>
      <c r="J537" s="4">
        <f t="shared" si="35"/>
        <v>-0.32722513089005234</v>
      </c>
    </row>
    <row r="538" spans="1:10" hidden="1">
      <c r="A538" t="s">
        <v>1485</v>
      </c>
      <c r="B538" t="s">
        <v>1486</v>
      </c>
      <c r="C538">
        <v>920</v>
      </c>
      <c r="D538" s="18">
        <f t="shared" si="36"/>
        <v>30.666666666666668</v>
      </c>
      <c r="E538" s="5">
        <v>424.34</v>
      </c>
      <c r="H538" s="18">
        <f t="shared" si="37"/>
        <v>1840</v>
      </c>
      <c r="I538" t="b">
        <f t="shared" si="34"/>
        <v>1</v>
      </c>
      <c r="J538" s="4">
        <f t="shared" si="35"/>
        <v>-0.76938043478260876</v>
      </c>
    </row>
    <row r="539" spans="1:10" hidden="1">
      <c r="A539" t="s">
        <v>1365</v>
      </c>
      <c r="B539" t="s">
        <v>1366</v>
      </c>
      <c r="C539">
        <v>767</v>
      </c>
      <c r="D539" s="18">
        <f t="shared" si="36"/>
        <v>25.566666666666666</v>
      </c>
      <c r="E539" s="5">
        <v>447.11</v>
      </c>
      <c r="H539" s="18">
        <f t="shared" si="37"/>
        <v>1534</v>
      </c>
      <c r="I539" t="b">
        <f t="shared" si="34"/>
        <v>1</v>
      </c>
      <c r="J539" s="4">
        <f t="shared" si="35"/>
        <v>-0.70853324641460236</v>
      </c>
    </row>
    <row r="540" spans="1:10" hidden="1">
      <c r="A540" t="s">
        <v>1497</v>
      </c>
      <c r="B540" t="s">
        <v>1498</v>
      </c>
      <c r="C540">
        <v>1396</v>
      </c>
      <c r="D540" s="18">
        <f t="shared" si="36"/>
        <v>46.533333333333331</v>
      </c>
      <c r="E540" s="5">
        <v>1966.27</v>
      </c>
      <c r="H540" s="18">
        <f t="shared" si="37"/>
        <v>2792</v>
      </c>
      <c r="I540" t="b">
        <f t="shared" si="34"/>
        <v>1</v>
      </c>
      <c r="J540" s="4">
        <f t="shared" si="35"/>
        <v>-0.29574856733524357</v>
      </c>
    </row>
    <row r="541" spans="1:10" hidden="1">
      <c r="A541" t="s">
        <v>1510</v>
      </c>
      <c r="B541" t="s">
        <v>1511</v>
      </c>
      <c r="C541">
        <v>1682</v>
      </c>
      <c r="D541" s="18">
        <f t="shared" si="36"/>
        <v>56.06666666666667</v>
      </c>
      <c r="E541" s="5">
        <v>910.49</v>
      </c>
      <c r="H541" s="18">
        <f t="shared" si="37"/>
        <v>3364</v>
      </c>
      <c r="I541" t="b">
        <f t="shared" si="34"/>
        <v>1</v>
      </c>
      <c r="J541" s="4">
        <f t="shared" si="35"/>
        <v>-0.72934304399524374</v>
      </c>
    </row>
    <row r="542" spans="1:10">
      <c r="A542" s="38" t="s">
        <v>1385</v>
      </c>
      <c r="B542" s="26" t="s">
        <v>1386</v>
      </c>
      <c r="C542">
        <v>800</v>
      </c>
      <c r="D542" s="18">
        <f t="shared" si="36"/>
        <v>26.666666666666668</v>
      </c>
      <c r="E542" s="5">
        <v>2246.34</v>
      </c>
      <c r="H542" s="18">
        <f t="shared" si="37"/>
        <v>1600</v>
      </c>
      <c r="I542" t="b">
        <f t="shared" si="34"/>
        <v>0</v>
      </c>
      <c r="J542" s="4">
        <f t="shared" si="35"/>
        <v>0.4039625</v>
      </c>
    </row>
    <row r="543" spans="1:10" hidden="1">
      <c r="A543" t="s">
        <v>1501</v>
      </c>
      <c r="B543" t="s">
        <v>1502</v>
      </c>
      <c r="C543">
        <v>2780</v>
      </c>
      <c r="D543" s="18">
        <f t="shared" si="36"/>
        <v>92.666666666666671</v>
      </c>
      <c r="E543" s="5">
        <v>2056.31</v>
      </c>
      <c r="H543" s="18">
        <f t="shared" si="37"/>
        <v>5560</v>
      </c>
      <c r="I543" t="b">
        <f t="shared" si="34"/>
        <v>1</v>
      </c>
      <c r="J543" s="4">
        <f t="shared" si="35"/>
        <v>-0.63016007194244605</v>
      </c>
    </row>
    <row r="544" spans="1:10" hidden="1">
      <c r="A544" t="s">
        <v>1455</v>
      </c>
      <c r="B544" t="s">
        <v>1456</v>
      </c>
      <c r="C544">
        <v>1121</v>
      </c>
      <c r="D544" s="18">
        <f t="shared" si="36"/>
        <v>37.366666666666667</v>
      </c>
      <c r="E544" s="5">
        <v>857.19</v>
      </c>
      <c r="H544" s="18">
        <f t="shared" si="37"/>
        <v>2242</v>
      </c>
      <c r="I544" t="b">
        <f t="shared" si="34"/>
        <v>1</v>
      </c>
      <c r="J544" s="4">
        <f t="shared" si="35"/>
        <v>-0.61766726137377337</v>
      </c>
    </row>
    <row r="545" spans="1:10" hidden="1">
      <c r="A545" t="s">
        <v>1402</v>
      </c>
      <c r="B545" t="s">
        <v>1403</v>
      </c>
      <c r="C545">
        <v>664</v>
      </c>
      <c r="D545" s="18">
        <f t="shared" si="36"/>
        <v>22.133333333333333</v>
      </c>
      <c r="E545" s="5">
        <v>1104.6500000000001</v>
      </c>
      <c r="H545" s="18">
        <f t="shared" si="37"/>
        <v>1328</v>
      </c>
      <c r="I545" t="b">
        <f t="shared" si="34"/>
        <v>1</v>
      </c>
      <c r="J545" s="4">
        <f t="shared" si="35"/>
        <v>-0.16818524096385534</v>
      </c>
    </row>
    <row r="546" spans="1:10" hidden="1">
      <c r="A546" t="s">
        <v>1306</v>
      </c>
      <c r="B546" t="s">
        <v>1307</v>
      </c>
      <c r="C546">
        <v>630</v>
      </c>
      <c r="D546" s="18">
        <f t="shared" si="36"/>
        <v>21</v>
      </c>
      <c r="E546" s="5">
        <v>932.39</v>
      </c>
      <c r="H546" s="18">
        <f t="shared" si="37"/>
        <v>1260</v>
      </c>
      <c r="I546" t="b">
        <f t="shared" si="34"/>
        <v>1</v>
      </c>
      <c r="J546" s="4">
        <f t="shared" si="35"/>
        <v>-0.26000793650793652</v>
      </c>
    </row>
    <row r="547" spans="1:10" hidden="1">
      <c r="A547" t="s">
        <v>1320</v>
      </c>
      <c r="B547" t="s">
        <v>1321</v>
      </c>
      <c r="C547">
        <v>63</v>
      </c>
      <c r="D547" s="18">
        <f t="shared" si="36"/>
        <v>2.1</v>
      </c>
      <c r="E547" s="5">
        <v>3.28</v>
      </c>
      <c r="H547" s="18">
        <f t="shared" si="37"/>
        <v>126</v>
      </c>
      <c r="I547" t="b">
        <f t="shared" si="34"/>
        <v>1</v>
      </c>
      <c r="J547" s="4">
        <f t="shared" si="35"/>
        <v>-0.97396825396825393</v>
      </c>
    </row>
    <row r="548" spans="1:10" hidden="1">
      <c r="A548" t="s">
        <v>1280</v>
      </c>
      <c r="B548" t="s">
        <v>1281</v>
      </c>
      <c r="C548">
        <v>194</v>
      </c>
      <c r="D548" s="18">
        <f t="shared" si="36"/>
        <v>6.4666666666666668</v>
      </c>
      <c r="E548" s="5">
        <v>0</v>
      </c>
      <c r="H548" s="18">
        <f t="shared" si="37"/>
        <v>388</v>
      </c>
      <c r="I548" t="b">
        <f t="shared" si="34"/>
        <v>1</v>
      </c>
      <c r="J548" s="4">
        <f t="shared" si="35"/>
        <v>-1</v>
      </c>
    </row>
    <row r="549" spans="1:10" hidden="1">
      <c r="A549" t="s">
        <v>1422</v>
      </c>
      <c r="B549" t="s">
        <v>1423</v>
      </c>
      <c r="C549">
        <v>905</v>
      </c>
      <c r="D549" s="18">
        <f t="shared" si="36"/>
        <v>30.166666666666668</v>
      </c>
      <c r="E549" s="5">
        <v>1092.29</v>
      </c>
      <c r="H549" s="18">
        <f t="shared" si="37"/>
        <v>1810</v>
      </c>
      <c r="I549" t="b">
        <f t="shared" si="34"/>
        <v>1</v>
      </c>
      <c r="J549" s="4">
        <f t="shared" si="35"/>
        <v>-0.39652486187845304</v>
      </c>
    </row>
    <row r="550" spans="1:10" hidden="1">
      <c r="A550" t="s">
        <v>1327</v>
      </c>
      <c r="B550" t="s">
        <v>1328</v>
      </c>
      <c r="C550">
        <v>829</v>
      </c>
      <c r="D550" s="18">
        <f t="shared" si="36"/>
        <v>27.633333333333333</v>
      </c>
      <c r="E550" s="5">
        <v>1308.0899999999999</v>
      </c>
      <c r="H550" s="18">
        <f t="shared" si="37"/>
        <v>1658</v>
      </c>
      <c r="I550" t="b">
        <f t="shared" si="34"/>
        <v>1</v>
      </c>
      <c r="J550" s="4">
        <f t="shared" si="35"/>
        <v>-0.21104342581423408</v>
      </c>
    </row>
    <row r="551" spans="1:10" hidden="1">
      <c r="A551" t="s">
        <v>1367</v>
      </c>
      <c r="B551" t="s">
        <v>1368</v>
      </c>
      <c r="C551">
        <v>991</v>
      </c>
      <c r="D551" s="18">
        <f t="shared" si="36"/>
        <v>33.033333333333331</v>
      </c>
      <c r="E551" s="5">
        <v>529.38</v>
      </c>
      <c r="H551" s="18">
        <f t="shared" si="37"/>
        <v>1982</v>
      </c>
      <c r="I551" t="b">
        <f t="shared" si="34"/>
        <v>1</v>
      </c>
      <c r="J551" s="4">
        <f t="shared" si="35"/>
        <v>-0.73290615539858728</v>
      </c>
    </row>
    <row r="552" spans="1:10" hidden="1">
      <c r="A552" t="s">
        <v>1432</v>
      </c>
      <c r="B552" t="s">
        <v>1433</v>
      </c>
      <c r="C552">
        <v>951</v>
      </c>
      <c r="D552" s="18">
        <f t="shared" si="36"/>
        <v>31.7</v>
      </c>
      <c r="E552" s="5">
        <v>717.58</v>
      </c>
      <c r="H552" s="18">
        <f t="shared" si="37"/>
        <v>1902</v>
      </c>
      <c r="I552" t="b">
        <f t="shared" si="34"/>
        <v>1</v>
      </c>
      <c r="J552" s="4">
        <f t="shared" si="35"/>
        <v>-0.62272344900105148</v>
      </c>
    </row>
    <row r="553" spans="1:10" hidden="1">
      <c r="A553" t="s">
        <v>1489</v>
      </c>
      <c r="B553" t="s">
        <v>1490</v>
      </c>
      <c r="C553">
        <v>752</v>
      </c>
      <c r="D553" s="18">
        <f t="shared" si="36"/>
        <v>25.066666666666666</v>
      </c>
      <c r="E553" s="5">
        <v>744.49</v>
      </c>
      <c r="H553" s="18">
        <f t="shared" si="37"/>
        <v>1504</v>
      </c>
      <c r="I553" t="b">
        <f t="shared" si="34"/>
        <v>1</v>
      </c>
      <c r="J553" s="4">
        <f t="shared" si="35"/>
        <v>-0.50499335106382981</v>
      </c>
    </row>
    <row r="554" spans="1:10" hidden="1">
      <c r="A554" s="26" t="s">
        <v>1310</v>
      </c>
      <c r="B554" s="26" t="s">
        <v>1311</v>
      </c>
      <c r="C554">
        <v>167</v>
      </c>
      <c r="D554" s="18">
        <f t="shared" si="36"/>
        <v>5.5666666666666664</v>
      </c>
      <c r="E554" s="5">
        <v>329.47</v>
      </c>
      <c r="H554" s="18">
        <f t="shared" si="37"/>
        <v>334</v>
      </c>
      <c r="I554" t="b">
        <f t="shared" si="34"/>
        <v>1</v>
      </c>
      <c r="J554" s="4">
        <f t="shared" si="35"/>
        <v>-1.3562874251496937E-2</v>
      </c>
    </row>
    <row r="555" spans="1:10" hidden="1">
      <c r="A555" t="s">
        <v>1394</v>
      </c>
      <c r="B555" t="s">
        <v>1395</v>
      </c>
      <c r="C555">
        <v>1177</v>
      </c>
      <c r="D555" s="18">
        <f t="shared" si="36"/>
        <v>39.233333333333334</v>
      </c>
      <c r="E555" s="5">
        <v>705.01</v>
      </c>
      <c r="H555" s="18">
        <f t="shared" si="37"/>
        <v>2354</v>
      </c>
      <c r="I555" t="b">
        <f t="shared" ref="I555:I557" si="38">IF(E555&gt;1.2*H555,FALSE,TRUE)</f>
        <v>1</v>
      </c>
      <c r="J555" s="4">
        <f t="shared" ref="J555:J557" si="39">E555/H555-1</f>
        <v>-0.70050552251486831</v>
      </c>
    </row>
    <row r="556" spans="1:10" hidden="1">
      <c r="A556" t="s">
        <v>1505</v>
      </c>
      <c r="B556" t="s">
        <v>1506</v>
      </c>
      <c r="C556">
        <v>880</v>
      </c>
      <c r="D556" s="18">
        <f t="shared" si="36"/>
        <v>29.333333333333332</v>
      </c>
      <c r="E556" s="5">
        <v>537.94000000000005</v>
      </c>
      <c r="H556" s="18">
        <f t="shared" si="37"/>
        <v>1760</v>
      </c>
      <c r="I556" t="b">
        <f t="shared" si="38"/>
        <v>1</v>
      </c>
      <c r="J556" s="4">
        <f t="shared" si="39"/>
        <v>-0.69435227272727262</v>
      </c>
    </row>
    <row r="557" spans="1:10" hidden="1">
      <c r="A557" s="38" t="s">
        <v>1257</v>
      </c>
      <c r="B557" s="35" t="s">
        <v>1258</v>
      </c>
      <c r="C557">
        <v>452</v>
      </c>
      <c r="D557" s="18">
        <f>C557/30</f>
        <v>15.066666666666666</v>
      </c>
      <c r="E557" s="5">
        <v>552.80999999999995</v>
      </c>
      <c r="H557" s="18">
        <f t="shared" si="37"/>
        <v>904</v>
      </c>
      <c r="I557" t="b">
        <f t="shared" si="38"/>
        <v>1</v>
      </c>
      <c r="J557" s="4">
        <f t="shared" si="39"/>
        <v>-0.38848451327433631</v>
      </c>
    </row>
    <row r="558" spans="1:10" hidden="1">
      <c r="A558" t="s">
        <v>1412</v>
      </c>
      <c r="B558" t="s">
        <v>1413</v>
      </c>
      <c r="C558">
        <v>1404</v>
      </c>
      <c r="D558" s="18">
        <f t="shared" ref="D558:D621" si="40">C558/30</f>
        <v>46.8</v>
      </c>
      <c r="E558" s="113">
        <v>1087.28</v>
      </c>
      <c r="H558" s="18">
        <f t="shared" si="37"/>
        <v>2808</v>
      </c>
      <c r="I558" t="b">
        <f t="shared" ref="I558:I621" si="41">IF(E558&gt;1.2*H558,FALSE,TRUE)</f>
        <v>1</v>
      </c>
      <c r="J558" s="4">
        <f t="shared" ref="J558:J621" si="42">E558/H558-1</f>
        <v>-0.61279202279202283</v>
      </c>
    </row>
    <row r="559" spans="1:10" hidden="1">
      <c r="A559" t="s">
        <v>1316</v>
      </c>
      <c r="B559" t="s">
        <v>1317</v>
      </c>
      <c r="C559">
        <v>644</v>
      </c>
      <c r="D559" s="18">
        <f t="shared" si="40"/>
        <v>21.466666666666665</v>
      </c>
      <c r="E559" s="113">
        <v>464.36</v>
      </c>
      <c r="H559" s="18">
        <f t="shared" si="37"/>
        <v>1288</v>
      </c>
      <c r="I559" t="b">
        <f t="shared" si="41"/>
        <v>1</v>
      </c>
      <c r="J559" s="4">
        <f t="shared" si="42"/>
        <v>-0.63947204968944105</v>
      </c>
    </row>
    <row r="560" spans="1:10" hidden="1">
      <c r="A560" t="s">
        <v>1787</v>
      </c>
      <c r="B560" t="s">
        <v>1708</v>
      </c>
      <c r="C560">
        <v>0</v>
      </c>
      <c r="D560" s="18">
        <f t="shared" si="40"/>
        <v>0</v>
      </c>
      <c r="E560" s="113">
        <v>0</v>
      </c>
      <c r="H560" s="18">
        <f t="shared" si="37"/>
        <v>0</v>
      </c>
      <c r="I560" t="b">
        <f t="shared" si="41"/>
        <v>1</v>
      </c>
      <c r="J560" s="4" t="e">
        <f t="shared" si="42"/>
        <v>#DIV/0!</v>
      </c>
    </row>
    <row r="561" spans="1:10" hidden="1">
      <c r="A561" t="s">
        <v>1450</v>
      </c>
      <c r="B561" t="s">
        <v>1451</v>
      </c>
      <c r="C561">
        <v>1091</v>
      </c>
      <c r="D561" s="18">
        <f t="shared" si="40"/>
        <v>36.366666666666667</v>
      </c>
      <c r="E561" s="113">
        <v>1273.1099999999999</v>
      </c>
      <c r="H561" s="18">
        <f t="shared" si="37"/>
        <v>2182</v>
      </c>
      <c r="I561" t="b">
        <f t="shared" si="41"/>
        <v>1</v>
      </c>
      <c r="J561" s="4">
        <f t="shared" si="42"/>
        <v>-0.41653987167736028</v>
      </c>
    </row>
    <row r="562" spans="1:10" hidden="1">
      <c r="A562" t="s">
        <v>1278</v>
      </c>
      <c r="B562" t="s">
        <v>1279</v>
      </c>
      <c r="C562">
        <v>800</v>
      </c>
      <c r="D562" s="18">
        <f t="shared" si="40"/>
        <v>26.666666666666668</v>
      </c>
      <c r="E562" s="113">
        <v>994.72</v>
      </c>
      <c r="H562" s="18">
        <f t="shared" si="37"/>
        <v>1600</v>
      </c>
      <c r="I562" t="b">
        <f t="shared" si="41"/>
        <v>1</v>
      </c>
      <c r="J562" s="4">
        <f t="shared" si="42"/>
        <v>-0.37829999999999997</v>
      </c>
    </row>
    <row r="563" spans="1:10" hidden="1">
      <c r="A563" s="26" t="s">
        <v>1294</v>
      </c>
      <c r="B563" s="26" t="s">
        <v>1295</v>
      </c>
      <c r="C563">
        <v>249</v>
      </c>
      <c r="D563" s="18">
        <f t="shared" si="40"/>
        <v>8.3000000000000007</v>
      </c>
      <c r="E563" s="113">
        <v>123.49</v>
      </c>
      <c r="H563" s="18">
        <f t="shared" si="37"/>
        <v>498</v>
      </c>
      <c r="I563" t="b">
        <f t="shared" si="41"/>
        <v>1</v>
      </c>
      <c r="J563" s="4">
        <f t="shared" si="42"/>
        <v>-0.75202811244979917</v>
      </c>
    </row>
    <row r="564" spans="1:10" hidden="1">
      <c r="A564" s="39" t="s">
        <v>1788</v>
      </c>
      <c r="B564" s="35" t="s">
        <v>1715</v>
      </c>
      <c r="C564">
        <v>0</v>
      </c>
      <c r="D564" s="18">
        <f t="shared" si="40"/>
        <v>0</v>
      </c>
      <c r="E564" s="113">
        <v>0</v>
      </c>
      <c r="H564" s="18">
        <f t="shared" si="37"/>
        <v>0</v>
      </c>
      <c r="I564" t="b">
        <f t="shared" si="41"/>
        <v>1</v>
      </c>
      <c r="J564" s="4" t="e">
        <f t="shared" si="42"/>
        <v>#DIV/0!</v>
      </c>
    </row>
    <row r="565" spans="1:10" hidden="1">
      <c r="A565" s="38" t="s">
        <v>1476</v>
      </c>
      <c r="B565" s="35" t="s">
        <v>1477</v>
      </c>
      <c r="C565">
        <v>855</v>
      </c>
      <c r="D565" s="18">
        <f t="shared" si="40"/>
        <v>28.5</v>
      </c>
      <c r="E565" s="113">
        <v>317.42</v>
      </c>
      <c r="H565" s="18">
        <f t="shared" si="37"/>
        <v>1710</v>
      </c>
      <c r="I565" t="b">
        <f t="shared" si="41"/>
        <v>1</v>
      </c>
      <c r="J565" s="4">
        <f t="shared" si="42"/>
        <v>-0.81437426900584797</v>
      </c>
    </row>
    <row r="566" spans="1:10" hidden="1">
      <c r="A566" s="35" t="s">
        <v>1359</v>
      </c>
      <c r="B566" s="35" t="s">
        <v>1360</v>
      </c>
      <c r="C566">
        <v>744</v>
      </c>
      <c r="D566" s="18">
        <f t="shared" si="40"/>
        <v>24.8</v>
      </c>
      <c r="E566" s="113">
        <v>1054.8</v>
      </c>
      <c r="H566" s="18">
        <f t="shared" si="37"/>
        <v>1488</v>
      </c>
      <c r="I566" t="b">
        <f t="shared" si="41"/>
        <v>1</v>
      </c>
      <c r="J566" s="4">
        <f t="shared" si="42"/>
        <v>-0.29112903225806452</v>
      </c>
    </row>
    <row r="567" spans="1:10" hidden="1">
      <c r="A567" t="s">
        <v>1438</v>
      </c>
      <c r="B567" t="s">
        <v>1439</v>
      </c>
      <c r="C567">
        <v>924</v>
      </c>
      <c r="D567" s="18">
        <f t="shared" si="40"/>
        <v>30.8</v>
      </c>
      <c r="E567" s="113">
        <v>562.15</v>
      </c>
      <c r="H567" s="18">
        <f t="shared" si="37"/>
        <v>1848</v>
      </c>
      <c r="I567" t="b">
        <f t="shared" si="41"/>
        <v>1</v>
      </c>
      <c r="J567" s="4">
        <f t="shared" si="42"/>
        <v>-0.69580627705627707</v>
      </c>
    </row>
    <row r="568" spans="1:10" hidden="1">
      <c r="A568" t="s">
        <v>1789</v>
      </c>
      <c r="B568" t="s">
        <v>1681</v>
      </c>
      <c r="C568">
        <v>0</v>
      </c>
      <c r="D568" s="18">
        <f t="shared" si="40"/>
        <v>0</v>
      </c>
      <c r="E568" s="113">
        <v>0</v>
      </c>
      <c r="H568" s="18">
        <f t="shared" si="37"/>
        <v>0</v>
      </c>
      <c r="I568" t="b">
        <f t="shared" si="41"/>
        <v>1</v>
      </c>
      <c r="J568" s="4" t="e">
        <f t="shared" si="42"/>
        <v>#DIV/0!</v>
      </c>
    </row>
    <row r="569" spans="1:10" hidden="1">
      <c r="A569" t="s">
        <v>1467</v>
      </c>
      <c r="B569" t="s">
        <v>1468</v>
      </c>
      <c r="C569">
        <v>2915</v>
      </c>
      <c r="D569" s="18">
        <f t="shared" si="40"/>
        <v>97.166666666666671</v>
      </c>
      <c r="E569" s="113">
        <v>753.57</v>
      </c>
      <c r="H569" s="18">
        <f t="shared" si="37"/>
        <v>5830</v>
      </c>
      <c r="I569" t="b">
        <f t="shared" si="41"/>
        <v>1</v>
      </c>
      <c r="J569" s="4">
        <f t="shared" si="42"/>
        <v>-0.87074271012006865</v>
      </c>
    </row>
    <row r="570" spans="1:10" hidden="1">
      <c r="A570" s="38" t="s">
        <v>1351</v>
      </c>
      <c r="B570" s="35" t="s">
        <v>1352</v>
      </c>
      <c r="C570">
        <v>757</v>
      </c>
      <c r="D570" s="18">
        <f t="shared" si="40"/>
        <v>25.233333333333334</v>
      </c>
      <c r="E570" s="113">
        <v>942.23</v>
      </c>
      <c r="H570" s="18">
        <f t="shared" si="37"/>
        <v>1514</v>
      </c>
      <c r="I570" t="b">
        <f t="shared" si="41"/>
        <v>1</v>
      </c>
      <c r="J570" s="4">
        <f t="shared" si="42"/>
        <v>-0.37765521796565393</v>
      </c>
    </row>
    <row r="571" spans="1:10" hidden="1">
      <c r="A571" t="s">
        <v>1269</v>
      </c>
      <c r="B571" t="s">
        <v>1270</v>
      </c>
      <c r="C571">
        <v>664</v>
      </c>
      <c r="D571" s="18">
        <f t="shared" si="40"/>
        <v>22.133333333333333</v>
      </c>
      <c r="E571" s="113">
        <v>1088.6400000000001</v>
      </c>
      <c r="H571" s="18">
        <f t="shared" si="37"/>
        <v>1328</v>
      </c>
      <c r="I571" t="b">
        <f t="shared" si="41"/>
        <v>1</v>
      </c>
      <c r="J571" s="4">
        <f t="shared" si="42"/>
        <v>-0.18024096385542165</v>
      </c>
    </row>
    <row r="572" spans="1:10" hidden="1">
      <c r="A572" t="s">
        <v>1298</v>
      </c>
      <c r="B572" t="s">
        <v>1299</v>
      </c>
      <c r="C572">
        <v>391</v>
      </c>
      <c r="D572" s="18">
        <f t="shared" si="40"/>
        <v>13.033333333333333</v>
      </c>
      <c r="E572" s="113">
        <v>76.83</v>
      </c>
      <c r="H572" s="18">
        <f t="shared" si="37"/>
        <v>782</v>
      </c>
      <c r="I572" t="b">
        <f t="shared" si="41"/>
        <v>1</v>
      </c>
      <c r="J572" s="4">
        <f t="shared" si="42"/>
        <v>-0.90175191815856781</v>
      </c>
    </row>
    <row r="573" spans="1:10" hidden="1">
      <c r="A573" t="s">
        <v>1373</v>
      </c>
      <c r="B573" t="s">
        <v>1374</v>
      </c>
      <c r="C573">
        <v>783</v>
      </c>
      <c r="D573" s="18">
        <f t="shared" si="40"/>
        <v>26.1</v>
      </c>
      <c r="E573" s="113">
        <v>582.94000000000005</v>
      </c>
      <c r="H573" s="18">
        <f t="shared" si="37"/>
        <v>1566</v>
      </c>
      <c r="I573" t="b">
        <f t="shared" si="41"/>
        <v>1</v>
      </c>
      <c r="J573" s="4">
        <f t="shared" si="42"/>
        <v>-0.62775223499361421</v>
      </c>
    </row>
    <row r="574" spans="1:10" hidden="1">
      <c r="A574" t="s">
        <v>1272</v>
      </c>
      <c r="B574" t="s">
        <v>1273</v>
      </c>
      <c r="C574">
        <v>966</v>
      </c>
      <c r="D574" s="18">
        <f t="shared" si="40"/>
        <v>32.200000000000003</v>
      </c>
      <c r="E574" s="113">
        <v>342.16</v>
      </c>
      <c r="H574" s="18">
        <f t="shared" si="37"/>
        <v>1932</v>
      </c>
      <c r="I574" t="b">
        <f t="shared" si="41"/>
        <v>1</v>
      </c>
      <c r="J574" s="4">
        <f t="shared" si="42"/>
        <v>-0.82289855072463769</v>
      </c>
    </row>
    <row r="575" spans="1:10" hidden="1">
      <c r="A575" t="s">
        <v>1265</v>
      </c>
      <c r="B575" t="s">
        <v>1266</v>
      </c>
      <c r="C575">
        <v>246</v>
      </c>
      <c r="D575" s="18">
        <f t="shared" si="40"/>
        <v>8.1999999999999993</v>
      </c>
      <c r="E575" s="113">
        <v>348.63</v>
      </c>
      <c r="H575" s="18">
        <f t="shared" si="37"/>
        <v>492</v>
      </c>
      <c r="I575" t="b">
        <f t="shared" si="41"/>
        <v>1</v>
      </c>
      <c r="J575" s="4">
        <f t="shared" si="42"/>
        <v>-0.29140243902439023</v>
      </c>
    </row>
    <row r="576" spans="1:10" hidden="1">
      <c r="A576" t="s">
        <v>1286</v>
      </c>
      <c r="B576" t="s">
        <v>1287</v>
      </c>
      <c r="C576">
        <v>257</v>
      </c>
      <c r="D576" s="18">
        <f t="shared" si="40"/>
        <v>8.5666666666666664</v>
      </c>
      <c r="E576" s="113">
        <v>0</v>
      </c>
      <c r="H576" s="18">
        <f t="shared" si="37"/>
        <v>514</v>
      </c>
      <c r="I576" t="b">
        <f t="shared" si="41"/>
        <v>1</v>
      </c>
      <c r="J576" s="4">
        <f t="shared" si="42"/>
        <v>-1</v>
      </c>
    </row>
    <row r="577" spans="1:10" hidden="1">
      <c r="A577" t="s">
        <v>1288</v>
      </c>
      <c r="B577" t="s">
        <v>1289</v>
      </c>
      <c r="C577">
        <v>260</v>
      </c>
      <c r="D577" s="18">
        <f t="shared" si="40"/>
        <v>8.6666666666666661</v>
      </c>
      <c r="E577" s="113">
        <v>237.15</v>
      </c>
      <c r="H577" s="18">
        <f t="shared" si="37"/>
        <v>520</v>
      </c>
      <c r="I577" t="b">
        <f t="shared" si="41"/>
        <v>1</v>
      </c>
      <c r="J577" s="4">
        <f t="shared" si="42"/>
        <v>-0.54394230769230767</v>
      </c>
    </row>
    <row r="578" spans="1:10" hidden="1">
      <c r="A578" t="s">
        <v>1381</v>
      </c>
      <c r="B578" t="s">
        <v>1382</v>
      </c>
      <c r="C578">
        <v>59</v>
      </c>
      <c r="D578" s="18">
        <f t="shared" si="40"/>
        <v>1.9666666666666666</v>
      </c>
      <c r="E578" s="113">
        <v>15.55</v>
      </c>
      <c r="H578" s="18">
        <f t="shared" si="37"/>
        <v>118</v>
      </c>
      <c r="I578" t="b">
        <f t="shared" si="41"/>
        <v>1</v>
      </c>
      <c r="J578" s="4">
        <f t="shared" si="42"/>
        <v>-0.86822033898305084</v>
      </c>
    </row>
    <row r="579" spans="1:10" hidden="1">
      <c r="A579" s="38" t="s">
        <v>1353</v>
      </c>
      <c r="B579" t="s">
        <v>1354</v>
      </c>
      <c r="C579">
        <v>272</v>
      </c>
      <c r="D579" s="18">
        <f t="shared" si="40"/>
        <v>9.0666666666666664</v>
      </c>
      <c r="E579" s="113">
        <v>386.11</v>
      </c>
      <c r="H579" s="18">
        <f t="shared" ref="H579:H640" si="43">IF((C579/30)&gt;100,C579*2,C579*2)</f>
        <v>544</v>
      </c>
      <c r="I579" t="b">
        <f t="shared" si="41"/>
        <v>1</v>
      </c>
      <c r="J579" s="4">
        <f t="shared" si="42"/>
        <v>-0.29023897058823522</v>
      </c>
    </row>
    <row r="580" spans="1:10" hidden="1">
      <c r="A580" t="s">
        <v>1428</v>
      </c>
      <c r="B580" t="s">
        <v>1429</v>
      </c>
      <c r="C580">
        <v>627</v>
      </c>
      <c r="D580" s="18">
        <f t="shared" si="40"/>
        <v>20.9</v>
      </c>
      <c r="E580" s="113">
        <v>285.66000000000003</v>
      </c>
      <c r="H580" s="18">
        <f t="shared" si="43"/>
        <v>1254</v>
      </c>
      <c r="I580" t="b">
        <f t="shared" si="41"/>
        <v>1</v>
      </c>
      <c r="J580" s="4">
        <f t="shared" si="42"/>
        <v>-0.772200956937799</v>
      </c>
    </row>
    <row r="581" spans="1:10" hidden="1">
      <c r="A581" t="s">
        <v>1406</v>
      </c>
      <c r="B581" t="s">
        <v>1407</v>
      </c>
      <c r="C581">
        <v>917</v>
      </c>
      <c r="D581" s="18">
        <f t="shared" si="40"/>
        <v>30.566666666666666</v>
      </c>
      <c r="E581" s="113">
        <v>1011.76</v>
      </c>
      <c r="H581" s="18">
        <f t="shared" si="43"/>
        <v>1834</v>
      </c>
      <c r="I581" t="b">
        <f t="shared" si="41"/>
        <v>1</v>
      </c>
      <c r="J581" s="4">
        <f t="shared" si="42"/>
        <v>-0.4483315158124318</v>
      </c>
    </row>
    <row r="582" spans="1:10" hidden="1">
      <c r="A582" t="s">
        <v>1410</v>
      </c>
      <c r="B582" t="s">
        <v>1411</v>
      </c>
      <c r="C582">
        <v>586</v>
      </c>
      <c r="D582" s="18">
        <f t="shared" si="40"/>
        <v>19.533333333333335</v>
      </c>
      <c r="E582" s="113">
        <v>575.20000000000005</v>
      </c>
      <c r="H582" s="18">
        <f t="shared" si="43"/>
        <v>1172</v>
      </c>
      <c r="I582" t="b">
        <f t="shared" si="41"/>
        <v>1</v>
      </c>
      <c r="J582" s="4">
        <f t="shared" si="42"/>
        <v>-0.5092150170648464</v>
      </c>
    </row>
    <row r="583" spans="1:10">
      <c r="A583" s="38" t="s">
        <v>1325</v>
      </c>
      <c r="B583" s="35" t="s">
        <v>1326</v>
      </c>
      <c r="C583">
        <v>258</v>
      </c>
      <c r="D583" s="18">
        <f t="shared" si="40"/>
        <v>8.6</v>
      </c>
      <c r="E583" s="113">
        <v>874.98</v>
      </c>
      <c r="H583" s="18">
        <f t="shared" si="43"/>
        <v>516</v>
      </c>
      <c r="I583" t="b">
        <f t="shared" si="41"/>
        <v>0</v>
      </c>
      <c r="J583" s="4">
        <f t="shared" si="42"/>
        <v>0.69569767441860475</v>
      </c>
    </row>
    <row r="584" spans="1:10" hidden="1">
      <c r="A584" t="s">
        <v>1408</v>
      </c>
      <c r="B584" t="s">
        <v>1409</v>
      </c>
      <c r="C584">
        <v>775</v>
      </c>
      <c r="D584" s="18">
        <f t="shared" si="40"/>
        <v>25.833333333333332</v>
      </c>
      <c r="E584" s="113">
        <v>615.9</v>
      </c>
      <c r="H584" s="18">
        <f t="shared" si="43"/>
        <v>1550</v>
      </c>
      <c r="I584" t="b">
        <f t="shared" si="41"/>
        <v>1</v>
      </c>
      <c r="J584" s="4">
        <f t="shared" si="42"/>
        <v>-0.60264516129032253</v>
      </c>
    </row>
    <row r="585" spans="1:10" hidden="1">
      <c r="A585" t="s">
        <v>1296</v>
      </c>
      <c r="B585" t="s">
        <v>1297</v>
      </c>
      <c r="C585">
        <v>11</v>
      </c>
      <c r="D585" s="18">
        <f t="shared" si="40"/>
        <v>0.36666666666666664</v>
      </c>
      <c r="E585" s="113">
        <v>20.62</v>
      </c>
      <c r="H585" s="18">
        <f t="shared" si="43"/>
        <v>22</v>
      </c>
      <c r="I585" t="b">
        <f t="shared" si="41"/>
        <v>1</v>
      </c>
      <c r="J585" s="4">
        <f t="shared" si="42"/>
        <v>-6.2727272727272632E-2</v>
      </c>
    </row>
    <row r="586" spans="1:10" hidden="1">
      <c r="A586" t="s">
        <v>1304</v>
      </c>
      <c r="B586" t="s">
        <v>1305</v>
      </c>
      <c r="C586">
        <v>245</v>
      </c>
      <c r="D586" s="18">
        <f t="shared" si="40"/>
        <v>8.1666666666666661</v>
      </c>
      <c r="E586" s="113">
        <v>337.58</v>
      </c>
      <c r="H586" s="18">
        <f t="shared" si="43"/>
        <v>490</v>
      </c>
      <c r="I586" t="b">
        <f t="shared" si="41"/>
        <v>1</v>
      </c>
      <c r="J586" s="4">
        <f t="shared" si="42"/>
        <v>-0.3110612244897959</v>
      </c>
    </row>
    <row r="587" spans="1:10" hidden="1">
      <c r="A587" t="s">
        <v>1308</v>
      </c>
      <c r="B587" t="s">
        <v>1309</v>
      </c>
      <c r="C587">
        <v>458</v>
      </c>
      <c r="D587" s="18">
        <f t="shared" si="40"/>
        <v>15.266666666666667</v>
      </c>
      <c r="E587" s="113">
        <v>421.77</v>
      </c>
      <c r="H587" s="18">
        <f t="shared" si="43"/>
        <v>916</v>
      </c>
      <c r="I587" t="b">
        <f t="shared" si="41"/>
        <v>1</v>
      </c>
      <c r="J587" s="4">
        <f t="shared" si="42"/>
        <v>-0.53955240174672492</v>
      </c>
    </row>
    <row r="588" spans="1:10" hidden="1">
      <c r="A588" t="s">
        <v>1790</v>
      </c>
      <c r="B588" t="s">
        <v>1687</v>
      </c>
      <c r="C588">
        <v>0</v>
      </c>
      <c r="D588" s="18">
        <f t="shared" si="40"/>
        <v>0</v>
      </c>
      <c r="E588" s="113">
        <v>0</v>
      </c>
      <c r="H588" s="18">
        <f t="shared" si="43"/>
        <v>0</v>
      </c>
      <c r="I588" t="b">
        <f t="shared" si="41"/>
        <v>1</v>
      </c>
      <c r="J588" s="4" t="e">
        <f t="shared" si="42"/>
        <v>#DIV/0!</v>
      </c>
    </row>
    <row r="589" spans="1:10" hidden="1">
      <c r="A589" t="s">
        <v>1791</v>
      </c>
      <c r="B589" t="s">
        <v>1700</v>
      </c>
      <c r="C589">
        <v>0</v>
      </c>
      <c r="D589" s="18">
        <f t="shared" si="40"/>
        <v>0</v>
      </c>
      <c r="E589" s="113">
        <v>0</v>
      </c>
      <c r="H589" s="18">
        <f t="shared" si="43"/>
        <v>0</v>
      </c>
      <c r="I589" t="b">
        <f t="shared" si="41"/>
        <v>1</v>
      </c>
      <c r="J589" s="4" t="e">
        <f t="shared" si="42"/>
        <v>#DIV/0!</v>
      </c>
    </row>
    <row r="590" spans="1:10" hidden="1">
      <c r="A590" t="s">
        <v>1792</v>
      </c>
      <c r="B590" t="s">
        <v>1688</v>
      </c>
      <c r="C590">
        <v>0</v>
      </c>
      <c r="D590" s="18">
        <f t="shared" si="40"/>
        <v>0</v>
      </c>
      <c r="E590" s="113">
        <v>0</v>
      </c>
      <c r="H590" s="18">
        <f t="shared" si="43"/>
        <v>0</v>
      </c>
      <c r="I590" t="b">
        <f t="shared" si="41"/>
        <v>1</v>
      </c>
      <c r="J590" s="4" t="e">
        <f t="shared" si="42"/>
        <v>#DIV/0!</v>
      </c>
    </row>
    <row r="591" spans="1:10" hidden="1">
      <c r="A591" t="s">
        <v>1793</v>
      </c>
      <c r="B591" t="s">
        <v>1680</v>
      </c>
      <c r="C591">
        <v>0</v>
      </c>
      <c r="D591" s="18">
        <f t="shared" si="40"/>
        <v>0</v>
      </c>
      <c r="E591" s="113">
        <v>0</v>
      </c>
      <c r="H591" s="18">
        <f t="shared" si="43"/>
        <v>0</v>
      </c>
      <c r="I591" t="b">
        <f t="shared" si="41"/>
        <v>1</v>
      </c>
      <c r="J591" s="4" t="e">
        <f t="shared" si="42"/>
        <v>#DIV/0!</v>
      </c>
    </row>
    <row r="592" spans="1:10" hidden="1">
      <c r="A592" t="s">
        <v>1794</v>
      </c>
      <c r="B592" t="s">
        <v>1690</v>
      </c>
      <c r="C592">
        <v>0</v>
      </c>
      <c r="D592" s="18">
        <f t="shared" si="40"/>
        <v>0</v>
      </c>
      <c r="E592" s="113">
        <v>0</v>
      </c>
      <c r="H592" s="18">
        <f t="shared" si="43"/>
        <v>0</v>
      </c>
      <c r="I592" t="b">
        <f t="shared" si="41"/>
        <v>1</v>
      </c>
      <c r="J592" s="4" t="e">
        <f t="shared" si="42"/>
        <v>#DIV/0!</v>
      </c>
    </row>
    <row r="593" spans="1:10">
      <c r="A593" s="35" t="s">
        <v>1383</v>
      </c>
      <c r="B593" s="35" t="s">
        <v>1384</v>
      </c>
      <c r="C593">
        <v>336</v>
      </c>
      <c r="D593" s="18">
        <f t="shared" si="40"/>
        <v>11.2</v>
      </c>
      <c r="E593" s="113">
        <v>943.45</v>
      </c>
      <c r="H593" s="18">
        <f t="shared" si="43"/>
        <v>672</v>
      </c>
      <c r="I593" t="b">
        <f t="shared" si="41"/>
        <v>0</v>
      </c>
      <c r="J593" s="4">
        <f t="shared" si="42"/>
        <v>0.40394345238095242</v>
      </c>
    </row>
    <row r="594" spans="1:10" hidden="1">
      <c r="A594" t="s">
        <v>1274</v>
      </c>
      <c r="B594" t="s">
        <v>1275</v>
      </c>
      <c r="C594">
        <v>58</v>
      </c>
      <c r="D594" s="18">
        <f t="shared" si="40"/>
        <v>1.9333333333333333</v>
      </c>
      <c r="E594" s="113">
        <v>24.15</v>
      </c>
      <c r="H594" s="18">
        <f t="shared" si="43"/>
        <v>116</v>
      </c>
      <c r="I594" t="b">
        <f t="shared" si="41"/>
        <v>1</v>
      </c>
      <c r="J594" s="4">
        <f t="shared" si="42"/>
        <v>-0.79181034482758617</v>
      </c>
    </row>
    <row r="595" spans="1:10" hidden="1">
      <c r="A595" t="s">
        <v>1493</v>
      </c>
      <c r="B595" t="s">
        <v>1494</v>
      </c>
      <c r="C595">
        <v>3680</v>
      </c>
      <c r="D595" s="18">
        <f t="shared" si="40"/>
        <v>122.66666666666667</v>
      </c>
      <c r="E595" s="113">
        <v>5816.31</v>
      </c>
      <c r="H595" s="18">
        <f t="shared" si="43"/>
        <v>7360</v>
      </c>
      <c r="I595" t="b">
        <f t="shared" si="41"/>
        <v>1</v>
      </c>
      <c r="J595" s="4">
        <f t="shared" si="42"/>
        <v>-0.20974048913043475</v>
      </c>
    </row>
    <row r="596" spans="1:10">
      <c r="A596" s="26" t="s">
        <v>1344</v>
      </c>
      <c r="B596" t="s">
        <v>1345</v>
      </c>
      <c r="C596">
        <v>135</v>
      </c>
      <c r="D596" s="18">
        <f t="shared" si="40"/>
        <v>4.5</v>
      </c>
      <c r="E596" s="113">
        <v>363.33</v>
      </c>
      <c r="H596" s="18">
        <f t="shared" si="43"/>
        <v>270</v>
      </c>
      <c r="I596" t="b">
        <f t="shared" si="41"/>
        <v>0</v>
      </c>
      <c r="J596" s="4">
        <f t="shared" si="42"/>
        <v>0.34566666666666657</v>
      </c>
    </row>
    <row r="597" spans="1:10" hidden="1">
      <c r="A597" s="39" t="s">
        <v>1252</v>
      </c>
      <c r="B597" s="35" t="s">
        <v>1253</v>
      </c>
      <c r="C597">
        <v>555</v>
      </c>
      <c r="D597" s="18">
        <f t="shared" si="40"/>
        <v>18.5</v>
      </c>
      <c r="E597" s="113">
        <v>961.12</v>
      </c>
      <c r="H597" s="18">
        <f t="shared" si="43"/>
        <v>1110</v>
      </c>
      <c r="I597" t="b">
        <f t="shared" si="41"/>
        <v>1</v>
      </c>
      <c r="J597" s="4">
        <f t="shared" si="42"/>
        <v>-0.13412612612612618</v>
      </c>
    </row>
    <row r="598" spans="1:10" hidden="1">
      <c r="A598" t="s">
        <v>1440</v>
      </c>
      <c r="B598" t="s">
        <v>1441</v>
      </c>
      <c r="C598">
        <v>847</v>
      </c>
      <c r="D598" s="18">
        <f t="shared" si="40"/>
        <v>28.233333333333334</v>
      </c>
      <c r="E598" s="113">
        <v>358.69</v>
      </c>
      <c r="H598" s="18">
        <f t="shared" si="43"/>
        <v>1694</v>
      </c>
      <c r="I598" t="b">
        <f t="shared" si="41"/>
        <v>1</v>
      </c>
      <c r="J598" s="4">
        <f t="shared" si="42"/>
        <v>-0.78825855962219604</v>
      </c>
    </row>
    <row r="599" spans="1:10" hidden="1">
      <c r="A599" t="s">
        <v>1430</v>
      </c>
      <c r="B599" t="s">
        <v>1431</v>
      </c>
      <c r="C599">
        <v>1407</v>
      </c>
      <c r="D599" s="18">
        <f t="shared" si="40"/>
        <v>46.9</v>
      </c>
      <c r="E599" s="113">
        <v>1608.82</v>
      </c>
      <c r="H599" s="18">
        <f t="shared" si="43"/>
        <v>2814</v>
      </c>
      <c r="I599" t="b">
        <f t="shared" si="41"/>
        <v>1</v>
      </c>
      <c r="J599" s="4">
        <f t="shared" si="42"/>
        <v>-0.42828002842928214</v>
      </c>
    </row>
    <row r="600" spans="1:10" hidden="1">
      <c r="A600" t="s">
        <v>1446</v>
      </c>
      <c r="B600" t="s">
        <v>1447</v>
      </c>
      <c r="C600">
        <v>1802</v>
      </c>
      <c r="D600" s="18">
        <f t="shared" si="40"/>
        <v>60.06666666666667</v>
      </c>
      <c r="E600" s="113">
        <v>1881.81</v>
      </c>
      <c r="H600" s="18">
        <f t="shared" si="43"/>
        <v>3604</v>
      </c>
      <c r="I600" t="b">
        <f t="shared" si="41"/>
        <v>1</v>
      </c>
      <c r="J600" s="4">
        <f t="shared" si="42"/>
        <v>-0.47785516093229741</v>
      </c>
    </row>
    <row r="601" spans="1:10" hidden="1">
      <c r="A601" t="s">
        <v>1461</v>
      </c>
      <c r="B601" t="s">
        <v>1462</v>
      </c>
      <c r="C601">
        <v>960</v>
      </c>
      <c r="D601" s="18">
        <f t="shared" si="40"/>
        <v>32</v>
      </c>
      <c r="E601" s="113">
        <v>922.55</v>
      </c>
      <c r="H601" s="18">
        <f t="shared" si="43"/>
        <v>1920</v>
      </c>
      <c r="I601" t="b">
        <f t="shared" si="41"/>
        <v>1</v>
      </c>
      <c r="J601" s="4">
        <f t="shared" si="42"/>
        <v>-0.51950520833333336</v>
      </c>
    </row>
    <row r="602" spans="1:10" hidden="1">
      <c r="A602" s="39" t="s">
        <v>1323</v>
      </c>
      <c r="B602" s="35" t="s">
        <v>1324</v>
      </c>
      <c r="C602">
        <v>1635</v>
      </c>
      <c r="D602" s="18">
        <f t="shared" si="40"/>
        <v>54.5</v>
      </c>
      <c r="E602" s="113">
        <v>1809.6</v>
      </c>
      <c r="H602" s="18">
        <f t="shared" si="43"/>
        <v>3270</v>
      </c>
      <c r="I602" t="b">
        <f t="shared" si="41"/>
        <v>1</v>
      </c>
      <c r="J602" s="4">
        <f t="shared" si="42"/>
        <v>-0.44660550458715598</v>
      </c>
    </row>
    <row r="603" spans="1:10" hidden="1">
      <c r="A603" t="s">
        <v>1369</v>
      </c>
      <c r="B603" t="s">
        <v>1370</v>
      </c>
      <c r="C603">
        <v>871</v>
      </c>
      <c r="D603" s="18">
        <f t="shared" si="40"/>
        <v>29.033333333333335</v>
      </c>
      <c r="E603" s="113">
        <v>656.8</v>
      </c>
      <c r="H603" s="18">
        <f t="shared" si="43"/>
        <v>1742</v>
      </c>
      <c r="I603" t="b">
        <f t="shared" si="41"/>
        <v>1</v>
      </c>
      <c r="J603" s="4">
        <f t="shared" si="42"/>
        <v>-0.62296211251435141</v>
      </c>
    </row>
    <row r="604" spans="1:10" hidden="1">
      <c r="A604" t="s">
        <v>1355</v>
      </c>
      <c r="B604" t="s">
        <v>1356</v>
      </c>
      <c r="C604">
        <v>667</v>
      </c>
      <c r="D604" s="18">
        <f t="shared" si="40"/>
        <v>22.233333333333334</v>
      </c>
      <c r="E604" s="113">
        <v>292.32</v>
      </c>
      <c r="H604" s="18">
        <f t="shared" si="43"/>
        <v>1334</v>
      </c>
      <c r="I604" t="b">
        <f t="shared" si="41"/>
        <v>1</v>
      </c>
      <c r="J604" s="4">
        <f t="shared" si="42"/>
        <v>-0.78086956521739137</v>
      </c>
    </row>
    <row r="605" spans="1:10" hidden="1">
      <c r="A605" t="s">
        <v>1348</v>
      </c>
      <c r="B605" t="s">
        <v>1349</v>
      </c>
      <c r="C605">
        <v>1404</v>
      </c>
      <c r="D605" s="18">
        <f t="shared" si="40"/>
        <v>46.8</v>
      </c>
      <c r="E605" s="113">
        <v>2568.7199999999998</v>
      </c>
      <c r="H605" s="18">
        <f t="shared" si="43"/>
        <v>2808</v>
      </c>
      <c r="I605" t="b">
        <f t="shared" si="41"/>
        <v>1</v>
      </c>
      <c r="J605" s="4">
        <f t="shared" si="42"/>
        <v>-8.5213675213675288E-2</v>
      </c>
    </row>
    <row r="606" spans="1:10" hidden="1">
      <c r="A606" t="s">
        <v>1420</v>
      </c>
      <c r="B606" t="s">
        <v>1421</v>
      </c>
      <c r="C606">
        <v>1326</v>
      </c>
      <c r="D606" s="18">
        <f t="shared" si="40"/>
        <v>44.2</v>
      </c>
      <c r="E606" s="113">
        <v>1081.48</v>
      </c>
      <c r="H606" s="18">
        <f t="shared" si="43"/>
        <v>2652</v>
      </c>
      <c r="I606" t="b">
        <f t="shared" si="41"/>
        <v>1</v>
      </c>
      <c r="J606" s="4">
        <f t="shared" si="42"/>
        <v>-0.59220211161387626</v>
      </c>
    </row>
    <row r="607" spans="1:10" hidden="1">
      <c r="A607" t="s">
        <v>1375</v>
      </c>
      <c r="B607" t="s">
        <v>1376</v>
      </c>
      <c r="C607">
        <v>410</v>
      </c>
      <c r="D607" s="18">
        <f t="shared" si="40"/>
        <v>13.666666666666666</v>
      </c>
      <c r="E607" s="113">
        <v>553.35</v>
      </c>
      <c r="H607" s="18">
        <f t="shared" si="43"/>
        <v>820</v>
      </c>
      <c r="I607" t="b">
        <f t="shared" si="41"/>
        <v>1</v>
      </c>
      <c r="J607" s="4">
        <f t="shared" si="42"/>
        <v>-0.3251829268292683</v>
      </c>
    </row>
    <row r="608" spans="1:10" hidden="1">
      <c r="A608" s="38" t="s">
        <v>1318</v>
      </c>
      <c r="B608" s="35" t="s">
        <v>1319</v>
      </c>
      <c r="C608">
        <v>576</v>
      </c>
      <c r="D608" s="18">
        <f t="shared" si="40"/>
        <v>19.2</v>
      </c>
      <c r="E608" s="113">
        <v>421.34</v>
      </c>
      <c r="H608" s="18">
        <f t="shared" si="43"/>
        <v>1152</v>
      </c>
      <c r="I608" t="b">
        <f t="shared" si="41"/>
        <v>1</v>
      </c>
      <c r="J608" s="4">
        <f t="shared" si="42"/>
        <v>-0.63425347222222217</v>
      </c>
    </row>
    <row r="609" spans="1:10" hidden="1">
      <c r="A609" t="s">
        <v>1379</v>
      </c>
      <c r="B609" t="s">
        <v>1380</v>
      </c>
      <c r="C609">
        <v>797</v>
      </c>
      <c r="D609" s="18">
        <f t="shared" si="40"/>
        <v>26.566666666666666</v>
      </c>
      <c r="E609" s="113">
        <v>1093.3499999999999</v>
      </c>
      <c r="H609" s="18">
        <f t="shared" si="43"/>
        <v>1594</v>
      </c>
      <c r="I609" t="b">
        <f t="shared" si="41"/>
        <v>1</v>
      </c>
      <c r="J609" s="4">
        <f t="shared" si="42"/>
        <v>-0.31408406524466759</v>
      </c>
    </row>
    <row r="610" spans="1:10" hidden="1">
      <c r="A610" t="s">
        <v>1491</v>
      </c>
      <c r="B610" t="s">
        <v>1492</v>
      </c>
      <c r="C610">
        <v>1265</v>
      </c>
      <c r="D610" s="18">
        <f t="shared" si="40"/>
        <v>42.166666666666664</v>
      </c>
      <c r="E610" s="113">
        <v>535.71</v>
      </c>
      <c r="H610" s="18">
        <f t="shared" si="43"/>
        <v>2530</v>
      </c>
      <c r="I610" t="b">
        <f t="shared" si="41"/>
        <v>1</v>
      </c>
      <c r="J610" s="4">
        <f t="shared" si="42"/>
        <v>-0.78825691699604739</v>
      </c>
    </row>
    <row r="611" spans="1:10" hidden="1">
      <c r="A611" t="s">
        <v>1312</v>
      </c>
      <c r="B611" t="s">
        <v>1313</v>
      </c>
      <c r="C611">
        <v>323</v>
      </c>
      <c r="D611" s="18">
        <f t="shared" si="40"/>
        <v>10.766666666666667</v>
      </c>
      <c r="E611" s="113">
        <v>147.53</v>
      </c>
      <c r="H611" s="18">
        <f t="shared" si="43"/>
        <v>646</v>
      </c>
      <c r="I611" t="b">
        <f t="shared" si="41"/>
        <v>1</v>
      </c>
      <c r="J611" s="4">
        <f t="shared" si="42"/>
        <v>-0.77162538699690408</v>
      </c>
    </row>
    <row r="612" spans="1:10" hidden="1">
      <c r="A612" t="s">
        <v>1330</v>
      </c>
      <c r="B612" t="s">
        <v>1331</v>
      </c>
      <c r="C612">
        <v>675</v>
      </c>
      <c r="D612" s="18">
        <f t="shared" si="40"/>
        <v>22.5</v>
      </c>
      <c r="E612" s="113">
        <v>404.4</v>
      </c>
      <c r="H612" s="18">
        <f t="shared" si="43"/>
        <v>1350</v>
      </c>
      <c r="I612" t="b">
        <f t="shared" si="41"/>
        <v>1</v>
      </c>
      <c r="J612" s="4">
        <f t="shared" si="42"/>
        <v>-0.70044444444444443</v>
      </c>
    </row>
    <row r="613" spans="1:10" hidden="1">
      <c r="A613" t="s">
        <v>1387</v>
      </c>
      <c r="B613" t="s">
        <v>1388</v>
      </c>
      <c r="C613">
        <v>911</v>
      </c>
      <c r="D613" s="18">
        <f t="shared" si="40"/>
        <v>30.366666666666667</v>
      </c>
      <c r="E613" s="113">
        <v>1017.16</v>
      </c>
      <c r="H613" s="18">
        <f t="shared" si="43"/>
        <v>1822</v>
      </c>
      <c r="I613" t="b">
        <f t="shared" si="41"/>
        <v>1</v>
      </c>
      <c r="J613" s="4">
        <f t="shared" si="42"/>
        <v>-0.44173435784851811</v>
      </c>
    </row>
    <row r="614" spans="1:10" hidden="1">
      <c r="A614" t="s">
        <v>1457</v>
      </c>
      <c r="B614" t="s">
        <v>1458</v>
      </c>
      <c r="C614">
        <v>1076</v>
      </c>
      <c r="D614" s="18">
        <f t="shared" si="40"/>
        <v>35.866666666666667</v>
      </c>
      <c r="E614" s="113">
        <v>1594.1</v>
      </c>
      <c r="H614" s="18">
        <f t="shared" si="43"/>
        <v>2152</v>
      </c>
      <c r="I614" t="b">
        <f t="shared" si="41"/>
        <v>1</v>
      </c>
      <c r="J614" s="4">
        <f t="shared" si="42"/>
        <v>-0.25924721189591082</v>
      </c>
    </row>
    <row r="615" spans="1:10" hidden="1">
      <c r="A615" s="26" t="s">
        <v>1478</v>
      </c>
      <c r="B615" s="26" t="s">
        <v>1479</v>
      </c>
      <c r="C615">
        <v>1270</v>
      </c>
      <c r="D615" s="18">
        <f t="shared" si="40"/>
        <v>42.333333333333336</v>
      </c>
      <c r="E615" s="113">
        <v>1492.08</v>
      </c>
      <c r="H615" s="18">
        <f t="shared" si="43"/>
        <v>2540</v>
      </c>
      <c r="I615" t="b">
        <f t="shared" si="41"/>
        <v>1</v>
      </c>
      <c r="J615" s="4">
        <f t="shared" si="42"/>
        <v>-0.41256692913385828</v>
      </c>
    </row>
    <row r="616" spans="1:10" hidden="1">
      <c r="A616" t="s">
        <v>1416</v>
      </c>
      <c r="B616" t="s">
        <v>1417</v>
      </c>
      <c r="C616">
        <v>1419</v>
      </c>
      <c r="D616" s="18">
        <f t="shared" si="40"/>
        <v>47.3</v>
      </c>
      <c r="E616" s="113">
        <v>1639.82</v>
      </c>
      <c r="H616" s="18">
        <f t="shared" si="43"/>
        <v>2838</v>
      </c>
      <c r="I616" t="b">
        <f t="shared" si="41"/>
        <v>1</v>
      </c>
      <c r="J616" s="4">
        <f t="shared" si="42"/>
        <v>-0.42219168428470755</v>
      </c>
    </row>
    <row r="617" spans="1:10" hidden="1">
      <c r="A617" t="s">
        <v>1426</v>
      </c>
      <c r="B617" t="s">
        <v>1427</v>
      </c>
      <c r="C617">
        <v>1430</v>
      </c>
      <c r="D617" s="18">
        <f t="shared" si="40"/>
        <v>47.666666666666664</v>
      </c>
      <c r="E617" s="113">
        <v>1408.95</v>
      </c>
      <c r="H617" s="18">
        <f t="shared" si="43"/>
        <v>2860</v>
      </c>
      <c r="I617" t="b">
        <f t="shared" si="41"/>
        <v>1</v>
      </c>
      <c r="J617" s="4">
        <f t="shared" si="42"/>
        <v>-0.50736013986013984</v>
      </c>
    </row>
    <row r="618" spans="1:10" hidden="1">
      <c r="A618" t="s">
        <v>1444</v>
      </c>
      <c r="B618" t="s">
        <v>1445</v>
      </c>
      <c r="C618">
        <v>897</v>
      </c>
      <c r="D618" s="18">
        <f t="shared" si="40"/>
        <v>29.9</v>
      </c>
      <c r="E618" s="113">
        <v>459.29</v>
      </c>
      <c r="H618" s="18">
        <f t="shared" si="43"/>
        <v>1794</v>
      </c>
      <c r="I618" t="b">
        <f t="shared" si="41"/>
        <v>1</v>
      </c>
      <c r="J618" s="4">
        <f t="shared" si="42"/>
        <v>-0.7439855072463768</v>
      </c>
    </row>
    <row r="619" spans="1:10" hidden="1">
      <c r="A619" t="s">
        <v>1442</v>
      </c>
      <c r="B619" t="s">
        <v>1443</v>
      </c>
      <c r="C619">
        <v>921</v>
      </c>
      <c r="D619" s="18">
        <f t="shared" si="40"/>
        <v>30.7</v>
      </c>
      <c r="E619" s="113">
        <v>608.41</v>
      </c>
      <c r="H619" s="18">
        <f t="shared" si="43"/>
        <v>1842</v>
      </c>
      <c r="I619" t="b">
        <f t="shared" si="41"/>
        <v>1</v>
      </c>
      <c r="J619" s="4">
        <f t="shared" si="42"/>
        <v>-0.66970141150922913</v>
      </c>
    </row>
    <row r="620" spans="1:10" hidden="1">
      <c r="A620" t="s">
        <v>1332</v>
      </c>
      <c r="B620" t="s">
        <v>1333</v>
      </c>
      <c r="C620">
        <v>773</v>
      </c>
      <c r="D620" s="18">
        <f t="shared" si="40"/>
        <v>25.766666666666666</v>
      </c>
      <c r="E620" s="113">
        <v>477.98</v>
      </c>
      <c r="H620" s="18">
        <f t="shared" si="43"/>
        <v>1546</v>
      </c>
      <c r="I620" t="b">
        <f t="shared" si="41"/>
        <v>1</v>
      </c>
      <c r="J620" s="4">
        <f t="shared" si="42"/>
        <v>-0.69082794307891326</v>
      </c>
    </row>
    <row r="621" spans="1:10" hidden="1">
      <c r="A621" t="s">
        <v>1282</v>
      </c>
      <c r="B621" t="s">
        <v>1283</v>
      </c>
      <c r="C621">
        <v>608</v>
      </c>
      <c r="D621" s="18">
        <f t="shared" si="40"/>
        <v>20.266666666666666</v>
      </c>
      <c r="E621" s="113">
        <v>924.57</v>
      </c>
      <c r="H621" s="18">
        <f t="shared" si="43"/>
        <v>1216</v>
      </c>
      <c r="I621" t="b">
        <f t="shared" si="41"/>
        <v>1</v>
      </c>
      <c r="J621" s="4">
        <f t="shared" si="42"/>
        <v>-0.23966282894736834</v>
      </c>
    </row>
    <row r="622" spans="1:10" hidden="1">
      <c r="A622" t="s">
        <v>1482</v>
      </c>
      <c r="B622" t="s">
        <v>1483</v>
      </c>
      <c r="C622">
        <v>3338</v>
      </c>
      <c r="D622" s="18">
        <f t="shared" ref="D622:D640" si="44">C622/30</f>
        <v>111.26666666666667</v>
      </c>
      <c r="E622" s="113">
        <v>1680.62</v>
      </c>
      <c r="H622" s="18">
        <f t="shared" si="43"/>
        <v>6676</v>
      </c>
      <c r="I622" t="b">
        <f t="shared" ref="I622:I640" si="45">IF(E622&gt;1.2*H622,FALSE,TRUE)</f>
        <v>1</v>
      </c>
      <c r="J622" s="4">
        <f t="shared" ref="J622:J640" si="46">E622/H622-1</f>
        <v>-0.74825943678849605</v>
      </c>
    </row>
    <row r="623" spans="1:10" hidden="1">
      <c r="A623" s="38" t="s">
        <v>1248</v>
      </c>
      <c r="B623" s="121" t="s">
        <v>1249</v>
      </c>
      <c r="C623">
        <v>360</v>
      </c>
      <c r="D623" s="18">
        <f t="shared" si="44"/>
        <v>12</v>
      </c>
      <c r="E623" s="113">
        <v>743.89</v>
      </c>
      <c r="H623" s="18">
        <f t="shared" si="43"/>
        <v>720</v>
      </c>
      <c r="I623" t="b">
        <f t="shared" si="45"/>
        <v>1</v>
      </c>
      <c r="J623" s="4">
        <f t="shared" si="46"/>
        <v>3.3180555555555546E-2</v>
      </c>
    </row>
    <row r="624" spans="1:10" hidden="1">
      <c r="A624" s="38" t="s">
        <v>1336</v>
      </c>
      <c r="B624" s="35" t="s">
        <v>1337</v>
      </c>
      <c r="C624">
        <v>738</v>
      </c>
      <c r="D624" s="18">
        <f t="shared" si="44"/>
        <v>24.6</v>
      </c>
      <c r="E624" s="113">
        <v>1481.98</v>
      </c>
      <c r="H624" s="18">
        <f t="shared" si="43"/>
        <v>1476</v>
      </c>
      <c r="I624" t="b">
        <f t="shared" si="45"/>
        <v>1</v>
      </c>
      <c r="J624" s="4">
        <f t="shared" si="46"/>
        <v>4.051490514905165E-3</v>
      </c>
    </row>
    <row r="625" spans="1:10" hidden="1">
      <c r="A625" t="s">
        <v>1487</v>
      </c>
      <c r="B625" t="s">
        <v>1488</v>
      </c>
      <c r="C625">
        <v>899</v>
      </c>
      <c r="D625" s="18">
        <f t="shared" si="44"/>
        <v>29.966666666666665</v>
      </c>
      <c r="E625" s="113">
        <v>529.74</v>
      </c>
      <c r="H625" s="18">
        <f t="shared" si="43"/>
        <v>1798</v>
      </c>
      <c r="I625" t="b">
        <f t="shared" si="45"/>
        <v>1</v>
      </c>
      <c r="J625" s="4">
        <f t="shared" si="46"/>
        <v>-0.7053726362625139</v>
      </c>
    </row>
    <row r="626" spans="1:10" hidden="1">
      <c r="A626" t="s">
        <v>1472</v>
      </c>
      <c r="B626" t="s">
        <v>1473</v>
      </c>
      <c r="C626">
        <v>3058</v>
      </c>
      <c r="D626" s="18">
        <f t="shared" si="44"/>
        <v>101.93333333333334</v>
      </c>
      <c r="E626" s="113">
        <v>2964.9</v>
      </c>
      <c r="H626" s="18">
        <f t="shared" si="43"/>
        <v>6116</v>
      </c>
      <c r="I626" t="b">
        <f t="shared" si="45"/>
        <v>1</v>
      </c>
      <c r="J626" s="4">
        <f t="shared" si="46"/>
        <v>-0.515222367560497</v>
      </c>
    </row>
    <row r="627" spans="1:10">
      <c r="A627" s="38" t="s">
        <v>1097</v>
      </c>
      <c r="B627" s="35" t="s">
        <v>1256</v>
      </c>
      <c r="C627">
        <v>721</v>
      </c>
      <c r="D627" s="18">
        <f t="shared" si="44"/>
        <v>24.033333333333335</v>
      </c>
      <c r="E627" s="113">
        <v>2406.75</v>
      </c>
      <c r="H627" s="18">
        <f t="shared" si="43"/>
        <v>1442</v>
      </c>
      <c r="I627" t="b">
        <f t="shared" si="45"/>
        <v>0</v>
      </c>
      <c r="J627" s="4">
        <f t="shared" si="46"/>
        <v>0.66903606102635238</v>
      </c>
    </row>
    <row r="628" spans="1:10" hidden="1">
      <c r="A628" t="s">
        <v>1357</v>
      </c>
      <c r="B628" t="s">
        <v>1358</v>
      </c>
      <c r="C628">
        <v>4729</v>
      </c>
      <c r="D628" s="18">
        <f t="shared" si="44"/>
        <v>157.63333333333333</v>
      </c>
      <c r="E628" s="113">
        <v>3256.45</v>
      </c>
      <c r="H628" s="18">
        <f t="shared" si="43"/>
        <v>9458</v>
      </c>
      <c r="I628" t="b">
        <f t="shared" si="45"/>
        <v>1</v>
      </c>
      <c r="J628" s="4">
        <f t="shared" si="46"/>
        <v>-0.6556935927257348</v>
      </c>
    </row>
    <row r="629" spans="1:10" hidden="1">
      <c r="A629" s="38" t="s">
        <v>1396</v>
      </c>
      <c r="B629" s="35" t="s">
        <v>1397</v>
      </c>
      <c r="C629">
        <v>599</v>
      </c>
      <c r="D629" s="18">
        <f t="shared" si="44"/>
        <v>19.966666666666665</v>
      </c>
      <c r="E629" s="113">
        <v>1384.59</v>
      </c>
      <c r="H629" s="18">
        <f t="shared" si="43"/>
        <v>1198</v>
      </c>
      <c r="I629" t="b">
        <f t="shared" si="45"/>
        <v>1</v>
      </c>
      <c r="J629" s="4">
        <f t="shared" si="46"/>
        <v>0.15575125208681118</v>
      </c>
    </row>
    <row r="630" spans="1:10" hidden="1">
      <c r="A630" t="s">
        <v>1480</v>
      </c>
      <c r="B630" t="s">
        <v>1481</v>
      </c>
      <c r="C630">
        <v>1506</v>
      </c>
      <c r="D630" s="18">
        <f t="shared" si="44"/>
        <v>50.2</v>
      </c>
      <c r="E630" s="113">
        <v>1323.8</v>
      </c>
      <c r="H630" s="18">
        <f t="shared" si="43"/>
        <v>3012</v>
      </c>
      <c r="I630" t="b">
        <f t="shared" si="45"/>
        <v>1</v>
      </c>
      <c r="J630" s="4">
        <f t="shared" si="46"/>
        <v>-0.5604913678618858</v>
      </c>
    </row>
    <row r="631" spans="1:10" hidden="1">
      <c r="A631" t="s">
        <v>1519</v>
      </c>
      <c r="B631" t="s">
        <v>1520</v>
      </c>
      <c r="C631">
        <v>4469</v>
      </c>
      <c r="D631" s="18">
        <f t="shared" si="44"/>
        <v>148.96666666666667</v>
      </c>
      <c r="E631" s="113">
        <v>2843.57</v>
      </c>
      <c r="H631" s="18">
        <f t="shared" si="43"/>
        <v>8938</v>
      </c>
      <c r="I631" t="b">
        <f t="shared" si="45"/>
        <v>1</v>
      </c>
      <c r="J631" s="4">
        <f t="shared" si="46"/>
        <v>-0.68185611993734607</v>
      </c>
    </row>
    <row r="632" spans="1:10" hidden="1">
      <c r="A632" t="s">
        <v>1452</v>
      </c>
      <c r="B632" t="s">
        <v>1453</v>
      </c>
      <c r="C632">
        <v>5219</v>
      </c>
      <c r="D632" s="18">
        <f t="shared" si="44"/>
        <v>173.96666666666667</v>
      </c>
      <c r="E632" s="113">
        <v>3246.94</v>
      </c>
      <c r="H632" s="18">
        <f t="shared" si="43"/>
        <v>10438</v>
      </c>
      <c r="I632" t="b">
        <f t="shared" si="45"/>
        <v>1</v>
      </c>
      <c r="J632" s="4">
        <f t="shared" si="46"/>
        <v>-0.6889308296608545</v>
      </c>
    </row>
    <row r="633" spans="1:10" hidden="1">
      <c r="A633" s="38" t="s">
        <v>1259</v>
      </c>
      <c r="B633" t="s">
        <v>1260</v>
      </c>
      <c r="C633">
        <v>4366</v>
      </c>
      <c r="D633" s="18">
        <f t="shared" si="44"/>
        <v>145.53333333333333</v>
      </c>
      <c r="E633" s="113">
        <v>6580.92</v>
      </c>
      <c r="H633" s="18">
        <f t="shared" si="43"/>
        <v>8732</v>
      </c>
      <c r="I633" t="b">
        <f t="shared" si="45"/>
        <v>1</v>
      </c>
      <c r="J633" s="4">
        <f t="shared" si="46"/>
        <v>-0.24634448007329357</v>
      </c>
    </row>
    <row r="634" spans="1:10" hidden="1">
      <c r="A634" t="s">
        <v>1514</v>
      </c>
      <c r="B634" t="s">
        <v>1515</v>
      </c>
      <c r="C634">
        <v>3539</v>
      </c>
      <c r="D634" s="18">
        <f t="shared" si="44"/>
        <v>117.96666666666667</v>
      </c>
      <c r="E634" s="113">
        <v>3089.21</v>
      </c>
      <c r="H634" s="18">
        <f t="shared" si="43"/>
        <v>7078</v>
      </c>
      <c r="I634" t="b">
        <f t="shared" si="45"/>
        <v>1</v>
      </c>
      <c r="J634" s="4">
        <f t="shared" si="46"/>
        <v>-0.56354761231986439</v>
      </c>
    </row>
    <row r="635" spans="1:10" hidden="1">
      <c r="A635" t="s">
        <v>1516</v>
      </c>
      <c r="B635" t="s">
        <v>1517</v>
      </c>
      <c r="C635">
        <v>10984</v>
      </c>
      <c r="D635" s="18">
        <f t="shared" si="44"/>
        <v>366.13333333333333</v>
      </c>
      <c r="E635" s="113">
        <v>8101.28</v>
      </c>
      <c r="H635" s="18">
        <f t="shared" si="43"/>
        <v>21968</v>
      </c>
      <c r="I635" t="b">
        <f t="shared" si="45"/>
        <v>1</v>
      </c>
      <c r="J635" s="4">
        <f t="shared" si="46"/>
        <v>-0.63122359796067007</v>
      </c>
    </row>
    <row r="636" spans="1:10">
      <c r="A636" s="122" t="s">
        <v>1261</v>
      </c>
      <c r="B636" s="35" t="s">
        <v>1262</v>
      </c>
      <c r="C636">
        <v>173</v>
      </c>
      <c r="D636" s="18">
        <f t="shared" si="44"/>
        <v>5.7666666666666666</v>
      </c>
      <c r="E636" s="113">
        <v>770.56</v>
      </c>
      <c r="H636" s="18">
        <f t="shared" si="43"/>
        <v>346</v>
      </c>
      <c r="I636" t="b">
        <f t="shared" si="45"/>
        <v>0</v>
      </c>
      <c r="J636" s="4">
        <f t="shared" si="46"/>
        <v>1.2270520231213871</v>
      </c>
    </row>
    <row r="637" spans="1:10">
      <c r="A637" s="122" t="s">
        <v>1263</v>
      </c>
      <c r="B637" s="35" t="s">
        <v>1264</v>
      </c>
      <c r="C637">
        <v>153</v>
      </c>
      <c r="D637" s="18">
        <f t="shared" si="44"/>
        <v>5.0999999999999996</v>
      </c>
      <c r="E637" s="113">
        <v>382.73</v>
      </c>
      <c r="H637" s="18">
        <f t="shared" si="43"/>
        <v>306</v>
      </c>
      <c r="I637" t="b">
        <f t="shared" si="45"/>
        <v>0</v>
      </c>
      <c r="J637" s="4">
        <f t="shared" si="46"/>
        <v>0.25075163398692824</v>
      </c>
    </row>
    <row r="638" spans="1:10">
      <c r="A638" s="124" t="s">
        <v>1267</v>
      </c>
      <c r="B638" s="124" t="s">
        <v>1268</v>
      </c>
      <c r="C638">
        <v>283</v>
      </c>
      <c r="D638" s="18">
        <f t="shared" si="44"/>
        <v>9.4333333333333336</v>
      </c>
      <c r="E638" s="113">
        <v>1221.47</v>
      </c>
      <c r="H638" s="18">
        <f t="shared" si="43"/>
        <v>566</v>
      </c>
      <c r="I638" t="b">
        <f t="shared" si="45"/>
        <v>0</v>
      </c>
      <c r="J638" s="4">
        <f t="shared" si="46"/>
        <v>1.1580742049469963</v>
      </c>
    </row>
    <row r="639" spans="1:10" hidden="1">
      <c r="A639" s="124" t="s">
        <v>1361</v>
      </c>
      <c r="B639" s="124" t="s">
        <v>1362</v>
      </c>
      <c r="C639">
        <v>394</v>
      </c>
      <c r="D639" s="18">
        <f t="shared" si="44"/>
        <v>13.133333333333333</v>
      </c>
      <c r="E639" s="113">
        <v>80.12</v>
      </c>
      <c r="H639" s="18">
        <f t="shared" si="43"/>
        <v>788</v>
      </c>
      <c r="I639" t="b">
        <f t="shared" si="45"/>
        <v>1</v>
      </c>
      <c r="J639" s="4">
        <f t="shared" si="46"/>
        <v>-0.89832487309644671</v>
      </c>
    </row>
    <row r="640" spans="1:10" hidden="1">
      <c r="A640" s="38" t="s">
        <v>1250</v>
      </c>
      <c r="B640" s="35" t="s">
        <v>1251</v>
      </c>
      <c r="C640">
        <v>361</v>
      </c>
      <c r="D640" s="18">
        <f t="shared" si="44"/>
        <v>12.033333333333333</v>
      </c>
      <c r="E640" s="113">
        <v>449.81</v>
      </c>
      <c r="H640" s="18">
        <f t="shared" si="43"/>
        <v>722</v>
      </c>
      <c r="I640" t="b">
        <f t="shared" si="45"/>
        <v>1</v>
      </c>
      <c r="J640" s="4">
        <f t="shared" si="46"/>
        <v>-0.37699445983379498</v>
      </c>
    </row>
    <row r="641" spans="8:10">
      <c r="H641" s="18"/>
      <c r="J641" s="4"/>
    </row>
  </sheetData>
  <autoFilter ref="A1:M640" xr:uid="{EAD0D377-3820-4DB4-B8D5-8AE187021F68}">
    <filterColumn colId="8">
      <filters>
        <filter val="FALSE"/>
      </filters>
    </filterColumn>
  </autoFilter>
  <sortState xmlns:xlrd2="http://schemas.microsoft.com/office/spreadsheetml/2017/richdata2" ref="A2:E361">
    <sortCondition descending="1" ref="D1:D36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Micro Difference</vt:lpstr>
      <vt:lpstr>NB Difference</vt:lpstr>
      <vt:lpstr>DS Difference</vt:lpstr>
      <vt:lpstr>Sales Summary</vt:lpstr>
      <vt:lpstr>All Products</vt:lpstr>
      <vt:lpstr>CVR</vt:lpstr>
      <vt:lpstr>Sales &amp; Budget OOB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Herbert Liu</dc:creator>
  <cp:keywords/>
  <dc:description/>
  <cp:lastModifiedBy>Fifth Nutrisupply - Kris</cp:lastModifiedBy>
  <cp:revision/>
  <dcterms:created xsi:type="dcterms:W3CDTF">2015-06-05T18:17:20Z</dcterms:created>
  <dcterms:modified xsi:type="dcterms:W3CDTF">2026-07-07T20:15:12Z</dcterms:modified>
  <cp:category/>
  <cp:contentStatus/>
</cp:coreProperties>
</file>