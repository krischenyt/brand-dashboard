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449" documentId="8_{03AF40AA-98A0-4CB0-8ED5-03EB79879F44}" xr6:coauthVersionLast="47" xr6:coauthVersionMax="47" xr10:uidLastSave="{D5EE7EBC-AE7B-44C3-AB10-C3693B0E6B0F}"/>
  <bookViews>
    <workbookView xWindow="-120" yWindow="-120" windowWidth="29040" windowHeight="15720" firstSheet="6" activeTab="6" xr2:uid="{00000000-000D-0000-FFFF-FFFF00000000}"/>
  </bookViews>
  <sheets>
    <sheet name="Micro Difference" sheetId="1" r:id="rId1"/>
    <sheet name="NB Difference" sheetId="2" r:id="rId2"/>
    <sheet name="DS Difference" sheetId="3" r:id="rId3"/>
    <sheet name="ACOS &amp; TCOS" sheetId="7" r:id="rId4"/>
    <sheet name="CVR" sheetId="9" r:id="rId5"/>
    <sheet name="All Products" sheetId="4" state="hidden" r:id="rId6"/>
    <sheet name="Sales &amp; Budget OOB" sheetId="5" r:id="rId7"/>
  </sheets>
  <definedNames>
    <definedName name="_xlnm._FilterDatabase" localSheetId="2" hidden="1">'DS Difference'!$A$2:$AD$113</definedName>
    <definedName name="_xlnm._FilterDatabase" localSheetId="0" hidden="1">'Micro Difference'!$A$2:$AD$236</definedName>
    <definedName name="_xlnm._FilterDatabase" localSheetId="6" hidden="1">'Sales &amp; Budget OOB'!$A$1:$O$391</definedName>
    <definedName name="_xlnm._FilterDatabase" localSheetId="1" hidden="1">'NB Difference'!$A$2:$AC$142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7" i="3" l="1"/>
  <c r="U240" i="1"/>
  <c r="D10" i="5"/>
  <c r="D3" i="5"/>
  <c r="F5" i="5"/>
  <c r="F2" i="5"/>
  <c r="F3" i="5"/>
  <c r="F4"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5" i="5"/>
  <c r="F236" i="5"/>
  <c r="F237" i="5"/>
  <c r="F238" i="5"/>
  <c r="F239" i="5"/>
  <c r="F240" i="5"/>
  <c r="F242" i="5"/>
  <c r="F243" i="5"/>
  <c r="F244" i="5"/>
  <c r="F245" i="5"/>
  <c r="F246" i="5"/>
  <c r="F247" i="5"/>
  <c r="F248" i="5"/>
  <c r="F249" i="5"/>
  <c r="F250" i="5"/>
  <c r="F251" i="5"/>
  <c r="F252" i="5"/>
  <c r="F253" i="5"/>
  <c r="F254" i="5"/>
  <c r="F255" i="5"/>
  <c r="F256" i="5"/>
  <c r="F257"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6" i="5"/>
  <c r="F317" i="5"/>
  <c r="F318" i="5"/>
  <c r="F319" i="5"/>
  <c r="F320"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7" i="5"/>
  <c r="F378" i="5"/>
  <c r="F379" i="5"/>
  <c r="F380" i="5"/>
  <c r="F381" i="5"/>
  <c r="F383" i="5"/>
  <c r="F384" i="5"/>
  <c r="F391" i="5"/>
  <c r="F390" i="5"/>
  <c r="F389" i="5"/>
  <c r="F388" i="5"/>
  <c r="F387" i="5"/>
  <c r="F386" i="5"/>
  <c r="F385" i="5"/>
  <c r="D391" i="5"/>
  <c r="D390" i="5"/>
  <c r="D389" i="5"/>
  <c r="D388" i="5"/>
  <c r="D387" i="5"/>
  <c r="D386" i="5"/>
  <c r="D385" i="5"/>
  <c r="D384" i="5"/>
  <c r="D383" i="5"/>
  <c r="D381" i="5"/>
  <c r="D380" i="5"/>
  <c r="D379" i="5"/>
  <c r="D378" i="5"/>
  <c r="D377"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I330" i="5" s="1"/>
  <c r="D329" i="5"/>
  <c r="D328" i="5"/>
  <c r="D327" i="5"/>
  <c r="D326" i="5"/>
  <c r="D325" i="5"/>
  <c r="D324" i="5"/>
  <c r="D323" i="5"/>
  <c r="D322" i="5"/>
  <c r="D320" i="5"/>
  <c r="D319" i="5"/>
  <c r="D318" i="5"/>
  <c r="D317" i="5"/>
  <c r="D316"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7" i="5"/>
  <c r="D256" i="5"/>
  <c r="D255" i="5"/>
  <c r="D254" i="5"/>
  <c r="D253" i="5"/>
  <c r="D252" i="5"/>
  <c r="D251" i="5"/>
  <c r="D250" i="5"/>
  <c r="D249" i="5"/>
  <c r="D248" i="5"/>
  <c r="D247" i="5"/>
  <c r="D246" i="5"/>
  <c r="D245" i="5"/>
  <c r="D244" i="5"/>
  <c r="D243" i="5"/>
  <c r="D242" i="5"/>
  <c r="D240" i="5"/>
  <c r="D239" i="5"/>
  <c r="D238" i="5"/>
  <c r="D237" i="5"/>
  <c r="D236" i="5"/>
  <c r="D235" i="5"/>
  <c r="D233" i="5"/>
  <c r="D232" i="5"/>
  <c r="D231" i="5"/>
  <c r="D230" i="5"/>
  <c r="D229" i="5"/>
  <c r="D228" i="5"/>
  <c r="D227" i="5"/>
  <c r="D226" i="5"/>
  <c r="D225" i="5"/>
  <c r="D224" i="5"/>
  <c r="D223" i="5"/>
  <c r="D222" i="5"/>
  <c r="D221" i="5"/>
  <c r="D220" i="5"/>
  <c r="D219" i="5"/>
  <c r="D218" i="5"/>
  <c r="E218" i="5" s="1"/>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9" i="5"/>
  <c r="D8" i="5"/>
  <c r="D7" i="5"/>
  <c r="D6" i="5"/>
  <c r="D5" i="5"/>
  <c r="D4" i="5"/>
  <c r="D2" i="5"/>
  <c r="E2" i="5"/>
  <c r="AF488" i="9"/>
  <c r="AE488" i="9"/>
  <c r="N433" i="9" s="1"/>
  <c r="J13" i="3"/>
  <c r="AA19" i="7"/>
  <c r="AA5" i="7"/>
  <c r="AA240" i="1"/>
  <c r="AA40" i="7"/>
  <c r="AA41" i="7" s="1"/>
  <c r="AA32" i="7"/>
  <c r="AA31" i="7"/>
  <c r="AA30" i="7"/>
  <c r="AA25" i="7"/>
  <c r="AA24" i="7"/>
  <c r="AA23" i="7"/>
  <c r="AA12" i="7"/>
  <c r="N240" i="1"/>
  <c r="M240" i="1"/>
  <c r="F117" i="3"/>
  <c r="AC117" i="3"/>
  <c r="AB117" i="3"/>
  <c r="Q117" i="3"/>
  <c r="T3" i="3"/>
  <c r="U4" i="2"/>
  <c r="T4" i="2"/>
  <c r="Q146" i="2"/>
  <c r="N146" i="2"/>
  <c r="Q148" i="2" s="1"/>
  <c r="W26" i="1"/>
  <c r="X223" i="1"/>
  <c r="X33" i="1"/>
  <c r="Y33" i="1" s="1"/>
  <c r="X50" i="1"/>
  <c r="X231" i="1"/>
  <c r="Y231" i="1" s="1"/>
  <c r="X47" i="1"/>
  <c r="Y47" i="1" s="1"/>
  <c r="X228" i="1"/>
  <c r="Y228" i="1" s="1"/>
  <c r="X216" i="1"/>
  <c r="X206" i="1"/>
  <c r="Y206" i="1" s="1"/>
  <c r="X14" i="1"/>
  <c r="Y14" i="1" s="1"/>
  <c r="X63" i="1"/>
  <c r="Y63" i="1" s="1"/>
  <c r="X29" i="1"/>
  <c r="Y29" i="1" s="1"/>
  <c r="X211" i="1"/>
  <c r="Y211" i="1" s="1"/>
  <c r="X59" i="1"/>
  <c r="Y59" i="1" s="1"/>
  <c r="X108" i="1"/>
  <c r="Y108" i="1" s="1"/>
  <c r="X28" i="1"/>
  <c r="X4" i="1"/>
  <c r="Y4" i="1" s="1"/>
  <c r="X24" i="1"/>
  <c r="Y24" i="1" s="1"/>
  <c r="X212" i="1"/>
  <c r="Y212" i="1" s="1"/>
  <c r="X3" i="1"/>
  <c r="Y3" i="1" s="1"/>
  <c r="X214" i="1"/>
  <c r="X160" i="1"/>
  <c r="Y160" i="1" s="1"/>
  <c r="X36" i="1"/>
  <c r="Y36" i="1" s="1"/>
  <c r="X85" i="1"/>
  <c r="X227" i="1"/>
  <c r="Y227" i="1" s="1"/>
  <c r="X184" i="1"/>
  <c r="Y184" i="1" s="1"/>
  <c r="X23" i="1"/>
  <c r="Y23" i="1" s="1"/>
  <c r="X226" i="1"/>
  <c r="Y226" i="1" s="1"/>
  <c r="X234" i="1"/>
  <c r="Y234" i="1" s="1"/>
  <c r="X42" i="1"/>
  <c r="Y42" i="1" s="1"/>
  <c r="X30" i="1"/>
  <c r="Y30" i="1" s="1"/>
  <c r="X222" i="1"/>
  <c r="X132" i="1"/>
  <c r="Y132" i="1" s="1"/>
  <c r="X113" i="1"/>
  <c r="X17" i="1"/>
  <c r="Y17" i="1" s="1"/>
  <c r="X155" i="1"/>
  <c r="Y155" i="1" s="1"/>
  <c r="X90" i="1"/>
  <c r="Y90" i="1" s="1"/>
  <c r="X7" i="1"/>
  <c r="Y7" i="1" s="1"/>
  <c r="X51" i="1"/>
  <c r="X69" i="1"/>
  <c r="X225" i="1"/>
  <c r="Y225" i="1" s="1"/>
  <c r="X46" i="1"/>
  <c r="Y46" i="1" s="1"/>
  <c r="X62" i="1"/>
  <c r="Y62" i="1" s="1"/>
  <c r="X39" i="1"/>
  <c r="Y39" i="1" s="1"/>
  <c r="X101" i="1"/>
  <c r="X230" i="1"/>
  <c r="Y230" i="1" s="1"/>
  <c r="X89" i="1"/>
  <c r="Y89" i="1" s="1"/>
  <c r="X161" i="1"/>
  <c r="Y145" i="1"/>
  <c r="X196" i="1"/>
  <c r="X168" i="1"/>
  <c r="Y168" i="1" s="1"/>
  <c r="X186" i="1"/>
  <c r="Y186" i="1" s="1"/>
  <c r="X16" i="1"/>
  <c r="Y16" i="1" s="1"/>
  <c r="X185" i="1"/>
  <c r="Y185" i="1" s="1"/>
  <c r="X53" i="1"/>
  <c r="Y53" i="1" s="1"/>
  <c r="X21" i="1"/>
  <c r="X52" i="1"/>
  <c r="Y52" i="1" s="1"/>
  <c r="X198" i="1"/>
  <c r="Y198" i="1" s="1"/>
  <c r="X213" i="1"/>
  <c r="Y213" i="1" s="1"/>
  <c r="X149" i="1"/>
  <c r="Y149" i="1" s="1"/>
  <c r="X97" i="1"/>
  <c r="X41" i="1"/>
  <c r="Y41" i="1" s="1"/>
  <c r="X207" i="1"/>
  <c r="Y207" i="1" s="1"/>
  <c r="X11" i="1"/>
  <c r="X49" i="1"/>
  <c r="Y49" i="1" s="1"/>
  <c r="X38" i="1"/>
  <c r="Y38" i="1" s="1"/>
  <c r="X169" i="1"/>
  <c r="Y169" i="1" s="1"/>
  <c r="X75" i="1"/>
  <c r="Y75" i="1" s="1"/>
  <c r="X128" i="1"/>
  <c r="Y128" i="1" s="1"/>
  <c r="X187" i="1"/>
  <c r="Y187" i="1" s="1"/>
  <c r="X158" i="1"/>
  <c r="X54" i="1"/>
  <c r="X88" i="1"/>
  <c r="Y88" i="1" s="1"/>
  <c r="X92" i="1"/>
  <c r="Y92" i="1" s="1"/>
  <c r="X191" i="1"/>
  <c r="Y191" i="1" s="1"/>
  <c r="X193" i="1"/>
  <c r="Y193" i="1" s="1"/>
  <c r="X111" i="1"/>
  <c r="Y111" i="1" s="1"/>
  <c r="X159" i="1"/>
  <c r="X205" i="1"/>
  <c r="Y205" i="1" s="1"/>
  <c r="X201" i="1"/>
  <c r="X100" i="1"/>
  <c r="Y100" i="1" s="1"/>
  <c r="X104" i="1"/>
  <c r="Y104" i="1" s="1"/>
  <c r="X40" i="1"/>
  <c r="Y40" i="1" s="1"/>
  <c r="X162" i="1"/>
  <c r="Y162" i="1" s="1"/>
  <c r="X163" i="1"/>
  <c r="Y163" i="1" s="1"/>
  <c r="X218" i="1"/>
  <c r="X192" i="1"/>
  <c r="X99" i="1"/>
  <c r="X150" i="1"/>
  <c r="Y150" i="1" s="1"/>
  <c r="X26" i="1"/>
  <c r="X119" i="1"/>
  <c r="Y119" i="1" s="1"/>
  <c r="X79" i="1"/>
  <c r="X120" i="1"/>
  <c r="Y120" i="1" s="1"/>
  <c r="X219" i="1"/>
  <c r="Y219" i="1" s="1"/>
  <c r="X127" i="1"/>
  <c r="X44" i="1"/>
  <c r="X135" i="1"/>
  <c r="Y135" i="1" s="1"/>
  <c r="X232" i="1"/>
  <c r="Y232" i="1" s="1"/>
  <c r="X141" i="1"/>
  <c r="Y141" i="1" s="1"/>
  <c r="X220" i="1"/>
  <c r="Y220" i="1" s="1"/>
  <c r="X148" i="1"/>
  <c r="Y148" i="1" s="1"/>
  <c r="X77" i="1"/>
  <c r="Y77" i="1" s="1"/>
  <c r="X60" i="1"/>
  <c r="Y60" i="1" s="1"/>
  <c r="Y137" i="1"/>
  <c r="Y138" i="1"/>
  <c r="X130" i="1"/>
  <c r="Y130" i="1" s="1"/>
  <c r="X156" i="1"/>
  <c r="Y156" i="1" s="1"/>
  <c r="X123" i="1"/>
  <c r="Y123" i="1" s="1"/>
  <c r="X194" i="1"/>
  <c r="Y194" i="1" s="1"/>
  <c r="X109" i="1"/>
  <c r="Y109" i="1" s="1"/>
  <c r="X71" i="1"/>
  <c r="Y71" i="1" s="1"/>
  <c r="X165" i="1"/>
  <c r="X118" i="1"/>
  <c r="Y118" i="1" s="1"/>
  <c r="X115" i="1"/>
  <c r="Y115" i="1" s="1"/>
  <c r="X147" i="1"/>
  <c r="Y147" i="1" s="1"/>
  <c r="X65" i="1"/>
  <c r="Y65" i="1" s="1"/>
  <c r="X73" i="1"/>
  <c r="Y73" i="1" s="1"/>
  <c r="X125" i="1"/>
  <c r="Y125" i="1" s="1"/>
  <c r="X154" i="1"/>
  <c r="Y154" i="1" s="1"/>
  <c r="X134" i="1"/>
  <c r="X61" i="1"/>
  <c r="Y61" i="1" s="1"/>
  <c r="X110" i="1"/>
  <c r="Y110" i="1" s="1"/>
  <c r="X76" i="1"/>
  <c r="Y76" i="1" s="1"/>
  <c r="X98" i="1"/>
  <c r="Y98" i="1" s="1"/>
  <c r="X221" i="1"/>
  <c r="X173" i="1"/>
  <c r="Y173" i="1" s="1"/>
  <c r="X180" i="1"/>
  <c r="Y180" i="1" s="1"/>
  <c r="X144" i="1"/>
  <c r="X84" i="1"/>
  <c r="Y84" i="1" s="1"/>
  <c r="X81" i="1"/>
  <c r="Y81" i="1" s="1"/>
  <c r="X114" i="1"/>
  <c r="Y114" i="1" s="1"/>
  <c r="X70" i="1"/>
  <c r="Y70" i="1" s="1"/>
  <c r="X151" i="1"/>
  <c r="Y151" i="1" s="1"/>
  <c r="X217" i="1"/>
  <c r="Y217" i="1" s="1"/>
  <c r="X177" i="1"/>
  <c r="X199" i="1"/>
  <c r="X122" i="1"/>
  <c r="Y122" i="1" s="1"/>
  <c r="X131" i="1"/>
  <c r="Y131" i="1" s="1"/>
  <c r="X166" i="1"/>
  <c r="Y166" i="1" s="1"/>
  <c r="X172" i="1"/>
  <c r="Y172" i="1" s="1"/>
  <c r="X200" i="1"/>
  <c r="Y200" i="1" s="1"/>
  <c r="X117" i="1"/>
  <c r="Y117" i="1" s="1"/>
  <c r="X95" i="1"/>
  <c r="Y95" i="1" s="1"/>
  <c r="X86" i="1"/>
  <c r="X190" i="1"/>
  <c r="X102" i="1"/>
  <c r="Y102" i="1" s="1"/>
  <c r="X152" i="1"/>
  <c r="Y152" i="1" s="1"/>
  <c r="X96" i="1"/>
  <c r="Y96" i="1" s="1"/>
  <c r="X157" i="1"/>
  <c r="Y157" i="1" s="1"/>
  <c r="X107" i="1"/>
  <c r="Y107" i="1" s="1"/>
  <c r="X133" i="1"/>
  <c r="Y133" i="1" s="1"/>
  <c r="X188" i="1"/>
  <c r="X94" i="1"/>
  <c r="Y94" i="1" s="1"/>
  <c r="X146" i="1"/>
  <c r="Y146" i="1" s="1"/>
  <c r="X202" i="1"/>
  <c r="Y202" i="1" s="1"/>
  <c r="X116" i="1"/>
  <c r="Y116" i="1" s="1"/>
  <c r="X27" i="1"/>
  <c r="Y27" i="1" s="1"/>
  <c r="X87" i="1"/>
  <c r="Y87" i="1" s="1"/>
  <c r="X164" i="1"/>
  <c r="Y164" i="1" s="1"/>
  <c r="X178" i="1"/>
  <c r="X126" i="1"/>
  <c r="Y126" i="1" s="1"/>
  <c r="X183" i="1"/>
  <c r="Y183" i="1" s="1"/>
  <c r="X80" i="1"/>
  <c r="Y80" i="1" s="1"/>
  <c r="X56" i="1"/>
  <c r="Y56" i="1" s="1"/>
  <c r="X93" i="1"/>
  <c r="Y93" i="1" s="1"/>
  <c r="X210" i="1"/>
  <c r="Y210" i="1" s="1"/>
  <c r="X124" i="1"/>
  <c r="Y124" i="1" s="1"/>
  <c r="X83" i="1"/>
  <c r="X74" i="1"/>
  <c r="Y74" i="1" s="1"/>
  <c r="X18" i="1"/>
  <c r="Y18" i="1" s="1"/>
  <c r="X105" i="1"/>
  <c r="Y105" i="1" s="1"/>
  <c r="X121" i="1"/>
  <c r="Y121" i="1" s="1"/>
  <c r="X66" i="1"/>
  <c r="Y66" i="1" s="1"/>
  <c r="X174" i="1"/>
  <c r="Y174" i="1" s="1"/>
  <c r="X35" i="1"/>
  <c r="Y35" i="1" s="1"/>
  <c r="X195" i="1"/>
  <c r="Y195" i="1" s="1"/>
  <c r="X182" i="1"/>
  <c r="Y182" i="1" s="1"/>
  <c r="X203" i="1"/>
  <c r="Y203" i="1" s="1"/>
  <c r="X48" i="1"/>
  <c r="Y48" i="1" s="1"/>
  <c r="X78" i="1"/>
  <c r="Y78" i="1" s="1"/>
  <c r="X45" i="1"/>
  <c r="X129" i="1"/>
  <c r="Y129" i="1" s="1"/>
  <c r="X171" i="1"/>
  <c r="Y171" i="1" s="1"/>
  <c r="X189" i="1"/>
  <c r="X181" i="1"/>
  <c r="Y181" i="1" s="1"/>
  <c r="X112" i="1"/>
  <c r="Y112" i="1" s="1"/>
  <c r="X170" i="1"/>
  <c r="Y170" i="1" s="1"/>
  <c r="X43" i="1"/>
  <c r="Y43" i="1" s="1"/>
  <c r="X167" i="1"/>
  <c r="X224" i="1"/>
  <c r="Y224" i="1" s="1"/>
  <c r="X57" i="1"/>
  <c r="Y57" i="1" s="1"/>
  <c r="X197" i="1"/>
  <c r="X176" i="1"/>
  <c r="Y176" i="1" s="1"/>
  <c r="X91" i="1"/>
  <c r="Y91" i="1" s="1"/>
  <c r="X82" i="1"/>
  <c r="Y82" i="1" s="1"/>
  <c r="X175" i="1"/>
  <c r="X68" i="1"/>
  <c r="Y68" i="1" s="1"/>
  <c r="X67" i="1"/>
  <c r="Y67" i="1" s="1"/>
  <c r="X208" i="1"/>
  <c r="Y208" i="1" s="1"/>
  <c r="X15" i="1"/>
  <c r="Y15" i="1" s="1"/>
  <c r="X103" i="1"/>
  <c r="Y103" i="1" s="1"/>
  <c r="X106" i="1"/>
  <c r="Y106" i="1" s="1"/>
  <c r="X64" i="1"/>
  <c r="Y64" i="1" s="1"/>
  <c r="X13" i="1"/>
  <c r="Y13" i="1" s="1"/>
  <c r="X19" i="1"/>
  <c r="Y19" i="1" s="1"/>
  <c r="X34" i="1"/>
  <c r="Y34" i="1" s="1"/>
  <c r="X22" i="1"/>
  <c r="Y22" i="1" s="1"/>
  <c r="X58" i="1"/>
  <c r="X209" i="1"/>
  <c r="X153" i="1"/>
  <c r="Y153" i="1" s="1"/>
  <c r="X55" i="1"/>
  <c r="Y55" i="1" s="1"/>
  <c r="X72" i="1"/>
  <c r="Y72" i="1" s="1"/>
  <c r="X20" i="1"/>
  <c r="Y20" i="1" s="1"/>
  <c r="X143" i="1"/>
  <c r="Y143" i="1" s="1"/>
  <c r="X31" i="1"/>
  <c r="Y31" i="1" s="1"/>
  <c r="X179" i="1"/>
  <c r="X10" i="1"/>
  <c r="Y10" i="1" s="1"/>
  <c r="X5" i="1"/>
  <c r="Y5" i="1" s="1"/>
  <c r="X204" i="1"/>
  <c r="Y204" i="1" s="1"/>
  <c r="X215" i="1"/>
  <c r="Y215" i="1" s="1"/>
  <c r="X6" i="1"/>
  <c r="Y6" i="1" s="1"/>
  <c r="X229" i="1"/>
  <c r="Y229" i="1" s="1"/>
  <c r="X25" i="1"/>
  <c r="Y25" i="1" s="1"/>
  <c r="X235" i="1"/>
  <c r="X32" i="1"/>
  <c r="X233" i="1"/>
  <c r="Y233" i="1" s="1"/>
  <c r="X12" i="1"/>
  <c r="Y12" i="1" s="1"/>
  <c r="X8" i="1"/>
  <c r="Y8" i="1" s="1"/>
  <c r="X236" i="1"/>
  <c r="Y236" i="1" s="1"/>
  <c r="X37" i="1"/>
  <c r="Y37" i="1" s="1"/>
  <c r="X9" i="1"/>
  <c r="Y9" i="1" s="1"/>
  <c r="Q240" i="1"/>
  <c r="N117" i="3"/>
  <c r="AB146" i="2"/>
  <c r="J5" i="2"/>
  <c r="J11" i="2"/>
  <c r="J21" i="2"/>
  <c r="J53" i="2"/>
  <c r="J26" i="2"/>
  <c r="J17" i="2"/>
  <c r="J18" i="2"/>
  <c r="J60" i="2"/>
  <c r="J27" i="2"/>
  <c r="J141" i="2"/>
  <c r="J15" i="2"/>
  <c r="J120" i="2"/>
  <c r="J8" i="2"/>
  <c r="J23" i="2"/>
  <c r="J84" i="2"/>
  <c r="J54" i="2"/>
  <c r="J104" i="2"/>
  <c r="J137" i="2"/>
  <c r="J70" i="2"/>
  <c r="J35" i="2"/>
  <c r="J136" i="2"/>
  <c r="J128" i="2"/>
  <c r="J7" i="2"/>
  <c r="J46" i="2"/>
  <c r="J41" i="2"/>
  <c r="J86" i="2"/>
  <c r="J29" i="2"/>
  <c r="J19" i="2"/>
  <c r="J9" i="2"/>
  <c r="J39" i="2"/>
  <c r="J125" i="2"/>
  <c r="J56" i="2"/>
  <c r="J73" i="2"/>
  <c r="J14" i="2"/>
  <c r="J124" i="2"/>
  <c r="J45" i="2"/>
  <c r="J30" i="2"/>
  <c r="J93" i="2"/>
  <c r="J49" i="2"/>
  <c r="J91" i="2"/>
  <c r="J116" i="2"/>
  <c r="J12" i="2"/>
  <c r="J132" i="2"/>
  <c r="J13" i="2"/>
  <c r="J85" i="2"/>
  <c r="J109" i="2"/>
  <c r="J110" i="2"/>
  <c r="J48" i="2"/>
  <c r="J119" i="2"/>
  <c r="J6" i="2"/>
  <c r="J94" i="2"/>
  <c r="J126" i="2"/>
  <c r="J89" i="2"/>
  <c r="J130" i="2"/>
  <c r="J33" i="2"/>
  <c r="J55" i="2"/>
  <c r="J10" i="2"/>
  <c r="J64" i="2"/>
  <c r="J90" i="2"/>
  <c r="J16" i="2"/>
  <c r="J61" i="2"/>
  <c r="J69" i="2"/>
  <c r="J96" i="2"/>
  <c r="J97" i="2"/>
  <c r="J115" i="2"/>
  <c r="J22" i="2"/>
  <c r="J117" i="2"/>
  <c r="J111" i="2"/>
  <c r="J34" i="2"/>
  <c r="J131" i="2"/>
  <c r="J75" i="2"/>
  <c r="J59" i="2"/>
  <c r="J37" i="2"/>
  <c r="J68" i="2"/>
  <c r="J122" i="2"/>
  <c r="J92" i="2"/>
  <c r="J43" i="2"/>
  <c r="J40" i="2"/>
  <c r="J52" i="2"/>
  <c r="J58" i="2"/>
  <c r="J66" i="2"/>
  <c r="J44" i="2"/>
  <c r="J74" i="2"/>
  <c r="J123" i="2"/>
  <c r="J67" i="2"/>
  <c r="J139" i="2"/>
  <c r="J129" i="2"/>
  <c r="J118" i="2"/>
  <c r="J100" i="2"/>
  <c r="J57" i="2"/>
  <c r="J121" i="2"/>
  <c r="J3" i="2"/>
  <c r="J88" i="2"/>
  <c r="J107" i="2"/>
  <c r="J103" i="2"/>
  <c r="J102" i="2"/>
  <c r="J20" i="2"/>
  <c r="J28" i="2"/>
  <c r="J98" i="2"/>
  <c r="J63" i="2"/>
  <c r="J112" i="2"/>
  <c r="J38" i="2"/>
  <c r="J65" i="2"/>
  <c r="J71" i="2"/>
  <c r="J87" i="2"/>
  <c r="J114" i="2"/>
  <c r="J24" i="2"/>
  <c r="J47" i="2"/>
  <c r="J50" i="2"/>
  <c r="J25" i="2"/>
  <c r="J113" i="2"/>
  <c r="J105" i="2"/>
  <c r="J32" i="2"/>
  <c r="J99" i="2"/>
  <c r="J72" i="2"/>
  <c r="J108" i="2"/>
  <c r="J106" i="2"/>
  <c r="J140" i="2"/>
  <c r="J134" i="2"/>
  <c r="J42" i="2"/>
  <c r="J101" i="2"/>
  <c r="J127" i="2"/>
  <c r="J36" i="2"/>
  <c r="J138" i="2"/>
  <c r="J51" i="2"/>
  <c r="J133" i="2"/>
  <c r="J95" i="2"/>
  <c r="J142" i="2"/>
  <c r="J135" i="2"/>
  <c r="J31" i="2"/>
  <c r="J4" i="2"/>
  <c r="J42" i="1"/>
  <c r="Z240" i="1"/>
  <c r="F240" i="1"/>
  <c r="C146" i="2"/>
  <c r="Z41" i="7"/>
  <c r="AA146" i="2"/>
  <c r="M146" i="2"/>
  <c r="Y5" i="7"/>
  <c r="Y40" i="7"/>
  <c r="J3" i="3"/>
  <c r="K4" i="2"/>
  <c r="K128" i="2"/>
  <c r="K90" i="2"/>
  <c r="K116" i="2"/>
  <c r="K5" i="2"/>
  <c r="K45" i="2"/>
  <c r="K67" i="2"/>
  <c r="K103" i="2"/>
  <c r="K102" i="2"/>
  <c r="K132" i="2"/>
  <c r="K11" i="2"/>
  <c r="K96" i="2"/>
  <c r="K73" i="2"/>
  <c r="K52" i="2"/>
  <c r="K21" i="2"/>
  <c r="K44" i="2"/>
  <c r="K48" i="2"/>
  <c r="K43" i="2"/>
  <c r="K53" i="2"/>
  <c r="K26" i="2"/>
  <c r="K126" i="2"/>
  <c r="K17" i="2"/>
  <c r="K18" i="2"/>
  <c r="K27" i="2"/>
  <c r="K68" i="2"/>
  <c r="K141" i="2"/>
  <c r="K60" i="2"/>
  <c r="K38" i="2"/>
  <c r="K15" i="2"/>
  <c r="K120" i="2"/>
  <c r="K8" i="2"/>
  <c r="K54" i="2"/>
  <c r="K23" i="2"/>
  <c r="K84" i="2"/>
  <c r="K136" i="2"/>
  <c r="K104" i="2"/>
  <c r="K137" i="2"/>
  <c r="K70" i="2"/>
  <c r="K35" i="2"/>
  <c r="K55" i="2"/>
  <c r="K7" i="2"/>
  <c r="K29" i="2"/>
  <c r="K46" i="2"/>
  <c r="K41" i="2"/>
  <c r="K86" i="2"/>
  <c r="K19" i="2"/>
  <c r="K39" i="2"/>
  <c r="K9" i="2"/>
  <c r="K56" i="2"/>
  <c r="K125" i="2"/>
  <c r="K14" i="2"/>
  <c r="K124" i="2"/>
  <c r="K30" i="2"/>
  <c r="K93" i="2"/>
  <c r="K49" i="2"/>
  <c r="K13" i="2"/>
  <c r="K91" i="2"/>
  <c r="K109" i="2"/>
  <c r="K12" i="2"/>
  <c r="K110" i="2"/>
  <c r="K85" i="2"/>
  <c r="K6" i="2"/>
  <c r="K119" i="2"/>
  <c r="K94" i="2"/>
  <c r="K130" i="2"/>
  <c r="K89" i="2"/>
  <c r="K16" i="2"/>
  <c r="K64" i="2"/>
  <c r="K33" i="2"/>
  <c r="K10" i="2"/>
  <c r="K78" i="2"/>
  <c r="K61" i="2"/>
  <c r="K76" i="2"/>
  <c r="K77" i="2"/>
  <c r="K79" i="2"/>
  <c r="K80" i="2"/>
  <c r="K83" i="2"/>
  <c r="K62" i="2"/>
  <c r="K82" i="2"/>
  <c r="K69" i="2"/>
  <c r="K97" i="2"/>
  <c r="K115" i="2"/>
  <c r="K22" i="2"/>
  <c r="K117" i="2"/>
  <c r="K131" i="2"/>
  <c r="K111" i="2"/>
  <c r="K34" i="2"/>
  <c r="K59" i="2"/>
  <c r="K75" i="2"/>
  <c r="K37" i="2"/>
  <c r="K92" i="2"/>
  <c r="K122" i="2"/>
  <c r="K66" i="2"/>
  <c r="K40" i="2"/>
  <c r="K58" i="2"/>
  <c r="K3" i="2"/>
  <c r="K118" i="2"/>
  <c r="K100" i="2"/>
  <c r="K74" i="2"/>
  <c r="K139" i="2"/>
  <c r="K129" i="2"/>
  <c r="K123" i="2"/>
  <c r="K121" i="2"/>
  <c r="K57" i="2"/>
  <c r="K81" i="2"/>
  <c r="K107" i="2"/>
  <c r="K88" i="2"/>
  <c r="K87" i="2"/>
  <c r="K28" i="2"/>
  <c r="K20" i="2"/>
  <c r="K98" i="2"/>
  <c r="K63" i="2"/>
  <c r="K71" i="2"/>
  <c r="K112" i="2"/>
  <c r="K65" i="2"/>
  <c r="K47" i="2"/>
  <c r="K114" i="2"/>
  <c r="K24" i="2"/>
  <c r="K50" i="2"/>
  <c r="K113" i="2"/>
  <c r="K25" i="2"/>
  <c r="K32" i="2"/>
  <c r="K72" i="2"/>
  <c r="K108" i="2"/>
  <c r="K105" i="2"/>
  <c r="K99" i="2"/>
  <c r="K134" i="2"/>
  <c r="K106" i="2"/>
  <c r="K140" i="2"/>
  <c r="K42" i="2"/>
  <c r="K101" i="2"/>
  <c r="K127" i="2"/>
  <c r="K36" i="2"/>
  <c r="K138" i="2"/>
  <c r="K51" i="2"/>
  <c r="K133" i="2"/>
  <c r="K95" i="2"/>
  <c r="K142" i="2"/>
  <c r="K135" i="2"/>
  <c r="K31" i="2"/>
  <c r="Y223" i="1"/>
  <c r="Y28" i="1"/>
  <c r="Y216" i="1"/>
  <c r="Y214" i="1"/>
  <c r="Y11" i="1"/>
  <c r="Y221" i="1"/>
  <c r="Y54" i="1"/>
  <c r="Y218" i="1"/>
  <c r="Y85" i="1"/>
  <c r="Y21" i="1"/>
  <c r="Y50" i="1"/>
  <c r="Y113" i="1"/>
  <c r="Y161" i="1"/>
  <c r="Y192" i="1"/>
  <c r="Y197" i="1"/>
  <c r="Y101" i="1"/>
  <c r="Y201" i="1"/>
  <c r="Y158" i="1"/>
  <c r="Y69" i="1"/>
  <c r="Y97" i="1"/>
  <c r="Y44" i="1"/>
  <c r="Y45" i="1"/>
  <c r="Y99" i="1"/>
  <c r="Y159" i="1"/>
  <c r="Y79" i="1"/>
  <c r="Y167" i="1"/>
  <c r="Y196" i="1"/>
  <c r="Y199" i="1"/>
  <c r="Y142" i="1"/>
  <c r="Y127" i="1"/>
  <c r="Y136" i="1"/>
  <c r="Y139" i="1"/>
  <c r="Y140" i="1"/>
  <c r="Y165" i="1"/>
  <c r="Y177" i="1"/>
  <c r="Y190" i="1"/>
  <c r="Y188" i="1"/>
  <c r="Y178" i="1"/>
  <c r="Y83" i="1"/>
  <c r="Y189" i="1"/>
  <c r="Y175" i="1"/>
  <c r="Y209" i="1"/>
  <c r="Y235" i="1"/>
  <c r="Y58" i="1"/>
  <c r="Y51" i="1"/>
  <c r="Y134" i="1"/>
  <c r="Y222" i="1"/>
  <c r="Y144" i="1"/>
  <c r="Y86" i="1"/>
  <c r="Y179" i="1"/>
  <c r="Y32" i="1"/>
  <c r="G5" i="1"/>
  <c r="G9" i="1"/>
  <c r="AA425" i="9"/>
  <c r="M433" i="9" s="1"/>
  <c r="N425" i="9"/>
  <c r="Z32" i="7"/>
  <c r="Z31" i="7"/>
  <c r="Z30" i="7"/>
  <c r="Z23" i="7"/>
  <c r="Z25" i="7"/>
  <c r="Z24" i="7"/>
  <c r="Z19" i="7"/>
  <c r="Z12" i="7"/>
  <c r="Z5" i="7"/>
  <c r="G62" i="3"/>
  <c r="O117" i="3"/>
  <c r="Z40" i="7"/>
  <c r="C117" i="3"/>
  <c r="C240" i="1"/>
  <c r="F146" i="2"/>
  <c r="G81" i="2"/>
  <c r="G100" i="2"/>
  <c r="G130" i="2"/>
  <c r="G129" i="2"/>
  <c r="G101" i="2"/>
  <c r="G22" i="2"/>
  <c r="G34" i="2"/>
  <c r="G56" i="2"/>
  <c r="G93" i="2"/>
  <c r="G39" i="2"/>
  <c r="G61" i="2"/>
  <c r="G65" i="2"/>
  <c r="G66" i="2"/>
  <c r="G76" i="2"/>
  <c r="G122" i="2"/>
  <c r="G77" i="2"/>
  <c r="G140" i="2"/>
  <c r="G83" i="2"/>
  <c r="G112" i="2"/>
  <c r="G62" i="2"/>
  <c r="G91" i="2"/>
  <c r="G59" i="2"/>
  <c r="G37" i="2"/>
  <c r="G79" i="2"/>
  <c r="G106" i="2"/>
  <c r="G32" i="2"/>
  <c r="G124" i="2"/>
  <c r="G30" i="2"/>
  <c r="G115" i="2"/>
  <c r="G28" i="2"/>
  <c r="G85" i="2"/>
  <c r="G46" i="2"/>
  <c r="G114" i="2"/>
  <c r="G18" i="2"/>
  <c r="G70" i="2"/>
  <c r="G57" i="2"/>
  <c r="G97" i="2"/>
  <c r="G117" i="2"/>
  <c r="G40" i="2"/>
  <c r="G113" i="2"/>
  <c r="G29" i="2"/>
  <c r="G64" i="2"/>
  <c r="G82" i="2"/>
  <c r="G110" i="2"/>
  <c r="G80" i="2"/>
  <c r="G89" i="2"/>
  <c r="G78" i="2"/>
  <c r="G58" i="2"/>
  <c r="G111" i="2"/>
  <c r="G75" i="2"/>
  <c r="G74" i="2"/>
  <c r="G10" i="2"/>
  <c r="G42" i="2"/>
  <c r="G19" i="2"/>
  <c r="G63" i="2"/>
  <c r="G92" i="2"/>
  <c r="G21" i="2"/>
  <c r="G15" i="2"/>
  <c r="G137" i="2"/>
  <c r="G71" i="2"/>
  <c r="G72" i="2"/>
  <c r="G127" i="2"/>
  <c r="G125" i="2"/>
  <c r="G84" i="2"/>
  <c r="G104" i="2"/>
  <c r="G11" i="2"/>
  <c r="G88" i="2"/>
  <c r="G13" i="2"/>
  <c r="G109" i="2"/>
  <c r="G60" i="2"/>
  <c r="G20" i="2"/>
  <c r="G49" i="2"/>
  <c r="G118" i="2"/>
  <c r="G138" i="2"/>
  <c r="G139" i="2"/>
  <c r="G41" i="2"/>
  <c r="G69" i="2"/>
  <c r="G135" i="2"/>
  <c r="G107" i="2"/>
  <c r="G26" i="2"/>
  <c r="G141" i="2"/>
  <c r="G134" i="2"/>
  <c r="G99" i="2"/>
  <c r="G86" i="2"/>
  <c r="G123" i="2"/>
  <c r="G136" i="2"/>
  <c r="G27" i="2"/>
  <c r="G24" i="2"/>
  <c r="G5" i="2"/>
  <c r="G9" i="2"/>
  <c r="G25" i="2"/>
  <c r="G47" i="2"/>
  <c r="G87" i="2"/>
  <c r="G3" i="2"/>
  <c r="J28" i="3"/>
  <c r="J47" i="3"/>
  <c r="J105" i="1"/>
  <c r="J63" i="1"/>
  <c r="J35" i="1"/>
  <c r="J19" i="1"/>
  <c r="J23" i="1"/>
  <c r="Z425" i="9"/>
  <c r="M425" i="9"/>
  <c r="U58" i="3"/>
  <c r="U76" i="3"/>
  <c r="U27" i="3"/>
  <c r="T58" i="3"/>
  <c r="T76" i="3"/>
  <c r="T27" i="3"/>
  <c r="U36" i="2"/>
  <c r="U142" i="2"/>
  <c r="U129" i="2"/>
  <c r="U122" i="2"/>
  <c r="U140" i="2"/>
  <c r="T36" i="2"/>
  <c r="T142" i="2"/>
  <c r="T129" i="2"/>
  <c r="T122" i="2"/>
  <c r="T140" i="2"/>
  <c r="V77" i="1"/>
  <c r="U143" i="1"/>
  <c r="V143" i="1"/>
  <c r="U19" i="1"/>
  <c r="V19" i="1"/>
  <c r="U31" i="1"/>
  <c r="V31" i="1"/>
  <c r="U40" i="1"/>
  <c r="V40" i="1"/>
  <c r="U34" i="1"/>
  <c r="V34" i="1"/>
  <c r="U195" i="1"/>
  <c r="V195" i="1"/>
  <c r="U13" i="1"/>
  <c r="V13" i="1"/>
  <c r="U26" i="1"/>
  <c r="V26" i="1"/>
  <c r="AD51" i="3"/>
  <c r="AD67" i="3"/>
  <c r="AD85" i="3"/>
  <c r="AD60" i="3"/>
  <c r="AD59" i="3"/>
  <c r="AD25" i="3"/>
  <c r="AD58" i="3"/>
  <c r="AD76" i="3"/>
  <c r="AD27" i="3"/>
  <c r="T25" i="3"/>
  <c r="U25" i="3"/>
  <c r="K25" i="3"/>
  <c r="K58" i="3"/>
  <c r="K76" i="3"/>
  <c r="K27" i="3"/>
  <c r="J25" i="3"/>
  <c r="J58" i="3"/>
  <c r="J76" i="3"/>
  <c r="J27" i="3"/>
  <c r="G25" i="3"/>
  <c r="G58" i="3"/>
  <c r="G76" i="3"/>
  <c r="G27" i="3"/>
  <c r="AC135" i="2"/>
  <c r="AC138" i="2"/>
  <c r="AC4" i="2"/>
  <c r="AC31" i="2"/>
  <c r="AC81" i="2"/>
  <c r="AC119" i="2"/>
  <c r="T35" i="2"/>
  <c r="U35" i="2"/>
  <c r="G35" i="2"/>
  <c r="G36" i="2"/>
  <c r="G142" i="2"/>
  <c r="AB77" i="1"/>
  <c r="AB143" i="1"/>
  <c r="AB19" i="1"/>
  <c r="AB31" i="1"/>
  <c r="AB40" i="1"/>
  <c r="AB34" i="1"/>
  <c r="AB195" i="1"/>
  <c r="AB13" i="1"/>
  <c r="AB26" i="1"/>
  <c r="AB9" i="1"/>
  <c r="U77" i="1"/>
  <c r="J37" i="1"/>
  <c r="J191" i="1"/>
  <c r="K191" i="1"/>
  <c r="J166" i="1"/>
  <c r="K166" i="1"/>
  <c r="J4" i="1"/>
  <c r="K4" i="1"/>
  <c r="J234" i="1"/>
  <c r="K234" i="1"/>
  <c r="J7" i="1"/>
  <c r="K7" i="1"/>
  <c r="J222" i="1"/>
  <c r="K222" i="1"/>
  <c r="J167" i="1"/>
  <c r="K167" i="1"/>
  <c r="K63" i="1"/>
  <c r="J85" i="1"/>
  <c r="K85" i="1"/>
  <c r="G77" i="1"/>
  <c r="G143" i="1"/>
  <c r="G19" i="1"/>
  <c r="G31" i="1"/>
  <c r="G40" i="1"/>
  <c r="G34" i="1"/>
  <c r="G195" i="1"/>
  <c r="G13" i="1"/>
  <c r="G26" i="1"/>
  <c r="G89" i="1"/>
  <c r="L425" i="9"/>
  <c r="Y425" i="9"/>
  <c r="X425" i="9"/>
  <c r="W425" i="9"/>
  <c r="V425" i="9"/>
  <c r="U425" i="9"/>
  <c r="T425" i="9"/>
  <c r="S425" i="9"/>
  <c r="R425" i="9"/>
  <c r="Q425" i="9"/>
  <c r="P425" i="9"/>
  <c r="O425" i="9"/>
  <c r="K425" i="9"/>
  <c r="J425" i="9"/>
  <c r="I425" i="9"/>
  <c r="H425" i="9"/>
  <c r="G425" i="9"/>
  <c r="F425" i="9"/>
  <c r="E425" i="9"/>
  <c r="D425" i="9"/>
  <c r="C425" i="9"/>
  <c r="B425" i="9"/>
  <c r="F148" i="2" l="1"/>
  <c r="Q242" i="1"/>
  <c r="E330" i="5"/>
  <c r="J330" i="5"/>
  <c r="I2" i="5"/>
  <c r="F119" i="3"/>
  <c r="J146" i="2"/>
  <c r="K433" i="9"/>
  <c r="AA33" i="7"/>
  <c r="AA26" i="7"/>
  <c r="AA243" i="1"/>
  <c r="Y26" i="1"/>
  <c r="Z33" i="7"/>
  <c r="Z26" i="7"/>
  <c r="F120" i="3"/>
  <c r="L433" i="9"/>
  <c r="U146" i="2"/>
  <c r="AB149" i="2"/>
  <c r="AC120" i="3"/>
  <c r="AB120" i="3"/>
  <c r="AA149" i="2"/>
  <c r="AB240" i="1"/>
  <c r="V240" i="1"/>
  <c r="Z243" i="1"/>
  <c r="U117" i="3"/>
  <c r="Q119" i="3"/>
  <c r="K330" i="5"/>
  <c r="I433" i="9"/>
  <c r="J433" i="9"/>
  <c r="C433" i="9"/>
  <c r="D433" i="9"/>
  <c r="A433" i="9"/>
  <c r="B433" i="9"/>
  <c r="E433" i="9"/>
  <c r="F433" i="9"/>
  <c r="H433" i="9"/>
  <c r="G433" i="9"/>
  <c r="U31" i="2"/>
  <c r="U98" i="2"/>
  <c r="U95" i="2"/>
  <c r="U94" i="2"/>
  <c r="T31" i="2"/>
  <c r="T98" i="2"/>
  <c r="T95" i="2"/>
  <c r="T94" i="2"/>
  <c r="T81" i="2"/>
  <c r="V68" i="1"/>
  <c r="V219" i="1"/>
  <c r="V212" i="1"/>
  <c r="V7" i="1"/>
  <c r="V50" i="1"/>
  <c r="V30" i="1"/>
  <c r="V43" i="1"/>
  <c r="V21" i="1"/>
  <c r="V89" i="1"/>
  <c r="U68" i="1"/>
  <c r="U219" i="1"/>
  <c r="U212" i="1"/>
  <c r="U7" i="1"/>
  <c r="U50" i="1"/>
  <c r="U30" i="1"/>
  <c r="U43" i="1"/>
  <c r="U21" i="1"/>
  <c r="U89" i="1"/>
  <c r="U236" i="1"/>
  <c r="AC107" i="2"/>
  <c r="AC113" i="2"/>
  <c r="AC28" i="2"/>
  <c r="AC101" i="2"/>
  <c r="AC14" i="2"/>
  <c r="AC127" i="2"/>
  <c r="AC74" i="2"/>
  <c r="AC24" i="2"/>
  <c r="AC42" i="2"/>
  <c r="AC50" i="2"/>
  <c r="AC32" i="2"/>
  <c r="G94" i="2"/>
  <c r="G95" i="2"/>
  <c r="G98" i="2"/>
  <c r="G31" i="2"/>
  <c r="J226" i="1"/>
  <c r="J161" i="1"/>
  <c r="K161" i="1"/>
  <c r="K226" i="1"/>
  <c r="K46" i="1"/>
  <c r="K212" i="1"/>
  <c r="K163" i="1"/>
  <c r="J46" i="1"/>
  <c r="J212" i="1"/>
  <c r="J163" i="1"/>
  <c r="J231" i="1"/>
  <c r="K231" i="1"/>
  <c r="AB7" i="1"/>
  <c r="AB50" i="1"/>
  <c r="AB30" i="1"/>
  <c r="AB43" i="1"/>
  <c r="AB21" i="1"/>
  <c r="AB89" i="1"/>
  <c r="AB212" i="1"/>
  <c r="AB8" i="1"/>
  <c r="AB14" i="1"/>
  <c r="AB63" i="1"/>
  <c r="AB209" i="1"/>
  <c r="AB55" i="1"/>
  <c r="AB15" i="1"/>
  <c r="AB225" i="1"/>
  <c r="AB108" i="1"/>
  <c r="AB184" i="1"/>
  <c r="AB213" i="1"/>
  <c r="AB169" i="1"/>
  <c r="AB38" i="1"/>
  <c r="AB33" i="1"/>
  <c r="AB61" i="1"/>
  <c r="AB191" i="1"/>
  <c r="AB65" i="1"/>
  <c r="AB229" i="1"/>
  <c r="AB3" i="1"/>
  <c r="AB220" i="1"/>
  <c r="AB217" i="1"/>
  <c r="AB187" i="1"/>
  <c r="AB105" i="1"/>
  <c r="AB64" i="1"/>
  <c r="AB192" i="1"/>
  <c r="AB90" i="1"/>
  <c r="AB165" i="1"/>
  <c r="AB158" i="1"/>
  <c r="AB80" i="1"/>
  <c r="AB120" i="1"/>
  <c r="AB130" i="1"/>
  <c r="AB82" i="1"/>
  <c r="AB232" i="1"/>
  <c r="AB230" i="1"/>
  <c r="AB79" i="1"/>
  <c r="AB103" i="1"/>
  <c r="AB157" i="1"/>
  <c r="AB218" i="1"/>
  <c r="AB231" i="1"/>
  <c r="AB39" i="1"/>
  <c r="AB163" i="1"/>
  <c r="AB203" i="1"/>
  <c r="AB150" i="1"/>
  <c r="AB58" i="1"/>
  <c r="AB53" i="1"/>
  <c r="AB153" i="1"/>
  <c r="AB22" i="1"/>
  <c r="AB178" i="1"/>
  <c r="AB206" i="1"/>
  <c r="AB189" i="1"/>
  <c r="AB141" i="1"/>
  <c r="AB135" i="1"/>
  <c r="AB177" i="1"/>
  <c r="AB113" i="1"/>
  <c r="AB131" i="1"/>
  <c r="AB112" i="1"/>
  <c r="AB179" i="1"/>
  <c r="AB93" i="1"/>
  <c r="AB156" i="1"/>
  <c r="AB49" i="1"/>
  <c r="AB215" i="1"/>
  <c r="AB207" i="1"/>
  <c r="AB36" i="1"/>
  <c r="AB138" i="1"/>
  <c r="AB73" i="1"/>
  <c r="AB144" i="1"/>
  <c r="AB54" i="1"/>
  <c r="AB66" i="1"/>
  <c r="AB48" i="1"/>
  <c r="AB133" i="1"/>
  <c r="AB182" i="1"/>
  <c r="AB132" i="1"/>
  <c r="AB125" i="1"/>
  <c r="AB110" i="1"/>
  <c r="AB226" i="1"/>
  <c r="AB98" i="1"/>
  <c r="AB142" i="1"/>
  <c r="AB106" i="1"/>
  <c r="AB210" i="1"/>
  <c r="AB109" i="1"/>
  <c r="AB67" i="1"/>
  <c r="AB152" i="1"/>
  <c r="AB122" i="1"/>
  <c r="AB126" i="1"/>
  <c r="AB151" i="1"/>
  <c r="AB183" i="1"/>
  <c r="AB117" i="1"/>
  <c r="AB193" i="1"/>
  <c r="AB148" i="1"/>
  <c r="AB145" i="1"/>
  <c r="AB139" i="1"/>
  <c r="AB175" i="1"/>
  <c r="AB107" i="1"/>
  <c r="AB57" i="1"/>
  <c r="AB137" i="1"/>
  <c r="AB134" i="1"/>
  <c r="AB74" i="1"/>
  <c r="AB194" i="1"/>
  <c r="AB147" i="1"/>
  <c r="AB46" i="1"/>
  <c r="AB136" i="1"/>
  <c r="AB121" i="1"/>
  <c r="AB114" i="1"/>
  <c r="AB18" i="1"/>
  <c r="AB86" i="1"/>
  <c r="AB201" i="1"/>
  <c r="AB173" i="1"/>
  <c r="AB190" i="1"/>
  <c r="AB99" i="1"/>
  <c r="AB180" i="1"/>
  <c r="AB102" i="1"/>
  <c r="AB45" i="1"/>
  <c r="AB72" i="1"/>
  <c r="AB71" i="1"/>
  <c r="AB83" i="1"/>
  <c r="AB181" i="1"/>
  <c r="AB146" i="1"/>
  <c r="AB164" i="1"/>
  <c r="AB123" i="1"/>
  <c r="AB60" i="1"/>
  <c r="AB171" i="1"/>
  <c r="AB140" i="1"/>
  <c r="AB159" i="1"/>
  <c r="AB154" i="1"/>
  <c r="AB115" i="1"/>
  <c r="AB75" i="1"/>
  <c r="AB198" i="1"/>
  <c r="AB97" i="1"/>
  <c r="AB124" i="1"/>
  <c r="AB127" i="1"/>
  <c r="AB11" i="1"/>
  <c r="AB129" i="1"/>
  <c r="AB94" i="1"/>
  <c r="AB172" i="1"/>
  <c r="AB84" i="1"/>
  <c r="AB233" i="1"/>
  <c r="AB166" i="1"/>
  <c r="AB76" i="1"/>
  <c r="AB4" i="1"/>
  <c r="AB197" i="1"/>
  <c r="AB200" i="1"/>
  <c r="AB176" i="1"/>
  <c r="AB24" i="1"/>
  <c r="AB91" i="1"/>
  <c r="AB116" i="1"/>
  <c r="AB205" i="1"/>
  <c r="AB104" i="1"/>
  <c r="AB70" i="1"/>
  <c r="AB51" i="1"/>
  <c r="AB88" i="1"/>
  <c r="AB155" i="1"/>
  <c r="AB162" i="1"/>
  <c r="AB128" i="1"/>
  <c r="AB208" i="1"/>
  <c r="AB188" i="1"/>
  <c r="AB149" i="1"/>
  <c r="AB92" i="1"/>
  <c r="AB174" i="1"/>
  <c r="AB52" i="1"/>
  <c r="AB16" i="1"/>
  <c r="AB204" i="1"/>
  <c r="AB168" i="1"/>
  <c r="AB186" i="1"/>
  <c r="AB44" i="1"/>
  <c r="AB100" i="1"/>
  <c r="AB6" i="1"/>
  <c r="AB87" i="1"/>
  <c r="AB202" i="1"/>
  <c r="AB28" i="1"/>
  <c r="AB96" i="1"/>
  <c r="AB56" i="1"/>
  <c r="AB85" i="1"/>
  <c r="AB81" i="1"/>
  <c r="AB111" i="1"/>
  <c r="AB185" i="1"/>
  <c r="AB119" i="1"/>
  <c r="AB167" i="1"/>
  <c r="AB69" i="1"/>
  <c r="AB95" i="1"/>
  <c r="AB234" i="1"/>
  <c r="AB170" i="1"/>
  <c r="AB118" i="1"/>
  <c r="AB10" i="1"/>
  <c r="AB216" i="1"/>
  <c r="AB235" i="1"/>
  <c r="AB161" i="1"/>
  <c r="AB196" i="1"/>
  <c r="AB41" i="1"/>
  <c r="AB59" i="1"/>
  <c r="AB35" i="1"/>
  <c r="AB227" i="1"/>
  <c r="AB32" i="1"/>
  <c r="AB27" i="1"/>
  <c r="AB78" i="1"/>
  <c r="AB12" i="1"/>
  <c r="AB224" i="1"/>
  <c r="AB25" i="1"/>
  <c r="AB222" i="1"/>
  <c r="AB160" i="1"/>
  <c r="AB199" i="1"/>
  <c r="AB221" i="1"/>
  <c r="AB23" i="1"/>
  <c r="AB62" i="1"/>
  <c r="AB101" i="1"/>
  <c r="AB211" i="1"/>
  <c r="AB228" i="1"/>
  <c r="AB42" i="1"/>
  <c r="AB17" i="1"/>
  <c r="AB223" i="1"/>
  <c r="AB214" i="1"/>
  <c r="AB29" i="1"/>
  <c r="AB47" i="1"/>
  <c r="AB20" i="1"/>
  <c r="AB5" i="1"/>
  <c r="AB37" i="1"/>
  <c r="AB68" i="1"/>
  <c r="AB219" i="1"/>
  <c r="AB236" i="1"/>
  <c r="G21" i="1"/>
  <c r="G43" i="1"/>
  <c r="G30" i="1"/>
  <c r="G50" i="1"/>
  <c r="G7" i="1"/>
  <c r="U49" i="2"/>
  <c r="U10" i="2"/>
  <c r="U89" i="2"/>
  <c r="U119" i="2"/>
  <c r="U23" i="2"/>
  <c r="U51" i="2"/>
  <c r="U14" i="2"/>
  <c r="T49" i="2"/>
  <c r="T10" i="2"/>
  <c r="T89" i="2"/>
  <c r="T119" i="2"/>
  <c r="T23" i="2"/>
  <c r="T51" i="2"/>
  <c r="T14" i="2"/>
  <c r="U51" i="3"/>
  <c r="U67" i="3"/>
  <c r="U85" i="3"/>
  <c r="U60" i="3"/>
  <c r="U59" i="3"/>
  <c r="T51" i="3"/>
  <c r="T67" i="3"/>
  <c r="T85" i="3"/>
  <c r="T60" i="3"/>
  <c r="T59" i="3"/>
  <c r="G85" i="3"/>
  <c r="G60" i="3"/>
  <c r="G59" i="3"/>
  <c r="G67" i="3"/>
  <c r="G51" i="3"/>
  <c r="AC54" i="2"/>
  <c r="G119" i="2"/>
  <c r="G23" i="2"/>
  <c r="G51" i="2"/>
  <c r="G14" i="2"/>
  <c r="J34" i="1"/>
  <c r="K34" i="1"/>
  <c r="J20" i="1"/>
  <c r="K20" i="1"/>
  <c r="J38" i="1"/>
  <c r="K38" i="1"/>
  <c r="G219" i="1"/>
  <c r="G212" i="1"/>
  <c r="G68" i="1"/>
  <c r="AD62" i="3"/>
  <c r="AD112" i="3"/>
  <c r="AD100" i="3"/>
  <c r="AD46" i="3"/>
  <c r="AD9" i="3"/>
  <c r="AD5" i="3"/>
  <c r="AD68" i="3"/>
  <c r="AD109" i="3"/>
  <c r="AD82" i="3"/>
  <c r="AD24" i="3"/>
  <c r="AD56" i="3"/>
  <c r="AD19" i="3"/>
  <c r="AD4" i="3"/>
  <c r="AD12" i="3"/>
  <c r="AD65" i="3"/>
  <c r="AD3" i="3"/>
  <c r="AD83" i="3"/>
  <c r="AD107" i="3"/>
  <c r="AD98" i="3"/>
  <c r="AD75" i="3"/>
  <c r="AD97" i="3"/>
  <c r="AD108" i="3"/>
  <c r="AD55" i="3"/>
  <c r="AD31" i="3"/>
  <c r="AD30" i="3"/>
  <c r="AD54" i="3"/>
  <c r="AD80" i="3"/>
  <c r="AD90" i="3"/>
  <c r="AD81" i="3"/>
  <c r="AD50" i="3"/>
  <c r="AD23" i="3"/>
  <c r="AD44" i="3"/>
  <c r="AD101" i="3"/>
  <c r="AD40" i="3"/>
  <c r="AD52" i="3"/>
  <c r="AD53" i="3"/>
  <c r="AD93" i="3"/>
  <c r="AD48" i="3"/>
  <c r="AD37" i="3"/>
  <c r="AD63" i="3"/>
  <c r="AD43" i="3"/>
  <c r="AD99" i="3"/>
  <c r="AD45" i="3"/>
  <c r="AD34" i="3"/>
  <c r="AD69" i="3"/>
  <c r="AD70" i="3"/>
  <c r="AD72" i="3"/>
  <c r="AD79" i="3"/>
  <c r="AD42" i="3"/>
  <c r="AD10" i="3"/>
  <c r="AD20" i="3"/>
  <c r="AD29" i="3"/>
  <c r="AD87" i="3"/>
  <c r="AD95" i="3"/>
  <c r="AD77" i="3"/>
  <c r="AD22" i="3"/>
  <c r="AD21" i="3"/>
  <c r="AD14" i="3"/>
  <c r="AD61" i="3"/>
  <c r="AD78" i="3"/>
  <c r="AD94" i="3"/>
  <c r="AD41" i="3"/>
  <c r="AD64" i="3"/>
  <c r="AD57" i="3"/>
  <c r="AD96" i="3"/>
  <c r="AD66" i="3"/>
  <c r="AD86" i="3"/>
  <c r="AD103" i="3"/>
  <c r="AD104" i="3"/>
  <c r="AD17" i="3"/>
  <c r="AD15" i="3"/>
  <c r="AD113" i="3"/>
  <c r="AD73" i="3"/>
  <c r="AD47" i="3"/>
  <c r="AD49" i="3"/>
  <c r="AD91" i="3"/>
  <c r="AD39" i="3"/>
  <c r="AD18" i="3"/>
  <c r="AD74" i="3"/>
  <c r="AD35" i="3"/>
  <c r="AD71" i="3"/>
  <c r="AD89" i="3"/>
  <c r="AD92" i="3"/>
  <c r="AD38" i="3"/>
  <c r="AD110" i="3"/>
  <c r="AD26" i="3"/>
  <c r="AD28" i="3"/>
  <c r="AD11" i="3"/>
  <c r="AD6" i="3"/>
  <c r="AD84" i="3"/>
  <c r="AD7" i="3"/>
  <c r="AD105" i="3"/>
  <c r="AD16" i="3"/>
  <c r="AD33" i="3"/>
  <c r="AD102" i="3"/>
  <c r="AD32" i="3"/>
  <c r="AD36" i="3"/>
  <c r="AD13" i="3"/>
  <c r="AD111" i="3"/>
  <c r="AD88" i="3"/>
  <c r="AD106" i="3"/>
  <c r="AD8" i="3"/>
  <c r="AC5" i="2"/>
  <c r="AC21" i="2"/>
  <c r="AC9" i="2"/>
  <c r="AC26" i="2"/>
  <c r="AC7" i="2"/>
  <c r="AC131" i="2"/>
  <c r="AC53" i="2"/>
  <c r="AC141" i="2"/>
  <c r="AC8" i="2"/>
  <c r="AC94" i="2"/>
  <c r="AC11" i="2"/>
  <c r="AC122" i="2"/>
  <c r="AC47" i="2"/>
  <c r="AC27" i="2"/>
  <c r="AC84" i="2"/>
  <c r="AC137" i="2"/>
  <c r="AC17" i="2"/>
  <c r="AC35" i="2"/>
  <c r="AC129" i="2"/>
  <c r="AC140" i="2"/>
  <c r="AC12" i="2"/>
  <c r="AC3" i="2"/>
  <c r="AC15" i="2"/>
  <c r="AC142" i="2"/>
  <c r="AC123" i="2"/>
  <c r="AC29" i="2"/>
  <c r="AC128" i="2"/>
  <c r="AC90" i="2"/>
  <c r="AC70" i="2"/>
  <c r="AC36" i="2"/>
  <c r="AC46" i="2"/>
  <c r="AC125" i="2"/>
  <c r="AC89" i="2"/>
  <c r="AC136" i="2"/>
  <c r="AC49" i="2"/>
  <c r="AC18" i="2"/>
  <c r="AC73" i="2"/>
  <c r="AC117" i="2"/>
  <c r="AC16" i="2"/>
  <c r="AC124" i="2"/>
  <c r="AC41" i="2"/>
  <c r="AC30" i="2"/>
  <c r="AC6" i="2"/>
  <c r="AC19" i="2"/>
  <c r="AC116" i="2"/>
  <c r="AC134" i="2"/>
  <c r="AC92" i="2"/>
  <c r="AC51" i="2"/>
  <c r="AC95" i="2"/>
  <c r="AC45" i="2"/>
  <c r="AC33" i="2"/>
  <c r="AC100" i="2"/>
  <c r="AC86" i="2"/>
  <c r="AC120" i="2"/>
  <c r="AC87" i="2"/>
  <c r="AC98" i="2"/>
  <c r="AC115" i="2"/>
  <c r="AC43" i="2"/>
  <c r="AC93" i="2"/>
  <c r="AC133" i="2"/>
  <c r="AC22" i="2"/>
  <c r="AC102" i="2"/>
  <c r="AC13" i="2"/>
  <c r="AC96" i="2"/>
  <c r="AC69" i="2"/>
  <c r="AC91" i="2"/>
  <c r="AC52" i="2"/>
  <c r="AC109" i="2"/>
  <c r="AC111" i="2"/>
  <c r="AC44" i="2"/>
  <c r="AC67" i="2"/>
  <c r="AC118" i="2"/>
  <c r="AC71" i="2"/>
  <c r="AC104" i="2"/>
  <c r="AC110" i="2"/>
  <c r="AC38" i="2"/>
  <c r="AC97" i="2"/>
  <c r="AC25" i="2"/>
  <c r="AC40" i="2"/>
  <c r="AC99" i="2"/>
  <c r="AC20" i="2"/>
  <c r="AC75" i="2"/>
  <c r="AC48" i="2"/>
  <c r="AC85" i="2"/>
  <c r="AC88" i="2"/>
  <c r="AC121" i="2"/>
  <c r="AC68" i="2"/>
  <c r="AC126" i="2"/>
  <c r="AC103" i="2"/>
  <c r="AC132" i="2"/>
  <c r="AC55" i="2"/>
  <c r="AC34" i="2"/>
  <c r="AC108" i="2"/>
  <c r="AC65" i="2"/>
  <c r="AC63" i="2"/>
  <c r="AC66" i="2"/>
  <c r="AC59" i="2"/>
  <c r="AC82" i="2"/>
  <c r="AC83" i="2"/>
  <c r="AC62" i="2"/>
  <c r="AC79" i="2"/>
  <c r="AC80" i="2"/>
  <c r="AC76" i="2"/>
  <c r="AC61" i="2"/>
  <c r="AC78" i="2"/>
  <c r="AC64" i="2"/>
  <c r="AC60" i="2"/>
  <c r="AC77" i="2"/>
  <c r="AC58" i="2"/>
  <c r="AC57" i="2"/>
  <c r="AC105" i="2"/>
  <c r="AC139" i="2"/>
  <c r="AC39" i="2"/>
  <c r="AC10" i="2"/>
  <c r="AC37" i="2"/>
  <c r="AC23" i="2"/>
  <c r="AC112" i="2"/>
  <c r="AC56" i="2"/>
  <c r="AC72" i="2"/>
  <c r="AC106" i="2"/>
  <c r="AC114" i="2"/>
  <c r="AC130" i="2"/>
  <c r="K37" i="1"/>
  <c r="V236" i="1"/>
  <c r="U81" i="2"/>
  <c r="I3" i="5"/>
  <c r="T20" i="2"/>
  <c r="U20" i="2"/>
  <c r="T108" i="2"/>
  <c r="U108" i="2"/>
  <c r="T53" i="2"/>
  <c r="U53" i="2"/>
  <c r="V5" i="1"/>
  <c r="V128" i="1"/>
  <c r="V35" i="1"/>
  <c r="V78" i="1"/>
  <c r="U224" i="1"/>
  <c r="U5" i="1"/>
  <c r="U128" i="1"/>
  <c r="U35" i="1"/>
  <c r="U78" i="1"/>
  <c r="G53" i="2"/>
  <c r="G108" i="2"/>
  <c r="V224" i="1"/>
  <c r="K193" i="1"/>
  <c r="J17" i="1"/>
  <c r="J5" i="1"/>
  <c r="J33" i="1"/>
  <c r="J110" i="1"/>
  <c r="J132" i="1"/>
  <c r="J193" i="1"/>
  <c r="K5" i="1"/>
  <c r="K33" i="1"/>
  <c r="K110" i="1"/>
  <c r="K132" i="1"/>
  <c r="J29" i="1"/>
  <c r="G224" i="1"/>
  <c r="G128" i="1"/>
  <c r="G35" i="1"/>
  <c r="G78" i="1"/>
  <c r="U41" i="3"/>
  <c r="T101" i="3"/>
  <c r="T100" i="3"/>
  <c r="U100" i="3"/>
  <c r="T68" i="3"/>
  <c r="U84" i="3"/>
  <c r="T84" i="3"/>
  <c r="U13" i="3"/>
  <c r="U82" i="3"/>
  <c r="U4" i="3"/>
  <c r="U102" i="3"/>
  <c r="U90" i="3"/>
  <c r="U12" i="3"/>
  <c r="U23" i="3"/>
  <c r="U54" i="3"/>
  <c r="U63" i="3"/>
  <c r="U96" i="3"/>
  <c r="U29" i="3"/>
  <c r="U86" i="3"/>
  <c r="U32" i="3"/>
  <c r="U7" i="3"/>
  <c r="U49" i="3"/>
  <c r="U6" i="3"/>
  <c r="U83" i="3"/>
  <c r="U79" i="3"/>
  <c r="U18" i="3"/>
  <c r="U38" i="3"/>
  <c r="U48" i="3"/>
  <c r="U40" i="3"/>
  <c r="U81" i="3"/>
  <c r="U57" i="3"/>
  <c r="U11" i="3"/>
  <c r="U33" i="3"/>
  <c r="U91" i="3"/>
  <c r="U72" i="3"/>
  <c r="U69" i="3"/>
  <c r="U61" i="3"/>
  <c r="U87" i="3"/>
  <c r="U35" i="3"/>
  <c r="U80" i="3"/>
  <c r="U44" i="3"/>
  <c r="U95" i="3"/>
  <c r="U78" i="3"/>
  <c r="U10" i="3"/>
  <c r="U77" i="3"/>
  <c r="U47" i="3"/>
  <c r="U104" i="3"/>
  <c r="U62" i="3"/>
  <c r="U26" i="3"/>
  <c r="U70" i="3"/>
  <c r="U93" i="3"/>
  <c r="U65" i="3"/>
  <c r="U75" i="3"/>
  <c r="U50" i="3"/>
  <c r="U34" i="3"/>
  <c r="U28" i="3"/>
  <c r="U20" i="3"/>
  <c r="U89" i="3"/>
  <c r="U39" i="3"/>
  <c r="U66" i="3"/>
  <c r="U92" i="3"/>
  <c r="U45" i="3"/>
  <c r="U31" i="3"/>
  <c r="U46" i="3"/>
  <c r="U107" i="3"/>
  <c r="U74" i="3"/>
  <c r="U64" i="3"/>
  <c r="U21" i="3"/>
  <c r="U55" i="3"/>
  <c r="U112" i="3"/>
  <c r="U71" i="3"/>
  <c r="U99" i="3"/>
  <c r="U42" i="3"/>
  <c r="U36" i="3"/>
  <c r="U94" i="3"/>
  <c r="U30" i="3"/>
  <c r="U52" i="3"/>
  <c r="U98" i="3"/>
  <c r="U56" i="3"/>
  <c r="U8" i="3"/>
  <c r="U73" i="3"/>
  <c r="U37" i="3"/>
  <c r="U43" i="3"/>
  <c r="U53" i="3"/>
  <c r="U111" i="3"/>
  <c r="U110" i="3"/>
  <c r="U109" i="3"/>
  <c r="U105" i="3"/>
  <c r="U97" i="3"/>
  <c r="U16" i="3"/>
  <c r="U22" i="3"/>
  <c r="U108" i="3"/>
  <c r="U5" i="3"/>
  <c r="U19" i="3"/>
  <c r="U103" i="3"/>
  <c r="U101" i="3"/>
  <c r="U106" i="3"/>
  <c r="U88" i="3"/>
  <c r="U24" i="3"/>
  <c r="T41" i="3"/>
  <c r="T13" i="3"/>
  <c r="T82" i="3"/>
  <c r="T4" i="3"/>
  <c r="T102" i="3"/>
  <c r="T90" i="3"/>
  <c r="T12" i="3"/>
  <c r="T23" i="3"/>
  <c r="T54" i="3"/>
  <c r="T63" i="3"/>
  <c r="T96" i="3"/>
  <c r="T29" i="3"/>
  <c r="T86" i="3"/>
  <c r="T32" i="3"/>
  <c r="T7" i="3"/>
  <c r="T49" i="3"/>
  <c r="T6" i="3"/>
  <c r="T83" i="3"/>
  <c r="T79" i="3"/>
  <c r="T18" i="3"/>
  <c r="T38" i="3"/>
  <c r="T48" i="3"/>
  <c r="T40" i="3"/>
  <c r="T81" i="3"/>
  <c r="T57" i="3"/>
  <c r="T11" i="3"/>
  <c r="T33" i="3"/>
  <c r="T91" i="3"/>
  <c r="T72" i="3"/>
  <c r="T69" i="3"/>
  <c r="T61" i="3"/>
  <c r="T87" i="3"/>
  <c r="T35" i="3"/>
  <c r="T80" i="3"/>
  <c r="T44" i="3"/>
  <c r="T95" i="3"/>
  <c r="T78" i="3"/>
  <c r="T10" i="3"/>
  <c r="T77" i="3"/>
  <c r="T47" i="3"/>
  <c r="T104" i="3"/>
  <c r="T62" i="3"/>
  <c r="T26" i="3"/>
  <c r="T70" i="3"/>
  <c r="T93" i="3"/>
  <c r="T65" i="3"/>
  <c r="T75" i="3"/>
  <c r="T50" i="3"/>
  <c r="T34" i="3"/>
  <c r="T28" i="3"/>
  <c r="T20" i="3"/>
  <c r="T89" i="3"/>
  <c r="T39" i="3"/>
  <c r="T66" i="3"/>
  <c r="T92" i="3"/>
  <c r="T45" i="3"/>
  <c r="T31" i="3"/>
  <c r="T46" i="3"/>
  <c r="T107" i="3"/>
  <c r="T74" i="3"/>
  <c r="T64" i="3"/>
  <c r="T21" i="3"/>
  <c r="T55" i="3"/>
  <c r="T112" i="3"/>
  <c r="T71" i="3"/>
  <c r="T99" i="3"/>
  <c r="T42" i="3"/>
  <c r="T36" i="3"/>
  <c r="T94" i="3"/>
  <c r="T30" i="3"/>
  <c r="T52" i="3"/>
  <c r="T98" i="3"/>
  <c r="T56" i="3"/>
  <c r="T8" i="3"/>
  <c r="T73" i="3"/>
  <c r="T37" i="3"/>
  <c r="T43" i="3"/>
  <c r="T53" i="3"/>
  <c r="T111" i="3"/>
  <c r="T110" i="3"/>
  <c r="T109" i="3"/>
  <c r="T105" i="3"/>
  <c r="T97" i="3"/>
  <c r="T16" i="3"/>
  <c r="T22" i="3"/>
  <c r="T108" i="3"/>
  <c r="T5" i="3"/>
  <c r="T19" i="3"/>
  <c r="T103" i="3"/>
  <c r="T106" i="3"/>
  <c r="T88" i="3"/>
  <c r="T24" i="3"/>
  <c r="T14" i="3"/>
  <c r="U76" i="2"/>
  <c r="U105" i="2"/>
  <c r="U25" i="2"/>
  <c r="U138" i="2"/>
  <c r="T105" i="2"/>
  <c r="T25" i="2"/>
  <c r="T138" i="2"/>
  <c r="J47" i="1"/>
  <c r="V204" i="1"/>
  <c r="V203" i="1"/>
  <c r="V229" i="1"/>
  <c r="V17" i="1"/>
  <c r="V33" i="1"/>
  <c r="V209" i="1"/>
  <c r="V217" i="1"/>
  <c r="V4" i="1"/>
  <c r="V23" i="1"/>
  <c r="V27" i="1"/>
  <c r="V16" i="1"/>
  <c r="V9" i="1"/>
  <c r="V28" i="1"/>
  <c r="V61" i="1"/>
  <c r="V12" i="1"/>
  <c r="V227" i="1"/>
  <c r="V214" i="1"/>
  <c r="V55" i="1"/>
  <c r="V63" i="1"/>
  <c r="V187" i="1"/>
  <c r="V59" i="1"/>
  <c r="V38" i="1"/>
  <c r="V87" i="1"/>
  <c r="V69" i="1"/>
  <c r="V57" i="1"/>
  <c r="V228" i="1"/>
  <c r="V25" i="1"/>
  <c r="V20" i="1"/>
  <c r="U204" i="1"/>
  <c r="U203" i="1"/>
  <c r="U229" i="1"/>
  <c r="U17" i="1"/>
  <c r="U33" i="1"/>
  <c r="U209" i="1"/>
  <c r="U217" i="1"/>
  <c r="U4" i="1"/>
  <c r="U23" i="1"/>
  <c r="U27" i="1"/>
  <c r="U16" i="1"/>
  <c r="U9" i="1"/>
  <c r="U28" i="1"/>
  <c r="U61" i="1"/>
  <c r="U12" i="1"/>
  <c r="U227" i="1"/>
  <c r="U214" i="1"/>
  <c r="U55" i="1"/>
  <c r="U63" i="1"/>
  <c r="U187" i="1"/>
  <c r="U59" i="1"/>
  <c r="U38" i="1"/>
  <c r="U87" i="1"/>
  <c r="U69" i="1"/>
  <c r="U57" i="1"/>
  <c r="U228" i="1"/>
  <c r="U25" i="1"/>
  <c r="U20" i="1"/>
  <c r="V167" i="1"/>
  <c r="U167" i="1"/>
  <c r="U6" i="1"/>
  <c r="V15" i="1"/>
  <c r="V8" i="1"/>
  <c r="V37" i="1"/>
  <c r="V22" i="1"/>
  <c r="V160" i="1"/>
  <c r="V134" i="1"/>
  <c r="V161" i="1"/>
  <c r="V95" i="1"/>
  <c r="V234" i="1"/>
  <c r="V32" i="1"/>
  <c r="V215" i="1"/>
  <c r="V121" i="1"/>
  <c r="V130" i="1"/>
  <c r="V112" i="1"/>
  <c r="V153" i="1"/>
  <c r="V199" i="1"/>
  <c r="V206" i="1"/>
  <c r="V93" i="1"/>
  <c r="V177" i="1"/>
  <c r="V148" i="1"/>
  <c r="V58" i="1"/>
  <c r="V176" i="1"/>
  <c r="V173" i="1"/>
  <c r="V103" i="1"/>
  <c r="V117" i="1"/>
  <c r="V124" i="1"/>
  <c r="V104" i="1"/>
  <c r="V52" i="1"/>
  <c r="V51" i="1"/>
  <c r="V174" i="1"/>
  <c r="V140" i="1"/>
  <c r="V98" i="1"/>
  <c r="V230" i="1"/>
  <c r="V116" i="1"/>
  <c r="V171" i="1"/>
  <c r="V208" i="1"/>
  <c r="V83" i="1"/>
  <c r="V133" i="1"/>
  <c r="V226" i="1"/>
  <c r="V105" i="1"/>
  <c r="V178" i="1"/>
  <c r="V189" i="1"/>
  <c r="V211" i="1"/>
  <c r="V122" i="1"/>
  <c r="V11" i="1"/>
  <c r="V73" i="1"/>
  <c r="V132" i="1"/>
  <c r="V169" i="1"/>
  <c r="V183" i="1"/>
  <c r="V107" i="1"/>
  <c r="V137" i="1"/>
  <c r="V154" i="1"/>
  <c r="V67" i="1"/>
  <c r="V84" i="1"/>
  <c r="V76" i="1"/>
  <c r="V138" i="1"/>
  <c r="V109" i="1"/>
  <c r="V233" i="1"/>
  <c r="V194" i="1"/>
  <c r="V131" i="1"/>
  <c r="V165" i="1"/>
  <c r="V96" i="1"/>
  <c r="V114" i="1"/>
  <c r="V82" i="1"/>
  <c r="V181" i="1"/>
  <c r="V126" i="1"/>
  <c r="V190" i="1"/>
  <c r="V147" i="1"/>
  <c r="V170" i="1"/>
  <c r="V24" i="1"/>
  <c r="V139" i="1"/>
  <c r="V151" i="1"/>
  <c r="V123" i="1"/>
  <c r="V113" i="1"/>
  <c r="V146" i="1"/>
  <c r="V182" i="1"/>
  <c r="V152" i="1"/>
  <c r="V188" i="1"/>
  <c r="V142" i="1"/>
  <c r="V56" i="1"/>
  <c r="V102" i="1"/>
  <c r="V163" i="1"/>
  <c r="V127" i="1"/>
  <c r="V75" i="1"/>
  <c r="V66" i="1"/>
  <c r="V88" i="1"/>
  <c r="V72" i="1"/>
  <c r="V86" i="1"/>
  <c r="V129" i="1"/>
  <c r="V186" i="1"/>
  <c r="V162" i="1"/>
  <c r="V53" i="1"/>
  <c r="V47" i="1"/>
  <c r="V135" i="1"/>
  <c r="V150" i="1"/>
  <c r="V164" i="1"/>
  <c r="V79" i="1"/>
  <c r="V45" i="1"/>
  <c r="V185" i="1"/>
  <c r="V125" i="1"/>
  <c r="V144" i="1"/>
  <c r="V159" i="1"/>
  <c r="V118" i="1"/>
  <c r="V100" i="1"/>
  <c r="V172" i="1"/>
  <c r="V71" i="1"/>
  <c r="V225" i="1"/>
  <c r="V175" i="1"/>
  <c r="V166" i="1"/>
  <c r="V202" i="1"/>
  <c r="V106" i="1"/>
  <c r="V235" i="1"/>
  <c r="V136" i="1"/>
  <c r="V179" i="1"/>
  <c r="V145" i="1"/>
  <c r="V119" i="1"/>
  <c r="V62" i="1"/>
  <c r="V99" i="1"/>
  <c r="V213" i="1"/>
  <c r="V222" i="1"/>
  <c r="V94" i="1"/>
  <c r="V184" i="1"/>
  <c r="V201" i="1"/>
  <c r="V115" i="1"/>
  <c r="V141" i="1"/>
  <c r="V54" i="1"/>
  <c r="V149" i="1"/>
  <c r="V232" i="1"/>
  <c r="V110" i="1"/>
  <c r="V70" i="1"/>
  <c r="V92" i="1"/>
  <c r="V46" i="1"/>
  <c r="V200" i="1"/>
  <c r="V91" i="1"/>
  <c r="V3" i="1"/>
  <c r="V218" i="1"/>
  <c r="V158" i="1"/>
  <c r="V80" i="1"/>
  <c r="V220" i="1"/>
  <c r="V48" i="1"/>
  <c r="V65" i="1"/>
  <c r="V97" i="1"/>
  <c r="V198" i="1"/>
  <c r="V44" i="1"/>
  <c r="V64" i="1"/>
  <c r="V207" i="1"/>
  <c r="V231" i="1"/>
  <c r="V197" i="1"/>
  <c r="V193" i="1"/>
  <c r="V120" i="1"/>
  <c r="V49" i="1"/>
  <c r="V74" i="1"/>
  <c r="V191" i="1"/>
  <c r="V221" i="1"/>
  <c r="V210" i="1"/>
  <c r="V168" i="1"/>
  <c r="V29" i="1"/>
  <c r="V155" i="1"/>
  <c r="V60" i="1"/>
  <c r="V41" i="1"/>
  <c r="V156" i="1"/>
  <c r="V101" i="1"/>
  <c r="V39" i="1"/>
  <c r="V10" i="1"/>
  <c r="V81" i="1"/>
  <c r="V18" i="1"/>
  <c r="V157" i="1"/>
  <c r="V192" i="1"/>
  <c r="V205" i="1"/>
  <c r="V223" i="1"/>
  <c r="V85" i="1"/>
  <c r="V42" i="1"/>
  <c r="V90" i="1"/>
  <c r="V216" i="1"/>
  <c r="V111" i="1"/>
  <c r="V36" i="1"/>
  <c r="V180" i="1"/>
  <c r="V196" i="1"/>
  <c r="V108" i="1"/>
  <c r="V6" i="1"/>
  <c r="V14" i="1"/>
  <c r="U26" i="2"/>
  <c r="U8" i="1"/>
  <c r="U37" i="1"/>
  <c r="U22" i="1"/>
  <c r="U160" i="1"/>
  <c r="U134" i="1"/>
  <c r="U161" i="1"/>
  <c r="U95" i="1"/>
  <c r="U234" i="1"/>
  <c r="U32" i="1"/>
  <c r="U215" i="1"/>
  <c r="U121" i="1"/>
  <c r="U130" i="1"/>
  <c r="U112" i="1"/>
  <c r="U153" i="1"/>
  <c r="U199" i="1"/>
  <c r="U206" i="1"/>
  <c r="U93" i="1"/>
  <c r="U177" i="1"/>
  <c r="U148" i="1"/>
  <c r="U58" i="1"/>
  <c r="U176" i="1"/>
  <c r="U173" i="1"/>
  <c r="U103" i="1"/>
  <c r="U117" i="1"/>
  <c r="U124" i="1"/>
  <c r="U104" i="1"/>
  <c r="U52" i="1"/>
  <c r="U51" i="1"/>
  <c r="U174" i="1"/>
  <c r="U140" i="1"/>
  <c r="U98" i="1"/>
  <c r="U230" i="1"/>
  <c r="U116" i="1"/>
  <c r="U171" i="1"/>
  <c r="U208" i="1"/>
  <c r="U83" i="1"/>
  <c r="U133" i="1"/>
  <c r="U226" i="1"/>
  <c r="U105" i="1"/>
  <c r="U178" i="1"/>
  <c r="U189" i="1"/>
  <c r="U211" i="1"/>
  <c r="U122" i="1"/>
  <c r="U11" i="1"/>
  <c r="U73" i="1"/>
  <c r="U132" i="1"/>
  <c r="U169" i="1"/>
  <c r="U183" i="1"/>
  <c r="U107" i="1"/>
  <c r="U137" i="1"/>
  <c r="U154" i="1"/>
  <c r="U67" i="1"/>
  <c r="U84" i="1"/>
  <c r="U76" i="1"/>
  <c r="U138" i="1"/>
  <c r="U109" i="1"/>
  <c r="U233" i="1"/>
  <c r="U194" i="1"/>
  <c r="U131" i="1"/>
  <c r="U165" i="1"/>
  <c r="U96" i="1"/>
  <c r="U114" i="1"/>
  <c r="U82" i="1"/>
  <c r="U181" i="1"/>
  <c r="U126" i="1"/>
  <c r="U190" i="1"/>
  <c r="U147" i="1"/>
  <c r="U15" i="1"/>
  <c r="U170" i="1"/>
  <c r="U24" i="1"/>
  <c r="U139" i="1"/>
  <c r="U151" i="1"/>
  <c r="U123" i="1"/>
  <c r="U113" i="1"/>
  <c r="U146" i="1"/>
  <c r="U182" i="1"/>
  <c r="U152" i="1"/>
  <c r="U188" i="1"/>
  <c r="U142" i="1"/>
  <c r="U56" i="1"/>
  <c r="U102" i="1"/>
  <c r="U163" i="1"/>
  <c r="U127" i="1"/>
  <c r="U75" i="1"/>
  <c r="U66" i="1"/>
  <c r="U88" i="1"/>
  <c r="U72" i="1"/>
  <c r="U86" i="1"/>
  <c r="U129" i="1"/>
  <c r="U186" i="1"/>
  <c r="U162" i="1"/>
  <c r="U53" i="1"/>
  <c r="U47" i="1"/>
  <c r="U135" i="1"/>
  <c r="U150" i="1"/>
  <c r="U164" i="1"/>
  <c r="U79" i="1"/>
  <c r="U45" i="1"/>
  <c r="U185" i="1"/>
  <c r="U125" i="1"/>
  <c r="U144" i="1"/>
  <c r="U159" i="1"/>
  <c r="U118" i="1"/>
  <c r="U100" i="1"/>
  <c r="U172" i="1"/>
  <c r="U71" i="1"/>
  <c r="U225" i="1"/>
  <c r="U175" i="1"/>
  <c r="U166" i="1"/>
  <c r="U202" i="1"/>
  <c r="U106" i="1"/>
  <c r="U235" i="1"/>
  <c r="U136" i="1"/>
  <c r="U179" i="1"/>
  <c r="U145" i="1"/>
  <c r="U119" i="1"/>
  <c r="U62" i="1"/>
  <c r="U99" i="1"/>
  <c r="U213" i="1"/>
  <c r="U222" i="1"/>
  <c r="U94" i="1"/>
  <c r="U184" i="1"/>
  <c r="U201" i="1"/>
  <c r="U115" i="1"/>
  <c r="U141" i="1"/>
  <c r="U54" i="1"/>
  <c r="U149" i="1"/>
  <c r="U232" i="1"/>
  <c r="U110" i="1"/>
  <c r="U70" i="1"/>
  <c r="U92" i="1"/>
  <c r="U46" i="1"/>
  <c r="U200" i="1"/>
  <c r="U91" i="1"/>
  <c r="U3" i="1"/>
  <c r="U218" i="1"/>
  <c r="U158" i="1"/>
  <c r="U80" i="1"/>
  <c r="U220" i="1"/>
  <c r="U48" i="1"/>
  <c r="U65" i="1"/>
  <c r="U97" i="1"/>
  <c r="U198" i="1"/>
  <c r="U44" i="1"/>
  <c r="U64" i="1"/>
  <c r="U207" i="1"/>
  <c r="U231" i="1"/>
  <c r="U197" i="1"/>
  <c r="U193" i="1"/>
  <c r="U120" i="1"/>
  <c r="U49" i="1"/>
  <c r="U74" i="1"/>
  <c r="U191" i="1"/>
  <c r="U221" i="1"/>
  <c r="U210" i="1"/>
  <c r="U168" i="1"/>
  <c r="U29" i="1"/>
  <c r="U155" i="1"/>
  <c r="U60" i="1"/>
  <c r="U41" i="1"/>
  <c r="U156" i="1"/>
  <c r="U101" i="1"/>
  <c r="U39" i="1"/>
  <c r="U10" i="1"/>
  <c r="U81" i="1"/>
  <c r="U18" i="1"/>
  <c r="U157" i="1"/>
  <c r="U192" i="1"/>
  <c r="U205" i="1"/>
  <c r="U223" i="1"/>
  <c r="U85" i="1"/>
  <c r="U42" i="1"/>
  <c r="U90" i="1"/>
  <c r="U216" i="1"/>
  <c r="U111" i="1"/>
  <c r="U36" i="1"/>
  <c r="U180" i="1"/>
  <c r="U196" i="1"/>
  <c r="U108" i="1"/>
  <c r="U14" i="1"/>
  <c r="K45" i="1"/>
  <c r="K52" i="1"/>
  <c r="K155" i="1"/>
  <c r="K192" i="1"/>
  <c r="K169" i="1"/>
  <c r="K53" i="1"/>
  <c r="K229" i="1"/>
  <c r="K36" i="1"/>
  <c r="K24" i="1"/>
  <c r="J45" i="1"/>
  <c r="J52" i="1"/>
  <c r="J155" i="1"/>
  <c r="J192" i="1"/>
  <c r="J169" i="1"/>
  <c r="J53" i="1"/>
  <c r="J229" i="1"/>
  <c r="J36" i="1"/>
  <c r="J24" i="1"/>
  <c r="G69" i="1"/>
  <c r="G57" i="1"/>
  <c r="G228" i="1"/>
  <c r="G25" i="1"/>
  <c r="G20" i="1"/>
  <c r="G38" i="1"/>
  <c r="G87" i="1"/>
  <c r="AC146" i="2" l="1"/>
  <c r="J51" i="3"/>
  <c r="K59" i="3"/>
  <c r="J67" i="3"/>
  <c r="K60" i="3"/>
  <c r="J112" i="3"/>
  <c r="K85" i="3"/>
  <c r="J59" i="3"/>
  <c r="K67" i="3"/>
  <c r="J60" i="3"/>
  <c r="K51" i="3"/>
  <c r="J85" i="3"/>
  <c r="AD117" i="3"/>
  <c r="F149" i="2"/>
  <c r="G24" i="3"/>
  <c r="G100" i="3"/>
  <c r="G105" i="2"/>
  <c r="G187" i="1"/>
  <c r="G59" i="1"/>
  <c r="G14" i="3"/>
  <c r="J103" i="3"/>
  <c r="K43" i="3"/>
  <c r="J15" i="3"/>
  <c r="K15" i="3"/>
  <c r="J10" i="3"/>
  <c r="K10" i="3"/>
  <c r="U14" i="3"/>
  <c r="G41" i="3"/>
  <c r="J69" i="3"/>
  <c r="K69" i="3"/>
  <c r="G13" i="3"/>
  <c r="J7" i="3"/>
  <c r="K7" i="3"/>
  <c r="G82" i="3"/>
  <c r="J30" i="3"/>
  <c r="K30" i="3"/>
  <c r="G4" i="3"/>
  <c r="J21" i="3"/>
  <c r="K21" i="3"/>
  <c r="J107" i="3"/>
  <c r="K107" i="3"/>
  <c r="G102" i="3"/>
  <c r="K62" i="3"/>
  <c r="G90" i="3"/>
  <c r="J66" i="3"/>
  <c r="K66" i="3"/>
  <c r="G12" i="3"/>
  <c r="J42" i="3"/>
  <c r="K42" i="3"/>
  <c r="J83" i="3"/>
  <c r="K83" i="3"/>
  <c r="G54" i="3"/>
  <c r="J26" i="3"/>
  <c r="K26" i="3"/>
  <c r="G23" i="3"/>
  <c r="J8" i="3"/>
  <c r="K8" i="3"/>
  <c r="G96" i="3"/>
  <c r="J87" i="3"/>
  <c r="K87" i="3"/>
  <c r="G29" i="3"/>
  <c r="J78" i="3"/>
  <c r="K78" i="3"/>
  <c r="G86" i="3"/>
  <c r="J70" i="3"/>
  <c r="K70" i="3"/>
  <c r="G49" i="3"/>
  <c r="G7" i="3"/>
  <c r="J33" i="3"/>
  <c r="K33" i="3"/>
  <c r="G6" i="3"/>
  <c r="K112" i="3"/>
  <c r="G83" i="3"/>
  <c r="G79" i="3"/>
  <c r="J86" i="3"/>
  <c r="K86" i="3"/>
  <c r="G18" i="3"/>
  <c r="J38" i="3"/>
  <c r="K38" i="3"/>
  <c r="G40" i="3"/>
  <c r="J96" i="3"/>
  <c r="K96" i="3"/>
  <c r="G48" i="3"/>
  <c r="J39" i="3"/>
  <c r="K39" i="3"/>
  <c r="G81" i="3"/>
  <c r="J73" i="3"/>
  <c r="K73" i="3"/>
  <c r="G57" i="3"/>
  <c r="G11" i="3"/>
  <c r="J82" i="3"/>
  <c r="K82" i="3"/>
  <c r="J84" i="3"/>
  <c r="K84" i="3"/>
  <c r="J63" i="3"/>
  <c r="K63" i="3"/>
  <c r="G33" i="3"/>
  <c r="J20" i="3"/>
  <c r="K20" i="3"/>
  <c r="J93" i="3"/>
  <c r="K93" i="3"/>
  <c r="J92" i="3"/>
  <c r="K92" i="3"/>
  <c r="G35" i="3"/>
  <c r="J95" i="3"/>
  <c r="K95" i="3"/>
  <c r="G72" i="3"/>
  <c r="J98" i="3"/>
  <c r="K98" i="3"/>
  <c r="J34" i="3"/>
  <c r="K34" i="3"/>
  <c r="G87" i="3"/>
  <c r="J77" i="3"/>
  <c r="K77" i="3"/>
  <c r="G69" i="3"/>
  <c r="G95" i="3"/>
  <c r="J12" i="3"/>
  <c r="K12" i="3"/>
  <c r="G44" i="3"/>
  <c r="J111" i="3"/>
  <c r="K111" i="3"/>
  <c r="G91" i="3"/>
  <c r="J94" i="3"/>
  <c r="K94" i="3"/>
  <c r="G80" i="3"/>
  <c r="J109" i="3"/>
  <c r="K109" i="3"/>
  <c r="G10" i="3"/>
  <c r="J55" i="3"/>
  <c r="K55" i="3"/>
  <c r="G28" i="3"/>
  <c r="J110" i="3"/>
  <c r="K110" i="3"/>
  <c r="G77" i="3"/>
  <c r="J104" i="3"/>
  <c r="K104" i="3"/>
  <c r="G47" i="3"/>
  <c r="J91" i="3"/>
  <c r="K91" i="3"/>
  <c r="G78" i="3"/>
  <c r="J81" i="3"/>
  <c r="K81" i="3"/>
  <c r="G26" i="3"/>
  <c r="J80" i="3"/>
  <c r="K80" i="3"/>
  <c r="G104" i="3"/>
  <c r="J74" i="3"/>
  <c r="K74" i="3"/>
  <c r="J5" i="3"/>
  <c r="K5" i="3"/>
  <c r="G93" i="3"/>
  <c r="J64" i="3"/>
  <c r="K64" i="3"/>
  <c r="G65" i="3"/>
  <c r="J22" i="3"/>
  <c r="K22" i="3"/>
  <c r="G34" i="3"/>
  <c r="J11" i="3"/>
  <c r="K11" i="3"/>
  <c r="G75" i="3"/>
  <c r="J54" i="3"/>
  <c r="K54" i="3"/>
  <c r="G20" i="3"/>
  <c r="G50" i="3"/>
  <c r="J40" i="3"/>
  <c r="K40" i="3"/>
  <c r="G89" i="3"/>
  <c r="J35" i="3"/>
  <c r="K35" i="3"/>
  <c r="G39" i="3"/>
  <c r="J105" i="3"/>
  <c r="K105" i="3"/>
  <c r="G66" i="3"/>
  <c r="J52" i="3"/>
  <c r="K52" i="3"/>
  <c r="G45" i="3"/>
  <c r="J44" i="3"/>
  <c r="K44" i="3"/>
  <c r="G46" i="3"/>
  <c r="J41" i="3"/>
  <c r="K41" i="3"/>
  <c r="G92" i="3"/>
  <c r="J102" i="3"/>
  <c r="K102" i="3"/>
  <c r="G31" i="3"/>
  <c r="G64" i="3"/>
  <c r="J75" i="3"/>
  <c r="K75" i="3"/>
  <c r="G21" i="3"/>
  <c r="K47" i="3"/>
  <c r="G107" i="3"/>
  <c r="J53" i="3"/>
  <c r="K53" i="3"/>
  <c r="G74" i="3"/>
  <c r="J48" i="3"/>
  <c r="K48" i="3"/>
  <c r="G55" i="3"/>
  <c r="J46" i="3"/>
  <c r="K46" i="3"/>
  <c r="G112" i="3"/>
  <c r="J4" i="3"/>
  <c r="K4" i="3"/>
  <c r="J108" i="3"/>
  <c r="K108" i="3"/>
  <c r="G32" i="3"/>
  <c r="J57" i="3"/>
  <c r="K57" i="3"/>
  <c r="G71" i="3"/>
  <c r="J90" i="3"/>
  <c r="K90" i="3"/>
  <c r="G63" i="3"/>
  <c r="J23" i="3"/>
  <c r="K23" i="3"/>
  <c r="G99" i="3"/>
  <c r="J37" i="3"/>
  <c r="K37" i="3"/>
  <c r="G42" i="3"/>
  <c r="J50" i="3"/>
  <c r="K50" i="3"/>
  <c r="G36" i="3"/>
  <c r="J24" i="3"/>
  <c r="K24" i="3"/>
  <c r="G52" i="3"/>
  <c r="J45" i="3"/>
  <c r="K45" i="3"/>
  <c r="G30" i="3"/>
  <c r="J99" i="3"/>
  <c r="K99" i="3"/>
  <c r="G8" i="3"/>
  <c r="J106" i="3"/>
  <c r="K106" i="3"/>
  <c r="G94" i="3"/>
  <c r="G73" i="3"/>
  <c r="J89" i="3"/>
  <c r="K89" i="3"/>
  <c r="G98" i="3"/>
  <c r="J88" i="3"/>
  <c r="K88" i="3"/>
  <c r="G56" i="3"/>
  <c r="K28" i="3"/>
  <c r="G37" i="3"/>
  <c r="J36" i="3"/>
  <c r="K36" i="3"/>
  <c r="G43" i="3"/>
  <c r="J31" i="3"/>
  <c r="K31" i="3"/>
  <c r="G61" i="3"/>
  <c r="J72" i="3"/>
  <c r="K72" i="3"/>
  <c r="G111" i="3"/>
  <c r="J100" i="3"/>
  <c r="K100" i="3"/>
  <c r="G53" i="3"/>
  <c r="J49" i="3"/>
  <c r="K49" i="3"/>
  <c r="G105" i="3"/>
  <c r="J16" i="3"/>
  <c r="K16" i="3"/>
  <c r="G110" i="3"/>
  <c r="J32" i="3"/>
  <c r="K32" i="3"/>
  <c r="G109" i="3"/>
  <c r="J17" i="3"/>
  <c r="K17" i="3"/>
  <c r="G70" i="3"/>
  <c r="J29" i="3"/>
  <c r="K29" i="3"/>
  <c r="G22" i="3"/>
  <c r="J65" i="3"/>
  <c r="K65" i="3"/>
  <c r="G97" i="3"/>
  <c r="J101" i="3"/>
  <c r="K101" i="3"/>
  <c r="G16" i="3"/>
  <c r="J19" i="3"/>
  <c r="K19" i="3"/>
  <c r="G5" i="3"/>
  <c r="J9" i="3"/>
  <c r="K9" i="3"/>
  <c r="G108" i="3"/>
  <c r="J71" i="3"/>
  <c r="K71" i="3"/>
  <c r="G19" i="3"/>
  <c r="J97" i="3"/>
  <c r="K97" i="3"/>
  <c r="G103" i="3"/>
  <c r="J79" i="3"/>
  <c r="K79" i="3"/>
  <c r="G101" i="3"/>
  <c r="J18" i="3"/>
  <c r="K18" i="3"/>
  <c r="G88" i="3"/>
  <c r="J43" i="3"/>
  <c r="J113" i="3"/>
  <c r="K113" i="3"/>
  <c r="G17" i="3"/>
  <c r="T17" i="3"/>
  <c r="U17" i="3"/>
  <c r="G9" i="3"/>
  <c r="K3" i="3"/>
  <c r="T9" i="3"/>
  <c r="U9" i="3"/>
  <c r="G106" i="3"/>
  <c r="J14" i="3"/>
  <c r="K14" i="3"/>
  <c r="G15" i="3"/>
  <c r="J6" i="3"/>
  <c r="K6" i="3"/>
  <c r="T15" i="3"/>
  <c r="U15" i="3"/>
  <c r="G113" i="3"/>
  <c r="J61" i="3"/>
  <c r="K61" i="3"/>
  <c r="T113" i="3"/>
  <c r="U113" i="3"/>
  <c r="G38" i="3"/>
  <c r="K103" i="3"/>
  <c r="G68" i="3"/>
  <c r="K13" i="3"/>
  <c r="U68" i="3"/>
  <c r="G84" i="3"/>
  <c r="J56" i="3"/>
  <c r="K56" i="3"/>
  <c r="G3" i="3"/>
  <c r="J68" i="3"/>
  <c r="K68" i="3"/>
  <c r="U3" i="3"/>
  <c r="E167" i="5"/>
  <c r="J2" i="5"/>
  <c r="J62" i="3" l="1"/>
  <c r="T42" i="2"/>
  <c r="U42" i="2"/>
  <c r="T74" i="2"/>
  <c r="U74" i="2"/>
  <c r="T120" i="2"/>
  <c r="U120" i="2"/>
  <c r="T17" i="2"/>
  <c r="U17" i="2"/>
  <c r="G17" i="2"/>
  <c r="G120" i="2"/>
  <c r="J173" i="1"/>
  <c r="K173" i="1"/>
  <c r="J28" i="1"/>
  <c r="K28" i="1"/>
  <c r="J211" i="1"/>
  <c r="K211" i="1"/>
  <c r="J204" i="1"/>
  <c r="K204" i="1"/>
  <c r="J69" i="1"/>
  <c r="K69" i="1"/>
  <c r="J44" i="1"/>
  <c r="K44" i="1"/>
  <c r="J32" i="1"/>
  <c r="K32" i="1"/>
  <c r="J185" i="1"/>
  <c r="K185" i="1"/>
  <c r="J135" i="1"/>
  <c r="K135" i="1"/>
  <c r="J224" i="1"/>
  <c r="K224" i="1"/>
  <c r="K47" i="1"/>
  <c r="K227" i="1"/>
  <c r="K17" i="1"/>
  <c r="K16" i="1"/>
  <c r="K149" i="1"/>
  <c r="K236" i="1"/>
  <c r="K140" i="1"/>
  <c r="K176" i="1"/>
  <c r="K68" i="1"/>
  <c r="K30" i="1"/>
  <c r="K88" i="1"/>
  <c r="K170" i="1"/>
  <c r="K160" i="1"/>
  <c r="K90" i="1"/>
  <c r="K109" i="1"/>
  <c r="K142" i="1"/>
  <c r="K147" i="1"/>
  <c r="K103" i="1"/>
  <c r="K51" i="1"/>
  <c r="K133" i="1"/>
  <c r="K158" i="1"/>
  <c r="K98" i="1"/>
  <c r="K223" i="1"/>
  <c r="K35" i="1"/>
  <c r="K198" i="1"/>
  <c r="K31" i="1"/>
  <c r="K9" i="1"/>
  <c r="K95" i="1"/>
  <c r="K131" i="1"/>
  <c r="K188" i="1"/>
  <c r="K207" i="1"/>
  <c r="K206" i="1"/>
  <c r="K208" i="1"/>
  <c r="K39" i="1"/>
  <c r="K15" i="1"/>
  <c r="K41" i="1"/>
  <c r="K108" i="1"/>
  <c r="K89" i="1"/>
  <c r="K10" i="1"/>
  <c r="K183" i="1"/>
  <c r="K54" i="1"/>
  <c r="K125" i="1"/>
  <c r="K57" i="1"/>
  <c r="K218" i="1"/>
  <c r="K48" i="1"/>
  <c r="K205" i="1"/>
  <c r="K97" i="1"/>
  <c r="K143" i="1"/>
  <c r="K118" i="1"/>
  <c r="K232" i="1"/>
  <c r="K14" i="1"/>
  <c r="K144" i="1"/>
  <c r="K190" i="1"/>
  <c r="K195" i="1"/>
  <c r="K18" i="1"/>
  <c r="K76" i="1"/>
  <c r="K107" i="1"/>
  <c r="K83" i="1"/>
  <c r="K217" i="1"/>
  <c r="K56" i="1"/>
  <c r="K141" i="1"/>
  <c r="K86" i="1"/>
  <c r="K225" i="1"/>
  <c r="K78" i="1"/>
  <c r="K130" i="1"/>
  <c r="K151" i="1"/>
  <c r="K178" i="1"/>
  <c r="K134" i="1"/>
  <c r="K230" i="1"/>
  <c r="K214" i="1"/>
  <c r="K168" i="1"/>
  <c r="K203" i="1"/>
  <c r="K187" i="1"/>
  <c r="K179" i="1"/>
  <c r="K64" i="1"/>
  <c r="K50" i="1"/>
  <c r="K11" i="1"/>
  <c r="K157" i="1"/>
  <c r="K73" i="1"/>
  <c r="K12" i="1"/>
  <c r="K21" i="1"/>
  <c r="K13" i="1"/>
  <c r="K66" i="1"/>
  <c r="K19" i="1"/>
  <c r="K104" i="1"/>
  <c r="K43" i="1"/>
  <c r="K201" i="1"/>
  <c r="K116" i="1"/>
  <c r="K138" i="1"/>
  <c r="K81" i="1"/>
  <c r="K126" i="1"/>
  <c r="K180" i="1"/>
  <c r="K139" i="1"/>
  <c r="K115" i="1"/>
  <c r="K112" i="1"/>
  <c r="K200" i="1"/>
  <c r="K111" i="1"/>
  <c r="K67" i="1"/>
  <c r="K114" i="1"/>
  <c r="K136" i="1"/>
  <c r="K177" i="1"/>
  <c r="K137" i="1"/>
  <c r="K80" i="1"/>
  <c r="K105" i="1"/>
  <c r="K124" i="1"/>
  <c r="K79" i="1"/>
  <c r="K221" i="1"/>
  <c r="K55" i="1"/>
  <c r="K233" i="1"/>
  <c r="K219" i="1"/>
  <c r="K117" i="1"/>
  <c r="K75" i="1"/>
  <c r="K119" i="1"/>
  <c r="K22" i="1"/>
  <c r="K156" i="1"/>
  <c r="K210" i="1"/>
  <c r="K123" i="1"/>
  <c r="K127" i="1"/>
  <c r="K70" i="1"/>
  <c r="K96" i="1"/>
  <c r="K164" i="1"/>
  <c r="K194" i="1"/>
  <c r="K8" i="1"/>
  <c r="K197" i="1"/>
  <c r="K102" i="1"/>
  <c r="K26" i="1"/>
  <c r="K172" i="1"/>
  <c r="K171" i="1"/>
  <c r="K60" i="1"/>
  <c r="K159" i="1"/>
  <c r="K122" i="1"/>
  <c r="K129" i="1"/>
  <c r="K71" i="1"/>
  <c r="K65" i="1"/>
  <c r="K100" i="1"/>
  <c r="K61" i="1"/>
  <c r="K92" i="1"/>
  <c r="K150" i="1"/>
  <c r="K182" i="1"/>
  <c r="K154" i="1"/>
  <c r="K74" i="1"/>
  <c r="K94" i="1"/>
  <c r="K174" i="1"/>
  <c r="K113" i="1"/>
  <c r="K165" i="1"/>
  <c r="K77" i="1"/>
  <c r="K84" i="1"/>
  <c r="K184" i="1"/>
  <c r="K93" i="1"/>
  <c r="K72" i="1"/>
  <c r="K152" i="1"/>
  <c r="K145" i="1"/>
  <c r="K199" i="1"/>
  <c r="K121" i="1"/>
  <c r="K181" i="1"/>
  <c r="K175" i="1"/>
  <c r="K87" i="1"/>
  <c r="K49" i="1"/>
  <c r="K196" i="1"/>
  <c r="K25" i="1"/>
  <c r="K220" i="1"/>
  <c r="K128" i="1"/>
  <c r="K189" i="1"/>
  <c r="K40" i="1"/>
  <c r="K120" i="1"/>
  <c r="K235" i="1"/>
  <c r="K215" i="1"/>
  <c r="K91" i="1"/>
  <c r="K153" i="1"/>
  <c r="K62" i="1"/>
  <c r="K99" i="1"/>
  <c r="K216" i="1"/>
  <c r="K27" i="1"/>
  <c r="K209" i="1"/>
  <c r="K82" i="1"/>
  <c r="K162" i="1"/>
  <c r="K186" i="1"/>
  <c r="K146" i="1"/>
  <c r="K23" i="1"/>
  <c r="K202" i="1"/>
  <c r="K58" i="1"/>
  <c r="K6" i="1"/>
  <c r="K59" i="1"/>
  <c r="K148" i="1"/>
  <c r="K106" i="1"/>
  <c r="K213" i="1"/>
  <c r="K42" i="1"/>
  <c r="K3" i="1"/>
  <c r="K228" i="1"/>
  <c r="J227" i="1"/>
  <c r="J16" i="1"/>
  <c r="J149" i="1"/>
  <c r="J236" i="1"/>
  <c r="J140" i="1"/>
  <c r="J176" i="1"/>
  <c r="J68" i="1"/>
  <c r="J30" i="1"/>
  <c r="J88" i="1"/>
  <c r="J170" i="1"/>
  <c r="J160" i="1"/>
  <c r="J90" i="1"/>
  <c r="J109" i="1"/>
  <c r="J142" i="1"/>
  <c r="J147" i="1"/>
  <c r="J103" i="1"/>
  <c r="J51" i="1"/>
  <c r="J133" i="1"/>
  <c r="J158" i="1"/>
  <c r="J98" i="1"/>
  <c r="J223" i="1"/>
  <c r="J198" i="1"/>
  <c r="J31" i="1"/>
  <c r="J9" i="1"/>
  <c r="J95" i="1"/>
  <c r="J131" i="1"/>
  <c r="J188" i="1"/>
  <c r="J207" i="1"/>
  <c r="J206" i="1"/>
  <c r="J208" i="1"/>
  <c r="J39" i="1"/>
  <c r="J15" i="1"/>
  <c r="J41" i="1"/>
  <c r="J108" i="1"/>
  <c r="J89" i="1"/>
  <c r="J10" i="1"/>
  <c r="J183" i="1"/>
  <c r="J54" i="1"/>
  <c r="J125" i="1"/>
  <c r="J57" i="1"/>
  <c r="J218" i="1"/>
  <c r="J48" i="1"/>
  <c r="J205" i="1"/>
  <c r="J97" i="1"/>
  <c r="J143" i="1"/>
  <c r="J118" i="1"/>
  <c r="J232" i="1"/>
  <c r="J14" i="1"/>
  <c r="J144" i="1"/>
  <c r="J190" i="1"/>
  <c r="J195" i="1"/>
  <c r="J18" i="1"/>
  <c r="J76" i="1"/>
  <c r="J107" i="1"/>
  <c r="J83" i="1"/>
  <c r="J217" i="1"/>
  <c r="J56" i="1"/>
  <c r="J141" i="1"/>
  <c r="J86" i="1"/>
  <c r="J225" i="1"/>
  <c r="J78" i="1"/>
  <c r="J130" i="1"/>
  <c r="J151" i="1"/>
  <c r="J178" i="1"/>
  <c r="J134" i="1"/>
  <c r="J230" i="1"/>
  <c r="J214" i="1"/>
  <c r="J168" i="1"/>
  <c r="J203" i="1"/>
  <c r="J187" i="1"/>
  <c r="J179" i="1"/>
  <c r="J64" i="1"/>
  <c r="J50" i="1"/>
  <c r="J11" i="1"/>
  <c r="J157" i="1"/>
  <c r="J73" i="1"/>
  <c r="J12" i="1"/>
  <c r="J21" i="1"/>
  <c r="J13" i="1"/>
  <c r="J66" i="1"/>
  <c r="J104" i="1"/>
  <c r="J43" i="1"/>
  <c r="J201" i="1"/>
  <c r="J116" i="1"/>
  <c r="J138" i="1"/>
  <c r="J81" i="1"/>
  <c r="J126" i="1"/>
  <c r="J180" i="1"/>
  <c r="J139" i="1"/>
  <c r="J115" i="1"/>
  <c r="J112" i="1"/>
  <c r="J200" i="1"/>
  <c r="J111" i="1"/>
  <c r="J67" i="1"/>
  <c r="J114" i="1"/>
  <c r="J136" i="1"/>
  <c r="J177" i="1"/>
  <c r="J137" i="1"/>
  <c r="J80" i="1"/>
  <c r="J124" i="1"/>
  <c r="J79" i="1"/>
  <c r="J221" i="1"/>
  <c r="J55" i="1"/>
  <c r="J233" i="1"/>
  <c r="J219" i="1"/>
  <c r="J117" i="1"/>
  <c r="J75" i="1"/>
  <c r="J119" i="1"/>
  <c r="J22" i="1"/>
  <c r="J156" i="1"/>
  <c r="J210" i="1"/>
  <c r="J123" i="1"/>
  <c r="J127" i="1"/>
  <c r="J70" i="1"/>
  <c r="J96" i="1"/>
  <c r="J164" i="1"/>
  <c r="J194" i="1"/>
  <c r="J8" i="1"/>
  <c r="J197" i="1"/>
  <c r="J102" i="1"/>
  <c r="J26" i="1"/>
  <c r="J172" i="1"/>
  <c r="J171" i="1"/>
  <c r="J60" i="1"/>
  <c r="J159" i="1"/>
  <c r="J122" i="1"/>
  <c r="J129" i="1"/>
  <c r="J71" i="1"/>
  <c r="J65" i="1"/>
  <c r="J100" i="1"/>
  <c r="J61" i="1"/>
  <c r="J92" i="1"/>
  <c r="J150" i="1"/>
  <c r="J182" i="1"/>
  <c r="J154" i="1"/>
  <c r="J74" i="1"/>
  <c r="J94" i="1"/>
  <c r="J174" i="1"/>
  <c r="J113" i="1"/>
  <c r="J165" i="1"/>
  <c r="J77" i="1"/>
  <c r="J84" i="1"/>
  <c r="J184" i="1"/>
  <c r="J93" i="1"/>
  <c r="J72" i="1"/>
  <c r="J152" i="1"/>
  <c r="J145" i="1"/>
  <c r="J199" i="1"/>
  <c r="J121" i="1"/>
  <c r="J181" i="1"/>
  <c r="J175" i="1"/>
  <c r="J87" i="1"/>
  <c r="J49" i="1"/>
  <c r="J196" i="1"/>
  <c r="J25" i="1"/>
  <c r="J220" i="1"/>
  <c r="J128" i="1"/>
  <c r="J189" i="1"/>
  <c r="J40" i="1"/>
  <c r="J120" i="1"/>
  <c r="J235" i="1"/>
  <c r="J215" i="1"/>
  <c r="J91" i="1"/>
  <c r="J153" i="1"/>
  <c r="J62" i="1"/>
  <c r="J99" i="1"/>
  <c r="J216" i="1"/>
  <c r="J27" i="1"/>
  <c r="J209" i="1"/>
  <c r="J82" i="1"/>
  <c r="J162" i="1"/>
  <c r="J186" i="1"/>
  <c r="J146" i="1"/>
  <c r="J202" i="1"/>
  <c r="J58" i="1"/>
  <c r="J6" i="1"/>
  <c r="J59" i="1"/>
  <c r="J148" i="1"/>
  <c r="J106" i="1"/>
  <c r="J213" i="1"/>
  <c r="J3" i="1"/>
  <c r="J228" i="1"/>
  <c r="K29" i="1"/>
  <c r="G132" i="1"/>
  <c r="G18" i="1"/>
  <c r="G15" i="1"/>
  <c r="G225" i="1"/>
  <c r="G42" i="1"/>
  <c r="G99" i="1"/>
  <c r="G231" i="1"/>
  <c r="G56" i="1"/>
  <c r="G100" i="1"/>
  <c r="G196" i="1"/>
  <c r="I18" i="5"/>
  <c r="J18" i="5" s="1"/>
  <c r="I80" i="5"/>
  <c r="K80" i="5" s="1"/>
  <c r="E197" i="5"/>
  <c r="E80" i="5"/>
  <c r="G230" i="1"/>
  <c r="G167" i="1"/>
  <c r="G191" i="1"/>
  <c r="G86"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K133" i="5" s="1"/>
  <c r="I134" i="5"/>
  <c r="I135" i="5"/>
  <c r="I136" i="5"/>
  <c r="I137" i="5"/>
  <c r="I138" i="5"/>
  <c r="I139" i="5"/>
  <c r="K139" i="5" s="1"/>
  <c r="I140" i="5"/>
  <c r="J140" i="5" s="1"/>
  <c r="I141" i="5"/>
  <c r="I142" i="5"/>
  <c r="I143" i="5"/>
  <c r="I144" i="5"/>
  <c r="K144" i="5" s="1"/>
  <c r="I145" i="5"/>
  <c r="I146" i="5"/>
  <c r="I147" i="5"/>
  <c r="K147" i="5" s="1"/>
  <c r="I148" i="5"/>
  <c r="I149" i="5"/>
  <c r="I150" i="5"/>
  <c r="I151" i="5"/>
  <c r="K151" i="5" s="1"/>
  <c r="I152" i="5"/>
  <c r="I153" i="5"/>
  <c r="I154" i="5"/>
  <c r="J154" i="5" s="1"/>
  <c r="I155" i="5"/>
  <c r="K155" i="5" s="1"/>
  <c r="I156" i="5"/>
  <c r="K156" i="5" s="1"/>
  <c r="I157" i="5"/>
  <c r="I158" i="5"/>
  <c r="I159" i="5"/>
  <c r="I160" i="5"/>
  <c r="I161" i="5"/>
  <c r="I162" i="5"/>
  <c r="J162" i="5" s="1"/>
  <c r="I163" i="5"/>
  <c r="K163" i="5" s="1"/>
  <c r="I164" i="5"/>
  <c r="K164" i="5" s="1"/>
  <c r="I165" i="5"/>
  <c r="J165" i="5" s="1"/>
  <c r="I166" i="5"/>
  <c r="I167" i="5"/>
  <c r="K167" i="5" s="1"/>
  <c r="I168" i="5"/>
  <c r="I169" i="5"/>
  <c r="I170" i="5"/>
  <c r="K170" i="5" s="1"/>
  <c r="I171" i="5"/>
  <c r="K171" i="5" s="1"/>
  <c r="I172" i="5"/>
  <c r="I173" i="5"/>
  <c r="I174" i="5"/>
  <c r="I175" i="5"/>
  <c r="K175" i="5" s="1"/>
  <c r="I176" i="5"/>
  <c r="I177" i="5"/>
  <c r="I178" i="5"/>
  <c r="K178" i="5" s="1"/>
  <c r="I179" i="5"/>
  <c r="J179" i="5" s="1"/>
  <c r="I180" i="5"/>
  <c r="K180" i="5" s="1"/>
  <c r="I181" i="5"/>
  <c r="I182" i="5"/>
  <c r="I183" i="5"/>
  <c r="K183" i="5" s="1"/>
  <c r="I184" i="5"/>
  <c r="K184" i="5" s="1"/>
  <c r="I185" i="5"/>
  <c r="I186" i="5"/>
  <c r="I187" i="5"/>
  <c r="J187" i="5" s="1"/>
  <c r="I188" i="5"/>
  <c r="K188" i="5" s="1"/>
  <c r="I189" i="5"/>
  <c r="I190" i="5"/>
  <c r="I191" i="5"/>
  <c r="I192" i="5"/>
  <c r="I193" i="5"/>
  <c r="I194" i="5"/>
  <c r="K194" i="5" s="1"/>
  <c r="I195" i="5"/>
  <c r="K195" i="5" s="1"/>
  <c r="I196" i="5"/>
  <c r="K196" i="5" s="1"/>
  <c r="I197" i="5"/>
  <c r="I198" i="5"/>
  <c r="I199" i="5"/>
  <c r="K199" i="5" s="1"/>
  <c r="I200" i="5"/>
  <c r="I201" i="5"/>
  <c r="I202" i="5"/>
  <c r="K202" i="5" s="1"/>
  <c r="I203" i="5"/>
  <c r="K203" i="5" s="1"/>
  <c r="I204" i="5"/>
  <c r="I205" i="5"/>
  <c r="K205" i="5" s="1"/>
  <c r="I206" i="5"/>
  <c r="I207" i="5"/>
  <c r="I208" i="5"/>
  <c r="I209" i="5"/>
  <c r="K209" i="5" s="1"/>
  <c r="I210" i="5"/>
  <c r="K210" i="5" s="1"/>
  <c r="I211" i="5"/>
  <c r="I212" i="5"/>
  <c r="K212" i="5" s="1"/>
  <c r="I213" i="5"/>
  <c r="K213" i="5" s="1"/>
  <c r="I214" i="5"/>
  <c r="I215" i="5"/>
  <c r="I216" i="5"/>
  <c r="K216" i="5" s="1"/>
  <c r="I217" i="5"/>
  <c r="J217" i="5" s="1"/>
  <c r="I218" i="5"/>
  <c r="I219" i="5"/>
  <c r="I220" i="5"/>
  <c r="K220" i="5" s="1"/>
  <c r="I221" i="5"/>
  <c r="I222" i="5"/>
  <c r="I223" i="5"/>
  <c r="I224" i="5"/>
  <c r="K224" i="5" s="1"/>
  <c r="I225" i="5"/>
  <c r="K225" i="5" s="1"/>
  <c r="I226" i="5"/>
  <c r="K226" i="5" s="1"/>
  <c r="I227" i="5"/>
  <c r="I228" i="5"/>
  <c r="I229" i="5"/>
  <c r="K229" i="5" s="1"/>
  <c r="I230" i="5"/>
  <c r="I231" i="5"/>
  <c r="K231" i="5" s="1"/>
  <c r="I232" i="5"/>
  <c r="I233" i="5"/>
  <c r="K233" i="5" s="1"/>
  <c r="I234" i="5"/>
  <c r="I235" i="5"/>
  <c r="K235" i="5" s="1"/>
  <c r="I236" i="5"/>
  <c r="I237" i="5"/>
  <c r="I238" i="5"/>
  <c r="I239" i="5"/>
  <c r="J239" i="5" s="1"/>
  <c r="I240" i="5"/>
  <c r="K240" i="5" s="1"/>
  <c r="I241" i="5"/>
  <c r="K241" i="5" s="1"/>
  <c r="I242" i="5"/>
  <c r="I243" i="5"/>
  <c r="K243" i="5" s="1"/>
  <c r="I244" i="5"/>
  <c r="K244" i="5" s="1"/>
  <c r="I245" i="5"/>
  <c r="I246" i="5"/>
  <c r="I247" i="5"/>
  <c r="K247" i="5" s="1"/>
  <c r="I248" i="5"/>
  <c r="J248" i="5" s="1"/>
  <c r="I249" i="5"/>
  <c r="I250" i="5"/>
  <c r="I251" i="5"/>
  <c r="K251" i="5" s="1"/>
  <c r="I252" i="5"/>
  <c r="I253" i="5"/>
  <c r="I254" i="5"/>
  <c r="K254" i="5" s="1"/>
  <c r="I255" i="5"/>
  <c r="I256" i="5"/>
  <c r="I257" i="5"/>
  <c r="K257" i="5" s="1"/>
  <c r="I258" i="5"/>
  <c r="I259" i="5"/>
  <c r="I260" i="5"/>
  <c r="K260" i="5" s="1"/>
  <c r="I261" i="5"/>
  <c r="J261" i="5" s="1"/>
  <c r="I262" i="5"/>
  <c r="I263" i="5"/>
  <c r="I264" i="5"/>
  <c r="K264" i="5" s="1"/>
  <c r="I265" i="5"/>
  <c r="I266" i="5"/>
  <c r="I267" i="5"/>
  <c r="K267" i="5" s="1"/>
  <c r="I268" i="5"/>
  <c r="I269" i="5"/>
  <c r="I270" i="5"/>
  <c r="K270" i="5" s="1"/>
  <c r="I271" i="5"/>
  <c r="I272" i="5"/>
  <c r="I273" i="5"/>
  <c r="I274" i="5"/>
  <c r="J274" i="5" s="1"/>
  <c r="I275" i="5"/>
  <c r="J275" i="5" s="1"/>
  <c r="I276" i="5"/>
  <c r="I277" i="5"/>
  <c r="I278" i="5"/>
  <c r="I279" i="5"/>
  <c r="I280" i="5"/>
  <c r="I281" i="5"/>
  <c r="J281" i="5" s="1"/>
  <c r="I282" i="5"/>
  <c r="I283" i="5"/>
  <c r="I284" i="5"/>
  <c r="I285" i="5"/>
  <c r="I286" i="5"/>
  <c r="K286" i="5" s="1"/>
  <c r="I287" i="5"/>
  <c r="I288" i="5"/>
  <c r="I289" i="5"/>
  <c r="I290" i="5"/>
  <c r="K290" i="5" s="1"/>
  <c r="I291" i="5"/>
  <c r="I292" i="5"/>
  <c r="I293" i="5"/>
  <c r="K293" i="5" s="1"/>
  <c r="I294" i="5"/>
  <c r="J294" i="5" s="1"/>
  <c r="I295" i="5"/>
  <c r="I296" i="5"/>
  <c r="I297" i="5"/>
  <c r="K297" i="5" s="1"/>
  <c r="I298" i="5"/>
  <c r="I299" i="5"/>
  <c r="I300" i="5"/>
  <c r="I301" i="5"/>
  <c r="J301" i="5" s="1"/>
  <c r="I302" i="5"/>
  <c r="I303" i="5"/>
  <c r="I304" i="5"/>
  <c r="K304" i="5" s="1"/>
  <c r="I305" i="5"/>
  <c r="I306" i="5"/>
  <c r="I307" i="5"/>
  <c r="I308" i="5"/>
  <c r="K308" i="5" s="1"/>
  <c r="I309" i="5"/>
  <c r="I310" i="5"/>
  <c r="I311" i="5"/>
  <c r="I312" i="5"/>
  <c r="I313" i="5"/>
  <c r="I314" i="5"/>
  <c r="I315" i="5"/>
  <c r="K315" i="5" s="1"/>
  <c r="I316" i="5"/>
  <c r="I317" i="5"/>
  <c r="I318" i="5"/>
  <c r="K318" i="5" s="1"/>
  <c r="I319" i="5"/>
  <c r="I320" i="5"/>
  <c r="I321" i="5"/>
  <c r="I322" i="5"/>
  <c r="I323" i="5"/>
  <c r="I324" i="5"/>
  <c r="I325" i="5"/>
  <c r="I326" i="5"/>
  <c r="I327" i="5"/>
  <c r="K327" i="5" s="1"/>
  <c r="I328" i="5"/>
  <c r="J328" i="5" s="1"/>
  <c r="I329" i="5"/>
  <c r="K329" i="5" s="1"/>
  <c r="I331" i="5"/>
  <c r="I332" i="5"/>
  <c r="K332" i="5" s="1"/>
  <c r="I333" i="5"/>
  <c r="I334" i="5"/>
  <c r="I335" i="5"/>
  <c r="J335" i="5" s="1"/>
  <c r="I336" i="5"/>
  <c r="K336" i="5" s="1"/>
  <c r="I337" i="5"/>
  <c r="K337" i="5" s="1"/>
  <c r="I338" i="5"/>
  <c r="I339" i="5"/>
  <c r="I340" i="5"/>
  <c r="J340" i="5" s="1"/>
  <c r="I341" i="5"/>
  <c r="K341" i="5" s="1"/>
  <c r="I342" i="5"/>
  <c r="I343" i="5"/>
  <c r="I344" i="5"/>
  <c r="K344" i="5" s="1"/>
  <c r="I345" i="5"/>
  <c r="J345" i="5" s="1"/>
  <c r="I346" i="5"/>
  <c r="I347" i="5"/>
  <c r="J347" i="5" s="1"/>
  <c r="I348" i="5"/>
  <c r="K348" i="5" s="1"/>
  <c r="I349" i="5"/>
  <c r="I350" i="5"/>
  <c r="K350" i="5" s="1"/>
  <c r="I351" i="5"/>
  <c r="J351" i="5" s="1"/>
  <c r="I352" i="5"/>
  <c r="I353" i="5"/>
  <c r="K353" i="5" s="1"/>
  <c r="I354" i="5"/>
  <c r="K354" i="5" s="1"/>
  <c r="I355" i="5"/>
  <c r="I356" i="5"/>
  <c r="I357" i="5"/>
  <c r="K357" i="5" s="1"/>
  <c r="I358" i="5"/>
  <c r="I359" i="5"/>
  <c r="I360" i="5"/>
  <c r="K360" i="5" s="1"/>
  <c r="I361" i="5"/>
  <c r="K361" i="5" s="1"/>
  <c r="I362" i="5"/>
  <c r="K362" i="5" s="1"/>
  <c r="I363" i="5"/>
  <c r="J363" i="5" s="1"/>
  <c r="I364" i="5"/>
  <c r="I365" i="5"/>
  <c r="K365" i="5" s="1"/>
  <c r="I366" i="5"/>
  <c r="I367" i="5"/>
  <c r="K367" i="5" s="1"/>
  <c r="I368" i="5"/>
  <c r="K368" i="5" s="1"/>
  <c r="I369" i="5"/>
  <c r="J369" i="5" s="1"/>
  <c r="I370" i="5"/>
  <c r="I371" i="5"/>
  <c r="J371" i="5" s="1"/>
  <c r="I372" i="5"/>
  <c r="I373" i="5"/>
  <c r="K373" i="5" s="1"/>
  <c r="I374" i="5"/>
  <c r="K374" i="5" s="1"/>
  <c r="I375" i="5"/>
  <c r="K375" i="5" s="1"/>
  <c r="I376" i="5"/>
  <c r="K376" i="5" s="1"/>
  <c r="I377" i="5"/>
  <c r="K377" i="5" s="1"/>
  <c r="I378" i="5"/>
  <c r="J378" i="5" s="1"/>
  <c r="I379" i="5"/>
  <c r="K379" i="5" s="1"/>
  <c r="I380" i="5"/>
  <c r="I381" i="5"/>
  <c r="J381" i="5" s="1"/>
  <c r="I382" i="5"/>
  <c r="I383" i="5"/>
  <c r="K383" i="5" s="1"/>
  <c r="I384" i="5"/>
  <c r="K384" i="5" s="1"/>
  <c r="I385" i="5"/>
  <c r="J385" i="5" s="1"/>
  <c r="I386" i="5"/>
  <c r="J386" i="5" s="1"/>
  <c r="I387" i="5"/>
  <c r="I388" i="5"/>
  <c r="K388" i="5" s="1"/>
  <c r="I389" i="5"/>
  <c r="J389" i="5" s="1"/>
  <c r="I390" i="5"/>
  <c r="K390" i="5" s="1"/>
  <c r="I391" i="5"/>
  <c r="K39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60" i="5"/>
  <c r="E127" i="5"/>
  <c r="E174" i="5"/>
  <c r="E23" i="5"/>
  <c r="E297" i="5"/>
  <c r="E154" i="5"/>
  <c r="E235" i="5"/>
  <c r="E170" i="5"/>
  <c r="E112" i="5"/>
  <c r="E279" i="5"/>
  <c r="E71" i="5"/>
  <c r="E221" i="5"/>
  <c r="E88" i="5"/>
  <c r="E117" i="5"/>
  <c r="E102" i="5"/>
  <c r="E165" i="5"/>
  <c r="E288" i="5"/>
  <c r="E168" i="5"/>
  <c r="E382" i="5"/>
  <c r="E78" i="5"/>
  <c r="E261" i="5"/>
  <c r="E173" i="5"/>
  <c r="E223" i="5"/>
  <c r="E252" i="5"/>
  <c r="E313" i="5"/>
  <c r="E355" i="5"/>
  <c r="E136" i="5"/>
  <c r="E349" i="5"/>
  <c r="E346" i="5"/>
  <c r="E353" i="5"/>
  <c r="E200" i="5"/>
  <c r="E351" i="5"/>
  <c r="E254" i="5"/>
  <c r="E133" i="5"/>
  <c r="E139" i="5"/>
  <c r="E391" i="5"/>
  <c r="E390" i="5"/>
  <c r="E373" i="5"/>
  <c r="E229" i="5"/>
  <c r="E324" i="5"/>
  <c r="E148" i="5"/>
  <c r="E121" i="5"/>
  <c r="E239" i="5"/>
  <c r="E142" i="5"/>
  <c r="E334" i="5"/>
  <c r="E315" i="5"/>
  <c r="E309" i="5"/>
  <c r="E212" i="5"/>
  <c r="E262" i="5"/>
  <c r="E381" i="5"/>
  <c r="E326" i="5"/>
  <c r="E208" i="5"/>
  <c r="E291" i="5"/>
  <c r="E172" i="5"/>
  <c r="E361" i="5"/>
  <c r="E276" i="5"/>
  <c r="E332" i="5"/>
  <c r="E234" i="5"/>
  <c r="E161" i="5"/>
  <c r="E122" i="5"/>
  <c r="E20" i="5"/>
  <c r="E370" i="5"/>
  <c r="E318" i="5"/>
  <c r="E156" i="5"/>
  <c r="E264" i="5"/>
  <c r="E191" i="5"/>
  <c r="E265" i="5"/>
  <c r="E135" i="5"/>
  <c r="E360" i="5"/>
  <c r="E389" i="5"/>
  <c r="E94" i="5"/>
  <c r="E182" i="5"/>
  <c r="E169" i="5"/>
  <c r="E298" i="5"/>
  <c r="E66" i="5"/>
  <c r="E184" i="5"/>
  <c r="E103" i="5"/>
  <c r="E39" i="5"/>
  <c r="E204" i="5"/>
  <c r="E226" i="5"/>
  <c r="E242" i="5"/>
  <c r="E322" i="5"/>
  <c r="E96" i="5"/>
  <c r="E12" i="5"/>
  <c r="E247" i="5"/>
  <c r="E42" i="5"/>
  <c r="E41" i="5"/>
  <c r="E364" i="5"/>
  <c r="E196" i="5"/>
  <c r="E75" i="5"/>
  <c r="E132" i="5"/>
  <c r="E86" i="5"/>
  <c r="E10" i="5"/>
  <c r="E72" i="5"/>
  <c r="E118" i="5"/>
  <c r="E81" i="5"/>
  <c r="E190" i="5"/>
  <c r="E91" i="5"/>
  <c r="E145" i="5"/>
  <c r="E25" i="5"/>
  <c r="E176" i="5"/>
  <c r="E302" i="5"/>
  <c r="E128" i="5"/>
  <c r="E22" i="5"/>
  <c r="E126" i="5"/>
  <c r="E109" i="5"/>
  <c r="E114" i="5"/>
  <c r="E189" i="5"/>
  <c r="E210" i="5"/>
  <c r="E245" i="5"/>
  <c r="E155" i="5"/>
  <c r="E62" i="5"/>
  <c r="E98" i="5"/>
  <c r="E193" i="5"/>
  <c r="E93" i="5"/>
  <c r="E106" i="5"/>
  <c r="E110" i="5"/>
  <c r="E107" i="5"/>
  <c r="E269" i="5"/>
  <c r="E224" i="5"/>
  <c r="E293" i="5"/>
  <c r="E95" i="5"/>
  <c r="E273" i="5"/>
  <c r="E219" i="5"/>
  <c r="E295" i="5"/>
  <c r="E248" i="5"/>
  <c r="E44" i="5"/>
  <c r="E90" i="5"/>
  <c r="E149" i="5"/>
  <c r="E101" i="5"/>
  <c r="E99" i="5"/>
  <c r="E199" i="5"/>
  <c r="E175" i="5"/>
  <c r="E344" i="5"/>
  <c r="E369" i="5"/>
  <c r="E105" i="5"/>
  <c r="E308" i="5"/>
  <c r="E141" i="5"/>
  <c r="E243" i="5"/>
  <c r="E282" i="5"/>
  <c r="E270" i="5"/>
  <c r="E89" i="5"/>
  <c r="E140" i="5"/>
  <c r="E124" i="5"/>
  <c r="E379" i="5"/>
  <c r="E267" i="5"/>
  <c r="E236" i="5"/>
  <c r="E289" i="5"/>
  <c r="E311" i="5"/>
  <c r="E287" i="5"/>
  <c r="E299" i="5"/>
  <c r="E343" i="5"/>
  <c r="E363" i="5"/>
  <c r="E380" i="5"/>
  <c r="E260" i="5"/>
  <c r="E356" i="5"/>
  <c r="E292" i="5"/>
  <c r="E339" i="5"/>
  <c r="E319" i="5"/>
  <c r="E338" i="5"/>
  <c r="E328" i="5"/>
  <c r="E120" i="5"/>
  <c r="E352" i="5"/>
  <c r="E272" i="5"/>
  <c r="E213" i="5"/>
  <c r="E336" i="5"/>
  <c r="E150" i="5"/>
  <c r="E337" i="5"/>
  <c r="E304" i="5"/>
  <c r="E233" i="5"/>
  <c r="E214" i="5"/>
  <c r="E310" i="5"/>
  <c r="E347" i="5"/>
  <c r="E374" i="5"/>
  <c r="E357" i="5"/>
  <c r="E372" i="5"/>
  <c r="E350" i="5"/>
  <c r="E368" i="5"/>
  <c r="E238" i="5"/>
  <c r="E348" i="5"/>
  <c r="E251" i="5"/>
  <c r="E327" i="5"/>
  <c r="E316" i="5"/>
  <c r="E340" i="5"/>
  <c r="E253" i="5"/>
  <c r="E111" i="5"/>
  <c r="E166" i="5"/>
  <c r="E345" i="5"/>
  <c r="E240" i="5"/>
  <c r="E367" i="5"/>
  <c r="E47" i="5"/>
  <c r="E342" i="5"/>
  <c r="E300" i="5"/>
  <c r="E108" i="5"/>
  <c r="E33" i="5"/>
  <c r="E123" i="5"/>
  <c r="E329" i="5"/>
  <c r="E203" i="5"/>
  <c r="E129" i="5"/>
  <c r="E157" i="5"/>
  <c r="E228" i="5"/>
  <c r="E286" i="5"/>
  <c r="E205" i="5"/>
  <c r="E256" i="5"/>
  <c r="E198" i="5"/>
  <c r="E37" i="5"/>
  <c r="E177" i="5"/>
  <c r="E125" i="5"/>
  <c r="E137" i="5"/>
  <c r="E58" i="5"/>
  <c r="E134" i="5"/>
  <c r="E217" i="5"/>
  <c r="E48" i="5"/>
  <c r="E274" i="5"/>
  <c r="E146" i="5"/>
  <c r="E275" i="5"/>
  <c r="E85" i="5"/>
  <c r="E230" i="5"/>
  <c r="E178" i="5"/>
  <c r="E49" i="5"/>
  <c r="E195" i="5"/>
  <c r="E325" i="5"/>
  <c r="E138" i="5"/>
  <c r="E183" i="5"/>
  <c r="E207" i="5"/>
  <c r="E333" i="5"/>
  <c r="E231" i="5"/>
  <c r="E97" i="5"/>
  <c r="E162" i="5"/>
  <c r="E115" i="5"/>
  <c r="E341" i="5"/>
  <c r="E227" i="5"/>
  <c r="E60" i="5"/>
  <c r="E194" i="5"/>
  <c r="E280" i="5"/>
  <c r="E277" i="5"/>
  <c r="E151" i="5"/>
  <c r="E314" i="5"/>
  <c r="E32" i="5"/>
  <c r="E59" i="5"/>
  <c r="E152" i="5"/>
  <c r="E13" i="5"/>
  <c r="E358" i="5"/>
  <c r="E384" i="5"/>
  <c r="E222" i="5"/>
  <c r="E69" i="5"/>
  <c r="E19" i="5"/>
  <c r="E54" i="5"/>
  <c r="E63" i="5"/>
  <c r="E82" i="5"/>
  <c r="E171" i="5"/>
  <c r="E26" i="5"/>
  <c r="E38" i="5"/>
  <c r="E378" i="5"/>
  <c r="E206" i="5"/>
  <c r="E305" i="5"/>
  <c r="E385" i="5"/>
  <c r="E388" i="5"/>
  <c r="E18" i="5"/>
  <c r="E79" i="5"/>
  <c r="E53" i="5"/>
  <c r="E35" i="5"/>
  <c r="E87" i="5"/>
  <c r="E34" i="5"/>
  <c r="E5" i="5"/>
  <c r="E147" i="5"/>
  <c r="E185" i="5"/>
  <c r="E65" i="5"/>
  <c r="E76" i="5"/>
  <c r="E17" i="5"/>
  <c r="E52" i="5"/>
  <c r="E158" i="5"/>
  <c r="E179" i="5"/>
  <c r="E153" i="5"/>
  <c r="E46" i="5"/>
  <c r="E113" i="5"/>
  <c r="E55" i="5"/>
  <c r="E283" i="5"/>
  <c r="E215" i="5"/>
  <c r="E268" i="5"/>
  <c r="E323" i="5"/>
  <c r="E216" i="5"/>
  <c r="E312" i="5"/>
  <c r="E30" i="5"/>
  <c r="E294" i="5"/>
  <c r="E130" i="5"/>
  <c r="E284" i="5"/>
  <c r="E257" i="5"/>
  <c r="E278" i="5"/>
  <c r="E180" i="5"/>
  <c r="E383" i="5"/>
  <c r="E73" i="5"/>
  <c r="E225" i="5"/>
  <c r="E258" i="5"/>
  <c r="E354" i="5"/>
  <c r="E296" i="5"/>
  <c r="E359" i="5"/>
  <c r="E259" i="5"/>
  <c r="E77" i="5"/>
  <c r="E51" i="5"/>
  <c r="E386" i="5"/>
  <c r="E365" i="5"/>
  <c r="E241" i="5"/>
  <c r="E375" i="5"/>
  <c r="E271" i="5"/>
  <c r="E320" i="5"/>
  <c r="E232" i="5"/>
  <c r="E376" i="5"/>
  <c r="E306" i="5"/>
  <c r="E307" i="5"/>
  <c r="E366" i="5"/>
  <c r="E281" i="5"/>
  <c r="E303" i="5"/>
  <c r="E290" i="5"/>
  <c r="E244" i="5"/>
  <c r="E321" i="5"/>
  <c r="E250" i="5"/>
  <c r="E192" i="5"/>
  <c r="E164" i="5"/>
  <c r="E301" i="5"/>
  <c r="E335" i="5"/>
  <c r="E201" i="5"/>
  <c r="E331" i="5"/>
  <c r="E362" i="5"/>
  <c r="E220" i="5"/>
  <c r="E92" i="5"/>
  <c r="E263" i="5"/>
  <c r="E68" i="5"/>
  <c r="E159" i="5"/>
  <c r="E181" i="5"/>
  <c r="E255" i="5"/>
  <c r="E371" i="5"/>
  <c r="E317" i="5"/>
  <c r="E202" i="5"/>
  <c r="E57" i="5"/>
  <c r="E100" i="5"/>
  <c r="E285" i="5"/>
  <c r="E188" i="5"/>
  <c r="E45" i="5"/>
  <c r="E83" i="5"/>
  <c r="E67" i="5"/>
  <c r="E266" i="5"/>
  <c r="E186" i="5"/>
  <c r="E209" i="5"/>
  <c r="E387" i="5"/>
  <c r="E24" i="5"/>
  <c r="E29" i="5"/>
  <c r="E144" i="5"/>
  <c r="E131" i="5"/>
  <c r="E187" i="5"/>
  <c r="E246" i="5"/>
  <c r="E237" i="5"/>
  <c r="E143" i="5"/>
  <c r="E249" i="5"/>
  <c r="E119" i="5"/>
  <c r="E211" i="5"/>
  <c r="E8" i="5"/>
  <c r="E28" i="5"/>
  <c r="E84" i="5"/>
  <c r="E104" i="5"/>
  <c r="E163" i="5"/>
  <c r="E116" i="5"/>
  <c r="E377" i="5"/>
  <c r="E4" i="5"/>
  <c r="E3" i="5"/>
  <c r="E6" i="5"/>
  <c r="E11" i="5"/>
  <c r="E40" i="5"/>
  <c r="E16" i="5"/>
  <c r="E50" i="5"/>
  <c r="E56" i="5"/>
  <c r="E36" i="5"/>
  <c r="E21" i="5"/>
  <c r="E14" i="5"/>
  <c r="E70" i="5"/>
  <c r="E27" i="5"/>
  <c r="E31" i="5"/>
  <c r="E61" i="5"/>
  <c r="E64" i="5"/>
  <c r="J117" i="3" l="1"/>
  <c r="K3" i="5"/>
  <c r="J3" i="5"/>
  <c r="K277" i="5"/>
  <c r="K78" i="5"/>
  <c r="J55" i="5"/>
  <c r="J47" i="5"/>
  <c r="K311" i="5"/>
  <c r="K284" i="5"/>
  <c r="J263" i="5"/>
  <c r="K149" i="5"/>
  <c r="K142" i="5"/>
  <c r="J70" i="5"/>
  <c r="J39" i="5"/>
  <c r="K303" i="5"/>
  <c r="K289" i="5"/>
  <c r="J269" i="5"/>
  <c r="K250" i="5"/>
  <c r="K219" i="5"/>
  <c r="K181" i="5"/>
  <c r="J296" i="5"/>
  <c r="J242" i="5"/>
  <c r="K157" i="5"/>
  <c r="K312" i="5"/>
  <c r="K63" i="5"/>
  <c r="K31" i="5"/>
  <c r="J317" i="5"/>
  <c r="K276" i="5"/>
  <c r="K256" i="5"/>
  <c r="K234" i="5"/>
  <c r="J227" i="5"/>
  <c r="J211" i="5"/>
  <c r="J204" i="5"/>
  <c r="K189" i="5"/>
  <c r="J134" i="5"/>
  <c r="K126" i="5"/>
  <c r="K118" i="5"/>
  <c r="J110" i="5"/>
  <c r="J102" i="5"/>
  <c r="K94" i="5"/>
  <c r="K86" i="5"/>
  <c r="J17" i="5"/>
  <c r="J9" i="5"/>
  <c r="K25" i="5"/>
  <c r="J16" i="5"/>
  <c r="J8" i="5"/>
  <c r="J322" i="5"/>
  <c r="K18" i="5"/>
  <c r="J15" i="5"/>
  <c r="J7" i="5"/>
  <c r="K23" i="5"/>
  <c r="K321" i="5"/>
  <c r="J74" i="5"/>
  <c r="J66" i="5"/>
  <c r="J59" i="5"/>
  <c r="J51" i="5"/>
  <c r="J43" i="5"/>
  <c r="J35" i="5"/>
  <c r="J27" i="5"/>
  <c r="K331" i="5"/>
  <c r="J326" i="5"/>
  <c r="K320" i="5"/>
  <c r="J307" i="5"/>
  <c r="K300" i="5"/>
  <c r="K292" i="5"/>
  <c r="J285" i="5"/>
  <c r="K280" i="5"/>
  <c r="J273" i="5"/>
  <c r="K259" i="5"/>
  <c r="J253" i="5"/>
  <c r="J223" i="5"/>
  <c r="J215" i="5"/>
  <c r="J201" i="5"/>
  <c r="J193" i="5"/>
  <c r="J169" i="5"/>
  <c r="J153" i="5"/>
  <c r="J138" i="5"/>
  <c r="J130" i="5"/>
  <c r="J106" i="5"/>
  <c r="J90" i="5"/>
  <c r="J65" i="5"/>
  <c r="J50" i="5"/>
  <c r="J42" i="5"/>
  <c r="J13" i="5"/>
  <c r="J5" i="5"/>
  <c r="J356" i="5"/>
  <c r="K349" i="5"/>
  <c r="K343" i="5"/>
  <c r="K325" i="5"/>
  <c r="K314" i="5"/>
  <c r="J306" i="5"/>
  <c r="K299" i="5"/>
  <c r="J291" i="5"/>
  <c r="K279" i="5"/>
  <c r="K272" i="5"/>
  <c r="K266" i="5"/>
  <c r="J258" i="5"/>
  <c r="J252" i="5"/>
  <c r="J237" i="5"/>
  <c r="J230" i="5"/>
  <c r="J207" i="5"/>
  <c r="J192" i="5"/>
  <c r="J176" i="5"/>
  <c r="J168" i="5"/>
  <c r="J145" i="5"/>
  <c r="J129" i="5"/>
  <c r="J113" i="5"/>
  <c r="J105" i="5"/>
  <c r="J81" i="5"/>
  <c r="K57" i="5"/>
  <c r="K49" i="5"/>
  <c r="K41" i="5"/>
  <c r="K2" i="5"/>
  <c r="K43" i="5"/>
  <c r="J331" i="5"/>
  <c r="J272" i="5"/>
  <c r="K291" i="5"/>
  <c r="K253" i="5"/>
  <c r="K113" i="5"/>
  <c r="J260" i="5"/>
  <c r="J144" i="5"/>
  <c r="K258" i="5"/>
  <c r="K105" i="5"/>
  <c r="J325" i="5"/>
  <c r="J104" i="5"/>
  <c r="K102" i="5"/>
  <c r="J151" i="5"/>
  <c r="J376" i="5"/>
  <c r="J314" i="5"/>
  <c r="J257" i="5"/>
  <c r="J94" i="5"/>
  <c r="K252" i="5"/>
  <c r="K90" i="5"/>
  <c r="J373" i="5"/>
  <c r="J312" i="5"/>
  <c r="J229" i="5"/>
  <c r="J44" i="5"/>
  <c r="K66" i="5"/>
  <c r="J308" i="5"/>
  <c r="J213" i="5"/>
  <c r="K215" i="5"/>
  <c r="K65" i="5"/>
  <c r="J350" i="5"/>
  <c r="J280" i="5"/>
  <c r="J212" i="5"/>
  <c r="K154" i="5"/>
  <c r="K55" i="5"/>
  <c r="J279" i="5"/>
  <c r="J199" i="5"/>
  <c r="K306" i="5"/>
  <c r="K145" i="5"/>
  <c r="J284" i="5"/>
  <c r="J157" i="5"/>
  <c r="K351" i="5"/>
  <c r="K269" i="5"/>
  <c r="K165" i="5"/>
  <c r="J388" i="5"/>
  <c r="J375" i="5"/>
  <c r="J357" i="5"/>
  <c r="J219" i="5"/>
  <c r="J100" i="5"/>
  <c r="J52" i="5"/>
  <c r="K263" i="5"/>
  <c r="K227" i="5"/>
  <c r="K162" i="5"/>
  <c r="K378" i="5"/>
  <c r="K296" i="5"/>
  <c r="J276" i="5"/>
  <c r="J86" i="5"/>
  <c r="J368" i="5"/>
  <c r="J344" i="5"/>
  <c r="J300" i="5"/>
  <c r="J247" i="5"/>
  <c r="J139" i="5"/>
  <c r="J83" i="5"/>
  <c r="J23" i="5"/>
  <c r="K371" i="5"/>
  <c r="K335" i="5"/>
  <c r="K285" i="5"/>
  <c r="K204" i="5"/>
  <c r="K140" i="5"/>
  <c r="K39" i="5"/>
  <c r="K340" i="5"/>
  <c r="J254" i="5"/>
  <c r="J31" i="5"/>
  <c r="J383" i="5"/>
  <c r="J341" i="5"/>
  <c r="J321" i="5"/>
  <c r="J292" i="5"/>
  <c r="J244" i="5"/>
  <c r="J194" i="5"/>
  <c r="J126" i="5"/>
  <c r="J78" i="5"/>
  <c r="K326" i="5"/>
  <c r="K138" i="5"/>
  <c r="K36" i="5"/>
  <c r="J362" i="5"/>
  <c r="J290" i="5"/>
  <c r="J267" i="5"/>
  <c r="J234" i="5"/>
  <c r="J183" i="5"/>
  <c r="J118" i="5"/>
  <c r="J63" i="5"/>
  <c r="K322" i="5"/>
  <c r="K281" i="5"/>
  <c r="K239" i="5"/>
  <c r="K192" i="5"/>
  <c r="K74" i="5"/>
  <c r="K28" i="5"/>
  <c r="J329" i="5"/>
  <c r="K211" i="5"/>
  <c r="J377" i="5"/>
  <c r="J360" i="5"/>
  <c r="J315" i="5"/>
  <c r="J289" i="5"/>
  <c r="J266" i="5"/>
  <c r="J231" i="5"/>
  <c r="J178" i="5"/>
  <c r="J112" i="5"/>
  <c r="J57" i="5"/>
  <c r="K274" i="5"/>
  <c r="K169" i="5"/>
  <c r="K115" i="5"/>
  <c r="K67" i="5"/>
  <c r="K27" i="5"/>
  <c r="K346" i="5"/>
  <c r="J346" i="5"/>
  <c r="K316" i="5"/>
  <c r="J316" i="5"/>
  <c r="K283" i="5"/>
  <c r="J283" i="5"/>
  <c r="K249" i="5"/>
  <c r="J249" i="5"/>
  <c r="K218" i="5"/>
  <c r="J218" i="5"/>
  <c r="K77" i="5"/>
  <c r="J77" i="5"/>
  <c r="K46" i="5"/>
  <c r="J46" i="5"/>
  <c r="J333" i="5"/>
  <c r="K333" i="5"/>
  <c r="K309" i="5"/>
  <c r="J309" i="5"/>
  <c r="J287" i="5"/>
  <c r="K287" i="5"/>
  <c r="K301" i="5"/>
  <c r="K187" i="5"/>
  <c r="J19" i="5"/>
  <c r="K19" i="5"/>
  <c r="K228" i="5"/>
  <c r="J228" i="5"/>
  <c r="K198" i="5"/>
  <c r="J198" i="5"/>
  <c r="J190" i="5"/>
  <c r="K190" i="5"/>
  <c r="J182" i="5"/>
  <c r="K182" i="5"/>
  <c r="J174" i="5"/>
  <c r="K174" i="5"/>
  <c r="J166" i="5"/>
  <c r="K166" i="5"/>
  <c r="J158" i="5"/>
  <c r="K158" i="5"/>
  <c r="J150" i="5"/>
  <c r="K150" i="5"/>
  <c r="J143" i="5"/>
  <c r="K143" i="5"/>
  <c r="J135" i="5"/>
  <c r="K135" i="5"/>
  <c r="J127" i="5"/>
  <c r="J119" i="5"/>
  <c r="K119" i="5"/>
  <c r="J391" i="5"/>
  <c r="J354" i="5"/>
  <c r="J304" i="5"/>
  <c r="J251" i="5"/>
  <c r="J203" i="5"/>
  <c r="J164" i="5"/>
  <c r="J125" i="5"/>
  <c r="K217" i="5"/>
  <c r="K92" i="5"/>
  <c r="K352" i="5"/>
  <c r="J352" i="5"/>
  <c r="K310" i="5"/>
  <c r="J310" i="5"/>
  <c r="K268" i="5"/>
  <c r="J268" i="5"/>
  <c r="K85" i="5"/>
  <c r="J85" i="5"/>
  <c r="J24" i="5"/>
  <c r="K24" i="5"/>
  <c r="J382" i="5"/>
  <c r="K382" i="5"/>
  <c r="K232" i="5"/>
  <c r="J232" i="5"/>
  <c r="J84" i="5"/>
  <c r="K84" i="5"/>
  <c r="J26" i="5"/>
  <c r="K26" i="5"/>
  <c r="J197" i="5"/>
  <c r="K197" i="5"/>
  <c r="J173" i="5"/>
  <c r="K173" i="5"/>
  <c r="J390" i="5"/>
  <c r="J384" i="5"/>
  <c r="J361" i="5"/>
  <c r="J353" i="5"/>
  <c r="J343" i="5"/>
  <c r="J332" i="5"/>
  <c r="J303" i="5"/>
  <c r="J270" i="5"/>
  <c r="J259" i="5"/>
  <c r="J250" i="5"/>
  <c r="J233" i="5"/>
  <c r="J216" i="5"/>
  <c r="J202" i="5"/>
  <c r="J181" i="5"/>
  <c r="J163" i="5"/>
  <c r="J142" i="5"/>
  <c r="J120" i="5"/>
  <c r="J101" i="5"/>
  <c r="J80" i="5"/>
  <c r="J62" i="5"/>
  <c r="J41" i="5"/>
  <c r="J20" i="5"/>
  <c r="K389" i="5"/>
  <c r="K381" i="5"/>
  <c r="K369" i="5"/>
  <c r="K356" i="5"/>
  <c r="K307" i="5"/>
  <c r="K273" i="5"/>
  <c r="K237" i="5"/>
  <c r="K193" i="5"/>
  <c r="K168" i="5"/>
  <c r="K116" i="5"/>
  <c r="K91" i="5"/>
  <c r="K42" i="5"/>
  <c r="K370" i="5"/>
  <c r="J370" i="5"/>
  <c r="K141" i="5"/>
  <c r="J141" i="5"/>
  <c r="K109" i="5"/>
  <c r="J109" i="5"/>
  <c r="K61" i="5"/>
  <c r="J186" i="5"/>
  <c r="K186" i="5"/>
  <c r="J123" i="5"/>
  <c r="K123" i="5"/>
  <c r="J60" i="5"/>
  <c r="K60" i="5"/>
  <c r="J367" i="5"/>
  <c r="J349" i="5"/>
  <c r="J337" i="5"/>
  <c r="J320" i="5"/>
  <c r="J311" i="5"/>
  <c r="J299" i="5"/>
  <c r="J286" i="5"/>
  <c r="J277" i="5"/>
  <c r="J256" i="5"/>
  <c r="J243" i="5"/>
  <c r="J226" i="5"/>
  <c r="J210" i="5"/>
  <c r="J195" i="5"/>
  <c r="J175" i="5"/>
  <c r="J155" i="5"/>
  <c r="J133" i="5"/>
  <c r="J93" i="5"/>
  <c r="J75" i="5"/>
  <c r="J54" i="5"/>
  <c r="K386" i="5"/>
  <c r="K363" i="5"/>
  <c r="K347" i="5"/>
  <c r="K317" i="5"/>
  <c r="K248" i="5"/>
  <c r="K230" i="5"/>
  <c r="K207" i="5"/>
  <c r="K131" i="5"/>
  <c r="K106" i="5"/>
  <c r="K81" i="5"/>
  <c r="K29" i="5"/>
  <c r="K364" i="5"/>
  <c r="J364" i="5"/>
  <c r="K334" i="5"/>
  <c r="J334" i="5"/>
  <c r="K295" i="5"/>
  <c r="J295" i="5"/>
  <c r="K262" i="5"/>
  <c r="J262" i="5"/>
  <c r="K172" i="5"/>
  <c r="J172" i="5"/>
  <c r="J38" i="5"/>
  <c r="J148" i="5"/>
  <c r="K148" i="5"/>
  <c r="J196" i="5"/>
  <c r="J156" i="5"/>
  <c r="J117" i="5"/>
  <c r="J76" i="5"/>
  <c r="J37" i="5"/>
  <c r="K22" i="5"/>
  <c r="J22" i="5"/>
  <c r="J246" i="5"/>
  <c r="K246" i="5"/>
  <c r="J238" i="5"/>
  <c r="K238" i="5"/>
  <c r="J208" i="5"/>
  <c r="K208" i="5"/>
  <c r="J185" i="5"/>
  <c r="K185" i="5"/>
  <c r="J177" i="5"/>
  <c r="K177" i="5"/>
  <c r="J161" i="5"/>
  <c r="K161" i="5"/>
  <c r="J146" i="5"/>
  <c r="K146" i="5"/>
  <c r="J122" i="5"/>
  <c r="K122" i="5"/>
  <c r="J114" i="5"/>
  <c r="K114" i="5"/>
  <c r="J98" i="5"/>
  <c r="K98" i="5"/>
  <c r="J82" i="5"/>
  <c r="K82" i="5"/>
  <c r="J348" i="5"/>
  <c r="J297" i="5"/>
  <c r="J241" i="5"/>
  <c r="J225" i="5"/>
  <c r="J209" i="5"/>
  <c r="J171" i="5"/>
  <c r="J132" i="5"/>
  <c r="J69" i="5"/>
  <c r="J30" i="5"/>
  <c r="K385" i="5"/>
  <c r="K179" i="5"/>
  <c r="K130" i="5"/>
  <c r="K53" i="5"/>
  <c r="K339" i="5"/>
  <c r="J339" i="5"/>
  <c r="K302" i="5"/>
  <c r="J302" i="5"/>
  <c r="K255" i="5"/>
  <c r="J255" i="5"/>
  <c r="J180" i="5"/>
  <c r="J338" i="5"/>
  <c r="K338" i="5"/>
  <c r="J21" i="5"/>
  <c r="K21" i="5"/>
  <c r="J245" i="5"/>
  <c r="K245" i="5"/>
  <c r="J222" i="5"/>
  <c r="K222" i="5"/>
  <c r="J214" i="5"/>
  <c r="K214" i="5"/>
  <c r="J200" i="5"/>
  <c r="K200" i="5"/>
  <c r="J184" i="5"/>
  <c r="J160" i="5"/>
  <c r="K160" i="5"/>
  <c r="J152" i="5"/>
  <c r="K152" i="5"/>
  <c r="J137" i="5"/>
  <c r="K137" i="5"/>
  <c r="J121" i="5"/>
  <c r="K121" i="5"/>
  <c r="J97" i="5"/>
  <c r="K97" i="5"/>
  <c r="J89" i="5"/>
  <c r="K89" i="5"/>
  <c r="J73" i="5"/>
  <c r="K73" i="5"/>
  <c r="J58" i="5"/>
  <c r="K58" i="5"/>
  <c r="J34" i="5"/>
  <c r="K34" i="5"/>
  <c r="J365" i="5"/>
  <c r="J327" i="5"/>
  <c r="J318" i="5"/>
  <c r="J264" i="5"/>
  <c r="J240" i="5"/>
  <c r="J224" i="5"/>
  <c r="J205" i="5"/>
  <c r="J189" i="5"/>
  <c r="J170" i="5"/>
  <c r="J149" i="5"/>
  <c r="J108" i="5"/>
  <c r="J88" i="5"/>
  <c r="J68" i="5"/>
  <c r="J49" i="5"/>
  <c r="K345" i="5"/>
  <c r="K328" i="5"/>
  <c r="K294" i="5"/>
  <c r="K261" i="5"/>
  <c r="K242" i="5"/>
  <c r="K153" i="5"/>
  <c r="K129" i="5"/>
  <c r="K387" i="5"/>
  <c r="J387" i="5"/>
  <c r="K358" i="5"/>
  <c r="J358" i="5"/>
  <c r="K323" i="5"/>
  <c r="J323" i="5"/>
  <c r="K288" i="5"/>
  <c r="J288" i="5"/>
  <c r="J282" i="5"/>
  <c r="K282" i="5"/>
  <c r="K380" i="5"/>
  <c r="J380" i="5"/>
  <c r="K372" i="5"/>
  <c r="J372" i="5"/>
  <c r="K366" i="5"/>
  <c r="J366" i="5"/>
  <c r="K359" i="5"/>
  <c r="J359" i="5"/>
  <c r="K355" i="5"/>
  <c r="J355" i="5"/>
  <c r="K342" i="5"/>
  <c r="J342" i="5"/>
  <c r="K324" i="5"/>
  <c r="J324" i="5"/>
  <c r="K319" i="5"/>
  <c r="J319" i="5"/>
  <c r="K313" i="5"/>
  <c r="J313" i="5"/>
  <c r="K305" i="5"/>
  <c r="J305" i="5"/>
  <c r="K298" i="5"/>
  <c r="J298" i="5"/>
  <c r="K278" i="5"/>
  <c r="J278" i="5"/>
  <c r="K271" i="5"/>
  <c r="J271" i="5"/>
  <c r="K265" i="5"/>
  <c r="J265" i="5"/>
  <c r="K236" i="5"/>
  <c r="J236" i="5"/>
  <c r="K221" i="5"/>
  <c r="J221" i="5"/>
  <c r="K206" i="5"/>
  <c r="J206" i="5"/>
  <c r="K191" i="5"/>
  <c r="J191" i="5"/>
  <c r="K159" i="5"/>
  <c r="J159" i="5"/>
  <c r="K136" i="5"/>
  <c r="J136" i="5"/>
  <c r="K128" i="5"/>
  <c r="J128" i="5"/>
  <c r="K96" i="5"/>
  <c r="J96" i="5"/>
  <c r="K72" i="5"/>
  <c r="J72" i="5"/>
  <c r="K64" i="5"/>
  <c r="J64" i="5"/>
  <c r="K33" i="5"/>
  <c r="J33" i="5"/>
  <c r="J379" i="5"/>
  <c r="J374" i="5"/>
  <c r="J336" i="5"/>
  <c r="J293" i="5"/>
  <c r="J235" i="5"/>
  <c r="J220" i="5"/>
  <c r="J188" i="5"/>
  <c r="J167" i="5"/>
  <c r="J147" i="5"/>
  <c r="J107" i="5"/>
  <c r="J45" i="5"/>
  <c r="J25" i="5"/>
  <c r="K275" i="5"/>
  <c r="K223" i="5"/>
  <c r="K201" i="5"/>
  <c r="K176"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4" i="5"/>
  <c r="K70" i="5"/>
  <c r="K59" i="5"/>
  <c r="J11" i="5"/>
  <c r="K17" i="5"/>
  <c r="K13" i="5"/>
  <c r="K9" i="5"/>
  <c r="K5" i="5"/>
  <c r="K15" i="5"/>
  <c r="K7" i="5"/>
  <c r="K16" i="5"/>
  <c r="K14" i="5"/>
  <c r="K12" i="5"/>
  <c r="K10" i="5"/>
  <c r="K8" i="5"/>
  <c r="K6" i="5"/>
  <c r="K4" i="5"/>
  <c r="G12" i="2" l="1"/>
  <c r="T12" i="2"/>
  <c r="U12" i="2"/>
  <c r="T34" i="2"/>
  <c r="U34" i="2"/>
  <c r="T86" i="2"/>
  <c r="U86" i="2"/>
  <c r="T24" i="2"/>
  <c r="U24" i="2"/>
  <c r="T54" i="2"/>
  <c r="G23" i="1"/>
  <c r="G14" i="1"/>
  <c r="G236" i="1"/>
  <c r="T104" i="2"/>
  <c r="U113" i="2"/>
  <c r="T123" i="2"/>
  <c r="T21" i="2"/>
  <c r="T29" i="2"/>
  <c r="T93" i="2"/>
  <c r="T57" i="2"/>
  <c r="T11" i="2"/>
  <c r="T55" i="2"/>
  <c r="T30" i="2"/>
  <c r="T75" i="2"/>
  <c r="T47" i="2"/>
  <c r="T135" i="2"/>
  <c r="T92" i="2"/>
  <c r="T91" i="2"/>
  <c r="T32" i="2"/>
  <c r="T44" i="2"/>
  <c r="T126" i="2"/>
  <c r="T48" i="2"/>
  <c r="T9" i="2"/>
  <c r="T133" i="2"/>
  <c r="T68" i="2"/>
  <c r="T84" i="2"/>
  <c r="T88" i="2"/>
  <c r="T40" i="2"/>
  <c r="T127" i="2"/>
  <c r="T58" i="2"/>
  <c r="T87" i="2"/>
  <c r="T111" i="2"/>
  <c r="T110" i="2"/>
  <c r="T73" i="2"/>
  <c r="T112" i="2"/>
  <c r="T61" i="2"/>
  <c r="T79" i="2"/>
  <c r="T33" i="2"/>
  <c r="T45" i="2"/>
  <c r="T38" i="2"/>
  <c r="T116" i="2"/>
  <c r="T65" i="2"/>
  <c r="T63" i="2"/>
  <c r="T52" i="2"/>
  <c r="T106" i="2"/>
  <c r="T124" i="2"/>
  <c r="T56" i="2"/>
  <c r="T62" i="2"/>
  <c r="T128" i="2"/>
  <c r="T134" i="2"/>
  <c r="T15" i="2"/>
  <c r="T132" i="2"/>
  <c r="T67" i="2"/>
  <c r="T103" i="2"/>
  <c r="T90" i="2"/>
  <c r="T115" i="2"/>
  <c r="T27" i="2"/>
  <c r="T3" i="2"/>
  <c r="T85" i="2"/>
  <c r="T78" i="2"/>
  <c r="T7" i="2"/>
  <c r="T96" i="2"/>
  <c r="T102" i="2"/>
  <c r="T97" i="2"/>
  <c r="T82" i="2"/>
  <c r="U118" i="2"/>
  <c r="T121" i="2"/>
  <c r="T16" i="2"/>
  <c r="T117" i="2"/>
  <c r="T18" i="2"/>
  <c r="T114" i="2"/>
  <c r="T43" i="2"/>
  <c r="T99" i="2"/>
  <c r="T37" i="2"/>
  <c r="T109" i="2"/>
  <c r="T141" i="2"/>
  <c r="T130" i="2"/>
  <c r="T101" i="2"/>
  <c r="T71" i="2"/>
  <c r="T8" i="2"/>
  <c r="T13" i="2"/>
  <c r="T77" i="2"/>
  <c r="T5" i="2"/>
  <c r="T26" i="2"/>
  <c r="T22" i="2"/>
  <c r="T72" i="2"/>
  <c r="T69" i="2"/>
  <c r="T136" i="2"/>
  <c r="T80" i="2"/>
  <c r="T107" i="2"/>
  <c r="T137" i="2"/>
  <c r="T83" i="2"/>
  <c r="T100" i="2"/>
  <c r="T28" i="2"/>
  <c r="T139" i="2"/>
  <c r="T60" i="2"/>
  <c r="T125" i="2"/>
  <c r="T50" i="2"/>
  <c r="T19" i="2"/>
  <c r="T6" i="2"/>
  <c r="T70" i="2"/>
  <c r="T41" i="2"/>
  <c r="T39" i="2"/>
  <c r="T131" i="2"/>
  <c r="T46" i="2"/>
  <c r="G131" i="2"/>
  <c r="G50" i="2"/>
  <c r="G6" i="2"/>
  <c r="G54" i="2"/>
  <c r="G8" i="2"/>
  <c r="G43" i="2"/>
  <c r="G16" i="2"/>
  <c r="G121" i="2"/>
  <c r="G102" i="2"/>
  <c r="G96" i="2"/>
  <c r="G7" i="2"/>
  <c r="G90" i="2"/>
  <c r="G103" i="2"/>
  <c r="G67" i="2"/>
  <c r="G132" i="2"/>
  <c r="G128" i="2"/>
  <c r="G52" i="2"/>
  <c r="G55" i="2"/>
  <c r="G44" i="2"/>
  <c r="G126" i="2"/>
  <c r="G48" i="2"/>
  <c r="G133" i="2"/>
  <c r="G68" i="2"/>
  <c r="G73" i="2"/>
  <c r="G33" i="2"/>
  <c r="G45" i="2"/>
  <c r="G38" i="2"/>
  <c r="G116" i="2"/>
  <c r="G208" i="1"/>
  <c r="U54" i="2" l="1"/>
  <c r="U73" i="2"/>
  <c r="U29" i="2"/>
  <c r="U41" i="2"/>
  <c r="U38" i="2"/>
  <c r="U78" i="2"/>
  <c r="U141" i="2"/>
  <c r="U30" i="2"/>
  <c r="U18" i="2"/>
  <c r="U100" i="2"/>
  <c r="U97" i="2"/>
  <c r="U121" i="2"/>
  <c r="U101" i="2"/>
  <c r="U106" i="2"/>
  <c r="U75" i="2"/>
  <c r="U7" i="2"/>
  <c r="U93" i="2"/>
  <c r="U40" i="2"/>
  <c r="U87" i="2"/>
  <c r="U128" i="2"/>
  <c r="U22" i="2"/>
  <c r="U9" i="2"/>
  <c r="U46" i="2"/>
  <c r="U131" i="2"/>
  <c r="U11" i="2"/>
  <c r="T113" i="2"/>
  <c r="U116" i="2"/>
  <c r="U33" i="2"/>
  <c r="U69" i="2"/>
  <c r="U15" i="2"/>
  <c r="U52" i="2"/>
  <c r="U64" i="2"/>
  <c r="U80" i="2"/>
  <c r="U44" i="2"/>
  <c r="U82" i="2"/>
  <c r="U79" i="2"/>
  <c r="U59" i="2"/>
  <c r="U68" i="2"/>
  <c r="U117" i="2"/>
  <c r="U77" i="2"/>
  <c r="U115" i="2"/>
  <c r="U45" i="2"/>
  <c r="U55" i="2"/>
  <c r="U99" i="2"/>
  <c r="U102" i="2"/>
  <c r="U92" i="2"/>
  <c r="U84" i="2"/>
  <c r="U88" i="2"/>
  <c r="U5" i="2"/>
  <c r="U16" i="2"/>
  <c r="U123" i="2"/>
  <c r="U70" i="2"/>
  <c r="U71" i="2"/>
  <c r="U39" i="2"/>
  <c r="U103" i="2"/>
  <c r="U32" i="2"/>
  <c r="U28" i="2"/>
  <c r="U107" i="2"/>
  <c r="U133" i="2"/>
  <c r="U72" i="2"/>
  <c r="U126" i="2"/>
  <c r="U50" i="2"/>
  <c r="U56" i="2"/>
  <c r="U60" i="2"/>
  <c r="U65" i="2"/>
  <c r="U57" i="2"/>
  <c r="U136" i="2"/>
  <c r="U48" i="2"/>
  <c r="U83" i="2"/>
  <c r="U114" i="2"/>
  <c r="U91" i="2"/>
  <c r="U137" i="2"/>
  <c r="U43" i="2"/>
  <c r="U3" i="2"/>
  <c r="U47" i="2"/>
  <c r="U27" i="2"/>
  <c r="U21" i="2"/>
  <c r="T118" i="2"/>
  <c r="U104" i="2"/>
  <c r="U8" i="2"/>
  <c r="U132" i="2"/>
  <c r="U66" i="2"/>
  <c r="U125" i="2"/>
  <c r="U124" i="2"/>
  <c r="U111" i="2"/>
  <c r="U58" i="2"/>
  <c r="U90" i="2"/>
  <c r="U135" i="2"/>
  <c r="U62" i="2"/>
  <c r="U67" i="2"/>
  <c r="U61" i="2"/>
  <c r="U63" i="2"/>
  <c r="U134" i="2"/>
  <c r="U112" i="2"/>
  <c r="U6" i="2"/>
  <c r="U13" i="2"/>
  <c r="U109" i="2"/>
  <c r="U96" i="2"/>
  <c r="U110" i="2"/>
  <c r="U127" i="2"/>
  <c r="U85" i="2"/>
  <c r="U130" i="2"/>
  <c r="U37" i="2"/>
  <c r="U139" i="2"/>
  <c r="U19" i="2"/>
  <c r="G174" i="1"/>
  <c r="G98" i="1"/>
  <c r="G194" i="1"/>
  <c r="G164" i="1"/>
  <c r="G190" i="1"/>
  <c r="G185" i="1"/>
  <c r="G22" i="1"/>
  <c r="G104" i="1"/>
  <c r="G168" i="1"/>
  <c r="G151" i="1"/>
  <c r="G220" i="1"/>
  <c r="G226" i="1"/>
  <c r="G210" i="1"/>
  <c r="G124" i="1"/>
  <c r="G126" i="1"/>
  <c r="G179" i="1"/>
  <c r="G189" i="1"/>
  <c r="G6" i="1"/>
  <c r="G170" i="1"/>
  <c r="G51" i="1"/>
  <c r="G206" i="1"/>
  <c r="G155" i="1"/>
  <c r="G203" i="1"/>
  <c r="G177" i="1"/>
  <c r="G117" i="1"/>
  <c r="G11" i="1"/>
  <c r="G166" i="1"/>
  <c r="G75" i="1"/>
  <c r="G82" i="1"/>
  <c r="G158" i="1"/>
  <c r="G209" i="1"/>
  <c r="G17" i="1"/>
  <c r="G67" i="1"/>
  <c r="G133" i="1"/>
  <c r="G184" i="1"/>
  <c r="G73" i="1"/>
  <c r="G162" i="1"/>
  <c r="G63" i="1"/>
  <c r="G118" i="1"/>
  <c r="G138" i="1"/>
  <c r="G139" i="1"/>
  <c r="G157" i="1"/>
  <c r="G109" i="1"/>
  <c r="G233" i="1"/>
  <c r="G193" i="1"/>
  <c r="G141" i="1"/>
  <c r="G197" i="1"/>
  <c r="G211" i="1"/>
  <c r="G84" i="1"/>
  <c r="G49" i="1"/>
  <c r="G163" i="1"/>
  <c r="G176" i="1"/>
  <c r="G65" i="1"/>
  <c r="G120" i="1"/>
  <c r="G12" i="1"/>
  <c r="G27" i="1"/>
  <c r="G135" i="1"/>
  <c r="G58" i="1"/>
  <c r="G116" i="1"/>
  <c r="G76" i="1"/>
  <c r="G204" i="1"/>
  <c r="G45" i="1"/>
  <c r="G91" i="1"/>
  <c r="G173" i="1"/>
  <c r="G144" i="1"/>
  <c r="G125" i="1"/>
  <c r="G88" i="1"/>
  <c r="G199" i="1"/>
  <c r="G36" i="1"/>
  <c r="G48" i="1"/>
  <c r="G150" i="1"/>
  <c r="G92" i="1"/>
  <c r="G201" i="1"/>
  <c r="G131" i="1"/>
  <c r="G202" i="1"/>
  <c r="G216" i="1"/>
  <c r="G96" i="1"/>
  <c r="G198" i="1"/>
  <c r="G188" i="1"/>
  <c r="G171" i="1"/>
  <c r="G97" i="1"/>
  <c r="G4" i="1"/>
  <c r="G66" i="1"/>
  <c r="G81" i="1"/>
  <c r="G90" i="1"/>
  <c r="G114" i="1"/>
  <c r="G192" i="1"/>
  <c r="G152" i="1"/>
  <c r="G107" i="1"/>
  <c r="G154" i="1"/>
  <c r="G181" i="1"/>
  <c r="G227" i="1"/>
  <c r="G47" i="1"/>
  <c r="G95" i="1"/>
  <c r="G200" i="1"/>
  <c r="G217" i="1"/>
  <c r="G136" i="1"/>
  <c r="G148" i="1"/>
  <c r="G103" i="1"/>
  <c r="G137" i="1"/>
  <c r="G64" i="1"/>
  <c r="G153" i="1"/>
  <c r="G70" i="1"/>
  <c r="G101" i="1"/>
  <c r="G127" i="1"/>
  <c r="G28" i="1"/>
  <c r="G85" i="1"/>
  <c r="G29" i="1"/>
  <c r="G221" i="1"/>
  <c r="G178" i="1"/>
  <c r="G53" i="1"/>
  <c r="G161" i="1"/>
  <c r="G113" i="1"/>
  <c r="G172" i="1"/>
  <c r="G16" i="1"/>
  <c r="G222" i="1"/>
  <c r="G10" i="1"/>
  <c r="G37" i="1"/>
  <c r="G54" i="1"/>
  <c r="G60" i="1"/>
  <c r="G134" i="1"/>
  <c r="G41" i="1"/>
  <c r="G61" i="1"/>
  <c r="G207" i="1"/>
  <c r="G218" i="1"/>
  <c r="G110" i="1"/>
  <c r="G186" i="1"/>
  <c r="G156" i="1"/>
  <c r="G234" i="1"/>
  <c r="G108" i="1"/>
  <c r="G39" i="1"/>
  <c r="G24" i="1"/>
  <c r="G121" i="1"/>
  <c r="G130" i="1"/>
  <c r="G55" i="1"/>
  <c r="G214" i="1"/>
  <c r="G149" i="1"/>
  <c r="G62" i="1"/>
  <c r="G160" i="1"/>
  <c r="G223" i="1"/>
  <c r="G235" i="1"/>
  <c r="G140" i="1"/>
  <c r="G3" i="1"/>
  <c r="G8" i="1"/>
  <c r="G215" i="1"/>
  <c r="G33" i="1"/>
  <c r="G145" i="1"/>
  <c r="G165" i="1"/>
  <c r="G142" i="1"/>
  <c r="G175" i="1"/>
  <c r="G106" i="1"/>
  <c r="G74" i="1"/>
  <c r="G122" i="1"/>
  <c r="G183" i="1"/>
  <c r="G229" i="1"/>
  <c r="G93" i="1"/>
  <c r="G71" i="1"/>
  <c r="G102" i="1"/>
  <c r="G112" i="1"/>
  <c r="G213" i="1"/>
  <c r="G146" i="1"/>
  <c r="G147" i="1"/>
  <c r="G159" i="1"/>
  <c r="G80" i="1"/>
  <c r="G169" i="1"/>
  <c r="G180" i="1"/>
  <c r="G111" i="1"/>
  <c r="G115" i="1"/>
  <c r="G83" i="1"/>
  <c r="G119" i="1"/>
  <c r="G205" i="1"/>
  <c r="G182" i="1"/>
  <c r="G32" i="1"/>
  <c r="G94" i="1"/>
  <c r="G44" i="1"/>
  <c r="G52" i="1"/>
  <c r="G79" i="1"/>
  <c r="G123" i="1"/>
  <c r="G129" i="1"/>
  <c r="G105" i="1"/>
  <c r="G46" i="1"/>
  <c r="G72" i="1"/>
  <c r="G232" i="1"/>
  <c r="T146" i="2" l="1"/>
  <c r="G4" i="2"/>
  <c r="J101" i="1"/>
  <c r="J240" i="1" s="1"/>
  <c r="F243" i="1"/>
  <c r="K101" i="1"/>
  <c r="F242" i="1" l="1"/>
</calcChain>
</file>

<file path=xl/sharedStrings.xml><?xml version="1.0" encoding="utf-8"?>
<sst xmlns="http://schemas.openxmlformats.org/spreadsheetml/2006/main" count="5027" uniqueCount="1233">
  <si>
    <t>Spend</t>
  </si>
  <si>
    <t>Ad Sales</t>
  </si>
  <si>
    <t>Spend Difference</t>
  </si>
  <si>
    <t>Total Sales</t>
  </si>
  <si>
    <t>Title</t>
  </si>
  <si>
    <t>Row Labels</t>
  </si>
  <si>
    <t>Sum of Units Ordered</t>
  </si>
  <si>
    <t>Consistency</t>
  </si>
  <si>
    <t>Diff 01-02</t>
  </si>
  <si>
    <t>Diff %</t>
  </si>
  <si>
    <t>Jan</t>
  </si>
  <si>
    <t>Feb</t>
  </si>
  <si>
    <t>Ad Sales 02</t>
  </si>
  <si>
    <t>Diff</t>
  </si>
  <si>
    <t>PerUnit Dec</t>
  </si>
  <si>
    <t>PerUnit Jan</t>
  </si>
  <si>
    <t>DIFF</t>
  </si>
  <si>
    <t>Pumpkin Seed Oil with Saw Palmetto, 3,000mg Per Serving, 300 Softgels | Cold Pressed, Pure Virgin Oil, Herbal Supplement | Supports Urinary, Bladder &amp; Prostate Health | Non-GMO</t>
  </si>
  <si>
    <t>B01BHF3KRG</t>
  </si>
  <si>
    <t>Natural Astaxanthin 12mg, 90 Softgels, 3 Month Supply, Premium Astaxanthin Supplements (MicroAlgae), Supports Eye, Joint, Internal Circulation Health and Antioxidant, Easy to Swallow</t>
  </si>
  <si>
    <t>B08MWZQ4S6</t>
  </si>
  <si>
    <t>Multi-Collagen Capsules</t>
  </si>
  <si>
    <t>B0D16FNPY5</t>
  </si>
  <si>
    <t>Organic Inulin FOS Powder (Jerusalem Artichoke), 2.2 Pounds (35 Ounce), Quick Water Soluble, Prebiotic Intestinal Support for Colon and Gut Health, Natural Fibers for Smoothie &amp; Drinks, Vegan Friendly</t>
  </si>
  <si>
    <t>B074WKCPS4</t>
  </si>
  <si>
    <t>Organic Ceylon Cinnamon Powder 1lb</t>
  </si>
  <si>
    <t>B0D2S665WK</t>
  </si>
  <si>
    <t>Multi Collagen Protein Powder, 2 Pounds – Type I,II,III,V,X with Biotin 10000mcg, Hyaluronic Acid, Vitamin C – Unflavored Collagen Peptides – Keto &amp; Paleo Friendly, Easy Dissolve, Non-GMO</t>
  </si>
  <si>
    <t>B01BHF3OMW</t>
  </si>
  <si>
    <t>Multi Collagen Peptides Powder, 16 Oz - Hydrolyzed Protein Peptides | Type I,II,III,V,X with Hyaluronic Acid, Biotin 10,000mcg &amp; Vitamin C - Unflavored - Keto &amp; Paleo Friendly, Ez Mix in Drinks</t>
  </si>
  <si>
    <t>B0BKK4X56L</t>
  </si>
  <si>
    <t>Goat Milk Powder, 2lbs | Grass Fed Source, Australian Farm Derived, Unadulterated Formula, Easily Digested | Rich in Protein, Calcium, &amp; Probiotics | Non-GMO, Gluten Free, Pet Friendly</t>
  </si>
  <si>
    <t>B0BXYDSGC4</t>
  </si>
  <si>
    <t>Organic Strawberry Freeze Dried Powder, 12 Ounce (56 Serving), Strawberry Powder for Baking, Best Super Foods for Smoothie &amp; Beverage Blend, Non-GMO, Vegan</t>
  </si>
  <si>
    <t>B07CXZBRZP</t>
  </si>
  <si>
    <t>Organic MCT Oil Powder with Prebiotic Fiber,1 Pound(16 Ounce), Fast Fuel for Body and Brain, C8 MCT Oil for Coffee Creamer, Delicious for Tea, Smoothie, Drink and Beverage, No GMOs, Keto Diet, Vegan</t>
  </si>
  <si>
    <t>B07T5X85N9</t>
  </si>
  <si>
    <t>Vitamin D3 5000IU with coconut oil</t>
  </si>
  <si>
    <t>B0DGRWCTN8</t>
  </si>
  <si>
    <t>Micro Ingredients Vitamin D3 5000 IU with K2 100 mcg, 300 Soft-Gels | K2 MK-7 with D3 Vitamin Supplement, 2 in 1 Support Immune, Heart, Joint, Teeth &amp; Bone Health - Easy to Swallow</t>
  </si>
  <si>
    <t>B07RX4P4RL</t>
  </si>
  <si>
    <t>Vitamin D3 2,000 iu Plus K2 (MK-7) 50 mcg, 300 Virgin Coconut Oil Softgels</t>
  </si>
  <si>
    <t>B0CVTDBXW5</t>
  </si>
  <si>
    <t>Organic Goji Berries 2lbs, Large Whole Sun-Dried Berries | Sulfate Free, Natural Antioxidant | Raw Superfood Berry for Energy, Eye, &amp; Immune Health | Non-GMO</t>
  </si>
  <si>
    <t>B0BXYB91BJ</t>
  </si>
  <si>
    <t>Triple Strength Omega 3 Fish Oil Supplements 3000mg, 200 Softgels - Lemon Flavored - Burpless (Enteric-Coated) | EPA 1200mg + DHA 900mg | Deep Sea Fish, Wild Caught from Norwegian Waters</t>
  </si>
  <si>
    <t>B07L45XQBR</t>
  </si>
  <si>
    <t>Marine Collagen Protein Powder, 1lb</t>
  </si>
  <si>
    <t>B0CVTQ4G5Z</t>
  </si>
  <si>
    <t>Organic Blue Spirulina 30g</t>
  </si>
  <si>
    <t>B0DDW2L4YM</t>
  </si>
  <si>
    <t>Organic Lion's Mane Powder 8oz</t>
  </si>
  <si>
    <t>B0D2S6H23L</t>
  </si>
  <si>
    <t xml:space="preserve">Myo &amp; D-Chiro Inositol Powder 1lb </t>
  </si>
  <si>
    <t>B0DGRG846L</t>
  </si>
  <si>
    <t>Organic Beet Root Powder, 4 Pounds | Cold Pressed, Water Soluble, High Concentrated Raw Beet Supplement | Superfood Drink Mix | Non-GMO, Vegan Friendly, Plant Based</t>
  </si>
  <si>
    <t>B01N20ON39</t>
  </si>
  <si>
    <t>Micro Ingredients Organic Spirulina Powder, 16 Ounce, Raw Spirulina (Arthrospira Platensis), The Richest Sources of 70% Vegan Protein, Containers Minerals, Vitamins, Non-GMO &amp; Non-Irradiation</t>
  </si>
  <si>
    <t>B01DPW5FWW</t>
  </si>
  <si>
    <t>Organic Freeze Dried Strawberries Sliced, 6.4oz | Fresh Raw Fruit Slices, Great Healthy Snacks or as a Garnish for Chocolate, Shortcake, and Smoothies | Non-GMO, 0 Sugar Added</t>
  </si>
  <si>
    <t>B0C9PLML31</t>
  </si>
  <si>
    <t>Instant Bovine Colostrum Powder 8oz</t>
  </si>
  <si>
    <t>B0D3SNSJ47</t>
  </si>
  <si>
    <t>Calcium 1200mg with Vitamin D3K2 1000IU</t>
  </si>
  <si>
    <t>B0DDWNT45S</t>
  </si>
  <si>
    <t>2 Pack Vitamin D3 5000IU Plus K2, 2 in 1 Formula, Vitamin D3 Liquid with Vitamin K2, 300 Soft-Gels, Immune Vitamin Complex with Virgin Sunflower Seed Oil, Support Your Heart, Teeth &amp; Joint Health</t>
  </si>
  <si>
    <t>B07VF2S2LC</t>
  </si>
  <si>
    <t>Organic Blue Spirulina Powder (Phycocyanin Extract), 50 Servings - No Fishy Smell, 100% Vegan Protein from Blue-Green Algae, Natural Luminous Blue Food Coloring for Smoothies, Baking, Drinks &amp; Cooking</t>
  </si>
  <si>
    <t>B0B2379WMW</t>
  </si>
  <si>
    <t>Organic Instant 10 in 1 Mushroom Coffee Powder, 28 Ounce (317 Servings) | Premium Arabica Coffee with Lion’s Mane, Chaga, Reishi, &amp; More | Smooth Medium Roast, Clean Energy, &amp; Immune Support</t>
  </si>
  <si>
    <t>B0BCMKNMZB</t>
  </si>
  <si>
    <t xml:space="preserve">Organic Butterfly Pea Powder 8oz </t>
  </si>
  <si>
    <t>B0D3ST21FG</t>
  </si>
  <si>
    <t>Magnesium Oxide 400mg</t>
  </si>
  <si>
    <t>B0DDWD83GF</t>
  </si>
  <si>
    <t>Moringa Powder Organic (Moringa Oleifera Leaf Powder), 2 Pounds, Rich in Antioxidants and Immune Vitamin, Great Superfoods for Moringa Tea, Moringa Drink, Moringa Powder for Hair, India Grown, Vegan</t>
  </si>
  <si>
    <t>B01L2TGLTG</t>
  </si>
  <si>
    <t>Micro Ingredients Organic Spirulina Supplement, 3000MG Per Serving, 720 Tablets (4 Month Supply), No Filler &amp; Non-GMO, Rich in Vegan Protein, Vitamins &amp; Prebiotics, Premium Spirulina Pills Organic</t>
  </si>
  <si>
    <t>B01DPW5DC4</t>
  </si>
  <si>
    <t>CoQ10 100mg with MCT Oil</t>
  </si>
  <si>
    <t>B0DK69D35M</t>
  </si>
  <si>
    <t>Organic Mega 10 Mushroom Powder 5oz</t>
  </si>
  <si>
    <t>B0D2S5M4DK</t>
  </si>
  <si>
    <t>Micro Ingredients Lutein &amp; Zeaxanthin 40mg Softgels, 240 Count, with Astaxanthin, Omega-3s, &amp; Phospholipids | Eye + Vision Health Vitamins | Third Party Tested, Non-GMO, Gluten Free</t>
  </si>
  <si>
    <t>B0812QPT4J</t>
  </si>
  <si>
    <t>Micro Ingredients Oil of Oregano Softgels 6000mg Per Serving, 300 Count | with Black Seed Oil, 4X Strength Carvacrol &amp; Thymoquinone | Plant Based, Non-GMO | Antioxidant &amp; Immune Support</t>
  </si>
  <si>
    <t>B0BXYKQBDC</t>
  </si>
  <si>
    <t>Electrolyte Powder 1lb</t>
  </si>
  <si>
    <t>B0CS4VV8MD</t>
  </si>
  <si>
    <t>Organic Hibiscus Flowers, 2lbs | Loose Leaf Flower Source for Tea Bags | Cut &amp; Sifted Dried Leaves | Great for Iced or Hot Brewed Herbal Tea | Caffeine Free, Non-GMO, No Sugar</t>
  </si>
  <si>
    <t>B0C9PGR822</t>
  </si>
  <si>
    <t>Vitamin B12 1000mcg</t>
  </si>
  <si>
    <t>B0DK64ZGK4</t>
  </si>
  <si>
    <t>Micro Ingredients North American Grown, Pea Protein Powder, 5 Pounds | Plant Based, Unflavored | Complete Vegan Protein Source – 27g Serving | Rich in BCAAs &amp; EAAs | Non-GMO, Keto Friendly</t>
  </si>
  <si>
    <t>B0C35LNMRF</t>
  </si>
  <si>
    <t>Bovine Collagen Protein Powder, 1 Pound</t>
  </si>
  <si>
    <t>B0D16G8C8P</t>
  </si>
  <si>
    <t xml:space="preserve">Multi Collagen Peptides Packets 40-count </t>
  </si>
  <si>
    <t>B0D3FQWRV4</t>
  </si>
  <si>
    <t>Micro Ingredients Organic Camu Camu Powder, 12 oz | High Natural Vitamin C Level | Fresh Freeze-Dried Berries Source | Supports Energy and Immune Health | No GMOs, Vegan Friendly</t>
  </si>
  <si>
    <t>B01L2TGRFO</t>
  </si>
  <si>
    <t>Monk Fruit Sweetener with Erythritol Granules, 4 Pounds, No After Taste, 1:1 White Sugar Substitute, Keto Diet Friendly, Zero Calorie, Natural Sweetener for Drinks, Coffee, Tea, Cookies, No-GMO, Vegan</t>
  </si>
  <si>
    <t>B07X4BL4GC</t>
  </si>
  <si>
    <t>Smoked Paprika Powder, 4lbs | Spanish Origin, Fine Ground, Oak Wood Smoked, Raw Sweet &amp; Spicy Flavor | Spice Rack Seasoning | Great for Chicken, Steak, or Vegetables | Additive Free, Non-GMO</t>
  </si>
  <si>
    <t>B0CLFZ81GG</t>
  </si>
  <si>
    <t>Allulose Sweetener, 3 Pounds (48 Ounces), Zero Calorie, Plant Based Sugar Alternative, No After Taste, Best for Coffee, Drinks, Tea, Cooking and Baking, Keto Diet and Vegan Friendly</t>
  </si>
  <si>
    <t>B08PY5ZJTX</t>
  </si>
  <si>
    <t>Micro Ingredients Vitamin E 1000 IU, 240 Softgels | Pure Vitamin E Oil Pills | Antioxidant Supplements for Skin, Face, &amp; Immune Health | Non-GMO, Gluten Free</t>
  </si>
  <si>
    <t>B0845QRGV5</t>
  </si>
  <si>
    <t>Micro Ingredients Melatonin 20mg Tablets, 400 Counts, Natural Strawberry Flavor, Fast Dissolve | No Drug, Vegetarian Friendly, Non-GMO &amp; No Gluten</t>
  </si>
  <si>
    <t>B07RY554K5</t>
  </si>
  <si>
    <t>Moringa 6000mg capsules</t>
  </si>
  <si>
    <t>B0DDWPH39G</t>
  </si>
  <si>
    <t>Micro Ingredients Organic Marshmallow Root Powder, 8 Ounce, Filler Free and Traditionally Used, Supports Digestive Gastrointestinal Health, Non-Irradiated and No GMOs, Vegan Friendly</t>
  </si>
  <si>
    <t>B074WLN3WN</t>
  </si>
  <si>
    <t>Organic Milk Thistle Extract, 3.5 Ounces, Pure Milk Thistle Powder Organic, Milk Thistle Tea, Contains 80% Active Silymarin, Strongly Supports Liver Health and Antioxidant, Vegan Friendly</t>
  </si>
  <si>
    <t>B01L2TGS30</t>
  </si>
  <si>
    <t>Monk Fruit Sweetener with Allulose, 2 lbs | No Erythritol | No Aftertaste, 1:1 White Sugar Substitute, Keto &amp; Vegan Friendly, Zero Calorie | Great for Drinks, Coffee, Tea, Cookies | Non-GMO</t>
  </si>
  <si>
    <t>B0BR4N7C2F</t>
  </si>
  <si>
    <t>Beef Gelatin Powder | Grass Fed, 2lbs | Unflavored Thickening Agent, Pasture Raised Source, Rich in Natural Protein | Great for Cooking &amp; Baking | Non-GMO</t>
  </si>
  <si>
    <t>B0C35DQQM9</t>
  </si>
  <si>
    <t>Vitamin D3 5000 iu Plus K2 (MK-7) 100 mcg, 300 Virgin Coconut Oil Softgels | 2 in 1 Vitamins D &amp; K Complex | Supports Calcium Absorption, Bone, Immune, &amp; Heart Health – Easy to Swallow</t>
  </si>
  <si>
    <t>B0CG7M9HWP</t>
  </si>
  <si>
    <t>Lutein &amp; Zeaxanthin 20mg Softgels, 400 Coun</t>
  </si>
  <si>
    <t>B0CVTTDTP9</t>
  </si>
  <si>
    <t>Organic Collagen Peptides Powder 12oz</t>
  </si>
  <si>
    <t>B0D3SH3DVW</t>
  </si>
  <si>
    <t>Micro Ingredients Organic Pineapple Powder, 8 Ounce, Freeze Dried, Rich in Bromelain and Immune Vitamin C for Immune System Booster, Great Flavor for Drinks, Baking and Cooking, Non-GMO</t>
  </si>
  <si>
    <t>B07W9B5K1R</t>
  </si>
  <si>
    <t>Hair Vitamins Complex, 120 Capsules</t>
  </si>
  <si>
    <t>B0CVTRS7KJ</t>
  </si>
  <si>
    <t>Micro Ingredients Antarctic Krill Oil Supplement, 2,000mg Per Serving, 240 Softgels, Triple Strength, Rich in Omega-3s EPA, DHA &amp; Natural Astaxanthin, Supports Immune System &amp; Brain Health</t>
  </si>
  <si>
    <t>B0C35GYDV3</t>
  </si>
  <si>
    <t>Vitamin D3 50,000 IU Plus K2 (MK-7) 200 mcg, 240 Virgin Coconut Oil Softgels | 2 in 1 Vitamins D &amp; K Complex | Supports Calcium Absorption, Bone, Immune, &amp; Heart Health | Easy to Swallow</t>
  </si>
  <si>
    <t>B0C35N273V</t>
  </si>
  <si>
    <t>Vitamin B1 Benfotiamine 600mg Per Serving, 240 Coconut Oil Softgels | Essential B Vitamins Supplement, Fat Soluble | Supports Metabolism &amp; Healthy Nervous System | Non-GMO, Easy to Swallow</t>
  </si>
  <si>
    <t>B0CG7ZTT7B</t>
  </si>
  <si>
    <t>Micro Ingredients Organic Lions Mane Mushroom Supplement Powder, 16 Ounce | Sustainably US Grown, Nootropic for Mental Clarity, Energy, &amp; Immune Support | Non-GMO, Vegan</t>
  </si>
  <si>
    <t>B07P2CWWVV</t>
  </si>
  <si>
    <t>Organic Freeze-Dried Acai Powder 8oz, Sustainably Grown in Brazilian Amazon, 100% Pure Berry Pulp, Raw, Bulk, No Filler, No additives, Great for Acai Bowls, Yogurt, Smoothies, and More</t>
  </si>
  <si>
    <t>B09TG36LYR</t>
  </si>
  <si>
    <t>Potassium Chloride Powder, 1 Kg (2.2 Pounds), Salt Substitute &amp; Electrolyte Powder, Pure Potassium Chloride Supplement, Essential Mineral, Filler Free and Dissolve Easily</t>
  </si>
  <si>
    <t>B07T1LZ4D2</t>
  </si>
  <si>
    <t>DIM Active Supplement, DIM 300mg, 240 Veggie Capsules (8-Month Supply), 2 in 1 Formula, Estrogen Metabolism, Premium DIM-Plus Broccoli Extract Supplement With Black Pepper for Better Absorption</t>
  </si>
  <si>
    <t>B08MX153BT</t>
  </si>
  <si>
    <t>Sustainably US Grown, Organic Freeze Dried Raspberry Juice Powder, 8 Ounce, Contains Immune Vitamin C for Immune System Booster, Rich in Raspberry Ketones, Fatty Acids, Minerals and Antioxidant, Vegan</t>
  </si>
  <si>
    <t>B07L466GW8</t>
  </si>
  <si>
    <t>Electrolyte Powder Pineapple Flavor 2lb</t>
  </si>
  <si>
    <t>B0D3T8WHH4</t>
  </si>
  <si>
    <t>Organic Tomato Powder 2lb</t>
  </si>
  <si>
    <t>B0CLFZXMRB</t>
  </si>
  <si>
    <t>Creatine Monohydrate Powder 500 Grams (1.1 LBS), 5000mg Per Serv, Micronized Creatine Powder, Unflavored, Pure, No Filler, Keto &amp; Vegan, Easy Dissolve Pre Workout Creatine for Women and Men</t>
  </si>
  <si>
    <t>B09TNMZBQ5</t>
  </si>
  <si>
    <t>Micro Ingredients Evening Primrose Oil 1300mg Perserving, 240 Softgels | Enhanced with 40mg Black Cohosh Extract, Cold Pressed – 10% Active GLA, Non-GMO, No Gluten, Easy to Swallow</t>
  </si>
  <si>
    <t>B01DPW5LR6</t>
  </si>
  <si>
    <t>Organic Black Cumin Seed (Nigella Sativa), 2lbs | Premium Grade Whole Black Seed from Egypt | Rich in Healthy Black Seed Oil | Raw Seeds for Baking, Seasoning, and Cooking | Non-GMO</t>
  </si>
  <si>
    <t>B0CG7S11B6</t>
  </si>
  <si>
    <t>Micro Ingredients Organic Papaya Fruit Powder, 8 Ounce, Freeze Dried, Naturally Rich in Papaya Enzyme, Supports Antioxidant and Digestive Function, No GMOs &amp; Vegan Friendly</t>
  </si>
  <si>
    <t>B07NY5GKYG</t>
  </si>
  <si>
    <t>Pure Organic Stevia Powder, 8 Ounces, 1418 Serving, High Grade Stevia Green Leaf Extract Reb-A, Reduced Bitter Aftertaste, 0 Calorie, Natural Sweetener, Sugar Alternative, Keto Friendly</t>
  </si>
  <si>
    <t>B01DPW5H84</t>
  </si>
  <si>
    <t>Sustainably Canada Grown, Organic Blueberry Extract 50:1 Concentrated Powder, 6 Ounce, Wild Grown and Freeze Dried, Natural Flavor for Beverage, Smoothie and Baking, No GMOs</t>
  </si>
  <si>
    <t>B07CY1TLH2</t>
  </si>
  <si>
    <t>Sustainably US Grown, Organic Saw Palmetto Powder, 4 Ounce, with Active Fatty Acid, Pure Saw Palmetto Prostate &amp; Hair Growth Supplement, Healthy Urination Frequency &amp; Hair Loss Blocker Supplement</t>
  </si>
  <si>
    <t>B07WLMT9FS</t>
  </si>
  <si>
    <t>Indian Healing Clay Powder 2lb</t>
  </si>
  <si>
    <t>B0DDWH3NNX</t>
  </si>
  <si>
    <t xml:space="preserve">Organic Instant Mushroom Coffee 14oz </t>
  </si>
  <si>
    <t>B0CWN8C5KR</t>
  </si>
  <si>
    <t>Maximum Strength Organic Pure Horny Goat Weed with Active Icariins for Men and Women, 100 Grams, Organic Epimedium Powder for Energy and Immune System Booster, Filler Free and Vegan Friendly</t>
  </si>
  <si>
    <t>B01L2TGSVM</t>
  </si>
  <si>
    <t>Organic Pomegranate Juice Powder, 1 Pound (91 Serving), Freeze Dried &amp; Cold Pressed, Natural Vitamin C (Immune Vitamin), Support Immune System, Organic Flavor for Smoothie &amp; Beverage, Vegan Friendly</t>
  </si>
  <si>
    <t>B01HN63W4Y</t>
  </si>
  <si>
    <t>Omega 3 Fish Oil DHA Supplements 1000mg with EPA 500mg, 200 Softgels – Lemon Flavored, Burpless (Enteric Coated) | Deep Sea Fresh Fish, Wild Caught from Norwegian Waters | Mercury Free</t>
  </si>
  <si>
    <t>B08MX16TYC</t>
  </si>
  <si>
    <t>Micro Ingredients Organic Tart Cherry Powder, 4 Ounce, Sustainably US Grown, Uric Acid Cleanse, Antioxidant and Flavonoids, Enhance Joint Health, Sleep Cycles &amp; Immune System</t>
  </si>
  <si>
    <t>B07G3KLNM7</t>
  </si>
  <si>
    <t>Turmeric Extract 95% Curcuminoids (Natural Turmeric Extract and Turmeric Supplements), 100 Grams, Rich in Antioxidants for Joint &amp; Immune Support, No GMOs, Vegan Friendly, India Origin</t>
  </si>
  <si>
    <t>B01JNPEPOE</t>
  </si>
  <si>
    <t>Micro Ingredients Water Soluble COQ10 Supplement (COQ10 200mg Per Serving in Powder Form), 50 Grams (8 Months Supply), Extra Absorption, Support Heart Health and Energy Production, Vegan Friendly</t>
  </si>
  <si>
    <t>B07RH9L848</t>
  </si>
  <si>
    <t>Creatine Monohydrate 5,000mg, 500 Capsules | Pure Creatine Pills – Micronized + Unflavored Powder Source, Easy Absorption | Pre Workout &amp; Muscle Health Support | Keto, Non-GMO</t>
  </si>
  <si>
    <t>B0B9289VLY</t>
  </si>
  <si>
    <t>Organic Shredded Coconut Flakes, 4lbs</t>
  </si>
  <si>
    <t>B0CLFYHSV2</t>
  </si>
  <si>
    <t>Vitamin K Complex with coconut oil softgels</t>
  </si>
  <si>
    <t>B0C9PNMGR3</t>
  </si>
  <si>
    <t>Micro Ingredients Odorless Garlic 7500mg Per Servings, 300 Softgels | 2 Years Aged Garlic Extract, Grown Allium Sativum Bulb | Potent Antioxidant Supplement, Immune Support, and Heart Health</t>
  </si>
  <si>
    <t>B0812DJRSK</t>
  </si>
  <si>
    <t xml:space="preserve">Peanut Powder 4lb </t>
  </si>
  <si>
    <t>B0DGRPBBZY</t>
  </si>
  <si>
    <t>Micro Ingredients Vitamin B12 5000mcg | Methyl B12 Active Form – 180 Chewable Tablets | Fast Dissolve, Natural Strawberry Flavor, Support Energy, Metabolism Health | Vegan, Non-GMO, &amp; No Gluten</t>
  </si>
  <si>
    <t>B08MX1ZWB4</t>
  </si>
  <si>
    <t>2 Pack Micro Ingredients Organic Lemon Juice Powder, 10 Ounce, Rich in Natural Vitamin C (Immune Vitamins) for Immune System, Great Flavor for Drinks, Smoothie &amp; Beverages, Vegan</t>
  </si>
  <si>
    <t>B07XGDGNH9</t>
  </si>
  <si>
    <t>Micro Ingredients Maximum Strength Vitamin A 25000 IU | 500 Softgels with Coconut Oil for Better Absorption | Essential Vitamins for Vision, Growth, &amp; Reproduction | Non-GMO, Easy to Swallow</t>
  </si>
  <si>
    <t>B087DVF12V</t>
  </si>
  <si>
    <t>Micro Ingredients Organic Rhodiola Rosea Root Extract, 50g Powder | Adaptogenic Herb Based Supplement with Active Rosavins &amp; Salidrosides | Supports Energy &amp; Relaxation | No GMOs, Filler Free</t>
  </si>
  <si>
    <t>B01DPW5LN0</t>
  </si>
  <si>
    <t>Micro Ingredients Organic Chlorella Powder, 10 Ounce, Broken Cell Wall, Rich in Vegan Proteins &amp; Vitamins, Raw, Bulk Premium Chlorella Supplement, Vegan Friendly, Non-Irradiation</t>
  </si>
  <si>
    <t>B01L2TGOEI</t>
  </si>
  <si>
    <t>Micro Ingredients Ground Cayenne Pepper Powder Bulk, 6 Pounds - 60,000 Heat Units, Spicy and Filler Free, Garden Protection from Wildlife, No Gluten, No GMOs, Vegan Friendly</t>
  </si>
  <si>
    <t>B08TB8F5LL</t>
  </si>
  <si>
    <t>Magnesium Citrate 400mg with Vitamin D3 1000IU &amp; B6, 240 Capsules | Elemental Mineral &amp; Vitamins Complex | Combats Constipation, Supports Muscle, Heart, &amp; Bone Health – Non-GMO</t>
  </si>
  <si>
    <t>B087F7DTR7</t>
  </si>
  <si>
    <t>Micro Ingredients Vitamin B3 Nicotinamide 1,000mg Per Serving, 400 Capsules | Flush Free Niacin, Essential B Vitamin Supplement | Skin Care Health &amp; Energy Support | Non-GMO, Gluten Free</t>
  </si>
  <si>
    <t>B08C9MWZD9</t>
  </si>
  <si>
    <t>Organic Kelp Powder Supplement, 2lbs | Sustainably US Grown, Raw Ascophyllum Nodosum Source | Rich in Iodine for Thyroid Support, Body Scrubs, &amp; Skin Care | Non-GMO, Vegan</t>
  </si>
  <si>
    <t>B01LFPNJ8S</t>
  </si>
  <si>
    <t>Organic Bamboo Fiber Powder, 2lbs</t>
  </si>
  <si>
    <t>B0CVTJKVFQ</t>
  </si>
  <si>
    <t>Sunflower Lecithin 1,600mg Per Serving, 300 Softgels</t>
  </si>
  <si>
    <t>B0CVTMQBGR</t>
  </si>
  <si>
    <t>Creatine Monohydrate Powder 1 kg (2.2 Lbs), 5000mg Per Serv, Micronized Creatine Powder, Unflavored, Pure, No Filler, Keto &amp; Vegan Friendly, Easy Dissolve Pre Workout Creatine for Women and Men</t>
  </si>
  <si>
    <t>B09YFHGK3F</t>
  </si>
  <si>
    <t>Flaxseed Oil 1400mg Softgels, 300 Counts | w/ 700mg ALA Omega 3, Cold Pressed, Rich in Fatty Acids, Alpha Linolenic Acid, Support Heart Health &amp; Immune System | Non-GMO, No Gluten - 300 Servings</t>
  </si>
  <si>
    <t>B01DPW5TXW</t>
  </si>
  <si>
    <t>Stevia Sweetener Powder with Plant-based Erythritol, 4 Pounds (64 Ounces) | Keto, 0 Calorie, Low Carb, 4:1 Sugar Substitute, Natural Sweetener, Bitterless, Reb-A Stevia Leaf Extract, Non-GMO, Vegan</t>
  </si>
  <si>
    <t>B09NQXJHYQ</t>
  </si>
  <si>
    <t>Micro Ingredients Organic Beet Root Juice Powder, 1 Pound -Superfood Drink Mix | Non-GMO</t>
  </si>
  <si>
    <t>B01N32M7BR</t>
  </si>
  <si>
    <t>Micro Ingredients Organic Triphala Powder, 2 Pounds (Amla + Haritaki + Bibhitaki) | India Origin, Herbal Adaptogen Supplement, Supports Colon &amp; Immune Health | Vegan, No GMOS</t>
  </si>
  <si>
    <t>B01L2U1RHG</t>
  </si>
  <si>
    <t>Pure Organic Stevia Powder, 4 Ounces, 706 Serving, Highest Grade Stevia Green Leaf Extract Reb-A, Reduced Bitter Aftertaste, 0 Calorie, Natural Sweetener, Sugar Alternative, Keto Friendly</t>
  </si>
  <si>
    <t>B01DPW5GRG</t>
  </si>
  <si>
    <t>Double Strength Yohimbine Supplements for Men and Women, 10mg Per Serving, 300 Softgels, Yohimbine HCL with Virgin Sunflower Seed Oil for Better Absorption, Supports Energy Production, African Raw</t>
  </si>
  <si>
    <t>B08MX72C55</t>
  </si>
  <si>
    <t>Pure Magnesium Flakes, 6lbs | Great for Foot &amp; Body Bath Soaks | Natural Magnesium Chloride Minerals | Better Absorption Over Epsom Salt | Relaxation &amp; Skin Hydration Support</t>
  </si>
  <si>
    <t>B0C9PGM325</t>
  </si>
  <si>
    <t>Organic Broccoli Powder, 1 Pound, Freeze Dried, Contains Natural DIM (Diindolylmethane), and Rich in Fiber and Immune Vitamin C, Green Superfood for Smoothie &amp; Drinks, Vegan Friendly</t>
  </si>
  <si>
    <t>B07QQ3HTM5</t>
  </si>
  <si>
    <t>Taurine Powder Supplement | 1 KG, 2000mg Per Serving | Unflavored | 100% Pure, Easily Absorbed Free Form | Essential Amino Acids for Exercise, Energy, &amp; Heart Support</t>
  </si>
  <si>
    <t>B0C88H675D</t>
  </si>
  <si>
    <t>Micro Ingredients Antarctic Krill Oil Supplement, 1000mg Per Serving, 300 Soft-Gels, Rich in Omega-3s EPA, DHA &amp; Natural Astaxanthin, Supports Immune System &amp; Brain Health, Easy to Swallow</t>
  </si>
  <si>
    <t>B01JNNAN4C</t>
  </si>
  <si>
    <t>North America Grown, Organic Pea Protein Powder, 1KG (2.2 Pounds), Plant-Based Vegan Protein Organic, Rich in Branched Chain Amino Acids, Flavonoids and Minerals, No GMOs &amp; Vegan Friendly</t>
  </si>
  <si>
    <t>B01DWUEQ7C</t>
  </si>
  <si>
    <t>Xanthan Gum Powder 2lb - Premium Food Grade for Cooking, Keto Baking, Thickening Soups &amp; Sauces, Dressings, Vegan Friendly, Non-GMO, Gluten Free</t>
  </si>
  <si>
    <t>B0BXY6BMHQ</t>
  </si>
  <si>
    <t>Micro Ingredients 5-HTP 200mg with Chamomile Flower Extract, 180 Capsules, 2 in 1 Formula, 98% Griffonia Seed Extract, Enhanced with Chamomile | Highly Bioavailable for Mood, Sleep &amp; Relaxation</t>
  </si>
  <si>
    <t>B08MX256RL</t>
  </si>
  <si>
    <t>Micro Ingredients Sustainably US Grown, Organic Reishi Mushroom Powder, 8 Ounce, Pure Reishi Supplement 100:1 Extract (Reishi Mushroom)</t>
  </si>
  <si>
    <t>B01JNNAQVW</t>
  </si>
  <si>
    <t>Micro Ingredients Sustainably US Grown, Organic Spinach Powder, 1 Pound, Freeze Dried from Whole Leaf, Rich in Beneficial Thylakoids and Chlorophyll, Contains Multivitamins, Non-GMO, Vegan Friendly</t>
  </si>
  <si>
    <t>B07WH4DXVX</t>
  </si>
  <si>
    <t>Micro Ingredients Organic Bamboo Extract Powder, 8 Ounce (1 Year Supply), Rich in Silica and Minerals, Supports Healthy Skin, Nail, Hair, Joints and Bones, Non-GMO and Vegan Friendly</t>
  </si>
  <si>
    <t>B07CXK6M1G</t>
  </si>
  <si>
    <t>Organic Daily Prebiotic Dietary Fiber Supplement Powder, (Inulin Fiber from Chicory Root), 10 Ounce, Highly Promote Intestinal Colon, Gut Health and Digestive Function, Vegan Friendly</t>
  </si>
  <si>
    <t>B07P3GKXKK</t>
  </si>
  <si>
    <t>US Origin Potassium Citrate Powder, 1 KG (35 Ounce), Essential Electrolyte Supplement, Supports Mineral Balance, Heart Health and Immune System, Vegan Friendly</t>
  </si>
  <si>
    <t>B01KFALQ34</t>
  </si>
  <si>
    <t>Pure Birch Xylitol Sweetener (Xylitol Sugar Crystal Powder), 6 Pounds (96 Ounce &amp; 680 Serving), Natural Sweetener, 1:1 Brown Sugar Substitute and Low Calorie, Best for Baking and Cooking, No After Taste, Keto Friendly and Product of USA</t>
  </si>
  <si>
    <t>B07T5WW8LF</t>
  </si>
  <si>
    <t>Organic 10 in 1 Ground Mushroom Coffee Powder, 24 Ounce | Premium Arabica Coffee with Lion’s Mane, Chaga, Reishi, &amp; More | Smooth Medium Roast, Clean Energy, &amp; Immune Support</t>
  </si>
  <si>
    <t>B0C9PNDL22</t>
  </si>
  <si>
    <t>Micro Ingredients Organic Boswellia Serrata Extract Powder, 8 Ounce, Pure Boswellia Supplement with 65% Boswellic Acid, Supports Joints, Knees and Bones Health, Non-GMO, Pet Friendly, India Origin</t>
  </si>
  <si>
    <t>B01DPW5I6U</t>
  </si>
  <si>
    <t>2 Pack of Pure USDA Organic Acerola Cherry Powder, Natural and Organic Vitamin C for Immune System, 8 Ounce, No GMO, No Gluten, Brazil Origin</t>
  </si>
  <si>
    <t>B01L2TGTK2</t>
  </si>
  <si>
    <t>Organic Goji Powder, Freeze Dried Goji Berry Powder, 1 Pound (16 Ounce), Sulfate Free, Pure Goji Supplement, Natural Booster for Energy, Eye Health, and Super Immune Vitamin C for Antioxidant, Non-GMO</t>
  </si>
  <si>
    <t>B06XKJQVZ8</t>
  </si>
  <si>
    <t>Glutathione Supplement, Pure Glutathione Reduced Powder with Inositol, 5 Ounce (9 Months Supply), 2 in 1 Formula, Powerful Ingredients for Antioxidants, Supports Liver Function, Vegan</t>
  </si>
  <si>
    <t>B0812D49XG</t>
  </si>
  <si>
    <t>Organic He Shou Wu, Pure Fo Ti Extract Powder, 6 Ounce, Prepared Foti Steaming with Black Bean, Traditional Anti Aging Herb, Promotes Hair Health and Antioxidant, Filler Free and No GMOs</t>
  </si>
  <si>
    <t>B06XKV2PK3</t>
  </si>
  <si>
    <t>Fadogia Agrestis 600mg Per Serving, 50:1 Extract Powder, 4 Ounce, Highly Purified and Bioavailable, USA Third Party Tested, Maximum Strength, No Filler, No Additives, Non-GMO &amp; No Gluten</t>
  </si>
  <si>
    <t>B0B22T88RH</t>
  </si>
  <si>
    <t>Organic Dandelion Root Powder 8oz</t>
  </si>
  <si>
    <t>B0D2S4DZ7L</t>
  </si>
  <si>
    <t>Micro Ingredients Raw Organic Ginkgo Biloba Powder, 8 Ounce (18 Months Supply), Filler Free, Supports Brain Function and Mental Alertness, No GMOs and Vegan Friendly</t>
  </si>
  <si>
    <t>B01L2TGUHO</t>
  </si>
  <si>
    <t>Baking Soda Powder, 6lbs | Pure Sodium Bicarbonate | Bulk Food Grade Supply | Great for Cleaning, Cooking, Laundry, or Personal Care | Non-GMO, Filler Free</t>
  </si>
  <si>
    <t>B0CG7C5X2F</t>
  </si>
  <si>
    <t>Micro Ingredients D Aspartic Acid Pills, DAA Supplement, 3000mg Per Serving, 300 Capsules, Premium D Aspartic Acid, Non-GMO</t>
  </si>
  <si>
    <t>B087F1HYB7</t>
  </si>
  <si>
    <t>Pure Organic Stevia Powder, 1lb</t>
  </si>
  <si>
    <t>B0D2LYMLJT</t>
  </si>
  <si>
    <t>Sustainably US Grown, Kale Powder Organic, 1 Pound (454 Servings), Freeze Dried, Most Nutrient-Dense Food on the Planet, Green Superfood for Kale Tea and Kale Drink, No GMOs and Vegan Friendly</t>
  </si>
  <si>
    <t>B07L46RH6P</t>
  </si>
  <si>
    <t>Agar Agar Powder, 1lb | Vegan Substitute for Beef Gelatin, Unflavored Thickening Agent, Plant Based Red Algae | Great for Desserts or Baked Plates | Non-GMO, Sugar Free</t>
  </si>
  <si>
    <t>B0C35H321V</t>
  </si>
  <si>
    <t>USDA Organic Monk Fruit Extract Powder with Active Mogrosides, 4 Ounce, Zero Calorie, Zero Carb, Sugar Alternative, Monk Fruit Keto Diet, Perfect Paleo &amp; Low-Carb Dieters, Natural Sweetener, Vegan</t>
  </si>
  <si>
    <t>B07W86RNBX</t>
  </si>
  <si>
    <t>2 Pack Antarctic Krill Oil Supplement, 1000mg Per Serving, 120 Soft-Gels Each, Rich in Omega-3s, EPA, DHA &amp; Astaxanthin, Supports Brain Health, Premium Krill Oil Capsules Liquid Softgels</t>
  </si>
  <si>
    <t>B08X6N1YBK</t>
  </si>
  <si>
    <t>Micro Ingredients Quercetin Supplements with Zinc &amp; Vitamin D3, 1,000mg Per Serving, 240 Capsules | 3 in 1 – Quercetin 1,000mg, Zinc Picolinate 50mg, &amp; Vitamin D 5,000iu | Immune Support | Non-GMO</t>
  </si>
  <si>
    <t>B09SBP5D35</t>
  </si>
  <si>
    <t>Organic Mango Juice Powder, 8 Ounce, Cold Pressed, Rich in Immune Vitamin C for Immune System Support, and Great Flavor for Drinks, Smoothie and Beverages, Non-GMO</t>
  </si>
  <si>
    <t>B07P3H1872</t>
  </si>
  <si>
    <t>Micro Ingredients Organic Red Yeast Rice Powder, 8 Ounce (1 Year Supply), Non-GMO, Vegan Friendly</t>
  </si>
  <si>
    <t>B07P3HDQD9</t>
  </si>
  <si>
    <t>Micro Ingredients Organic Mucuna Pruriens Extract Powder,1 Pound (908 Servings), Pure Mucuna Supplement, Promote Mood, Brain Health and Boosts Immune System, Energy, Vegan Friendly</t>
  </si>
  <si>
    <t>B01BHF3J4K</t>
  </si>
  <si>
    <t>Psyllium Husk Powder, 2 Pound (32 Ounce), Soluble Fiber, Psyllium Husk Daily Fiber for Baking, Smoothie and Beverage, India Origin, Keto Diet, Unflavored, Gluten Free, No GMOs and Vegan Friendly</t>
  </si>
  <si>
    <t>B07RD8TVDG</t>
  </si>
  <si>
    <t>MSM(Methylsulfonylmethane) Powder,1 KG | 2000mg Perserving, MSM Crystal Powder Fortified with Vitamin C, Bioactive Source of Sulfur, Joint Health Support &amp; Hair Growth, Vegan, Non-GMO</t>
  </si>
  <si>
    <t>B01DPW5EIM</t>
  </si>
  <si>
    <t>Magnesium Glycinate 400mg</t>
  </si>
  <si>
    <t>B0DGRNP1ZL</t>
  </si>
  <si>
    <t>Organic Dried Lavender Flowers, 2lbs | Raw from France, Extra Grade Loose Lavender Buds | Great for Herbal Tea or Culinary Baking | Rich in Antioxidants &amp; Essential Oil | Non-GMO</t>
  </si>
  <si>
    <t>B07YQCX5WR</t>
  </si>
  <si>
    <t>Turmeric Extract 95% Curcuminoids (Natural Turmeric Extract and Turmeric Supplements), 50 Grams, Rich in Antioxidants for Joint &amp; Immune Support, No GMOs, Vegan Friendly, India Origin</t>
  </si>
  <si>
    <t>B01DPW5DD8</t>
  </si>
  <si>
    <t>L Glutamine Powder Gut Health, 1Kg, 100% Pure, Free Form - Unflavored- Vegan Friendly, No Filler, No additives, Supports Muscle Recovery, Post Workout | Non-GMO &amp; Gluten-Free</t>
  </si>
  <si>
    <t>B01HFN37MC</t>
  </si>
  <si>
    <t>Pure L Citrulline Malate 2:1 Powder, 500 Grams, Filler Free, Vegan Citrulline Supplement and Citrulline Nitrate, Supports Muscle Performance, Endurance and Strength, Unflavored, Dissolve Easily</t>
  </si>
  <si>
    <t>B01HFOBO7Q</t>
  </si>
  <si>
    <t>Micro Ingredients Organic Acacia Senegal Powder, 2 Pounds (32 Ounce), Instant Soluble Fiber Powder, Plant-Based Prebiotic Superfood for Gut Health, Non-GMO, No Gluten, Vegan</t>
  </si>
  <si>
    <t>B09NQVBGQK</t>
  </si>
  <si>
    <t>Organic French Chicory Root, 2lbs | Roasted Chicory Granule for Chicory Coffee | Brews like Regular Coffee | Caffeine Free Coffee Substitute | Rich in Prebiotic Fiber | Non-GMO</t>
  </si>
  <si>
    <t>B0CG7VSS1Z</t>
  </si>
  <si>
    <t>Organic Celery Juice Powder, 20 Ounce (1.25 Pound), 71 Serving, Celery Detox and Cold Pressed, Boosts Immune System, Energy and Supports Gut Health, Rich in Immune Vitamin C and Minerals, Vegan</t>
  </si>
  <si>
    <t>B0846SDQZG</t>
  </si>
  <si>
    <t>Organic Barley Grass Powder, 16 Ounces | US Grown | Rich in Vitamins, Minerals, Fibers, &amp; Antioxidants | Superfood Greens Mix for Immune Health and Digestion Support | Non-GMO</t>
  </si>
  <si>
    <t>B01NCTM200</t>
  </si>
  <si>
    <t>Micro Ingredients Pantothenic Acid Vitamin B5 Supplement, Vitamin B5 500mg Per Count, 365 Capsules (1 Year Supply), B-Complex Vitamin, Support Energy Production and Nervous System, Non-GMO</t>
  </si>
  <si>
    <t>B08MX59VV3</t>
  </si>
  <si>
    <t>Organic Matcha Green Tea Powder, 2 Pound (32 Ounce), Culinary Grade - Unflavored - First Harvest Authentic Japanese Origin, 100% Pure Matcha for Smoothies, Latte and Baking, Non-GMO, Non-Irradiation</t>
  </si>
  <si>
    <t>B09TG3RDGS</t>
  </si>
  <si>
    <t>Micro Ingredients L Citrulline Capsules, 1500mg Per Serving, 360 Counts, Citrulline Pre-Workout Supplement, Non-GMO</t>
  </si>
  <si>
    <t>B08N3BG2SR</t>
  </si>
  <si>
    <t>Micro Ingredients Maximum Strength Organic Korean Ginseng Root 200:1 Powder, 4 Ounce, Red Panax Ginseng Powder, Active Ginsenosides, Vegan Friendly</t>
  </si>
  <si>
    <t>B079MNQXLF</t>
  </si>
  <si>
    <t>Organic Whole Rainbow Peppercorn Blend, 2lbs | Black, Green, Pink, &amp; White Fresh Peppercorns for Easy Grinder Refill | Multi Purpose Seasoning for Cooking or Baking | Non-GMO</t>
  </si>
  <si>
    <t>B0C9PGG2WV</t>
  </si>
  <si>
    <t>Organic Freeze-Dried Dragon Fruit Powder (Pink Pitaya/Pitahaya), 10 Ounce, Perfect for Shakes, Baking &amp; Smoothie, Non-GMO, No Gluten, Vegan Friendly</t>
  </si>
  <si>
    <t>B07P4M1YGN</t>
  </si>
  <si>
    <t>Sustainably US Grown, Organic Cranberry Juice Powder (Wild Cranberry Supplements Cold Pressed), 8 Ounce, Enhance Urinary Tract Cleanse &amp; Prostate Health, Water Soluble and Pet Friendly</t>
  </si>
  <si>
    <t>B07G3L5SX7</t>
  </si>
  <si>
    <t>Micro Ingredients Pure Vitamin C Crystal Powder (Water Soluble Vitamin C 1000mg Per Serving), 1 KG (2.2 Pounds), Immune Vitamins and Strong Antioxidant, Pure Ascorbic Acid Powder Supplement</t>
  </si>
  <si>
    <t>B01HFOJBG2</t>
  </si>
  <si>
    <t>Organic Bee Pollen Granules, 1lb | Pure Fresh Harvest, Natural Superfood, Raw Sweet Flavor | Rich in B Vitamins, Minerals, Protein, &amp; Antioxidants | Keto, Non-GMO</t>
  </si>
  <si>
    <t>B0CLFGBK2B</t>
  </si>
  <si>
    <t>Micro Ingredients Pure Bee Pollen Granules, 2lbs | Fresh Harvest, Natural Superfood, Raw Sweet Flavor | Rich in B Vitamins, Minerals, Protein, &amp; Antioxidants | Keto, Non-GMO</t>
  </si>
  <si>
    <t>B0BV3DFDK5</t>
  </si>
  <si>
    <t>Organic Turkey Tail Mushroom Powder (50:1 Extract), 8 Ounce | Sustainably US Grown, Freeze Dried with Active Polysaccharides, Supports Immune Response &amp; Cellular Level, Pet Friendly</t>
  </si>
  <si>
    <t>B07P2BWC78</t>
  </si>
  <si>
    <t>Micro Ingredients Red Panax Ginseng 1200mg Per Serving, 200 Softgels | High Potency Korean Ginseng Extract with Active Ginsenosides, Non-GMO &amp; No Gluten</t>
  </si>
  <si>
    <t>B07S17DJS3</t>
  </si>
  <si>
    <t>Micro Ingredients Organic Barley Grass Juice Powder, 10 Ounce, Cold Pressed, US Grown, Rich in Immune Vitamin, Fibers, Minerals, Antioxidants and Protein, Support Immune System and Digestion, Vegan</t>
  </si>
  <si>
    <t>B01MT7T5XX</t>
  </si>
  <si>
    <t>Pure Inositol Powder, Myo-Inositol B8 Powder, 1KG (2.2 Pounds), Strongly Supports Liver Health &amp; Antioxidant, Super Inositol for Hair and Inositol for Sleep, Non-GMO and Vegan Friendly</t>
  </si>
  <si>
    <t>B01DPW5E46</t>
  </si>
  <si>
    <t>Micro Ingredients Organic Chaga Mushroom Extract 100:1 Powder, 6 Ounce | Sustainably Maine Grown, Wild Harvest, Chaga Tea, Superfood for Beverage and Smoothie, Vegan Friendly</t>
  </si>
  <si>
    <t>B07CY1LGVZ</t>
  </si>
  <si>
    <t>Brewers Yeast Powder for Lactation, 3lbs</t>
  </si>
  <si>
    <t>B0CLFRYPPT</t>
  </si>
  <si>
    <t>Micro Ingredients Organic Ashwagandha Root Powder | 2 Pound, No Filler, No Additives, Highly Purified | Active Withanolides, Adaptogenic Ayurvedic Herbal Supplements, No GMO, Gluten Free, India Origin</t>
  </si>
  <si>
    <t>B01N3U3WO4</t>
  </si>
  <si>
    <t>Pure D Ribose Powder, 1 KG (2.2 Pound and 200 Servings), Natural Simple Sugar, Dissolves Clear, Pharmaceutical Grade, Filler Free, No GMOs, No Gluten. and Water Soluble</t>
  </si>
  <si>
    <t>B01JNFGDUI</t>
  </si>
  <si>
    <t>Sustainably US Grown, Organic Cordyceps Mushroom Extract Powder 100:1 | 6 Ounce, 30% Polysaccharides and Cordycepic Acid, From Fruit Body and Mycelium, Supports Energy &amp; Immune Health</t>
  </si>
  <si>
    <t>B074WL37DN</t>
  </si>
  <si>
    <t>Micro Ingredients Riboflavin Vitamin B2, 400mg Per Serving, 180 Mini Tablets, Premium Vitamin B2 400mg Riboflavin Supplements, Easy to Swallow, Non-GMO</t>
  </si>
  <si>
    <t>B08C7BCJPM</t>
  </si>
  <si>
    <t>Organic Garlic Powder, 3lbs | Culinary Grade | Freshly Harvested Raw Allium Sativum Bulb | Natural Herbal Spice | Great for Seasonings, Meats, or Vegetables | Non-GMO</t>
  </si>
  <si>
    <t>B0BXYB635P</t>
  </si>
  <si>
    <t>Organic Dried Red Raspberry Leaf, 2lbs | Raw from Germany, Cut &amp; Sifted Whole Leaves | Makes Traditional Herbal Tea | Great for Refilling Tea Bags | Non-GMO, Vegan, Gluten Free</t>
  </si>
  <si>
    <t>B07YQBYZ75</t>
  </si>
  <si>
    <t>Micro Ingredients Glycine Powder, 1KG (2.2 Pounds), Glycine 1000mg Per Serving, Supports Restful Sleep and Neurotransmitter, Water Soluble and Products of USA</t>
  </si>
  <si>
    <t>B01LBILPCG</t>
  </si>
  <si>
    <t>Pure L-Theanine Powder, 100 Grams (1 Year Supply), Filler Free, No GMOs and Vegan Friendly</t>
  </si>
  <si>
    <t>B01DPW5F5O</t>
  </si>
  <si>
    <t>Erythritol Granules, 6 Pounds (96 Ounce), 1:1 Sugar Substitute, No After Taste, 0 Calorie, Natural Sweetener, Erythritol Keto Sugar Substitute, Non-GMO, Vegan</t>
  </si>
  <si>
    <t>B07SZHV7RN</t>
  </si>
  <si>
    <t>Pure Pine Pollen Powder, 6 Ounce, Wild Harvest an Broken Cell Wall, Supports Immune System Health, Boosts Energy, Antioxidant &amp; Androgenic, No GMOs, Vegan Friendly</t>
  </si>
  <si>
    <t>B079N44L9C</t>
  </si>
  <si>
    <t>Golden Monk Fruit Sweetener with Erythritol, 4 Pounds - No After Taste - Brown Sugar Substitute, Keto Diet Friendly, Zero Calorie, Natural Sweetener for Drinks, Coffee, Tea, Cookies, No-GMO, Vegan</t>
  </si>
  <si>
    <t>B0BCN5XPBX</t>
  </si>
  <si>
    <t>Organic Amla Powder (Amalaki) | 32oz, India Origin Gooseberry Powder | Rich in Vitamin C, Antioxidants, Supports Immune, Digestive &amp; Skin Health, Non-GMO, Vegan &amp; Keto Friendly</t>
  </si>
  <si>
    <t>B06XKYNFY1</t>
  </si>
  <si>
    <t>Organic Maca Root Powder, 2 Pound, Gelatinized for Better Absorption, Rich in Antioxidants, Help Energy, Stamina, Endurance, Strength and Immune System, No GMOs, Vegan Friendly and Peru Origin</t>
  </si>
  <si>
    <t>B01JNM6NTW</t>
  </si>
  <si>
    <t>Sustainably US Grown, Organic Shiitake Mushrooms Powder, 8 Ounce, Made from The Finest Dried Shiitake Mushroom, Stronger Umami Flavor Than Fresh Mushrooms, Great for Sauce, Soup and Pasta</t>
  </si>
  <si>
    <t>B08PXYB6RH</t>
  </si>
  <si>
    <t>Micro Ingredients Tongkat Ali Extract 200:1 (Longjack) Powder, 100 Grams, Grown in Indonesia, 100% Pure Eurycoma Longifolia Root Extract, Bitter Taste - No Filler, No Additive, Non-GMO</t>
  </si>
  <si>
    <t>B01L2TFQHY</t>
  </si>
  <si>
    <t>Pure Quercetin Dihydrate Powder, Quercetin 500mg Per Serving, 100 Grams, Most Bioavailable Grade and Filler Free, Powerful Antioxidant Supports Energy, Immune System , No GMOs and Vegan</t>
  </si>
  <si>
    <t>B01DPW5IWY</t>
  </si>
  <si>
    <t>Micro Ingredients Organic Lemon Juice Powder, 10 Ounce, Cold Pressed Concentrated Powder, Filler Free, Rich in Natural Vitamin C for Immune System Booster, Great Flavor for Soda, Baking and Cooking, Vegan Friendly</t>
  </si>
  <si>
    <t>B07NY4MF5Y</t>
  </si>
  <si>
    <t>Sustainably US Grown, Organic Sunflower Lecithin Powder, 1 Pound, Sustainable Farmed, Cold Pressed, Rich in Phosphatidyl Choline and Protein, Making Liposomal Vitamin C, Lactation Supplement, Non-GMO</t>
  </si>
  <si>
    <t>B01N02YNF5</t>
  </si>
  <si>
    <t>Golden Monk Fruit Sweetener with Allulose, 2 lbs | No Erythritol, No Aftertaste, 1:1 Brown Sugar Substitute | Zero Calorie, Great for Drinks, Coffee, Tea, Cookies | Keto, Vegan, Non-GMO</t>
  </si>
  <si>
    <t>B0C9P7L7YJ</t>
  </si>
  <si>
    <t xml:space="preserve">Organic Butterfly Pea Flowers, 8oz </t>
  </si>
  <si>
    <t>B0CLFQJ9V2</t>
  </si>
  <si>
    <t>Micro Ingredients Vitamin B1 500mg Per Serving, 240 Tablets | Vitamin B1 Thiamine Supplement, Essential B Vitamins | Supports Metabolism &amp; Healthy Nervous System | Non-GMO, Easy to Swallow</t>
  </si>
  <si>
    <t>B08C73K1PR</t>
  </si>
  <si>
    <t>Pure Green Coffee Bean Extract, 4 Ounce, Filler Free with Natural Caffeine, Green Coffee Bean Fat Burn Supplement with 50% Chlorogenic Acid, Supports Metabolism and Weight Management, Vegan Friendly</t>
  </si>
  <si>
    <t>B074WGLHFM</t>
  </si>
  <si>
    <t>Pure L Serine Powder, 500 Grams (250 Day Supply), Filler Free, Supports Production of L-Cystine &amp; L-Tryptophan for Brain Health, Water Soluble, No GMOs, No Gluten</t>
  </si>
  <si>
    <t>B01MTLG2HR</t>
  </si>
  <si>
    <t>Organic Whole Yellow Mustard Seed, 4lbs</t>
  </si>
  <si>
    <t>B0CLFJ81NC</t>
  </si>
  <si>
    <t>Micro Ingredients Biotin 10,000mcg w/Hyaluronic Acid 25mg | 360 Virgin Coconut Oil Softgels, Fast Release, One Year Supply, Supports Healthy Hair, Skin &amp; Nails, Non-GMO &amp; No Gluten</t>
  </si>
  <si>
    <t>B08MX3DD8G</t>
  </si>
  <si>
    <t>Ultra Omega 3-6-9 3600mg Perserv, 300 Burpless Softgels | Lemon Flavor – Blend of Fish, Flaxseed, Borage Oils | Bioavailable Source, Non-GMO, No Gluten, Mercury Free</t>
  </si>
  <si>
    <t>B07RD8T952</t>
  </si>
  <si>
    <t>Beta Alanine Powder, Pure Beta Alanine Supplement, 2.2 Pounds (500 Days Supply), Filler Free, Amino Energy Pre Workout, Unflavored, Non-GMO and Vegan Friendly</t>
  </si>
  <si>
    <t>B01M3YCOJ4</t>
  </si>
  <si>
    <t>Omega-3 Fish Oil 1000mg 300 count</t>
  </si>
  <si>
    <t>B0DK69SLY9</t>
  </si>
  <si>
    <t>Omega 3 Fish Oil 4200mg 120 Softgels</t>
  </si>
  <si>
    <t>B0CS56P75L</t>
  </si>
  <si>
    <t>Organic Soluble Prebiotics Fiber Supplement (Inulin, Acacia, Psyllium Husk), 2 Pounds, 3 in 1 Fiber Formula, Daily Fiber, Unflavored, for Digestive Health, Hunger Control, Vegan</t>
  </si>
  <si>
    <t>B07RG8M2XB</t>
  </si>
  <si>
    <t>Micro Ingredients Quercetin with Vitamin C and Zinc, 240 Capsules | Quercetin 500mg, Vitamin C 500mg, Zinc 50mg (Picolinate, Citrate, Glycinate, Gluconate) | Complete Immune Support Supplements</t>
  </si>
  <si>
    <t>B087Z8PSW6</t>
  </si>
  <si>
    <t>Pure Trans-Resveratrol Powder with Natural Vitamin E, 5 Ounce, 2 in 1 Formula, Micronized Powder for Better Absorption, Premium Resveratrol Supplement, Super Antioxidant, Vegan Friendly</t>
  </si>
  <si>
    <t>B0812F3JGG</t>
  </si>
  <si>
    <t>Micro Ingredients Black Seed Oil 2000 mg with Vitamin D3 1000 IU, 240 Softgels | Cold Pressed - Nigella Sativa Pills from Egypt, Virgin Oil, Odorless, Non-GMO &amp; No Gluten</t>
  </si>
  <si>
    <t>B08TB8VX8P</t>
  </si>
  <si>
    <t>Micro Ingredients Full Spectrum Vitamin K2 MK-4 + MK-7 Supplement, 150 mcg, 300 Coconut Oil Softgles | Easily Absorbed, Active Menaquinone Complex | Immune, Joint, &amp; Heart Support | Non-GMO</t>
  </si>
  <si>
    <t>B087DZKHVW</t>
  </si>
  <si>
    <t>Folic Acid 1,000 mcg, 500 Coconut Oil Softgels (1mg) | Essential Prenatal Vitamins (Vitamin B9) | 1,667 mcg DFE | Third Party Tested, No Artificial Colors or Flavors | Non-GMO, Gluten Free</t>
  </si>
  <si>
    <t>B087F3WYNW</t>
  </si>
  <si>
    <t>Micro Ingredients Sustainably US Grown, Organic Dandelion Root Tea Powder, Pure Dandelion Supplement, 1 Pound (16 Ounce, 1 Year Supply)</t>
  </si>
  <si>
    <t>B079MTDMK8</t>
  </si>
  <si>
    <t>Micro Ingredients Organic Coconut Milk Powder, 2 Pound (32 Ounce), Plant-Based Creamer, Perfect for Coffee, Tea and Smoothie, Non-GMO and Keto Friendly</t>
  </si>
  <si>
    <t>B07X37D16H</t>
  </si>
  <si>
    <t>D Mannose Powder, 8.8 Ounce, Pure Mannose Supplement, Quick Water Soluble, Support Urinary Tract Cleanse &amp; Bladder Health, Premium Mannose for Women and Men, Vegan Friendly</t>
  </si>
  <si>
    <t>B01L2TFP1Q</t>
  </si>
  <si>
    <t>Micro Ingredients Sustainably US Grown, Organic Slippery Elm Bark Powder, 1 Pound (645 Servings), Helps Soothe The Throat and Coughing, No Irradiated, No Contaminated, No GMOs, Pet Friendly</t>
  </si>
  <si>
    <t>B075VFCQBC</t>
  </si>
  <si>
    <t>Organic Fortified Nutritional Yeast Flakes, 2LB | Rich in Vegan Protein, B Vitamins, &amp; Beta-Glucans | Keto Friendly, Dairy Free Cheese Substitute, Non-GMO, Gluten Free</t>
  </si>
  <si>
    <t>B0C35PK9GJ</t>
  </si>
  <si>
    <t>US Origin Pure Magnesium Citrate Powder, 2 Pounds (32 Ounce), Pure and Filler Free, Relaxation and Nutrient Utilization, Vegan</t>
  </si>
  <si>
    <t>B01BHF3GMK</t>
  </si>
  <si>
    <t>Organic Schisandra Extract Powder, 8 Ounce, Traditional Adaptogen and Filler Free, Pure Schisandra Supplement, Supports Liver Detox and Cognitive Health, No GMOs</t>
  </si>
  <si>
    <t>B07GF4QLJJ</t>
  </si>
  <si>
    <t>Pure Acerola Cherry Powder Organic, Natural Organic Vitamin C for Immune System Booster, 8 Ounce, Best Superfoods for Beverage, Smoothie and Drinks, Vegan Friendly, Brazil Origin</t>
  </si>
  <si>
    <t>B06XC72G8G</t>
  </si>
  <si>
    <t>Sustainably US Grown, Organic Mega Mushroom 10 in 1 Complex Formula Powder for Immune System Booster, 10 Ounce (284 Days Supply), Chaga, Lions Mane, Cordyceps, Reishi &amp; More, Filler Free, Vegan</t>
  </si>
  <si>
    <t>B07RG8MMXW</t>
  </si>
  <si>
    <t>Lions Mane Capsules</t>
  </si>
  <si>
    <t>B0D68FCQVT</t>
  </si>
  <si>
    <t>Organic Chlorella Tablets, 500mg Per Tablet, 720 Tabs (360 Grams), 4 Months Supply, Broken Cell Wall, Rich in Vegan Protein &amp; Vitamins, No Filler, No Additives &amp; Non-GMO | Pure Green Algae Superfood</t>
  </si>
  <si>
    <t>B01FMWFG86</t>
  </si>
  <si>
    <t>Microingredients Hydration Electrolyte Powder, Lemon Raspberry, 2 Lbs - High Potassium (1000mg), 0 Calorie, Sugar-Free, Hydration Drink Mix with Real Lemon Juice - Keto, Paleo, Non-GMO</t>
  </si>
  <si>
    <t>B0CG7TB55T</t>
  </si>
  <si>
    <t>Hyaluronic Acid Serum Powder, High Molecular Weight, Cosmetics Grade, 30 Gram, Support Hydration and Moisture, Water Soluble (Within 2 Hours), Vegan Friendly</t>
  </si>
  <si>
    <t>B01DPW5C5W</t>
  </si>
  <si>
    <t>Magnesium Glycinate 400mg with Vitamin C - 200 Capsules, Elemental Magnesium 400mg Supplement, 100% Chelated, Support Healthy Muscle, Bones &amp; Mood</t>
  </si>
  <si>
    <t>B087F4HLJ3</t>
  </si>
  <si>
    <t>Organic Ground Ginger Powder, 2 Pounds (32 Ounce), Great Flavor and Highly Aromatic, Fine Loose Powder for Better Mixing without Settling, Best for Cooking, Baking, Tea &amp; More, Product of India</t>
  </si>
  <si>
    <t>B08TBBBJK8</t>
  </si>
  <si>
    <t>Organic Hibiscus Tea Bags, 200 Count | Caffeine Free, Loose Leaf Flower Source | Eco-Friendly Hemp Paper Bags | Great for Iced or Hot Brewed Tea | Non-GMO, No Sugar</t>
  </si>
  <si>
    <t>B0C35TKL3M</t>
  </si>
  <si>
    <t>Vegan omega 3</t>
  </si>
  <si>
    <t>B0D3T51D3C</t>
  </si>
  <si>
    <t>Micro Ingredients Organic Chlorella Powder, 20 Ounces | Broken Cell Wall for Complete Absorption | Raw Superfood Supplement, Rich in Protein &amp; Vitamins | Non-GMO, Vegan, Non-Irradiated</t>
  </si>
  <si>
    <t>B01NCTZSPF</t>
  </si>
  <si>
    <t>Organic Non-Fortified Nutritional Yeast Flakes, 2 Pounds | Rich in Vegan Protein, B Vitamins &amp; Beta-glucans | Keto Friendly, Dairy Free Cheese Substitute, Non-GMO, Gluten Free</t>
  </si>
  <si>
    <t>B0BCMNBZPR</t>
  </si>
  <si>
    <t>Citric Acid 6 Pounds, Food Grade, Fine Granular Powder | 100% Pure, Concentrated Anhydrous Form | Natural Preservative + Great for Cooking, Cleaning, &amp; DIY Bath Bombs | Non-GMO</t>
  </si>
  <si>
    <t>B0BXYCL8KP</t>
  </si>
  <si>
    <t>Whole Milk Powder, 4lbs | rBST Hormone Free, Pasture Raised Source, Premium Grade Dry Powdered Form | Great for Baking | Rich in Protein | Non-GMO</t>
  </si>
  <si>
    <t>B0CLFXDX4Z</t>
  </si>
  <si>
    <t xml:space="preserve">Electrolyte Powder Grape Flavor 2lb </t>
  </si>
  <si>
    <t>B0D3T248FJ</t>
  </si>
  <si>
    <t>Vitamin D3 1,000 iu Plus K2 (MK-7) 25 mcg, 300 Virgin Coconut Oil Softgels</t>
  </si>
  <si>
    <t>B0CVTRSWQ1</t>
  </si>
  <si>
    <t>Micro Ingredients Sustainably US Grown, Organic Wheat Grass Powder (100% Whole-Leaf), 16 Ounce, Rich in Immune Vitamins, Fibers and Minerals, Support Digestion Function, Vegan Friendly</t>
  </si>
  <si>
    <t>B01NH4ZI46</t>
  </si>
  <si>
    <t>Organic Matcha Green Tea Powder, 1 Pound (16 Ounce), Culinary Grade, First Harvest Authentic Japanese Origin, 100% Pure Matcha for Smoothies, Latte and Baking, Unflavored, Non-Irradiation</t>
  </si>
  <si>
    <t>B08PY3Q8XS</t>
  </si>
  <si>
    <t xml:space="preserve">Cod Liver Oil 2000mg </t>
  </si>
  <si>
    <t>B0D3T12XYP</t>
  </si>
  <si>
    <t>Organic Chlorella Spirulina Tablets, 3000mg Per Serving, 720 Counts, 4 Months Supply, 50/50 Blend Superfood, No Filler, No Additives, Cracked Cell Wall, Rich in Vegan Protein &amp; Chlorophyll</t>
  </si>
  <si>
    <t>B01DPW5JSW</t>
  </si>
  <si>
    <t>Organic Arrowroot Powder, 5lbs | Food Grade, All Purpose Flour, Corn Starch Substitute</t>
  </si>
  <si>
    <t>B0CLFXD4XS</t>
  </si>
  <si>
    <t>MiracleMag Magnesium Supplement, 2lbs</t>
  </si>
  <si>
    <t>B0CVT7ZLLH</t>
  </si>
  <si>
    <t>Organic Freeze-Dried Lime Powder, 1.5lbs | Raw Lime Juice Flavor, Sugar Free Drink Mix, Rich in Vitamin C | Water Flavor Enhancer, Great for Beverages &amp; Smoothies | Additive Free, Non-GMO</t>
  </si>
  <si>
    <t>B0CLFG8QLY</t>
  </si>
  <si>
    <t>Micro Ingredients Organic European Black Elderberry Juice Powder, 4 Ounce, Cold Pressed, Flash Pasteurized for Safety, Supports Immune System, Energy and Vascular Health, No GMOs, Vegan Friendly</t>
  </si>
  <si>
    <t>B07QTCDMBW</t>
  </si>
  <si>
    <t>Organic Whole Cinnamon Stick, 2lbs | 2 ¾” Stick Size | Raw Cinnamon Spice Flavor &amp; Aroma | Great for Tea, Desserts, or Cooking | Non-GMO, Vegan Friendly, Bulk Supply</t>
  </si>
  <si>
    <t>B0C9PGM2LW</t>
  </si>
  <si>
    <t>Organic Ceylon Cinnamon Powder | 2 Lb - [Sourced from Sri Lanka] - Inner Bark Cinnamomum Verum, Delicate Flavor and Aroma, Third Party Tested for Purity, Vegan, Non-GMO &amp; Gluten Free</t>
  </si>
  <si>
    <t>B01BHF3IXM</t>
  </si>
  <si>
    <t>Vitamin D3 10000 iu Plus K2 (MK-7) 200 mcg, 180 Virgin Coconut Oil Softgels| 2 in 1 Vitamins D &amp; K Complex | Supports Calcium Absorption, Bone, Immune, &amp; Heart Health – Easy to Swallow</t>
  </si>
  <si>
    <t>B07YMJLTR6</t>
  </si>
  <si>
    <t>Total Unit</t>
  </si>
  <si>
    <t>Diff Unit</t>
  </si>
  <si>
    <t>Total Spend</t>
  </si>
  <si>
    <t>Total Ad Sales</t>
  </si>
  <si>
    <t>Total Diff</t>
  </si>
  <si>
    <t>ACOS</t>
  </si>
  <si>
    <t>Tcos</t>
  </si>
  <si>
    <t>November</t>
  </si>
  <si>
    <t>JC</t>
  </si>
  <si>
    <t>CL</t>
  </si>
  <si>
    <t>HL</t>
  </si>
  <si>
    <t>GP</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</si>
  <si>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</si>
  <si>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</si>
  <si>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</si>
  <si>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</si>
  <si>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Moringa Oleifera 8000mg Per Serving | 240 Capsules, Made with Organic Moringa Leaf Powder, Non-GMO, Gluten Free, Superfood Antioxidant, Skin Health &amp; Immune Support</t>
  </si>
  <si>
    <t>B07MTTBMD1</t>
  </si>
  <si>
    <t>Magnesium Complex Supplement 500mg, 300 Capsules | 10 Active Forms – Glycinate, Citrate, Taurate, Plus More | 100% Chelated &amp; Purified | Bone, Heart, &amp; Muscle Support | Non-GMO</t>
  </si>
  <si>
    <t>B0C2SLBPRK</t>
  </si>
  <si>
    <t>NatureBell Lions Mane Supplement 9,000mg Per Serving, 240 Veggie Capsules | Made with Organic Lion’s Mane Powder Extract – Cognitive Brain Nootropic &amp; Immune Health Mushroom – Non-GMO</t>
  </si>
  <si>
    <t>B0CJK6YZYX</t>
  </si>
  <si>
    <t>NatureBell Psyllium Husk Powder, 3 Lbs(48 Oz), 9000mg Per Serving - Unflavored | No Fillers, No Additives, Gluten Free, Soluble Fiber, Great for Gut Health, Keto Baking, Mixing Shakes, Juices &amp; More</t>
  </si>
  <si>
    <t>B09ZPVMQ9F</t>
  </si>
  <si>
    <t>NatureBell Resveratrol Supplement 1000mg Per Serving, 180 Veggie Capsules, 99% Pure Trans-Resveratrol, Antioxidant for Healthy Aging, Brain, &amp; Heart Support – Non-GMO</t>
  </si>
  <si>
    <t>B0C2SCVL8Z</t>
  </si>
  <si>
    <t>NatureBell Quercetin 1000mg Per Serving | 240 Capsules, Ultra Strength Quercetin Supplement | Bioflavonoids for Healthy Immune Support, Third Party Tested, Non-GMO &amp; No Gluten</t>
  </si>
  <si>
    <t>B07H9LGDPM</t>
  </si>
  <si>
    <t>Organic Mushroom Coffee with MCT Oil</t>
  </si>
  <si>
    <t>B0D2MDHWT5</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</si>
  <si>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</si>
  <si>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</si>
  <si>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</si>
  <si>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Everyday Fruits and Vegetables Supplements, 480 Total Vegetarian Capsules</t>
  </si>
  <si>
    <t>B0CMK41YYD</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</si>
  <si>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</si>
  <si>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</si>
  <si>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</si>
  <si>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</si>
  <si>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 xml:space="preserve">Advanced Glucosamine </t>
  </si>
  <si>
    <t>B0D85XVGMQ</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</si>
  <si>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</si>
  <si>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</si>
  <si>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</si>
  <si>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</si>
  <si>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</si>
  <si>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</si>
  <si>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</si>
  <si>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Magnesium Malate 1500mg capsules 240 count</t>
  </si>
  <si>
    <t>B0CWMWHRFC</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</si>
  <si>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</si>
  <si>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</si>
  <si>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</si>
  <si>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</si>
  <si>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NatureBell Digestive Enzymes with Prebiotics | 240 Veggie Capsules - 20 Enzyme &amp; 5 Prebiotic Complex – Support Gut Health, Bloating Relief for Women &amp; Men, Non-GMO, Vegan Friendly</t>
  </si>
  <si>
    <t>B0CJK5JRPV</t>
  </si>
  <si>
    <t>Organic Lion's Mane Powder</t>
  </si>
  <si>
    <t>B0CFP9DF3C</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</si>
  <si>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</si>
  <si>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</si>
  <si>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</si>
  <si>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</si>
  <si>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</si>
  <si>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</si>
  <si>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Ashwagandha 12,500mg with black pepper</t>
  </si>
  <si>
    <t>B0DDM8LQMS</t>
  </si>
  <si>
    <t>CoQ10 (Ubiquinone) 300mg with Omega 3 Fatty Acids, 240 Capsules</t>
  </si>
  <si>
    <t>B0CMK3LBGJ</t>
  </si>
  <si>
    <t>Liver Cleanse Detox &amp; Repair Supplement, 240 Veggie Capsules</t>
  </si>
  <si>
    <t>B0CWN5QQ8V</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</si>
  <si>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</si>
  <si>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</si>
  <si>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</si>
  <si>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Vitamin D3 5000 K2 (MK7) with Virgin Coconut Oil, 240 Softgels, 100mcg, 2 in 1 Support, Duo-Ack | 8 Months Supply | Third Party Tested, Non GMO &amp; No Gluten</t>
  </si>
  <si>
    <t>B09MJYVXX9</t>
  </si>
  <si>
    <t>Xylitol Sweetener, 5lbs | Natural Birch Crystal Source – 1:1 Sugar Substitute – Sweet Flavor with No Erythritol – Low Calorie &amp; Glycemic Impact – Sugar Free, No Aftertaste, Non-GMO</t>
  </si>
  <si>
    <t>B0CFPJ5BRM</t>
  </si>
  <si>
    <t>NatureBell DHEA 100mg, 240 Capsules | Extra Strength, Micronized Grade for Better Absorption, Supports Energy Level, Metabolism and Healthy Aging for Men and Women, No GMOs and Made in U.S.A</t>
  </si>
  <si>
    <t>B074Q2KK6Z</t>
  </si>
  <si>
    <t>Olive Leaf Extract 30000mg, 240 Capsules | 40% Active Oleuropein, 50:1 Herbal Equivalent – Rich in Polyphenol &amp; Flavonoid Antioxidants for Immune &amp; Heart Health – Non-GMO</t>
  </si>
  <si>
    <t>B076B7TYL7</t>
  </si>
  <si>
    <t>Liposomal Vitamin C 2000mg capsules</t>
  </si>
  <si>
    <t>B0D85XBLCH</t>
  </si>
  <si>
    <t>NatureBell 2 Pack Plant Based Hyaluronic Acid Supplements 250mg with 25mg Vitamin C &amp; Biotin 5000mcg, 480 Total Capsules | Essential for Hair Growth, Joint Support, &amp; Hydrating Skin | Non-GMO</t>
  </si>
  <si>
    <t>B07GBMPZKD</t>
  </si>
  <si>
    <t>Advanced Turkey Tail Quercetin Supplements, Turkey Tail (Coriolus Versicolor) with Quercetin 1100mg Per Serving, 180 Counts, 2 in 1 Formula, Immune System Booster, Daily Mushroom Mycelium Supplement</t>
  </si>
  <si>
    <t>B07YF52935</t>
  </si>
  <si>
    <t>NatureBell Bromelain, 1,000mg Per Serving, 240 Veggie Capsules</t>
  </si>
  <si>
    <t>B0CMK9SWBJ</t>
  </si>
  <si>
    <t>Dihydroberberine 500mg</t>
  </si>
  <si>
    <t>B0DDMM94BF</t>
  </si>
  <si>
    <t xml:space="preserve">Advanced Electrolyte hydration capsules </t>
  </si>
  <si>
    <t>B0DDCW84F6</t>
  </si>
  <si>
    <t>NatureBell Vitamin B2 Riboflavin 400mg Per Serving, 240 Capsules | Essential Daily B Vitamin, Easily Absorbed Form – Supports Energy, Skin, and Cellular Health – Non-GMO, Gluten Free</t>
  </si>
  <si>
    <t>B0BSP461K1</t>
  </si>
  <si>
    <t>Sambucus Elderberry Capsules, 5000mg Herbal Equivalent, with Quercetin 500mg, Zinc and Vitamin C, 200 Capsules, 4 in 1 Formula, Support Immune System, Premium Elderberry Zinc Quercetin Supplements</t>
  </si>
  <si>
    <t>B085WGL72X</t>
  </si>
  <si>
    <t>NatureBell CoQ10 (Ubiquinone) 200mg with PQQ, 240 Veggie Capsules | Stable High Absorption Form – Antioxidant Support for Brain, Heart, &amp; Energy Health – Extra Strength Coenzyme Q10 Supplement</t>
  </si>
  <si>
    <t>B0CFPMHB25</t>
  </si>
  <si>
    <t>NatureBell D-Mannose 2000mg with Cranberry Extract 400mg, 240 Veggie Capsules, Double Strength | Fast Acting Urinary Tract Health Pills, Flush Impurities, Ultra UTI Support for Women &amp; Men</t>
  </si>
  <si>
    <t>B07QBVHK8H</t>
  </si>
  <si>
    <t>NatureBell Organic Myco Guardians 10 in 1 Mushroom Powder, 10oz | Fresh Superfood Mushrooms Complex – Lions Mane, Turkey Tail, 8 More | Immune Booster &amp; Brain Health Supplement | No Fillers</t>
  </si>
  <si>
    <t>B0C485JWYV</t>
  </si>
  <si>
    <t>DHEA 50mg</t>
  </si>
  <si>
    <t>B0CX3MJQKM</t>
  </si>
  <si>
    <t>Organic Non-Fortified Nutritional Yeast Flakes, 2 lbs | Versatile Vegan Cheese Substitute, Natural Dairy Free Cheesy Seasoning – Rich Protein &amp; B Complex Vitamins Source – Keto, Non-GMO</t>
  </si>
  <si>
    <t>B0BSP1W5JW</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</si>
  <si>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</si>
  <si>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</si>
  <si>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</si>
  <si>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Zinc Quercetin 1300mg with Vitamin D3 5000IU, 120 Capsules, 4 in 1 Formula, Zinc 50mg, Vitamin C 250mg, Vitamin D3 5000 IU - Advanced Immune Defense, Non-GMO</t>
  </si>
  <si>
    <t>B085WGFPYS</t>
  </si>
  <si>
    <t>NatureBell Hyaluronic Acid Supplements 2000mg Per Serving | 240 Capsules, with MSM &amp; Multi Collagen – 3 in 1 Support – Skin Hydration, Joint Lubrication, Hair, and Eye Health</t>
  </si>
  <si>
    <t>B01DPW5BNA</t>
  </si>
  <si>
    <t>NatureBell Hyaluronic Acid Supplements 250mg | 240 Capsules, with Biotin 5000mcg &amp; Vitamin C 25mg, 3 in 1 Support - Skin Hydration, Joint Lubrication, Hair and Eye Health</t>
  </si>
  <si>
    <t>B076FH7639</t>
  </si>
  <si>
    <t>St John's Wort Supplement, 1500mg Per Serving with 2250mcg Hypericin, 2 in 1 Formula St John's Wort Complex, 200 Capsules, Promote Emotional Balance, Joyful Mood &amp; Stress Response</t>
  </si>
  <si>
    <t>B07H9JTLWY</t>
  </si>
  <si>
    <t>Organic Hibiscus Tea Bags</t>
  </si>
  <si>
    <t>B0C6WP15YQ</t>
  </si>
  <si>
    <t>Nattokinase Supplement 8,000 FU Per Serving, 240 Veggie Capsules | Traditional Natto Extract Source – Max Strength Enzyme &amp; Heart Health Support – Non-GMO</t>
  </si>
  <si>
    <t>B0CJK4JF1V</t>
  </si>
  <si>
    <t>Citrus Bergamot 5000mg</t>
  </si>
  <si>
    <t>B0CFPBNWCF</t>
  </si>
  <si>
    <t>Pregnenolone 100mg, 200 Capsules | 99%+ Purity, Micronized Grade for Higher Absorption, Plant Based – Hormone*, Cognitive, &amp; Immune Health Supplement – Non-GMO, Soy Free</t>
  </si>
  <si>
    <t>B087CMV1PD</t>
  </si>
  <si>
    <t xml:space="preserve">NAD+ 1500mg vegetarian capsules 240 count </t>
  </si>
  <si>
    <t>B0D85VVNF7</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</si>
  <si>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</si>
  <si>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</si>
  <si>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</si>
  <si>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NatureBell Double Strength Triphala Supplement (Made with Organic Amla, Bibhitaki, Haritaki Fruit Complex), 1200mg Per Serving, 180 Capsules, 3 in 1 Formula, Supports Digestive Health, Non-GMO</t>
  </si>
  <si>
    <t>B076B5V4RQ</t>
  </si>
  <si>
    <t>NatureBell Kava Kava Capsules 1000mg with Ginkgo Biloba, 200 Count | Noble Kava Root Extract with Active Kavalactones – Herbal KavaMind Relaxation Complex – Plant Based, Non-GMO</t>
  </si>
  <si>
    <t>B092373KF3</t>
  </si>
  <si>
    <t>NatureBell D Mannose Powder, 12oz | Instantized for Max Absorption – Fast Acting Cleanse – Urinary Tract &amp; Bladder Health Support – Flush UTI Impurities – Non-GMO, Vegan</t>
  </si>
  <si>
    <t>B075G4N2K1</t>
  </si>
  <si>
    <t>NatureBell 2 Pack Cranberry Pills 36,000mg with Acerola, 480 Veggie Capsules | 100:1 Fresh Cranberries Extract – Organic Ingredients – Supports Urinary Tract Health – Sugar Free</t>
  </si>
  <si>
    <t>B07RD4CKP4</t>
  </si>
  <si>
    <t>2 Pack Maximum Strength Zinc 100mg, Zinc Picolinate Supplement, 480 Capsules, Zinc Vitamin and Immune Vitamins for Enzyme Function and Immune Support, Non-GMO and Made in USA</t>
  </si>
  <si>
    <t>B0872L4YZS</t>
  </si>
  <si>
    <t>Magnesium Glycinate 500mg Per Serving | 240 Veggie Capsule, 100% Chelated &amp; Purified – Non-GMO &amp; Gluten Free</t>
  </si>
  <si>
    <t>B0CFPQWQNC</t>
  </si>
  <si>
    <t>2 Pack NatureBell Mucuna Pruriens Capsules, 1500mg Per Serving, Made with Mucuna and Ashwagandha, 480 Capsules, 2 in 1 Formula, Contains Mucuna Pruriens Seeds for Mood Mind and Brain Health</t>
  </si>
  <si>
    <t>B07W8XG27G</t>
  </si>
  <si>
    <t>NatureBell Cold Pressed Black Seed Oil 3,000mg Per Serving with Vitamin D3 2,000IU, 180 Softgels | Egyptian Nigella Sativa, Odorless Black Cumin Seed, Virgin Liquid Oil Capsules – Non-GMO</t>
  </si>
  <si>
    <t>B09238QQ52</t>
  </si>
  <si>
    <t>2 Pack NAC Supplement (N-Acetyl Cysteine) with Quercetin, 1,200mg Per Serving, 480 Capsules | Double Strength Antioxidant Support for Immune, Liver, &amp; Lung Health – Non-GMO</t>
  </si>
  <si>
    <t>B086QBQ7X4</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</si>
  <si>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</si>
  <si>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</si>
  <si>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</si>
  <si>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</si>
  <si>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</si>
  <si>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2 Pack Naturebell Zinc Quercetin with Vitamin C &amp; D3, 120 Capsules, Quercetin 1000mg, 4 in 1 Zinc 50mg, Vitamin C 250mg, Vitamin D3 5000 IU - Advanced Immune Defense, ZincVanta, Lung Support</t>
  </si>
  <si>
    <t>B086M6FBG4</t>
  </si>
  <si>
    <t>2 Pack Berberine Supplement 1500mg Per Serving, 480 Veggie Capsules | Plus 1200mg True Ceylon Cinnamon, 97% Berberine HCL, Plant-Based, Vegan, Non-GMO, Gluten Free</t>
  </si>
  <si>
    <t>B01L2TFPNE</t>
  </si>
  <si>
    <t>Naturebell Ginkgo Biloba Extract 500mg Per Serving, 300 Capsules | GinkoVida | Extra Strength Ginko Biloba Supplement - Promote Memory, Focus and Brain Health</t>
  </si>
  <si>
    <t>B09F4ML3FF</t>
  </si>
  <si>
    <t>Mucuna Pruriens Capsules, Triple Strength 1500mg Per Serving, 2 in 1 Formula, Made with Mucuna and Ashwagandha, 240 Capsules, Potent Seed Extract, Positive Mood, Relaxation &amp; Restoration Support</t>
  </si>
  <si>
    <t>B07K6Z195K</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</si>
  <si>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</si>
  <si>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</si>
  <si>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</si>
  <si>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</si>
  <si>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NatureBell Irish Sea Moss Capsules, 3,000mg Per Serving, 240 Veggie Pills | Made with Organic Raw Powder – 3 in 1 Plus Bladderwrack &amp; Burdock Root – Immune &amp; Thyroid Superfood Support – Non-GMO</t>
  </si>
  <si>
    <t>B0CP2YGSCZ</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</si>
  <si>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</si>
  <si>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</si>
  <si>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</si>
  <si>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</si>
  <si>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NatureBell Evening Primrose Oil with Black Cohosh, 1,300mg Per Serving, 300 Mini-Softgels | Cold Pressed Seeds, Retains 130mg GLA for Womens Health &amp; Skin Care Support – Hexane Free, Non-GMO</t>
  </si>
  <si>
    <t>B0C6WN52Q9</t>
  </si>
  <si>
    <t>High Potency Zinc Picolinate 100mg - 240 Capsules, Bioavailable Form of Zinc for Immune Support and Skin Health - Non-GMO and Gluten- Zinc Supplements</t>
  </si>
  <si>
    <t>B07VC1M3S3</t>
  </si>
  <si>
    <t>Vitamin E 400iu</t>
  </si>
  <si>
    <t>B0CWKDYC5Q</t>
  </si>
  <si>
    <t>NatureBell Cranberry Pills 36,000mg with Acerola, 240 Veggie Capsules | 100:1 Fresh Cranberries Extract – Made with Organic Ingredients – Supports Urinary Tract Health – Sugar Free</t>
  </si>
  <si>
    <t>B076BFRPNS</t>
  </si>
  <si>
    <t>NatureBell DIM 400mg as Diindolylmethane, 180 Veggie Capsules | with Broccoli &amp; Black Pepper for Max Absorption – Hormonal* Acne Supplements, Menopause Relief – No GMOs, No Soy, Vegan Friendly</t>
  </si>
  <si>
    <t>B07MTTWGWJ</t>
  </si>
  <si>
    <t>TwinBest Magnesium Glycinate 500mg, 2 Pack, 480 Capsules – 100% Pure Magnesium Powder Source – Chelated, Easily Absorbed – Mineral Support for Muscles, Heart, &amp; Mood – Non-GMO…</t>
  </si>
  <si>
    <t>B0C2SH4J85</t>
  </si>
  <si>
    <t>NatureBell Turkesterone Supplement 500mg | 180 Capsules - [Plus Beta Ecdysterone 500mg] - Ajuga Turkestanic Extract with Hydroxypropyl-Beta-Cyclodexrin, Highly Bioavailable, Plant Based</t>
  </si>
  <si>
    <t>B09WXLZZRX</t>
  </si>
  <si>
    <t>Tribulus Terrestris 36,000mg with Tongkat Ali 400mg Per Serving for Men, 240 Capsules – 95% Steroidal Saponins &amp; Eurycoma Longifolia, Plant Source, Extra Highly Concentrated, Non-GMO, No Gluten</t>
  </si>
  <si>
    <t>B07Y8Y19GR</t>
  </si>
  <si>
    <t>NatureBell Apigenin 100mg with L-Theanine, 240 Capsules (50mg Apigenin Per Capsule) – Extra Strength Sleep &amp; Relaxation Supplement – Bioflavonoid, Antioxidant, &amp; Amino Acid Complex – Non-GMO</t>
  </si>
  <si>
    <t>B0C6X5CZ98</t>
  </si>
  <si>
    <t>DHEA 25mg</t>
  </si>
  <si>
    <t xml:space="preserve">B0CXGX8QTQ </t>
  </si>
  <si>
    <t>NatureBell L-Glutamine Powder Gut Health | 600 Grams, 5000mg Per Serving, 100% Pure -Unflavored -Vegan Glutamine Powder for Post Workout Recovery, Immune Support -120 Servings</t>
  </si>
  <si>
    <t>B0B9HVBQ4F</t>
  </si>
  <si>
    <t>NatureBell Pure Taurine Powder, 2.2LBS(1KG), 2000mg Per Serving| L-Taurine Supplement, Essential Amino Acids, Bioavailable Free Form|Heart Health Supplement, Gluten-Free, Pet Friendly</t>
  </si>
  <si>
    <t>B0C88PXW63</t>
  </si>
  <si>
    <t>NatureBell Ceylon Cinnamon 1800mg Per Serving, 180 Capsules, Made with Organic Sri Lanka Ceylon Cinnamon and Bitter Melon, 2 in 1 Support, Non-GMO, No Gluten</t>
  </si>
  <si>
    <t>B07MTVDV6Y</t>
  </si>
  <si>
    <t>NatureBell Fadogia Agrestis 600mg Complexed with Tongkat Ali 400mg, 180 Capsules, Optimal Dosage for Enhanced Bioavailability, 20:1 Fadogia Argrestis Extract Indonesia Tongkat-Ali (Longjack)</t>
  </si>
  <si>
    <t>B09WJV9D1Y</t>
  </si>
  <si>
    <t>Vitamin B Complex for Women, 240 Veggie Capsules</t>
  </si>
  <si>
    <t>B0CMK1YPQN</t>
  </si>
  <si>
    <t>2 Pack Magnesium Glycinate 500mg, 480 Capsules – 100% Chelated for Max Absorption – Bioavailable Mineral Supplement for Muscle, Joint, Enzyme, &amp; Heart Health</t>
  </si>
  <si>
    <t>B07RD4DFNZ</t>
  </si>
  <si>
    <t>Korean Red Ginseng 2,250mg Per Serving, 240 Softgels | Panax Ginseng Root, Standardized to 10% Ginsenosides, Non-GMO, Support Energy, Male Performance, &amp; Immune System</t>
  </si>
  <si>
    <t>B07MTW3QDD</t>
  </si>
  <si>
    <t>TMG (Trimethylglycine) 1500mg capsules</t>
  </si>
  <si>
    <t>B0D883PXW4</t>
  </si>
  <si>
    <t>NatureBell Glutathione Supplement 1000mg, 180 Veggie Capsules | 98%+ Purity Verified, Bioavailable Reduced Glutathione Pills, Active Form, Master Antioxidant – Vegan Friendly &amp; Non-GMO</t>
  </si>
  <si>
    <t>B09KTCYFZ7</t>
  </si>
  <si>
    <t>Huperzine A 400mcg Per Serving, 180 Capsules, (Huperzine A Supplement), Supports Focus, Cognition, Memory and Learning Ability, Premium Brain Health Supplement, No GMOs</t>
  </si>
  <si>
    <t>B07BKSH9GW</t>
  </si>
  <si>
    <t>NatureBell Antarctic Krill Oil 1000mg Supplement, 180 Softgels, Natural Source of Omega-3s, EPA, DHA and Astaxanthin - No Aftertaste - Support Heart Health, Mercury Free &amp; Non-GMO</t>
  </si>
  <si>
    <t>B07BKN8S81</t>
  </si>
  <si>
    <t>Ultra Strength Phosphatidylserine Supplement 500mg Per Serving, 240 Capsules | Soy Free, Derived from Sunflower Lecithin – Supports Cognitive Health and Brain Function – Non-GMO</t>
  </si>
  <si>
    <t>B074R8XH2Q</t>
  </si>
  <si>
    <t xml:space="preserve">Probiotics+ 200 billion CFU 40 </t>
  </si>
  <si>
    <t>B0DDCWYPWR</t>
  </si>
  <si>
    <t xml:space="preserve">Colostrum 1000mg capsules 240 count </t>
  </si>
  <si>
    <t>B0DJTVL9H4</t>
  </si>
  <si>
    <t>NatureBell Biotin 10000mcg + Hyaluronic Acid 25mg | 250 Coconut Oil Softgels, Premium Biotin Vitamins for Hair Skin and Nails, Highly Purified and Bioavailable, Quick Release</t>
  </si>
  <si>
    <t>B0B34CDHNS</t>
  </si>
  <si>
    <t>NatureBell Melatonin 20mg, 365 Fast Dissolve Tablets - Natural Strawberry Flavor - Vegetarian Chewable Lozenges for 1 Year Supply, High Potency | Non-GMO, No Gluten</t>
  </si>
  <si>
    <t>B0B92XZZPJ</t>
  </si>
  <si>
    <t xml:space="preserve">Taurine 1000mg capsules 500 count </t>
  </si>
  <si>
    <t>B0D87LZF99</t>
  </si>
  <si>
    <t>Magnesium Complex 400mg Supplement, 300 Capsules | Magnesium Glycinate + Citrate Elemental Forms – Essential Minerals for Heart, Muscle, &amp; Digestion Support – Non-GMO &amp; No Gluten</t>
  </si>
  <si>
    <t>B0BSP3CD3N</t>
  </si>
  <si>
    <t>Magnesium Glycinate Supplement 1,000mg | 500mg Per Capsule, 240 Pills | 100% Chelated &amp; Purified – Non-GMO &amp; Gluten Free</t>
  </si>
  <si>
    <t>B0CFPG9M5K</t>
  </si>
  <si>
    <t>NatureBell 2 Pack Creatine Monohydrate Powder 500 Grams, 5000mg Per Serving, Pure Unflavored Creatine Powder - Micronized - Pre Workout | Keto | Vegan | Dissolves Easy | Filler Free</t>
  </si>
  <si>
    <t>B0BT2V8YK4</t>
  </si>
  <si>
    <t>NatureBell Quercetin 500mg Per Serving | 300 Capsules, Ultra Strength Quercetin Supplement | Bioflavonoids for Healthy Immune Support, Third Party Tested, Non-GMO &amp; No Gluten</t>
  </si>
  <si>
    <t>B0B8TJLSSP</t>
  </si>
  <si>
    <t>TUDCA 500mg with Black Pepper Extract, 60 Capsules – High Absorption Livamate Formula, Natural Bitter Taste | Bile Salt Supplement | Third Party Tested</t>
  </si>
  <si>
    <t>B09KTBBYLQ</t>
  </si>
  <si>
    <t>Lutein 40mg and Zeaxanthin 1,600mcg Per Serving, 360 Softgels | 4 in 1 with Omega-3s, Astaxanthin, &amp; Phospholipids – Marigold Flower Extract – Eye Antioxidant Vitamins – Non-GMO</t>
  </si>
  <si>
    <t>B0C2S5MC6J</t>
  </si>
  <si>
    <t>Magnesium Glycinate 200mg with Valerian Root, 300 Capsules</t>
  </si>
  <si>
    <t>B0CWNDCY6V</t>
  </si>
  <si>
    <t>NatureBell 2 Pack Ceylon Cinnamon 9000mg Per Serving, 480 Capsules, Made with Organic Ceylon Cinnamon Plus Bitter Melon, Non-GMO</t>
  </si>
  <si>
    <t>B08DK1M6FL</t>
  </si>
  <si>
    <t>Benfotiamine 300mg with Thiamine 100mg Per Serving | 240 Veggie Capsules, Essential Vitamin B1 Benfotiamine Supplement, Bioavailable Fat &amp; Water Soluble Forms – Energy &amp; Nerve Support – Non-GMO</t>
  </si>
  <si>
    <t>B0C6YKYN2B</t>
  </si>
  <si>
    <t>Choline 500mg with Omega-3 capsules 240 count</t>
  </si>
  <si>
    <t>B0D85V6X3G</t>
  </si>
  <si>
    <t>Omega 3 Fish Oil 4,200mg, 180 Burpless Softgels, Highly Purified EPA 1,200mg &amp; DHA 900mg | Lemon Flavored | Premium Wild Caught Fish from Deep Sea – Heart &amp; Brain Support – Mercury Free &amp; Non-GMO</t>
  </si>
  <si>
    <t>B0BSP4P38R</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</si>
  <si>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</si>
  <si>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</si>
  <si>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</si>
  <si>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</si>
  <si>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L Tryptophan 1500mg with L Theanine 200mg, 300 Capsules | Active Free Form, Plant Based Supplement – Calm Formula, Supports Relaxation – Non-GMO &amp; No Gluten</t>
  </si>
  <si>
    <t>B07V8LRWZK</t>
  </si>
  <si>
    <t>2 Pack Olive Leaf Extract 30000mg, 480 Total Capsules | 40% Active Oleuropein, 50:1 Herbal Equivalent – Rich in Polyphenol &amp; Flavonoid Antioxidants for Immune &amp; Heart Health – Non-GMO</t>
  </si>
  <si>
    <t>B07VNJ97G1</t>
  </si>
  <si>
    <t>NatureBell 2 Pack Hyaluronic Acid Supplements 2000mg | 480 Total Capsules, with MSM &amp; Multi Collagen – 3 in 1 Support – Skin Hydration, Joint Lubrication, Hair, and Eye Health</t>
  </si>
  <si>
    <t>B01FL9DFR4</t>
  </si>
  <si>
    <t>Tongkat Ali 200:1 (Longjack) Extract for Men, 2000mg Per Serving, Indonesia Origin, Eurycoma Longifolia | with Panax Ginseng for Energy, Stamina, &amp; Male Health Support (150 Count (Pack of 2))</t>
  </si>
  <si>
    <t>B0BMF3TMWZ</t>
  </si>
  <si>
    <t>NatureBell PQQ 40mg with CoQ10, 180 Veggie Capsules | Active Pyrroloquinoline Quinone, Highly Bioavailable ZenPQQ+ Formula – Promotes Heart, Brain, &amp; Mitochondrial Health – Non-GMO</t>
  </si>
  <si>
    <t>B09KTDRCYD</t>
  </si>
  <si>
    <t>NAC Supplement (N-Acetyl Cysteine) with Quercetin, 1,200mg Per Serving, 240 Capsules | Double Strength Antioxidant Support for Immune, Liver, &amp; Lung Health – Non-GMO</t>
  </si>
  <si>
    <t>B0866BQP63</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</si>
  <si>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</si>
  <si>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</si>
  <si>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</si>
  <si>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</si>
  <si>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</si>
  <si>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Alpha Lipoic Acid 600mg Per Serving | 300 Capsules - with Vitamin B1 Complex | 4 in 1 - [R-ALA | S-ALA | Thiamine | Benfotiamine] - High Bioavailability, Third Party Tested | Non-GMO</t>
  </si>
  <si>
    <t>B0BB53JDMF</t>
  </si>
  <si>
    <t>Allulose Sweetener 5lb</t>
  </si>
  <si>
    <t>B0DDCVSPP5</t>
  </si>
  <si>
    <t xml:space="preserve">Magnesium Taurate 1500mg 240 Capsules </t>
  </si>
  <si>
    <t>B0CWK143JD</t>
  </si>
  <si>
    <t>NatureBell Magnesium Glycinate 400mg (Elemental), 270 Capsules – 100% Chelated for Max Absorption | Non-GMO &amp; No Gluten, Bioavailable Mineral Supplement for Muscle, Joint, Enzyme, &amp; Heart Health</t>
  </si>
  <si>
    <t>B0BJ198K28</t>
  </si>
  <si>
    <t xml:space="preserve">Potassium Citrate 99mg capsules 500 count </t>
  </si>
  <si>
    <t>B0DDCTG43B</t>
  </si>
  <si>
    <t>Triple Complex Magnesium Supplement, 240 Capsules | Magnesium Glycinate 500mg with Citrate &amp; Malate | Chelated &amp; Purified | Bone, Heart, &amp; Muscle Support | Non-GMO</t>
  </si>
  <si>
    <t>B0CMK2Z12X</t>
  </si>
  <si>
    <t>L Tyrosine Supplement, 1,500mg Per Serving, 240 Capsules | Essential Amino Acids – Brain Health Support for Memory, Cognitive Health, and Mental Alertness – Non-GMO</t>
  </si>
  <si>
    <t>B08X6JSZ69</t>
  </si>
  <si>
    <t>NatureBell L Methylfolate 15mg (5-MTHF) with Methyl B12 1,000mcg, 240 Vegetarian Capsules | High Potency Dual Action for Energy &amp; Cognitive Support, Active Folic Acid – Methyl Folate Supplement</t>
  </si>
  <si>
    <t>B0CHX3CST7</t>
  </si>
  <si>
    <t>NatureBell P5P Vitamin B6 100mg Per Serving, 240 Capsules | Activated Pyridoxal 5 Phosphate Supplements – Essential B Vitamins for Brain &amp; Memory Health – Non-GMO</t>
  </si>
  <si>
    <t>B07GCBWP2M</t>
  </si>
  <si>
    <t>NatureBell Full Spectrum Vitamin K2 Supplement with MK-7 &amp; MK-4, 200 mcg, 240 Capsules | 2 in 1 Formula, K Vitamins Complex – Supports Bone, Joint, and Heart Health – Non-GMO</t>
  </si>
  <si>
    <t>B07R8JTQSZ</t>
  </si>
  <si>
    <t>NatureBell Astaxanthin 12mg, 240 Softgels, Made with Astax (Max Strength from MicroAlgae), Natural Antioxidant for Skin &amp; Eye Health – Non-GMO &amp; No Gluten, 4 Month Supply</t>
  </si>
  <si>
    <t>B0923B4XLX</t>
  </si>
  <si>
    <t>R-Alpha Lipoic Acid (R-ALA) 1200mg</t>
  </si>
  <si>
    <t>B0DJWWQSPX</t>
  </si>
  <si>
    <t>Antarctic Krill Oil 2000mg Supplement, 240 Softgels, 3X Strength Natural Source of Omega-3s, EPA 240mg + DHA 160mg + Astaxanthin 800mcg – No Fishy Aftertaste – Mercury Free &amp; Non-GMO</t>
  </si>
  <si>
    <t>B0BSP5TBP3</t>
  </si>
  <si>
    <t>NatureBell Oregano Oil with Black Seed Oil 7,500mg, 360 Softgels | Wild Harvested, 50:1 Fresh Oregano Extract – Retains Carvacrol &amp; Thymoquinone – Essential Oils for Immune Health – Non-GMO</t>
  </si>
  <si>
    <t>B0CFPQN4J1</t>
  </si>
  <si>
    <t>L-Lysine 1000mg + Quercetin 250mg Supplement, 240 Capsules, Free Form, 4-in-1 Lysine Complex, Quercetin with Vitamin C and Zinc | Immune Support | Promote Lips &amp; Skin Health</t>
  </si>
  <si>
    <t>B09F4GYTDQ</t>
  </si>
  <si>
    <t>NatureBell Virgin Pumpkin Seed Oil 3,000mg Per Serving with Saw Palmetto, 240 Softgel Capsules | Cold Pressed – Rich in Omega 6 &amp; 9 Essential Fatty Acids – Prostate &amp; Bladder Supplements, Non-GMO</t>
  </si>
  <si>
    <t>B07K6XGYPL</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</si>
  <si>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</si>
  <si>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</si>
  <si>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</si>
  <si>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</si>
  <si>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</si>
  <si>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2 Pack Magnesium Citrate 500mg, 480 Capsules | High Purity Elemental Form – Extra Strength | Essential Mineral for Heart, Muscle, &amp; Digestion Support – Non-GMO &amp; No Gluten</t>
  </si>
  <si>
    <t>B07755F5YT</t>
  </si>
  <si>
    <t>Vitamin D3 K2 (10,000 IU Vitamin D + 200mcg Vitamin K MK-7) 240 Softgels with Coconut Oil for Complete Absorption | Bone, Heart, Immune, &amp; Calcium Support | One a Day, Non-GMO</t>
  </si>
  <si>
    <t>B0C6WY48KJ</t>
  </si>
  <si>
    <t>Berberine Supplement 500mg | 300 Veggie Capsules, 97% Pure Berberine HCL, 5:1 Root Extract – Healthy Glucose Metabolism &amp; Immune Support – Plant Based, Vegan, Non-GMO</t>
  </si>
  <si>
    <t>B0C7FF131K</t>
  </si>
  <si>
    <t xml:space="preserve">Electrolyte Powder Lemon &amp; Raspberry Flavor 500g </t>
  </si>
  <si>
    <t>B0CX3GYCNN</t>
  </si>
  <si>
    <t>NatureBell Red Yeast Rice 2,400mg with CoQ10 100mg | 240 Veggie Capsules (1,200mg Per Capsule) – Max Strength Herbal Supplement – Antioxidant Support for Energy &amp; Heart Health – Non-GMO</t>
  </si>
  <si>
    <t>B0CFPLT75L</t>
  </si>
  <si>
    <t>Magnesium Glycinate Powder Peach-Mango Flavor Jar 1lb</t>
  </si>
  <si>
    <t>B0DLXM7ZTC</t>
  </si>
  <si>
    <t>CoQ10 (Ubiquinone) 400mg with Omega 3 Fatty Acids, 240 Capsules | Stable High Absorption Form – Antioxidant Support for Heart &amp; Energy Health – Extra Strength Coenzyme Q10 Supplement</t>
  </si>
  <si>
    <t>B0BSP5GTMQ</t>
  </si>
  <si>
    <t>L-Theanine 400mg capsules 400 count</t>
  </si>
  <si>
    <t>B0DDCW97QV</t>
  </si>
  <si>
    <t>HB</t>
  </si>
  <si>
    <t>Nitric Oxide Booster 3,000mg Per Serving, 300 Capsules</t>
  </si>
  <si>
    <t>B0CZGHL1TW</t>
  </si>
  <si>
    <t>CoQ10 100mg, 240 Capsules – with Omega 3 Fatty Acid 100mg – Bioavailable Coenzyme Q10 Supplements – Heart, Energy, &amp; Brain Health Antioxidant Support – Non-GMO, One A Day</t>
  </si>
  <si>
    <t>B0CF3M3Y1M</t>
  </si>
  <si>
    <t>Berberine Max Supplement, 5,000mg Per Serving, 240 Veggie Capsules – 97% Pure Berberine HCL – 25:1 Root Extract – Glucose Metabolism &amp; Weight Management Support– Non-GMO</t>
  </si>
  <si>
    <t>B0C7FPF4TT</t>
  </si>
  <si>
    <t>Myo-Inositol &amp; D-Chiro Inositol (40:1) 2,050mg Per Serving, 240 Veggie Capsules – with Folate, Vitamin D3, &amp; Vitex Complex – Hormonal, Ovarian, &amp; Liver Support Supplement</t>
  </si>
  <si>
    <t>B0BWGKT1PJ</t>
  </si>
  <si>
    <t>Nattokinase 4,000 FU Per Serving, 240 Veggie Capsules – Bromelain, Turmeric Curcumin, with Black Pepper Complex – Heart Health &amp; Digestive Enzymes Supplement – Non-GMO, Vegan</t>
  </si>
  <si>
    <t>B0CF3HM62X</t>
  </si>
  <si>
    <t>Vitamin B1 500mg with Benfotiamine, 240 Capsules – 2 in 1 Enhanced Formula – Fat &amp; Water Soluble Thiamine B1 Supplement – Third Party Tested, Non-GMO, No Gluten</t>
  </si>
  <si>
    <t>B081ZJQYVK</t>
  </si>
  <si>
    <t>Psyllium Husk Fiber, 300 Capsules | 1500mg Per Serving, Complexed with Inulin &amp; Acacia – Natural Soluble Fiber Supplement, Plant Based, Non-GMO | Supports Digestive and Colon Health for Men and Women</t>
  </si>
  <si>
    <t>B0BKR4ZNH1</t>
  </si>
  <si>
    <t>9.9低價產品</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</si>
  <si>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</si>
  <si>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</si>
  <si>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</si>
  <si>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Bioactive Vitamin B Complex | 240 Veggie Capsules - Methylated B Vitamins &amp; Esterified Vitamin C, High Potency &amp; Easy Absorption – Immune, Energy, &amp; Metabolism Supplement – Non-GMO, Vegan</t>
  </si>
  <si>
    <t>B0BWGKFVS9</t>
  </si>
  <si>
    <t>DEAL SUPPLEMENT Slippery Elm Capsules, 6,000mg Per Serving – 300 Pills, Made with Organic Inner Bark Powder Extract – Natural Herb for Soothing Throat &amp; Digestive Support – Non-GMO</t>
  </si>
  <si>
    <t>B0C2XJGG1H</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</si>
  <si>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</si>
  <si>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</si>
  <si>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</si>
  <si>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</si>
  <si>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</si>
  <si>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</si>
  <si>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SUPPLEMENT Oil of Oregano Softgels with Black Seed Oil, 9,000mg Per Serving, 300 Count – 30:1 Extract, Active Carvacrol &amp; Thymoquinone – Antioxidant Immune Health Support – Plant Based, Non-GMO</t>
  </si>
  <si>
    <t>B0BWGY19D1</t>
  </si>
  <si>
    <t>Unsweetened Organic Coconut Milk Powder, 3lbs – Dairy Free Creamer Alternative – Sugar Free Raw Flavor – Rich Source of MCT Oil – Great for Coffee or Tea – Non-GMO, Plant Based, Keto</t>
  </si>
  <si>
    <t>B0CF3HYSHR</t>
  </si>
  <si>
    <t>DEAL SUPPLEMENT Ultra Strength HMB Supplements 3,000mg Per Serving, 240 Capsules | Third Party Tested | Supports Muscle Growth, Retention &amp; Lean Muscle Mass | Fast Workout Recovery</t>
  </si>
  <si>
    <t>B0C8M8X8PG</t>
  </si>
  <si>
    <t>Ceylon Cinnamon 6000mg with Chromium 1000mcg, 240 Capsules | Active Inner Bark Extract, True Sri Lanka Source | Natural Cinnamon Supplements</t>
  </si>
  <si>
    <t>B084Z9VQ2Q</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</si>
  <si>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</si>
  <si>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</si>
  <si>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</si>
  <si>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Omega 3 Fish Oil Supplements, 3,000mg Per Serving, 240 Softgels – EPA 1,200mg + DHA 900mg – Burpless Pills, Lemon Flavored, Wild Caught – Brain &amp; Heart Support – Mercury Free, Non-GMO</t>
  </si>
  <si>
    <t>B0CF38KTZQ</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</si>
  <si>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</si>
  <si>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</si>
  <si>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</si>
  <si>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Glutathione Supplement 1000mg Per Serving, 98% Purity | Plus Vitamin C 500mg, Active Reduced Form (GSH) | 60 Capsules - Intracellular Antioxidant, Detoxification* Support, Immune &amp; Skin Whitening</t>
  </si>
  <si>
    <t>B09BDNFL58</t>
  </si>
  <si>
    <t>DEAL SUPPLEMENT Odorless Aged Garlic Pills, 6,000mg Per Serving, 500 Softgels – 24:1 Garlic Oil Extract – Fresh Allium Sativum Bulb Source – Heart &amp; Immune Antioxidant Supplements – Non-GMO</t>
  </si>
  <si>
    <t>B0CF3CTC2V</t>
  </si>
  <si>
    <t>Lions Mane Mushroom Supplement, 7,500mg Per Serving, 240 Capsules – Active Fruiting Body &amp; Mycelium 10:1 Extract – Natural Brain Nootropic &amp; Immune System Booster – Non-GMO</t>
  </si>
  <si>
    <t>B09KZ1VNPF</t>
  </si>
  <si>
    <t>Whole milk powder 3lb</t>
  </si>
  <si>
    <t>B0DJWTBLGH</t>
  </si>
  <si>
    <t>DEAL SUPPLEMENT Vitamin E Supplements, 1,000 IU Per Serving, 240 Softgels – Extra Strength Antioxidant Protection – Bioavailable Stable Form – Skin, Heart, Brain, &amp; Immune Support – Non-GMO</t>
  </si>
  <si>
    <t>B0C2X2BW68</t>
  </si>
  <si>
    <t>NAD+ 1000mg</t>
  </si>
  <si>
    <t>B0DJWRXKPX</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</si>
  <si>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</si>
  <si>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</si>
  <si>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</si>
  <si>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Vitamin B3 Nicotinamide 1,000mg Per Serving – 500 Capsules, Flush Free Niacin, Essential B3 Vitamin Supplement – Supports Healthy Skin &amp; Energy Production – Non-GMO</t>
  </si>
  <si>
    <t>B0C2X6VR58</t>
  </si>
  <si>
    <t>Bitter Melon 15,000mg Per Serving | 300 Capsules, with Berberine HCL | 15:1 Wild Bitter Melon Fruit Extract | Third Party Tested | Plant Based, Non-GMO &amp; No Gluten</t>
  </si>
  <si>
    <t>B081ZH92R6</t>
  </si>
  <si>
    <t>Organic Fiber Powder Supplement, 2lbs – with Psyllium Husk, Chia Seed, Inulin, &amp; Acacia – Daily Fiber for Adults – Rich in Prebiotics for Gut &amp; Digestive Health – Unflavored, Non-GMO</t>
  </si>
  <si>
    <t>B0C2W734WL</t>
  </si>
  <si>
    <t>Allulose Sweetener 2 Pounds – Natural Sugar Subsitutes, No Aftertaste - Keto Friendly, Vegan, Zero Net Carb, Zero Calorie, Great for Cooking &amp; Baking</t>
  </si>
  <si>
    <t>B0BL1R1T8Y</t>
  </si>
  <si>
    <t>DEAL SUPPLEMENT Methyl B-12 Vitamins 5000 mcg, 240 Chewable Tablets | Active Form - Strawberry Flavored - Energy Support &amp; Brain Health Function - Vegetarian &amp; GMO Free</t>
  </si>
  <si>
    <t>B0BKR522Q9</t>
  </si>
  <si>
    <t>DEAL SUPPLEMENT D Mannose Veggie Capsules, 2,000mg Per Serving, 240 Pills – Fast Acting Water-Soluble Form – Extra Strength Urinary Tract (UTI) Health Support – Non-GMO, Vegan Friendly</t>
  </si>
  <si>
    <t>B0C2SSC3XZ</t>
  </si>
  <si>
    <t>R Alpha Lipoic Acid 600mg with Benfotiamine 300mg Per Serving, 120 Veggie Capsules – 200mg R-ALA Per Capsule – Antioxidant Supplement for Energy &amp; Nervous System Support</t>
  </si>
  <si>
    <t>B0CF3P11B1</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</si>
  <si>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</si>
  <si>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</si>
  <si>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</si>
  <si>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</si>
  <si>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</si>
  <si>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</si>
  <si>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DIM Supplement 300mg, 240 Veggie Caps, 4 Months Supply, Diindolylmethane DIM Plus Black Pepper Extract, Estrogen Balance, Supports Acne &amp; PCOS Relief</t>
  </si>
  <si>
    <t>B07WV689LY</t>
  </si>
  <si>
    <t>Vitamin B2 400mg (Riboflavin) | with Magnesium Glycinate 400mg, 240 Capsules – 2 in 1 Support Healthy Nervous System, Mood, Blood &amp; Energy Production, Non-GMO</t>
  </si>
  <si>
    <t>B085PZLP29</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</si>
  <si>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</si>
  <si>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</si>
  <si>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</si>
  <si>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Vitamin D3 10,000 IU + K2 MK7 200 mcg, Infused with Virgin Coconut Oil, 250 Softgels, Double Strength Vitamin D &amp; K, Promotes Heart, Bone &amp; Teeth Health - Very Easy to Swallow</t>
  </si>
  <si>
    <t>B08FXX6WSZ</t>
  </si>
  <si>
    <t>Mushroom Supplement, 8,000mg Per Serving, 240 Capsules – 10 in 1 Defense Formula</t>
  </si>
  <si>
    <t>B0BWH9RWC9</t>
  </si>
  <si>
    <t>DEAL SUPPLEMENT Premium K Complete - High Potency Vitamin K1, K2 MK-7 &amp; MK-4 Complex, 200 Coconut Oil Infused Softgels - Full Spectrum Triple Vitamin K, Optimal Bone &amp; Heart Health Support</t>
  </si>
  <si>
    <t>B0BWH7QPX6</t>
  </si>
  <si>
    <t>DEAL SUPPLEMENT Sustainably US Grown, Organic Barley Grass Juice Powder, 10oz – Raw Cold Pressed Source – Greens Superfood Booster – Retains Vitamins, Minerals, Antioxidants, &amp; Chlorophyll – Non-GMO</t>
  </si>
  <si>
    <t>B0C8M8MQMR</t>
  </si>
  <si>
    <t>DEAL SUPPLEMENT Unflavored Pea Protein Powder, 5lbs – Premium North American Grown Peas – Easily Digested Isolate Form – Great for Shakes, Bars, or Snacks – 27g Protein Serving, Soy Free, Vegan</t>
  </si>
  <si>
    <t>B0C2WJHQLT</t>
  </si>
  <si>
    <t>5-HTP 200mg Per Serving, 240 Capsules, 98% African Derived Griffonia Seed Extract | 4 in 1 Formula Plus Active L-Theanine, L-Tryptophan &amp; GABA, Complete Support for Positive Mood, Relaxation</t>
  </si>
  <si>
    <t>B08WHFZQSJ</t>
  </si>
  <si>
    <t>Bromelain Supplement 2,000mg Per Serving, 240 Capsules – Natural Proteolytic Enzymes from Fresh Pineapple – Supports Nutrient Digestion</t>
  </si>
  <si>
    <t>B09BDHTR2H</t>
  </si>
  <si>
    <t>整体水平没有变化只是primeday多出了一些</t>
  </si>
  <si>
    <t>Ginkgo Biloba 500mg Per Serving, 300 Capsules, 5 Month Supply – Grown in Northern Asia – Extra Strength, Non-GMO, No Gluten</t>
  </si>
  <si>
    <t>B081NW5N61</t>
  </si>
  <si>
    <t>Magnesium Citrate 400mg Per Serving, 300 Veggie Capsules – Chelated for Easy Absorption – Purified Trace Mineral – Supports Muscle, Heart, &amp; Digestive Health – Non-GMO</t>
  </si>
  <si>
    <t>B0BWGPJNTR</t>
  </si>
  <si>
    <t>Kava Kava Supplement 750mg, 180 Capsules, 3 Months Supply, Kava Kava Root Extract, Promotes Stress &amp; Anxiety Relief, Mental Calmness and Restful Sleep</t>
  </si>
  <si>
    <t>B07XVS9MS3</t>
  </si>
  <si>
    <t>Vitamin D3K2 5,000IU with coconut oil</t>
  </si>
  <si>
    <t>B0CZFY5H2J</t>
  </si>
  <si>
    <t>DEAL SUPPLEMENT Alpha GPC 600mg Per Serving, 240 Capsules – Bioavailable Choline Replenishment –Nootropic Brain Health Supplements for Memory and Focus – Non-GMO, Gluten Free</t>
  </si>
  <si>
    <t>B0C2X5QQRR</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</si>
  <si>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</si>
  <si>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</si>
  <si>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</si>
  <si>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Vitamin K2 Supplement 600mcg, 180 Virgin Coconut Oil Softgels – Full Spectrum MK-7 &amp; MK-4 Forms, High Absorption, Triple Strength K Vitamins – Bone, Joint, &amp; Immune Support – Non-GMO</t>
  </si>
  <si>
    <t>B0CF3N7PNY</t>
  </si>
  <si>
    <t>DEAL SUPPLEMENT Citicoline CDP Choline, 1,000mg Per Serving, 120 Capsules – Extra Strength Choline Supplements – Nootropic B Vitamin Properties – Promotes Brain Health, Memory, &amp; Focus – Non-GMO</t>
  </si>
  <si>
    <t>B0C2WY5ZN1</t>
  </si>
  <si>
    <t>Organic Peruvian Maca Root Powder, 3lbs</t>
  </si>
  <si>
    <t>B0CF3MT9NR</t>
  </si>
  <si>
    <t>Organic Lions Mane Mushroom Powder Supplement, 1,500mg Per Serving, 1lb – Active Fruiting Body &amp; Mycelium Extract – Natural Brain Nootropic &amp; Immune System Booster – Non-GMO</t>
  </si>
  <si>
    <t>B0C8LTR6L1</t>
  </si>
  <si>
    <t>Moringa 9,000mg capsules 240 count</t>
  </si>
  <si>
    <t>B0DJWPJ2MX</t>
  </si>
  <si>
    <t>Dihydroberberine 100mg</t>
  </si>
  <si>
    <t>B0DCKRBV9T</t>
  </si>
  <si>
    <t xml:space="preserve">Vitamin D3K2 2000IU with coconut oil </t>
  </si>
  <si>
    <t>B0DCJ6L37S</t>
  </si>
  <si>
    <t>Golden Monk Fruit Sweetener, 3Lbs Granular | 1:1 Brown Sugar Substitute, No Aftertaste, Diet Keto Friendly, Vegetarian, Zero Net Carb, Non-GMO, Baking, Taste Just Like Sugar</t>
  </si>
  <si>
    <t>B0BFJXC2JN</t>
  </si>
  <si>
    <t>Black Seed Oil 3000mg with Vitamin D3 2000IU Per Serving, 240 Softgels, Cold-Pressed Nigella Sativa, Naturally Occurring Thymoquinone (TQ), Non-GMO | No Gluten | Black Cumin Seed Liquid Capsules</t>
  </si>
  <si>
    <t>B08WHGBYD3</t>
  </si>
  <si>
    <t>primeday加上涨价有小幅度下跌</t>
  </si>
  <si>
    <t>TUDCA 1000mg, 60 Capsules – Ultra Strength Bile Salt Supplement, 99% Pure, Genuine Bitter Taste – Replenishes Bile Acid, Natural Liver Support – Non-GMO, Third Party Tested</t>
  </si>
  <si>
    <t>B0971TW2RS</t>
  </si>
  <si>
    <t>Alpha Lipoic Acid 1,000mg, 180 Veggie Capsules – 50/50 R-ALA &amp; S-ALA for Max Bioavailability – Antioxidant Supplement – Energy &amp; Nervous System Support – Non-GMO</t>
  </si>
  <si>
    <t>B0BWHLHMHY</t>
  </si>
  <si>
    <t>Zinc + Quercetin 500mg with Vitamin C, 240 Capsules, 4-1 Zinc 50mg Complex with 95% Quercetin Supplement for Ultimate Immune Support - Premium Quercetin with Zinc, 4 Months Supply</t>
  </si>
  <si>
    <t>B08C4NZQYY</t>
  </si>
  <si>
    <t>sandhus也涨价了，prime多出了一些 靠自己卖 能做的不多 占个位置 sandhus一多半占比</t>
  </si>
  <si>
    <t>Magnesium Citrate Powder 500mg, 3lbs – Unflavored, Easily Absorbed – Purified Trace Mineral for Muscle, Heart, &amp; Digestive Support – One a Day, Non-GMO, Filler Free</t>
  </si>
  <si>
    <t>B0C8M1F4V7</t>
  </si>
  <si>
    <t>Organic Beet Root Powder 3lb</t>
  </si>
  <si>
    <t>B0C2XJ92Y6</t>
  </si>
  <si>
    <t>Berberine 500mg with Yohimbine</t>
  </si>
  <si>
    <t>B0CZGQN3Y4</t>
  </si>
  <si>
    <t>2 Pack of Tongkat Ali Extract 300:1 Enhanced with Horny Goat, 1100mg Per Serving, 180 Capsules, 2-1 Formula, Indonesia Origin Eurycoma Longifolia (Longjack), Max Strength Tongkat Ali for Men</t>
  </si>
  <si>
    <t>B0BMDPLQ3K</t>
  </si>
  <si>
    <t>Ultra Strength CLA 3000mg | 240 Softgels, Active Conjugated Linoleic Acid from Non-GMO Safflower Oil, Non-Stimulating, Supports Weight Management | Lean Muscle Mass</t>
  </si>
  <si>
    <t>B07WWK3SMQ</t>
  </si>
  <si>
    <t>Apigenin, 100mg Per Serving, 240 Capsules – Plant Extract from Chamomile Flower – Active Bioflavonoids &amp; Antioxidants – Sleep &amp; Relaxation Supplement</t>
  </si>
  <si>
    <t>B09LFFGQXM</t>
  </si>
  <si>
    <t>Quercetin 1000mg Per Serving (2 Pack) | 300 Capsules, High Bioavailable Flavonoids, Third Party Tested, Supports Healthy Immune System, Non-GMO, No Gluten</t>
  </si>
  <si>
    <t>B08M23CLN5</t>
  </si>
  <si>
    <t>DEAL SUPPLEMENT Lutein and Zeaxanthin Supplements, 40mg Per Serving, 300 Softgels – Plus Astaxanthin, Omega-3s, &amp; Phospholipids – Essential Eye Vitamins &amp; Vision Health Support – Non-GMO</t>
  </si>
  <si>
    <t>B0C2XFMKWL</t>
  </si>
  <si>
    <t>2 Pack Magnesium Glycinate 500mg, 480 Veggie Capsules | Chelated for Easy Absorption | Highly Purified Essential Trace Mineral for Muscle, Joint, Heart, &amp; Digestive Health</t>
  </si>
  <si>
    <t>B0C6V5K27L</t>
  </si>
  <si>
    <t>Red Yeast Rice 1,200mg Per Serving with CoQ10 100mg, 300 Capsules – Heart Health Supplement &amp; Antioxidant Support – Pure Monascus Purpureus Powder Source – Citrinin Free, Non-GMO</t>
  </si>
  <si>
    <t>B07WV6898X</t>
  </si>
  <si>
    <t>Allulose Sweetener Powder 4lb</t>
  </si>
  <si>
    <t>B0DCKRMSJ8</t>
  </si>
  <si>
    <t>Multi Collagen Protein Powder,1Lb - Type I, II, III, V, X Collagen Peptides with Biotin 10000mcg, Vitamin C &amp; Hyaluronic Acid - Unflavored - Keto &amp; Paleo Friendly, Great for Hair, Skin, Nails &amp; Joints</t>
  </si>
  <si>
    <t>B0BL1NMB59</t>
  </si>
  <si>
    <t>Korean Red Panax Ginseng Root Extract, 7,500mg Per Serving, 240 Softgels – 150mg Active Ginsenosides, 5:1 Max Strength Extract – Energy &amp; Immune Health Supplement – Non-GMO</t>
  </si>
  <si>
    <t>B08517K5QY</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</si>
  <si>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</si>
  <si>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</si>
  <si>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</si>
  <si>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</si>
  <si>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Eagle Shine Vitamins St. John's Wort Extract 1000mg - 240 Capsules, Retains 3000mcg Active Hypericins | Premium North American Source</t>
  </si>
  <si>
    <t>B081NWFC6W</t>
  </si>
  <si>
    <t>Multi Collagen Pills with Hyaluronic Acid, Vitamin C &amp; Biotin 5000mcg, 300 Capsules - Type I, II, III, V, X Collagen Supplements for Women or Men - Hair, Skin, Nail, &amp; Joint Health - Unflavored, Keto</t>
  </si>
  <si>
    <t>B0C2WPPTNM</t>
  </si>
  <si>
    <t>DEAL SUPPLEMENT Rhodiola Rosea with Ashwagandha 5,000mg Per Serving, 240 Veggie Capsules – Max Strength 10:1 Root Extract – Adaptogenic Supplements for Relaxation, Energy, &amp; Brain Health – Non-GMO</t>
  </si>
  <si>
    <t>B0C8PVGKSK</t>
  </si>
  <si>
    <t>Creatine Monohydrate Powder 600 Grams (1.32lb), Unflavored | Pure | Micronized Creatine Powder, 5000mg(5g) Per Serving, 4 Month Supply, Vegan | Keto, Non-GMO, No Filler, No Additives - 120 Servings</t>
  </si>
  <si>
    <t>B0B2FF7XN9</t>
  </si>
  <si>
    <t>Cayenne Pepper 5lb</t>
  </si>
  <si>
    <t>B0CDDY9DJL</t>
  </si>
  <si>
    <t>Mullein Leaf 20,000mg, 240 Veggie Capsules – 20:1 Max Strength Leaf Extract – Natural Soothing Herb for Lungs – Supports Respiratory &amp; Immune Health – Non-GMO, Vegan</t>
  </si>
  <si>
    <t>B0C8LYLM61</t>
  </si>
  <si>
    <t>DEAL SUPPLEMENT High Potency Vitamin A 25000 IU, 500 Coconut Oil Softgels | Easily Absorbed, Natural Fish Liver Oil Source – Vitamins for Eye, Immune, &amp; Skin Health – Easy to Swallow, Non-GMO</t>
  </si>
  <si>
    <t>B0BKR14XL3</t>
  </si>
  <si>
    <t>Magnesium Complex Supplement 500mg, 240 Veggie Capsules – 10 in 1 Blend with Glycinate, Citrate, Malate, &amp; More – Chelated for Easy Absorption – Muscle, Joint, &amp; Relaxation Support</t>
  </si>
  <si>
    <t>B07WS2TFP1</t>
  </si>
  <si>
    <t>CoQ10 200mg &amp; PQQ 200mcg, 240 Veggie Capsules – 2 in 1 Coenzyme Q10 Supplement for Better Absorption – Antioxidant Support for Energy, Brain, &amp; Heart Health – Non-GMO</t>
  </si>
  <si>
    <t>B0C2WV9FGF</t>
  </si>
  <si>
    <t>DEAL SUPPLEMENT Vitamin D3 50,000 IU + K2 MK7 200 mcg,240 Softgels | Virgin Coconut Oil, Max Strength Vitamin D &amp; K, Promotes Heart, Bone, &amp; Teeth Health – One Softgel Weekly, Easy to Swallow</t>
  </si>
  <si>
    <t>B0C8LR3L5M</t>
  </si>
  <si>
    <t>2 Pack Creatine Monohydrate Powder 600 Grams (21.2oz), Unflavored | Pure | Micronized Creatine Powder, 5000mg Per Serving, 4 Month Supply, Vegan | Keto, Non-GMO, No Filler, No Additives - 120 Servings</t>
  </si>
  <si>
    <t>B0BGR22RG6</t>
  </si>
  <si>
    <t>Eagleshine Vitamins Phosphatidylserine Supplement, 400mg Per Serving, 240 Capsules – Soy Free Sunflower Lecithin Source – Retains 20% Active PS – Nootropic Brain Health Support – Non-GMO</t>
  </si>
  <si>
    <t>B0971RLCR2</t>
  </si>
  <si>
    <t>DEAL SUPPLEMENT 2 Pack of Ultra Strength HMB Supplements 1000mg Per Serving, 600 Capsules | Third Party Tested | Supports Muscle Growth, Retention &amp; Lean Muscle Mass | Fast Workout Recover</t>
  </si>
  <si>
    <t>B0B7CMR12N</t>
  </si>
  <si>
    <t>DHA Supplements | 240 Softgels, Burpless, Lemon Flavor, DHA 1000mg + EPA 500mg, Wild Caught Fish, Rich in Omega-3s, Mercury Free, Non-GMO, Support Brain Heart &amp; Joint Health</t>
  </si>
  <si>
    <t>B08WHZZP5F</t>
  </si>
  <si>
    <t>Eagle Shine Vitamins 2 Pack Antarctic Krill Oil, 1,000mg Per Serving, 480 Softgels – Mercury Free, No Fishy Taste – Rich in Omega-3s, EPA, DHA, Astaxanthin, &amp; Phospholipids – Non-GMO, No Gluten</t>
  </si>
  <si>
    <t>B08X63BXLZ</t>
  </si>
  <si>
    <t>Essential Amino Acids (EAA) 2000mg Per Serving, 300 Capsules – Unflavored - 9 in 1, All BCAAs (Branched-Chain Aminos) – Lean Muscle Support &amp; Natural Pre Workout Supplement</t>
  </si>
  <si>
    <t>B0BWH3JMNB</t>
  </si>
  <si>
    <t>Ultra Strength HMB Supplements 1000mg Per Serving, 300 Capsules | Third Party Tested | Supports Muscle Growth, Retention &amp; Lean Muscle Mass | Fast Workout Recovery</t>
  </si>
  <si>
    <t>B0971W4PSN</t>
  </si>
  <si>
    <t>DEAL SUPPLEMENT Quercetin 1,000mg Per Serving, 300 Capsules – Healthy Immune Support Supplements, High Bioavailable Flavonoids, Natural Antioxidant – Non-GMO, Soy Free, No Gluten</t>
  </si>
  <si>
    <t>B07XW8BXDS</t>
  </si>
  <si>
    <t>Max Strength Magnesium Glycinate 500mg Per Serving, 240 Capsules | Chelated, Highly Purified, Essential Mineral | Magnesium Supplement for Muscle, Joint, &amp; Heart Health</t>
  </si>
  <si>
    <t>B0CF3JV16Q</t>
  </si>
  <si>
    <t>Irish Sea Moss 7,000mg Per Serving, 240 Veggie Capsules</t>
  </si>
  <si>
    <t>B0CZFZYXN3</t>
  </si>
  <si>
    <t>Vitamin K2 (MK-7) 200mcg, 240 Virgin Coconut Oil Softgels | Premium Menaquinone-7 Form, Easily Absorbed Vitamin K Supplement – Bone, Joint, &amp; Immune Support – Non-GMO</t>
  </si>
  <si>
    <t>B088B4L5WB</t>
  </si>
  <si>
    <t>Organic Lemon Powder, 1lb – Real Freeze-Dried Lemon Source – Rich in Essential Vitamin C – Natural Immune Support – Raw Lemon Juice Flavor &amp; Aroma – Non-GMO, Filler Free, No Sugar</t>
  </si>
  <si>
    <t>B0CF3RZQCZ</t>
  </si>
  <si>
    <t>Organic Matcha Green Tea Powder, 2lbs (907g) | Zero Sugar, First Harvest | Culinary Grade, Cafe Mix, Keto Friendly, Genuine Japanese Source, Non-GMO, Vegetarian</t>
  </si>
  <si>
    <t>B0BY3V6ZR7</t>
  </si>
  <si>
    <t>Eagleshine Vitamins 2 Pack NAC Supplement (N-Acetyl Cysteine) 1,000mg Per Serving with Reduced Glutathione, 480 Total Capsules – Antioxidant Support for Immune Health, Lung, &amp; Liver Function</t>
  </si>
  <si>
    <t>B08M245LZF</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</si>
  <si>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</si>
  <si>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</si>
  <si>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</si>
  <si>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Creatine Monohydrate Powder 300 Grams (60 Servings), Unflavored | Pure | Micronized Creatine Powder, 5000mg(5g) Per Serving, 2 Month Supply, Vegan | Keto, Non-GMO, No Filler, No Additives</t>
  </si>
  <si>
    <t>B09YX7G6JJ</t>
  </si>
  <si>
    <t>2 Pack Deal Supplement Vitamin D3 K2 Softgel, 250 Count, 2-1 Complex, Vitamin D3 5000 IU &amp; Vitamin K2 MK7, Promotes Heart, Bone &amp; Teeth Health – Very Easy to Swallow</t>
  </si>
  <si>
    <t>B08LMTG54X</t>
  </si>
  <si>
    <t>Hyaluronic Acid Supplements 1,500mg – 240 Capsules, with MSM &amp; Vitamin C – Pure 95% | Non-GMO + Plant Based HA – Supports Healthy Joints, Bones, Connective Tissue, &amp; Skin Hydration</t>
  </si>
  <si>
    <t>B091G5YF1J</t>
  </si>
  <si>
    <t>DEAL SUPPLEMENT Psyllium Husk Powder 3 lbs, 9,000mg Per Serving – Unflavored, Plant Based, Soluble Dietary Fiber – Great for Baking &amp; Cooking – Keto Friendly, Gluten Free, Non-GMO</t>
  </si>
  <si>
    <t>B0C3NM9959</t>
  </si>
  <si>
    <t>Zinc 50mg with Selenium 200mcg + Copper, 240 Capsules, 8 Month Supply, 3 in 1 Mineral Formula, Zinc Picolinate Complex Supplement, Supports Healthy Immune System for Adults and Kid</t>
  </si>
  <si>
    <t>B08FXYT1RT</t>
  </si>
  <si>
    <t>Benfotiamine 600mg Per Serving, 180 Veggie Capsules (300mg Per Cap), Fat Soluble Vitamin B1 Thiamine Supplement – Supports Energy &amp; Nervous System Health – 3rd Party Tested, Non-GMO, Gluten Free</t>
  </si>
  <si>
    <t>B0BWH53V3J</t>
  </si>
  <si>
    <t>Magnesium Glycinate 400mg | Elemental Magnesium - 300 Capsules | Chelated for Easy Absorption | Highly Purified Essential Trace Mineral for Muscle, Joint, Heart, &amp; Immune Support</t>
  </si>
  <si>
    <t>B0BKRPXKWD</t>
  </si>
  <si>
    <t>Unscented Magnesium Flakes, 10lbs</t>
  </si>
  <si>
    <t>B0CZFY5HHJ</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</si>
  <si>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</si>
  <si>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</si>
  <si>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</si>
  <si>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</si>
  <si>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</si>
  <si>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</si>
  <si>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</si>
  <si>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</si>
  <si>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</si>
  <si>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</si>
  <si>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</si>
  <si>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</si>
  <si>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</si>
  <si>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</si>
  <si>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</si>
  <si>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</si>
  <si>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</si>
  <si>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</si>
  <si>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</si>
  <si>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</si>
  <si>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</si>
  <si>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</si>
  <si>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</si>
  <si>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</si>
  <si>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</si>
  <si>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</si>
  <si>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</si>
  <si>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</si>
  <si>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</si>
  <si>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</si>
  <si>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</si>
  <si>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</si>
  <si>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</si>
  <si>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</si>
  <si>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</si>
  <si>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</si>
  <si>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</si>
  <si>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</si>
  <si>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</si>
  <si>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</si>
  <si>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</si>
  <si>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</si>
  <si>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</si>
  <si>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</si>
  <si>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</si>
  <si>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</si>
  <si>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</si>
  <si>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</si>
  <si>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</si>
  <si>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</si>
  <si>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</si>
  <si>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</si>
  <si>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</si>
  <si>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</si>
  <si>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</si>
  <si>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</si>
  <si>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</si>
  <si>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</si>
  <si>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</si>
  <si>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</si>
  <si>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</si>
  <si>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</si>
  <si>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</si>
  <si>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</si>
  <si>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B07G7YPJSJ</t>
  </si>
  <si>
    <t>B07WTXS4BL</t>
  </si>
  <si>
    <t>B085176YLP</t>
  </si>
  <si>
    <t>B08WHPNJTT</t>
  </si>
  <si>
    <t>B0BWH9Y7PZ</t>
  </si>
  <si>
    <t>B0C2SKQBDB</t>
  </si>
  <si>
    <t>B0C6VXPZTS</t>
  </si>
  <si>
    <t>B0C6W3MPRS</t>
  </si>
  <si>
    <t>B0C6WK3P6H</t>
  </si>
  <si>
    <t>B0C6WRVJQV</t>
  </si>
  <si>
    <t>B0C6WZJ2K6</t>
  </si>
  <si>
    <t>B0C8LWRXVV</t>
  </si>
  <si>
    <t>B0C8LXD8F2</t>
  </si>
  <si>
    <t>B0C8QZLF18</t>
  </si>
  <si>
    <t>B0CVTNMFSK</t>
  </si>
  <si>
    <t>B0CXGX8QTQ</t>
  </si>
  <si>
    <t>B0CYKDW4QQ</t>
  </si>
  <si>
    <t>B0D21244KR</t>
  </si>
  <si>
    <t>B0D2FGQB84</t>
  </si>
  <si>
    <t>B0D2FTRPL1</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</si>
  <si>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</si>
  <si>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</si>
  <si>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</si>
  <si>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</si>
  <si>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</si>
  <si>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</si>
  <si>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</si>
  <si>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</si>
  <si>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</si>
  <si>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</si>
  <si>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</si>
  <si>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</si>
  <si>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</si>
  <si>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</si>
  <si>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</si>
  <si>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</si>
  <si>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</si>
  <si>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</si>
  <si>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</si>
  <si>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</si>
  <si>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</si>
  <si>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</si>
  <si>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</si>
  <si>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</si>
  <si>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</si>
  <si>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</si>
  <si>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</si>
  <si>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</si>
  <si>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</si>
  <si>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</si>
  <si>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</si>
  <si>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</si>
  <si>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</si>
  <si>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</si>
  <si>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</si>
  <si>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</si>
  <si>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</si>
  <si>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</si>
  <si>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</si>
  <si>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</si>
  <si>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</si>
  <si>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</si>
  <si>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</si>
  <si>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</si>
  <si>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</si>
  <si>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</si>
  <si>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</si>
  <si>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Brand</t>
  </si>
  <si>
    <t>B0BR4NQGSC</t>
  </si>
  <si>
    <t>B01JNNAGEY</t>
  </si>
  <si>
    <t>B09TG497BW</t>
  </si>
  <si>
    <t>B07L44PJYM</t>
  </si>
  <si>
    <t>B0B239F6JW</t>
  </si>
  <si>
    <t>B0BCMY5TBJ</t>
  </si>
  <si>
    <t>B0CG7M7PRM</t>
  </si>
  <si>
    <t>B01N91404L</t>
  </si>
  <si>
    <t>B07CRQ7NJ5</t>
  </si>
  <si>
    <t>B01DPW5MJI</t>
  </si>
  <si>
    <t>B01N02YD5I</t>
  </si>
  <si>
    <t>B08C9JP3L2</t>
  </si>
  <si>
    <t>B08MX453B9</t>
  </si>
  <si>
    <t>B08C77PT4J</t>
  </si>
  <si>
    <t>B07L47VZ1Z</t>
  </si>
  <si>
    <t>B0C35H2G42</t>
  </si>
  <si>
    <t>B07P3HRXK4</t>
  </si>
  <si>
    <t>B0B43XFX6P</t>
  </si>
  <si>
    <t>B0CG2L2N1J</t>
  </si>
  <si>
    <t>B0BSP38B2S</t>
  </si>
  <si>
    <t>B076B63VJC</t>
  </si>
  <si>
    <t>B0C2SCGYD4</t>
  </si>
  <si>
    <t>B07R8FQG58</t>
  </si>
  <si>
    <t>B087CMLT8J</t>
  </si>
  <si>
    <t>B076XMGV8M</t>
  </si>
  <si>
    <t>B08QDRP99J</t>
  </si>
  <si>
    <t>B08QDZLP2G</t>
  </si>
  <si>
    <t>B07G8GGRNT</t>
  </si>
  <si>
    <t>B0BSJ4RLWX</t>
  </si>
  <si>
    <t>B0923BYLMS</t>
  </si>
  <si>
    <t>B0BFJVZYN5</t>
  </si>
  <si>
    <t>B0BJ1BRV7Z</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</si>
  <si>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</si>
  <si>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</si>
  <si>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</si>
  <si>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</si>
  <si>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</si>
  <si>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</si>
  <si>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</si>
  <si>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</si>
  <si>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</si>
  <si>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</si>
  <si>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</si>
  <si>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</si>
  <si>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花費2.2/unit小偏高, 保持powder詞上的占比, KW小幅下調budget到100, top降到70及超標詞縮減花費, 每天5PM左右會OOB, 小幅上提 ashwagandha powder(9%IS)到1.05保持IS為子, 至少要維持10%左右占比</t>
  </si>
  <si>
    <t>30天花費約2.3/unit, 本身能做的詞不多, 主詞都拿到一定佔比, KW&amp;PT天天OOB, 下調廣告力度縮減花費不加碼, 爭取KW花費跑到7PM後</t>
  </si>
  <si>
    <t>等貨入倉, 廣告關閉了</t>
  </si>
  <si>
    <t>溢價銷售, 廣告給了比較大的空間2.5/unit, PT budget降到60, 下調top90, rest降到0主要跑KW</t>
  </si>
  <si>
    <t>DC, 換org的賣</t>
  </si>
  <si>
    <t>garlic supplements熱度回漲, 銷量上漲花費在合理範圍, 給的budget並不多</t>
  </si>
  <si>
    <t>溢價銷售, 給了比較大的廣告空間2.5/unit, 近期花費及銷量上漲, KW小幅下調top115緩緩花費, 上調b1, vitamin b1, b1 vitamin等詞找找IS; 縮減PT整體廣告力度緩緩花費</t>
  </si>
  <si>
    <t>日銷穩定30-40, 花費2.4/unit太多了, 下調KW budget70及超標base, 主詞拿到5%左右IS</t>
  </si>
  <si>
    <t>DC</t>
  </si>
  <si>
    <t>逐步縮減廣告力度緩緩花費, KW rest降到10及整體base, top80先保持</t>
  </si>
  <si>
    <t>listing被warning銷量受到影響, 現在開回來KW回調合格繼續跑</t>
  </si>
  <si>
    <t>listing 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</si>
</sst>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quot;$&quot;#,##0.00"/>
  </numFmts>
  <fonts count="13">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s>
  <borders count="46">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indexed="64"/>
      </right>
      <top style="medium">
        <color indexed="64"/>
      </top>
      <bottom/>
      <diagonal/>
    </border>
    <border>
      <left/>
      <right style="medium">
        <color indexed="64"/>
      </right>
      <top style="thin">
        <color rgb="FF4472C4"/>
      </top>
      <bottom/>
      <diagonal/>
    </border>
    <border>
      <left/>
      <right style="medium">
        <color indexed="64"/>
      </right>
      <top style="thin">
        <color rgb="FF4472C4"/>
      </top>
      <bottom style="thin">
        <color rgb="FF4472C4"/>
      </bottom>
      <diagonal/>
    </border>
    <border>
      <left/>
      <right style="medium">
        <color indexed="64"/>
      </right>
      <top style="thin">
        <color rgb="FF4472C4"/>
      </top>
      <bottom style="medium">
        <color indexed="64"/>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74">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164" fontId="0" fillId="0" borderId="0" xfId="2" applyNumberFormat="1" applyFont="1" applyAlignment="1">
      <alignment horizontal="left"/>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43" fontId="0" fillId="0" borderId="0" xfId="1" applyNumberFormat="1" applyFont="1"/>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0" fillId="0" borderId="0" xfId="0" applyNumberFormat="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8" xfId="0" applyNumberFormat="1" applyFont="1" applyFill="1" applyBorder="1"/>
    <xf numFmtId="8" fontId="9" fillId="0" borderId="11" xfId="0" applyNumberFormat="1" applyFont="1" applyBorder="1"/>
    <xf numFmtId="8" fontId="9" fillId="10" borderId="14" xfId="0" applyNumberFormat="1" applyFont="1" applyFill="1" applyBorder="1"/>
    <xf numFmtId="8" fontId="9" fillId="11" borderId="17" xfId="0" applyNumberFormat="1" applyFont="1" applyFill="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32" xfId="0" applyNumberFormat="1" applyFont="1" applyFill="1" applyBorder="1"/>
    <xf numFmtId="3" fontId="9" fillId="0" borderId="33" xfId="0" applyNumberFormat="1" applyFont="1" applyBorder="1"/>
    <xf numFmtId="3" fontId="9" fillId="10" borderId="33" xfId="0" applyNumberFormat="1" applyFont="1" applyFill="1" applyBorder="1"/>
    <xf numFmtId="3" fontId="9" fillId="11" borderId="33" xfId="0" applyNumberFormat="1" applyFont="1" applyFill="1" applyBorder="1"/>
    <xf numFmtId="9" fontId="7" fillId="0" borderId="34" xfId="0" applyNumberFormat="1" applyFont="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3" fontId="9" fillId="10" borderId="38" xfId="0" applyNumberFormat="1" applyFont="1" applyFill="1" applyBorder="1"/>
    <xf numFmtId="3" fontId="9" fillId="10" borderId="39" xfId="0" applyNumberFormat="1" applyFont="1" applyFill="1" applyBorder="1"/>
    <xf numFmtId="3" fontId="9" fillId="10" borderId="40" xfId="0" applyNumberFormat="1" applyFont="1" applyFill="1" applyBorder="1"/>
    <xf numFmtId="3" fontId="9" fillId="0" borderId="41" xfId="0" applyNumberFormat="1" applyFont="1" applyBorder="1"/>
    <xf numFmtId="3" fontId="9" fillId="0" borderId="42" xfId="0" applyNumberFormat="1" applyFont="1" applyBorder="1"/>
    <xf numFmtId="3" fontId="9" fillId="10" borderId="41" xfId="0" applyNumberFormat="1" applyFont="1" applyFill="1" applyBorder="1"/>
    <xf numFmtId="3" fontId="9" fillId="10" borderId="42" xfId="0" applyNumberFormat="1" applyFont="1" applyFill="1" applyBorder="1"/>
    <xf numFmtId="3" fontId="9" fillId="11" borderId="41" xfId="0" applyNumberFormat="1" applyFont="1" applyFill="1" applyBorder="1"/>
    <xf numFmtId="3" fontId="9" fillId="11" borderId="42" xfId="0" applyNumberFormat="1" applyFont="1" applyFill="1" applyBorder="1"/>
    <xf numFmtId="9" fontId="7" fillId="0" borderId="43" xfId="0" applyNumberFormat="1" applyFont="1" applyBorder="1"/>
    <xf numFmtId="9" fontId="7" fillId="0" borderId="44" xfId="0" applyNumberFormat="1" applyFont="1" applyBorder="1"/>
    <xf numFmtId="9" fontId="7" fillId="0" borderId="45"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0" fontId="9" fillId="10" borderId="28" xfId="1" applyNumberFormat="1" applyFont="1" applyFill="1" applyBorder="1"/>
    <xf numFmtId="10" fontId="9" fillId="0" borderId="29" xfId="1" applyNumberFormat="1" applyFont="1" applyBorder="1"/>
    <xf numFmtId="10" fontId="9" fillId="10" borderId="30" xfId="1" applyNumberFormat="1" applyFont="1" applyFill="1" applyBorder="1"/>
    <xf numFmtId="10" fontId="9" fillId="11" borderId="31" xfId="1" applyNumberFormat="1" applyFont="1" applyFill="1" applyBorder="1"/>
    <xf numFmtId="9" fontId="7" fillId="0" borderId="0" xfId="0" applyNumberFormat="1" applyFont="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170"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9" fontId="0" fillId="0" borderId="0" xfId="0" applyNumberFormat="1"/>
    <xf numFmtId="44" fontId="7" fillId="0" borderId="0" xfId="0" applyNumberFormat="1" applyFont="1"/>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TCOS'!$B$36:$AA$36</c:f>
              <c:strCache>
                <c:ptCount val="26"/>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strCache>
            </c:strRef>
          </c:cat>
          <c:val>
            <c:numRef>
              <c:f>'ACOS &amp; TCOS'!$B$37:$AA$37</c:f>
              <c:numCache>
                <c:formatCode>#,##0</c:formatCode>
                <c:ptCount val="26"/>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598894</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TCOS'!$B$36:$AA$36</c:f>
              <c:strCache>
                <c:ptCount val="26"/>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strCache>
            </c:strRef>
          </c:cat>
          <c:val>
            <c:numRef>
              <c:f>'ACOS &amp; TCOS'!$B$38:$AA$38</c:f>
              <c:numCache>
                <c:formatCode>#,##0</c:formatCode>
                <c:ptCount val="26"/>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246216</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TCOS'!$B$36:$AA$36</c:f>
              <c:strCache>
                <c:ptCount val="26"/>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strCache>
            </c:strRef>
          </c:cat>
          <c:val>
            <c:numRef>
              <c:f>'ACOS &amp; TCOS'!$B$39:$AA$39</c:f>
              <c:numCache>
                <c:formatCode>#,##0</c:formatCode>
                <c:ptCount val="26"/>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168499</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TCOS'!$B$36:$AA$36</c:f>
              <c:strCache>
                <c:ptCount val="26"/>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strCache>
            </c:strRef>
          </c:cat>
          <c:val>
            <c:numRef>
              <c:f>'ACOS &amp; TCOS'!$B$40:$AA$40</c:f>
              <c:numCache>
                <c:formatCode>#,##0</c:formatCode>
                <c:ptCount val="26"/>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1013609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201524076747006E-2"/>
          <c:y val="8.5358780667105671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CVR!$A$432:$N$432</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strCache>
            </c:strRef>
          </c:cat>
          <c:val>
            <c:numRef>
              <c:f>CVR!$A$433:$N$433</c:f>
              <c:numCache>
                <c:formatCode>0.00%</c:formatCode>
                <c:ptCount val="14"/>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755837</xdr:colOff>
      <xdr:row>46</xdr:row>
      <xdr:rowOff>172568</xdr:rowOff>
    </xdr:from>
    <xdr:to>
      <xdr:col>26</xdr:col>
      <xdr:colOff>302559</xdr:colOff>
      <xdr:row>97</xdr:row>
      <xdr:rowOff>134471</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207308</xdr:colOff>
      <xdr:row>438</xdr:row>
      <xdr:rowOff>57148</xdr:rowOff>
    </xdr:from>
    <xdr:to>
      <xdr:col>11</xdr:col>
      <xdr:colOff>1333500</xdr:colOff>
      <xdr:row>470</xdr:row>
      <xdr:rowOff>145676</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3"/>
  <sheetViews>
    <sheetView zoomScale="85" zoomScaleNormal="85" workbookViewId="0">
      <pane xSplit="2" ySplit="2" topLeftCell="C214" activePane="bottomRight" state="frozen"/>
      <selection pane="bottomRight" activeCell="U241" sqref="U241"/>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67" customWidth="1"/>
    <col min="22" max="22" width="10.28515625" customWidth="1"/>
    <col min="23" max="24" width="9.28515625" customWidth="1"/>
    <col min="25" max="25" width="9.5703125" customWidth="1"/>
    <col min="26" max="26" width="15.85546875" customWidth="1"/>
    <col min="27" max="27" width="15.42578125" customWidth="1"/>
    <col min="28" max="28" width="9.7109375" customWidth="1"/>
  </cols>
  <sheetData>
    <row r="1" spans="1:28" ht="14.45" customHeight="1">
      <c r="B1" s="171">
        <v>45658</v>
      </c>
      <c r="C1" s="170"/>
      <c r="E1" s="171">
        <v>45689</v>
      </c>
      <c r="F1" s="170"/>
      <c r="J1" s="172"/>
      <c r="K1" s="172"/>
      <c r="M1" s="173" t="s">
        <v>0</v>
      </c>
      <c r="N1" s="173"/>
      <c r="O1" s="1"/>
      <c r="Q1" s="10" t="s">
        <v>1</v>
      </c>
      <c r="R1" s="1"/>
      <c r="U1" s="170" t="s">
        <v>2</v>
      </c>
      <c r="V1" s="170"/>
      <c r="Z1" s="170" t="s">
        <v>3</v>
      </c>
      <c r="AA1" s="170"/>
    </row>
    <row r="2" spans="1:28">
      <c r="A2" s="3" t="s">
        <v>4</v>
      </c>
      <c r="B2" s="3" t="s">
        <v>5</v>
      </c>
      <c r="C2" s="3" t="s">
        <v>6</v>
      </c>
      <c r="E2" s="3" t="s">
        <v>5</v>
      </c>
      <c r="F2" s="3" t="s">
        <v>6</v>
      </c>
      <c r="G2" t="s">
        <v>7</v>
      </c>
      <c r="J2" t="s">
        <v>8</v>
      </c>
      <c r="K2" t="s">
        <v>9</v>
      </c>
      <c r="M2" t="s">
        <v>10</v>
      </c>
      <c r="N2" t="s">
        <v>11</v>
      </c>
      <c r="Q2" s="5" t="s">
        <v>12</v>
      </c>
      <c r="U2" s="167" t="s">
        <v>13</v>
      </c>
      <c r="V2" t="s">
        <v>9</v>
      </c>
      <c r="W2" t="s">
        <v>14</v>
      </c>
      <c r="X2" t="s">
        <v>15</v>
      </c>
      <c r="Y2" t="s">
        <v>16</v>
      </c>
      <c r="Z2" t="s">
        <v>10</v>
      </c>
      <c r="AA2" t="s">
        <v>11</v>
      </c>
      <c r="AB2" t="s">
        <v>9</v>
      </c>
    </row>
    <row r="3" spans="1:28" ht="13.9" customHeight="1">
      <c r="A3" t="s">
        <v>17</v>
      </c>
      <c r="B3" t="s">
        <v>18</v>
      </c>
      <c r="C3" s="30">
        <v>5683</v>
      </c>
      <c r="E3" t="s">
        <v>18</v>
      </c>
      <c r="F3" s="30">
        <v>14987</v>
      </c>
      <c r="G3" t="b">
        <f>IF(B3=E3,TRUE,FALSE)</f>
        <v>1</v>
      </c>
      <c r="J3">
        <f>F3-C3</f>
        <v>9304</v>
      </c>
      <c r="K3" s="4">
        <f>F3/C3-1</f>
        <v>1.6371634699982405</v>
      </c>
      <c r="M3" s="5">
        <v>4469.12</v>
      </c>
      <c r="N3" s="5">
        <v>5594.85</v>
      </c>
      <c r="Q3" s="5">
        <v>73540.039999999994</v>
      </c>
      <c r="U3" s="167">
        <f>N3-M3</f>
        <v>1125.7300000000005</v>
      </c>
      <c r="V3" s="4">
        <f>IF(M3=0,0,N3/M3-1)</f>
        <v>0.25189075254188764</v>
      </c>
      <c r="W3">
        <v>0.19133637400228051</v>
      </c>
      <c r="X3">
        <f>N3/F3</f>
        <v>0.37331353839994663</v>
      </c>
      <c r="Y3">
        <f>X3-W3</f>
        <v>0.18197716439766612</v>
      </c>
      <c r="Z3" s="18">
        <v>169222.08</v>
      </c>
      <c r="AA3" s="18">
        <v>549991.22</v>
      </c>
      <c r="AB3" s="4">
        <f>AA3/Z3-1</f>
        <v>2.2501149968136547</v>
      </c>
    </row>
    <row r="4" spans="1:28" ht="13.9" customHeight="1">
      <c r="A4" t="s">
        <v>19</v>
      </c>
      <c r="B4" t="s">
        <v>20</v>
      </c>
      <c r="C4" s="30">
        <v>3471</v>
      </c>
      <c r="E4" t="s">
        <v>20</v>
      </c>
      <c r="F4" s="30">
        <v>7271</v>
      </c>
      <c r="G4" t="b">
        <f>IF(B4=E4,TRUE,FALSE)</f>
        <v>1</v>
      </c>
      <c r="J4">
        <f>F4-C4</f>
        <v>3800</v>
      </c>
      <c r="K4" s="4">
        <f>F4/C4-1</f>
        <v>1.0947853644482857</v>
      </c>
      <c r="M4" s="5">
        <v>6310.28</v>
      </c>
      <c r="N4" s="5">
        <v>8084.91</v>
      </c>
      <c r="Q4" s="5">
        <v>62526.85</v>
      </c>
      <c r="U4" s="167">
        <f>N4-M4</f>
        <v>1774.63</v>
      </c>
      <c r="V4" s="4">
        <f>IF(M4=0,0,N4/M4-1)</f>
        <v>0.28122840824812845</v>
      </c>
      <c r="W4">
        <v>1.2672907746204749</v>
      </c>
      <c r="X4">
        <f>N4/F4</f>
        <v>1.1119392105625086</v>
      </c>
      <c r="Y4">
        <f>X4-W4</f>
        <v>-0.15535156405796635</v>
      </c>
      <c r="Z4" s="18">
        <v>103926.5</v>
      </c>
      <c r="AA4" s="18">
        <v>217736.5</v>
      </c>
      <c r="AB4" s="4">
        <f>AA4/Z4-1</f>
        <v>1.0951008645533142</v>
      </c>
    </row>
    <row r="5" spans="1:28" ht="13.9" customHeight="1">
      <c r="A5" t="s">
        <v>21</v>
      </c>
      <c r="B5" t="s">
        <v>22</v>
      </c>
      <c r="C5" s="30">
        <v>23447</v>
      </c>
      <c r="E5" t="s">
        <v>22</v>
      </c>
      <c r="F5" s="30">
        <v>26241</v>
      </c>
      <c r="G5" t="b">
        <f>IF(B5=E5,TRUE,FALSE)</f>
        <v>1</v>
      </c>
      <c r="J5">
        <f>F5-C5</f>
        <v>2794</v>
      </c>
      <c r="K5" s="4">
        <f>F5/C5-1</f>
        <v>0.11916236618757203</v>
      </c>
      <c r="M5" s="5">
        <v>26859.98</v>
      </c>
      <c r="N5" s="5">
        <v>30072.34</v>
      </c>
      <c r="Q5" s="5">
        <v>190939.01</v>
      </c>
      <c r="U5" s="167">
        <f>N5-M5</f>
        <v>3212.3600000000006</v>
      </c>
      <c r="V5" s="4">
        <f>IF(M5=0,0,N5/M5-1)</f>
        <v>0.119596514963898</v>
      </c>
      <c r="W5">
        <v>0.71509591380896076</v>
      </c>
      <c r="X5">
        <f>N5/F5</f>
        <v>1.1460058686787851</v>
      </c>
      <c r="Y5">
        <f>X5-W5</f>
        <v>0.43090995486982431</v>
      </c>
      <c r="Z5" s="18">
        <v>577256.19000000006</v>
      </c>
      <c r="AA5" s="18">
        <v>622480.02</v>
      </c>
      <c r="AB5" s="4">
        <f>AA5/Z5-1</f>
        <v>7.8342737216901881E-2</v>
      </c>
    </row>
    <row r="6" spans="1:28">
      <c r="A6" t="s">
        <v>23</v>
      </c>
      <c r="B6" t="s">
        <v>24</v>
      </c>
      <c r="C6" s="30">
        <v>9494</v>
      </c>
      <c r="E6" t="s">
        <v>24</v>
      </c>
      <c r="F6" s="30">
        <v>11641</v>
      </c>
      <c r="G6" t="b">
        <f>IF(B6=E6,TRUE,FALSE)</f>
        <v>1</v>
      </c>
      <c r="J6">
        <f>F6-C6</f>
        <v>2147</v>
      </c>
      <c r="K6" s="4">
        <f>F6/C6-1</f>
        <v>0.22614282704866229</v>
      </c>
      <c r="M6" s="5">
        <v>8650.24</v>
      </c>
      <c r="N6" s="5">
        <v>10505.25</v>
      </c>
      <c r="Q6" s="5">
        <v>116989.1</v>
      </c>
      <c r="U6" s="167">
        <f>N6-M6</f>
        <v>1855.0100000000002</v>
      </c>
      <c r="V6" s="4">
        <f>IF(M6=0,0,N6/M6-1)</f>
        <v>0.21444607317253639</v>
      </c>
      <c r="W6">
        <v>0.88287947293631308</v>
      </c>
      <c r="X6">
        <f>N6/F6</f>
        <v>0.90243535778713169</v>
      </c>
      <c r="Y6">
        <f>X6-W6</f>
        <v>1.9555884850818606E-2</v>
      </c>
      <c r="Z6" s="18">
        <v>284315.34999999998</v>
      </c>
      <c r="AA6" s="18">
        <v>348528.15</v>
      </c>
      <c r="AB6" s="4">
        <f>AA6/Z6-1</f>
        <v>0.22585062677762591</v>
      </c>
    </row>
    <row r="7" spans="1:28" ht="13.9" customHeight="1">
      <c r="A7" t="s">
        <v>25</v>
      </c>
      <c r="B7" t="s">
        <v>26</v>
      </c>
      <c r="C7" s="30">
        <v>301</v>
      </c>
      <c r="E7" t="s">
        <v>26</v>
      </c>
      <c r="F7" s="30">
        <v>2129</v>
      </c>
      <c r="G7" t="b">
        <f>IF(B7=E7,TRUE,FALSE)</f>
        <v>1</v>
      </c>
      <c r="J7" s="27">
        <f>F7-C7</f>
        <v>1828</v>
      </c>
      <c r="K7" s="4">
        <f>F7/C7-1</f>
        <v>6.073089700996678</v>
      </c>
      <c r="M7" s="5">
        <v>0</v>
      </c>
      <c r="N7" s="5">
        <v>3078.97</v>
      </c>
      <c r="Q7" s="5">
        <v>25224.78</v>
      </c>
      <c r="U7" s="167">
        <f>N7-M7</f>
        <v>3078.97</v>
      </c>
      <c r="V7" s="4">
        <f>IF(M7=0,0,N7/M7-1)</f>
        <v>0</v>
      </c>
      <c r="W7">
        <v>1.3098830409356725</v>
      </c>
      <c r="X7">
        <f>N7/F7</f>
        <v>1.4462047909816815</v>
      </c>
      <c r="Y7">
        <f>X7-W7</f>
        <v>0.13632175004600899</v>
      </c>
      <c r="Z7" s="18">
        <v>6016.99</v>
      </c>
      <c r="AA7" s="18">
        <v>42538.720000000001</v>
      </c>
      <c r="AB7" s="4">
        <f>AA7/Z7-1</f>
        <v>6.0697674418604652</v>
      </c>
    </row>
    <row r="8" spans="1:28" ht="14.45" customHeight="1">
      <c r="A8" t="s">
        <v>27</v>
      </c>
      <c r="B8" t="s">
        <v>28</v>
      </c>
      <c r="C8" s="30">
        <v>23963</v>
      </c>
      <c r="E8" t="s">
        <v>28</v>
      </c>
      <c r="F8" s="30">
        <v>25786</v>
      </c>
      <c r="G8" t="b">
        <f>IF(B8=E8,TRUE,FALSE)</f>
        <v>1</v>
      </c>
      <c r="J8">
        <f>F8-C8</f>
        <v>1823</v>
      </c>
      <c r="K8" s="4">
        <f>F8/C8-1</f>
        <v>7.6075616575554061E-2</v>
      </c>
      <c r="M8" s="5">
        <v>18852.990000000002</v>
      </c>
      <c r="N8" s="5">
        <v>18542.5</v>
      </c>
      <c r="Q8" s="11">
        <v>167032.63</v>
      </c>
      <c r="U8" s="167">
        <f>N8-M8</f>
        <v>-310.4900000000016</v>
      </c>
      <c r="V8" s="4">
        <f>IF(M8=0,0,N8/M8-1)</f>
        <v>-1.6469005712091422E-2</v>
      </c>
      <c r="W8">
        <v>0.87671431206196981</v>
      </c>
      <c r="X8">
        <f>N8/F8</f>
        <v>0.71909175521600865</v>
      </c>
      <c r="Y8">
        <f>X8-W8</f>
        <v>-0.15762255684596116</v>
      </c>
      <c r="Z8" s="18">
        <v>1157602.92</v>
      </c>
      <c r="AA8" s="18">
        <v>1179143.4099999999</v>
      </c>
      <c r="AB8" s="4">
        <f>AA8/Z8-1</f>
        <v>1.8607840070064885E-2</v>
      </c>
    </row>
    <row r="9" spans="1:28" ht="13.9" customHeight="1">
      <c r="A9" t="s">
        <v>29</v>
      </c>
      <c r="B9" t="s">
        <v>30</v>
      </c>
      <c r="C9" s="30">
        <v>16650</v>
      </c>
      <c r="E9" t="s">
        <v>30</v>
      </c>
      <c r="F9" s="30">
        <v>18410</v>
      </c>
      <c r="G9" t="b">
        <f>IF(B9=E9,TRUE,FALSE)</f>
        <v>1</v>
      </c>
      <c r="J9">
        <f>F9-C9</f>
        <v>1760</v>
      </c>
      <c r="K9" s="4">
        <f>F9/C9-1</f>
        <v>0.10570570570570581</v>
      </c>
      <c r="M9" s="5">
        <v>32408.639999999999</v>
      </c>
      <c r="N9" s="5">
        <v>21794.33</v>
      </c>
      <c r="Q9" s="11">
        <v>192738.44</v>
      </c>
      <c r="U9" s="167">
        <f>N9-M9</f>
        <v>-10614.309999999998</v>
      </c>
      <c r="V9" s="4">
        <f>IF(M9=0,0,N9/M9-1)</f>
        <v>-0.32751482320763836</v>
      </c>
      <c r="W9">
        <v>1.5785046484221601</v>
      </c>
      <c r="X9">
        <f>N9/F9</f>
        <v>1.1838310700706138</v>
      </c>
      <c r="Y9">
        <f>X9-W9</f>
        <v>-0.39467357835154626</v>
      </c>
      <c r="Z9" s="18">
        <v>567942.29</v>
      </c>
      <c r="AA9" s="18">
        <v>601245.49</v>
      </c>
      <c r="AB9" s="4">
        <f>AA9/Z9-1</f>
        <v>5.8638352146659134E-2</v>
      </c>
    </row>
    <row r="10" spans="1:28" ht="13.9" customHeight="1">
      <c r="A10" t="s">
        <v>31</v>
      </c>
      <c r="B10" t="s">
        <v>32</v>
      </c>
      <c r="C10" s="30">
        <v>5175</v>
      </c>
      <c r="E10" t="s">
        <v>32</v>
      </c>
      <c r="F10" s="30">
        <v>6929</v>
      </c>
      <c r="G10" t="b">
        <f>IF(B10=E10,TRUE,FALSE)</f>
        <v>1</v>
      </c>
      <c r="J10">
        <f>F10-C10</f>
        <v>1754</v>
      </c>
      <c r="K10" s="4">
        <f>F10/C10-1</f>
        <v>0.33893719806763278</v>
      </c>
      <c r="M10" s="5">
        <v>9548.76</v>
      </c>
      <c r="N10" s="5">
        <v>10453.85</v>
      </c>
      <c r="Q10" s="5">
        <v>78182.44</v>
      </c>
      <c r="U10" s="167">
        <f>N10-M10</f>
        <v>905.09000000000015</v>
      </c>
      <c r="V10" s="4">
        <f>IF(M10=0,0,N10/M10-1)</f>
        <v>9.4786129298463973E-2</v>
      </c>
      <c r="W10">
        <v>1.6431257509010815</v>
      </c>
      <c r="X10">
        <f>N10/F10</f>
        <v>1.5087097705296579</v>
      </c>
      <c r="Y10">
        <f>X10-W10</f>
        <v>-0.13441598037142355</v>
      </c>
      <c r="Z10" s="18">
        <v>190883.7</v>
      </c>
      <c r="AA10" s="18">
        <v>256026.55</v>
      </c>
      <c r="AB10" s="4">
        <f>AA10/Z10-1</f>
        <v>0.34126984126984117</v>
      </c>
    </row>
    <row r="11" spans="1:28" ht="13.9" customHeight="1">
      <c r="A11" t="s">
        <v>33</v>
      </c>
      <c r="B11" t="s">
        <v>34</v>
      </c>
      <c r="C11" s="30">
        <v>2589</v>
      </c>
      <c r="E11" t="s">
        <v>34</v>
      </c>
      <c r="F11" s="30">
        <v>3689</v>
      </c>
      <c r="G11" t="b">
        <f>IF(B11=E11,TRUE,FALSE)</f>
        <v>1</v>
      </c>
      <c r="J11">
        <f>F11-C11</f>
        <v>1100</v>
      </c>
      <c r="K11" s="4">
        <f>F11/C11-1</f>
        <v>0.42487446890691394</v>
      </c>
      <c r="M11" s="5">
        <v>4457.82</v>
      </c>
      <c r="N11" s="5">
        <v>5998.01</v>
      </c>
      <c r="Q11" s="5">
        <v>46455.63</v>
      </c>
      <c r="U11" s="167">
        <f>N11-M11</f>
        <v>1540.1900000000005</v>
      </c>
      <c r="V11" s="4">
        <f>IF(M11=0,0,N11/M11-1)</f>
        <v>0.34550295884535509</v>
      </c>
      <c r="W11">
        <v>1.3695833333333334</v>
      </c>
      <c r="X11">
        <f>N11/F11</f>
        <v>1.6259175928435892</v>
      </c>
      <c r="Y11">
        <f>X11-W11</f>
        <v>0.25633425951025579</v>
      </c>
      <c r="Z11" s="18">
        <v>77360.850000000006</v>
      </c>
      <c r="AA11" s="18">
        <v>110465.59999999999</v>
      </c>
      <c r="AB11" s="4">
        <f>AA11/Z11-1</f>
        <v>0.42792639946432831</v>
      </c>
    </row>
    <row r="12" spans="1:28" ht="13.9" customHeight="1">
      <c r="A12" t="s">
        <v>35</v>
      </c>
      <c r="B12" t="s">
        <v>36</v>
      </c>
      <c r="C12" s="30">
        <v>10853</v>
      </c>
      <c r="E12" t="s">
        <v>36</v>
      </c>
      <c r="F12" s="30">
        <v>11862</v>
      </c>
      <c r="G12" t="b">
        <f>IF(B12=E12,TRUE,FALSE)</f>
        <v>1</v>
      </c>
      <c r="J12">
        <f>F12-C12</f>
        <v>1009</v>
      </c>
      <c r="K12" s="4">
        <f>F12/C12-1</f>
        <v>9.2969685801161051E-2</v>
      </c>
      <c r="M12" s="5">
        <v>7206.91</v>
      </c>
      <c r="N12" s="5">
        <v>7272.85</v>
      </c>
      <c r="Q12" s="5">
        <v>58800.959999999999</v>
      </c>
      <c r="U12" s="167">
        <f>N12-M12</f>
        <v>65.940000000000509</v>
      </c>
      <c r="V12" s="4">
        <f>IF(M12=0,0,N12/M12-1)</f>
        <v>9.1495523046631888E-3</v>
      </c>
      <c r="W12">
        <v>0.55291637385804637</v>
      </c>
      <c r="X12">
        <f>N12/F12</f>
        <v>0.61312173326589114</v>
      </c>
      <c r="Y12">
        <f>X12-W12</f>
        <v>6.0205359407844772E-2</v>
      </c>
      <c r="Z12" s="18">
        <v>324094.64</v>
      </c>
      <c r="AA12" s="18">
        <v>354189.71</v>
      </c>
      <c r="AB12" s="4">
        <f>AA12/Z12-1</f>
        <v>9.2858894550061022E-2</v>
      </c>
    </row>
    <row r="13" spans="1:28" ht="13.9" customHeight="1">
      <c r="A13" s="59" t="s">
        <v>37</v>
      </c>
      <c r="B13" s="39" t="s">
        <v>38</v>
      </c>
      <c r="C13" s="30">
        <v>988</v>
      </c>
      <c r="E13" s="39" t="s">
        <v>38</v>
      </c>
      <c r="F13" s="30">
        <v>1969</v>
      </c>
      <c r="G13" t="b">
        <f>IF(B13=E13,TRUE,FALSE)</f>
        <v>1</v>
      </c>
      <c r="J13">
        <f>F13-C13</f>
        <v>981</v>
      </c>
      <c r="K13" s="4">
        <f>F13/C13-1</f>
        <v>0.99291497975708509</v>
      </c>
      <c r="M13" s="5">
        <v>1156.5899999999999</v>
      </c>
      <c r="N13" s="5">
        <v>2178.64</v>
      </c>
      <c r="Q13" s="5">
        <v>11976.72</v>
      </c>
      <c r="U13" s="167">
        <f>N13-M13</f>
        <v>1022.05</v>
      </c>
      <c r="V13" s="4">
        <f>IF(M13=0,0,N13/M13-1)</f>
        <v>0.88367528683457408</v>
      </c>
      <c r="W13">
        <v>0.64057142857142857</v>
      </c>
      <c r="X13">
        <f>N13/F13</f>
        <v>1.1064702894870493</v>
      </c>
      <c r="Y13">
        <f>X13-W13</f>
        <v>0.46589886091562072</v>
      </c>
      <c r="Z13" s="18">
        <v>9027.2800000000007</v>
      </c>
      <c r="AA13" s="18">
        <v>18645.349999999999</v>
      </c>
      <c r="AB13" s="4">
        <f>AA13/Z13-1</f>
        <v>1.0654449623806945</v>
      </c>
    </row>
    <row r="14" spans="1:28" ht="13.9" customHeight="1">
      <c r="A14" t="s">
        <v>39</v>
      </c>
      <c r="B14" t="s">
        <v>40</v>
      </c>
      <c r="C14" s="30">
        <v>19668</v>
      </c>
      <c r="E14" t="s">
        <v>40</v>
      </c>
      <c r="F14" s="30">
        <v>20605</v>
      </c>
      <c r="G14" t="b">
        <f>IF(B14=E14,TRUE,FALSE)</f>
        <v>1</v>
      </c>
      <c r="J14">
        <f>F14-C14</f>
        <v>937</v>
      </c>
      <c r="K14" s="4">
        <f>F14/C14-1</f>
        <v>4.7640837909294298E-2</v>
      </c>
      <c r="M14" s="5">
        <v>18711.54</v>
      </c>
      <c r="N14" s="5">
        <v>19405.060000000001</v>
      </c>
      <c r="Q14" s="11">
        <v>127799.96</v>
      </c>
      <c r="U14" s="167">
        <f>N14-M14</f>
        <v>693.52000000000044</v>
      </c>
      <c r="V14" s="4">
        <f>IF(M14=0,0,N14/M14-1)</f>
        <v>3.7063758514798817E-2</v>
      </c>
      <c r="W14">
        <v>0.63227994847574065</v>
      </c>
      <c r="X14">
        <f>N14/F14</f>
        <v>0.94176462023780638</v>
      </c>
      <c r="Y14">
        <f>X14-W14</f>
        <v>0.30948467176206573</v>
      </c>
      <c r="Z14" s="18">
        <v>547210.14</v>
      </c>
      <c r="AA14" s="18">
        <v>549691.31999999995</v>
      </c>
      <c r="AB14" s="4">
        <f>AA14/Z14-1</f>
        <v>4.5342361528606379E-3</v>
      </c>
    </row>
    <row r="15" spans="1:28" ht="13.9" customHeight="1">
      <c r="A15" t="s">
        <v>41</v>
      </c>
      <c r="B15" t="s">
        <v>42</v>
      </c>
      <c r="C15" s="30">
        <v>3693</v>
      </c>
      <c r="E15" t="s">
        <v>42</v>
      </c>
      <c r="F15" s="30">
        <v>4617</v>
      </c>
      <c r="G15" t="b">
        <f>IF(B15=E15,TRUE,FALSE)</f>
        <v>1</v>
      </c>
      <c r="J15">
        <f>F15-C15</f>
        <v>924</v>
      </c>
      <c r="K15" s="4">
        <f>F15/C15-1</f>
        <v>0.25020308692120219</v>
      </c>
      <c r="M15" s="5">
        <v>5989.64</v>
      </c>
      <c r="N15" s="5">
        <v>5247.92</v>
      </c>
      <c r="Q15" s="5">
        <v>32344.67</v>
      </c>
      <c r="U15" s="167">
        <f>N15-M15</f>
        <v>-741.72000000000025</v>
      </c>
      <c r="V15" s="4">
        <f>IF(M15=0,0,N15/M15-1)</f>
        <v>-0.12383381972873164</v>
      </c>
      <c r="W15">
        <v>1.8029941048712381</v>
      </c>
      <c r="X15">
        <f>N15/F15</f>
        <v>1.1366515053064761</v>
      </c>
      <c r="Y15">
        <f>X15-W15</f>
        <v>-0.66634259956476205</v>
      </c>
      <c r="Z15" s="18">
        <v>96016.83</v>
      </c>
      <c r="AA15" s="18">
        <v>113141.6</v>
      </c>
      <c r="AB15" s="4">
        <f>AA15/Z15-1</f>
        <v>0.17835175354154065</v>
      </c>
    </row>
    <row r="16" spans="1:28" ht="13.9" customHeight="1">
      <c r="A16" t="s">
        <v>43</v>
      </c>
      <c r="B16" t="s">
        <v>44</v>
      </c>
      <c r="C16" s="30">
        <v>3909</v>
      </c>
      <c r="E16" t="s">
        <v>44</v>
      </c>
      <c r="F16" s="30">
        <v>4818</v>
      </c>
      <c r="G16" t="b">
        <f>IF(B16=E16,TRUE,FALSE)</f>
        <v>1</v>
      </c>
      <c r="J16">
        <f>F16-C16</f>
        <v>909</v>
      </c>
      <c r="K16" s="4">
        <f>F16/C16-1</f>
        <v>0.23254029163468926</v>
      </c>
      <c r="M16" s="5">
        <v>6362.19</v>
      </c>
      <c r="N16" s="5">
        <v>8527.9500000000007</v>
      </c>
      <c r="Q16" s="5">
        <v>55994.03</v>
      </c>
      <c r="U16" s="167">
        <f>N16-M16</f>
        <v>2165.7600000000011</v>
      </c>
      <c r="V16" s="4">
        <f>IF(M16=0,0,N16/M16-1)</f>
        <v>0.3404110848622881</v>
      </c>
      <c r="W16">
        <v>1.2477585496497734</v>
      </c>
      <c r="X16">
        <f>N16/F16</f>
        <v>1.7700186799501869</v>
      </c>
      <c r="Y16">
        <f>X16-W16</f>
        <v>0.52226013030041352</v>
      </c>
      <c r="Z16" s="18">
        <v>109251.55</v>
      </c>
      <c r="AA16" s="18">
        <v>137005.62</v>
      </c>
      <c r="AB16" s="4">
        <f>AA16/Z16-1</f>
        <v>0.25403822645994478</v>
      </c>
    </row>
    <row r="17" spans="1:28" ht="14.25" customHeight="1">
      <c r="A17" t="s">
        <v>45</v>
      </c>
      <c r="B17" t="s">
        <v>46</v>
      </c>
      <c r="C17" s="30">
        <v>9436</v>
      </c>
      <c r="E17" t="s">
        <v>46</v>
      </c>
      <c r="F17" s="30">
        <v>10249</v>
      </c>
      <c r="G17" t="b">
        <f>IF(B17=E17,TRUE,FALSE)</f>
        <v>1</v>
      </c>
      <c r="J17">
        <f>F17-C17</f>
        <v>813</v>
      </c>
      <c r="K17" s="4">
        <f>F17/C17-1</f>
        <v>8.6159389571852429E-2</v>
      </c>
      <c r="M17" s="5">
        <v>13851.32</v>
      </c>
      <c r="N17" s="5">
        <v>16634</v>
      </c>
      <c r="Q17" s="5">
        <v>105672.61</v>
      </c>
      <c r="U17" s="167">
        <f>N17-M17</f>
        <v>2782.6800000000003</v>
      </c>
      <c r="V17" s="4">
        <f>IF(M17=0,0,N17/M17-1)</f>
        <v>0.20089637666301852</v>
      </c>
      <c r="W17">
        <v>1.2015696141864365</v>
      </c>
      <c r="X17">
        <f>N17/F17</f>
        <v>1.6229876085471753</v>
      </c>
      <c r="Y17">
        <f>X17-W17</f>
        <v>0.42141799436073879</v>
      </c>
      <c r="Z17" s="18">
        <v>319778.88</v>
      </c>
      <c r="AA17" s="18">
        <v>347304.75999999995</v>
      </c>
      <c r="AB17" s="4">
        <f>AA17/Z17-1</f>
        <v>8.6077854797665054E-2</v>
      </c>
    </row>
    <row r="18" spans="1:28" ht="13.9" customHeight="1">
      <c r="A18" t="s">
        <v>47</v>
      </c>
      <c r="B18" t="s">
        <v>48</v>
      </c>
      <c r="C18" s="30">
        <v>2371</v>
      </c>
      <c r="E18" t="s">
        <v>48</v>
      </c>
      <c r="F18" s="30">
        <v>3176</v>
      </c>
      <c r="G18" t="b">
        <f>IF(B18=E18,TRUE,FALSE)</f>
        <v>1</v>
      </c>
      <c r="J18">
        <f>F18-C18</f>
        <v>805</v>
      </c>
      <c r="K18" s="4">
        <f>F18/C18-1</f>
        <v>0.33951919021509913</v>
      </c>
      <c r="M18" s="5">
        <v>3657.23</v>
      </c>
      <c r="N18" s="5">
        <v>4296.8900000000003</v>
      </c>
      <c r="Q18" s="5">
        <v>18597.71</v>
      </c>
      <c r="U18" s="167">
        <f>N18-M18</f>
        <v>639.66000000000031</v>
      </c>
      <c r="V18" s="4">
        <f>IF(M18=0,0,N18/M18-1)</f>
        <v>0.17490286364270236</v>
      </c>
      <c r="W18">
        <v>1.5559154078549848</v>
      </c>
      <c r="X18">
        <f>N18/F18</f>
        <v>1.3529250629722922</v>
      </c>
      <c r="Y18">
        <f>X18-W18</f>
        <v>-0.20299034488269263</v>
      </c>
      <c r="Z18" s="18">
        <v>69008.69</v>
      </c>
      <c r="AA18" s="18">
        <v>88094.74</v>
      </c>
      <c r="AB18" s="4">
        <f>AA18/Z18-1</f>
        <v>0.27657458792508605</v>
      </c>
    </row>
    <row r="19" spans="1:28" ht="13.9" customHeight="1">
      <c r="A19" s="58" t="s">
        <v>49</v>
      </c>
      <c r="B19" s="39" t="s">
        <v>50</v>
      </c>
      <c r="C19" s="30">
        <v>1485</v>
      </c>
      <c r="E19" s="39" t="s">
        <v>50</v>
      </c>
      <c r="F19" s="30">
        <v>2274</v>
      </c>
      <c r="G19" t="b">
        <f>IF(B19=E19,TRUE,FALSE)</f>
        <v>1</v>
      </c>
      <c r="J19" s="27">
        <f>F19-C19</f>
        <v>789</v>
      </c>
      <c r="K19" s="4">
        <f>F19/C19-1</f>
        <v>0.5313131313131314</v>
      </c>
      <c r="M19" s="5">
        <v>2847.3</v>
      </c>
      <c r="N19" s="5">
        <v>2660.71</v>
      </c>
      <c r="Q19" s="5">
        <v>14892.53</v>
      </c>
      <c r="U19" s="167">
        <f>N19-M19</f>
        <v>-186.59000000000015</v>
      </c>
      <c r="V19" s="4">
        <f>IF(M19=0,0,N19/M19-1)</f>
        <v>-6.5532258630983775E-2</v>
      </c>
      <c r="W19">
        <v>4.174689655172414</v>
      </c>
      <c r="X19">
        <f>N19/F19</f>
        <v>1.170057167985928</v>
      </c>
      <c r="Y19">
        <f>X19-W19</f>
        <v>-3.0046324871864858</v>
      </c>
      <c r="Z19" s="18">
        <v>29665.16</v>
      </c>
      <c r="AA19" s="18">
        <v>45372.28</v>
      </c>
      <c r="AB19" s="4">
        <f>AA19/Z19-1</f>
        <v>0.52948037360998557</v>
      </c>
    </row>
    <row r="20" spans="1:28" ht="13.9" customHeight="1">
      <c r="A20" t="s">
        <v>51</v>
      </c>
      <c r="B20" t="s">
        <v>52</v>
      </c>
      <c r="C20" s="30">
        <v>5630</v>
      </c>
      <c r="E20" t="s">
        <v>52</v>
      </c>
      <c r="F20" s="30">
        <v>6399</v>
      </c>
      <c r="G20" t="b">
        <f>IF(B20=E20,TRUE,FALSE)</f>
        <v>1</v>
      </c>
      <c r="J20">
        <f>F20-C20</f>
        <v>769</v>
      </c>
      <c r="K20" s="4">
        <f>F20/C20-1</f>
        <v>0.13658969804618115</v>
      </c>
      <c r="M20" s="5">
        <v>7909.52</v>
      </c>
      <c r="N20" s="5">
        <v>1838.47</v>
      </c>
      <c r="Q20" s="5">
        <v>10730.77</v>
      </c>
      <c r="U20" s="167">
        <f>N20-M20</f>
        <v>-6071.05</v>
      </c>
      <c r="V20" s="4">
        <f>IF(M20=0,0,N20/M20-1)</f>
        <v>-0.76756238052372328</v>
      </c>
      <c r="W20">
        <v>1.4148154657293497</v>
      </c>
      <c r="X20">
        <f>N20/F20</f>
        <v>0.28730582903578683</v>
      </c>
      <c r="Y20">
        <f>X20-W20</f>
        <v>-1.1275096366935629</v>
      </c>
      <c r="Z20" s="18">
        <v>134790.6</v>
      </c>
      <c r="AA20" s="18">
        <v>153160.25</v>
      </c>
      <c r="AB20" s="4">
        <f>AA20/Z20-1</f>
        <v>0.13628287135749817</v>
      </c>
    </row>
    <row r="21" spans="1:28" ht="13.9" customHeight="1">
      <c r="A21" s="29" t="s">
        <v>53</v>
      </c>
      <c r="B21" t="s">
        <v>54</v>
      </c>
      <c r="C21" s="30">
        <v>1485</v>
      </c>
      <c r="E21" t="s">
        <v>54</v>
      </c>
      <c r="F21" s="30">
        <v>2223</v>
      </c>
      <c r="G21" t="b">
        <f>IF(B21=E21,TRUE,FALSE)</f>
        <v>1</v>
      </c>
      <c r="J21">
        <f>F21-C21</f>
        <v>738</v>
      </c>
      <c r="K21" s="4">
        <f>F21/C21-1</f>
        <v>0.49696969696969706</v>
      </c>
      <c r="M21" s="5">
        <v>3689.1</v>
      </c>
      <c r="N21" s="5">
        <v>4480.07</v>
      </c>
      <c r="Q21" s="5">
        <v>24206.19</v>
      </c>
      <c r="U21" s="167">
        <f>N21-M21</f>
        <v>790.9699999999998</v>
      </c>
      <c r="V21" s="4">
        <f>IF(M21=0,0,N21/M21-1)</f>
        <v>0.21440730801550512</v>
      </c>
      <c r="W21">
        <v>2.3469085173501574</v>
      </c>
      <c r="X21">
        <f>N21/F21</f>
        <v>2.0153261358524515</v>
      </c>
      <c r="Y21">
        <f>X21-W21</f>
        <v>-0.33158238149770591</v>
      </c>
      <c r="Z21" s="18">
        <v>35749.410000000003</v>
      </c>
      <c r="AA21" s="18">
        <v>56297.51</v>
      </c>
      <c r="AB21" s="4">
        <f>AA21/Z21-1</f>
        <v>0.57478151387673249</v>
      </c>
    </row>
    <row r="22" spans="1:28" ht="13.9" customHeight="1">
      <c r="A22" t="s">
        <v>55</v>
      </c>
      <c r="B22" t="s">
        <v>56</v>
      </c>
      <c r="C22" s="30">
        <v>3333</v>
      </c>
      <c r="E22" t="s">
        <v>56</v>
      </c>
      <c r="F22" s="30">
        <v>4069</v>
      </c>
      <c r="G22" t="b">
        <f>IF(B22=E22,TRUE,FALSE)</f>
        <v>1</v>
      </c>
      <c r="J22">
        <f>F22-C22</f>
        <v>736</v>
      </c>
      <c r="K22" s="4">
        <f>F22/C22-1</f>
        <v>0.22082208220822075</v>
      </c>
      <c r="M22" s="5">
        <v>5985.38</v>
      </c>
      <c r="N22" s="5">
        <v>7312.03</v>
      </c>
      <c r="Q22" s="5">
        <v>53243.32</v>
      </c>
      <c r="U22" s="167">
        <f>N22-M22</f>
        <v>1326.6499999999996</v>
      </c>
      <c r="V22" s="4">
        <f>IF(M22=0,0,N22/M22-1)</f>
        <v>0.22164841664188395</v>
      </c>
      <c r="W22">
        <v>1.9712396039603961</v>
      </c>
      <c r="X22">
        <f>N22/F22</f>
        <v>1.7970090931432783</v>
      </c>
      <c r="Y22">
        <f>X22-W22</f>
        <v>-0.17423051081711782</v>
      </c>
      <c r="Z22" s="18">
        <v>116383.5</v>
      </c>
      <c r="AA22" s="18">
        <v>142211.54999999999</v>
      </c>
      <c r="AB22" s="4">
        <f>AA22/Z22-1</f>
        <v>0.22192192192192173</v>
      </c>
    </row>
    <row r="23" spans="1:28" ht="13.9" customHeight="1">
      <c r="A23" t="s">
        <v>57</v>
      </c>
      <c r="B23" t="s">
        <v>58</v>
      </c>
      <c r="C23" s="30">
        <v>3497</v>
      </c>
      <c r="E23" t="s">
        <v>58</v>
      </c>
      <c r="F23" s="30">
        <v>4129</v>
      </c>
      <c r="G23" t="b">
        <f>IF(B23=E23,TRUE,FALSE)</f>
        <v>1</v>
      </c>
      <c r="J23" s="27">
        <f>F23-C23</f>
        <v>632</v>
      </c>
      <c r="K23" s="4">
        <f>F23/C23-1</f>
        <v>0.18072633686016593</v>
      </c>
      <c r="M23" s="5">
        <v>4640.71</v>
      </c>
      <c r="N23" s="5">
        <v>7431.5</v>
      </c>
      <c r="Q23" s="5">
        <v>37736.69</v>
      </c>
      <c r="U23" s="167">
        <f>N23-M23</f>
        <v>2790.79</v>
      </c>
      <c r="V23" s="4">
        <f>IF(M23=0,0,N23/M23-1)</f>
        <v>0.6013713418851856</v>
      </c>
      <c r="W23">
        <v>0.97959048877146626</v>
      </c>
      <c r="X23">
        <f>N23/F23</f>
        <v>1.7998304674255268</v>
      </c>
      <c r="Y23">
        <f>X23-W23</f>
        <v>0.82023997865406051</v>
      </c>
      <c r="Z23" s="18">
        <v>76553.8</v>
      </c>
      <c r="AA23" s="18">
        <v>90501.119999999995</v>
      </c>
      <c r="AB23" s="4">
        <f>AA23/Z23-1</f>
        <v>0.1821897802591117</v>
      </c>
    </row>
    <row r="24" spans="1:28" ht="13.9" customHeight="1">
      <c r="A24" t="s">
        <v>59</v>
      </c>
      <c r="B24" t="s">
        <v>60</v>
      </c>
      <c r="C24" s="30">
        <v>2424</v>
      </c>
      <c r="E24" t="s">
        <v>60</v>
      </c>
      <c r="F24" s="30">
        <v>3022</v>
      </c>
      <c r="G24" t="b">
        <f>IF(B24=E24,TRUE,FALSE)</f>
        <v>1</v>
      </c>
      <c r="J24">
        <f>F24-C24</f>
        <v>598</v>
      </c>
      <c r="K24" s="4">
        <f>F24/C24-1</f>
        <v>0.24669966996699677</v>
      </c>
      <c r="M24" s="5">
        <v>5246.19</v>
      </c>
      <c r="N24" s="5">
        <v>5124.5200000000004</v>
      </c>
      <c r="Q24" s="5">
        <v>27658.33</v>
      </c>
      <c r="U24" s="167">
        <f>N24-M24</f>
        <v>-121.66999999999916</v>
      </c>
      <c r="V24" s="4">
        <f>IF(M24=0,0,N24/M24-1)</f>
        <v>-2.3192068910961927E-2</v>
      </c>
      <c r="W24">
        <v>1.5373283395755306</v>
      </c>
      <c r="X24">
        <f>N24/F24</f>
        <v>1.6957379219060227</v>
      </c>
      <c r="Y24">
        <f>X24-W24</f>
        <v>0.15840958233049207</v>
      </c>
      <c r="Z24" s="18">
        <v>58006.9</v>
      </c>
      <c r="AA24" s="18">
        <v>72305.05</v>
      </c>
      <c r="AB24" s="4">
        <f>AA24/Z24-1</f>
        <v>0.24649050371593728</v>
      </c>
    </row>
    <row r="25" spans="1:28" ht="13.9" customHeight="1">
      <c r="A25" t="s">
        <v>61</v>
      </c>
      <c r="B25" t="s">
        <v>62</v>
      </c>
      <c r="C25" s="30">
        <v>3482</v>
      </c>
      <c r="E25" t="s">
        <v>62</v>
      </c>
      <c r="F25" s="30">
        <v>4052</v>
      </c>
      <c r="G25" t="b">
        <f>IF(B25=E25,TRUE,FALSE)</f>
        <v>1</v>
      </c>
      <c r="J25">
        <f>F25-C25</f>
        <v>570</v>
      </c>
      <c r="K25" s="4">
        <f>F25/C25-1</f>
        <v>0.16369902354968402</v>
      </c>
      <c r="M25" s="5">
        <v>5450.45</v>
      </c>
      <c r="N25" s="5">
        <v>6748.08</v>
      </c>
      <c r="Q25" s="5">
        <v>32631.99</v>
      </c>
      <c r="U25" s="167">
        <f>N25-M25</f>
        <v>1297.6300000000001</v>
      </c>
      <c r="V25" s="4">
        <f>IF(M25=0,0,N25/M25-1)</f>
        <v>0.23807758992376771</v>
      </c>
      <c r="W25">
        <v>2.2868846815834769</v>
      </c>
      <c r="X25">
        <f>N25/F25</f>
        <v>1.665370187561698</v>
      </c>
      <c r="Y25">
        <f>X25-W25</f>
        <v>-0.62151449402177894</v>
      </c>
      <c r="Z25" s="18">
        <v>96026.22</v>
      </c>
      <c r="AA25" s="18">
        <v>121165.27</v>
      </c>
      <c r="AB25" s="4">
        <f>AA25/Z25-1</f>
        <v>0.26179360178917799</v>
      </c>
    </row>
    <row r="26" spans="1:28" ht="13.9" customHeight="1">
      <c r="A26" s="59" t="s">
        <v>63</v>
      </c>
      <c r="B26" s="39" t="s">
        <v>64</v>
      </c>
      <c r="C26" s="30">
        <v>403</v>
      </c>
      <c r="E26" s="39" t="s">
        <v>64</v>
      </c>
      <c r="F26" s="30">
        <v>940</v>
      </c>
      <c r="G26" t="b">
        <f>IF(B26=E26,TRUE,FALSE)</f>
        <v>1</v>
      </c>
      <c r="J26">
        <f>F26-C26</f>
        <v>537</v>
      </c>
      <c r="K26" s="4">
        <f>F26/C26-1</f>
        <v>1.3325062034739452</v>
      </c>
      <c r="M26" s="5">
        <v>893.01</v>
      </c>
      <c r="N26" s="5">
        <v>1618.45</v>
      </c>
      <c r="Q26" s="5">
        <v>11546.38</v>
      </c>
      <c r="U26" s="167">
        <f>N26-M26</f>
        <v>725.44</v>
      </c>
      <c r="V26" s="4">
        <f>IF(M26=0,0,N26/M26-1)</f>
        <v>0.81235372504227277</v>
      </c>
      <c r="W26">
        <f>M26/C26</f>
        <v>2.21590570719603</v>
      </c>
      <c r="X26">
        <f>N26/F26</f>
        <v>1.7217553191489363</v>
      </c>
      <c r="Y26">
        <f>X26-W26</f>
        <v>-0.49415038804709366</v>
      </c>
      <c r="Z26" s="18">
        <v>4016.28</v>
      </c>
      <c r="AA26" s="18">
        <v>9390.6</v>
      </c>
      <c r="AB26" s="4">
        <f>AA26/Z26-1</f>
        <v>1.3381337954525083</v>
      </c>
    </row>
    <row r="27" spans="1:28" ht="13.9" customHeight="1">
      <c r="A27" t="s">
        <v>65</v>
      </c>
      <c r="B27" t="s">
        <v>66</v>
      </c>
      <c r="C27" s="30">
        <v>1060</v>
      </c>
      <c r="E27" t="s">
        <v>66</v>
      </c>
      <c r="F27" s="30">
        <v>1594</v>
      </c>
      <c r="G27" t="b">
        <f>IF(B27=E27,TRUE,FALSE)</f>
        <v>1</v>
      </c>
      <c r="J27">
        <f>F27-C27</f>
        <v>534</v>
      </c>
      <c r="K27" s="4">
        <f>F27/C27-1</f>
        <v>0.50377358490566038</v>
      </c>
      <c r="M27" s="5">
        <v>177.44</v>
      </c>
      <c r="N27" s="5">
        <v>209.91</v>
      </c>
      <c r="Q27" s="5">
        <v>4312.78</v>
      </c>
      <c r="U27" s="167">
        <f>N27-M27</f>
        <v>32.47</v>
      </c>
      <c r="V27" s="4">
        <f>IF(M27=0,0,N27/M27-1)</f>
        <v>0.18299143372407567</v>
      </c>
      <c r="W27">
        <v>9.1905274488697522E-2</v>
      </c>
      <c r="X27">
        <f>N27/F27</f>
        <v>0.13168757841907153</v>
      </c>
      <c r="Y27">
        <f>X27-W27</f>
        <v>3.9782303930374005E-2</v>
      </c>
      <c r="Z27" s="18">
        <v>44406.76</v>
      </c>
      <c r="AA27" s="18">
        <v>64791.3</v>
      </c>
      <c r="AB27" s="4">
        <f>AA27/Z27-1</f>
        <v>0.45904137117862231</v>
      </c>
    </row>
    <row r="28" spans="1:28" ht="13.9" customHeight="1">
      <c r="A28" t="s">
        <v>67</v>
      </c>
      <c r="B28" t="s">
        <v>68</v>
      </c>
      <c r="C28" s="30">
        <v>2977</v>
      </c>
      <c r="E28" t="s">
        <v>68</v>
      </c>
      <c r="F28" s="30">
        <v>3490</v>
      </c>
      <c r="G28" t="b">
        <f>IF(B28=E28,TRUE,FALSE)</f>
        <v>1</v>
      </c>
      <c r="J28">
        <f>F28-C28</f>
        <v>513</v>
      </c>
      <c r="K28" s="4">
        <f>F28/C28-1</f>
        <v>0.17232112865300642</v>
      </c>
      <c r="M28" s="5">
        <v>6307.51</v>
      </c>
      <c r="N28" s="5">
        <v>6233.8</v>
      </c>
      <c r="Q28" s="5">
        <v>47735.89</v>
      </c>
      <c r="U28" s="167">
        <f>N28-M28</f>
        <v>-73.710000000000036</v>
      </c>
      <c r="V28" s="4">
        <f>IF(M28=0,0,N28/M28-1)</f>
        <v>-1.1686069463227144E-2</v>
      </c>
      <c r="W28">
        <v>0.87956598240469208</v>
      </c>
      <c r="X28">
        <f>N28/F28</f>
        <v>1.786189111747851</v>
      </c>
      <c r="Y28">
        <f>X28-W28</f>
        <v>0.90662312934315892</v>
      </c>
      <c r="Z28" s="18">
        <v>89161.15</v>
      </c>
      <c r="AA28" s="18">
        <v>104465.60000000001</v>
      </c>
      <c r="AB28" s="4">
        <f>AA28/Z28-1</f>
        <v>0.17164931138730277</v>
      </c>
    </row>
    <row r="29" spans="1:28" ht="13.9" customHeight="1">
      <c r="A29" t="s">
        <v>69</v>
      </c>
      <c r="B29" t="s">
        <v>70</v>
      </c>
      <c r="C29" s="30">
        <v>4885</v>
      </c>
      <c r="E29" t="s">
        <v>70</v>
      </c>
      <c r="F29" s="30">
        <v>5377</v>
      </c>
      <c r="G29" t="b">
        <f>IF(B29=E29,TRUE,FALSE)</f>
        <v>1</v>
      </c>
      <c r="J29">
        <f>F29-C29</f>
        <v>492</v>
      </c>
      <c r="K29" s="4">
        <f>F29/C29-1</f>
        <v>0.10071647901740022</v>
      </c>
      <c r="M29" s="5">
        <v>8546.09</v>
      </c>
      <c r="N29" s="5">
        <v>8788.83</v>
      </c>
      <c r="Q29" s="5">
        <v>63504.84</v>
      </c>
      <c r="U29" s="167">
        <f>N29-M29</f>
        <v>242.73999999999978</v>
      </c>
      <c r="V29" s="4">
        <f>IF(M29=0,0,N29/M29-1)</f>
        <v>2.8403632538388957E-2</v>
      </c>
      <c r="W29">
        <v>1.3586007971470526</v>
      </c>
      <c r="X29">
        <f>N29/F29</f>
        <v>1.6345229681978799</v>
      </c>
      <c r="Y29">
        <f>X29-W29</f>
        <v>0.27592217105082728</v>
      </c>
      <c r="Z29" s="18">
        <v>189793.78</v>
      </c>
      <c r="AA29" s="18">
        <v>209172.64</v>
      </c>
      <c r="AB29" s="4">
        <f>AA29/Z29-1</f>
        <v>0.10210482134872922</v>
      </c>
    </row>
    <row r="30" spans="1:28" ht="13.9" customHeight="1">
      <c r="A30" t="s">
        <v>71</v>
      </c>
      <c r="B30" t="s">
        <v>72</v>
      </c>
      <c r="C30" s="30">
        <v>1173</v>
      </c>
      <c r="E30" t="s">
        <v>72</v>
      </c>
      <c r="F30" s="30">
        <v>1647</v>
      </c>
      <c r="G30" t="b">
        <f>IF(B30=E30,TRUE,FALSE)</f>
        <v>1</v>
      </c>
      <c r="J30">
        <f>F30-C30</f>
        <v>474</v>
      </c>
      <c r="K30" s="4">
        <f>F30/C30-1</f>
        <v>0.40409207161125327</v>
      </c>
      <c r="M30" s="5">
        <v>2434.7600000000002</v>
      </c>
      <c r="N30" s="5">
        <v>2183.27</v>
      </c>
      <c r="Q30" s="5">
        <v>12276.15</v>
      </c>
      <c r="U30" s="167">
        <f>N30-M30</f>
        <v>-251.49000000000024</v>
      </c>
      <c r="V30" s="4">
        <f>IF(M30=0,0,N30/M30-1)</f>
        <v>-0.1032914948495951</v>
      </c>
      <c r="W30">
        <v>1.3754969574036511</v>
      </c>
      <c r="X30">
        <f>N30/F30</f>
        <v>1.3256041287188829</v>
      </c>
      <c r="Y30">
        <f>X30-W30</f>
        <v>-4.9892828684768187E-2</v>
      </c>
      <c r="Z30" s="18">
        <v>18756.27</v>
      </c>
      <c r="AA30" s="18">
        <v>28221.55</v>
      </c>
      <c r="AB30" s="4">
        <f>AA30/Z30-1</f>
        <v>0.50464617965085812</v>
      </c>
    </row>
    <row r="31" spans="1:28" ht="13.9" customHeight="1">
      <c r="A31" s="57" t="s">
        <v>73</v>
      </c>
      <c r="B31" s="39" t="s">
        <v>74</v>
      </c>
      <c r="C31" s="30">
        <v>1200</v>
      </c>
      <c r="E31" s="39" t="s">
        <v>74</v>
      </c>
      <c r="F31" s="30">
        <v>1671</v>
      </c>
      <c r="G31" t="b">
        <f>IF(B31=E31,TRUE,FALSE)</f>
        <v>1</v>
      </c>
      <c r="J31">
        <f>F31-C31</f>
        <v>471</v>
      </c>
      <c r="K31" s="4">
        <f>F31/C31-1</f>
        <v>0.39250000000000007</v>
      </c>
      <c r="M31" s="5">
        <v>1255.3699999999999</v>
      </c>
      <c r="N31" s="5">
        <v>2325.75</v>
      </c>
      <c r="Q31" s="5">
        <v>10470.94</v>
      </c>
      <c r="U31" s="167">
        <f>N31-M31</f>
        <v>1070.3800000000001</v>
      </c>
      <c r="V31" s="4">
        <f>IF(M31=0,0,N31/M31-1)</f>
        <v>0.85264105403187918</v>
      </c>
      <c r="W31">
        <v>0.38363636363636361</v>
      </c>
      <c r="X31">
        <f>N31/F31</f>
        <v>1.3918312387791743</v>
      </c>
      <c r="Y31">
        <f>X31-W31</f>
        <v>1.0081948751428107</v>
      </c>
      <c r="Z31" s="18">
        <v>14487.52</v>
      </c>
      <c r="AA31" s="18">
        <v>23256.91</v>
      </c>
      <c r="AB31" s="4">
        <f>AA31/Z31-1</f>
        <v>0.6053064982826597</v>
      </c>
    </row>
    <row r="32" spans="1:28" ht="13.9" customHeight="1">
      <c r="A32" t="s">
        <v>75</v>
      </c>
      <c r="B32" t="s">
        <v>76</v>
      </c>
      <c r="C32" s="30">
        <v>4373</v>
      </c>
      <c r="E32" t="s">
        <v>76</v>
      </c>
      <c r="F32" s="30">
        <v>4822</v>
      </c>
      <c r="G32" t="b">
        <f>IF(B32=E32,TRUE,FALSE)</f>
        <v>1</v>
      </c>
      <c r="J32">
        <f>F32-C32</f>
        <v>449</v>
      </c>
      <c r="K32" s="4">
        <f>F32/C32-1</f>
        <v>0.10267550880402476</v>
      </c>
      <c r="M32" s="5">
        <v>8516.2999999999993</v>
      </c>
      <c r="N32" s="5">
        <v>9600.5</v>
      </c>
      <c r="Q32" s="5">
        <v>70035.149999999994</v>
      </c>
      <c r="U32" s="167">
        <f>N32-M32</f>
        <v>1084.2000000000007</v>
      </c>
      <c r="V32" s="4">
        <f>IF(M32=0,0,N32/M32-1)</f>
        <v>0.12730880781560083</v>
      </c>
      <c r="W32">
        <v>1.7419110482476821</v>
      </c>
      <c r="X32">
        <f>N32/F32</f>
        <v>1.9909788469514724</v>
      </c>
      <c r="Y32">
        <f>X32-W32</f>
        <v>0.24906779870379037</v>
      </c>
      <c r="Z32" s="18">
        <v>129916.9</v>
      </c>
      <c r="AA32" s="18">
        <v>144265.75</v>
      </c>
      <c r="AB32" s="4">
        <f>AA32/Z32-1</f>
        <v>0.11044636994879031</v>
      </c>
    </row>
    <row r="33" spans="1:28" ht="13.9" customHeight="1">
      <c r="A33" t="s">
        <v>77</v>
      </c>
      <c r="B33" t="s">
        <v>78</v>
      </c>
      <c r="C33" s="30">
        <v>3844</v>
      </c>
      <c r="E33" t="s">
        <v>78</v>
      </c>
      <c r="F33" s="30">
        <v>4286</v>
      </c>
      <c r="G33" t="b">
        <f>IF(B33=E33,TRUE,FALSE)</f>
        <v>1</v>
      </c>
      <c r="J33">
        <f>F33-C33</f>
        <v>442</v>
      </c>
      <c r="K33" s="4">
        <f>F33/C33-1</f>
        <v>0.11498439125910509</v>
      </c>
      <c r="M33" s="5">
        <v>6079.51</v>
      </c>
      <c r="N33" s="5">
        <v>4897.3</v>
      </c>
      <c r="Q33" s="5">
        <v>30010.77</v>
      </c>
      <c r="U33" s="167">
        <f>N33-M33</f>
        <v>-1182.21</v>
      </c>
      <c r="V33" s="4">
        <f>IF(M33=0,0,N33/M33-1)</f>
        <v>-0.19445810599867419</v>
      </c>
      <c r="W33">
        <v>0.94374024666498868</v>
      </c>
      <c r="X33">
        <f>N33/F33</f>
        <v>1.142627158189454</v>
      </c>
      <c r="Y33">
        <f>X33-W33</f>
        <v>0.19888691152446536</v>
      </c>
      <c r="Z33" s="18">
        <v>99742.3</v>
      </c>
      <c r="AA33" s="18">
        <v>111188.55</v>
      </c>
      <c r="AB33" s="4">
        <f>AA33/Z33-1</f>
        <v>0.11475823196377055</v>
      </c>
    </row>
    <row r="34" spans="1:28" ht="13.9" customHeight="1">
      <c r="A34" s="39" t="s">
        <v>79</v>
      </c>
      <c r="B34" s="39" t="s">
        <v>80</v>
      </c>
      <c r="C34" s="30">
        <v>1482</v>
      </c>
      <c r="E34" s="39" t="s">
        <v>80</v>
      </c>
      <c r="F34" s="30">
        <v>1923</v>
      </c>
      <c r="G34" t="b">
        <f>IF(B34=E34,TRUE,FALSE)</f>
        <v>1</v>
      </c>
      <c r="J34">
        <f>F34-C34</f>
        <v>441</v>
      </c>
      <c r="K34" s="4">
        <f>F34/C34-1</f>
        <v>0.29757085020242924</v>
      </c>
      <c r="M34" s="5">
        <v>2258.5</v>
      </c>
      <c r="N34" s="5">
        <v>3253.75</v>
      </c>
      <c r="Q34" s="5">
        <v>25717.8</v>
      </c>
      <c r="U34" s="167">
        <f>N34-M34</f>
        <v>995.25</v>
      </c>
      <c r="V34" s="4">
        <f>IF(M34=0,0,N34/M34-1)</f>
        <v>0.44066858534425513</v>
      </c>
      <c r="W34">
        <v>4.9275757575757577</v>
      </c>
      <c r="X34">
        <f>N34/F34</f>
        <v>1.6920176807072282</v>
      </c>
      <c r="Y34">
        <f>X34-W34</f>
        <v>-3.2355580768685295</v>
      </c>
      <c r="Z34" s="18">
        <v>16061.39</v>
      </c>
      <c r="AA34" s="18">
        <v>30630.77</v>
      </c>
      <c r="AB34" s="4">
        <f>AA34/Z34-1</f>
        <v>0.90710579843961203</v>
      </c>
    </row>
    <row r="35" spans="1:28" ht="13.9" customHeight="1">
      <c r="A35" s="29" t="s">
        <v>81</v>
      </c>
      <c r="B35" s="29" t="s">
        <v>82</v>
      </c>
      <c r="C35" s="30">
        <v>1249</v>
      </c>
      <c r="D35" s="19"/>
      <c r="E35" s="29" t="s">
        <v>82</v>
      </c>
      <c r="F35" s="30">
        <v>1675</v>
      </c>
      <c r="G35" t="b">
        <f>IF(B35=E35,TRUE,FALSE)</f>
        <v>1</v>
      </c>
      <c r="H35" s="19"/>
      <c r="I35" s="19"/>
      <c r="J35" s="27">
        <f>F35-C35</f>
        <v>426</v>
      </c>
      <c r="K35" s="4">
        <f>F35/C35-1</f>
        <v>0.34107285828662937</v>
      </c>
      <c r="M35" s="18">
        <v>2914.44</v>
      </c>
      <c r="N35" s="18">
        <v>3354.17</v>
      </c>
      <c r="O35" s="18"/>
      <c r="P35" s="18"/>
      <c r="Q35" s="5">
        <v>19277.48</v>
      </c>
      <c r="U35" s="167">
        <f>N35-M35</f>
        <v>439.73</v>
      </c>
      <c r="V35" s="4">
        <f>IF(M35=0,0,N35/M35-1)</f>
        <v>0.15087975734617975</v>
      </c>
      <c r="W35">
        <v>2.8551054384017758</v>
      </c>
      <c r="X35">
        <f>N35/F35</f>
        <v>2.002489552238806</v>
      </c>
      <c r="Y35">
        <f>X35-W35</f>
        <v>-0.85261588616296979</v>
      </c>
      <c r="Z35" s="18">
        <v>29347.919999999998</v>
      </c>
      <c r="AA35" s="18">
        <v>40183.25</v>
      </c>
      <c r="AB35" s="4">
        <f>AA35/Z35-1</f>
        <v>0.36920265558853926</v>
      </c>
    </row>
    <row r="36" spans="1:28" ht="13.9" customHeight="1">
      <c r="A36" t="s">
        <v>83</v>
      </c>
      <c r="B36" t="s">
        <v>84</v>
      </c>
      <c r="C36" s="30">
        <v>1844</v>
      </c>
      <c r="E36" t="s">
        <v>84</v>
      </c>
      <c r="F36" s="30">
        <v>2247</v>
      </c>
      <c r="G36" t="b">
        <f>IF(B36=E36,TRUE,FALSE)</f>
        <v>1</v>
      </c>
      <c r="J36">
        <f>F36-C36</f>
        <v>403</v>
      </c>
      <c r="K36" s="4">
        <f>F36/C36-1</f>
        <v>0.2185466377440346</v>
      </c>
      <c r="M36" s="5">
        <v>3843.49</v>
      </c>
      <c r="N36" s="5">
        <v>4321.58</v>
      </c>
      <c r="Q36" s="5">
        <v>21157.07</v>
      </c>
      <c r="U36" s="167">
        <f>N36-M36</f>
        <v>478.09000000000015</v>
      </c>
      <c r="V36" s="4">
        <f>IF(M36=0,0,N36/M36-1)</f>
        <v>0.1243895522038565</v>
      </c>
      <c r="W36">
        <v>1.3997643593519884</v>
      </c>
      <c r="X36">
        <f>N36/F36</f>
        <v>1.9232665776591009</v>
      </c>
      <c r="Y36">
        <f>X36-W36</f>
        <v>0.52350221830711252</v>
      </c>
      <c r="Z36" s="18">
        <v>36787.800000000003</v>
      </c>
      <c r="AA36" s="18">
        <v>45531.45</v>
      </c>
      <c r="AB36" s="4">
        <f>AA36/Z36-1</f>
        <v>0.23767798019995734</v>
      </c>
    </row>
    <row r="37" spans="1:28" ht="13.9" customHeight="1">
      <c r="A37" t="s">
        <v>85</v>
      </c>
      <c r="B37" t="s">
        <v>86</v>
      </c>
      <c r="C37" s="30">
        <v>66998</v>
      </c>
      <c r="E37" t="s">
        <v>86</v>
      </c>
      <c r="F37" s="30">
        <v>67399</v>
      </c>
      <c r="G37" t="b">
        <f>IF(B37=E37,TRUE,FALSE)</f>
        <v>1</v>
      </c>
      <c r="J37">
        <f>F37-C37</f>
        <v>401</v>
      </c>
      <c r="K37" s="4">
        <f>F37/C37-1</f>
        <v>5.9852532911430778E-3</v>
      </c>
      <c r="M37" s="5">
        <v>53050.28</v>
      </c>
      <c r="N37" s="5">
        <v>74374.570000000007</v>
      </c>
      <c r="Q37" s="5">
        <v>701999.49</v>
      </c>
      <c r="U37" s="167">
        <f>N37-M37</f>
        <v>21324.290000000008</v>
      </c>
      <c r="V37" s="4">
        <f>IF(M37=0,0,N37/M37-1)</f>
        <v>0.4019637596634742</v>
      </c>
      <c r="W37">
        <v>1.1393666683562269</v>
      </c>
      <c r="X37">
        <f>N37/F37</f>
        <v>1.1034966394160153</v>
      </c>
      <c r="Y37">
        <f>X37-W37</f>
        <v>-3.5870028940211629E-2</v>
      </c>
      <c r="Z37" s="18">
        <v>2296796.6</v>
      </c>
      <c r="AA37" s="18">
        <v>2342101.2000000002</v>
      </c>
      <c r="AB37" s="4">
        <f>AA37/Z37-1</f>
        <v>1.9725124984946385E-2</v>
      </c>
    </row>
    <row r="38" spans="1:28" ht="13.9" customHeight="1">
      <c r="A38" t="s">
        <v>87</v>
      </c>
      <c r="B38" t="s">
        <v>88</v>
      </c>
      <c r="C38" s="30">
        <v>1280</v>
      </c>
      <c r="E38" t="s">
        <v>88</v>
      </c>
      <c r="F38" s="30">
        <v>1672</v>
      </c>
      <c r="G38" t="b">
        <f>IF(B38=E38,TRUE,FALSE)</f>
        <v>1</v>
      </c>
      <c r="J38">
        <f>F38-C38</f>
        <v>392</v>
      </c>
      <c r="K38" s="4">
        <f>F38/C38-1</f>
        <v>0.30624999999999991</v>
      </c>
      <c r="M38" s="5">
        <v>2851.06</v>
      </c>
      <c r="N38" s="5">
        <v>3182.12</v>
      </c>
      <c r="Q38" s="5">
        <v>20125.97</v>
      </c>
      <c r="U38" s="167">
        <f>N38-M38</f>
        <v>331.05999999999995</v>
      </c>
      <c r="V38" s="4">
        <f>IF(M38=0,0,N38/M38-1)</f>
        <v>0.1161182156811853</v>
      </c>
      <c r="W38">
        <v>2.0363273195876288</v>
      </c>
      <c r="X38">
        <f>N38/F38</f>
        <v>1.9031818181818181</v>
      </c>
      <c r="Y38">
        <f>X38-W38</f>
        <v>-0.13314550140581072</v>
      </c>
      <c r="Z38" s="18">
        <v>30029.200000000001</v>
      </c>
      <c r="AA38" s="18">
        <v>40111.279999999999</v>
      </c>
      <c r="AB38" s="4">
        <f>AA38/Z38-1</f>
        <v>0.33574254392391389</v>
      </c>
    </row>
    <row r="39" spans="1:28" ht="13.9" customHeight="1">
      <c r="A39" t="s">
        <v>89</v>
      </c>
      <c r="B39" t="s">
        <v>90</v>
      </c>
      <c r="C39" s="30">
        <v>1231</v>
      </c>
      <c r="E39" t="s">
        <v>90</v>
      </c>
      <c r="F39" s="30">
        <v>1603</v>
      </c>
      <c r="G39" t="b">
        <f>IF(B39=E39,TRUE,FALSE)</f>
        <v>1</v>
      </c>
      <c r="J39">
        <f>F39-C39</f>
        <v>372</v>
      </c>
      <c r="K39" s="4">
        <f>F39/C39-1</f>
        <v>0.30219333874898457</v>
      </c>
      <c r="M39" s="5">
        <v>2902.63</v>
      </c>
      <c r="N39" s="5">
        <v>2952.38</v>
      </c>
      <c r="Q39" s="5">
        <v>20861.87</v>
      </c>
      <c r="U39" s="167">
        <f>N39-M39</f>
        <v>49.75</v>
      </c>
      <c r="V39" s="4">
        <f>IF(M39=0,0,N39/M39-1)</f>
        <v>1.7139628543768826E-2</v>
      </c>
      <c r="W39">
        <v>1.9800841750841751</v>
      </c>
      <c r="X39">
        <f>N39/F39</f>
        <v>1.841784154709919</v>
      </c>
      <c r="Y39">
        <f>X39-W39</f>
        <v>-0.13830002037425615</v>
      </c>
      <c r="Z39" s="18">
        <v>34455.69</v>
      </c>
      <c r="AA39" s="18">
        <v>43386.97</v>
      </c>
      <c r="AB39" s="4">
        <f>AA39/Z39-1</f>
        <v>0.25921059772710975</v>
      </c>
    </row>
    <row r="40" spans="1:28" ht="13.9" customHeight="1">
      <c r="A40" s="39" t="s">
        <v>91</v>
      </c>
      <c r="B40" s="39" t="s">
        <v>92</v>
      </c>
      <c r="C40" s="30">
        <v>557</v>
      </c>
      <c r="E40" s="39" t="s">
        <v>92</v>
      </c>
      <c r="F40" s="30">
        <v>924</v>
      </c>
      <c r="G40" t="b">
        <f>IF(B40=E40,TRUE,FALSE)</f>
        <v>1</v>
      </c>
      <c r="J40">
        <f>F40-C40</f>
        <v>367</v>
      </c>
      <c r="K40" s="4">
        <f>F40/C40-1</f>
        <v>0.65888689407540402</v>
      </c>
      <c r="M40" s="5">
        <v>1366.23</v>
      </c>
      <c r="N40" s="5">
        <v>1371.73</v>
      </c>
      <c r="Q40" s="5">
        <v>10159.209999999999</v>
      </c>
      <c r="U40" s="167">
        <f>N40-M40</f>
        <v>5.5</v>
      </c>
      <c r="V40" s="4">
        <f>IF(M40=0,0,N40/M40-1)</f>
        <v>4.0256764966366543E-3</v>
      </c>
      <c r="W40">
        <v>3.6543055555555557</v>
      </c>
      <c r="X40">
        <f>N40/F40</f>
        <v>1.484556277056277</v>
      </c>
      <c r="Y40">
        <f>X40-W40</f>
        <v>-2.1697492784992787</v>
      </c>
      <c r="Z40" s="18">
        <v>6772.43</v>
      </c>
      <c r="AA40" s="18">
        <v>12926.76</v>
      </c>
      <c r="AB40" s="4">
        <f>AA40/Z40-1</f>
        <v>0.90873290680007024</v>
      </c>
    </row>
    <row r="41" spans="1:28" ht="13.9" customHeight="1">
      <c r="A41" t="s">
        <v>93</v>
      </c>
      <c r="B41" t="s">
        <v>94</v>
      </c>
      <c r="C41" s="30">
        <v>1189</v>
      </c>
      <c r="E41" t="s">
        <v>94</v>
      </c>
      <c r="F41" s="30">
        <v>1541</v>
      </c>
      <c r="G41" t="b">
        <f>IF(B41=E41,TRUE,FALSE)</f>
        <v>1</v>
      </c>
      <c r="J41">
        <f>F41-C41</f>
        <v>352</v>
      </c>
      <c r="K41" s="4">
        <f>F41/C41-1</f>
        <v>0.29604709840201848</v>
      </c>
      <c r="M41" s="5">
        <v>2759.4</v>
      </c>
      <c r="N41" s="5">
        <v>3749.62</v>
      </c>
      <c r="Q41" s="5">
        <v>18700.400000000001</v>
      </c>
      <c r="U41" s="167">
        <f>N41-M41</f>
        <v>990.2199999999998</v>
      </c>
      <c r="V41" s="4">
        <f>IF(M41=0,0,N41/M41-1)</f>
        <v>0.35885337392186689</v>
      </c>
      <c r="W41">
        <v>2.0940936254980076</v>
      </c>
      <c r="X41">
        <f>N41/F41</f>
        <v>2.4332381570408823</v>
      </c>
      <c r="Y41">
        <f>X41-W41</f>
        <v>0.33914453154287472</v>
      </c>
      <c r="Z41" s="18">
        <v>47548.11</v>
      </c>
      <c r="AA41" s="18">
        <v>61624.59</v>
      </c>
      <c r="AB41" s="4">
        <f>AA41/Z41-1</f>
        <v>0.29604709840201848</v>
      </c>
    </row>
    <row r="42" spans="1:28" ht="13.9" customHeight="1">
      <c r="A42" t="s">
        <v>95</v>
      </c>
      <c r="B42" t="s">
        <v>96</v>
      </c>
      <c r="C42" s="30">
        <v>1556</v>
      </c>
      <c r="E42" t="s">
        <v>96</v>
      </c>
      <c r="F42" s="30">
        <v>1880</v>
      </c>
      <c r="G42" t="b">
        <f>IF(B42=E42,TRUE,FALSE)</f>
        <v>1</v>
      </c>
      <c r="J42" s="27">
        <f>F42-C42</f>
        <v>324</v>
      </c>
      <c r="K42" s="4">
        <f>F42/C42-1</f>
        <v>0.20822622107969146</v>
      </c>
      <c r="M42" s="5">
        <v>3269.69</v>
      </c>
      <c r="N42" s="5">
        <v>3516.22</v>
      </c>
      <c r="Q42" s="5">
        <v>16293.41</v>
      </c>
      <c r="U42" s="167">
        <f>N42-M42</f>
        <v>246.52999999999975</v>
      </c>
      <c r="V42" s="4">
        <f>IF(M42=0,0,N42/M42-1)</f>
        <v>7.5398585186974731E-2</v>
      </c>
      <c r="W42">
        <v>1.6118670438472418</v>
      </c>
      <c r="X42">
        <f>N42/F42</f>
        <v>1.8703297872340425</v>
      </c>
      <c r="Y42">
        <f>X42-W42</f>
        <v>0.25846274338680075</v>
      </c>
      <c r="Z42" s="18">
        <v>31084.45</v>
      </c>
      <c r="AA42" s="18">
        <v>36417.199999999997</v>
      </c>
      <c r="AB42" s="4">
        <f>AA42/Z42-1</f>
        <v>0.17155683951300404</v>
      </c>
    </row>
    <row r="43" spans="1:28" ht="13.9" customHeight="1">
      <c r="A43" t="s">
        <v>97</v>
      </c>
      <c r="B43" t="s">
        <v>98</v>
      </c>
      <c r="C43" s="30">
        <v>1998</v>
      </c>
      <c r="E43" t="s">
        <v>98</v>
      </c>
      <c r="F43" s="30">
        <v>2321</v>
      </c>
      <c r="G43" t="b">
        <f>IF(B43=E43,TRUE,FALSE)</f>
        <v>1</v>
      </c>
      <c r="J43">
        <f>F43-C43</f>
        <v>323</v>
      </c>
      <c r="K43" s="4">
        <f>F43/C43-1</f>
        <v>0.16166166166166174</v>
      </c>
      <c r="M43" s="5">
        <v>3438.53</v>
      </c>
      <c r="N43" s="5">
        <v>4250.3999999999996</v>
      </c>
      <c r="Q43" s="5">
        <v>28384</v>
      </c>
      <c r="U43" s="167">
        <f>N43-M43</f>
        <v>811.86999999999944</v>
      </c>
      <c r="V43" s="4">
        <f>IF(M43=0,0,N43/M43-1)</f>
        <v>0.23610961660942298</v>
      </c>
      <c r="W43">
        <v>1.9464153969526863</v>
      </c>
      <c r="X43">
        <f>N43/F43</f>
        <v>1.8312796208530804</v>
      </c>
      <c r="Y43">
        <f>X43-W43</f>
        <v>-0.1151357760996059</v>
      </c>
      <c r="Z43" s="18">
        <v>72665.649999999994</v>
      </c>
      <c r="AA43" s="18">
        <v>84532.79</v>
      </c>
      <c r="AB43" s="4">
        <f>AA43/Z43-1</f>
        <v>0.1633115509184877</v>
      </c>
    </row>
    <row r="44" spans="1:28" ht="13.9" customHeight="1">
      <c r="A44" t="s">
        <v>99</v>
      </c>
      <c r="B44" t="s">
        <v>100</v>
      </c>
      <c r="C44" s="30">
        <v>1790</v>
      </c>
      <c r="E44" t="s">
        <v>100</v>
      </c>
      <c r="F44" s="30">
        <v>2113</v>
      </c>
      <c r="G44" t="b">
        <f>IF(B44=E44,TRUE,FALSE)</f>
        <v>1</v>
      </c>
      <c r="J44">
        <f>F44-C44</f>
        <v>323</v>
      </c>
      <c r="K44" s="4">
        <f>F44/C44-1</f>
        <v>0.18044692737430168</v>
      </c>
      <c r="M44" s="5">
        <v>2139.61</v>
      </c>
      <c r="N44" s="5">
        <v>2307.63</v>
      </c>
      <c r="Q44" s="5">
        <v>21132.39</v>
      </c>
      <c r="U44" s="167">
        <f>N44-M44</f>
        <v>168.01999999999998</v>
      </c>
      <c r="V44" s="4">
        <f>IF(M44=0,0,N44/M44-1)</f>
        <v>7.8528329929286267E-2</v>
      </c>
      <c r="W44">
        <v>1.0534963648380702</v>
      </c>
      <c r="X44">
        <f>N44/F44</f>
        <v>1.0921107430194037</v>
      </c>
      <c r="Y44">
        <f>X44-W44</f>
        <v>3.8614378181333509E-2</v>
      </c>
      <c r="Z44" s="18">
        <v>46496.11</v>
      </c>
      <c r="AA44" s="18">
        <v>55202.879999999997</v>
      </c>
      <c r="AB44" s="4">
        <f>AA44/Z44-1</f>
        <v>0.18725803083311687</v>
      </c>
    </row>
    <row r="45" spans="1:28">
      <c r="A45" t="s">
        <v>101</v>
      </c>
      <c r="B45" t="s">
        <v>102</v>
      </c>
      <c r="C45" s="30">
        <v>1662</v>
      </c>
      <c r="E45" t="s">
        <v>102</v>
      </c>
      <c r="F45" s="30">
        <v>1982</v>
      </c>
      <c r="G45" t="b">
        <f>IF(B45=E45,TRUE,FALSE)</f>
        <v>1</v>
      </c>
      <c r="J45">
        <f>F45-C45</f>
        <v>320</v>
      </c>
      <c r="K45" s="4">
        <f>F45/C45-1</f>
        <v>0.19253910950661846</v>
      </c>
      <c r="M45" s="5">
        <v>1027.73</v>
      </c>
      <c r="N45" s="5">
        <v>1597.03</v>
      </c>
      <c r="Q45" s="5">
        <v>10868.54</v>
      </c>
      <c r="U45" s="167">
        <f>N45-M45</f>
        <v>569.29999999999995</v>
      </c>
      <c r="V45" s="4">
        <f>IF(M45=0,0,N45/M45-1)</f>
        <v>0.55393926420363315</v>
      </c>
      <c r="W45">
        <v>0.43888613861386133</v>
      </c>
      <c r="X45">
        <f>N45/F45</f>
        <v>0.80576690211907165</v>
      </c>
      <c r="Y45">
        <f>X45-W45</f>
        <v>0.36688076350521032</v>
      </c>
      <c r="Z45" s="18">
        <v>44313.22</v>
      </c>
      <c r="AA45" s="18">
        <v>52880.28</v>
      </c>
      <c r="AB45" s="4">
        <f>AA45/Z45-1</f>
        <v>0.19332966550388342</v>
      </c>
    </row>
    <row r="46" spans="1:28">
      <c r="A46" t="s">
        <v>103</v>
      </c>
      <c r="B46" t="s">
        <v>104</v>
      </c>
      <c r="C46" s="30">
        <v>424</v>
      </c>
      <c r="E46" t="s">
        <v>104</v>
      </c>
      <c r="F46" s="30">
        <v>741</v>
      </c>
      <c r="G46" t="b">
        <f>IF(B46=E46,TRUE,FALSE)</f>
        <v>1</v>
      </c>
      <c r="J46" s="27">
        <f>F46-C46</f>
        <v>317</v>
      </c>
      <c r="K46" s="4">
        <f>F46/C46-1</f>
        <v>0.74764150943396235</v>
      </c>
      <c r="M46" s="5">
        <v>811.8</v>
      </c>
      <c r="N46" s="5">
        <v>1596.79</v>
      </c>
      <c r="Q46" s="5">
        <v>10582.02</v>
      </c>
      <c r="U46" s="167">
        <f>N46-M46</f>
        <v>784.99</v>
      </c>
      <c r="V46" s="4">
        <f>IF(M46=0,0,N46/M46-1)</f>
        <v>0.96697462429169745</v>
      </c>
      <c r="W46">
        <v>0</v>
      </c>
      <c r="X46">
        <f>N46/F46</f>
        <v>2.1549122807017542</v>
      </c>
      <c r="Y46">
        <f>X46-W46</f>
        <v>2.1549122807017542</v>
      </c>
      <c r="Z46" s="18">
        <v>8823.9599999999991</v>
      </c>
      <c r="AA46" s="18">
        <v>16294.59</v>
      </c>
      <c r="AB46" s="4">
        <f>AA46/Z46-1</f>
        <v>0.84663008445187904</v>
      </c>
    </row>
    <row r="47" spans="1:28">
      <c r="A47" t="s">
        <v>105</v>
      </c>
      <c r="B47" t="s">
        <v>106</v>
      </c>
      <c r="C47" s="30">
        <v>5684</v>
      </c>
      <c r="E47" t="s">
        <v>106</v>
      </c>
      <c r="F47" s="30">
        <v>5987</v>
      </c>
      <c r="G47" t="b">
        <f>IF(B47=E47,TRUE,FALSE)</f>
        <v>1</v>
      </c>
      <c r="J47">
        <f>F47-C47</f>
        <v>303</v>
      </c>
      <c r="K47" s="4">
        <f>F47/C47-1</f>
        <v>5.3307529908515061E-2</v>
      </c>
      <c r="M47" s="5">
        <v>7983.6</v>
      </c>
      <c r="N47" s="5">
        <v>6518.57</v>
      </c>
      <c r="Q47" s="5">
        <v>38309.99</v>
      </c>
      <c r="U47" s="167">
        <f>N47-M47</f>
        <v>-1465.0300000000007</v>
      </c>
      <c r="V47" s="4">
        <f>IF(M47=0,0,N47/M47-1)</f>
        <v>-0.18350493511698995</v>
      </c>
      <c r="W47">
        <v>1.1326235385814496</v>
      </c>
      <c r="X47">
        <f>N47/F47</f>
        <v>1.0887873726407216</v>
      </c>
      <c r="Y47">
        <f>X47-W47</f>
        <v>-4.3836165940728034E-2</v>
      </c>
      <c r="Z47" s="18">
        <v>151599.47</v>
      </c>
      <c r="AA47" s="18">
        <v>159307.63</v>
      </c>
      <c r="AB47" s="4">
        <f>AA47/Z47-1</f>
        <v>5.0845560343977469E-2</v>
      </c>
    </row>
    <row r="48" spans="1:28">
      <c r="A48" t="s">
        <v>107</v>
      </c>
      <c r="B48" t="s">
        <v>108</v>
      </c>
      <c r="C48" s="30">
        <v>1900</v>
      </c>
      <c r="E48" t="s">
        <v>108</v>
      </c>
      <c r="F48" s="30">
        <v>2159</v>
      </c>
      <c r="G48" t="b">
        <f>IF(B48=E48,TRUE,FALSE)</f>
        <v>1</v>
      </c>
      <c r="J48">
        <f>F48-C48</f>
        <v>259</v>
      </c>
      <c r="K48" s="4">
        <f>F48/C48-1</f>
        <v>0.13631578947368417</v>
      </c>
      <c r="M48" s="5">
        <v>3094.09</v>
      </c>
      <c r="N48" s="5">
        <v>4083.97</v>
      </c>
      <c r="Q48" s="5">
        <v>27992.31</v>
      </c>
      <c r="U48" s="167">
        <f>N48-M48</f>
        <v>989.87999999999965</v>
      </c>
      <c r="V48" s="4">
        <f>IF(M48=0,0,N48/M48-1)</f>
        <v>0.319926052571192</v>
      </c>
      <c r="W48">
        <v>1.786111898016997</v>
      </c>
      <c r="X48">
        <f>N48/F48</f>
        <v>1.8916025937934229</v>
      </c>
      <c r="Y48">
        <f>X48-W48</f>
        <v>0.10549069577642589</v>
      </c>
      <c r="Z48" s="18">
        <v>47456.01</v>
      </c>
      <c r="AA48" s="18">
        <v>53928.22</v>
      </c>
      <c r="AB48" s="4">
        <f>AA48/Z48-1</f>
        <v>0.13638335797720869</v>
      </c>
    </row>
    <row r="49" spans="1:28">
      <c r="A49" t="s">
        <v>109</v>
      </c>
      <c r="B49" t="s">
        <v>110</v>
      </c>
      <c r="C49" s="30">
        <v>1941</v>
      </c>
      <c r="E49" t="s">
        <v>110</v>
      </c>
      <c r="F49" s="30">
        <v>2196</v>
      </c>
      <c r="G49" t="b">
        <f>IF(B49=E49,TRUE,FALSE)</f>
        <v>1</v>
      </c>
      <c r="J49">
        <f>F49-C49</f>
        <v>255</v>
      </c>
      <c r="K49" s="4">
        <f>F49/C49-1</f>
        <v>0.13137557959814528</v>
      </c>
      <c r="M49" s="5">
        <v>2899.98</v>
      </c>
      <c r="N49" s="5">
        <v>4307.3100000000004</v>
      </c>
      <c r="Q49" s="5">
        <v>19494.27</v>
      </c>
      <c r="U49" s="167">
        <f>N49-M49</f>
        <v>1407.3300000000004</v>
      </c>
      <c r="V49" s="4">
        <f>IF(M49=0,0,N49/M49-1)</f>
        <v>0.4852895537210602</v>
      </c>
      <c r="W49">
        <v>1.2211272040302268</v>
      </c>
      <c r="X49">
        <f>N49/F49</f>
        <v>1.9614344262295085</v>
      </c>
      <c r="Y49">
        <f>X49-W49</f>
        <v>0.74030722219928169</v>
      </c>
      <c r="Z49" s="18">
        <v>38722.949999999997</v>
      </c>
      <c r="AA49" s="18">
        <v>43770.3</v>
      </c>
      <c r="AB49" s="4">
        <f>AA49/Z49-1</f>
        <v>0.13034518289541497</v>
      </c>
    </row>
    <row r="50" spans="1:28">
      <c r="A50" t="s">
        <v>111</v>
      </c>
      <c r="B50" t="s">
        <v>112</v>
      </c>
      <c r="C50" s="30">
        <v>2425</v>
      </c>
      <c r="E50" t="s">
        <v>112</v>
      </c>
      <c r="F50" s="30">
        <v>2656</v>
      </c>
      <c r="G50" t="b">
        <f>IF(B50=E50,TRUE,FALSE)</f>
        <v>1</v>
      </c>
      <c r="J50">
        <f>F50-C50</f>
        <v>231</v>
      </c>
      <c r="K50" s="4">
        <f>F50/C50-1</f>
        <v>9.5257731958762859E-2</v>
      </c>
      <c r="M50" s="5">
        <v>3933.95</v>
      </c>
      <c r="N50" s="5">
        <v>5003.68</v>
      </c>
      <c r="Q50" s="5">
        <v>31254.99</v>
      </c>
      <c r="U50" s="167">
        <f>N50-M50</f>
        <v>1069.7300000000005</v>
      </c>
      <c r="V50" s="4">
        <f>IF(M50=0,0,N50/M50-1)</f>
        <v>0.27192262230074116</v>
      </c>
      <c r="W50">
        <v>0.89439325113562618</v>
      </c>
      <c r="X50">
        <f>N50/F50</f>
        <v>1.8839156626506026</v>
      </c>
      <c r="Y50">
        <f>X50-W50</f>
        <v>0.98952241151497644</v>
      </c>
      <c r="Z50" s="18">
        <v>42222.53</v>
      </c>
      <c r="AA50" s="18">
        <v>50942.02</v>
      </c>
      <c r="AB50" s="4">
        <f>AA50/Z50-1</f>
        <v>0.20651273147298377</v>
      </c>
    </row>
    <row r="51" spans="1:28">
      <c r="A51" t="s">
        <v>113</v>
      </c>
      <c r="B51" t="s">
        <v>114</v>
      </c>
      <c r="C51" s="30">
        <v>516</v>
      </c>
      <c r="E51" t="s">
        <v>114</v>
      </c>
      <c r="F51" s="30">
        <v>746</v>
      </c>
      <c r="G51" t="b">
        <f>IF(B51=E51,TRUE,FALSE)</f>
        <v>1</v>
      </c>
      <c r="J51">
        <f>F51-C51</f>
        <v>230</v>
      </c>
      <c r="K51" s="4">
        <f>F51/C51-1</f>
        <v>0.44573643410852704</v>
      </c>
      <c r="M51" s="5">
        <v>1288.1500000000001</v>
      </c>
      <c r="N51" s="5">
        <v>1167.75</v>
      </c>
      <c r="Q51" s="5">
        <v>9456.68</v>
      </c>
      <c r="U51" s="167">
        <f>N51-M51</f>
        <v>-120.40000000000009</v>
      </c>
      <c r="V51" s="4">
        <f>IF(M51=0,0,N51/M51-1)</f>
        <v>-9.3467375693824573E-2</v>
      </c>
      <c r="W51">
        <v>2.7224436090225566</v>
      </c>
      <c r="X51">
        <f>N51/F51</f>
        <v>1.5653485254691688</v>
      </c>
      <c r="Y51">
        <f>X51-W51</f>
        <v>-1.1570950835533877</v>
      </c>
      <c r="Z51" s="18">
        <v>15474.84</v>
      </c>
      <c r="AA51" s="18">
        <v>22342.55</v>
      </c>
      <c r="AB51" s="4">
        <f>AA51/Z51-1</f>
        <v>0.443798449612403</v>
      </c>
    </row>
    <row r="52" spans="1:28">
      <c r="A52" t="s">
        <v>115</v>
      </c>
      <c r="B52" t="s">
        <v>116</v>
      </c>
      <c r="C52" s="30">
        <v>217</v>
      </c>
      <c r="E52" t="s">
        <v>116</v>
      </c>
      <c r="F52" s="30">
        <v>444</v>
      </c>
      <c r="G52" t="b">
        <f>IF(B52=E52,TRUE,FALSE)</f>
        <v>1</v>
      </c>
      <c r="J52">
        <f>F52-C52</f>
        <v>227</v>
      </c>
      <c r="K52" s="4">
        <f>F52/C52-1</f>
        <v>1.0460829493087558</v>
      </c>
      <c r="M52" s="5">
        <v>121.77</v>
      </c>
      <c r="N52" s="5">
        <v>278.83</v>
      </c>
      <c r="Q52" s="5">
        <v>2733.41</v>
      </c>
      <c r="U52" s="167">
        <f>N52-M52</f>
        <v>157.06</v>
      </c>
      <c r="V52" s="4">
        <f>IF(M52=0,0,N52/M52-1)</f>
        <v>1.2898086556623141</v>
      </c>
      <c r="W52">
        <v>0.41503703703703704</v>
      </c>
      <c r="X52">
        <f>N52/F52</f>
        <v>0.62799549549549549</v>
      </c>
      <c r="Y52">
        <f>X52-W52</f>
        <v>0.21295845845845846</v>
      </c>
      <c r="Z52" s="18">
        <v>4741.2</v>
      </c>
      <c r="AA52" s="18">
        <v>9745.7999999999993</v>
      </c>
      <c r="AB52" s="4">
        <f>AA52/Z52-1</f>
        <v>1.0555555555555554</v>
      </c>
    </row>
    <row r="53" spans="1:28">
      <c r="A53" t="s">
        <v>117</v>
      </c>
      <c r="B53" t="s">
        <v>118</v>
      </c>
      <c r="C53" s="30">
        <v>1455</v>
      </c>
      <c r="E53" t="s">
        <v>118</v>
      </c>
      <c r="F53" s="30">
        <v>1681</v>
      </c>
      <c r="G53" t="b">
        <f>IF(B53=E53,TRUE,FALSE)</f>
        <v>1</v>
      </c>
      <c r="J53">
        <f>F53-C53</f>
        <v>226</v>
      </c>
      <c r="K53" s="4">
        <f>F53/C53-1</f>
        <v>0.15532646048109955</v>
      </c>
      <c r="M53" s="5">
        <v>2209.62</v>
      </c>
      <c r="N53" s="5">
        <v>3245.25</v>
      </c>
      <c r="Q53" s="5">
        <v>15004.34</v>
      </c>
      <c r="U53" s="167">
        <f>N53-M53</f>
        <v>1035.6300000000001</v>
      </c>
      <c r="V53" s="4">
        <f>IF(M53=0,0,N53/M53-1)</f>
        <v>0.46869144920846129</v>
      </c>
      <c r="W53">
        <v>1.2218392469225199</v>
      </c>
      <c r="X53">
        <f>N53/F53</f>
        <v>1.9305472932778107</v>
      </c>
      <c r="Y53">
        <f>X53-W53</f>
        <v>0.70870804635529083</v>
      </c>
      <c r="Z53" s="18">
        <v>38784.54</v>
      </c>
      <c r="AA53" s="18">
        <v>44859.1</v>
      </c>
      <c r="AB53" s="4">
        <f>AA53/Z53-1</f>
        <v>0.15662323183412763</v>
      </c>
    </row>
    <row r="54" spans="1:28">
      <c r="A54" t="s">
        <v>119</v>
      </c>
      <c r="B54" t="s">
        <v>120</v>
      </c>
      <c r="C54" s="30">
        <v>2352</v>
      </c>
      <c r="E54" t="s">
        <v>120</v>
      </c>
      <c r="F54" s="30">
        <v>2577</v>
      </c>
      <c r="G54" t="b">
        <f>IF(B54=E54,TRUE,FALSE)</f>
        <v>1</v>
      </c>
      <c r="J54">
        <f>F54-C54</f>
        <v>225</v>
      </c>
      <c r="K54" s="4">
        <f>F54/C54-1</f>
        <v>9.5663265306122458E-2</v>
      </c>
      <c r="M54" s="5">
        <v>4923.53</v>
      </c>
      <c r="N54" s="5">
        <v>5023.1499999999996</v>
      </c>
      <c r="Q54" s="5">
        <v>28694.22</v>
      </c>
      <c r="U54" s="167">
        <f>N54-M54</f>
        <v>99.619999999999891</v>
      </c>
      <c r="V54" s="4">
        <f>IF(M54=0,0,N54/M54-1)</f>
        <v>2.0233450390268803E-2</v>
      </c>
      <c r="W54">
        <v>2.0314367088607597</v>
      </c>
      <c r="X54">
        <f>N54/F54</f>
        <v>1.9492239037640666</v>
      </c>
      <c r="Y54">
        <f>X54-W54</f>
        <v>-8.2212805096693042E-2</v>
      </c>
      <c r="Z54" s="18">
        <v>70506.490000000005</v>
      </c>
      <c r="AA54" s="18">
        <v>77284.23</v>
      </c>
      <c r="AB54" s="4">
        <f>AA54/Z54-1</f>
        <v>9.6129306678009119E-2</v>
      </c>
    </row>
    <row r="55" spans="1:28">
      <c r="A55" t="s">
        <v>121</v>
      </c>
      <c r="B55" t="s">
        <v>122</v>
      </c>
      <c r="C55" s="30">
        <v>5408</v>
      </c>
      <c r="E55" t="s">
        <v>122</v>
      </c>
      <c r="F55" s="30">
        <v>5633</v>
      </c>
      <c r="G55" t="b">
        <f>IF(B55=E55,TRUE,FALSE)</f>
        <v>1</v>
      </c>
      <c r="J55">
        <f>F55-C55</f>
        <v>225</v>
      </c>
      <c r="K55" s="4">
        <f>F55/C55-1</f>
        <v>4.1605029585798814E-2</v>
      </c>
      <c r="M55" s="5">
        <v>3382.44</v>
      </c>
      <c r="N55" s="5">
        <v>3251.64</v>
      </c>
      <c r="Q55" s="5">
        <v>31906.44</v>
      </c>
      <c r="U55" s="167">
        <f>N55-M55</f>
        <v>-130.80000000000018</v>
      </c>
      <c r="V55" s="4">
        <f>IF(M55=0,0,N55/M55-1)</f>
        <v>-3.8670309007698633E-2</v>
      </c>
      <c r="W55">
        <v>0.56493914582872318</v>
      </c>
      <c r="X55">
        <f>N55/F55</f>
        <v>0.57724835789099949</v>
      </c>
      <c r="Y55">
        <f>X55-W55</f>
        <v>1.2309212062276309E-2</v>
      </c>
      <c r="Z55" s="18">
        <v>163234.71</v>
      </c>
      <c r="AA55" s="18">
        <v>164315.06</v>
      </c>
      <c r="AB55" s="4">
        <f>AA55/Z55-1</f>
        <v>6.6183840434428376E-3</v>
      </c>
    </row>
    <row r="56" spans="1:28">
      <c r="A56" t="s">
        <v>123</v>
      </c>
      <c r="B56" t="s">
        <v>124</v>
      </c>
      <c r="C56" s="30">
        <v>428</v>
      </c>
      <c r="E56" t="s">
        <v>124</v>
      </c>
      <c r="F56" s="30">
        <v>652</v>
      </c>
      <c r="G56" t="b">
        <f>IF(B56=E56,TRUE,FALSE)</f>
        <v>1</v>
      </c>
      <c r="J56">
        <f>F56-C56</f>
        <v>224</v>
      </c>
      <c r="K56" s="4">
        <f>F56/C56-1</f>
        <v>0.52336448598130847</v>
      </c>
      <c r="M56" s="5">
        <v>926.5</v>
      </c>
      <c r="N56" s="5">
        <v>1543.21</v>
      </c>
      <c r="Q56" s="5">
        <v>8216.39</v>
      </c>
      <c r="U56" s="167">
        <f>N56-M56</f>
        <v>616.71</v>
      </c>
      <c r="V56" s="4">
        <f>IF(M56=0,0,N56/M56-1)</f>
        <v>0.6656341068537508</v>
      </c>
      <c r="W56">
        <v>2.9827777777777778</v>
      </c>
      <c r="X56">
        <f>N56/F56</f>
        <v>2.3668865030674846</v>
      </c>
      <c r="Y56">
        <f>X56-W56</f>
        <v>-0.61589127471029315</v>
      </c>
      <c r="Z56" s="18">
        <v>5987.72</v>
      </c>
      <c r="AA56" s="18">
        <v>9363.48</v>
      </c>
      <c r="AB56" s="4">
        <f>AA56/Z56-1</f>
        <v>0.56378053750008328</v>
      </c>
    </row>
    <row r="57" spans="1:28">
      <c r="A57" t="s">
        <v>125</v>
      </c>
      <c r="B57" t="s">
        <v>126</v>
      </c>
      <c r="C57" s="30">
        <v>389</v>
      </c>
      <c r="E57" t="s">
        <v>126</v>
      </c>
      <c r="F57" s="30">
        <v>613</v>
      </c>
      <c r="G57" t="b">
        <f>IF(B57=E57,TRUE,FALSE)</f>
        <v>1</v>
      </c>
      <c r="J57">
        <f>F57-C57</f>
        <v>224</v>
      </c>
      <c r="K57" s="4">
        <f>F57/C57-1</f>
        <v>0.57583547557840609</v>
      </c>
      <c r="M57" s="5">
        <v>1264.1099999999999</v>
      </c>
      <c r="N57" s="5">
        <v>1513.71</v>
      </c>
      <c r="Q57" s="5">
        <v>8553.2999999999993</v>
      </c>
      <c r="U57" s="167">
        <f>N57-M57</f>
        <v>249.60000000000014</v>
      </c>
      <c r="V57" s="4">
        <f>IF(M57=0,0,N57/M57-1)</f>
        <v>0.19745117117972333</v>
      </c>
      <c r="W57">
        <v>5.4076791808873725</v>
      </c>
      <c r="X57">
        <f>N57/F57</f>
        <v>2.4693474714518762</v>
      </c>
      <c r="Y57">
        <f>X57-W57</f>
        <v>-2.9383317094354964</v>
      </c>
      <c r="Z57" s="18">
        <v>10208.98</v>
      </c>
      <c r="AA57" s="18">
        <v>15829</v>
      </c>
      <c r="AB57" s="4">
        <f>AA57/Z57-1</f>
        <v>0.55049769908453161</v>
      </c>
    </row>
    <row r="58" spans="1:28">
      <c r="A58" t="s">
        <v>127</v>
      </c>
      <c r="B58" t="s">
        <v>128</v>
      </c>
      <c r="C58" s="30">
        <v>1115</v>
      </c>
      <c r="E58" t="s">
        <v>128</v>
      </c>
      <c r="F58" s="30">
        <v>1326</v>
      </c>
      <c r="G58" t="b">
        <f>IF(B58=E58,TRUE,FALSE)</f>
        <v>1</v>
      </c>
      <c r="J58">
        <f>F58-C58</f>
        <v>211</v>
      </c>
      <c r="K58" s="4">
        <f>F58/C58-1</f>
        <v>0.18923766816143495</v>
      </c>
      <c r="M58" s="5">
        <v>2636.91</v>
      </c>
      <c r="N58" s="5">
        <v>2816.7</v>
      </c>
      <c r="Q58" s="5">
        <v>15271.56</v>
      </c>
      <c r="U58" s="167">
        <f>N58-M58</f>
        <v>179.78999999999996</v>
      </c>
      <c r="V58" s="4">
        <f>IF(M58=0,0,N58/M58-1)</f>
        <v>6.8182076748922071E-2</v>
      </c>
      <c r="W58">
        <v>2.1410979228486644</v>
      </c>
      <c r="X58">
        <f>N58/F58</f>
        <v>2.1242081447963801</v>
      </c>
      <c r="Y58">
        <f>X58-W58</f>
        <v>-1.688977805228431E-2</v>
      </c>
      <c r="Z58" s="18">
        <v>30130.1</v>
      </c>
      <c r="AA58" s="18">
        <v>35735.699999999997</v>
      </c>
      <c r="AB58" s="4">
        <f>AA58/Z58-1</f>
        <v>0.18604651162790686</v>
      </c>
    </row>
    <row r="59" spans="1:28">
      <c r="A59" t="s">
        <v>129</v>
      </c>
      <c r="B59" t="s">
        <v>130</v>
      </c>
      <c r="C59" s="30">
        <v>2306</v>
      </c>
      <c r="E59" t="s">
        <v>130</v>
      </c>
      <c r="F59" s="30">
        <v>2514</v>
      </c>
      <c r="G59" t="b">
        <f>IF(B59=E59,TRUE,FALSE)</f>
        <v>1</v>
      </c>
      <c r="J59">
        <f>F59-C59</f>
        <v>208</v>
      </c>
      <c r="K59" s="4">
        <f>F59/C59-1</f>
        <v>9.0199479618386924E-2</v>
      </c>
      <c r="M59" s="5">
        <v>2118.27</v>
      </c>
      <c r="N59" s="5">
        <v>2598.67</v>
      </c>
      <c r="Q59" s="5">
        <v>16675.73</v>
      </c>
      <c r="U59" s="167">
        <f>N59-M59</f>
        <v>480.40000000000009</v>
      </c>
      <c r="V59" s="4">
        <f>IF(M59=0,0,N59/M59-1)</f>
        <v>0.22678884183791492</v>
      </c>
      <c r="W59">
        <v>0.48350433798566578</v>
      </c>
      <c r="X59">
        <f>N59/F59</f>
        <v>1.0336793953858394</v>
      </c>
      <c r="Y59">
        <f>X59-W59</f>
        <v>0.55017505740017358</v>
      </c>
      <c r="Z59" s="18">
        <v>37537.99</v>
      </c>
      <c r="AA59" s="18">
        <v>36709.22</v>
      </c>
      <c r="AB59" s="4">
        <f>AA59/Z59-1</f>
        <v>-2.2078166678610067E-2</v>
      </c>
    </row>
    <row r="60" spans="1:28">
      <c r="A60" t="s">
        <v>131</v>
      </c>
      <c r="B60" t="s">
        <v>132</v>
      </c>
      <c r="C60" s="30">
        <v>2472</v>
      </c>
      <c r="E60" t="s">
        <v>132</v>
      </c>
      <c r="F60" s="30">
        <v>2677</v>
      </c>
      <c r="G60" t="b">
        <f>IF(B60=E60,TRUE,FALSE)</f>
        <v>1</v>
      </c>
      <c r="J60">
        <f>F60-C60</f>
        <v>205</v>
      </c>
      <c r="K60" s="4">
        <f>F60/C60-1</f>
        <v>8.2928802588996708E-2</v>
      </c>
      <c r="M60" s="5">
        <v>4205.25</v>
      </c>
      <c r="N60" s="5">
        <v>4678.3900000000003</v>
      </c>
      <c r="Q60" s="5">
        <v>25872.07</v>
      </c>
      <c r="U60" s="167">
        <f>N60-M60</f>
        <v>473.14000000000033</v>
      </c>
      <c r="V60" s="4">
        <f>IF(M60=0,0,N60/M60-1)</f>
        <v>0.11251174127578634</v>
      </c>
      <c r="W60">
        <v>1.6603831231813773</v>
      </c>
      <c r="X60">
        <f>N60/F60</f>
        <v>1.7476242062009713</v>
      </c>
      <c r="Y60">
        <f>X60-W60</f>
        <v>8.724108301959399E-2</v>
      </c>
      <c r="Z60" s="18">
        <v>74036.399999999994</v>
      </c>
      <c r="AA60" s="18">
        <v>80116.25</v>
      </c>
      <c r="AB60" s="4">
        <f>AA60/Z60-1</f>
        <v>8.2119741100323607E-2</v>
      </c>
    </row>
    <row r="61" spans="1:28">
      <c r="A61" t="s">
        <v>133</v>
      </c>
      <c r="B61" t="s">
        <v>134</v>
      </c>
      <c r="C61" s="30">
        <v>2308</v>
      </c>
      <c r="E61" t="s">
        <v>134</v>
      </c>
      <c r="F61" s="30">
        <v>2511</v>
      </c>
      <c r="G61" t="b">
        <f>IF(B61=E61,TRUE,FALSE)</f>
        <v>1</v>
      </c>
      <c r="J61">
        <f>F61-C61</f>
        <v>203</v>
      </c>
      <c r="K61" s="4">
        <f>F61/C61-1</f>
        <v>8.7954939341421179E-2</v>
      </c>
      <c r="M61" s="5">
        <v>2264.17</v>
      </c>
      <c r="N61" s="5">
        <v>2473.92</v>
      </c>
      <c r="Q61" s="5">
        <v>27854.13</v>
      </c>
      <c r="U61" s="167">
        <f>N61-M61</f>
        <v>209.75</v>
      </c>
      <c r="V61" s="4">
        <f>IF(M61=0,0,N61/M61-1)</f>
        <v>9.2638803623402932E-2</v>
      </c>
      <c r="W61">
        <v>0.87844308035714291</v>
      </c>
      <c r="X61">
        <f>N61/F61</f>
        <v>0.9852329749103943</v>
      </c>
      <c r="Y61">
        <f>X61-W61</f>
        <v>0.10678989455325139</v>
      </c>
      <c r="Z61" s="18">
        <v>81677.929999999993</v>
      </c>
      <c r="AA61" s="18">
        <v>83973.930000000008</v>
      </c>
      <c r="AB61" s="4">
        <f>AA61/Z61-1</f>
        <v>2.8110408772602513E-2</v>
      </c>
    </row>
    <row r="62" spans="1:28">
      <c r="A62" t="s">
        <v>135</v>
      </c>
      <c r="B62" t="s">
        <v>136</v>
      </c>
      <c r="C62" s="30">
        <v>1460</v>
      </c>
      <c r="E62" t="s">
        <v>136</v>
      </c>
      <c r="F62" s="30">
        <v>1658</v>
      </c>
      <c r="G62" t="b">
        <f>IF(B62=E62,TRUE,FALSE)</f>
        <v>1</v>
      </c>
      <c r="J62">
        <f>F62-C62</f>
        <v>198</v>
      </c>
      <c r="K62" s="4">
        <f>F62/C62-1</f>
        <v>0.13561643835616444</v>
      </c>
      <c r="L62" s="5"/>
      <c r="M62" s="5">
        <v>3151.9</v>
      </c>
      <c r="N62" s="5">
        <v>4124.5</v>
      </c>
      <c r="O62" s="5"/>
      <c r="P62" s="5"/>
      <c r="Q62" s="5">
        <v>23274.45</v>
      </c>
      <c r="R62" s="5"/>
      <c r="S62" s="5"/>
      <c r="T62" s="5"/>
      <c r="U62" s="167">
        <f>N62-M62</f>
        <v>972.59999999999991</v>
      </c>
      <c r="V62" s="4">
        <f>IF(M62=0,0,N62/M62-1)</f>
        <v>0.30857577968844185</v>
      </c>
      <c r="W62">
        <v>1.8065467075038284</v>
      </c>
      <c r="X62">
        <f>N62/F62</f>
        <v>2.4876357056694811</v>
      </c>
      <c r="Y62">
        <f>X62-W62</f>
        <v>0.68108899816565271</v>
      </c>
      <c r="Z62" s="18">
        <v>43785.4</v>
      </c>
      <c r="AA62" s="18">
        <v>49723.42</v>
      </c>
      <c r="AB62" s="4">
        <f>AA62/Z62-1</f>
        <v>0.13561643835616422</v>
      </c>
    </row>
    <row r="63" spans="1:28">
      <c r="A63" t="s">
        <v>137</v>
      </c>
      <c r="B63" t="s">
        <v>138</v>
      </c>
      <c r="C63" s="30">
        <v>1869</v>
      </c>
      <c r="E63" t="s">
        <v>138</v>
      </c>
      <c r="F63" s="30">
        <v>2067</v>
      </c>
      <c r="G63" t="b">
        <f>IF(B63=E63,TRUE,FALSE)</f>
        <v>1</v>
      </c>
      <c r="J63" s="27">
        <f>F63-C63</f>
        <v>198</v>
      </c>
      <c r="K63" s="4">
        <f>F63/C63-1</f>
        <v>0.10593900481540941</v>
      </c>
      <c r="M63" s="5">
        <v>2843.07</v>
      </c>
      <c r="N63" s="5">
        <v>1152.29</v>
      </c>
      <c r="Q63" s="5">
        <v>6559.67</v>
      </c>
      <c r="U63" s="167">
        <f>N63-M63</f>
        <v>-1690.7800000000002</v>
      </c>
      <c r="V63" s="4">
        <f>IF(M63=0,0,N63/M63-1)</f>
        <v>-0.59470220571424548</v>
      </c>
      <c r="W63">
        <v>1.0603868739205526</v>
      </c>
      <c r="X63">
        <f>N63/F63</f>
        <v>0.557469762941461</v>
      </c>
      <c r="Y63">
        <f>X63-W63</f>
        <v>-0.50291711097909164</v>
      </c>
      <c r="Z63" s="18">
        <v>69729.77</v>
      </c>
      <c r="AA63" s="18">
        <v>79672.31</v>
      </c>
      <c r="AB63" s="4">
        <f>AA63/Z63-1</f>
        <v>0.1425867316068874</v>
      </c>
    </row>
    <row r="64" spans="1:28">
      <c r="A64" t="s">
        <v>139</v>
      </c>
      <c r="B64" t="s">
        <v>140</v>
      </c>
      <c r="C64" s="30">
        <v>1314</v>
      </c>
      <c r="E64" t="s">
        <v>140</v>
      </c>
      <c r="F64" s="30">
        <v>1500</v>
      </c>
      <c r="G64" t="b">
        <f>IF(B64=E64,TRUE,FALSE)</f>
        <v>1</v>
      </c>
      <c r="J64">
        <f>F64-C64</f>
        <v>186</v>
      </c>
      <c r="K64" s="4">
        <f>F64/C64-1</f>
        <v>0.14155251141552516</v>
      </c>
      <c r="M64" s="5">
        <v>3234.32</v>
      </c>
      <c r="N64" s="5">
        <v>3242.85</v>
      </c>
      <c r="Q64" s="5">
        <v>18773.43</v>
      </c>
      <c r="U64" s="167">
        <f>N64-M64</f>
        <v>8.5299999999997453</v>
      </c>
      <c r="V64" s="4">
        <f>IF(M64=0,0,N64/M64-1)</f>
        <v>2.6373395335030914E-3</v>
      </c>
      <c r="W64">
        <v>1.8983123689727464</v>
      </c>
      <c r="X64">
        <f>N64/F64</f>
        <v>2.1619000000000002</v>
      </c>
      <c r="Y64">
        <f>X64-W64</f>
        <v>0.2635876310272538</v>
      </c>
      <c r="Z64" s="18">
        <v>35385.35</v>
      </c>
      <c r="AA64" s="18">
        <v>40398.050000000003</v>
      </c>
      <c r="AB64" s="4">
        <f>AA64/Z64-1</f>
        <v>0.14166031987814187</v>
      </c>
    </row>
    <row r="65" spans="1:28">
      <c r="A65" t="s">
        <v>141</v>
      </c>
      <c r="B65" t="s">
        <v>142</v>
      </c>
      <c r="C65" s="30">
        <v>1068</v>
      </c>
      <c r="E65" t="s">
        <v>142</v>
      </c>
      <c r="F65" s="30">
        <v>1249</v>
      </c>
      <c r="G65" t="b">
        <f>IF(B65=E65,TRUE,FALSE)</f>
        <v>1</v>
      </c>
      <c r="J65">
        <f>F65-C65</f>
        <v>181</v>
      </c>
      <c r="K65" s="4">
        <f>F65/C65-1</f>
        <v>0.16947565543071152</v>
      </c>
      <c r="M65" s="5">
        <v>1453</v>
      </c>
      <c r="N65" s="5">
        <v>1523.67</v>
      </c>
      <c r="Q65" s="5">
        <v>9610.26</v>
      </c>
      <c r="U65" s="167">
        <f>N65-M65</f>
        <v>70.670000000000073</v>
      </c>
      <c r="V65" s="4">
        <f>IF(M65=0,0,N65/M65-1)</f>
        <v>4.8637302133516913E-2</v>
      </c>
      <c r="W65">
        <v>1.189973297730307</v>
      </c>
      <c r="X65">
        <f>N65/F65</f>
        <v>1.2199119295436349</v>
      </c>
      <c r="Y65">
        <f>X65-W65</f>
        <v>2.9938631813327898E-2</v>
      </c>
      <c r="Z65" s="18">
        <v>24510.6</v>
      </c>
      <c r="AA65" s="18">
        <v>28664.55</v>
      </c>
      <c r="AB65" s="4">
        <f>AA65/Z65-1</f>
        <v>0.16947565543071175</v>
      </c>
    </row>
    <row r="66" spans="1:28">
      <c r="A66" t="s">
        <v>143</v>
      </c>
      <c r="B66" t="s">
        <v>144</v>
      </c>
      <c r="C66" s="30">
        <v>974</v>
      </c>
      <c r="E66" t="s">
        <v>144</v>
      </c>
      <c r="F66" s="30">
        <v>1150</v>
      </c>
      <c r="G66" t="b">
        <f>IF(B66=E66,TRUE,FALSE)</f>
        <v>1</v>
      </c>
      <c r="J66">
        <f>F66-C66</f>
        <v>176</v>
      </c>
      <c r="K66" s="4">
        <f>F66/C66-1</f>
        <v>0.1806981519507187</v>
      </c>
      <c r="M66" s="5">
        <v>908.23</v>
      </c>
      <c r="N66" s="5">
        <v>1379.51</v>
      </c>
      <c r="Q66" s="5">
        <v>7048.41</v>
      </c>
      <c r="U66" s="167">
        <f>N66-M66</f>
        <v>471.28</v>
      </c>
      <c r="V66" s="4">
        <f>IF(M66=0,0,N66/M66-1)</f>
        <v>0.51889939772964988</v>
      </c>
      <c r="W66">
        <v>0.67438356164383562</v>
      </c>
      <c r="X66">
        <f>N66/F66</f>
        <v>1.1995739130434782</v>
      </c>
      <c r="Y66">
        <f>X66-W66</f>
        <v>0.52519035139964254</v>
      </c>
      <c r="Z66" s="18">
        <v>23327.3</v>
      </c>
      <c r="AA66" s="18">
        <v>27518.55</v>
      </c>
      <c r="AB66" s="4">
        <f>AA66/Z66-1</f>
        <v>0.17967145790554406</v>
      </c>
    </row>
    <row r="67" spans="1:28">
      <c r="A67" t="s">
        <v>145</v>
      </c>
      <c r="B67" t="s">
        <v>146</v>
      </c>
      <c r="C67" s="30">
        <v>763</v>
      </c>
      <c r="E67" t="s">
        <v>146</v>
      </c>
      <c r="F67" s="30">
        <v>932</v>
      </c>
      <c r="G67" t="b">
        <f>IF(B67=E67,TRUE,FALSE)</f>
        <v>1</v>
      </c>
      <c r="J67">
        <f>F67-C67</f>
        <v>169</v>
      </c>
      <c r="K67" s="4">
        <f>F67/C67-1</f>
        <v>0.22149410222804722</v>
      </c>
      <c r="M67" s="5">
        <v>931.47</v>
      </c>
      <c r="N67" s="5">
        <v>1032.94</v>
      </c>
      <c r="Q67" s="5">
        <v>7218.83</v>
      </c>
      <c r="U67" s="167">
        <f>N67-M67</f>
        <v>101.47000000000003</v>
      </c>
      <c r="V67" s="4">
        <f>IF(M67=0,0,N67/M67-1)</f>
        <v>0.10893533876560713</v>
      </c>
      <c r="W67">
        <v>1.0049327354260089</v>
      </c>
      <c r="X67">
        <f>N67/F67</f>
        <v>1.108304721030043</v>
      </c>
      <c r="Y67">
        <f>X67-W67</f>
        <v>0.10337198560403404</v>
      </c>
      <c r="Z67" s="18">
        <v>18281.48</v>
      </c>
      <c r="AA67" s="18">
        <v>22533.72</v>
      </c>
      <c r="AB67" s="4">
        <f>AA67/Z67-1</f>
        <v>0.23259823602903063</v>
      </c>
    </row>
    <row r="68" spans="1:28">
      <c r="A68" t="s">
        <v>147</v>
      </c>
      <c r="B68" t="s">
        <v>148</v>
      </c>
      <c r="C68" s="30">
        <v>1357</v>
      </c>
      <c r="E68" t="s">
        <v>148</v>
      </c>
      <c r="F68" s="30">
        <v>1509</v>
      </c>
      <c r="G68" t="b">
        <f>IF(B68=E68,TRUE,FALSE)</f>
        <v>1</v>
      </c>
      <c r="J68">
        <f>F68-C68</f>
        <v>152</v>
      </c>
      <c r="K68" s="4">
        <f>F68/C68-1</f>
        <v>0.11201179071481215</v>
      </c>
      <c r="M68" s="5">
        <v>2059.92</v>
      </c>
      <c r="N68" s="5">
        <v>1951.13</v>
      </c>
      <c r="Q68" s="5">
        <v>13921.12</v>
      </c>
      <c r="U68" s="167">
        <f>N68-M68</f>
        <v>-108.78999999999996</v>
      </c>
      <c r="V68" s="4">
        <f>IF(M68=0,0,N68/M68-1)</f>
        <v>-5.2812730591479284E-2</v>
      </c>
      <c r="W68">
        <v>1.964102564102564</v>
      </c>
      <c r="X68">
        <f>N68/F68</f>
        <v>1.2929953611663354</v>
      </c>
      <c r="Y68">
        <f>X68-W68</f>
        <v>-0.67110720293622861</v>
      </c>
      <c r="Z68" s="18">
        <v>36595.189999999995</v>
      </c>
      <c r="AA68" s="18">
        <v>42239.92</v>
      </c>
      <c r="AB68" s="4">
        <f>AA68/Z68-1</f>
        <v>0.15424786700110049</v>
      </c>
    </row>
    <row r="69" spans="1:28">
      <c r="A69" t="s">
        <v>149</v>
      </c>
      <c r="B69" t="s">
        <v>150</v>
      </c>
      <c r="C69" s="30">
        <v>519</v>
      </c>
      <c r="E69" t="s">
        <v>150</v>
      </c>
      <c r="F69" s="30">
        <v>654</v>
      </c>
      <c r="G69" t="b">
        <f>IF(B69=E69,TRUE,FALSE)</f>
        <v>1</v>
      </c>
      <c r="J69">
        <f>F69-C69</f>
        <v>135</v>
      </c>
      <c r="K69" s="4">
        <f>F69/C69-1</f>
        <v>0.26011560693641611</v>
      </c>
      <c r="M69" s="5">
        <v>1923.2</v>
      </c>
      <c r="N69" s="5">
        <v>1923.98</v>
      </c>
      <c r="Q69" s="5">
        <v>10154.18</v>
      </c>
      <c r="U69" s="167">
        <f>N69-M69</f>
        <v>0.77999999999997272</v>
      </c>
      <c r="V69" s="4">
        <f>IF(M69=0,0,N69/M69-1)</f>
        <v>4.0557404326113655E-4</v>
      </c>
      <c r="W69">
        <v>2.7606208425720622</v>
      </c>
      <c r="X69">
        <f>N69/F69</f>
        <v>2.9418654434250766</v>
      </c>
      <c r="Y69">
        <f>X69-W69</f>
        <v>0.18124460085301441</v>
      </c>
      <c r="Z69" s="18">
        <v>13980.82</v>
      </c>
      <c r="AA69" s="18">
        <v>16469.46</v>
      </c>
      <c r="AB69" s="4">
        <f>AA69/Z69-1</f>
        <v>0.17800386529545476</v>
      </c>
    </row>
    <row r="70" spans="1:28">
      <c r="A70" t="s">
        <v>151</v>
      </c>
      <c r="B70" t="s">
        <v>152</v>
      </c>
      <c r="C70" s="30">
        <v>1029</v>
      </c>
      <c r="E70" t="s">
        <v>152</v>
      </c>
      <c r="F70" s="30">
        <v>1161</v>
      </c>
      <c r="G70" t="b">
        <f>IF(B70=E70,TRUE,FALSE)</f>
        <v>1</v>
      </c>
      <c r="J70">
        <f>F70-C70</f>
        <v>132</v>
      </c>
      <c r="K70" s="4">
        <f>F70/C70-1</f>
        <v>0.12827988338192431</v>
      </c>
      <c r="M70" s="5">
        <v>724.17</v>
      </c>
      <c r="N70" s="5">
        <v>883.15</v>
      </c>
      <c r="Q70" s="5">
        <v>4568.79</v>
      </c>
      <c r="U70" s="167">
        <f>N70-M70</f>
        <v>158.98000000000002</v>
      </c>
      <c r="V70" s="4">
        <f>IF(M70=0,0,N70/M70-1)</f>
        <v>0.21953408729994339</v>
      </c>
      <c r="W70">
        <v>0.54211491442542781</v>
      </c>
      <c r="X70">
        <f>N70/F70</f>
        <v>0.7606804478897502</v>
      </c>
      <c r="Y70">
        <f>X70-W70</f>
        <v>0.21856553346432239</v>
      </c>
      <c r="Z70" s="18">
        <v>19731.71</v>
      </c>
      <c r="AA70" s="18">
        <v>22224.36</v>
      </c>
      <c r="AB70" s="4">
        <f>AA70/Z70-1</f>
        <v>0.12632711508531203</v>
      </c>
    </row>
    <row r="71" spans="1:28">
      <c r="A71" t="s">
        <v>153</v>
      </c>
      <c r="B71" t="s">
        <v>154</v>
      </c>
      <c r="C71" s="30">
        <v>942</v>
      </c>
      <c r="E71" t="s">
        <v>154</v>
      </c>
      <c r="F71" s="30">
        <v>1070</v>
      </c>
      <c r="G71" t="b">
        <f>IF(B71=E71,TRUE,FALSE)</f>
        <v>1</v>
      </c>
      <c r="J71">
        <f>F71-C71</f>
        <v>128</v>
      </c>
      <c r="K71" s="4">
        <f>F71/C71-1</f>
        <v>0.13588110403397025</v>
      </c>
      <c r="M71" s="5">
        <v>1356.69</v>
      </c>
      <c r="N71" s="5">
        <v>1533.49</v>
      </c>
      <c r="Q71" s="5">
        <v>11748.84</v>
      </c>
      <c r="U71" s="167">
        <f>N71-M71</f>
        <v>176.79999999999995</v>
      </c>
      <c r="V71" s="4">
        <f>IF(M71=0,0,N71/M71-1)</f>
        <v>0.13031716899217938</v>
      </c>
      <c r="W71">
        <v>1.2784961240310078</v>
      </c>
      <c r="X71">
        <f>N71/F71</f>
        <v>1.4331682242990653</v>
      </c>
      <c r="Y71">
        <f>X71-W71</f>
        <v>0.15467210026805756</v>
      </c>
      <c r="Z71" s="18">
        <v>20698.849999999999</v>
      </c>
      <c r="AA71" s="18">
        <v>23464.55</v>
      </c>
      <c r="AB71" s="4">
        <f>AA71/Z71-1</f>
        <v>0.13361611876988344</v>
      </c>
    </row>
    <row r="72" spans="1:28">
      <c r="A72" t="s">
        <v>155</v>
      </c>
      <c r="B72" t="s">
        <v>156</v>
      </c>
      <c r="C72" s="30">
        <v>995</v>
      </c>
      <c r="E72" t="s">
        <v>156</v>
      </c>
      <c r="F72" s="30">
        <v>1109</v>
      </c>
      <c r="G72" t="b">
        <f>IF(B72=E72,TRUE,FALSE)</f>
        <v>1</v>
      </c>
      <c r="J72">
        <f>F72-C72</f>
        <v>114</v>
      </c>
      <c r="K72" s="4">
        <f>F72/C72-1</f>
        <v>0.11457286432160796</v>
      </c>
      <c r="M72" s="5">
        <v>1168.8900000000001</v>
      </c>
      <c r="N72" s="5">
        <v>2476.85</v>
      </c>
      <c r="Q72" s="5">
        <v>13705.66</v>
      </c>
      <c r="U72" s="167">
        <f>N72-M72</f>
        <v>1307.9599999999998</v>
      </c>
      <c r="V72" s="4">
        <f>IF(M72=0,0,N72/M72-1)</f>
        <v>1.1189761226462709</v>
      </c>
      <c r="W72">
        <v>2.1388604240282687</v>
      </c>
      <c r="X72">
        <f>N72/F72</f>
        <v>2.2334084761045987</v>
      </c>
      <c r="Y72">
        <f>X72-W72</f>
        <v>9.4548052076329991E-2</v>
      </c>
      <c r="Z72" s="18">
        <v>22571.05</v>
      </c>
      <c r="AA72" s="18">
        <v>25472.92</v>
      </c>
      <c r="AB72" s="4">
        <f>AA72/Z72-1</f>
        <v>0.12856601708826121</v>
      </c>
    </row>
    <row r="73" spans="1:28">
      <c r="A73" t="s">
        <v>157</v>
      </c>
      <c r="B73" t="s">
        <v>158</v>
      </c>
      <c r="C73" s="30">
        <v>838</v>
      </c>
      <c r="E73" t="s">
        <v>158</v>
      </c>
      <c r="F73" s="30">
        <v>952</v>
      </c>
      <c r="G73" t="b">
        <f>IF(B73=E73,TRUE,FALSE)</f>
        <v>1</v>
      </c>
      <c r="J73">
        <f>F73-C73</f>
        <v>114</v>
      </c>
      <c r="K73" s="4">
        <f>F73/C73-1</f>
        <v>0.13603818615751795</v>
      </c>
      <c r="M73" s="5">
        <v>1124.5999999999999</v>
      </c>
      <c r="N73" s="5">
        <v>1464.03</v>
      </c>
      <c r="Q73" s="5">
        <v>13526.42</v>
      </c>
      <c r="U73" s="167">
        <f>N73-M73</f>
        <v>339.43000000000006</v>
      </c>
      <c r="V73" s="4">
        <f>IF(M73=0,0,N73/M73-1)</f>
        <v>0.30182287035390365</v>
      </c>
      <c r="W73">
        <v>1.1771052631578949</v>
      </c>
      <c r="X73">
        <f>N73/F73</f>
        <v>1.5378466386554621</v>
      </c>
      <c r="Y73">
        <f>X73-W73</f>
        <v>0.36074137549756724</v>
      </c>
      <c r="Z73" s="18">
        <v>25129.22</v>
      </c>
      <c r="AA73" s="18">
        <v>28550.48</v>
      </c>
      <c r="AB73" s="4">
        <f>AA73/Z73-1</f>
        <v>0.136146685014497</v>
      </c>
    </row>
    <row r="74" spans="1:28">
      <c r="A74" t="s">
        <v>159</v>
      </c>
      <c r="B74" t="s">
        <v>160</v>
      </c>
      <c r="C74" s="30">
        <v>3619</v>
      </c>
      <c r="E74" t="s">
        <v>160</v>
      </c>
      <c r="F74" s="30">
        <v>3732</v>
      </c>
      <c r="G74" t="b">
        <f>IF(B74=E74,TRUE,FALSE)</f>
        <v>1</v>
      </c>
      <c r="J74">
        <f>F74-C74</f>
        <v>113</v>
      </c>
      <c r="K74" s="4">
        <f>F74/C74-1</f>
        <v>3.1224095053882239E-2</v>
      </c>
      <c r="M74" s="5">
        <v>5288.58</v>
      </c>
      <c r="N74" s="5">
        <v>7397.98</v>
      </c>
      <c r="Q74" s="5">
        <v>36223.620000000003</v>
      </c>
      <c r="U74" s="167">
        <f>N74-M74</f>
        <v>2109.3999999999996</v>
      </c>
      <c r="V74" s="4">
        <f>IF(M74=0,0,N74/M74-1)</f>
        <v>0.39885942918514972</v>
      </c>
      <c r="W74">
        <v>1.5092698706099816</v>
      </c>
      <c r="X74">
        <f>N74/F74</f>
        <v>1.9823097534833869</v>
      </c>
      <c r="Y74">
        <f>X74-W74</f>
        <v>0.47303988287340526</v>
      </c>
      <c r="Z74" s="18">
        <v>107315.64</v>
      </c>
      <c r="AA74" s="18">
        <v>110559.36</v>
      </c>
      <c r="AB74" s="4">
        <f>AA74/Z74-1</f>
        <v>3.0225976381448305E-2</v>
      </c>
    </row>
    <row r="75" spans="1:28">
      <c r="A75" t="s">
        <v>161</v>
      </c>
      <c r="B75" t="s">
        <v>162</v>
      </c>
      <c r="C75" s="30">
        <v>1300</v>
      </c>
      <c r="E75" t="s">
        <v>162</v>
      </c>
      <c r="F75" s="30">
        <v>1412</v>
      </c>
      <c r="G75" t="b">
        <f>IF(B75=E75,TRUE,FALSE)</f>
        <v>1</v>
      </c>
      <c r="J75">
        <f>F75-C75</f>
        <v>112</v>
      </c>
      <c r="K75" s="4">
        <f>F75/C75-1</f>
        <v>8.6153846153846247E-2</v>
      </c>
      <c r="M75" s="5">
        <v>1842.15</v>
      </c>
      <c r="N75" s="5">
        <v>2519.35</v>
      </c>
      <c r="Q75" s="5">
        <v>18407.63</v>
      </c>
      <c r="U75" s="167">
        <f>N75-M75</f>
        <v>677.19999999999982</v>
      </c>
      <c r="V75" s="4">
        <f>IF(M75=0,0,N75/M75-1)</f>
        <v>0.36761392937600079</v>
      </c>
      <c r="W75">
        <v>1.0797962962962964</v>
      </c>
      <c r="X75">
        <f>N75/F75</f>
        <v>1.7842422096317281</v>
      </c>
      <c r="Y75">
        <f>X75-W75</f>
        <v>0.70444591333543172</v>
      </c>
      <c r="Z75" s="18">
        <v>37687</v>
      </c>
      <c r="AA75" s="18">
        <v>41510.870000000003</v>
      </c>
      <c r="AB75" s="4">
        <f>AA75/Z75-1</f>
        <v>0.10146390001857419</v>
      </c>
    </row>
    <row r="76" spans="1:28">
      <c r="A76" t="s">
        <v>163</v>
      </c>
      <c r="B76" t="s">
        <v>164</v>
      </c>
      <c r="C76" s="30">
        <v>640</v>
      </c>
      <c r="E76" t="s">
        <v>164</v>
      </c>
      <c r="F76" s="30">
        <v>752</v>
      </c>
      <c r="G76" t="b">
        <f>IF(B76=E76,TRUE,FALSE)</f>
        <v>1</v>
      </c>
      <c r="J76">
        <f>F76-C76</f>
        <v>112</v>
      </c>
      <c r="K76" s="4">
        <f>F76/C76-1</f>
        <v>0.17500000000000004</v>
      </c>
      <c r="M76" s="5">
        <v>495.62</v>
      </c>
      <c r="N76" s="5">
        <v>616.62</v>
      </c>
      <c r="Q76" s="5">
        <v>4220.32</v>
      </c>
      <c r="U76" s="167">
        <f>N76-M76</f>
        <v>121</v>
      </c>
      <c r="V76" s="4">
        <f>IF(M76=0,0,N76/M76-1)</f>
        <v>0.24413865461442241</v>
      </c>
      <c r="W76">
        <v>0.62505982905982915</v>
      </c>
      <c r="X76">
        <f>N76/F76</f>
        <v>0.81997340425531917</v>
      </c>
      <c r="Y76">
        <f>X76-W76</f>
        <v>0.19491357519549002</v>
      </c>
      <c r="Z76" s="18">
        <v>15328</v>
      </c>
      <c r="AA76" s="18">
        <v>18010.400000000001</v>
      </c>
      <c r="AB76" s="4">
        <f>AA76/Z76-1</f>
        <v>0.17500000000000004</v>
      </c>
    </row>
    <row r="77" spans="1:28">
      <c r="A77" s="56" t="s">
        <v>165</v>
      </c>
      <c r="B77" s="39" t="s">
        <v>166</v>
      </c>
      <c r="C77" s="30">
        <v>624</v>
      </c>
      <c r="E77" s="39" t="s">
        <v>166</v>
      </c>
      <c r="F77" s="30">
        <v>732</v>
      </c>
      <c r="G77" t="b">
        <f>IF(B77=E77,TRUE,FALSE)</f>
        <v>1</v>
      </c>
      <c r="J77">
        <f>F77-C77</f>
        <v>108</v>
      </c>
      <c r="K77" s="4">
        <f>F77/C77-1</f>
        <v>0.17307692307692313</v>
      </c>
      <c r="M77" s="5">
        <v>2103.06</v>
      </c>
      <c r="N77" s="5">
        <v>2164.04</v>
      </c>
      <c r="Q77" s="5">
        <v>6537.94</v>
      </c>
      <c r="U77" s="167">
        <f>N77-M77</f>
        <v>60.980000000000018</v>
      </c>
      <c r="V77" s="4">
        <f>IF(M77=0,0,N77/M77-1)</f>
        <v>2.8995844150903949E-2</v>
      </c>
      <c r="W77">
        <v>4.9146206896551723</v>
      </c>
      <c r="X77">
        <f>N77/F77</f>
        <v>2.9563387978142077</v>
      </c>
      <c r="Y77">
        <f>X77-W77</f>
        <v>-1.9582818918409646</v>
      </c>
      <c r="Z77" s="18">
        <v>8701.7800000000007</v>
      </c>
      <c r="AA77" s="18">
        <v>10226.69</v>
      </c>
      <c r="AB77" s="4">
        <f>AA77/Z77-1</f>
        <v>0.17524115755627001</v>
      </c>
    </row>
    <row r="78" spans="1:28">
      <c r="A78" t="s">
        <v>167</v>
      </c>
      <c r="B78" s="29" t="s">
        <v>168</v>
      </c>
      <c r="C78" s="31">
        <v>1310</v>
      </c>
      <c r="D78" s="19"/>
      <c r="E78" s="29" t="s">
        <v>168</v>
      </c>
      <c r="F78" s="31">
        <v>1417</v>
      </c>
      <c r="G78" t="b">
        <f>IF(B78=E78,TRUE,FALSE)</f>
        <v>1</v>
      </c>
      <c r="H78" s="19"/>
      <c r="I78" s="19"/>
      <c r="J78">
        <f>F78-C78</f>
        <v>107</v>
      </c>
      <c r="K78" s="4">
        <f>F78/C78-1</f>
        <v>8.1679389312977024E-2</v>
      </c>
      <c r="M78" s="5">
        <v>2904.97</v>
      </c>
      <c r="N78" s="5">
        <v>2743.68</v>
      </c>
      <c r="Q78" s="5">
        <v>17928.57</v>
      </c>
      <c r="U78" s="167">
        <f>N78-M78</f>
        <v>-161.28999999999996</v>
      </c>
      <c r="V78" s="4">
        <f>IF(M78=0,0,N78/M78-1)</f>
        <v>-5.5522088007793569E-2</v>
      </c>
      <c r="W78">
        <v>2.6291604477611941</v>
      </c>
      <c r="X78">
        <f>N78/F78</f>
        <v>1.9362597035991531</v>
      </c>
      <c r="Y78">
        <f>X78-W78</f>
        <v>-0.69290074416204095</v>
      </c>
      <c r="Z78" s="18">
        <v>31426.9</v>
      </c>
      <c r="AA78" s="18">
        <v>33993.83</v>
      </c>
      <c r="AB78" s="4">
        <f>AA78/Z78-1</f>
        <v>8.1679389312977024E-2</v>
      </c>
    </row>
    <row r="79" spans="1:28">
      <c r="A79" t="s">
        <v>169</v>
      </c>
      <c r="B79" t="s">
        <v>170</v>
      </c>
      <c r="C79" s="30">
        <v>865</v>
      </c>
      <c r="E79" t="s">
        <v>170</v>
      </c>
      <c r="F79" s="30">
        <v>971</v>
      </c>
      <c r="G79" t="b">
        <f>IF(B79=E79,TRUE,FALSE)</f>
        <v>1</v>
      </c>
      <c r="J79">
        <f>F79-C79</f>
        <v>106</v>
      </c>
      <c r="K79" s="4">
        <f>F79/C79-1</f>
        <v>0.12254335260115612</v>
      </c>
      <c r="M79" s="5">
        <v>1356.34</v>
      </c>
      <c r="N79" s="5">
        <v>1914.05</v>
      </c>
      <c r="Q79" s="5">
        <v>12322.61</v>
      </c>
      <c r="U79" s="167">
        <f>N79-M79</f>
        <v>557.71</v>
      </c>
      <c r="V79" s="4">
        <f>IF(M79=0,0,N79/M79-1)</f>
        <v>0.41118746037129328</v>
      </c>
      <c r="W79">
        <v>1.4073611111111111</v>
      </c>
      <c r="X79">
        <f>N79/F79</f>
        <v>1.9712152420185376</v>
      </c>
      <c r="Y79">
        <f>X79-W79</f>
        <v>0.56385413090742653</v>
      </c>
      <c r="Z79" s="18">
        <v>21581.75</v>
      </c>
      <c r="AA79" s="18">
        <v>24226.45</v>
      </c>
      <c r="AB79" s="4">
        <f>AA79/Z79-1</f>
        <v>0.12254335260115612</v>
      </c>
    </row>
    <row r="80" spans="1:28">
      <c r="A80" t="s">
        <v>171</v>
      </c>
      <c r="B80" t="s">
        <v>172</v>
      </c>
      <c r="C80" s="30">
        <v>3821</v>
      </c>
      <c r="E80" t="s">
        <v>172</v>
      </c>
      <c r="F80" s="30">
        <v>3925</v>
      </c>
      <c r="G80" t="b">
        <f>IF(B80=E80,TRUE,FALSE)</f>
        <v>1</v>
      </c>
      <c r="J80">
        <f>F80-C80</f>
        <v>104</v>
      </c>
      <c r="K80" s="4">
        <f>F80/C80-1</f>
        <v>2.7218005757654984E-2</v>
      </c>
      <c r="M80" s="5">
        <v>5073.53</v>
      </c>
      <c r="N80" s="5">
        <v>5623.45</v>
      </c>
      <c r="Q80" s="5">
        <v>46152.15</v>
      </c>
      <c r="U80" s="167">
        <f>N80-M80</f>
        <v>549.92000000000007</v>
      </c>
      <c r="V80" s="4">
        <f>IF(M80=0,0,N80/M80-1)</f>
        <v>0.10839001641854895</v>
      </c>
      <c r="W80">
        <v>1.0978329297820824</v>
      </c>
      <c r="X80">
        <f>N80/F80</f>
        <v>1.4327261146496815</v>
      </c>
      <c r="Y80">
        <f>X80-W80</f>
        <v>0.33489318486759911</v>
      </c>
      <c r="Z80" s="18">
        <v>114289.2</v>
      </c>
      <c r="AA80" s="18">
        <v>117553.75</v>
      </c>
      <c r="AB80" s="4">
        <f>AA80/Z80-1</f>
        <v>2.8563941299790452E-2</v>
      </c>
    </row>
    <row r="81" spans="1:28">
      <c r="A81" t="s">
        <v>173</v>
      </c>
      <c r="B81" t="s">
        <v>174</v>
      </c>
      <c r="C81" s="30">
        <v>1527</v>
      </c>
      <c r="E81" t="s">
        <v>174</v>
      </c>
      <c r="F81" s="30">
        <v>1631</v>
      </c>
      <c r="G81" t="b">
        <f>IF(B81=E81,TRUE,FALSE)</f>
        <v>1</v>
      </c>
      <c r="J81">
        <f>F81-C81</f>
        <v>104</v>
      </c>
      <c r="K81" s="4">
        <f>F81/C81-1</f>
        <v>6.8107400130975826E-2</v>
      </c>
      <c r="M81" s="5">
        <v>659.85</v>
      </c>
      <c r="N81" s="5">
        <v>994.98</v>
      </c>
      <c r="Q81" s="5">
        <v>5793.44</v>
      </c>
      <c r="U81" s="167">
        <f>N81-M81</f>
        <v>335.13</v>
      </c>
      <c r="V81" s="4">
        <f>IF(M81=0,0,N81/M81-1)</f>
        <v>0.5078881563991815</v>
      </c>
      <c r="W81">
        <v>0.39140388768898488</v>
      </c>
      <c r="X81">
        <f>N81/F81</f>
        <v>0.61004291845493563</v>
      </c>
      <c r="Y81">
        <f>X81-W81</f>
        <v>0.21863903076595076</v>
      </c>
      <c r="Z81" s="18">
        <v>45673.75</v>
      </c>
      <c r="AA81" s="18">
        <v>48878.400000000001</v>
      </c>
      <c r="AB81" s="4">
        <f>AA81/Z81-1</f>
        <v>7.016393442622948E-2</v>
      </c>
    </row>
    <row r="82" spans="1:28">
      <c r="A82" t="s">
        <v>175</v>
      </c>
      <c r="B82" t="s">
        <v>176</v>
      </c>
      <c r="C82" s="30">
        <v>1373</v>
      </c>
      <c r="E82" t="s">
        <v>176</v>
      </c>
      <c r="F82" s="30">
        <v>1476</v>
      </c>
      <c r="G82" t="b">
        <f>IF(B82=E82,TRUE,FALSE)</f>
        <v>1</v>
      </c>
      <c r="J82">
        <f>F82-C82</f>
        <v>103</v>
      </c>
      <c r="K82" s="4">
        <f>F82/C82-1</f>
        <v>7.5018208302986222E-2</v>
      </c>
      <c r="M82" s="5">
        <v>1826.93</v>
      </c>
      <c r="N82" s="5">
        <v>2358.27</v>
      </c>
      <c r="Q82" s="5">
        <v>12863.68</v>
      </c>
      <c r="U82" s="167">
        <f>N82-M82</f>
        <v>531.33999999999992</v>
      </c>
      <c r="V82" s="4">
        <f>IF(M82=0,0,N82/M82-1)</f>
        <v>0.29083763472054214</v>
      </c>
      <c r="W82">
        <v>1.0753119092627599</v>
      </c>
      <c r="X82">
        <f>N82/F82</f>
        <v>1.5977439024390243</v>
      </c>
      <c r="Y82">
        <f>X82-W82</f>
        <v>0.52243199317626443</v>
      </c>
      <c r="Z82" s="18">
        <v>36747.599999999999</v>
      </c>
      <c r="AA82" s="18">
        <v>39622.199999999997</v>
      </c>
      <c r="AB82" s="4">
        <f>AA82/Z82-1</f>
        <v>7.8225516768442027E-2</v>
      </c>
    </row>
    <row r="83" spans="1:28">
      <c r="A83" t="s">
        <v>177</v>
      </c>
      <c r="B83" t="s">
        <v>178</v>
      </c>
      <c r="C83" s="30">
        <v>495</v>
      </c>
      <c r="E83" t="s">
        <v>178</v>
      </c>
      <c r="F83" s="30">
        <v>596</v>
      </c>
      <c r="G83" t="b">
        <f>IF(B83=E83,TRUE,FALSE)</f>
        <v>1</v>
      </c>
      <c r="J83">
        <f>F83-C83</f>
        <v>101</v>
      </c>
      <c r="K83" s="4">
        <f>F83/C83-1</f>
        <v>0.20404040404040402</v>
      </c>
      <c r="M83" s="5">
        <v>743.53</v>
      </c>
      <c r="N83" s="5">
        <v>1267.94</v>
      </c>
      <c r="Q83" s="5">
        <v>6292.05</v>
      </c>
      <c r="U83" s="167">
        <f>N83-M83</f>
        <v>524.41000000000008</v>
      </c>
      <c r="V83" s="4">
        <f>IF(M83=0,0,N83/M83-1)</f>
        <v>0.70529770150498305</v>
      </c>
      <c r="W83">
        <v>0.60982758620689659</v>
      </c>
      <c r="X83">
        <f>N83/F83</f>
        <v>2.1274161073825506</v>
      </c>
      <c r="Y83">
        <f>X83-W83</f>
        <v>1.5175885211756541</v>
      </c>
      <c r="Z83" s="18">
        <v>13340.25</v>
      </c>
      <c r="AA83" s="18">
        <v>16062.199999999999</v>
      </c>
      <c r="AB83" s="4">
        <f>AA83/Z83-1</f>
        <v>0.20404040404040402</v>
      </c>
    </row>
    <row r="84" spans="1:28">
      <c r="A84" t="s">
        <v>179</v>
      </c>
      <c r="B84" t="s">
        <v>180</v>
      </c>
      <c r="C84" s="30">
        <v>569</v>
      </c>
      <c r="E84" t="s">
        <v>180</v>
      </c>
      <c r="F84" s="30">
        <v>666</v>
      </c>
      <c r="G84" t="b">
        <f>IF(B84=E84,TRUE,FALSE)</f>
        <v>1</v>
      </c>
      <c r="J84">
        <f>F84-C84</f>
        <v>97</v>
      </c>
      <c r="K84" s="4">
        <f>F84/C84-1</f>
        <v>0.17047451669595781</v>
      </c>
      <c r="M84" s="5">
        <v>721.42</v>
      </c>
      <c r="N84" s="5">
        <v>974.04</v>
      </c>
      <c r="Q84" s="5">
        <v>3803.4</v>
      </c>
      <c r="U84" s="167">
        <f>N84-M84</f>
        <v>252.62</v>
      </c>
      <c r="V84" s="4">
        <f>IF(M84=0,0,N84/M84-1)</f>
        <v>0.35017049707521286</v>
      </c>
      <c r="W84">
        <v>0.98279527559055113</v>
      </c>
      <c r="X84">
        <f>N84/F84</f>
        <v>1.4625225225225225</v>
      </c>
      <c r="Y84">
        <f>X84-W84</f>
        <v>0.47972724693197133</v>
      </c>
      <c r="Z84" s="18">
        <v>18748.55</v>
      </c>
      <c r="AA84" s="18">
        <v>20088.39</v>
      </c>
      <c r="AB84" s="4">
        <f>AA84/Z84-1</f>
        <v>7.1463659856362272E-2</v>
      </c>
    </row>
    <row r="85" spans="1:28">
      <c r="A85" t="s">
        <v>181</v>
      </c>
      <c r="B85" t="s">
        <v>182</v>
      </c>
      <c r="C85" s="30">
        <v>1170</v>
      </c>
      <c r="E85" t="s">
        <v>182</v>
      </c>
      <c r="F85" s="30">
        <v>1267</v>
      </c>
      <c r="G85" t="b">
        <f>IF(B85=E85,TRUE,FALSE)</f>
        <v>1</v>
      </c>
      <c r="J85" s="27">
        <f>F85-C85</f>
        <v>97</v>
      </c>
      <c r="K85" s="4">
        <f>F85/C85-1</f>
        <v>8.2905982905982833E-2</v>
      </c>
      <c r="M85" s="5">
        <v>2193.5500000000002</v>
      </c>
      <c r="N85" s="5">
        <v>2666.4</v>
      </c>
      <c r="Q85" s="5">
        <v>11424.51</v>
      </c>
      <c r="U85" s="167">
        <f>N85-M85</f>
        <v>472.84999999999991</v>
      </c>
      <c r="V85" s="4">
        <f>IF(M85=0,0,N85/M85-1)</f>
        <v>0.21556381208543218</v>
      </c>
      <c r="W85">
        <v>0.81269675925925922</v>
      </c>
      <c r="X85">
        <f>N85/F85</f>
        <v>2.1044988161010263</v>
      </c>
      <c r="Y85">
        <f>X85-W85</f>
        <v>1.291802056841767</v>
      </c>
      <c r="Z85" s="18">
        <v>33918.300000000003</v>
      </c>
      <c r="AA85" s="18">
        <v>36701.339999999997</v>
      </c>
      <c r="AB85" s="4">
        <f>AA85/Z85-1</f>
        <v>8.205128205128176E-2</v>
      </c>
    </row>
    <row r="86" spans="1:28">
      <c r="A86" t="s">
        <v>183</v>
      </c>
      <c r="B86" t="s">
        <v>184</v>
      </c>
      <c r="C86" s="30">
        <v>533</v>
      </c>
      <c r="E86" t="s">
        <v>184</v>
      </c>
      <c r="F86" s="30">
        <v>627</v>
      </c>
      <c r="G86" t="b">
        <f>IF(B86=E86,TRUE,FALSE)</f>
        <v>1</v>
      </c>
      <c r="J86">
        <f>F86-C86</f>
        <v>94</v>
      </c>
      <c r="K86" s="4">
        <f>F86/C86-1</f>
        <v>0.17636022514071303</v>
      </c>
      <c r="M86" s="5">
        <v>1280.1099999999999</v>
      </c>
      <c r="N86" s="5">
        <v>626.16</v>
      </c>
      <c r="Q86" s="5">
        <v>4415.9399999999996</v>
      </c>
      <c r="U86" s="167">
        <f>N86-M86</f>
        <v>-653.94999999999993</v>
      </c>
      <c r="V86" s="4">
        <f>IF(M86=0,0,N86/M86-1)</f>
        <v>-0.51085453593831787</v>
      </c>
      <c r="W86">
        <v>2.5859334298118668</v>
      </c>
      <c r="X86">
        <f>N86/F86</f>
        <v>0.99866028708133969</v>
      </c>
      <c r="Y86">
        <f>X86-W86</f>
        <v>-1.5872731427305271</v>
      </c>
      <c r="Z86" s="18">
        <v>15984.67</v>
      </c>
      <c r="AA86" s="18">
        <v>17722.21</v>
      </c>
      <c r="AB86" s="4">
        <f>AA86/Z86-1</f>
        <v>0.1087003985693793</v>
      </c>
    </row>
    <row r="87" spans="1:28">
      <c r="A87" t="s">
        <v>185</v>
      </c>
      <c r="B87" t="s">
        <v>186</v>
      </c>
      <c r="C87" s="30">
        <v>331</v>
      </c>
      <c r="E87" t="s">
        <v>186</v>
      </c>
      <c r="F87" s="30">
        <v>423</v>
      </c>
      <c r="G87" t="b">
        <f>IF(B87=E87,TRUE,FALSE)</f>
        <v>1</v>
      </c>
      <c r="J87">
        <f>F87-C87</f>
        <v>92</v>
      </c>
      <c r="K87" s="4">
        <f>F87/C87-1</f>
        <v>0.27794561933534734</v>
      </c>
      <c r="M87" s="5">
        <v>455.8</v>
      </c>
      <c r="N87" s="5">
        <v>765.94</v>
      </c>
      <c r="Q87" s="5">
        <v>5117.01</v>
      </c>
      <c r="U87" s="167">
        <f>N87-M87</f>
        <v>310.14000000000004</v>
      </c>
      <c r="V87" s="4">
        <f>IF(M87=0,0,N87/M87-1)</f>
        <v>0.68043001316366825</v>
      </c>
      <c r="W87">
        <v>2.1949169435215947</v>
      </c>
      <c r="X87">
        <f>N87/F87</f>
        <v>1.8107328605200947</v>
      </c>
      <c r="Y87">
        <f>X87-W87</f>
        <v>-0.38418408300149998</v>
      </c>
      <c r="Z87" s="18">
        <v>8087.33</v>
      </c>
      <c r="AA87" s="18">
        <v>10509.77</v>
      </c>
      <c r="AB87" s="4">
        <f>AA87/Z87-1</f>
        <v>0.29953519888516977</v>
      </c>
    </row>
    <row r="88" spans="1:28">
      <c r="A88" t="s">
        <v>187</v>
      </c>
      <c r="B88" t="s">
        <v>188</v>
      </c>
      <c r="C88" s="30">
        <v>2132</v>
      </c>
      <c r="E88" t="s">
        <v>188</v>
      </c>
      <c r="F88" s="30">
        <v>2224</v>
      </c>
      <c r="G88" t="b">
        <f>IF(B88=E88,TRUE,FALSE)</f>
        <v>1</v>
      </c>
      <c r="J88">
        <f>F88-C88</f>
        <v>92</v>
      </c>
      <c r="K88" s="4">
        <f>F88/C88-1</f>
        <v>4.3151969981238381E-2</v>
      </c>
      <c r="M88" s="5">
        <v>3418.83</v>
      </c>
      <c r="N88" s="5">
        <v>3393.97</v>
      </c>
      <c r="Q88" s="5">
        <v>22256.62</v>
      </c>
      <c r="U88" s="167">
        <f>N88-M88</f>
        <v>-24.860000000000127</v>
      </c>
      <c r="V88" s="4">
        <f>IF(M88=0,0,N88/M88-1)</f>
        <v>-7.2714934641383566E-3</v>
      </c>
      <c r="W88">
        <v>1.4824393939393941</v>
      </c>
      <c r="X88">
        <f>N88/F88</f>
        <v>1.5260656474820142</v>
      </c>
      <c r="Y88">
        <f>X88-W88</f>
        <v>4.3626253542620175E-2</v>
      </c>
      <c r="Z88" s="18">
        <v>45901.439999999995</v>
      </c>
      <c r="AA88" s="18">
        <v>48881.729999999996</v>
      </c>
      <c r="AB88" s="4">
        <f>AA88/Z88-1</f>
        <v>6.4928028401723292E-2</v>
      </c>
    </row>
    <row r="89" spans="1:28">
      <c r="A89" t="s">
        <v>189</v>
      </c>
      <c r="B89" s="29" t="s">
        <v>190</v>
      </c>
      <c r="C89" s="30">
        <v>1230</v>
      </c>
      <c r="E89" s="29" t="s">
        <v>190</v>
      </c>
      <c r="F89" s="30">
        <v>1322</v>
      </c>
      <c r="G89" t="b">
        <f>IF(B89=E89,TRUE,FALSE)</f>
        <v>1</v>
      </c>
      <c r="J89">
        <f>F89-C89</f>
        <v>92</v>
      </c>
      <c r="K89" s="4">
        <f>F89/C89-1</f>
        <v>7.4796747967479593E-2</v>
      </c>
      <c r="M89" s="5">
        <v>3705.34</v>
      </c>
      <c r="N89" s="5">
        <v>3434.74</v>
      </c>
      <c r="Q89" s="5">
        <v>24273.16</v>
      </c>
      <c r="U89" s="167">
        <f>N89-M89</f>
        <v>-270.60000000000036</v>
      </c>
      <c r="V89" s="4">
        <f>IF(M89=0,0,N89/M89-1)</f>
        <v>-7.3029735462872614E-2</v>
      </c>
      <c r="W89">
        <v>2.8231469298245613</v>
      </c>
      <c r="X89">
        <f>N89/F89</f>
        <v>2.5981391830559755</v>
      </c>
      <c r="Y89">
        <f>X89-W89</f>
        <v>-0.22500774676858581</v>
      </c>
      <c r="Z89" s="18">
        <v>31309.73</v>
      </c>
      <c r="AA89" s="18">
        <v>38324.78</v>
      </c>
      <c r="AB89" s="4">
        <f>AA89/Z89-1</f>
        <v>0.22405335338247889</v>
      </c>
    </row>
    <row r="90" spans="1:28">
      <c r="A90" t="s">
        <v>191</v>
      </c>
      <c r="B90" t="s">
        <v>192</v>
      </c>
      <c r="C90" s="30">
        <v>2594</v>
      </c>
      <c r="E90" t="s">
        <v>192</v>
      </c>
      <c r="F90" s="30">
        <v>2684</v>
      </c>
      <c r="G90" t="b">
        <f>IF(B90=E90,TRUE,FALSE)</f>
        <v>1</v>
      </c>
      <c r="J90">
        <f>F90-C90</f>
        <v>90</v>
      </c>
      <c r="K90" s="4">
        <f>F90/C90-1</f>
        <v>3.4695451040863468E-2</v>
      </c>
      <c r="M90" s="5">
        <v>3308.4700000000003</v>
      </c>
      <c r="N90" s="5">
        <v>4208.54</v>
      </c>
      <c r="Q90" s="5">
        <v>33098.58</v>
      </c>
      <c r="U90" s="167">
        <f>N90-M90</f>
        <v>900.06999999999971</v>
      </c>
      <c r="V90" s="4">
        <f>IF(M90=0,0,N90/M90-1)</f>
        <v>0.27205022261045131</v>
      </c>
      <c r="W90">
        <v>0.93319542253521115</v>
      </c>
      <c r="X90">
        <f>N90/F90</f>
        <v>1.56801043219076</v>
      </c>
      <c r="Y90">
        <f>X90-W90</f>
        <v>0.63481500965554882</v>
      </c>
      <c r="Z90" s="18">
        <v>64720.299999999996</v>
      </c>
      <c r="AA90" s="18">
        <v>69005.8</v>
      </c>
      <c r="AB90" s="4">
        <f>AA90/Z90-1</f>
        <v>6.6215700483465145E-2</v>
      </c>
    </row>
    <row r="91" spans="1:28">
      <c r="A91" t="s">
        <v>193</v>
      </c>
      <c r="B91" t="s">
        <v>194</v>
      </c>
      <c r="C91" s="30">
        <v>576</v>
      </c>
      <c r="E91" t="s">
        <v>194</v>
      </c>
      <c r="F91" s="30">
        <v>662</v>
      </c>
      <c r="G91" t="b">
        <f>IF(B91=E91,TRUE,FALSE)</f>
        <v>1</v>
      </c>
      <c r="J91">
        <f>F91-C91</f>
        <v>86</v>
      </c>
      <c r="K91" s="4">
        <f>F91/C91-1</f>
        <v>0.14930555555555558</v>
      </c>
      <c r="M91" s="5">
        <v>234.93</v>
      </c>
      <c r="N91" s="5">
        <v>310.57</v>
      </c>
      <c r="Q91" s="5">
        <v>3397.73</v>
      </c>
      <c r="U91" s="167">
        <f>N91-M91</f>
        <v>75.639999999999986</v>
      </c>
      <c r="V91" s="4">
        <f>IF(M91=0,0,N91/M91-1)</f>
        <v>0.3219682458604689</v>
      </c>
      <c r="W91">
        <v>0.66682926829268285</v>
      </c>
      <c r="X91">
        <f>N91/F91</f>
        <v>0.46913897280966765</v>
      </c>
      <c r="Y91">
        <f>X91-W91</f>
        <v>-0.1976902954830152</v>
      </c>
      <c r="Z91" s="18">
        <v>22384.75</v>
      </c>
      <c r="AA91" s="18">
        <v>25732.73</v>
      </c>
      <c r="AB91" s="4">
        <f>AA91/Z91-1</f>
        <v>0.14956521739130424</v>
      </c>
    </row>
    <row r="92" spans="1:28">
      <c r="A92" t="s">
        <v>195</v>
      </c>
      <c r="B92" t="s">
        <v>196</v>
      </c>
      <c r="C92" s="30">
        <v>1187</v>
      </c>
      <c r="E92" t="s">
        <v>196</v>
      </c>
      <c r="F92" s="30">
        <v>1273</v>
      </c>
      <c r="G92" t="b">
        <f>IF(B92=E92,TRUE,FALSE)</f>
        <v>1</v>
      </c>
      <c r="J92">
        <f>F92-C92</f>
        <v>86</v>
      </c>
      <c r="K92" s="4">
        <f>F92/C92-1</f>
        <v>7.2451558550968853E-2</v>
      </c>
      <c r="M92" s="5">
        <v>1265.76</v>
      </c>
      <c r="N92" s="5">
        <v>1409.27</v>
      </c>
      <c r="Q92" s="5">
        <v>13027.05</v>
      </c>
      <c r="U92" s="167">
        <f>N92-M92</f>
        <v>143.51</v>
      </c>
      <c r="V92" s="4">
        <f>IF(M92=0,0,N92/M92-1)</f>
        <v>0.1133785235747693</v>
      </c>
      <c r="W92">
        <v>0.58962513781697901</v>
      </c>
      <c r="X92">
        <f>N92/F92</f>
        <v>1.1070463472113119</v>
      </c>
      <c r="Y92">
        <f>X92-W92</f>
        <v>0.51742120939433289</v>
      </c>
      <c r="Z92" s="18">
        <v>20167.13</v>
      </c>
      <c r="AA92" s="18">
        <v>21611.279999999999</v>
      </c>
      <c r="AB92" s="4">
        <f>AA92/Z92-1</f>
        <v>7.1609098567817941E-2</v>
      </c>
    </row>
    <row r="93" spans="1:28">
      <c r="A93" t="s">
        <v>197</v>
      </c>
      <c r="B93" t="s">
        <v>198</v>
      </c>
      <c r="C93" s="30">
        <v>549</v>
      </c>
      <c r="E93" t="s">
        <v>198</v>
      </c>
      <c r="F93" s="30">
        <v>633</v>
      </c>
      <c r="G93" t="b">
        <f>IF(B93=E93,TRUE,FALSE)</f>
        <v>1</v>
      </c>
      <c r="J93">
        <f>F93-C93</f>
        <v>84</v>
      </c>
      <c r="K93" s="4">
        <f>F93/C93-1</f>
        <v>0.15300546448087426</v>
      </c>
      <c r="M93" s="5">
        <v>767.7</v>
      </c>
      <c r="N93" s="5">
        <v>1173.22</v>
      </c>
      <c r="Q93" s="5">
        <v>5069.72</v>
      </c>
      <c r="U93" s="167">
        <f>N93-M93</f>
        <v>405.52</v>
      </c>
      <c r="V93" s="4">
        <f>IF(M93=0,0,N93/M93-1)</f>
        <v>0.52822717207242409</v>
      </c>
      <c r="W93">
        <v>1.1500245098039215</v>
      </c>
      <c r="X93">
        <f>N93/F93</f>
        <v>1.8534281200631912</v>
      </c>
      <c r="Y93">
        <f>X93-W93</f>
        <v>0.70340361025926978</v>
      </c>
      <c r="Z93" s="18">
        <v>11501.55</v>
      </c>
      <c r="AA93" s="18">
        <v>13261.35</v>
      </c>
      <c r="AB93" s="4">
        <f>AA93/Z93-1</f>
        <v>0.15300546448087449</v>
      </c>
    </row>
    <row r="94" spans="1:28">
      <c r="A94" t="s">
        <v>199</v>
      </c>
      <c r="B94" t="s">
        <v>200</v>
      </c>
      <c r="C94" s="30">
        <v>723</v>
      </c>
      <c r="E94" t="s">
        <v>200</v>
      </c>
      <c r="F94" s="30">
        <v>807</v>
      </c>
      <c r="G94" t="b">
        <f>IF(B94=E94,TRUE,FALSE)</f>
        <v>1</v>
      </c>
      <c r="J94">
        <f>F94-C94</f>
        <v>84</v>
      </c>
      <c r="K94" s="4">
        <f>F94/C94-1</f>
        <v>0.11618257261410792</v>
      </c>
      <c r="M94" s="5">
        <v>943.81</v>
      </c>
      <c r="N94" s="5">
        <v>1003.12</v>
      </c>
      <c r="Q94" s="5">
        <v>6859.4</v>
      </c>
      <c r="U94" s="167">
        <f>N94-M94</f>
        <v>59.310000000000059</v>
      </c>
      <c r="V94" s="4">
        <f>IF(M94=0,0,N94/M94-1)</f>
        <v>6.2841037920768006E-2</v>
      </c>
      <c r="W94">
        <v>1.2499421965317921</v>
      </c>
      <c r="X94">
        <f>N94/F94</f>
        <v>1.2430235439900867</v>
      </c>
      <c r="Y94">
        <f>X94-W94</f>
        <v>-6.9186525417053168E-3</v>
      </c>
      <c r="Z94" s="18">
        <v>14423.85</v>
      </c>
      <c r="AA94" s="18">
        <v>16099.65</v>
      </c>
      <c r="AB94" s="4">
        <f>AA94/Z94-1</f>
        <v>0.11618257261410792</v>
      </c>
    </row>
    <row r="95" spans="1:28">
      <c r="A95" t="s">
        <v>201</v>
      </c>
      <c r="B95" t="s">
        <v>202</v>
      </c>
      <c r="C95" s="30">
        <v>798</v>
      </c>
      <c r="E95" t="s">
        <v>202</v>
      </c>
      <c r="F95" s="30">
        <v>881</v>
      </c>
      <c r="G95" t="b">
        <f>IF(B95=E95,TRUE,FALSE)</f>
        <v>1</v>
      </c>
      <c r="J95">
        <f>F95-C95</f>
        <v>83</v>
      </c>
      <c r="K95" s="4">
        <f>F95/C95-1</f>
        <v>0.10401002506265655</v>
      </c>
      <c r="M95" s="5">
        <v>2039.44</v>
      </c>
      <c r="N95" s="5">
        <v>1652.3</v>
      </c>
      <c r="Q95" s="5">
        <v>12470.55</v>
      </c>
      <c r="U95" s="167">
        <f>N95-M95</f>
        <v>-387.1400000000001</v>
      </c>
      <c r="V95" s="4">
        <f>IF(M95=0,0,N95/M95-1)</f>
        <v>-0.18982661907190213</v>
      </c>
      <c r="W95">
        <v>2.9362924667651402</v>
      </c>
      <c r="X95">
        <f>N95/F95</f>
        <v>1.8754824063564131</v>
      </c>
      <c r="Y95">
        <f>X95-W95</f>
        <v>-1.0608100604087272</v>
      </c>
      <c r="Z95" s="18">
        <v>23932.02</v>
      </c>
      <c r="AA95" s="18">
        <v>26421.19</v>
      </c>
      <c r="AB95" s="4">
        <f>AA95/Z95-1</f>
        <v>0.10401002506265655</v>
      </c>
    </row>
    <row r="96" spans="1:28">
      <c r="A96" t="s">
        <v>203</v>
      </c>
      <c r="B96" t="s">
        <v>204</v>
      </c>
      <c r="C96" s="30">
        <v>695</v>
      </c>
      <c r="E96" t="s">
        <v>204</v>
      </c>
      <c r="F96" s="30">
        <v>775</v>
      </c>
      <c r="G96" t="b">
        <f>IF(B96=E96,TRUE,FALSE)</f>
        <v>1</v>
      </c>
      <c r="J96">
        <f>F96-C96</f>
        <v>80</v>
      </c>
      <c r="K96" s="4">
        <f>F96/C96-1</f>
        <v>0.1151079136690647</v>
      </c>
      <c r="M96" s="5">
        <v>1089.4000000000001</v>
      </c>
      <c r="N96" s="5">
        <v>1364.36</v>
      </c>
      <c r="Q96" s="5">
        <v>5513.76</v>
      </c>
      <c r="U96" s="167">
        <f>N96-M96</f>
        <v>274.95999999999981</v>
      </c>
      <c r="V96" s="4">
        <f>IF(M96=0,0,N96/M96-1)</f>
        <v>0.25239581420965651</v>
      </c>
      <c r="W96">
        <v>1.2867015706806282</v>
      </c>
      <c r="X96">
        <f>N96/F96</f>
        <v>1.7604645161290322</v>
      </c>
      <c r="Y96">
        <f>X96-W96</f>
        <v>0.47376294544840403</v>
      </c>
      <c r="Z96" s="18">
        <v>13170.25</v>
      </c>
      <c r="AA96" s="18">
        <v>14686.25</v>
      </c>
      <c r="AB96" s="4">
        <f>AA96/Z96-1</f>
        <v>0.1151079136690647</v>
      </c>
    </row>
    <row r="97" spans="1:28">
      <c r="A97" t="s">
        <v>205</v>
      </c>
      <c r="B97" t="s">
        <v>206</v>
      </c>
      <c r="C97" s="30">
        <v>664</v>
      </c>
      <c r="E97" t="s">
        <v>206</v>
      </c>
      <c r="F97" s="30">
        <v>739</v>
      </c>
      <c r="G97" t="b">
        <f>IF(B97=E97,TRUE,FALSE)</f>
        <v>1</v>
      </c>
      <c r="J97">
        <f>F97-C97</f>
        <v>75</v>
      </c>
      <c r="K97" s="4">
        <f>F97/C97-1</f>
        <v>0.11295180722891573</v>
      </c>
      <c r="M97" s="5">
        <v>1743.29</v>
      </c>
      <c r="N97" s="5">
        <v>1714.51</v>
      </c>
      <c r="Q97" s="5">
        <v>9757.9</v>
      </c>
      <c r="U97" s="167">
        <f>N97-M97</f>
        <v>-28.779999999999973</v>
      </c>
      <c r="V97" s="4">
        <f>IF(M97=0,0,N97/M97-1)</f>
        <v>-1.6509014564415558E-2</v>
      </c>
      <c r="W97">
        <v>2.1278260869565218</v>
      </c>
      <c r="X97">
        <f>N97/F97</f>
        <v>2.3200405953991883</v>
      </c>
      <c r="Y97">
        <f>X97-W97</f>
        <v>0.19221450844266652</v>
      </c>
      <c r="Z97" s="18">
        <v>12544.900000000001</v>
      </c>
      <c r="AA97" s="18">
        <v>14004.050000000001</v>
      </c>
      <c r="AB97" s="4">
        <f>AA97/Z97-1</f>
        <v>0.11631419939577037</v>
      </c>
    </row>
    <row r="98" spans="1:28">
      <c r="A98" t="s">
        <v>207</v>
      </c>
      <c r="B98" t="s">
        <v>208</v>
      </c>
      <c r="C98" s="30">
        <v>443</v>
      </c>
      <c r="E98" t="s">
        <v>208</v>
      </c>
      <c r="F98" s="30">
        <v>513</v>
      </c>
      <c r="G98" t="b">
        <f>IF(B98=E98,TRUE,FALSE)</f>
        <v>1</v>
      </c>
      <c r="J98">
        <f>F98-C98</f>
        <v>70</v>
      </c>
      <c r="K98" s="4">
        <f>F98/C98-1</f>
        <v>0.15801354401805878</v>
      </c>
      <c r="M98" s="5">
        <v>695.79</v>
      </c>
      <c r="N98" s="5">
        <v>883.21</v>
      </c>
      <c r="Q98" s="5">
        <v>4523.1099999999997</v>
      </c>
      <c r="U98" s="167">
        <f>N98-M98</f>
        <v>187.42000000000007</v>
      </c>
      <c r="V98" s="4">
        <f>IF(M98=0,0,N98/M98-1)</f>
        <v>0.26936288247890894</v>
      </c>
      <c r="W98">
        <v>1.6315816326530612</v>
      </c>
      <c r="X98">
        <f>N98/F98</f>
        <v>1.7216569200779728</v>
      </c>
      <c r="Y98">
        <f>X98-W98</f>
        <v>9.0075287424911554E-2</v>
      </c>
      <c r="Z98" s="18">
        <v>11052.85</v>
      </c>
      <c r="AA98" s="18">
        <v>12799.35</v>
      </c>
      <c r="AB98" s="4">
        <f>AA98/Z98-1</f>
        <v>0.15801354401805878</v>
      </c>
    </row>
    <row r="99" spans="1:28">
      <c r="A99" t="s">
        <v>209</v>
      </c>
      <c r="B99" t="s">
        <v>210</v>
      </c>
      <c r="C99" s="30">
        <v>559</v>
      </c>
      <c r="E99" t="s">
        <v>210</v>
      </c>
      <c r="F99" s="30">
        <v>623</v>
      </c>
      <c r="G99" t="b">
        <f>IF(B99=E99,TRUE,FALSE)</f>
        <v>1</v>
      </c>
      <c r="J99">
        <f>F99-C99</f>
        <v>64</v>
      </c>
      <c r="K99" s="4">
        <f>F99/C99-1</f>
        <v>0.11449016100178899</v>
      </c>
      <c r="M99" s="5">
        <v>1098.49</v>
      </c>
      <c r="N99" s="5">
        <v>1035.93</v>
      </c>
      <c r="Q99" s="5">
        <v>6060.63</v>
      </c>
      <c r="U99" s="167">
        <f>N99-M99</f>
        <v>-62.559999999999945</v>
      </c>
      <c r="V99" s="4">
        <f>IF(M99=0,0,N99/M99-1)</f>
        <v>-5.6950905333685298E-2</v>
      </c>
      <c r="W99">
        <v>1.7301033591731265</v>
      </c>
      <c r="X99">
        <f>N99/F99</f>
        <v>1.6628089887640451</v>
      </c>
      <c r="Y99">
        <f>X99-W99</f>
        <v>-6.7294370409081372E-2</v>
      </c>
      <c r="Z99" s="18">
        <v>11152.05</v>
      </c>
      <c r="AA99" s="18">
        <v>12428.85</v>
      </c>
      <c r="AB99" s="4">
        <f>AA99/Z99-1</f>
        <v>0.11449016100178899</v>
      </c>
    </row>
    <row r="100" spans="1:28">
      <c r="A100" t="s">
        <v>211</v>
      </c>
      <c r="B100" t="s">
        <v>212</v>
      </c>
      <c r="C100" s="30">
        <v>699</v>
      </c>
      <c r="E100" t="s">
        <v>212</v>
      </c>
      <c r="F100" s="30">
        <v>760</v>
      </c>
      <c r="G100" t="b">
        <f>IF(B100=E100,TRUE,FALSE)</f>
        <v>1</v>
      </c>
      <c r="J100">
        <f>F100-C100</f>
        <v>61</v>
      </c>
      <c r="K100" s="4">
        <f>F100/C100-1</f>
        <v>8.7267525035765292E-2</v>
      </c>
      <c r="M100" s="5">
        <v>1605.87</v>
      </c>
      <c r="N100" s="5">
        <v>1679.4</v>
      </c>
      <c r="Q100" s="5">
        <v>5789.32</v>
      </c>
      <c r="U100" s="167">
        <f>N100-M100</f>
        <v>73.5300000000002</v>
      </c>
      <c r="V100" s="4">
        <f>IF(M100=0,0,N100/M100-1)</f>
        <v>4.5788264305330006E-2</v>
      </c>
      <c r="W100">
        <v>2.1237499999999998</v>
      </c>
      <c r="X100">
        <f>N100/F100</f>
        <v>2.2097368421052632</v>
      </c>
      <c r="Y100">
        <f>X100-W100</f>
        <v>8.5986842105263417E-2</v>
      </c>
      <c r="Z100" s="18">
        <v>6983.01</v>
      </c>
      <c r="AA100" s="18">
        <v>7592.4</v>
      </c>
      <c r="AB100" s="4">
        <f>AA100/Z100-1</f>
        <v>8.7267525035765292E-2</v>
      </c>
    </row>
    <row r="101" spans="1:28">
      <c r="A101" t="s">
        <v>213</v>
      </c>
      <c r="B101" t="s">
        <v>214</v>
      </c>
      <c r="C101" s="30">
        <v>1873</v>
      </c>
      <c r="E101" t="s">
        <v>214</v>
      </c>
      <c r="F101" s="30">
        <v>1931</v>
      </c>
      <c r="G101" t="b">
        <f>IF(B101=E101,TRUE,FALSE)</f>
        <v>1</v>
      </c>
      <c r="J101">
        <f>F101-C101</f>
        <v>58</v>
      </c>
      <c r="K101" s="4">
        <f>F101/C101-1</f>
        <v>3.0966364121729928E-2</v>
      </c>
      <c r="M101" s="5">
        <v>3705.93</v>
      </c>
      <c r="N101" s="5">
        <v>4461.28</v>
      </c>
      <c r="Q101" s="5">
        <v>30156.27</v>
      </c>
      <c r="U101" s="167">
        <f>N101-M101</f>
        <v>755.34999999999991</v>
      </c>
      <c r="V101" s="4">
        <f>IF(M101=0,0,N101/M101-1)</f>
        <v>0.20382198260625528</v>
      </c>
      <c r="W101">
        <v>1.7080880648899188</v>
      </c>
      <c r="X101">
        <f>N101/F101</f>
        <v>2.3103469704816155</v>
      </c>
      <c r="Y101">
        <f>X101-W101</f>
        <v>0.6022589055916967</v>
      </c>
      <c r="Z101" s="18">
        <v>54298.27</v>
      </c>
      <c r="AA101" s="18">
        <v>55950.7</v>
      </c>
      <c r="AB101" s="4">
        <f>AA101/Z101-1</f>
        <v>3.0432461292044799E-2</v>
      </c>
    </row>
    <row r="102" spans="1:28">
      <c r="A102" t="s">
        <v>215</v>
      </c>
      <c r="B102" t="s">
        <v>216</v>
      </c>
      <c r="C102" s="30">
        <v>634</v>
      </c>
      <c r="E102" t="s">
        <v>216</v>
      </c>
      <c r="F102" s="30">
        <v>690</v>
      </c>
      <c r="G102" t="b">
        <f>IF(B102=E102,TRUE,FALSE)</f>
        <v>1</v>
      </c>
      <c r="J102">
        <f>F102-C102</f>
        <v>56</v>
      </c>
      <c r="K102" s="4">
        <f>F102/C102-1</f>
        <v>8.8328075709779075E-2</v>
      </c>
      <c r="M102" s="5">
        <v>485.05</v>
      </c>
      <c r="N102" s="5">
        <v>545.20000000000005</v>
      </c>
      <c r="Q102" s="5">
        <v>3535.99</v>
      </c>
      <c r="U102" s="167">
        <f>N102-M102</f>
        <v>60.150000000000034</v>
      </c>
      <c r="V102" s="4">
        <f>IF(M102=0,0,N102/M102-1)</f>
        <v>0.12400783424389239</v>
      </c>
      <c r="W102">
        <v>0.75351351351351348</v>
      </c>
      <c r="X102">
        <f>N102/F102</f>
        <v>0.790144927536232</v>
      </c>
      <c r="Y102">
        <f>X102-W102</f>
        <v>3.6631414022718523E-2</v>
      </c>
      <c r="Z102" s="18">
        <v>13916.3</v>
      </c>
      <c r="AA102" s="18">
        <v>15145.5</v>
      </c>
      <c r="AB102" s="4">
        <f>AA102/Z102-1</f>
        <v>8.8328075709779297E-2</v>
      </c>
    </row>
    <row r="103" spans="1:28">
      <c r="A103" t="s">
        <v>217</v>
      </c>
      <c r="B103" t="s">
        <v>218</v>
      </c>
      <c r="C103" s="30">
        <v>1421</v>
      </c>
      <c r="E103" t="s">
        <v>218</v>
      </c>
      <c r="F103" s="30">
        <v>1476</v>
      </c>
      <c r="G103" t="b">
        <f>IF(B103=E103,TRUE,FALSE)</f>
        <v>1</v>
      </c>
      <c r="J103">
        <f>F103-C103</f>
        <v>55</v>
      </c>
      <c r="K103" s="4">
        <f>F103/C103-1</f>
        <v>3.870513722730462E-2</v>
      </c>
      <c r="M103" s="5">
        <v>1363.6</v>
      </c>
      <c r="N103" s="5">
        <v>1165.81</v>
      </c>
      <c r="Q103" s="5">
        <v>7149.05</v>
      </c>
      <c r="U103" s="167">
        <f>N103-M103</f>
        <v>-197.78999999999996</v>
      </c>
      <c r="V103" s="4">
        <f>IF(M103=0,0,N103/M103-1)</f>
        <v>-0.1450498679964799</v>
      </c>
      <c r="W103">
        <v>0.74811973807296539</v>
      </c>
      <c r="X103">
        <f>N103/F103</f>
        <v>0.78984417344173441</v>
      </c>
      <c r="Y103">
        <f>X103-W103</f>
        <v>4.1724435368769019E-2</v>
      </c>
      <c r="Z103" s="18">
        <v>42558.95</v>
      </c>
      <c r="AA103" s="18">
        <v>44206.2</v>
      </c>
      <c r="AB103" s="4">
        <f>AA103/Z103-1</f>
        <v>3.870513722730462E-2</v>
      </c>
    </row>
    <row r="104" spans="1:28">
      <c r="A104" t="s">
        <v>219</v>
      </c>
      <c r="B104" t="s">
        <v>220</v>
      </c>
      <c r="C104" s="30">
        <v>1309</v>
      </c>
      <c r="E104" t="s">
        <v>220</v>
      </c>
      <c r="F104" s="30">
        <v>1363</v>
      </c>
      <c r="G104" t="b">
        <f>IF(B104=E104,TRUE,FALSE)</f>
        <v>1</v>
      </c>
      <c r="J104">
        <f>F104-C104</f>
        <v>54</v>
      </c>
      <c r="K104" s="4">
        <f>F104/C104-1</f>
        <v>4.1252864782276522E-2</v>
      </c>
      <c r="M104" s="5">
        <v>2578.4499999999998</v>
      </c>
      <c r="N104" s="5">
        <v>2351.85</v>
      </c>
      <c r="Q104" s="5">
        <v>12063.36</v>
      </c>
      <c r="U104" s="167">
        <f>N104-M104</f>
        <v>-226.59999999999991</v>
      </c>
      <c r="V104" s="4">
        <f>IF(M104=0,0,N104/M104-1)</f>
        <v>-8.7882254843025809E-2</v>
      </c>
      <c r="W104">
        <v>1.8407860696517413</v>
      </c>
      <c r="X104">
        <f>N104/F104</f>
        <v>1.7254952311078502</v>
      </c>
      <c r="Y104">
        <f>X104-W104</f>
        <v>-0.11529083854389111</v>
      </c>
      <c r="Z104" s="18">
        <v>39256.910000000003</v>
      </c>
      <c r="AA104" s="18">
        <v>40876.370000000003</v>
      </c>
      <c r="AB104" s="4">
        <f>AA104/Z104-1</f>
        <v>4.1252864782276522E-2</v>
      </c>
    </row>
    <row r="105" spans="1:28">
      <c r="A105" t="s">
        <v>221</v>
      </c>
      <c r="B105" t="s">
        <v>222</v>
      </c>
      <c r="C105" s="30">
        <v>419</v>
      </c>
      <c r="E105" t="s">
        <v>222</v>
      </c>
      <c r="F105" s="30">
        <v>472</v>
      </c>
      <c r="G105" t="b">
        <f>IF(B105=E105,TRUE,FALSE)</f>
        <v>1</v>
      </c>
      <c r="J105" s="27">
        <f>F105-C105</f>
        <v>53</v>
      </c>
      <c r="K105" s="4">
        <f>F105/C105-1</f>
        <v>0.12649164677804303</v>
      </c>
      <c r="M105" s="5">
        <v>933.48</v>
      </c>
      <c r="N105" s="5">
        <v>962.02</v>
      </c>
      <c r="Q105" s="5">
        <v>4327.09</v>
      </c>
      <c r="U105" s="167">
        <f>N105-M105</f>
        <v>28.539999999999964</v>
      </c>
      <c r="V105" s="4">
        <f>IF(M105=0,0,N105/M105-1)</f>
        <v>3.0573766979474559E-2</v>
      </c>
      <c r="W105">
        <v>2.0744268774703558</v>
      </c>
      <c r="X105">
        <f>N105/F105</f>
        <v>2.0381779661016948</v>
      </c>
      <c r="Y105">
        <f>X105-W105</f>
        <v>-3.6248911368661041E-2</v>
      </c>
      <c r="Z105" s="18">
        <v>7521.05</v>
      </c>
      <c r="AA105" s="18">
        <v>8472.4</v>
      </c>
      <c r="AB105" s="4">
        <f>AA105/Z105-1</f>
        <v>0.12649164677804281</v>
      </c>
    </row>
    <row r="106" spans="1:28">
      <c r="A106" t="s">
        <v>223</v>
      </c>
      <c r="B106" t="s">
        <v>224</v>
      </c>
      <c r="C106" s="30">
        <v>1974</v>
      </c>
      <c r="E106" t="s">
        <v>224</v>
      </c>
      <c r="F106" s="30">
        <v>2026</v>
      </c>
      <c r="G106" t="b">
        <f>IF(B106=E106,TRUE,FALSE)</f>
        <v>1</v>
      </c>
      <c r="J106">
        <f>F106-C106</f>
        <v>52</v>
      </c>
      <c r="K106" s="4">
        <f>F106/C106-1</f>
        <v>2.6342451874366679E-2</v>
      </c>
      <c r="M106" s="5">
        <v>1668.49</v>
      </c>
      <c r="N106" s="5">
        <v>2164.4299999999998</v>
      </c>
      <c r="Q106" s="5">
        <v>10185.950000000001</v>
      </c>
      <c r="U106" s="167">
        <f>N106-M106</f>
        <v>495.93999999999983</v>
      </c>
      <c r="V106" s="4">
        <f>IF(M106=0,0,N106/M106-1)</f>
        <v>0.29723882073012109</v>
      </c>
      <c r="W106">
        <v>0.92246744345442089</v>
      </c>
      <c r="X106">
        <f>N106/F106</f>
        <v>1.0683267522211253</v>
      </c>
      <c r="Y106">
        <f>X106-W106</f>
        <v>0.14585930876670439</v>
      </c>
      <c r="Z106" s="18">
        <v>39052.9</v>
      </c>
      <c r="AA106" s="18">
        <v>40004.78</v>
      </c>
      <c r="AB106" s="4">
        <f>AA106/Z106-1</f>
        <v>2.437411818328461E-2</v>
      </c>
    </row>
    <row r="107" spans="1:28">
      <c r="A107" t="s">
        <v>225</v>
      </c>
      <c r="B107" t="s">
        <v>226</v>
      </c>
      <c r="C107" s="30">
        <v>556</v>
      </c>
      <c r="E107" t="s">
        <v>226</v>
      </c>
      <c r="F107" s="30">
        <v>602</v>
      </c>
      <c r="G107" t="b">
        <f>IF(B107=E107,TRUE,FALSE)</f>
        <v>1</v>
      </c>
      <c r="J107">
        <f>F107-C107</f>
        <v>46</v>
      </c>
      <c r="K107" s="4">
        <f>F107/C107-1</f>
        <v>8.2733812949640217E-2</v>
      </c>
      <c r="M107" s="5">
        <v>606.94000000000005</v>
      </c>
      <c r="N107" s="5">
        <v>654.19000000000005</v>
      </c>
      <c r="Q107" s="5">
        <v>3643.61</v>
      </c>
      <c r="U107" s="167">
        <f>N107-M107</f>
        <v>47.25</v>
      </c>
      <c r="V107" s="4">
        <f>IF(M107=0,0,N107/M107-1)</f>
        <v>7.7849540317000088E-2</v>
      </c>
      <c r="W107">
        <v>0.73718820861678014</v>
      </c>
      <c r="X107">
        <f>N107/F107</f>
        <v>1.0866943521594685</v>
      </c>
      <c r="Y107">
        <f>X107-W107</f>
        <v>0.34950614354268839</v>
      </c>
      <c r="Z107" s="18">
        <v>10536.2</v>
      </c>
      <c r="AA107" s="18">
        <v>11407.9</v>
      </c>
      <c r="AB107" s="4">
        <f>AA107/Z107-1</f>
        <v>8.2733812949640217E-2</v>
      </c>
    </row>
    <row r="108" spans="1:28">
      <c r="A108" t="s">
        <v>227</v>
      </c>
      <c r="B108" t="s">
        <v>228</v>
      </c>
      <c r="C108" s="30">
        <v>1820</v>
      </c>
      <c r="E108" t="s">
        <v>228</v>
      </c>
      <c r="F108" s="30">
        <v>1866</v>
      </c>
      <c r="G108" t="b">
        <f>IF(B108=E108,TRUE,FALSE)</f>
        <v>1</v>
      </c>
      <c r="J108">
        <f>F108-C108</f>
        <v>46</v>
      </c>
      <c r="K108" s="4">
        <f>F108/C108-1</f>
        <v>2.5274725274725185E-2</v>
      </c>
      <c r="M108" s="5">
        <v>4733.29</v>
      </c>
      <c r="N108" s="5">
        <v>3855.15</v>
      </c>
      <c r="Q108" s="5">
        <v>15309.02</v>
      </c>
      <c r="U108" s="167">
        <f>N108-M108</f>
        <v>-878.13999999999987</v>
      </c>
      <c r="V108" s="4">
        <f>IF(M108=0,0,N108/M108-1)</f>
        <v>-0.18552423367256177</v>
      </c>
      <c r="W108">
        <v>1.7667908131595285</v>
      </c>
      <c r="X108">
        <f>N108/F108</f>
        <v>2.0659967845659164</v>
      </c>
      <c r="Y108">
        <f>X108-W108</f>
        <v>0.29920597140638794</v>
      </c>
      <c r="Z108" s="18">
        <v>45456.57</v>
      </c>
      <c r="AA108" s="18">
        <v>46581.16</v>
      </c>
      <c r="AB108" s="4">
        <f>AA108/Z108-1</f>
        <v>2.4739878085830114E-2</v>
      </c>
    </row>
    <row r="109" spans="1:28">
      <c r="A109" t="s">
        <v>229</v>
      </c>
      <c r="B109" t="s">
        <v>230</v>
      </c>
      <c r="C109" s="30">
        <v>344</v>
      </c>
      <c r="E109" t="s">
        <v>230</v>
      </c>
      <c r="F109" s="30">
        <v>384</v>
      </c>
      <c r="G109" t="b">
        <f>IF(B109=E109,TRUE,FALSE)</f>
        <v>1</v>
      </c>
      <c r="J109">
        <f>F109-C109</f>
        <v>40</v>
      </c>
      <c r="K109" s="4">
        <f>F109/C109-1</f>
        <v>0.11627906976744184</v>
      </c>
      <c r="M109" s="5">
        <v>242.19</v>
      </c>
      <c r="N109" s="5">
        <v>284.83</v>
      </c>
      <c r="Q109" s="5">
        <v>2317.38</v>
      </c>
      <c r="U109" s="167">
        <f>N109-M109</f>
        <v>42.639999999999986</v>
      </c>
      <c r="V109" s="4">
        <f>IF(M109=0,0,N109/M109-1)</f>
        <v>0.17606011808910349</v>
      </c>
      <c r="W109">
        <v>0.54684049079754604</v>
      </c>
      <c r="X109">
        <f>N109/F109</f>
        <v>0.74174479166666663</v>
      </c>
      <c r="Y109">
        <f>X109-W109</f>
        <v>0.19490430086912058</v>
      </c>
      <c r="Z109" s="18">
        <v>8238.7999999999993</v>
      </c>
      <c r="AA109" s="18">
        <v>9196.7999999999993</v>
      </c>
      <c r="AB109" s="4">
        <f>AA109/Z109-1</f>
        <v>0.11627906976744184</v>
      </c>
    </row>
    <row r="110" spans="1:28">
      <c r="A110" t="s">
        <v>231</v>
      </c>
      <c r="B110" t="s">
        <v>232</v>
      </c>
      <c r="C110" s="30">
        <v>870</v>
      </c>
      <c r="E110" t="s">
        <v>232</v>
      </c>
      <c r="F110" s="30">
        <v>910</v>
      </c>
      <c r="G110" t="b">
        <f>IF(B110=E110,TRUE,FALSE)</f>
        <v>1</v>
      </c>
      <c r="J110">
        <f>F110-C110</f>
        <v>40</v>
      </c>
      <c r="K110" s="4">
        <f>F110/C110-1</f>
        <v>4.5977011494252817E-2</v>
      </c>
      <c r="M110" s="5">
        <v>1245.56</v>
      </c>
      <c r="N110" s="5">
        <v>1227.83</v>
      </c>
      <c r="Q110" s="5">
        <v>7620.47</v>
      </c>
      <c r="U110" s="167">
        <f>N110-M110</f>
        <v>-17.730000000000018</v>
      </c>
      <c r="V110" s="4">
        <f>IF(M110=0,0,N110/M110-1)</f>
        <v>-1.4234561161244774E-2</v>
      </c>
      <c r="W110">
        <v>1.5074898785425102</v>
      </c>
      <c r="X110">
        <f>N110/F110</f>
        <v>1.3492637362637361</v>
      </c>
      <c r="Y110">
        <f>X110-W110</f>
        <v>-0.15822614227877407</v>
      </c>
      <c r="Z110" s="18">
        <v>17356.5</v>
      </c>
      <c r="AA110" s="18">
        <v>18154.5</v>
      </c>
      <c r="AB110" s="4">
        <f>AA110/Z110-1</f>
        <v>4.5977011494252817E-2</v>
      </c>
    </row>
    <row r="111" spans="1:28">
      <c r="A111" t="s">
        <v>233</v>
      </c>
      <c r="B111" t="s">
        <v>234</v>
      </c>
      <c r="C111" s="30">
        <v>2389</v>
      </c>
      <c r="E111" t="s">
        <v>234</v>
      </c>
      <c r="F111" s="30">
        <v>2428</v>
      </c>
      <c r="G111" t="b">
        <f>IF(B111=E111,TRUE,FALSE)</f>
        <v>1</v>
      </c>
      <c r="J111">
        <f>F111-C111</f>
        <v>39</v>
      </c>
      <c r="K111" s="4">
        <f>F111/C111-1</f>
        <v>1.6324822101297709E-2</v>
      </c>
      <c r="M111" s="5">
        <v>2429.1</v>
      </c>
      <c r="N111" s="5">
        <v>2821.81</v>
      </c>
      <c r="Q111" s="5">
        <v>19044.82</v>
      </c>
      <c r="U111" s="167">
        <f>N111-M111</f>
        <v>392.71000000000004</v>
      </c>
      <c r="V111" s="4">
        <f>IF(M111=0,0,N111/M111-1)</f>
        <v>0.16166893087974965</v>
      </c>
      <c r="W111">
        <v>0.88870751341681575</v>
      </c>
      <c r="X111">
        <f>N111/F111</f>
        <v>1.1621952224052718</v>
      </c>
      <c r="Y111">
        <f>X111-W111</f>
        <v>0.27348770898845609</v>
      </c>
      <c r="Z111" s="18">
        <v>71520.600000000006</v>
      </c>
      <c r="AA111" s="18">
        <v>72718.600000000006</v>
      </c>
      <c r="AB111" s="4">
        <f>AA111/Z111-1</f>
        <v>1.675041876046901E-2</v>
      </c>
    </row>
    <row r="112" spans="1:28">
      <c r="A112" t="s">
        <v>235</v>
      </c>
      <c r="B112" t="s">
        <v>236</v>
      </c>
      <c r="C112" s="30">
        <v>1177</v>
      </c>
      <c r="E112" t="s">
        <v>236</v>
      </c>
      <c r="F112" s="30">
        <v>1214</v>
      </c>
      <c r="G112" t="b">
        <f>IF(B112=E112,TRUE,FALSE)</f>
        <v>1</v>
      </c>
      <c r="J112">
        <f>F112-C112</f>
        <v>37</v>
      </c>
      <c r="K112" s="4">
        <f>F112/C112-1</f>
        <v>3.1435853865760421E-2</v>
      </c>
      <c r="M112" s="5">
        <v>846.95</v>
      </c>
      <c r="N112" s="5">
        <v>1000.47</v>
      </c>
      <c r="Q112" s="5">
        <v>4966.93</v>
      </c>
      <c r="U112" s="167">
        <f>N112-M112</f>
        <v>153.51999999999998</v>
      </c>
      <c r="V112" s="4">
        <f>IF(M112=0,0,N112/M112-1)</f>
        <v>0.18126217604345007</v>
      </c>
      <c r="W112">
        <v>0.45224598930481286</v>
      </c>
      <c r="X112">
        <f>N112/F112</f>
        <v>0.82411037891268535</v>
      </c>
      <c r="Y112">
        <f>X112-W112</f>
        <v>0.37186438960787249</v>
      </c>
      <c r="Z112" s="18">
        <v>41101.199999999997</v>
      </c>
      <c r="AA112" s="18">
        <v>42429.3</v>
      </c>
      <c r="AB112" s="4">
        <f>AA112/Z112-1</f>
        <v>3.231292517006823E-2</v>
      </c>
    </row>
    <row r="113" spans="1:28">
      <c r="A113" t="s">
        <v>237</v>
      </c>
      <c r="B113" t="s">
        <v>238</v>
      </c>
      <c r="C113" s="30">
        <v>1394</v>
      </c>
      <c r="E113" t="s">
        <v>238</v>
      </c>
      <c r="F113" s="30">
        <v>1430</v>
      </c>
      <c r="G113" t="b">
        <f>IF(B113=E113,TRUE,FALSE)</f>
        <v>1</v>
      </c>
      <c r="J113">
        <f>F113-C113</f>
        <v>36</v>
      </c>
      <c r="K113" s="4">
        <f>F113/C113-1</f>
        <v>2.582496413199431E-2</v>
      </c>
      <c r="M113" s="5">
        <v>2370.62</v>
      </c>
      <c r="N113" s="5">
        <v>2394.31</v>
      </c>
      <c r="Q113" s="5">
        <v>16958.259999999998</v>
      </c>
      <c r="U113" s="167">
        <f>N113-M113</f>
        <v>23.690000000000055</v>
      </c>
      <c r="V113" s="4">
        <f>IF(M113=0,0,N113/M113-1)</f>
        <v>9.9931663446692909E-3</v>
      </c>
      <c r="W113">
        <v>1.1299081803005009</v>
      </c>
      <c r="X113">
        <f>N113/F113</f>
        <v>1.6743426573426574</v>
      </c>
      <c r="Y113">
        <f>X113-W113</f>
        <v>0.54443447704215653</v>
      </c>
      <c r="Z113" s="18">
        <v>32025.07</v>
      </c>
      <c r="AA113" s="18">
        <v>32875.699999999997</v>
      </c>
      <c r="AB113" s="4">
        <f>AA113/Z113-1</f>
        <v>2.6561378320172135E-2</v>
      </c>
    </row>
    <row r="114" spans="1:28">
      <c r="A114" t="s">
        <v>239</v>
      </c>
      <c r="B114" t="s">
        <v>240</v>
      </c>
      <c r="C114" s="30">
        <v>174</v>
      </c>
      <c r="E114" t="s">
        <v>240</v>
      </c>
      <c r="F114" s="30">
        <v>208</v>
      </c>
      <c r="G114" t="b">
        <f>IF(B114=E114,TRUE,FALSE)</f>
        <v>1</v>
      </c>
      <c r="J114">
        <f>F114-C114</f>
        <v>34</v>
      </c>
      <c r="K114" s="4">
        <f>F114/C114-1</f>
        <v>0.19540229885057481</v>
      </c>
      <c r="M114" s="5">
        <v>339.74</v>
      </c>
      <c r="N114" s="5">
        <v>461.06</v>
      </c>
      <c r="Q114" s="5">
        <v>1418.38</v>
      </c>
      <c r="U114" s="167">
        <f>N114-M114</f>
        <v>121.32</v>
      </c>
      <c r="V114" s="4">
        <f>IF(M114=0,0,N114/M114-1)</f>
        <v>0.35709660328486481</v>
      </c>
      <c r="W114">
        <v>1.5797297297297297</v>
      </c>
      <c r="X114">
        <f>N114/F114</f>
        <v>2.2166346153846153</v>
      </c>
      <c r="Y114">
        <f>X114-W114</f>
        <v>0.63690488565488557</v>
      </c>
      <c r="Z114" s="18">
        <v>4316.3500000000004</v>
      </c>
      <c r="AA114" s="18">
        <v>4425.76</v>
      </c>
      <c r="AB114" s="4">
        <f>AA114/Z114-1</f>
        <v>2.534780543746451E-2</v>
      </c>
    </row>
    <row r="115" spans="1:28">
      <c r="A115" t="s">
        <v>241</v>
      </c>
      <c r="B115" t="s">
        <v>242</v>
      </c>
      <c r="C115" s="30">
        <v>1085</v>
      </c>
      <c r="E115" t="s">
        <v>242</v>
      </c>
      <c r="F115" s="30">
        <v>1114</v>
      </c>
      <c r="G115" t="b">
        <f>IF(B115=E115,TRUE,FALSE)</f>
        <v>1</v>
      </c>
      <c r="J115">
        <f>F115-C115</f>
        <v>29</v>
      </c>
      <c r="K115" s="4">
        <f>F115/C115-1</f>
        <v>2.6728110599078425E-2</v>
      </c>
      <c r="M115" s="5">
        <v>1347</v>
      </c>
      <c r="N115" s="5">
        <v>1550.98</v>
      </c>
      <c r="Q115" s="5">
        <v>11495.48</v>
      </c>
      <c r="U115" s="167">
        <f>N115-M115</f>
        <v>203.98000000000002</v>
      </c>
      <c r="V115" s="4">
        <f>IF(M115=0,0,N115/M115-1)</f>
        <v>0.15143281365998518</v>
      </c>
      <c r="W115">
        <v>1.1430716723549488</v>
      </c>
      <c r="X115">
        <f>N115/F115</f>
        <v>1.3922621184919211</v>
      </c>
      <c r="Y115">
        <f>X115-W115</f>
        <v>0.24919044613697228</v>
      </c>
      <c r="Z115" s="18">
        <v>32495.75</v>
      </c>
      <c r="AA115" s="18">
        <v>33364.300000000003</v>
      </c>
      <c r="AB115" s="4">
        <f>AA115/Z115-1</f>
        <v>2.6728110599078425E-2</v>
      </c>
    </row>
    <row r="116" spans="1:28">
      <c r="A116" t="s">
        <v>243</v>
      </c>
      <c r="B116" t="s">
        <v>244</v>
      </c>
      <c r="C116" s="30">
        <v>497</v>
      </c>
      <c r="E116" t="s">
        <v>244</v>
      </c>
      <c r="F116" s="30">
        <v>525</v>
      </c>
      <c r="G116" t="b">
        <f>IF(B116=E116,TRUE,FALSE)</f>
        <v>1</v>
      </c>
      <c r="J116">
        <f>F116-C116</f>
        <v>28</v>
      </c>
      <c r="K116" s="4">
        <f>F116/C116-1</f>
        <v>5.6338028169014009E-2</v>
      </c>
      <c r="M116" s="5">
        <v>516.45000000000005</v>
      </c>
      <c r="N116" s="5">
        <v>774.67</v>
      </c>
      <c r="Q116" s="5">
        <v>4551.26</v>
      </c>
      <c r="U116" s="167">
        <f>N116-M116</f>
        <v>258.21999999999991</v>
      </c>
      <c r="V116" s="4">
        <f>IF(M116=0,0,N116/M116-1)</f>
        <v>0.49999031852066977</v>
      </c>
      <c r="W116">
        <v>0.94440540540540541</v>
      </c>
      <c r="X116">
        <f>N116/F116</f>
        <v>1.4755619047619046</v>
      </c>
      <c r="Y116">
        <f>X116-W116</f>
        <v>0.53115649935649922</v>
      </c>
      <c r="Z116" s="18">
        <v>10909.15</v>
      </c>
      <c r="AA116" s="18">
        <v>11523.75</v>
      </c>
      <c r="AB116" s="4">
        <f>AA116/Z116-1</f>
        <v>5.6338028169014009E-2</v>
      </c>
    </row>
    <row r="117" spans="1:28">
      <c r="A117" t="s">
        <v>245</v>
      </c>
      <c r="B117" t="s">
        <v>246</v>
      </c>
      <c r="C117" s="30">
        <v>403</v>
      </c>
      <c r="E117" t="s">
        <v>246</v>
      </c>
      <c r="F117" s="30">
        <v>431</v>
      </c>
      <c r="G117" t="b">
        <f>IF(B117=E117,TRUE,FALSE)</f>
        <v>1</v>
      </c>
      <c r="J117">
        <f>F117-C117</f>
        <v>28</v>
      </c>
      <c r="K117" s="4">
        <f>F117/C117-1</f>
        <v>6.9478908188585597E-2</v>
      </c>
      <c r="M117" s="5">
        <v>573.6</v>
      </c>
      <c r="N117" s="5">
        <v>742.51</v>
      </c>
      <c r="Q117" s="5">
        <v>4074.63</v>
      </c>
      <c r="U117" s="167">
        <f>N117-M117</f>
        <v>168.90999999999997</v>
      </c>
      <c r="V117" s="4">
        <f>IF(M117=0,0,N117/M117-1)</f>
        <v>0.29447350069735001</v>
      </c>
      <c r="W117">
        <v>1.3889171974522294</v>
      </c>
      <c r="X117">
        <f>N117/F117</f>
        <v>1.7227610208816706</v>
      </c>
      <c r="Y117">
        <f>X117-W117</f>
        <v>0.33384382342944119</v>
      </c>
      <c r="Z117" s="18">
        <v>9651.85</v>
      </c>
      <c r="AA117" s="18">
        <v>10322.450000000001</v>
      </c>
      <c r="AB117" s="4">
        <f>AA117/Z117-1</f>
        <v>6.9478908188585597E-2</v>
      </c>
    </row>
    <row r="118" spans="1:28">
      <c r="A118" t="s">
        <v>247</v>
      </c>
      <c r="B118" t="s">
        <v>248</v>
      </c>
      <c r="C118" s="30">
        <v>1249</v>
      </c>
      <c r="E118" t="s">
        <v>248</v>
      </c>
      <c r="F118" s="30">
        <v>1277</v>
      </c>
      <c r="G118" t="b">
        <f>IF(B118=E118,TRUE,FALSE)</f>
        <v>1</v>
      </c>
      <c r="J118">
        <f>F118-C118</f>
        <v>28</v>
      </c>
      <c r="K118" s="4">
        <f>F118/C118-1</f>
        <v>2.2417934347477964E-2</v>
      </c>
      <c r="M118" s="5">
        <v>2308.9899999999998</v>
      </c>
      <c r="N118" s="5">
        <v>2567.0300000000002</v>
      </c>
      <c r="Q118" s="5">
        <v>20407.66</v>
      </c>
      <c r="U118" s="167">
        <f>N118-M118</f>
        <v>258.04000000000042</v>
      </c>
      <c r="V118" s="4">
        <f>IF(M118=0,0,N118/M118-1)</f>
        <v>0.11175449005842397</v>
      </c>
      <c r="W118">
        <v>1.8649894514767933</v>
      </c>
      <c r="X118">
        <f>N118/F118</f>
        <v>2.010203602192639</v>
      </c>
      <c r="Y118">
        <f>X118-W118</f>
        <v>0.14521415071584576</v>
      </c>
      <c r="Z118" s="18">
        <v>37367.43</v>
      </c>
      <c r="AA118" s="18">
        <v>38246.15</v>
      </c>
      <c r="AB118" s="4">
        <f>AA118/Z118-1</f>
        <v>2.3515665915477824E-2</v>
      </c>
    </row>
    <row r="119" spans="1:28">
      <c r="A119" t="s">
        <v>249</v>
      </c>
      <c r="B119" t="s">
        <v>250</v>
      </c>
      <c r="C119" s="30">
        <v>1084</v>
      </c>
      <c r="E119" t="s">
        <v>250</v>
      </c>
      <c r="F119" s="30">
        <v>1108</v>
      </c>
      <c r="G119" t="b">
        <f>IF(B119=E119,TRUE,FALSE)</f>
        <v>1</v>
      </c>
      <c r="J119">
        <f>F119-C119</f>
        <v>24</v>
      </c>
      <c r="K119" s="4">
        <f>F119/C119-1</f>
        <v>2.2140221402213944E-2</v>
      </c>
      <c r="M119" s="5">
        <v>2186.7199999999998</v>
      </c>
      <c r="N119" s="5">
        <v>2267.13</v>
      </c>
      <c r="Q119" s="5">
        <v>14672.66</v>
      </c>
      <c r="U119" s="167">
        <f>N119-M119</f>
        <v>80.410000000000309</v>
      </c>
      <c r="V119" s="4">
        <f>IF(M119=0,0,N119/M119-1)</f>
        <v>3.6771968976366587E-2</v>
      </c>
      <c r="W119">
        <v>1.9608743169398908</v>
      </c>
      <c r="X119">
        <f>N119/F119</f>
        <v>2.0461462093862819</v>
      </c>
      <c r="Y119">
        <f>X119-W119</f>
        <v>8.5271892446391107E-2</v>
      </c>
      <c r="Z119" s="18">
        <v>27091.629999999997</v>
      </c>
      <c r="AA119" s="18">
        <v>28796.92</v>
      </c>
      <c r="AB119" s="4">
        <f>AA119/Z119-1</f>
        <v>6.2945271288586291E-2</v>
      </c>
    </row>
    <row r="120" spans="1:28">
      <c r="A120" t="s">
        <v>251</v>
      </c>
      <c r="B120" t="s">
        <v>252</v>
      </c>
      <c r="C120" s="30">
        <v>1588</v>
      </c>
      <c r="E120" t="s">
        <v>252</v>
      </c>
      <c r="F120" s="30">
        <v>1611</v>
      </c>
      <c r="G120" t="b">
        <f>IF(B120=E120,TRUE,FALSE)</f>
        <v>1</v>
      </c>
      <c r="J120">
        <f>F120-C120</f>
        <v>23</v>
      </c>
      <c r="K120" s="4">
        <f>F120/C120-1</f>
        <v>1.4483627204030292E-2</v>
      </c>
      <c r="M120" s="5">
        <v>1880.76</v>
      </c>
      <c r="N120" s="5">
        <v>2692.2</v>
      </c>
      <c r="Q120" s="5">
        <v>17781.099999999999</v>
      </c>
      <c r="U120" s="167">
        <f>N120-M120</f>
        <v>811.43999999999983</v>
      </c>
      <c r="V120" s="4">
        <f>IF(M120=0,0,N120/M120-1)</f>
        <v>0.43144260830727998</v>
      </c>
      <c r="W120">
        <v>1.0663808854532677</v>
      </c>
      <c r="X120">
        <f>N120/F120</f>
        <v>1.6711359404096833</v>
      </c>
      <c r="Y120">
        <f>X120-W120</f>
        <v>0.60475505495641557</v>
      </c>
      <c r="Z120" s="18">
        <v>54853.62</v>
      </c>
      <c r="AA120" s="18">
        <v>55721.39</v>
      </c>
      <c r="AB120" s="4">
        <f>AA120/Z120-1</f>
        <v>1.5819739882253936E-2</v>
      </c>
    </row>
    <row r="121" spans="1:28">
      <c r="A121" t="s">
        <v>253</v>
      </c>
      <c r="B121" t="s">
        <v>254</v>
      </c>
      <c r="C121" s="30">
        <v>918</v>
      </c>
      <c r="E121" t="s">
        <v>254</v>
      </c>
      <c r="F121" s="30">
        <v>941</v>
      </c>
      <c r="G121" t="b">
        <f>IF(B121=E121,TRUE,FALSE)</f>
        <v>1</v>
      </c>
      <c r="J121">
        <f>F121-C121</f>
        <v>23</v>
      </c>
      <c r="K121" s="4">
        <f>F121/C121-1</f>
        <v>2.5054466230936878E-2</v>
      </c>
      <c r="M121" s="5">
        <v>2718.95</v>
      </c>
      <c r="N121" s="5">
        <v>2119.17</v>
      </c>
      <c r="Q121" s="5">
        <v>12484.69</v>
      </c>
      <c r="U121" s="167">
        <f>N121-M121</f>
        <v>-599.77999999999975</v>
      </c>
      <c r="V121" s="4">
        <f>IF(M121=0,0,N121/M121-1)</f>
        <v>-0.22059250813733233</v>
      </c>
      <c r="W121">
        <v>3.3369057815845826</v>
      </c>
      <c r="X121">
        <f>N121/F121</f>
        <v>2.2520403825717321</v>
      </c>
      <c r="Y121">
        <f>X121-W121</f>
        <v>-1.0848653990128505</v>
      </c>
      <c r="Z121" s="18">
        <v>27530.82</v>
      </c>
      <c r="AA121" s="18">
        <v>28190.6</v>
      </c>
      <c r="AB121" s="4">
        <f>AA121/Z121-1</f>
        <v>2.3965141612200425E-2</v>
      </c>
    </row>
    <row r="122" spans="1:28">
      <c r="A122" t="s">
        <v>255</v>
      </c>
      <c r="B122" t="s">
        <v>256</v>
      </c>
      <c r="C122" s="30">
        <v>516</v>
      </c>
      <c r="E122" t="s">
        <v>256</v>
      </c>
      <c r="F122" s="30">
        <v>535</v>
      </c>
      <c r="G122" t="b">
        <f>IF(B122=E122,TRUE,FALSE)</f>
        <v>1</v>
      </c>
      <c r="J122">
        <f>F122-C122</f>
        <v>19</v>
      </c>
      <c r="K122" s="4">
        <f>F122/C122-1</f>
        <v>3.6821705426356655E-2</v>
      </c>
      <c r="M122" s="5">
        <v>593.46</v>
      </c>
      <c r="N122" s="5">
        <v>654.45000000000005</v>
      </c>
      <c r="Q122" s="5">
        <v>4268.74</v>
      </c>
      <c r="U122" s="167">
        <f>N122-M122</f>
        <v>60.990000000000009</v>
      </c>
      <c r="V122" s="4">
        <f>IF(M122=0,0,N122/M122-1)</f>
        <v>0.10277019512688312</v>
      </c>
      <c r="W122">
        <v>1.0440362811791384</v>
      </c>
      <c r="X122">
        <f>N122/F122</f>
        <v>1.2232710280373833</v>
      </c>
      <c r="Y122">
        <f>X122-W122</f>
        <v>0.17923474685824492</v>
      </c>
      <c r="Z122" s="18">
        <v>12874.2</v>
      </c>
      <c r="AA122" s="18">
        <v>13323.3</v>
      </c>
      <c r="AB122" s="4">
        <f>AA122/Z122-1</f>
        <v>3.4883720930232398E-2</v>
      </c>
    </row>
    <row r="123" spans="1:28">
      <c r="A123" t="s">
        <v>257</v>
      </c>
      <c r="B123" t="s">
        <v>258</v>
      </c>
      <c r="C123" s="30">
        <v>408</v>
      </c>
      <c r="E123" t="s">
        <v>258</v>
      </c>
      <c r="F123" s="30">
        <v>425</v>
      </c>
      <c r="G123" t="b">
        <f>IF(B123=E123,TRUE,FALSE)</f>
        <v>1</v>
      </c>
      <c r="J123">
        <f>F123-C123</f>
        <v>17</v>
      </c>
      <c r="K123" s="4">
        <f>F123/C123-1</f>
        <v>4.1666666666666741E-2</v>
      </c>
      <c r="M123" s="5">
        <v>546.86</v>
      </c>
      <c r="N123" s="5">
        <v>530.95000000000005</v>
      </c>
      <c r="Q123" s="5">
        <v>2965.97</v>
      </c>
      <c r="U123" s="167">
        <f>N123-M123</f>
        <v>-15.909999999999968</v>
      </c>
      <c r="V123" s="4">
        <f>IF(M123=0,0,N123/M123-1)</f>
        <v>-2.9093369418132564E-2</v>
      </c>
      <c r="W123">
        <v>0.99258227848101266</v>
      </c>
      <c r="X123">
        <f>N123/F123</f>
        <v>1.2492941176470589</v>
      </c>
      <c r="Y123">
        <f>X123-W123</f>
        <v>0.25671183916604623</v>
      </c>
      <c r="Z123" s="18">
        <v>20379.599999999999</v>
      </c>
      <c r="AA123" s="18">
        <v>21228.75</v>
      </c>
      <c r="AB123" s="4">
        <f>AA123/Z123-1</f>
        <v>4.1666666666666741E-2</v>
      </c>
    </row>
    <row r="124" spans="1:28">
      <c r="A124" t="s">
        <v>259</v>
      </c>
      <c r="B124" t="s">
        <v>260</v>
      </c>
      <c r="C124" s="30">
        <v>813</v>
      </c>
      <c r="E124" t="s">
        <v>260</v>
      </c>
      <c r="F124" s="30">
        <v>829</v>
      </c>
      <c r="G124" t="b">
        <f>IF(B124=E124,TRUE,FALSE)</f>
        <v>1</v>
      </c>
      <c r="J124">
        <f>F124-C124</f>
        <v>16</v>
      </c>
      <c r="K124" s="4">
        <f>F124/C124-1</f>
        <v>1.9680196801967975E-2</v>
      </c>
      <c r="M124" s="5">
        <v>922.57</v>
      </c>
      <c r="N124" s="5">
        <v>1139.6600000000001</v>
      </c>
      <c r="Q124" s="5">
        <v>6799.52</v>
      </c>
      <c r="U124" s="167">
        <f>N124-M124</f>
        <v>217.09000000000003</v>
      </c>
      <c r="V124" s="4">
        <f>IF(M124=0,0,N124/M124-1)</f>
        <v>0.23531005777339398</v>
      </c>
      <c r="W124">
        <v>0.75826219512195125</v>
      </c>
      <c r="X124">
        <f>N124/F124</f>
        <v>1.3747406513872136</v>
      </c>
      <c r="Y124">
        <f>X124-W124</f>
        <v>0.61647845626526232</v>
      </c>
      <c r="Z124" s="18">
        <v>20255.349999999999</v>
      </c>
      <c r="AA124" s="18">
        <v>20643.55</v>
      </c>
      <c r="AB124" s="4">
        <f>AA124/Z124-1</f>
        <v>1.9165306943597749E-2</v>
      </c>
    </row>
    <row r="125" spans="1:28">
      <c r="A125" t="s">
        <v>261</v>
      </c>
      <c r="B125" t="s">
        <v>262</v>
      </c>
      <c r="C125" s="30">
        <v>351</v>
      </c>
      <c r="E125" t="s">
        <v>262</v>
      </c>
      <c r="F125" s="30">
        <v>366</v>
      </c>
      <c r="G125" t="b">
        <f>IF(B125=E125,TRUE,FALSE)</f>
        <v>1</v>
      </c>
      <c r="J125">
        <f>F125-C125</f>
        <v>15</v>
      </c>
      <c r="K125" s="4">
        <f>F125/C125-1</f>
        <v>4.2735042735042805E-2</v>
      </c>
      <c r="M125" s="5">
        <v>478.96</v>
      </c>
      <c r="N125" s="5">
        <v>652.61</v>
      </c>
      <c r="Q125" s="5">
        <v>4209.3999999999996</v>
      </c>
      <c r="U125" s="167">
        <f>N125-M125</f>
        <v>173.65000000000003</v>
      </c>
      <c r="V125" s="4">
        <f>IF(M125=0,0,N125/M125-1)</f>
        <v>0.36255637213963587</v>
      </c>
      <c r="W125">
        <v>1.3732126696832581</v>
      </c>
      <c r="X125">
        <f>N125/F125</f>
        <v>1.7830874316939891</v>
      </c>
      <c r="Y125">
        <f>X125-W125</f>
        <v>0.40987476201073103</v>
      </c>
      <c r="Z125" s="18">
        <v>7704.45</v>
      </c>
      <c r="AA125" s="18">
        <v>8033.7</v>
      </c>
      <c r="AB125" s="4">
        <f>AA125/Z125-1</f>
        <v>4.2735042735042805E-2</v>
      </c>
    </row>
    <row r="126" spans="1:28">
      <c r="A126" t="s">
        <v>263</v>
      </c>
      <c r="B126" t="s">
        <v>264</v>
      </c>
      <c r="C126" s="30">
        <v>413</v>
      </c>
      <c r="E126" t="s">
        <v>264</v>
      </c>
      <c r="F126" s="30">
        <v>427</v>
      </c>
      <c r="G126" t="b">
        <f>IF(B126=E126,TRUE,FALSE)</f>
        <v>1</v>
      </c>
      <c r="J126">
        <f>F126-C126</f>
        <v>14</v>
      </c>
      <c r="K126" s="4">
        <f>F126/C126-1</f>
        <v>3.3898305084745672E-2</v>
      </c>
      <c r="M126" s="5">
        <v>546.80999999999995</v>
      </c>
      <c r="N126" s="5">
        <v>594.62</v>
      </c>
      <c r="Q126" s="5">
        <v>2864.99</v>
      </c>
      <c r="U126" s="167">
        <f>N126-M126</f>
        <v>47.810000000000059</v>
      </c>
      <c r="V126" s="4">
        <f>IF(M126=0,0,N126/M126-1)</f>
        <v>8.7434392202044631E-2</v>
      </c>
      <c r="W126">
        <v>1.1144642857142857</v>
      </c>
      <c r="X126">
        <f>N126/F126</f>
        <v>1.3925526932084309</v>
      </c>
      <c r="Y126">
        <f>X126-W126</f>
        <v>0.27808840749414521</v>
      </c>
      <c r="Z126" s="18">
        <v>8239.35</v>
      </c>
      <c r="AA126" s="18">
        <v>8518.65</v>
      </c>
      <c r="AB126" s="4">
        <f>AA126/Z126-1</f>
        <v>3.3898305084745672E-2</v>
      </c>
    </row>
    <row r="127" spans="1:28">
      <c r="A127" t="s">
        <v>265</v>
      </c>
      <c r="B127" t="s">
        <v>266</v>
      </c>
      <c r="C127" s="30">
        <v>182</v>
      </c>
      <c r="E127" t="s">
        <v>266</v>
      </c>
      <c r="F127" s="30">
        <v>196</v>
      </c>
      <c r="G127" t="b">
        <f>IF(B127=E127,TRUE,FALSE)</f>
        <v>1</v>
      </c>
      <c r="J127">
        <f>F127-C127</f>
        <v>14</v>
      </c>
      <c r="K127" s="4">
        <f>F127/C127-1</f>
        <v>7.6923076923076872E-2</v>
      </c>
      <c r="M127" s="5">
        <v>440.24</v>
      </c>
      <c r="N127" s="5">
        <v>537.36</v>
      </c>
      <c r="Q127" s="5">
        <v>3349.89</v>
      </c>
      <c r="U127" s="167">
        <f>N127-M127</f>
        <v>97.12</v>
      </c>
      <c r="V127" s="4">
        <f>IF(M127=0,0,N127/M127-1)</f>
        <v>0.22060694166818107</v>
      </c>
      <c r="W127">
        <v>1.5917821782178219</v>
      </c>
      <c r="X127">
        <f>N127/F127</f>
        <v>2.7416326530612247</v>
      </c>
      <c r="Y127">
        <f>X127-W127</f>
        <v>1.1498504748434029</v>
      </c>
      <c r="Z127" s="18">
        <v>5268.9</v>
      </c>
      <c r="AA127" s="18">
        <v>5674.2</v>
      </c>
      <c r="AB127" s="4">
        <f>AA127/Z127-1</f>
        <v>7.6923076923076872E-2</v>
      </c>
    </row>
    <row r="128" spans="1:28">
      <c r="A128" t="s">
        <v>267</v>
      </c>
      <c r="B128" t="s">
        <v>268</v>
      </c>
      <c r="C128" s="31">
        <v>230</v>
      </c>
      <c r="E128" t="s">
        <v>268</v>
      </c>
      <c r="F128" s="31">
        <v>241</v>
      </c>
      <c r="G128" t="b">
        <f>IF(B128=E128,TRUE,FALSE)</f>
        <v>1</v>
      </c>
      <c r="J128">
        <f>F128-C128</f>
        <v>11</v>
      </c>
      <c r="K128" s="4">
        <f>F128/C128-1</f>
        <v>4.7826086956521685E-2</v>
      </c>
      <c r="M128" s="5">
        <v>1055.68</v>
      </c>
      <c r="N128" s="5">
        <v>1011.31</v>
      </c>
      <c r="Q128" s="5">
        <v>6786.08</v>
      </c>
      <c r="U128" s="167">
        <f>N128-M128</f>
        <v>-44.370000000000118</v>
      </c>
      <c r="V128" s="4">
        <f>IF(M128=0,0,N128/M128-1)</f>
        <v>-4.2029781752046191E-2</v>
      </c>
      <c r="W128">
        <v>4.8602380952380955</v>
      </c>
      <c r="X128">
        <f>N128/F128</f>
        <v>4.1963070539419087</v>
      </c>
      <c r="Y128">
        <f>X128-W128</f>
        <v>-0.66393104129618674</v>
      </c>
      <c r="Z128" s="18">
        <v>4588.5</v>
      </c>
      <c r="AA128" s="18">
        <v>4807.95</v>
      </c>
      <c r="AB128" s="4">
        <f>AA128/Z128-1</f>
        <v>4.7826086956521685E-2</v>
      </c>
    </row>
    <row r="129" spans="1:28">
      <c r="A129" t="s">
        <v>269</v>
      </c>
      <c r="B129" t="s">
        <v>270</v>
      </c>
      <c r="C129" s="30">
        <v>812</v>
      </c>
      <c r="E129" t="s">
        <v>270</v>
      </c>
      <c r="F129" s="30">
        <v>821</v>
      </c>
      <c r="G129" t="b">
        <f>IF(B129=E129,TRUE,FALSE)</f>
        <v>1</v>
      </c>
      <c r="J129">
        <f>F129-C129</f>
        <v>9</v>
      </c>
      <c r="K129" s="4">
        <f>F129/C129-1</f>
        <v>1.1083743842364546E-2</v>
      </c>
      <c r="M129" s="5">
        <v>1034.71</v>
      </c>
      <c r="N129" s="5">
        <v>1269.99</v>
      </c>
      <c r="Q129" s="5">
        <v>6753.23</v>
      </c>
      <c r="U129" s="167">
        <f>N129-M129</f>
        <v>235.27999999999997</v>
      </c>
      <c r="V129" s="4">
        <f>IF(M129=0,0,N129/M129-1)</f>
        <v>0.22738738390466895</v>
      </c>
      <c r="W129">
        <v>1.3552280130293159</v>
      </c>
      <c r="X129">
        <f>N129/F129</f>
        <v>1.5468818514007308</v>
      </c>
      <c r="Y129">
        <f>X129-W129</f>
        <v>0.19165383837141481</v>
      </c>
      <c r="Z129" s="18">
        <v>17823.400000000001</v>
      </c>
      <c r="AA129" s="18">
        <v>18020.95</v>
      </c>
      <c r="AB129" s="4">
        <f>AA129/Z129-1</f>
        <v>1.1083743842364546E-2</v>
      </c>
    </row>
    <row r="130" spans="1:28">
      <c r="A130" t="s">
        <v>271</v>
      </c>
      <c r="B130" t="s">
        <v>272</v>
      </c>
      <c r="C130" s="30">
        <v>1</v>
      </c>
      <c r="E130" t="s">
        <v>272</v>
      </c>
      <c r="F130" s="30">
        <v>8</v>
      </c>
      <c r="G130" t="b">
        <f>IF(B130=E130,TRUE,FALSE)</f>
        <v>1</v>
      </c>
      <c r="J130">
        <f>F130-C130</f>
        <v>7</v>
      </c>
      <c r="K130" s="4">
        <f>F130/C130-1</f>
        <v>7</v>
      </c>
      <c r="L130" s="5"/>
      <c r="M130" s="5">
        <v>0</v>
      </c>
      <c r="N130" s="5">
        <v>0</v>
      </c>
      <c r="O130" s="5"/>
      <c r="P130" s="5"/>
      <c r="Q130" s="5">
        <v>0</v>
      </c>
      <c r="R130" s="5"/>
      <c r="S130" s="5"/>
      <c r="T130" s="5"/>
      <c r="U130" s="167">
        <f>N130-M130</f>
        <v>0</v>
      </c>
      <c r="V130" s="4">
        <f>IF(M130=0,0,N130/M130-1)</f>
        <v>0</v>
      </c>
      <c r="W130">
        <v>0</v>
      </c>
      <c r="X130">
        <f>N130/F130</f>
        <v>0</v>
      </c>
      <c r="Y130">
        <f>X130-W130</f>
        <v>0</v>
      </c>
      <c r="Z130" s="18">
        <v>13.95</v>
      </c>
      <c r="AA130" s="18">
        <v>111.6</v>
      </c>
      <c r="AB130" s="4">
        <f>AA130/Z130-1</f>
        <v>7</v>
      </c>
    </row>
    <row r="131" spans="1:28">
      <c r="A131" t="s">
        <v>273</v>
      </c>
      <c r="B131" t="s">
        <v>274</v>
      </c>
      <c r="C131" s="30">
        <v>267</v>
      </c>
      <c r="E131" t="s">
        <v>274</v>
      </c>
      <c r="F131" s="30">
        <v>272</v>
      </c>
      <c r="G131" t="b">
        <f>IF(B131=E131,TRUE,FALSE)</f>
        <v>1</v>
      </c>
      <c r="J131">
        <f>F131-C131</f>
        <v>5</v>
      </c>
      <c r="K131" s="4">
        <f>F131/C131-1</f>
        <v>1.8726591760299671E-2</v>
      </c>
      <c r="M131" s="5">
        <v>152.22</v>
      </c>
      <c r="N131" s="5">
        <v>150.43</v>
      </c>
      <c r="Q131" s="5">
        <v>658.35</v>
      </c>
      <c r="U131" s="167">
        <f>N131-M131</f>
        <v>-1.789999999999992</v>
      </c>
      <c r="V131" s="4">
        <f>IF(M131=0,0,N131/M131-1)</f>
        <v>-1.1759295756142318E-2</v>
      </c>
      <c r="W131">
        <v>0.77376288659793824</v>
      </c>
      <c r="X131">
        <f>N131/F131</f>
        <v>0.55305147058823534</v>
      </c>
      <c r="Y131">
        <f>X131-W131</f>
        <v>-0.2207114160097029</v>
      </c>
      <c r="Z131" s="18">
        <v>5326.65</v>
      </c>
      <c r="AA131" s="18">
        <v>5426.4</v>
      </c>
      <c r="AB131" s="4">
        <f>AA131/Z131-1</f>
        <v>1.8726591760299671E-2</v>
      </c>
    </row>
    <row r="132" spans="1:28">
      <c r="A132" t="s">
        <v>275</v>
      </c>
      <c r="B132" t="s">
        <v>276</v>
      </c>
      <c r="C132" s="30">
        <v>622</v>
      </c>
      <c r="E132" t="s">
        <v>276</v>
      </c>
      <c r="F132" s="30">
        <v>626</v>
      </c>
      <c r="G132" t="b">
        <f>IF(B132=E132,TRUE,FALSE)</f>
        <v>1</v>
      </c>
      <c r="J132">
        <f>F132-C132</f>
        <v>4</v>
      </c>
      <c r="K132" s="4">
        <f>F132/C132-1</f>
        <v>6.4308681672025081E-3</v>
      </c>
      <c r="M132" s="5">
        <v>1638.58</v>
      </c>
      <c r="N132" s="5">
        <v>1564.77</v>
      </c>
      <c r="Q132" s="5">
        <v>9059.67</v>
      </c>
      <c r="U132" s="167">
        <f>N132-M132</f>
        <v>-73.809999999999945</v>
      </c>
      <c r="V132" s="4">
        <f>IF(M132=0,0,N132/M132-1)</f>
        <v>-4.504510002563189E-2</v>
      </c>
      <c r="W132">
        <v>1.0304</v>
      </c>
      <c r="X132">
        <f>N132/F132</f>
        <v>2.4996325878594248</v>
      </c>
      <c r="Y132">
        <f>X132-W132</f>
        <v>1.4692325878594248</v>
      </c>
      <c r="Z132" s="18">
        <v>28917.59</v>
      </c>
      <c r="AA132" s="18">
        <v>29077.35</v>
      </c>
      <c r="AB132" s="4">
        <f>AA132/Z132-1</f>
        <v>5.5246650913856055E-3</v>
      </c>
    </row>
    <row r="133" spans="1:28">
      <c r="A133" t="s">
        <v>277</v>
      </c>
      <c r="B133" t="s">
        <v>278</v>
      </c>
      <c r="C133" s="30">
        <v>575</v>
      </c>
      <c r="E133" t="s">
        <v>278</v>
      </c>
      <c r="F133" s="30">
        <v>577</v>
      </c>
      <c r="G133" t="b">
        <f>IF(B133=E133,TRUE,FALSE)</f>
        <v>1</v>
      </c>
      <c r="J133">
        <f>F133-C133</f>
        <v>2</v>
      </c>
      <c r="K133" s="4">
        <f>F133/C133-1</f>
        <v>3.4782608695651529E-3</v>
      </c>
      <c r="M133" s="5">
        <v>620.05999999999995</v>
      </c>
      <c r="N133" s="5">
        <v>720.77</v>
      </c>
      <c r="Q133" s="5">
        <v>5777.93</v>
      </c>
      <c r="U133" s="167">
        <f>N133-M133</f>
        <v>100.71000000000004</v>
      </c>
      <c r="V133" s="4">
        <f>IF(M133=0,0,N133/M133-1)</f>
        <v>0.16241976582911333</v>
      </c>
      <c r="W133">
        <v>1.026644591611479</v>
      </c>
      <c r="X133">
        <f>N133/F133</f>
        <v>1.2491681109185442</v>
      </c>
      <c r="Y133">
        <f>X133-W133</f>
        <v>0.22252351930706515</v>
      </c>
      <c r="Z133" s="18">
        <v>17221.25</v>
      </c>
      <c r="AA133" s="18">
        <v>17281.150000000001</v>
      </c>
      <c r="AB133" s="4">
        <f>AA133/Z133-1</f>
        <v>3.4782608695653749E-3</v>
      </c>
    </row>
    <row r="134" spans="1:28">
      <c r="A134" t="s">
        <v>279</v>
      </c>
      <c r="B134" t="s">
        <v>280</v>
      </c>
      <c r="C134" s="30">
        <v>1114</v>
      </c>
      <c r="E134" t="s">
        <v>280</v>
      </c>
      <c r="F134" s="30">
        <v>1115</v>
      </c>
      <c r="G134" t="b">
        <f>IF(B134=E134,TRUE,FALSE)</f>
        <v>1</v>
      </c>
      <c r="J134">
        <f>F134-C134</f>
        <v>1</v>
      </c>
      <c r="K134" s="4">
        <f>F134/C134-1</f>
        <v>8.9766606822272443E-4</v>
      </c>
      <c r="M134" s="5">
        <v>2048.75</v>
      </c>
      <c r="N134" s="5">
        <v>2200.4899999999998</v>
      </c>
      <c r="Q134" s="5">
        <v>16296.18</v>
      </c>
      <c r="U134" s="167">
        <f>N134-M134</f>
        <v>151.73999999999978</v>
      </c>
      <c r="V134" s="4">
        <f>IF(M134=0,0,N134/M134-1)</f>
        <v>7.4064673581452078E-2</v>
      </c>
      <c r="W134">
        <v>1.9340112464854735</v>
      </c>
      <c r="X134">
        <f>N134/F134</f>
        <v>1.9735336322869954</v>
      </c>
      <c r="Y134">
        <f>X134-W134</f>
        <v>3.9522385801521898E-2</v>
      </c>
      <c r="Z134" s="18">
        <v>27794.3</v>
      </c>
      <c r="AA134" s="18">
        <v>27819.25</v>
      </c>
      <c r="AB134" s="4">
        <f>AA134/Z134-1</f>
        <v>8.9766606822272443E-4</v>
      </c>
    </row>
    <row r="135" spans="1:28">
      <c r="A135" t="s">
        <v>281</v>
      </c>
      <c r="B135" t="s">
        <v>282</v>
      </c>
      <c r="C135" s="30">
        <v>2</v>
      </c>
      <c r="E135" t="s">
        <v>282</v>
      </c>
      <c r="F135" s="30">
        <v>3</v>
      </c>
      <c r="G135" t="b">
        <f>IF(B135=E135,TRUE,FALSE)</f>
        <v>1</v>
      </c>
      <c r="J135">
        <f>F135-C135</f>
        <v>1</v>
      </c>
      <c r="K135" s="4">
        <f>F135/C135-1</f>
        <v>0.5</v>
      </c>
      <c r="M135" s="5">
        <v>0</v>
      </c>
      <c r="N135" s="5">
        <v>4.76</v>
      </c>
      <c r="Q135" s="5">
        <v>0</v>
      </c>
      <c r="U135" s="167">
        <f>N135-M135</f>
        <v>4.76</v>
      </c>
      <c r="V135" s="4">
        <f>IF(M135=0,0,N135/M135-1)</f>
        <v>0</v>
      </c>
      <c r="W135">
        <v>0.71962962962962962</v>
      </c>
      <c r="X135">
        <f>N135/F135</f>
        <v>1.5866666666666667</v>
      </c>
      <c r="Y135">
        <f>X135-W135</f>
        <v>0.86703703703703705</v>
      </c>
      <c r="Z135" s="18">
        <v>49.9</v>
      </c>
      <c r="AA135" s="18">
        <v>74.849999999999994</v>
      </c>
      <c r="AB135" s="4">
        <f>AA135/Z135-1</f>
        <v>0.5</v>
      </c>
    </row>
    <row r="136" spans="1:28">
      <c r="A136" t="s">
        <v>283</v>
      </c>
      <c r="B136" t="s">
        <v>284</v>
      </c>
      <c r="C136" s="30">
        <v>0</v>
      </c>
      <c r="F136" s="30">
        <v>0</v>
      </c>
      <c r="G136" t="b">
        <f>IF(B136=E136,TRUE,FALSE)</f>
        <v>0</v>
      </c>
      <c r="J136">
        <f>F136-C136</f>
        <v>0</v>
      </c>
      <c r="K136" s="4" t="e">
        <f>F136/C136-1</f>
        <v>#DIV/0!</v>
      </c>
      <c r="M136" s="5">
        <v>0</v>
      </c>
      <c r="N136" s="5">
        <v>0</v>
      </c>
      <c r="Q136" s="5">
        <v>0</v>
      </c>
      <c r="U136" s="167">
        <f>N136-M136</f>
        <v>0</v>
      </c>
      <c r="V136" s="4">
        <f>IF(M136=0,0,N136/M136-1)</f>
        <v>0</v>
      </c>
      <c r="W136">
        <v>0</v>
      </c>
      <c r="X136">
        <v>0</v>
      </c>
      <c r="Y136">
        <f>X136-W136</f>
        <v>0</v>
      </c>
      <c r="Z136" s="18">
        <v>0</v>
      </c>
      <c r="AA136" s="18">
        <v>0</v>
      </c>
      <c r="AB136" s="4" t="e">
        <f>AA136/Z136-1</f>
        <v>#DIV/0!</v>
      </c>
    </row>
    <row r="137" spans="1:28">
      <c r="A137" t="s">
        <v>285</v>
      </c>
      <c r="B137" t="s">
        <v>286</v>
      </c>
      <c r="C137" s="30">
        <v>0</v>
      </c>
      <c r="F137" s="30">
        <v>0</v>
      </c>
      <c r="G137" t="b">
        <f>IF(B137=E137,TRUE,FALSE)</f>
        <v>0</v>
      </c>
      <c r="J137">
        <f>F137-C137</f>
        <v>0</v>
      </c>
      <c r="K137" s="4" t="e">
        <f>F137/C137-1</f>
        <v>#DIV/0!</v>
      </c>
      <c r="M137" s="5">
        <v>0</v>
      </c>
      <c r="N137" s="5">
        <v>0</v>
      </c>
      <c r="Q137" s="5">
        <v>0</v>
      </c>
      <c r="U137" s="167">
        <f>N137-M137</f>
        <v>0</v>
      </c>
      <c r="V137" s="4">
        <f>IF(M137=0,0,N137/M137-1)</f>
        <v>0</v>
      </c>
      <c r="W137">
        <v>0</v>
      </c>
      <c r="X137">
        <v>0</v>
      </c>
      <c r="Y137">
        <f>X137-W137</f>
        <v>0</v>
      </c>
      <c r="Z137" s="18">
        <v>0</v>
      </c>
      <c r="AA137" s="18">
        <v>0</v>
      </c>
      <c r="AB137" s="4" t="e">
        <f>AA137/Z137-1</f>
        <v>#DIV/0!</v>
      </c>
    </row>
    <row r="138" spans="1:28">
      <c r="A138" t="s">
        <v>287</v>
      </c>
      <c r="B138" t="s">
        <v>288</v>
      </c>
      <c r="C138" s="30">
        <v>0</v>
      </c>
      <c r="F138" s="30">
        <v>0</v>
      </c>
      <c r="G138" t="b">
        <f>IF(B138=E138,TRUE,FALSE)</f>
        <v>0</v>
      </c>
      <c r="J138">
        <f>F138-C138</f>
        <v>0</v>
      </c>
      <c r="K138" s="4" t="e">
        <f>F138/C138-1</f>
        <v>#DIV/0!</v>
      </c>
      <c r="M138" s="5">
        <v>0</v>
      </c>
      <c r="N138" s="5">
        <v>0</v>
      </c>
      <c r="Q138" s="5">
        <v>0</v>
      </c>
      <c r="U138" s="167">
        <f>N138-M138</f>
        <v>0</v>
      </c>
      <c r="V138" s="4">
        <f>IF(M138=0,0,N138/M138-1)</f>
        <v>0</v>
      </c>
      <c r="W138">
        <v>0</v>
      </c>
      <c r="X138">
        <v>0</v>
      </c>
      <c r="Y138">
        <f>X138-W138</f>
        <v>0</v>
      </c>
      <c r="Z138" s="18">
        <v>0</v>
      </c>
      <c r="AA138" s="18">
        <v>0</v>
      </c>
      <c r="AB138" s="4" t="e">
        <f>AA138/Z138-1</f>
        <v>#DIV/0!</v>
      </c>
    </row>
    <row r="139" spans="1:28">
      <c r="A139" t="s">
        <v>289</v>
      </c>
      <c r="B139" t="s">
        <v>290</v>
      </c>
      <c r="C139" s="30">
        <v>0</v>
      </c>
      <c r="F139" s="30">
        <v>0</v>
      </c>
      <c r="G139" t="b">
        <f>IF(B139=E139,TRUE,FALSE)</f>
        <v>0</v>
      </c>
      <c r="J139">
        <f>F139-C139</f>
        <v>0</v>
      </c>
      <c r="K139" s="4" t="e">
        <f>F139/C139-1</f>
        <v>#DIV/0!</v>
      </c>
      <c r="M139" s="5">
        <v>0</v>
      </c>
      <c r="N139" s="5">
        <v>0</v>
      </c>
      <c r="Q139" s="5">
        <v>0</v>
      </c>
      <c r="U139" s="167">
        <f>N139-M139</f>
        <v>0</v>
      </c>
      <c r="V139" s="4">
        <f>IF(M139=0,0,N139/M139-1)</f>
        <v>0</v>
      </c>
      <c r="W139">
        <v>0</v>
      </c>
      <c r="X139">
        <v>0</v>
      </c>
      <c r="Y139">
        <f>X139-W139</f>
        <v>0</v>
      </c>
      <c r="Z139" s="18">
        <v>0</v>
      </c>
      <c r="AA139" s="18">
        <v>0</v>
      </c>
      <c r="AB139" s="4" t="e">
        <f>AA139/Z139-1</f>
        <v>#DIV/0!</v>
      </c>
    </row>
    <row r="140" spans="1:28">
      <c r="A140" t="s">
        <v>291</v>
      </c>
      <c r="B140" t="s">
        <v>292</v>
      </c>
      <c r="C140" s="30">
        <v>0</v>
      </c>
      <c r="F140" s="30">
        <v>0</v>
      </c>
      <c r="G140" t="b">
        <f>IF(B140=E140,TRUE,FALSE)</f>
        <v>0</v>
      </c>
      <c r="J140">
        <f>F140-C140</f>
        <v>0</v>
      </c>
      <c r="K140" s="4" t="e">
        <f>F140/C140-1</f>
        <v>#DIV/0!</v>
      </c>
      <c r="M140" s="5">
        <v>0</v>
      </c>
      <c r="N140" s="5">
        <v>0</v>
      </c>
      <c r="Q140" s="5">
        <v>0</v>
      </c>
      <c r="U140" s="167">
        <f>N140-M140</f>
        <v>0</v>
      </c>
      <c r="V140" s="4">
        <f>IF(M140=0,0,N140/M140-1)</f>
        <v>0</v>
      </c>
      <c r="W140">
        <v>0</v>
      </c>
      <c r="X140">
        <v>0</v>
      </c>
      <c r="Y140">
        <f>X140-W140</f>
        <v>0</v>
      </c>
      <c r="Z140" s="18">
        <v>0</v>
      </c>
      <c r="AA140" s="18">
        <v>0</v>
      </c>
      <c r="AB140" s="4" t="e">
        <f>AA140/Z140-1</f>
        <v>#DIV/0!</v>
      </c>
    </row>
    <row r="141" spans="1:28">
      <c r="A141" t="s">
        <v>293</v>
      </c>
      <c r="B141" t="s">
        <v>294</v>
      </c>
      <c r="C141" s="30">
        <v>2</v>
      </c>
      <c r="E141" t="s">
        <v>294</v>
      </c>
      <c r="F141" s="30">
        <v>2</v>
      </c>
      <c r="G141" t="b">
        <f>IF(B141=E141,TRUE,FALSE)</f>
        <v>1</v>
      </c>
      <c r="J141">
        <f>F141-C141</f>
        <v>0</v>
      </c>
      <c r="K141" s="4">
        <f>F141/C141-1</f>
        <v>0</v>
      </c>
      <c r="M141" s="5">
        <v>0.93</v>
      </c>
      <c r="N141" s="5">
        <v>5.22</v>
      </c>
      <c r="Q141" s="5">
        <v>0</v>
      </c>
      <c r="U141" s="167">
        <f>N141-M141</f>
        <v>4.29</v>
      </c>
      <c r="V141" s="4">
        <f>IF(M141=0,0,N141/M141-1)</f>
        <v>4.6129032258064511</v>
      </c>
      <c r="W141">
        <v>1.285625</v>
      </c>
      <c r="X141">
        <f>N141/F141</f>
        <v>2.61</v>
      </c>
      <c r="Y141">
        <f>X141-W141</f>
        <v>1.3243749999999999</v>
      </c>
      <c r="Z141" s="18">
        <v>49.9</v>
      </c>
      <c r="AA141" s="18">
        <v>49.9</v>
      </c>
      <c r="AB141" s="4">
        <f>AA141/Z141-1</f>
        <v>0</v>
      </c>
    </row>
    <row r="142" spans="1:28">
      <c r="A142" t="s">
        <v>295</v>
      </c>
      <c r="B142" t="s">
        <v>296</v>
      </c>
      <c r="C142" s="30">
        <v>1</v>
      </c>
      <c r="F142" s="30">
        <v>0</v>
      </c>
      <c r="G142" t="b">
        <f>IF(B142=E142,TRUE,FALSE)</f>
        <v>0</v>
      </c>
      <c r="J142">
        <f>F142-C142</f>
        <v>-1</v>
      </c>
      <c r="K142" s="4">
        <f>F142/C142-1</f>
        <v>-1</v>
      </c>
      <c r="M142" s="5">
        <v>0</v>
      </c>
      <c r="N142" s="5">
        <v>0</v>
      </c>
      <c r="Q142" s="5">
        <v>0</v>
      </c>
      <c r="U142" s="167">
        <f>N142-M142</f>
        <v>0</v>
      </c>
      <c r="V142" s="4">
        <f>IF(M142=0,0,N142/M142-1)</f>
        <v>0</v>
      </c>
      <c r="W142">
        <v>2.7984615384615386</v>
      </c>
      <c r="X142">
        <v>0</v>
      </c>
      <c r="Y142">
        <f>X142-W142</f>
        <v>-2.7984615384615386</v>
      </c>
      <c r="Z142" s="18">
        <v>21.95</v>
      </c>
      <c r="AA142" s="18">
        <v>0</v>
      </c>
      <c r="AB142" s="4">
        <f>AA142/Z142-1</f>
        <v>-1</v>
      </c>
    </row>
    <row r="143" spans="1:28">
      <c r="A143" s="57" t="s">
        <v>297</v>
      </c>
      <c r="B143" s="39" t="s">
        <v>298</v>
      </c>
      <c r="C143" s="30">
        <v>916</v>
      </c>
      <c r="E143" s="39" t="s">
        <v>298</v>
      </c>
      <c r="F143" s="30">
        <v>910</v>
      </c>
      <c r="G143" t="b">
        <f>IF(B143=E143,TRUE,FALSE)</f>
        <v>1</v>
      </c>
      <c r="J143">
        <f>F143-C143</f>
        <v>-6</v>
      </c>
      <c r="K143" s="4">
        <f>F143/C143-1</f>
        <v>-6.5502183406113135E-3</v>
      </c>
      <c r="M143" s="5">
        <v>544.66</v>
      </c>
      <c r="N143" s="5">
        <v>725.37</v>
      </c>
      <c r="Q143" s="5">
        <v>2930.18</v>
      </c>
      <c r="U143" s="167">
        <f>N143-M143</f>
        <v>180.71000000000004</v>
      </c>
      <c r="V143" s="4">
        <f>IF(M143=0,0,N143/M143-1)</f>
        <v>0.33178496676825908</v>
      </c>
      <c r="W143">
        <v>1.3034426229508198</v>
      </c>
      <c r="X143">
        <f>N143/F143</f>
        <v>0.79710989010989008</v>
      </c>
      <c r="Y143">
        <f>X143-W143</f>
        <v>-0.50633273284092972</v>
      </c>
      <c r="Z143" s="18">
        <v>12772.87</v>
      </c>
      <c r="AA143" s="18">
        <v>12730.9</v>
      </c>
      <c r="AB143" s="4">
        <f>AA143/Z143-1</f>
        <v>-3.2858707557503752E-3</v>
      </c>
    </row>
    <row r="144" spans="1:28">
      <c r="A144" t="s">
        <v>299</v>
      </c>
      <c r="B144" t="s">
        <v>300</v>
      </c>
      <c r="C144" s="30">
        <v>491</v>
      </c>
      <c r="E144" t="s">
        <v>300</v>
      </c>
      <c r="F144" s="30">
        <v>485</v>
      </c>
      <c r="G144" t="b">
        <f>IF(B144=E144,TRUE,FALSE)</f>
        <v>1</v>
      </c>
      <c r="J144">
        <f>F144-C144</f>
        <v>-6</v>
      </c>
      <c r="K144" s="4">
        <f>F144/C144-1</f>
        <v>-1.2219959266802416E-2</v>
      </c>
      <c r="M144" s="5">
        <v>967.16</v>
      </c>
      <c r="N144" s="5">
        <v>1024.1400000000001</v>
      </c>
      <c r="Q144" s="5">
        <v>7650.86</v>
      </c>
      <c r="U144" s="167">
        <f>N144-M144</f>
        <v>56.980000000000132</v>
      </c>
      <c r="V144" s="4">
        <f>IF(M144=0,0,N144/M144-1)</f>
        <v>5.8914760742793559E-2</v>
      </c>
      <c r="W144">
        <v>2.1959003831417623</v>
      </c>
      <c r="X144">
        <f>N144/F144</f>
        <v>2.1116288659793816</v>
      </c>
      <c r="Y144">
        <f>X144-W144</f>
        <v>-8.4271517162380682E-2</v>
      </c>
      <c r="Z144" s="18">
        <v>13320.17</v>
      </c>
      <c r="AA144" s="18">
        <v>14060.15</v>
      </c>
      <c r="AB144" s="4">
        <f>AA144/Z144-1</f>
        <v>5.5553345039890623E-2</v>
      </c>
    </row>
    <row r="145" spans="1:28">
      <c r="A145" t="s">
        <v>301</v>
      </c>
      <c r="B145" t="s">
        <v>302</v>
      </c>
      <c r="C145" s="30">
        <v>6</v>
      </c>
      <c r="E145" t="s">
        <v>302</v>
      </c>
      <c r="F145" s="30">
        <v>0</v>
      </c>
      <c r="G145" t="b">
        <f>IF(B145=E145,TRUE,FALSE)</f>
        <v>1</v>
      </c>
      <c r="J145">
        <f>F145-C145</f>
        <v>-6</v>
      </c>
      <c r="K145" s="4">
        <f>F145/C145-1</f>
        <v>-1</v>
      </c>
      <c r="M145" s="5">
        <v>9.64</v>
      </c>
      <c r="N145" s="5">
        <v>0</v>
      </c>
      <c r="Q145" s="5">
        <v>0</v>
      </c>
      <c r="U145" s="167">
        <f>N145-M145</f>
        <v>-9.64</v>
      </c>
      <c r="V145" s="4">
        <f>IF(M145=0,0,N145/M145-1)</f>
        <v>-1</v>
      </c>
      <c r="W145">
        <v>2.1774</v>
      </c>
      <c r="X145">
        <v>0</v>
      </c>
      <c r="Y145">
        <f>X145-W145</f>
        <v>-2.1774</v>
      </c>
      <c r="Z145" s="18">
        <v>113.7</v>
      </c>
      <c r="AA145" s="18">
        <v>0</v>
      </c>
      <c r="AB145" s="4">
        <f>AA145/Z145-1</f>
        <v>-1</v>
      </c>
    </row>
    <row r="146" spans="1:28">
      <c r="A146" t="s">
        <v>303</v>
      </c>
      <c r="B146" t="s">
        <v>304</v>
      </c>
      <c r="C146" s="30">
        <v>478</v>
      </c>
      <c r="E146" t="s">
        <v>304</v>
      </c>
      <c r="F146" s="30">
        <v>470</v>
      </c>
      <c r="G146" t="b">
        <f>IF(B146=E146,TRUE,FALSE)</f>
        <v>1</v>
      </c>
      <c r="J146">
        <f>F146-C146</f>
        <v>-8</v>
      </c>
      <c r="K146" s="4">
        <f>F146/C146-1</f>
        <v>-1.6736401673640211E-2</v>
      </c>
      <c r="M146" s="5">
        <v>1272.6400000000001</v>
      </c>
      <c r="N146" s="5">
        <v>1363.19</v>
      </c>
      <c r="Q146" s="5">
        <v>5444.08</v>
      </c>
      <c r="U146" s="167">
        <f>N146-M146</f>
        <v>90.549999999999955</v>
      </c>
      <c r="V146" s="4">
        <f>IF(M146=0,0,N146/M146-1)</f>
        <v>7.1151307518229734E-2</v>
      </c>
      <c r="W146">
        <v>2.5011014492753625</v>
      </c>
      <c r="X146">
        <f>N146/F146</f>
        <v>2.9004042553191489</v>
      </c>
      <c r="Y146">
        <f>X146-W146</f>
        <v>0.39930280604378643</v>
      </c>
      <c r="Z146" s="18">
        <v>14316.1</v>
      </c>
      <c r="AA146" s="18">
        <v>14076.5</v>
      </c>
      <c r="AB146" s="4">
        <f>AA146/Z146-1</f>
        <v>-1.6736401673640211E-2</v>
      </c>
    </row>
    <row r="147" spans="1:28">
      <c r="A147" t="s">
        <v>305</v>
      </c>
      <c r="B147" t="s">
        <v>306</v>
      </c>
      <c r="C147" s="30">
        <v>278</v>
      </c>
      <c r="E147" t="s">
        <v>306</v>
      </c>
      <c r="F147" s="30">
        <v>269</v>
      </c>
      <c r="G147" t="b">
        <f>IF(B147=E147,TRUE,FALSE)</f>
        <v>1</v>
      </c>
      <c r="J147">
        <f>F147-C147</f>
        <v>-9</v>
      </c>
      <c r="K147" s="4">
        <f>F147/C147-1</f>
        <v>-3.2374100719424481E-2</v>
      </c>
      <c r="M147" s="5">
        <v>283.14999999999998</v>
      </c>
      <c r="N147" s="5">
        <v>387.38</v>
      </c>
      <c r="Q147" s="5">
        <v>1180.5899999999999</v>
      </c>
      <c r="U147" s="167">
        <f>N147-M147</f>
        <v>104.23000000000002</v>
      </c>
      <c r="V147" s="4">
        <f>IF(M147=0,0,N147/M147-1)</f>
        <v>0.36810877626699634</v>
      </c>
      <c r="W147">
        <v>0.87590909090909086</v>
      </c>
      <c r="X147">
        <f>N147/F147</f>
        <v>1.4400743494423791</v>
      </c>
      <c r="Y147">
        <f>X147-W147</f>
        <v>0.56416525853328825</v>
      </c>
      <c r="Z147" s="18">
        <v>6658.1</v>
      </c>
      <c r="AA147" s="18">
        <v>6442.55</v>
      </c>
      <c r="AB147" s="4">
        <f>AA147/Z147-1</f>
        <v>-3.2374100719424481E-2</v>
      </c>
    </row>
    <row r="148" spans="1:28">
      <c r="A148" t="s">
        <v>307</v>
      </c>
      <c r="B148" t="s">
        <v>308</v>
      </c>
      <c r="C148" s="30">
        <v>705</v>
      </c>
      <c r="E148" t="s">
        <v>308</v>
      </c>
      <c r="F148" s="30">
        <v>696</v>
      </c>
      <c r="G148" t="b">
        <f>IF(B148=E148,TRUE,FALSE)</f>
        <v>1</v>
      </c>
      <c r="J148">
        <f>F148-C148</f>
        <v>-9</v>
      </c>
      <c r="K148" s="4">
        <f>F148/C148-1</f>
        <v>-1.2765957446808529E-2</v>
      </c>
      <c r="M148" s="5">
        <v>969.51</v>
      </c>
      <c r="N148" s="5">
        <v>966.85</v>
      </c>
      <c r="Q148" s="5">
        <v>4922.96</v>
      </c>
      <c r="U148" s="167">
        <f>N148-M148</f>
        <v>-2.6599999999999682</v>
      </c>
      <c r="V148" s="4">
        <f>IF(M148=0,0,N148/M148-1)</f>
        <v>-2.7436540107889096E-3</v>
      </c>
      <c r="W148">
        <v>1.3527777777777776</v>
      </c>
      <c r="X148">
        <f>N148/F148</f>
        <v>1.3891522988505747</v>
      </c>
      <c r="Y148">
        <f>X148-W148</f>
        <v>3.6374521072797039E-2</v>
      </c>
      <c r="Z148" s="18">
        <v>17244.560000000001</v>
      </c>
      <c r="AA148" s="18">
        <v>17393.04</v>
      </c>
      <c r="AB148" s="4">
        <f>AA148/Z148-1</f>
        <v>8.6102515807884306E-3</v>
      </c>
    </row>
    <row r="149" spans="1:28">
      <c r="A149" t="s">
        <v>309</v>
      </c>
      <c r="B149" t="s">
        <v>310</v>
      </c>
      <c r="C149" s="30">
        <v>1242</v>
      </c>
      <c r="E149" t="s">
        <v>310</v>
      </c>
      <c r="F149" s="30">
        <v>1231</v>
      </c>
      <c r="G149" t="b">
        <f>IF(B149=E149,TRUE,FALSE)</f>
        <v>1</v>
      </c>
      <c r="J149">
        <f>F149-C149</f>
        <v>-11</v>
      </c>
      <c r="K149" s="4">
        <f>F149/C149-1</f>
        <v>-8.8566827697262873E-3</v>
      </c>
      <c r="L149" s="5"/>
      <c r="M149" s="5">
        <v>1735.19</v>
      </c>
      <c r="N149" s="5">
        <v>2064.81</v>
      </c>
      <c r="O149" s="5"/>
      <c r="P149" s="5"/>
      <c r="Q149" s="5">
        <v>10386.459999999999</v>
      </c>
      <c r="R149" s="5"/>
      <c r="S149" s="5"/>
      <c r="T149" s="5"/>
      <c r="U149" s="167">
        <f>N149-M149</f>
        <v>329.61999999999989</v>
      </c>
      <c r="V149" s="4">
        <f>IF(M149=0,0,N149/M149-1)</f>
        <v>0.18996190618894748</v>
      </c>
      <c r="W149">
        <v>1.0000281162136833</v>
      </c>
      <c r="X149">
        <f>N149/F149</f>
        <v>1.6773436230706742</v>
      </c>
      <c r="Y149">
        <f>X149-W149</f>
        <v>0.67731550685699093</v>
      </c>
      <c r="Z149" s="18">
        <v>29745.9</v>
      </c>
      <c r="AA149" s="18">
        <v>29434.55</v>
      </c>
      <c r="AB149" s="4">
        <f>AA149/Z149-1</f>
        <v>-1.046698872785834E-2</v>
      </c>
    </row>
    <row r="150" spans="1:28">
      <c r="A150" t="s">
        <v>311</v>
      </c>
      <c r="B150" t="s">
        <v>312</v>
      </c>
      <c r="C150" s="30">
        <v>1616</v>
      </c>
      <c r="E150" t="s">
        <v>312</v>
      </c>
      <c r="F150" s="30">
        <v>1605</v>
      </c>
      <c r="G150" t="b">
        <f>IF(B150=E150,TRUE,FALSE)</f>
        <v>1</v>
      </c>
      <c r="J150">
        <f>F150-C150</f>
        <v>-11</v>
      </c>
      <c r="K150" s="4">
        <f>F150/C150-1</f>
        <v>-6.8069306930692575E-3</v>
      </c>
      <c r="M150" s="5">
        <v>3254.54</v>
      </c>
      <c r="N150" s="5">
        <v>3252.58</v>
      </c>
      <c r="Q150" s="5">
        <v>21935.38</v>
      </c>
      <c r="U150" s="167">
        <f>N150-M150</f>
        <v>-1.9600000000000364</v>
      </c>
      <c r="V150" s="4">
        <f>IF(M150=0,0,N150/M150-1)</f>
        <v>-6.0223564620498493E-4</v>
      </c>
      <c r="W150">
        <v>1.9681922525107602</v>
      </c>
      <c r="X150">
        <f>N150/F150</f>
        <v>2.0265295950155764</v>
      </c>
      <c r="Y150">
        <f>X150-W150</f>
        <v>5.8337342504816148E-2</v>
      </c>
      <c r="Z150" s="18">
        <v>51599.87</v>
      </c>
      <c r="AA150" s="18">
        <v>51311.96</v>
      </c>
      <c r="AB150" s="4">
        <f>AA150/Z150-1</f>
        <v>-5.5796652200869046E-3</v>
      </c>
    </row>
    <row r="151" spans="1:28">
      <c r="A151" t="s">
        <v>313</v>
      </c>
      <c r="B151" t="s">
        <v>314</v>
      </c>
      <c r="C151" s="30">
        <v>846</v>
      </c>
      <c r="E151" t="s">
        <v>314</v>
      </c>
      <c r="F151" s="30">
        <v>834</v>
      </c>
      <c r="G151" t="b">
        <f>IF(B151=E151,TRUE,FALSE)</f>
        <v>1</v>
      </c>
      <c r="J151">
        <f>F151-C151</f>
        <v>-12</v>
      </c>
      <c r="K151" s="4">
        <f>F151/C151-1</f>
        <v>-1.4184397163120588E-2</v>
      </c>
      <c r="M151" s="5">
        <v>726.41</v>
      </c>
      <c r="N151" s="5">
        <v>558.63</v>
      </c>
      <c r="Q151" s="5">
        <v>4289.37</v>
      </c>
      <c r="U151" s="167">
        <f>N151-M151</f>
        <v>-167.77999999999997</v>
      </c>
      <c r="V151" s="4">
        <f>IF(M151=0,0,N151/M151-1)</f>
        <v>-0.23097148992992933</v>
      </c>
      <c r="W151">
        <v>0.72434049079754603</v>
      </c>
      <c r="X151">
        <f>N151/F151</f>
        <v>0.66982014388489208</v>
      </c>
      <c r="Y151">
        <f>X151-W151</f>
        <v>-5.452034691265395E-2</v>
      </c>
      <c r="Z151" s="18">
        <v>22675.38</v>
      </c>
      <c r="AA151" s="18">
        <v>22388.240000000002</v>
      </c>
      <c r="AB151" s="4">
        <f>AA151/Z151-1</f>
        <v>-1.2663073342100484E-2</v>
      </c>
    </row>
    <row r="152" spans="1:28">
      <c r="A152" t="s">
        <v>315</v>
      </c>
      <c r="B152" t="s">
        <v>316</v>
      </c>
      <c r="C152" s="30">
        <v>589</v>
      </c>
      <c r="E152" t="s">
        <v>316</v>
      </c>
      <c r="F152" s="30">
        <v>576</v>
      </c>
      <c r="G152" t="b">
        <f>IF(B152=E152,TRUE,FALSE)</f>
        <v>1</v>
      </c>
      <c r="J152">
        <f>F152-C152</f>
        <v>-13</v>
      </c>
      <c r="K152" s="4">
        <f>F152/C152-1</f>
        <v>-2.2071307300509324E-2</v>
      </c>
      <c r="M152" s="5">
        <v>552.63</v>
      </c>
      <c r="N152" s="5">
        <v>686.87</v>
      </c>
      <c r="Q152" s="5">
        <v>3003.12</v>
      </c>
      <c r="U152" s="167">
        <f>N152-M152</f>
        <v>134.24</v>
      </c>
      <c r="V152" s="4">
        <f>IF(M152=0,0,N152/M152-1)</f>
        <v>0.24291117022239117</v>
      </c>
      <c r="W152">
        <v>0.91220588235294109</v>
      </c>
      <c r="X152">
        <f>N152/F152</f>
        <v>1.1924826388888889</v>
      </c>
      <c r="Y152">
        <f>X152-W152</f>
        <v>0.28027675653594786</v>
      </c>
      <c r="Z152" s="18">
        <v>11184.75</v>
      </c>
      <c r="AA152" s="18">
        <v>10938.04</v>
      </c>
      <c r="AB152" s="4">
        <f>AA152/Z152-1</f>
        <v>-2.2057712510337613E-2</v>
      </c>
    </row>
    <row r="153" spans="1:28">
      <c r="A153" t="s">
        <v>317</v>
      </c>
      <c r="B153" t="s">
        <v>318</v>
      </c>
      <c r="C153" s="30">
        <v>1523</v>
      </c>
      <c r="E153" t="s">
        <v>318</v>
      </c>
      <c r="F153" s="30">
        <v>1508</v>
      </c>
      <c r="G153" t="b">
        <f>IF(B153=E153,TRUE,FALSE)</f>
        <v>1</v>
      </c>
      <c r="J153">
        <f>F153-C153</f>
        <v>-15</v>
      </c>
      <c r="K153" s="4">
        <f>F153/C153-1</f>
        <v>-9.848982271831952E-3</v>
      </c>
      <c r="M153" s="5">
        <v>3796.15</v>
      </c>
      <c r="N153" s="5">
        <v>26.36</v>
      </c>
      <c r="Q153" s="5">
        <v>107.85</v>
      </c>
      <c r="U153" s="167">
        <f>N153-M153</f>
        <v>-3769.79</v>
      </c>
      <c r="V153" s="4">
        <f>IF(M153=0,0,N153/M153-1)</f>
        <v>-0.99305612265058019</v>
      </c>
      <c r="W153">
        <v>1.0044622641509433</v>
      </c>
      <c r="X153">
        <f>N153/F153</f>
        <v>1.7480106100795756E-2</v>
      </c>
      <c r="Y153">
        <f>X153-W153</f>
        <v>-0.98698215805014755</v>
      </c>
      <c r="Z153" s="18">
        <v>59351.29</v>
      </c>
      <c r="AA153" s="18">
        <v>57956.11</v>
      </c>
      <c r="AB153" s="4">
        <f>AA153/Z153-1</f>
        <v>-2.3507155446831907E-2</v>
      </c>
    </row>
    <row r="154" spans="1:28">
      <c r="A154" t="s">
        <v>319</v>
      </c>
      <c r="B154" t="s">
        <v>320</v>
      </c>
      <c r="C154" s="30">
        <v>412</v>
      </c>
      <c r="E154" t="s">
        <v>320</v>
      </c>
      <c r="F154" s="30">
        <v>396</v>
      </c>
      <c r="G154" t="b">
        <f>IF(B154=E154,TRUE,FALSE)</f>
        <v>1</v>
      </c>
      <c r="J154">
        <f>F154-C154</f>
        <v>-16</v>
      </c>
      <c r="K154" s="4">
        <f>F154/C154-1</f>
        <v>-3.8834951456310662E-2</v>
      </c>
      <c r="M154" s="5">
        <v>367.7</v>
      </c>
      <c r="N154" s="5">
        <v>403.81</v>
      </c>
      <c r="Q154" s="5">
        <v>1618.84</v>
      </c>
      <c r="U154" s="167">
        <f>N154-M154</f>
        <v>36.110000000000014</v>
      </c>
      <c r="V154" s="4">
        <f>IF(M154=0,0,N154/M154-1)</f>
        <v>9.820505847158012E-2</v>
      </c>
      <c r="W154">
        <v>0.73254054054054063</v>
      </c>
      <c r="X154">
        <f>N154/F154</f>
        <v>1.0197222222222222</v>
      </c>
      <c r="Y154">
        <f>X154-W154</f>
        <v>0.28718168168168157</v>
      </c>
      <c r="Z154" s="18">
        <v>7807.4</v>
      </c>
      <c r="AA154" s="18">
        <v>7504.2</v>
      </c>
      <c r="AB154" s="4">
        <f>AA154/Z154-1</f>
        <v>-3.8834951456310662E-2</v>
      </c>
    </row>
    <row r="155" spans="1:28">
      <c r="A155" t="s">
        <v>321</v>
      </c>
      <c r="B155" t="s">
        <v>322</v>
      </c>
      <c r="C155" s="30">
        <v>2321</v>
      </c>
      <c r="E155" t="s">
        <v>322</v>
      </c>
      <c r="F155" s="30">
        <v>2302</v>
      </c>
      <c r="G155" t="b">
        <f>IF(B155=E155,TRUE,FALSE)</f>
        <v>1</v>
      </c>
      <c r="J155">
        <f>F155-C155</f>
        <v>-19</v>
      </c>
      <c r="K155" s="4">
        <f>F155/C155-1</f>
        <v>-8.1861266695389956E-3</v>
      </c>
      <c r="M155" s="5">
        <v>4723.3900000000003</v>
      </c>
      <c r="N155" s="5">
        <v>4803.66</v>
      </c>
      <c r="Q155" s="5">
        <v>26822.9</v>
      </c>
      <c r="U155" s="167">
        <f>N155-M155</f>
        <v>80.269999999999527</v>
      </c>
      <c r="V155" s="4">
        <f>IF(M155=0,0,N155/M155-1)</f>
        <v>1.6994150387751095E-2</v>
      </c>
      <c r="W155">
        <v>1.7260757409440175</v>
      </c>
      <c r="X155">
        <f>N155/F155</f>
        <v>2.0867332754126844</v>
      </c>
      <c r="Y155">
        <f>X155-W155</f>
        <v>0.36065753446866688</v>
      </c>
      <c r="Z155" s="18">
        <v>69513.95</v>
      </c>
      <c r="AA155" s="18">
        <v>68914.95</v>
      </c>
      <c r="AB155" s="4">
        <f>AA155/Z155-1</f>
        <v>-8.6169754416199895E-3</v>
      </c>
    </row>
    <row r="156" spans="1:28">
      <c r="A156" t="s">
        <v>323</v>
      </c>
      <c r="B156" t="s">
        <v>324</v>
      </c>
      <c r="C156" s="30">
        <v>1447</v>
      </c>
      <c r="E156" t="s">
        <v>324</v>
      </c>
      <c r="F156" s="30">
        <v>1428</v>
      </c>
      <c r="G156" t="b">
        <f>IF(B156=E156,TRUE,FALSE)</f>
        <v>1</v>
      </c>
      <c r="J156">
        <f>F156-C156</f>
        <v>-19</v>
      </c>
      <c r="K156" s="4">
        <f>F156/C156-1</f>
        <v>-1.3130615065653051E-2</v>
      </c>
      <c r="M156" s="5">
        <v>2996.96</v>
      </c>
      <c r="N156" s="5">
        <v>2934.62</v>
      </c>
      <c r="Q156" s="5">
        <v>23548.05</v>
      </c>
      <c r="U156" s="167">
        <f>N156-M156</f>
        <v>-62.340000000000146</v>
      </c>
      <c r="V156" s="4">
        <f>IF(M156=0,0,N156/M156-1)</f>
        <v>-2.0801078426138542E-2</v>
      </c>
      <c r="W156">
        <v>2.0898117306299784</v>
      </c>
      <c r="X156">
        <f>N156/F156</f>
        <v>2.0550560224089636</v>
      </c>
      <c r="Y156">
        <f>X156-W156</f>
        <v>-3.4755708221014814E-2</v>
      </c>
      <c r="Z156" s="18">
        <v>38996.65</v>
      </c>
      <c r="AA156" s="18">
        <v>38484.6</v>
      </c>
      <c r="AB156" s="4">
        <f>AA156/Z156-1</f>
        <v>-1.3130615065653162E-2</v>
      </c>
    </row>
    <row r="157" spans="1:28">
      <c r="A157" t="s">
        <v>325</v>
      </c>
      <c r="B157" t="s">
        <v>326</v>
      </c>
      <c r="C157" s="30">
        <v>1348</v>
      </c>
      <c r="E157" t="s">
        <v>326</v>
      </c>
      <c r="F157" s="30">
        <v>1328</v>
      </c>
      <c r="G157" t="b">
        <f>IF(B157=E157,TRUE,FALSE)</f>
        <v>1</v>
      </c>
      <c r="J157">
        <f>F157-C157</f>
        <v>-20</v>
      </c>
      <c r="K157" s="4">
        <f>F157/C157-1</f>
        <v>-1.4836795252225476E-2</v>
      </c>
      <c r="M157" s="5">
        <v>1527.76</v>
      </c>
      <c r="N157" s="5">
        <v>1448.98</v>
      </c>
      <c r="Q157" s="5">
        <v>12777.19</v>
      </c>
      <c r="U157" s="167">
        <f>N157-M157</f>
        <v>-78.779999999999973</v>
      </c>
      <c r="V157" s="4">
        <f>IF(M157=0,0,N157/M157-1)</f>
        <v>-5.1565690946221876E-2</v>
      </c>
      <c r="W157">
        <v>0.77255291005291005</v>
      </c>
      <c r="X157">
        <f>N157/F157</f>
        <v>1.0910993975903616</v>
      </c>
      <c r="Y157">
        <f>X157-W157</f>
        <v>0.31854648753745152</v>
      </c>
      <c r="Z157" s="18">
        <v>36328.6</v>
      </c>
      <c r="AA157" s="18">
        <v>35789.599999999999</v>
      </c>
      <c r="AB157" s="4">
        <f>AA157/Z157-1</f>
        <v>-1.4836795252225476E-2</v>
      </c>
    </row>
    <row r="158" spans="1:28">
      <c r="A158" t="s">
        <v>327</v>
      </c>
      <c r="B158" t="s">
        <v>328</v>
      </c>
      <c r="C158" s="30">
        <v>1230</v>
      </c>
      <c r="E158" t="s">
        <v>328</v>
      </c>
      <c r="F158" s="30">
        <v>1208</v>
      </c>
      <c r="G158" t="b">
        <f>IF(B158=E158,TRUE,FALSE)</f>
        <v>1</v>
      </c>
      <c r="J158">
        <f>F158-C158</f>
        <v>-22</v>
      </c>
      <c r="K158" s="4">
        <f>F158/C158-1</f>
        <v>-1.7886178861788671E-2</v>
      </c>
      <c r="M158" s="5">
        <v>2034.16</v>
      </c>
      <c r="N158" s="5">
        <v>1927.06</v>
      </c>
      <c r="Q158" s="5">
        <v>14219.87</v>
      </c>
      <c r="U158" s="167">
        <f>N158-M158</f>
        <v>-107.10000000000014</v>
      </c>
      <c r="V158" s="4">
        <f>IF(M158=0,0,N158/M158-1)</f>
        <v>-5.2650725606638638E-2</v>
      </c>
      <c r="W158">
        <v>1.355233644859813</v>
      </c>
      <c r="X158">
        <f>N158/F158</f>
        <v>1.5952483443708609</v>
      </c>
      <c r="Y158">
        <f>X158-W158</f>
        <v>0.24001469951104792</v>
      </c>
      <c r="Z158" s="18">
        <v>36827.72</v>
      </c>
      <c r="AA158" s="18">
        <v>36211.64</v>
      </c>
      <c r="AB158" s="4">
        <f>AA158/Z158-1</f>
        <v>-1.6728703270254108E-2</v>
      </c>
    </row>
    <row r="159" spans="1:28">
      <c r="A159" t="s">
        <v>329</v>
      </c>
      <c r="B159" t="s">
        <v>330</v>
      </c>
      <c r="C159" s="30">
        <v>1031</v>
      </c>
      <c r="E159" t="s">
        <v>330</v>
      </c>
      <c r="F159" s="30">
        <v>1003</v>
      </c>
      <c r="G159" t="b">
        <f>IF(B159=E159,TRUE,FALSE)</f>
        <v>1</v>
      </c>
      <c r="J159">
        <f>F159-C159</f>
        <v>-28</v>
      </c>
      <c r="K159" s="4">
        <f>F159/C159-1</f>
        <v>-2.7158098933074637E-2</v>
      </c>
      <c r="M159" s="5">
        <v>2046.21</v>
      </c>
      <c r="N159" s="5">
        <v>2186.44</v>
      </c>
      <c r="Q159" s="5">
        <v>17391.12</v>
      </c>
      <c r="U159" s="167">
        <f>N159-M159</f>
        <v>140.23000000000002</v>
      </c>
      <c r="V159" s="4">
        <f>IF(M159=0,0,N159/M159-1)</f>
        <v>6.8531577892787077E-2</v>
      </c>
      <c r="W159">
        <v>1.8219153674832962</v>
      </c>
      <c r="X159">
        <f>N159/F159</f>
        <v>2.1799002991026919</v>
      </c>
      <c r="Y159">
        <f>X159-W159</f>
        <v>0.35798493161939571</v>
      </c>
      <c r="Z159" s="18">
        <v>24733.69</v>
      </c>
      <c r="AA159" s="18">
        <v>24061.97</v>
      </c>
      <c r="AB159" s="4">
        <f>AA159/Z159-1</f>
        <v>-2.7158098933074637E-2</v>
      </c>
    </row>
    <row r="160" spans="1:28">
      <c r="A160" t="s">
        <v>331</v>
      </c>
      <c r="B160" t="s">
        <v>332</v>
      </c>
      <c r="C160" s="30">
        <v>1859</v>
      </c>
      <c r="E160" t="s">
        <v>332</v>
      </c>
      <c r="F160" s="30">
        <v>1829</v>
      </c>
      <c r="G160" t="b">
        <f>IF(B160=E160,TRUE,FALSE)</f>
        <v>1</v>
      </c>
      <c r="J160">
        <f>F160-C160</f>
        <v>-30</v>
      </c>
      <c r="K160" s="4">
        <f>F160/C160-1</f>
        <v>-1.6137708445400745E-2</v>
      </c>
      <c r="M160" s="5">
        <v>4284.91</v>
      </c>
      <c r="N160" s="5">
        <v>3966.6</v>
      </c>
      <c r="Q160" s="5">
        <v>24857.69</v>
      </c>
      <c r="U160" s="167">
        <f>N160-M160</f>
        <v>-318.30999999999995</v>
      </c>
      <c r="V160" s="4">
        <f>IF(M160=0,0,N160/M160-1)</f>
        <v>-7.4286274390827356E-2</v>
      </c>
      <c r="W160">
        <v>1.5917383820998279</v>
      </c>
      <c r="X160">
        <f>N160/F160</f>
        <v>2.1687260798250412</v>
      </c>
      <c r="Y160">
        <f>X160-W160</f>
        <v>0.5769876977252133</v>
      </c>
      <c r="Z160" s="18">
        <v>55751.41</v>
      </c>
      <c r="AA160" s="18">
        <v>54821.72</v>
      </c>
      <c r="AB160" s="4">
        <f>AA160/Z160-1</f>
        <v>-1.6675632060247469E-2</v>
      </c>
    </row>
    <row r="161" spans="1:28">
      <c r="A161" t="s">
        <v>333</v>
      </c>
      <c r="B161" t="s">
        <v>334</v>
      </c>
      <c r="C161" s="30">
        <v>1079</v>
      </c>
      <c r="E161" t="s">
        <v>334</v>
      </c>
      <c r="F161" s="30">
        <v>1048</v>
      </c>
      <c r="G161" t="b">
        <f>IF(B161=E161,TRUE,FALSE)</f>
        <v>1</v>
      </c>
      <c r="J161" s="88">
        <f>F161-C161</f>
        <v>-31</v>
      </c>
      <c r="K161" s="4">
        <f>F161/C161-1</f>
        <v>-2.8730305838739589E-2</v>
      </c>
      <c r="M161" s="5">
        <v>2130.64</v>
      </c>
      <c r="N161" s="5">
        <v>1891.9</v>
      </c>
      <c r="Q161" s="5">
        <v>13468.35</v>
      </c>
      <c r="U161" s="167">
        <f>N161-M161</f>
        <v>-238.73999999999978</v>
      </c>
      <c r="V161" s="4">
        <f>IF(M161=0,0,N161/M161-1)</f>
        <v>-0.11205083918447034</v>
      </c>
      <c r="W161">
        <v>1.4190338164251208</v>
      </c>
      <c r="X161">
        <f>N161/F161</f>
        <v>1.8052480916030536</v>
      </c>
      <c r="Y161">
        <f>X161-W161</f>
        <v>0.38621427517793272</v>
      </c>
      <c r="Z161" s="18">
        <v>32359.21</v>
      </c>
      <c r="AA161" s="18">
        <v>31429.52</v>
      </c>
      <c r="AB161" s="4">
        <f>AA161/Z161-1</f>
        <v>-2.8730305838739589E-2</v>
      </c>
    </row>
    <row r="162" spans="1:28">
      <c r="A162" t="s">
        <v>335</v>
      </c>
      <c r="B162" t="s">
        <v>336</v>
      </c>
      <c r="C162" s="30">
        <v>1215</v>
      </c>
      <c r="E162" t="s">
        <v>336</v>
      </c>
      <c r="F162" s="30">
        <v>1176</v>
      </c>
      <c r="G162" t="b">
        <f>IF(B162=E162,TRUE,FALSE)</f>
        <v>1</v>
      </c>
      <c r="J162">
        <f>F162-C162</f>
        <v>-39</v>
      </c>
      <c r="K162" s="4">
        <f>F162/C162-1</f>
        <v>-3.2098765432098775E-2</v>
      </c>
      <c r="M162" s="5">
        <v>1333.24</v>
      </c>
      <c r="N162" s="5">
        <v>1389.04</v>
      </c>
      <c r="Q162" s="5">
        <v>11652.41</v>
      </c>
      <c r="U162" s="167">
        <f>N162-M162</f>
        <v>55.799999999999955</v>
      </c>
      <c r="V162" s="4">
        <f>IF(M162=0,0,N162/M162-1)</f>
        <v>4.1852929705079367E-2</v>
      </c>
      <c r="W162">
        <v>0.88633208255159479</v>
      </c>
      <c r="X162">
        <f>N162/F162</f>
        <v>1.1811564625850339</v>
      </c>
      <c r="Y162">
        <f>X162-W162</f>
        <v>0.29482438003343914</v>
      </c>
      <c r="Z162" s="18">
        <v>36437.85</v>
      </c>
      <c r="AA162" s="18">
        <v>35268.239999999998</v>
      </c>
      <c r="AB162" s="4">
        <f>AA162/Z162-1</f>
        <v>-3.2098765432098775E-2</v>
      </c>
    </row>
    <row r="163" spans="1:28">
      <c r="A163" t="s">
        <v>337</v>
      </c>
      <c r="B163" t="s">
        <v>338</v>
      </c>
      <c r="C163" s="30">
        <v>518</v>
      </c>
      <c r="E163" t="s">
        <v>338</v>
      </c>
      <c r="F163" s="30">
        <v>477</v>
      </c>
      <c r="G163" t="b">
        <f>IF(B163=E163,TRUE,FALSE)</f>
        <v>1</v>
      </c>
      <c r="J163" s="27">
        <f>F163-C163</f>
        <v>-41</v>
      </c>
      <c r="K163" s="4">
        <f>F163/C163-1</f>
        <v>-7.9150579150579103E-2</v>
      </c>
      <c r="M163" s="5">
        <v>876.78</v>
      </c>
      <c r="N163" s="5">
        <v>944.89</v>
      </c>
      <c r="Q163" s="5">
        <v>5535.77</v>
      </c>
      <c r="U163" s="167">
        <f>N163-M163</f>
        <v>68.110000000000014</v>
      </c>
      <c r="V163" s="4">
        <f>IF(M163=0,0,N163/M163-1)</f>
        <v>7.7681972672734245E-2</v>
      </c>
      <c r="W163">
        <v>1.2719230769230769</v>
      </c>
      <c r="X163">
        <f>N163/F163</f>
        <v>1.980901467505241</v>
      </c>
      <c r="Y163">
        <f>X163-W163</f>
        <v>0.70897839058216405</v>
      </c>
      <c r="Z163" s="18">
        <v>10334.83</v>
      </c>
      <c r="AA163" s="18">
        <v>9535.23</v>
      </c>
      <c r="AB163" s="4">
        <f>AA163/Z163-1</f>
        <v>-7.7369439071566792E-2</v>
      </c>
    </row>
    <row r="164" spans="1:28">
      <c r="A164" t="s">
        <v>339</v>
      </c>
      <c r="B164" t="s">
        <v>340</v>
      </c>
      <c r="C164" s="30">
        <v>949</v>
      </c>
      <c r="E164" t="s">
        <v>340</v>
      </c>
      <c r="F164" s="30">
        <v>906</v>
      </c>
      <c r="G164" t="b">
        <f>IF(B164=E164,TRUE,FALSE)</f>
        <v>1</v>
      </c>
      <c r="J164">
        <f>F164-C164</f>
        <v>-43</v>
      </c>
      <c r="K164" s="4">
        <f>F164/C164-1</f>
        <v>-4.5310853530031614E-2</v>
      </c>
      <c r="M164" s="5">
        <v>878.44</v>
      </c>
      <c r="N164" s="5">
        <v>870.89</v>
      </c>
      <c r="Q164" s="5">
        <v>6508.29</v>
      </c>
      <c r="U164" s="167">
        <f>N164-M164</f>
        <v>-7.5500000000000682</v>
      </c>
      <c r="V164" s="4">
        <f>IF(M164=0,0,N164/M164-1)</f>
        <v>-8.5947816583945569E-3</v>
      </c>
      <c r="W164">
        <v>0.97535956580732708</v>
      </c>
      <c r="X164">
        <f>N164/F164</f>
        <v>0.96124724061810152</v>
      </c>
      <c r="Y164">
        <f>X164-W164</f>
        <v>-1.4112325189225561E-2</v>
      </c>
      <c r="Z164" s="18">
        <v>22728.55</v>
      </c>
      <c r="AA164" s="18">
        <v>21698.7</v>
      </c>
      <c r="AB164" s="4">
        <f>AA164/Z164-1</f>
        <v>-4.5310853530031503E-2</v>
      </c>
    </row>
    <row r="165" spans="1:28">
      <c r="A165" t="s">
        <v>341</v>
      </c>
      <c r="B165" t="s">
        <v>342</v>
      </c>
      <c r="C165" s="30">
        <v>501</v>
      </c>
      <c r="E165" t="s">
        <v>342</v>
      </c>
      <c r="F165" s="30">
        <v>457</v>
      </c>
      <c r="G165" t="b">
        <f>IF(B165=E165,TRUE,FALSE)</f>
        <v>1</v>
      </c>
      <c r="J165">
        <f>F165-C165</f>
        <v>-44</v>
      </c>
      <c r="K165" s="4">
        <f>F165/C165-1</f>
        <v>-8.7824351297405179E-2</v>
      </c>
      <c r="M165" s="5">
        <v>207.62</v>
      </c>
      <c r="N165" s="5">
        <v>280.43</v>
      </c>
      <c r="Q165" s="5">
        <v>3167.85</v>
      </c>
      <c r="U165" s="167">
        <f>N165-M165</f>
        <v>72.81</v>
      </c>
      <c r="V165" s="4">
        <f>IF(M165=0,0,N165/M165-1)</f>
        <v>0.35068875830844815</v>
      </c>
      <c r="W165">
        <v>0.30851931330472104</v>
      </c>
      <c r="X165">
        <f>N165/F165</f>
        <v>0.61363238512035012</v>
      </c>
      <c r="Y165">
        <f>X165-W165</f>
        <v>0.30511307181562908</v>
      </c>
      <c r="Z165" s="18">
        <v>15004.95</v>
      </c>
      <c r="AA165" s="18">
        <v>13687.15</v>
      </c>
      <c r="AB165" s="4">
        <f>AA165/Z165-1</f>
        <v>-8.782435129740529E-2</v>
      </c>
    </row>
    <row r="166" spans="1:28">
      <c r="A166" t="s">
        <v>343</v>
      </c>
      <c r="B166" t="s">
        <v>344</v>
      </c>
      <c r="C166" s="30">
        <v>1091</v>
      </c>
      <c r="E166" t="s">
        <v>344</v>
      </c>
      <c r="F166" s="30">
        <v>1046</v>
      </c>
      <c r="G166" t="b">
        <f>IF(B166=E166,TRUE,FALSE)</f>
        <v>1</v>
      </c>
      <c r="J166" s="27">
        <f>F166-C166</f>
        <v>-45</v>
      </c>
      <c r="K166" s="4">
        <f>F166/C166-1</f>
        <v>-4.124656278643446E-2</v>
      </c>
      <c r="M166" s="5">
        <v>649.21</v>
      </c>
      <c r="N166" s="5">
        <v>905.93</v>
      </c>
      <c r="Q166" s="5">
        <v>6464.97</v>
      </c>
      <c r="U166" s="167">
        <f>N166-M166</f>
        <v>256.71999999999991</v>
      </c>
      <c r="V166" s="4">
        <f>IF(M166=0,0,N166/M166-1)</f>
        <v>0.39543445110210862</v>
      </c>
      <c r="W166">
        <v>0.51978494623655913</v>
      </c>
      <c r="X166">
        <f>N166/F166</f>
        <v>0.86608986615678774</v>
      </c>
      <c r="Y166">
        <f>X166-W166</f>
        <v>0.3463049199202286</v>
      </c>
      <c r="Z166" s="18">
        <v>29402.45</v>
      </c>
      <c r="AA166" s="18">
        <v>28162.75</v>
      </c>
      <c r="AB166" s="4">
        <f>AA166/Z166-1</f>
        <v>-4.2163153070577497E-2</v>
      </c>
    </row>
    <row r="167" spans="1:28" ht="13.5" customHeight="1">
      <c r="A167" t="s">
        <v>345</v>
      </c>
      <c r="B167" t="s">
        <v>346</v>
      </c>
      <c r="C167" s="30">
        <v>1190</v>
      </c>
      <c r="E167" t="s">
        <v>346</v>
      </c>
      <c r="F167" s="30">
        <v>1145</v>
      </c>
      <c r="G167" t="b">
        <f>IF(B167=E167,TRUE,FALSE)</f>
        <v>1</v>
      </c>
      <c r="J167" s="27">
        <f>F167-C167</f>
        <v>-45</v>
      </c>
      <c r="K167" s="4">
        <f>F167/C167-1</f>
        <v>-3.7815126050420145E-2</v>
      </c>
      <c r="M167" s="5">
        <v>1940.49</v>
      </c>
      <c r="N167" s="5">
        <v>1818.18</v>
      </c>
      <c r="Q167" s="5">
        <v>10101.48</v>
      </c>
      <c r="U167" s="167">
        <f>N167-M167</f>
        <v>-122.30999999999995</v>
      </c>
      <c r="V167" s="4">
        <f>IF(M167=0,0,N167/M167-1)</f>
        <v>-6.3030471684986766E-2</v>
      </c>
      <c r="W167">
        <v>2.1072229299363059</v>
      </c>
      <c r="X167">
        <f>N167/F167</f>
        <v>1.587930131004367</v>
      </c>
      <c r="Y167">
        <f>X167-W167</f>
        <v>-0.51929279893193891</v>
      </c>
      <c r="Z167" s="18">
        <v>20787.099999999999</v>
      </c>
      <c r="AA167" s="18">
        <v>19970.37</v>
      </c>
      <c r="AB167" s="4">
        <f>AA167/Z167-1</f>
        <v>-3.9290232884817922E-2</v>
      </c>
    </row>
    <row r="168" spans="1:28">
      <c r="A168" t="s">
        <v>347</v>
      </c>
      <c r="B168" t="s">
        <v>348</v>
      </c>
      <c r="C168" s="30">
        <v>2070</v>
      </c>
      <c r="E168" t="s">
        <v>348</v>
      </c>
      <c r="F168" s="30">
        <v>2024</v>
      </c>
      <c r="G168" t="b">
        <f>IF(B168=E168,TRUE,FALSE)</f>
        <v>1</v>
      </c>
      <c r="J168">
        <f>F168-C168</f>
        <v>-46</v>
      </c>
      <c r="K168" s="4">
        <f>F168/C168-1</f>
        <v>-2.2222222222222254E-2</v>
      </c>
      <c r="M168" s="5">
        <v>4769.6899999999996</v>
      </c>
      <c r="N168" s="5">
        <v>4886.3999999999996</v>
      </c>
      <c r="Q168" s="5">
        <v>30626.2</v>
      </c>
      <c r="U168" s="167">
        <f>N168-M168</f>
        <v>116.71000000000004</v>
      </c>
      <c r="V168" s="4">
        <f>IF(M168=0,0,N168/M168-1)</f>
        <v>2.4469095475806668E-2</v>
      </c>
      <c r="W168">
        <v>2.1365239948119323</v>
      </c>
      <c r="X168">
        <f>N168/F168</f>
        <v>2.4142292490118575</v>
      </c>
      <c r="Y168">
        <f>X168-W168</f>
        <v>0.2777052541999252</v>
      </c>
      <c r="Z168" s="18">
        <v>55759.55</v>
      </c>
      <c r="AA168" s="18">
        <v>54546.8</v>
      </c>
      <c r="AB168" s="4">
        <f>AA168/Z168-1</f>
        <v>-2.174963750604153E-2</v>
      </c>
    </row>
    <row r="169" spans="1:28">
      <c r="A169" t="s">
        <v>349</v>
      </c>
      <c r="B169" t="s">
        <v>350</v>
      </c>
      <c r="C169" s="30">
        <v>918</v>
      </c>
      <c r="E169" t="s">
        <v>350</v>
      </c>
      <c r="F169" s="30">
        <v>872</v>
      </c>
      <c r="G169" t="b">
        <f>IF(B169=E169,TRUE,FALSE)</f>
        <v>1</v>
      </c>
      <c r="J169">
        <f>F169-C169</f>
        <v>-46</v>
      </c>
      <c r="K169" s="4">
        <f>F169/C169-1</f>
        <v>-5.0108932461873645E-2</v>
      </c>
      <c r="M169" s="5">
        <v>1172.6500000000001</v>
      </c>
      <c r="N169" s="5">
        <v>1214.8699999999999</v>
      </c>
      <c r="Q169" s="5">
        <v>9192.42</v>
      </c>
      <c r="U169" s="167">
        <f>N169-M169</f>
        <v>42.2199999999998</v>
      </c>
      <c r="V169" s="4">
        <f>IF(M169=0,0,N169/M169-1)</f>
        <v>3.600392273909514E-2</v>
      </c>
      <c r="W169">
        <v>1.5250431447746884</v>
      </c>
      <c r="X169">
        <f>N169/F169</f>
        <v>1.3931995412844036</v>
      </c>
      <c r="Y169">
        <f>X169-W169</f>
        <v>-0.13184360349028479</v>
      </c>
      <c r="Z169" s="18">
        <v>33956.82</v>
      </c>
      <c r="AA169" s="18">
        <v>32218.29</v>
      </c>
      <c r="AB169" s="4">
        <f>AA169/Z169-1</f>
        <v>-5.1198257080609988E-2</v>
      </c>
    </row>
    <row r="170" spans="1:28">
      <c r="A170" t="s">
        <v>351</v>
      </c>
      <c r="B170" t="s">
        <v>352</v>
      </c>
      <c r="C170" s="30">
        <v>913</v>
      </c>
      <c r="E170" t="s">
        <v>352</v>
      </c>
      <c r="F170" s="30">
        <v>866</v>
      </c>
      <c r="G170" t="b">
        <f>IF(B170=E170,TRUE,FALSE)</f>
        <v>1</v>
      </c>
      <c r="J170">
        <f>F170-C170</f>
        <v>-47</v>
      </c>
      <c r="K170" s="4">
        <f>F170/C170-1</f>
        <v>-5.1478641840087658E-2</v>
      </c>
      <c r="M170" s="5">
        <v>869.47</v>
      </c>
      <c r="N170" s="5">
        <v>951.69</v>
      </c>
      <c r="Q170" s="5">
        <v>5347.71</v>
      </c>
      <c r="U170" s="167">
        <f>N170-M170</f>
        <v>82.220000000000027</v>
      </c>
      <c r="V170" s="4">
        <f>IF(M170=0,0,N170/M170-1)</f>
        <v>9.4563354687338341E-2</v>
      </c>
      <c r="W170">
        <v>0.74526548672566373</v>
      </c>
      <c r="X170">
        <f>N170/F170</f>
        <v>1.0989491916859122</v>
      </c>
      <c r="Y170">
        <f>X170-W170</f>
        <v>0.35368370496024848</v>
      </c>
      <c r="Z170" s="18">
        <v>26431.35</v>
      </c>
      <c r="AA170" s="18">
        <v>25069.7</v>
      </c>
      <c r="AB170" s="4">
        <f>AA170/Z170-1</f>
        <v>-5.1516475700257414E-2</v>
      </c>
    </row>
    <row r="171" spans="1:28" ht="15" customHeight="1">
      <c r="A171" t="s">
        <v>353</v>
      </c>
      <c r="B171" t="s">
        <v>354</v>
      </c>
      <c r="C171" s="30">
        <v>998</v>
      </c>
      <c r="E171" t="s">
        <v>354</v>
      </c>
      <c r="F171" s="30">
        <v>950</v>
      </c>
      <c r="G171" t="b">
        <f>IF(B171=E171,TRUE,FALSE)</f>
        <v>1</v>
      </c>
      <c r="J171">
        <f>F171-C171</f>
        <v>-48</v>
      </c>
      <c r="K171" s="4">
        <f>F171/C171-1</f>
        <v>-4.8096192384769587E-2</v>
      </c>
      <c r="M171" s="5">
        <v>617.13</v>
      </c>
      <c r="N171" s="5">
        <v>648.47</v>
      </c>
      <c r="Q171" s="5">
        <v>3252.85</v>
      </c>
      <c r="U171" s="167">
        <f>N171-M171</f>
        <v>31.340000000000032</v>
      </c>
      <c r="V171" s="4">
        <f>IF(M171=0,0,N171/M171-1)</f>
        <v>5.0783465396269989E-2</v>
      </c>
      <c r="W171">
        <v>0.57860256410256405</v>
      </c>
      <c r="X171">
        <f>N171/F171</f>
        <v>0.68259999999999998</v>
      </c>
      <c r="Y171">
        <f>X171-W171</f>
        <v>0.10399743589743593</v>
      </c>
      <c r="Z171" s="18">
        <v>19910.099999999999</v>
      </c>
      <c r="AA171" s="18">
        <v>19012.349999999999</v>
      </c>
      <c r="AB171" s="4">
        <f>AA171/Z171-1</f>
        <v>-4.5090180360721432E-2</v>
      </c>
    </row>
    <row r="172" spans="1:28" ht="15" customHeight="1">
      <c r="A172" t="s">
        <v>355</v>
      </c>
      <c r="B172" t="s">
        <v>356</v>
      </c>
      <c r="C172" s="30">
        <v>1322</v>
      </c>
      <c r="E172" t="s">
        <v>356</v>
      </c>
      <c r="F172" s="30">
        <v>1272</v>
      </c>
      <c r="G172" t="b">
        <f>IF(B172=E172,TRUE,FALSE)</f>
        <v>1</v>
      </c>
      <c r="J172">
        <f>F172-C172</f>
        <v>-50</v>
      </c>
      <c r="K172" s="4">
        <f>F172/C172-1</f>
        <v>-3.7821482602118039E-2</v>
      </c>
      <c r="M172" s="5">
        <v>2329.31</v>
      </c>
      <c r="N172" s="5">
        <v>2336.77</v>
      </c>
      <c r="Q172" s="5">
        <v>16972.5</v>
      </c>
      <c r="U172" s="167">
        <f>N172-M172</f>
        <v>7.4600000000000364</v>
      </c>
      <c r="V172" s="4">
        <f>IF(M172=0,0,N172/M172-1)</f>
        <v>3.2026651669379014E-3</v>
      </c>
      <c r="W172">
        <v>1.8635350318471338</v>
      </c>
      <c r="X172">
        <f>N172/F172</f>
        <v>1.8370833333333334</v>
      </c>
      <c r="Y172">
        <f>X172-W172</f>
        <v>-2.6451698513800359E-2</v>
      </c>
      <c r="Z172" s="18">
        <v>32983.9</v>
      </c>
      <c r="AA172" s="18">
        <v>31736.400000000001</v>
      </c>
      <c r="AB172" s="4">
        <f>AA172/Z172-1</f>
        <v>-3.7821482602118039E-2</v>
      </c>
    </row>
    <row r="173" spans="1:28" ht="15" customHeight="1">
      <c r="A173" t="s">
        <v>357</v>
      </c>
      <c r="B173" t="s">
        <v>358</v>
      </c>
      <c r="C173" s="30">
        <v>837</v>
      </c>
      <c r="E173" t="s">
        <v>358</v>
      </c>
      <c r="F173" s="30">
        <v>787</v>
      </c>
      <c r="G173" t="b">
        <f>IF(B173=E173,TRUE,FALSE)</f>
        <v>1</v>
      </c>
      <c r="J173">
        <f>F173-C173</f>
        <v>-50</v>
      </c>
      <c r="K173" s="4">
        <f>F173/C173-1</f>
        <v>-5.9737156511350031E-2</v>
      </c>
      <c r="M173" s="5">
        <v>1769.56</v>
      </c>
      <c r="N173" s="5">
        <v>1703.07</v>
      </c>
      <c r="Q173" s="5">
        <v>10265.9</v>
      </c>
      <c r="U173" s="167">
        <f>N173-M173</f>
        <v>-66.490000000000009</v>
      </c>
      <c r="V173" s="4">
        <f>IF(M173=0,0,N173/M173-1)</f>
        <v>-3.7574312258414566E-2</v>
      </c>
      <c r="W173">
        <v>2.288870292887029</v>
      </c>
      <c r="X173">
        <f>N173/F173</f>
        <v>2.1640025412960608</v>
      </c>
      <c r="Y173">
        <f>X173-W173</f>
        <v>-0.12486775159096819</v>
      </c>
      <c r="Z173" s="18">
        <v>21262.59</v>
      </c>
      <c r="AA173" s="18">
        <v>21241.13</v>
      </c>
      <c r="AB173" s="4">
        <f>AA173/Z173-1</f>
        <v>-1.009284381629838E-3</v>
      </c>
    </row>
    <row r="174" spans="1:28" ht="15" customHeight="1">
      <c r="A174" t="s">
        <v>359</v>
      </c>
      <c r="B174" t="s">
        <v>360</v>
      </c>
      <c r="C174" s="30">
        <v>952</v>
      </c>
      <c r="E174" t="s">
        <v>360</v>
      </c>
      <c r="F174" s="30">
        <v>898</v>
      </c>
      <c r="G174" t="b">
        <f>IF(B174=E174,TRUE,FALSE)</f>
        <v>1</v>
      </c>
      <c r="J174">
        <f>F174-C174</f>
        <v>-54</v>
      </c>
      <c r="K174" s="4">
        <f>F174/C174-1</f>
        <v>-5.6722689075630273E-2</v>
      </c>
      <c r="M174" s="5">
        <v>907.87</v>
      </c>
      <c r="N174" s="5">
        <v>1192.75</v>
      </c>
      <c r="Q174" s="5">
        <v>6651.33</v>
      </c>
      <c r="U174" s="167">
        <f>N174-M174</f>
        <v>284.88</v>
      </c>
      <c r="V174" s="4">
        <f>IF(M174=0,0,N174/M174-1)</f>
        <v>0.31378941918997216</v>
      </c>
      <c r="W174">
        <v>0.95624678663239082</v>
      </c>
      <c r="X174">
        <f>N174/F174</f>
        <v>1.328229398663697</v>
      </c>
      <c r="Y174">
        <f>X174-W174</f>
        <v>0.37198261203130623</v>
      </c>
      <c r="Z174" s="18">
        <v>28091.84</v>
      </c>
      <c r="AA174" s="18">
        <v>26931.02</v>
      </c>
      <c r="AB174" s="4">
        <f>AA174/Z174-1</f>
        <v>-4.1322319933475349E-2</v>
      </c>
    </row>
    <row r="175" spans="1:28" ht="15" customHeight="1">
      <c r="A175" t="s">
        <v>361</v>
      </c>
      <c r="B175" t="s">
        <v>362</v>
      </c>
      <c r="C175" s="30">
        <v>1031</v>
      </c>
      <c r="E175" t="s">
        <v>362</v>
      </c>
      <c r="F175" s="30">
        <v>973</v>
      </c>
      <c r="G175" t="b">
        <f>IF(B175=E175,TRUE,FALSE)</f>
        <v>1</v>
      </c>
      <c r="J175">
        <f>F175-C175</f>
        <v>-58</v>
      </c>
      <c r="K175" s="4">
        <f>F175/C175-1</f>
        <v>-5.62560620756547E-2</v>
      </c>
      <c r="M175" s="5">
        <v>1552.52</v>
      </c>
      <c r="N175" s="5">
        <v>1765</v>
      </c>
      <c r="Q175" s="5">
        <v>6742.11</v>
      </c>
      <c r="U175" s="167">
        <f>N175-M175</f>
        <v>212.48000000000002</v>
      </c>
      <c r="V175" s="4">
        <f>IF(M175=0,0,N175/M175-1)</f>
        <v>0.13686136088423972</v>
      </c>
      <c r="W175">
        <v>1.2980892608089261</v>
      </c>
      <c r="X175">
        <f>N175/F175</f>
        <v>1.813977389516958</v>
      </c>
      <c r="Y175">
        <f>X175-W175</f>
        <v>0.51588812870803191</v>
      </c>
      <c r="Z175" s="18">
        <v>17148.09</v>
      </c>
      <c r="AA175" s="18">
        <v>16531.27</v>
      </c>
      <c r="AB175" s="4">
        <f>AA175/Z175-1</f>
        <v>-3.597018676715602E-2</v>
      </c>
    </row>
    <row r="176" spans="1:28" ht="15" customHeight="1">
      <c r="A176" t="s">
        <v>363</v>
      </c>
      <c r="B176" t="s">
        <v>364</v>
      </c>
      <c r="C176" s="30">
        <v>961</v>
      </c>
      <c r="E176" t="s">
        <v>364</v>
      </c>
      <c r="F176" s="30">
        <v>901</v>
      </c>
      <c r="G176" t="b">
        <f>IF(B176=E176,TRUE,FALSE)</f>
        <v>1</v>
      </c>
      <c r="J176">
        <f>F176-C176</f>
        <v>-60</v>
      </c>
      <c r="K176" s="4">
        <f>F176/C176-1</f>
        <v>-6.2434963579604541E-2</v>
      </c>
      <c r="M176" s="5">
        <v>2016.01</v>
      </c>
      <c r="N176" s="5">
        <v>1451.22</v>
      </c>
      <c r="Q176" s="5">
        <v>8434.39</v>
      </c>
      <c r="U176" s="167">
        <f>N176-M176</f>
        <v>-564.79</v>
      </c>
      <c r="V176" s="4">
        <f>IF(M176=0,0,N176/M176-1)</f>
        <v>-0.28015238019652677</v>
      </c>
      <c r="W176">
        <v>1.4795821325648415</v>
      </c>
      <c r="X176">
        <f>N176/F176</f>
        <v>1.6106770255271921</v>
      </c>
      <c r="Y176">
        <f>X176-W176</f>
        <v>0.13109489296235055</v>
      </c>
      <c r="Z176" s="18">
        <v>25898.95</v>
      </c>
      <c r="AA176" s="18">
        <v>24281.95</v>
      </c>
      <c r="AB176" s="4">
        <f>AA176/Z176-1</f>
        <v>-6.2434963579604541E-2</v>
      </c>
    </row>
    <row r="177" spans="1:28">
      <c r="A177" t="s">
        <v>365</v>
      </c>
      <c r="B177" t="s">
        <v>366</v>
      </c>
      <c r="C177" s="30">
        <v>818</v>
      </c>
      <c r="E177" t="s">
        <v>366</v>
      </c>
      <c r="F177" s="30">
        <v>756</v>
      </c>
      <c r="G177" t="b">
        <f>IF(B177=E177,TRUE,FALSE)</f>
        <v>1</v>
      </c>
      <c r="J177">
        <f>F177-C177</f>
        <v>-62</v>
      </c>
      <c r="K177" s="4">
        <f>F177/C177-1</f>
        <v>-7.5794621026894826E-2</v>
      </c>
      <c r="M177" s="5">
        <v>492.11</v>
      </c>
      <c r="N177" s="5">
        <v>555.17999999999995</v>
      </c>
      <c r="Q177" s="5">
        <v>2859.12</v>
      </c>
      <c r="U177" s="167">
        <f>N177-M177</f>
        <v>63.069999999999936</v>
      </c>
      <c r="V177" s="4">
        <f>IF(M177=0,0,N177/M177-1)</f>
        <v>0.12816240271484003</v>
      </c>
      <c r="W177">
        <v>0.48657681940700809</v>
      </c>
      <c r="X177">
        <f>N177/F177</f>
        <v>0.73436507936507933</v>
      </c>
      <c r="Y177">
        <f>X177-W177</f>
        <v>0.24778825995807124</v>
      </c>
      <c r="Z177" s="18">
        <v>16319.1</v>
      </c>
      <c r="AA177" s="18">
        <v>15062.25</v>
      </c>
      <c r="AB177" s="4">
        <f>AA177/Z177-1</f>
        <v>-7.7017114914425422E-2</v>
      </c>
    </row>
    <row r="178" spans="1:28" ht="15" customHeight="1">
      <c r="A178" t="s">
        <v>367</v>
      </c>
      <c r="B178" t="s">
        <v>368</v>
      </c>
      <c r="C178" s="30">
        <v>818</v>
      </c>
      <c r="E178" t="s">
        <v>368</v>
      </c>
      <c r="F178" s="30">
        <v>751</v>
      </c>
      <c r="G178" t="b">
        <f>IF(B178=E178,TRUE,FALSE)</f>
        <v>1</v>
      </c>
      <c r="J178">
        <f>F178-C178</f>
        <v>-67</v>
      </c>
      <c r="K178" s="4">
        <f>F178/C178-1</f>
        <v>-8.1907090464547694E-2</v>
      </c>
      <c r="M178" s="5">
        <v>76.11</v>
      </c>
      <c r="N178" s="5">
        <v>53.21</v>
      </c>
      <c r="Q178" s="5">
        <v>1051.05</v>
      </c>
      <c r="U178" s="167">
        <f>N178-M178</f>
        <v>-22.9</v>
      </c>
      <c r="V178" s="4">
        <f>IF(M178=0,0,N178/M178-1)</f>
        <v>-0.30088030482196815</v>
      </c>
      <c r="W178">
        <v>4.6715758468335783E-2</v>
      </c>
      <c r="X178">
        <f>N178/F178</f>
        <v>7.0852197070572567E-2</v>
      </c>
      <c r="Y178">
        <f>X178-W178</f>
        <v>2.4136438602236784E-2</v>
      </c>
      <c r="Z178" s="18">
        <v>22072.050000000003</v>
      </c>
      <c r="AA178" s="18">
        <v>20239.45</v>
      </c>
      <c r="AB178" s="4">
        <f>AA178/Z178-1</f>
        <v>-8.3028083028083066E-2</v>
      </c>
    </row>
    <row r="179" spans="1:28" ht="15" customHeight="1">
      <c r="A179" t="s">
        <v>369</v>
      </c>
      <c r="B179" t="s">
        <v>370</v>
      </c>
      <c r="C179" s="30">
        <v>724</v>
      </c>
      <c r="E179" t="s">
        <v>370</v>
      </c>
      <c r="F179" s="30">
        <v>652</v>
      </c>
      <c r="G179" t="b">
        <f>IF(B179=E179,TRUE,FALSE)</f>
        <v>1</v>
      </c>
      <c r="J179">
        <f>F179-C179</f>
        <v>-72</v>
      </c>
      <c r="K179" s="4">
        <f>F179/C179-1</f>
        <v>-9.9447513812154664E-2</v>
      </c>
      <c r="M179" s="5">
        <v>1101.54</v>
      </c>
      <c r="N179" s="5">
        <v>1070.94</v>
      </c>
      <c r="Q179" s="5">
        <v>7552.76</v>
      </c>
      <c r="U179" s="167">
        <f>N179-M179</f>
        <v>-30.599999999999909</v>
      </c>
      <c r="V179" s="4">
        <f>IF(M179=0,0,N179/M179-1)</f>
        <v>-2.7779290811046242E-2</v>
      </c>
      <c r="W179">
        <v>1.3687401574803149</v>
      </c>
      <c r="X179">
        <f>N179/F179</f>
        <v>1.6425460122699387</v>
      </c>
      <c r="Y179">
        <f>X179-W179</f>
        <v>0.27380585478962383</v>
      </c>
      <c r="Z179" s="18">
        <v>18063.8</v>
      </c>
      <c r="AA179" s="18">
        <v>16267.4</v>
      </c>
      <c r="AB179" s="4">
        <f>AA179/Z179-1</f>
        <v>-9.9447513812154664E-2</v>
      </c>
    </row>
    <row r="180" spans="1:28" ht="15" customHeight="1">
      <c r="A180" t="s">
        <v>371</v>
      </c>
      <c r="B180" t="s">
        <v>372</v>
      </c>
      <c r="C180" s="30">
        <v>1737</v>
      </c>
      <c r="E180" t="s">
        <v>372</v>
      </c>
      <c r="F180" s="30">
        <v>1664</v>
      </c>
      <c r="G180" t="b">
        <f>IF(B180=E180,TRUE,FALSE)</f>
        <v>1</v>
      </c>
      <c r="J180">
        <f>F180-C180</f>
        <v>-73</v>
      </c>
      <c r="K180" s="4">
        <f>F180/C180-1</f>
        <v>-4.2026482440990165E-2</v>
      </c>
      <c r="M180" s="5">
        <v>3907.86</v>
      </c>
      <c r="N180" s="5">
        <v>2049.73</v>
      </c>
      <c r="Q180" s="5">
        <v>12427</v>
      </c>
      <c r="U180" s="167">
        <f>N180-M180</f>
        <v>-1858.13</v>
      </c>
      <c r="V180" s="4">
        <f>IF(M180=0,0,N180/M180-1)</f>
        <v>-0.47548530397711286</v>
      </c>
      <c r="W180">
        <v>2.369481193255512</v>
      </c>
      <c r="X180">
        <f>N180/F180</f>
        <v>1.2318088942307692</v>
      </c>
      <c r="Y180">
        <f>X180-W180</f>
        <v>-1.1376722990247428</v>
      </c>
      <c r="Z180" s="18">
        <v>45049.2</v>
      </c>
      <c r="AA180" s="18">
        <v>43180.800000000003</v>
      </c>
      <c r="AB180" s="4">
        <f>AA180/Z180-1</f>
        <v>-4.1474654377880005E-2</v>
      </c>
    </row>
    <row r="181" spans="1:28" ht="15" customHeight="1">
      <c r="A181" t="s">
        <v>373</v>
      </c>
      <c r="B181" t="s">
        <v>374</v>
      </c>
      <c r="C181" s="30">
        <v>784</v>
      </c>
      <c r="E181" t="s">
        <v>374</v>
      </c>
      <c r="F181" s="30">
        <v>707</v>
      </c>
      <c r="G181" t="b">
        <f>IF(B181=E181,TRUE,FALSE)</f>
        <v>1</v>
      </c>
      <c r="J181">
        <f>F181-C181</f>
        <v>-77</v>
      </c>
      <c r="K181" s="4">
        <f>F181/C181-1</f>
        <v>-9.8214285714285698E-2</v>
      </c>
      <c r="M181" s="5">
        <v>1199.98</v>
      </c>
      <c r="N181" s="5">
        <v>1007.87</v>
      </c>
      <c r="Q181" s="5">
        <v>5158.4399999999996</v>
      </c>
      <c r="U181" s="167">
        <f>N181-M181</f>
        <v>-192.11</v>
      </c>
      <c r="V181" s="4">
        <f>IF(M181=0,0,N181/M181-1)</f>
        <v>-0.16009433490558178</v>
      </c>
      <c r="W181">
        <v>1.4382162162162162</v>
      </c>
      <c r="X181">
        <f>N181/F181</f>
        <v>1.4255586987270155</v>
      </c>
      <c r="Y181">
        <f>X181-W181</f>
        <v>-1.2657517489200742E-2</v>
      </c>
      <c r="Z181" s="18">
        <v>17208.8</v>
      </c>
      <c r="AA181" s="18">
        <v>15496.7</v>
      </c>
      <c r="AB181" s="4">
        <f>AA181/Z181-1</f>
        <v>-9.9489795918367263E-2</v>
      </c>
    </row>
    <row r="182" spans="1:28" ht="15" customHeight="1">
      <c r="A182" t="s">
        <v>375</v>
      </c>
      <c r="B182" t="s">
        <v>376</v>
      </c>
      <c r="C182" s="30">
        <v>1071</v>
      </c>
      <c r="E182" t="s">
        <v>376</v>
      </c>
      <c r="F182" s="30">
        <v>991</v>
      </c>
      <c r="G182" t="b">
        <f>IF(B182=E182,TRUE,FALSE)</f>
        <v>1</v>
      </c>
      <c r="J182">
        <f>F182-C182</f>
        <v>-80</v>
      </c>
      <c r="K182" s="4">
        <f>F182/C182-1</f>
        <v>-7.4696545284780536E-2</v>
      </c>
      <c r="M182" s="5">
        <v>1724.08</v>
      </c>
      <c r="N182" s="5">
        <v>1487.32</v>
      </c>
      <c r="Q182" s="5">
        <v>7825.19</v>
      </c>
      <c r="U182" s="167">
        <f>N182-M182</f>
        <v>-236.76</v>
      </c>
      <c r="V182" s="4">
        <f>IF(M182=0,0,N182/M182-1)</f>
        <v>-0.13732541413391486</v>
      </c>
      <c r="W182">
        <v>1.485578231292517</v>
      </c>
      <c r="X182">
        <f>N182/F182</f>
        <v>1.5008274470232088</v>
      </c>
      <c r="Y182">
        <f>X182-W182</f>
        <v>1.5249215730691823E-2</v>
      </c>
      <c r="Z182" s="18">
        <v>26646.6</v>
      </c>
      <c r="AA182" s="18">
        <v>24700.5</v>
      </c>
      <c r="AB182" s="4">
        <f>AA182/Z182-1</f>
        <v>-7.3033707865168496E-2</v>
      </c>
    </row>
    <row r="183" spans="1:28" ht="15" customHeight="1">
      <c r="A183" t="s">
        <v>377</v>
      </c>
      <c r="B183" t="s">
        <v>378</v>
      </c>
      <c r="C183" s="30">
        <v>454</v>
      </c>
      <c r="E183" t="s">
        <v>378</v>
      </c>
      <c r="F183" s="30">
        <v>374</v>
      </c>
      <c r="G183" t="b">
        <f>IF(B183=E183,TRUE,FALSE)</f>
        <v>1</v>
      </c>
      <c r="J183">
        <f>F183-C183</f>
        <v>-80</v>
      </c>
      <c r="K183" s="4">
        <f>F183/C183-1</f>
        <v>-0.17621145374449343</v>
      </c>
      <c r="M183" s="5">
        <v>329.8</v>
      </c>
      <c r="N183" s="5">
        <v>329.94</v>
      </c>
      <c r="Q183" s="5">
        <v>2021.45</v>
      </c>
      <c r="U183" s="167">
        <f>N183-M183</f>
        <v>0.13999999999998636</v>
      </c>
      <c r="V183" s="4">
        <f>IF(M183=0,0,N183/M183-1)</f>
        <v>4.2449969678592936E-4</v>
      </c>
      <c r="W183">
        <v>0.66465624999999995</v>
      </c>
      <c r="X183">
        <f>N183/F183</f>
        <v>0.88219251336898397</v>
      </c>
      <c r="Y183">
        <f>X183-W183</f>
        <v>0.21753626336898402</v>
      </c>
      <c r="Z183" s="18">
        <v>9965.2999999999993</v>
      </c>
      <c r="AA183" s="18">
        <v>8209.2999999999993</v>
      </c>
      <c r="AB183" s="4">
        <f>AA183/Z183-1</f>
        <v>-0.17621145374449343</v>
      </c>
    </row>
    <row r="184" spans="1:28" ht="15" customHeight="1">
      <c r="A184" t="s">
        <v>379</v>
      </c>
      <c r="B184" t="s">
        <v>380</v>
      </c>
      <c r="C184" s="30">
        <v>3430</v>
      </c>
      <c r="E184" t="s">
        <v>380</v>
      </c>
      <c r="F184" s="30">
        <v>3350</v>
      </c>
      <c r="G184" t="b">
        <f>IF(B184=E184,TRUE,FALSE)</f>
        <v>1</v>
      </c>
      <c r="J184">
        <f>F184-C184</f>
        <v>-80</v>
      </c>
      <c r="K184" s="4">
        <f>F184/C184-1</f>
        <v>-2.3323615160349864E-2</v>
      </c>
      <c r="M184" s="5">
        <v>6591.63</v>
      </c>
      <c r="N184" s="5">
        <v>6045.53</v>
      </c>
      <c r="Q184" s="5">
        <v>52391.65</v>
      </c>
      <c r="U184" s="167">
        <f>N184-M184</f>
        <v>-546.10000000000036</v>
      </c>
      <c r="V184" s="4">
        <f>IF(M184=0,0,N184/M184-1)</f>
        <v>-8.2847489922826423E-2</v>
      </c>
      <c r="W184">
        <v>1.7001146711635751</v>
      </c>
      <c r="X184">
        <f>N184/F184</f>
        <v>1.8046358208955222</v>
      </c>
      <c r="Y184">
        <f>X184-W184</f>
        <v>0.10452114973194715</v>
      </c>
      <c r="Z184" s="18">
        <v>85715.700000000012</v>
      </c>
      <c r="AA184" s="18">
        <v>83691.509999999995</v>
      </c>
      <c r="AB184" s="4">
        <f>AA184/Z184-1</f>
        <v>-2.3615160349854447E-2</v>
      </c>
    </row>
    <row r="185" spans="1:28" ht="15" customHeight="1">
      <c r="A185" t="s">
        <v>381</v>
      </c>
      <c r="B185" t="s">
        <v>382</v>
      </c>
      <c r="C185" s="30">
        <v>2246</v>
      </c>
      <c r="E185" t="s">
        <v>382</v>
      </c>
      <c r="F185" s="30">
        <v>2165</v>
      </c>
      <c r="G185" t="b">
        <f>IF(B185=E185,TRUE,FALSE)</f>
        <v>1</v>
      </c>
      <c r="J185">
        <f>F185-C185</f>
        <v>-81</v>
      </c>
      <c r="K185" s="4">
        <f>F185/C185-1</f>
        <v>-3.6064113980409651E-2</v>
      </c>
      <c r="M185" s="5">
        <v>3865.95</v>
      </c>
      <c r="N185" s="5">
        <v>3961.47</v>
      </c>
      <c r="Q185" s="5">
        <v>25025.57</v>
      </c>
      <c r="U185" s="167">
        <f>N185-M185</f>
        <v>95.519999999999982</v>
      </c>
      <c r="V185" s="4">
        <f>IF(M185=0,0,N185/M185-1)</f>
        <v>2.4708027781011221E-2</v>
      </c>
      <c r="W185">
        <v>1.3103415941058272</v>
      </c>
      <c r="X185">
        <f>N185/F185</f>
        <v>1.8297782909930715</v>
      </c>
      <c r="Y185">
        <f>X185-W185</f>
        <v>0.51943669688724436</v>
      </c>
      <c r="Z185" s="18">
        <v>60619.54</v>
      </c>
      <c r="AA185" s="18">
        <v>58433.35</v>
      </c>
      <c r="AB185" s="4">
        <f>AA185/Z185-1</f>
        <v>-3.6064113980409651E-2</v>
      </c>
    </row>
    <row r="186" spans="1:28" ht="15" customHeight="1">
      <c r="A186" t="s">
        <v>383</v>
      </c>
      <c r="B186" t="s">
        <v>384</v>
      </c>
      <c r="C186" s="30">
        <v>1476</v>
      </c>
      <c r="E186" t="s">
        <v>384</v>
      </c>
      <c r="F186" s="30">
        <v>1394</v>
      </c>
      <c r="G186" t="b">
        <f>IF(B186=E186,TRUE,FALSE)</f>
        <v>1</v>
      </c>
      <c r="J186">
        <f>F186-C186</f>
        <v>-82</v>
      </c>
      <c r="K186" s="4">
        <f>F186/C186-1</f>
        <v>-5.555555555555558E-2</v>
      </c>
      <c r="L186" s="5"/>
      <c r="M186" s="5">
        <v>1989.29</v>
      </c>
      <c r="N186" s="5">
        <v>1861.92</v>
      </c>
      <c r="O186" s="5"/>
      <c r="P186" s="5"/>
      <c r="Q186" s="5">
        <v>11798.57</v>
      </c>
      <c r="R186" s="5"/>
      <c r="S186" s="5"/>
      <c r="T186" s="5"/>
      <c r="U186" s="167">
        <f>N186-M186</f>
        <v>-127.36999999999989</v>
      </c>
      <c r="V186" s="4">
        <f>IF(M186=0,0,N186/M186-1)</f>
        <v>-6.4027869239778989E-2</v>
      </c>
      <c r="W186">
        <v>1.0729045362220717</v>
      </c>
      <c r="X186">
        <f>N186/F186</f>
        <v>1.3356671449067432</v>
      </c>
      <c r="Y186">
        <f>X186-W186</f>
        <v>0.26276260868467149</v>
      </c>
      <c r="Z186" s="18">
        <v>39751.25</v>
      </c>
      <c r="AA186" s="18">
        <v>37568.300000000003</v>
      </c>
      <c r="AB186" s="4">
        <f>AA186/Z186-1</f>
        <v>-5.4915254237288047E-2</v>
      </c>
    </row>
    <row r="187" spans="1:28" ht="15" customHeight="1">
      <c r="A187" t="s">
        <v>385</v>
      </c>
      <c r="B187" t="s">
        <v>386</v>
      </c>
      <c r="C187" s="30">
        <v>97</v>
      </c>
      <c r="E187" t="s">
        <v>386</v>
      </c>
      <c r="F187" s="30">
        <v>15</v>
      </c>
      <c r="G187" t="b">
        <f>IF(B187=E187,TRUE,FALSE)</f>
        <v>1</v>
      </c>
      <c r="J187">
        <f>F187-C187</f>
        <v>-82</v>
      </c>
      <c r="K187" s="4">
        <f>F187/C187-1</f>
        <v>-0.84536082474226804</v>
      </c>
      <c r="M187" s="5">
        <v>223.04</v>
      </c>
      <c r="N187" s="5">
        <v>6.29</v>
      </c>
      <c r="Q187" s="5">
        <v>100.95</v>
      </c>
      <c r="U187" s="167">
        <f>N187-M187</f>
        <v>-216.75</v>
      </c>
      <c r="V187" s="4">
        <f>IF(M187=0,0,N187/M187-1)</f>
        <v>-0.97179878048780488</v>
      </c>
      <c r="W187">
        <v>1.7539754601226993</v>
      </c>
      <c r="X187">
        <f>N187/F187</f>
        <v>0.41933333333333334</v>
      </c>
      <c r="Y187">
        <f>X187-W187</f>
        <v>-1.334642126789366</v>
      </c>
      <c r="Z187" s="18">
        <v>1648.03</v>
      </c>
      <c r="AA187" s="18">
        <v>254.85</v>
      </c>
      <c r="AB187" s="4">
        <f>AA187/Z187-1</f>
        <v>-0.84536082474226804</v>
      </c>
    </row>
    <row r="188" spans="1:28" ht="15" customHeight="1">
      <c r="A188" t="s">
        <v>387</v>
      </c>
      <c r="B188" t="s">
        <v>388</v>
      </c>
      <c r="C188" s="30">
        <v>484</v>
      </c>
      <c r="E188" t="s">
        <v>388</v>
      </c>
      <c r="F188" s="30">
        <v>401</v>
      </c>
      <c r="G188" t="b">
        <f>IF(B188=E188,TRUE,FALSE)</f>
        <v>1</v>
      </c>
      <c r="J188">
        <f>F188-C188</f>
        <v>-83</v>
      </c>
      <c r="K188" s="4">
        <f>F188/C188-1</f>
        <v>-0.17148760330578516</v>
      </c>
      <c r="M188" s="5">
        <v>365.34</v>
      </c>
      <c r="N188" s="5">
        <v>371.16</v>
      </c>
      <c r="Q188" s="5">
        <v>1107.25</v>
      </c>
      <c r="U188" s="167">
        <f>N188-M188</f>
        <v>5.82000000000005</v>
      </c>
      <c r="V188" s="4">
        <f>IF(M188=0,0,N188/M188-1)</f>
        <v>1.5930366234192972E-2</v>
      </c>
      <c r="W188">
        <v>0.94046448087431689</v>
      </c>
      <c r="X188">
        <f>N188/F188</f>
        <v>0.92558603491271829</v>
      </c>
      <c r="Y188">
        <f>X188-W188</f>
        <v>-1.4878445961598596E-2</v>
      </c>
      <c r="Z188" s="18">
        <v>9635.85</v>
      </c>
      <c r="AA188" s="18">
        <v>7999.95</v>
      </c>
      <c r="AB188" s="4">
        <f>AA188/Z188-1</f>
        <v>-0.16977225672877849</v>
      </c>
    </row>
    <row r="189" spans="1:28" ht="15" customHeight="1">
      <c r="A189" t="s">
        <v>389</v>
      </c>
      <c r="B189" t="s">
        <v>390</v>
      </c>
      <c r="C189" s="30">
        <v>546</v>
      </c>
      <c r="E189" t="s">
        <v>390</v>
      </c>
      <c r="F189" s="30">
        <v>460</v>
      </c>
      <c r="G189" t="b">
        <f>IF(B189=E189,TRUE,FALSE)</f>
        <v>1</v>
      </c>
      <c r="J189">
        <f>F189-C189</f>
        <v>-86</v>
      </c>
      <c r="K189" s="4">
        <f>F189/C189-1</f>
        <v>-0.1575091575091575</v>
      </c>
      <c r="M189" s="5">
        <v>0</v>
      </c>
      <c r="N189" s="5">
        <v>0</v>
      </c>
      <c r="Q189" s="5">
        <v>0</v>
      </c>
      <c r="U189" s="167">
        <f>N189-M189</f>
        <v>0</v>
      </c>
      <c r="V189" s="4">
        <f>IF(M189=0,0,N189/M189-1)</f>
        <v>0</v>
      </c>
      <c r="W189">
        <v>0</v>
      </c>
      <c r="X189">
        <f>N189/F189</f>
        <v>0</v>
      </c>
      <c r="Y189">
        <f>X189-W189</f>
        <v>0</v>
      </c>
      <c r="Z189" s="18">
        <v>10872.75</v>
      </c>
      <c r="AA189" s="18">
        <v>9177</v>
      </c>
      <c r="AB189" s="4">
        <f>AA189/Z189-1</f>
        <v>-0.15596330275229353</v>
      </c>
    </row>
    <row r="190" spans="1:28" ht="15" customHeight="1">
      <c r="A190" t="s">
        <v>391</v>
      </c>
      <c r="B190" t="s">
        <v>392</v>
      </c>
      <c r="C190" s="30">
        <v>282</v>
      </c>
      <c r="E190" t="s">
        <v>392</v>
      </c>
      <c r="F190" s="30">
        <v>189</v>
      </c>
      <c r="G190" t="b">
        <f>IF(B190=E190,TRUE,FALSE)</f>
        <v>1</v>
      </c>
      <c r="J190">
        <f>F190-C190</f>
        <v>-93</v>
      </c>
      <c r="K190" s="4">
        <f>F190/C190-1</f>
        <v>-0.32978723404255317</v>
      </c>
      <c r="M190" s="5">
        <v>299.69</v>
      </c>
      <c r="N190" s="5">
        <v>341.49</v>
      </c>
      <c r="Q190" s="5">
        <v>1360.75</v>
      </c>
      <c r="U190" s="167">
        <f>N190-M190</f>
        <v>41.800000000000011</v>
      </c>
      <c r="V190" s="4">
        <f>IF(M190=0,0,N190/M190-1)</f>
        <v>0.13947746004204342</v>
      </c>
      <c r="W190">
        <v>2.0579670329670332</v>
      </c>
      <c r="X190">
        <f>N190/F190</f>
        <v>1.8068253968253969</v>
      </c>
      <c r="Y190">
        <f>X190-W190</f>
        <v>-0.25114163614163632</v>
      </c>
      <c r="Z190" s="18">
        <v>8445.9</v>
      </c>
      <c r="AA190" s="18">
        <v>5660.55</v>
      </c>
      <c r="AB190" s="4">
        <f>AA190/Z190-1</f>
        <v>-0.32978723404255317</v>
      </c>
    </row>
    <row r="191" spans="1:28" ht="15" customHeight="1">
      <c r="A191" t="s">
        <v>393</v>
      </c>
      <c r="B191" t="s">
        <v>394</v>
      </c>
      <c r="C191" s="30">
        <v>495</v>
      </c>
      <c r="E191" t="s">
        <v>394</v>
      </c>
      <c r="F191" s="30">
        <v>399</v>
      </c>
      <c r="G191" t="b">
        <f>IF(B191=E191,TRUE,FALSE)</f>
        <v>1</v>
      </c>
      <c r="J191" s="27">
        <f>F191-C191</f>
        <v>-96</v>
      </c>
      <c r="K191" s="4">
        <f>F191/C191-1</f>
        <v>-0.19393939393939397</v>
      </c>
      <c r="M191" s="5">
        <v>1266.27</v>
      </c>
      <c r="N191" s="5">
        <v>1084.67</v>
      </c>
      <c r="Q191" s="5">
        <v>5182.2299999999996</v>
      </c>
      <c r="U191" s="167">
        <f>N191-M191</f>
        <v>-181.59999999999991</v>
      </c>
      <c r="V191" s="4">
        <f>IF(M191=0,0,N191/M191-1)</f>
        <v>-0.14341333206977969</v>
      </c>
      <c r="W191">
        <v>2.1799001996007985</v>
      </c>
      <c r="X191">
        <f>N191/F191</f>
        <v>2.7184711779448625</v>
      </c>
      <c r="Y191">
        <f>X191-W191</f>
        <v>0.53857097834406398</v>
      </c>
      <c r="Z191" s="18">
        <v>10132.89</v>
      </c>
      <c r="AA191" s="18">
        <v>8774.01</v>
      </c>
      <c r="AB191" s="4">
        <f>AA191/Z191-1</f>
        <v>-0.13410586713168693</v>
      </c>
    </row>
    <row r="192" spans="1:28" ht="15" customHeight="1">
      <c r="A192" t="s">
        <v>395</v>
      </c>
      <c r="B192" t="s">
        <v>396</v>
      </c>
      <c r="C192" s="30">
        <v>2036</v>
      </c>
      <c r="E192" t="s">
        <v>396</v>
      </c>
      <c r="F192" s="30">
        <v>1937</v>
      </c>
      <c r="G192" t="b">
        <f>IF(B192=E192,TRUE,FALSE)</f>
        <v>1</v>
      </c>
      <c r="J192">
        <f>F192-C192</f>
        <v>-99</v>
      </c>
      <c r="K192" s="4">
        <f>F192/C192-1</f>
        <v>-4.8624754420432237E-2</v>
      </c>
      <c r="M192" s="5">
        <v>3357.44</v>
      </c>
      <c r="N192" s="5">
        <v>3822.55</v>
      </c>
      <c r="Q192" s="5">
        <v>24725.46</v>
      </c>
      <c r="U192" s="167">
        <f>N192-M192</f>
        <v>465.11000000000013</v>
      </c>
      <c r="V192" s="4">
        <f>IF(M192=0,0,N192/M192-1)</f>
        <v>0.13853114277544809</v>
      </c>
      <c r="W192">
        <v>1.5252087114337569</v>
      </c>
      <c r="X192">
        <f>N192/F192</f>
        <v>1.9734383066597834</v>
      </c>
      <c r="Y192">
        <f>X192-W192</f>
        <v>0.44822959522602646</v>
      </c>
      <c r="Z192" s="18">
        <v>50798.2</v>
      </c>
      <c r="AA192" s="18">
        <v>53132.21</v>
      </c>
      <c r="AB192" s="4">
        <f>AA192/Z192-1</f>
        <v>4.5946706773074775E-2</v>
      </c>
    </row>
    <row r="193" spans="1:28" ht="15" customHeight="1">
      <c r="A193" t="s">
        <v>397</v>
      </c>
      <c r="B193" t="s">
        <v>398</v>
      </c>
      <c r="C193" s="30">
        <v>1725</v>
      </c>
      <c r="E193" t="s">
        <v>398</v>
      </c>
      <c r="F193" s="30">
        <v>1625</v>
      </c>
      <c r="G193" t="b">
        <f>IF(B193=E193,TRUE,FALSE)</f>
        <v>1</v>
      </c>
      <c r="J193">
        <f>F193-C193</f>
        <v>-100</v>
      </c>
      <c r="K193" s="4">
        <f>F193/C193-1</f>
        <v>-5.7971014492753659E-2</v>
      </c>
      <c r="M193" s="5">
        <v>2719.83</v>
      </c>
      <c r="N193" s="5">
        <v>2545.71</v>
      </c>
      <c r="Q193" s="5">
        <v>19867.349999999999</v>
      </c>
      <c r="U193" s="167">
        <f>N193-M193</f>
        <v>-174.11999999999989</v>
      </c>
      <c r="V193" s="4">
        <f>IF(M193=0,0,N193/M193-1)</f>
        <v>-6.4018707051543666E-2</v>
      </c>
      <c r="W193">
        <v>1.3792346208869815</v>
      </c>
      <c r="X193">
        <f>N193/F193</f>
        <v>1.5665907692307692</v>
      </c>
      <c r="Y193">
        <f>X193-W193</f>
        <v>0.18735614834378778</v>
      </c>
      <c r="Z193" s="18">
        <v>46407.9</v>
      </c>
      <c r="AA193" s="18">
        <v>43739.85</v>
      </c>
      <c r="AB193" s="4">
        <f>AA193/Z193-1</f>
        <v>-5.7491289198606355E-2</v>
      </c>
    </row>
    <row r="194" spans="1:28" ht="15" customHeight="1">
      <c r="A194" t="s">
        <v>399</v>
      </c>
      <c r="B194" t="s">
        <v>400</v>
      </c>
      <c r="C194" s="30">
        <v>242</v>
      </c>
      <c r="E194" t="s">
        <v>400</v>
      </c>
      <c r="F194" s="30">
        <v>131</v>
      </c>
      <c r="G194" t="b">
        <f>IF(B194=E194,TRUE,FALSE)</f>
        <v>1</v>
      </c>
      <c r="J194">
        <f>F194-C194</f>
        <v>-111</v>
      </c>
      <c r="K194" s="4">
        <f>F194/C194-1</f>
        <v>-0.45867768595041325</v>
      </c>
      <c r="M194" s="5">
        <v>158.46</v>
      </c>
      <c r="N194" s="5">
        <v>91.13</v>
      </c>
      <c r="Q194" s="5">
        <v>608.73</v>
      </c>
      <c r="U194" s="167">
        <f>N194-M194</f>
        <v>-67.330000000000013</v>
      </c>
      <c r="V194" s="4">
        <f>IF(M194=0,0,N194/M194-1)</f>
        <v>-0.4249021835163449</v>
      </c>
      <c r="W194">
        <v>0.56951111111111108</v>
      </c>
      <c r="X194">
        <f>N194/F194</f>
        <v>0.69564885496183204</v>
      </c>
      <c r="Y194">
        <f>X194-W194</f>
        <v>0.12613774385072096</v>
      </c>
      <c r="Z194" s="18">
        <v>5311.9</v>
      </c>
      <c r="AA194" s="18">
        <v>2875.45</v>
      </c>
      <c r="AB194" s="4">
        <f>AA194/Z194-1</f>
        <v>-0.45867768595041325</v>
      </c>
    </row>
    <row r="195" spans="1:28" ht="15" customHeight="1">
      <c r="A195" s="59" t="s">
        <v>401</v>
      </c>
      <c r="B195" s="39" t="s">
        <v>402</v>
      </c>
      <c r="C195" s="30">
        <v>784</v>
      </c>
      <c r="E195" s="39" t="s">
        <v>402</v>
      </c>
      <c r="F195" s="30">
        <v>668</v>
      </c>
      <c r="G195" t="b">
        <f>IF(B195=E195,TRUE,FALSE)</f>
        <v>1</v>
      </c>
      <c r="J195">
        <f>F195-C195</f>
        <v>-116</v>
      </c>
      <c r="K195" s="4">
        <f>F195/C195-1</f>
        <v>-0.14795918367346939</v>
      </c>
      <c r="M195" s="5">
        <v>1172.0999999999999</v>
      </c>
      <c r="N195" s="5">
        <v>1066.51</v>
      </c>
      <c r="Q195" s="5">
        <v>5617</v>
      </c>
      <c r="U195" s="167">
        <f>N195-M195</f>
        <v>-105.58999999999992</v>
      </c>
      <c r="V195" s="4">
        <f>IF(M195=0,0,N195/M195-1)</f>
        <v>-9.0086170122003151E-2</v>
      </c>
      <c r="W195">
        <v>1.7640217391304347</v>
      </c>
      <c r="X195">
        <f>N195/F195</f>
        <v>1.5965718562874252</v>
      </c>
      <c r="Y195">
        <f>X195-W195</f>
        <v>-0.16744988284300955</v>
      </c>
      <c r="Z195" s="18">
        <v>12108.16</v>
      </c>
      <c r="AA195" s="18">
        <v>10665.33</v>
      </c>
      <c r="AB195" s="4">
        <f>AA195/Z195-1</f>
        <v>-0.1191617884137639</v>
      </c>
    </row>
    <row r="196" spans="1:28" ht="15" customHeight="1">
      <c r="A196" t="s">
        <v>403</v>
      </c>
      <c r="B196" t="s">
        <v>404</v>
      </c>
      <c r="C196" s="30">
        <v>1220</v>
      </c>
      <c r="E196" t="s">
        <v>404</v>
      </c>
      <c r="F196" s="30">
        <v>1102</v>
      </c>
      <c r="G196" t="b">
        <f>IF(B196=E196,TRUE,FALSE)</f>
        <v>1</v>
      </c>
      <c r="J196">
        <f>F196-C196</f>
        <v>-118</v>
      </c>
      <c r="K196" s="4">
        <f>F196/C196-1</f>
        <v>-9.6721311475409855E-2</v>
      </c>
      <c r="M196" s="5">
        <v>3021.04</v>
      </c>
      <c r="N196" s="5">
        <v>2842.03</v>
      </c>
      <c r="Q196" s="5">
        <v>16343.2</v>
      </c>
      <c r="U196" s="167">
        <f>N196-M196</f>
        <v>-179.00999999999976</v>
      </c>
      <c r="V196" s="4">
        <f>IF(M196=0,0,N196/M196-1)</f>
        <v>-5.9254428938378734E-2</v>
      </c>
      <c r="W196">
        <v>2.0765773809523811</v>
      </c>
      <c r="X196">
        <f>N196/F196</f>
        <v>2.578974591651543</v>
      </c>
      <c r="Y196">
        <f>X196-W196</f>
        <v>0.50239721069916188</v>
      </c>
      <c r="Z196" s="18">
        <v>28230.97</v>
      </c>
      <c r="AA196" s="18">
        <v>26024.09</v>
      </c>
      <c r="AB196" s="4">
        <f>AA196/Z196-1</f>
        <v>-7.8172305096140926E-2</v>
      </c>
    </row>
    <row r="197" spans="1:28" ht="15" customHeight="1">
      <c r="A197" t="s">
        <v>405</v>
      </c>
      <c r="B197" t="s">
        <v>406</v>
      </c>
      <c r="C197" s="30">
        <v>2952</v>
      </c>
      <c r="E197" t="s">
        <v>406</v>
      </c>
      <c r="F197" s="30">
        <v>2823</v>
      </c>
      <c r="G197" t="b">
        <f>IF(B197=E197,TRUE,FALSE)</f>
        <v>1</v>
      </c>
      <c r="J197">
        <f>F197-C197</f>
        <v>-129</v>
      </c>
      <c r="K197" s="4">
        <f>F197/C197-1</f>
        <v>-4.3699186991869921E-2</v>
      </c>
      <c r="M197" s="5">
        <v>3218.44</v>
      </c>
      <c r="N197" s="5">
        <v>3165.3</v>
      </c>
      <c r="Q197" s="5">
        <v>24415.02</v>
      </c>
      <c r="U197" s="167">
        <f>N197-M197</f>
        <v>-53.139999999999873</v>
      </c>
      <c r="V197" s="4">
        <f>IF(M197=0,0,N197/M197-1)</f>
        <v>-1.6511104758827222E-2</v>
      </c>
      <c r="W197">
        <v>1.0558849557522125</v>
      </c>
      <c r="X197">
        <f>N197/F197</f>
        <v>1.1212539851222105</v>
      </c>
      <c r="Y197">
        <f>X197-W197</f>
        <v>6.5369029369998E-2</v>
      </c>
      <c r="Z197" s="18">
        <v>88352.5</v>
      </c>
      <c r="AA197" s="18">
        <v>84518.9</v>
      </c>
      <c r="AB197" s="4">
        <f>AA197/Z197-1</f>
        <v>-4.3389830508474669E-2</v>
      </c>
    </row>
    <row r="198" spans="1:28" ht="15" customHeight="1">
      <c r="A198" t="s">
        <v>407</v>
      </c>
      <c r="B198" t="s">
        <v>408</v>
      </c>
      <c r="C198" s="30">
        <v>2180</v>
      </c>
      <c r="E198" t="s">
        <v>408</v>
      </c>
      <c r="F198" s="30">
        <v>2047</v>
      </c>
      <c r="G198" t="b">
        <f>IF(B198=E198,TRUE,FALSE)</f>
        <v>1</v>
      </c>
      <c r="J198">
        <f>F198-C198</f>
        <v>-133</v>
      </c>
      <c r="K198" s="4">
        <f>F198/C198-1</f>
        <v>-6.1009174311926651E-2</v>
      </c>
      <c r="M198" s="5">
        <v>2924.87</v>
      </c>
      <c r="N198" s="5">
        <v>3002.72</v>
      </c>
      <c r="Q198" s="5">
        <v>32755.05</v>
      </c>
      <c r="U198" s="167">
        <f>N198-M198</f>
        <v>77.849999999999909</v>
      </c>
      <c r="V198" s="4">
        <f>IF(M198=0,0,N198/M198-1)</f>
        <v>2.6616567573943373E-2</v>
      </c>
      <c r="W198">
        <v>0.96629500580720096</v>
      </c>
      <c r="X198">
        <f>N198/F198</f>
        <v>1.466888128969223</v>
      </c>
      <c r="Y198">
        <f>X198-W198</f>
        <v>0.50059312316202209</v>
      </c>
      <c r="Z198" s="18">
        <v>57270.2</v>
      </c>
      <c r="AA198" s="18">
        <v>56987.54</v>
      </c>
      <c r="AB198" s="4">
        <f>AA198/Z198-1</f>
        <v>-4.9355511243194261E-3</v>
      </c>
    </row>
    <row r="199" spans="1:28" ht="15" customHeight="1">
      <c r="A199" t="s">
        <v>409</v>
      </c>
      <c r="B199" t="s">
        <v>410</v>
      </c>
      <c r="C199" s="30">
        <v>1212</v>
      </c>
      <c r="E199" t="s">
        <v>410</v>
      </c>
      <c r="F199" s="30">
        <v>1079</v>
      </c>
      <c r="G199" t="b">
        <f>IF(B199=E199,TRUE,FALSE)</f>
        <v>1</v>
      </c>
      <c r="J199">
        <f>F199-C199</f>
        <v>-133</v>
      </c>
      <c r="K199" s="4">
        <f>F199/C199-1</f>
        <v>-0.10973597359735976</v>
      </c>
      <c r="M199" s="5">
        <v>1964.82</v>
      </c>
      <c r="N199" s="5">
        <v>1820.14</v>
      </c>
      <c r="Q199" s="5">
        <v>14486.24</v>
      </c>
      <c r="U199" s="167">
        <f>N199-M199</f>
        <v>-144.67999999999984</v>
      </c>
      <c r="V199" s="4">
        <f>IF(M199=0,0,N199/M199-1)</f>
        <v>-7.3635243940920692E-2</v>
      </c>
      <c r="W199">
        <v>1.725818353831599</v>
      </c>
      <c r="X199">
        <f>N199/F199</f>
        <v>1.6868767377201113</v>
      </c>
      <c r="Y199">
        <f>X199-W199</f>
        <v>-3.894161611148772E-2</v>
      </c>
      <c r="Z199" s="18">
        <v>36299.4</v>
      </c>
      <c r="AA199" s="18">
        <v>32316.05</v>
      </c>
      <c r="AB199" s="4">
        <f>AA199/Z199-1</f>
        <v>-0.10973597359735976</v>
      </c>
    </row>
    <row r="200" spans="1:28" ht="15" customHeight="1">
      <c r="A200" t="s">
        <v>411</v>
      </c>
      <c r="B200" t="s">
        <v>412</v>
      </c>
      <c r="C200" s="30">
        <v>1632</v>
      </c>
      <c r="E200" t="s">
        <v>412</v>
      </c>
      <c r="F200" s="30">
        <v>1488</v>
      </c>
      <c r="G200" t="b">
        <f>IF(B200=E200,TRUE,FALSE)</f>
        <v>1</v>
      </c>
      <c r="J200">
        <f>F200-C200</f>
        <v>-144</v>
      </c>
      <c r="K200" s="4">
        <f>F200/C200-1</f>
        <v>-8.8235294117647078E-2</v>
      </c>
      <c r="M200" s="5">
        <v>1587.38</v>
      </c>
      <c r="N200" s="5">
        <v>1258.69</v>
      </c>
      <c r="Q200" s="5">
        <v>12374.37</v>
      </c>
      <c r="U200" s="167">
        <f>N200-M200</f>
        <v>-328.69000000000005</v>
      </c>
      <c r="V200" s="4">
        <f>IF(M200=0,0,N200/M200-1)</f>
        <v>-0.20706447101513192</v>
      </c>
      <c r="W200">
        <v>0.6823604757548033</v>
      </c>
      <c r="X200">
        <f>N200/F200</f>
        <v>0.84589381720430112</v>
      </c>
      <c r="Y200">
        <f>X200-W200</f>
        <v>0.16353334144949783</v>
      </c>
      <c r="Z200" s="18">
        <v>43982.400000000001</v>
      </c>
      <c r="AA200" s="18">
        <v>44003.839999999997</v>
      </c>
      <c r="AB200" s="4">
        <f>AA200/Z200-1</f>
        <v>4.8746771435825842E-4</v>
      </c>
    </row>
    <row r="201" spans="1:28" ht="15" customHeight="1">
      <c r="A201" t="s">
        <v>413</v>
      </c>
      <c r="B201" t="s">
        <v>414</v>
      </c>
      <c r="C201" s="30">
        <v>2008</v>
      </c>
      <c r="E201" t="s">
        <v>414</v>
      </c>
      <c r="F201" s="30">
        <v>1858</v>
      </c>
      <c r="G201" t="b">
        <f>IF(B201=E201,TRUE,FALSE)</f>
        <v>1</v>
      </c>
      <c r="J201">
        <f>F201-C201</f>
        <v>-150</v>
      </c>
      <c r="K201" s="4">
        <f>F201/C201-1</f>
        <v>-7.4701195219123551E-2</v>
      </c>
      <c r="M201" s="5">
        <v>2697.85</v>
      </c>
      <c r="N201" s="5">
        <v>2426.17</v>
      </c>
      <c r="Q201" s="5">
        <v>15842.58</v>
      </c>
      <c r="U201" s="167">
        <f>N201-M201</f>
        <v>-271.67999999999984</v>
      </c>
      <c r="V201" s="4">
        <f>IF(M201=0,0,N201/M201-1)</f>
        <v>-0.10070241117927237</v>
      </c>
      <c r="W201">
        <v>1.1579018912529551</v>
      </c>
      <c r="X201">
        <f>N201/F201</f>
        <v>1.3057965554359527</v>
      </c>
      <c r="Y201">
        <f>X201-W201</f>
        <v>0.14789466418299768</v>
      </c>
      <c r="Z201" s="18">
        <v>40099.94</v>
      </c>
      <c r="AA201" s="18">
        <v>37141.42</v>
      </c>
      <c r="AB201" s="4">
        <f>AA201/Z201-1</f>
        <v>-7.3778664007976169E-2</v>
      </c>
    </row>
    <row r="202" spans="1:28" ht="15" customHeight="1">
      <c r="A202" t="s">
        <v>415</v>
      </c>
      <c r="B202" t="s">
        <v>416</v>
      </c>
      <c r="C202" s="30">
        <v>867</v>
      </c>
      <c r="E202" t="s">
        <v>416</v>
      </c>
      <c r="F202" s="30">
        <v>704</v>
      </c>
      <c r="G202" t="b">
        <f>IF(B202=E202,TRUE,FALSE)</f>
        <v>1</v>
      </c>
      <c r="J202">
        <f>F202-C202</f>
        <v>-163</v>
      </c>
      <c r="K202" s="4">
        <f>F202/C202-1</f>
        <v>-0.18800461361014997</v>
      </c>
      <c r="M202" s="5">
        <v>1505.91</v>
      </c>
      <c r="N202" s="5">
        <v>1247.75</v>
      </c>
      <c r="Q202" s="5">
        <v>7671.21</v>
      </c>
      <c r="U202" s="167">
        <f>N202-M202</f>
        <v>-258.16000000000008</v>
      </c>
      <c r="V202" s="4">
        <f>IF(M202=0,0,N202/M202-1)</f>
        <v>-0.17143122762980523</v>
      </c>
      <c r="W202">
        <v>2.0503394255874672</v>
      </c>
      <c r="X202">
        <f>N202/F202</f>
        <v>1.7723721590909092</v>
      </c>
      <c r="Y202">
        <f>X202-W202</f>
        <v>-0.27796726649655801</v>
      </c>
      <c r="Z202" s="18">
        <v>12129.33</v>
      </c>
      <c r="AA202" s="18">
        <v>9848.9599999999991</v>
      </c>
      <c r="AB202" s="4">
        <f>AA202/Z202-1</f>
        <v>-0.18800461361014997</v>
      </c>
    </row>
    <row r="203" spans="1:28" ht="15" customHeight="1">
      <c r="A203" t="s">
        <v>417</v>
      </c>
      <c r="B203" t="s">
        <v>418</v>
      </c>
      <c r="C203" s="30">
        <v>851</v>
      </c>
      <c r="E203" t="s">
        <v>418</v>
      </c>
      <c r="F203" s="30">
        <v>685</v>
      </c>
      <c r="G203" t="b">
        <f>IF(B203=E203,TRUE,FALSE)</f>
        <v>1</v>
      </c>
      <c r="J203">
        <f>F203-C203</f>
        <v>-166</v>
      </c>
      <c r="K203" s="4">
        <f>F203/C203-1</f>
        <v>-0.19506462984723849</v>
      </c>
      <c r="M203" s="5">
        <v>717.28</v>
      </c>
      <c r="N203" s="5">
        <v>641.12</v>
      </c>
      <c r="Q203" s="5">
        <v>5118.25</v>
      </c>
      <c r="U203" s="167">
        <f>N203-M203</f>
        <v>-76.159999999999968</v>
      </c>
      <c r="V203" s="4">
        <f>IF(M203=0,0,N203/M203-1)</f>
        <v>-0.10617889805933522</v>
      </c>
      <c r="W203">
        <v>0.8235867446393762</v>
      </c>
      <c r="X203">
        <f>N203/F203</f>
        <v>0.9359416058394161</v>
      </c>
      <c r="Y203">
        <f>X203-W203</f>
        <v>0.1123548612000399</v>
      </c>
      <c r="Z203" s="18">
        <v>22382.16</v>
      </c>
      <c r="AA203" s="18">
        <v>20485.8</v>
      </c>
      <c r="AB203" s="4">
        <f>AA203/Z203-1</f>
        <v>-8.4726407102799772E-2</v>
      </c>
    </row>
    <row r="204" spans="1:28" ht="14.25" customHeight="1">
      <c r="A204" t="s">
        <v>419</v>
      </c>
      <c r="B204" t="s">
        <v>420</v>
      </c>
      <c r="C204" s="30">
        <v>5078</v>
      </c>
      <c r="E204" t="s">
        <v>420</v>
      </c>
      <c r="F204" s="30">
        <v>4901</v>
      </c>
      <c r="G204" t="b">
        <f>IF(B204=E204,TRUE,FALSE)</f>
        <v>1</v>
      </c>
      <c r="J204">
        <f>F204-C204</f>
        <v>-177</v>
      </c>
      <c r="K204" s="4">
        <f>F204/C204-1</f>
        <v>-3.4856242615202815E-2</v>
      </c>
      <c r="M204" s="5">
        <v>9735.2999999999993</v>
      </c>
      <c r="N204" s="5">
        <v>9133.83</v>
      </c>
      <c r="Q204" s="5">
        <v>44594.55</v>
      </c>
      <c r="U204" s="167">
        <f>N204-M204</f>
        <v>-601.46999999999935</v>
      </c>
      <c r="V204" s="4">
        <f>IF(M204=0,0,N204/M204-1)</f>
        <v>-6.1782379587685954E-2</v>
      </c>
      <c r="W204">
        <v>1.9341883345045676</v>
      </c>
      <c r="X204">
        <f>N204/F204</f>
        <v>1.8636665986533361</v>
      </c>
      <c r="Y204">
        <f>X204-W204</f>
        <v>-7.052173585123156E-2</v>
      </c>
      <c r="Z204" s="18">
        <v>132380.38</v>
      </c>
      <c r="AA204" s="18">
        <v>131914.65</v>
      </c>
      <c r="AB204" s="4">
        <f>AA204/Z204-1</f>
        <v>-3.5181195279845312E-3</v>
      </c>
    </row>
    <row r="205" spans="1:28" ht="15" customHeight="1">
      <c r="A205" t="s">
        <v>421</v>
      </c>
      <c r="B205" t="s">
        <v>422</v>
      </c>
      <c r="C205" s="30">
        <v>2174</v>
      </c>
      <c r="E205" t="s">
        <v>422</v>
      </c>
      <c r="F205" s="30">
        <v>1992</v>
      </c>
      <c r="G205" t="b">
        <f>IF(B205=E205,TRUE,FALSE)</f>
        <v>1</v>
      </c>
      <c r="J205">
        <f>F205-C205</f>
        <v>-182</v>
      </c>
      <c r="K205" s="4">
        <f>F205/C205-1</f>
        <v>-8.3716651333946679E-2</v>
      </c>
      <c r="M205" s="5">
        <v>2713.17</v>
      </c>
      <c r="N205" s="5">
        <v>2894.27</v>
      </c>
      <c r="Q205" s="5">
        <v>15983.43</v>
      </c>
      <c r="U205" s="167">
        <f>N205-M205</f>
        <v>181.09999999999991</v>
      </c>
      <c r="V205" s="4">
        <f>IF(M205=0,0,N205/M205-1)</f>
        <v>6.6748489773954311E-2</v>
      </c>
      <c r="W205">
        <v>1.0217350332594235</v>
      </c>
      <c r="X205">
        <f>N205/F205</f>
        <v>1.4529467871485944</v>
      </c>
      <c r="Y205">
        <f>X205-W205</f>
        <v>0.43121175388917088</v>
      </c>
      <c r="Z205" s="18">
        <v>65111.3</v>
      </c>
      <c r="AA205" s="18">
        <v>59585.450000000004</v>
      </c>
      <c r="AB205" s="4">
        <f>AA205/Z205-1</f>
        <v>-8.4867757209578065E-2</v>
      </c>
    </row>
    <row r="206" spans="1:28" ht="15" customHeight="1">
      <c r="A206" t="s">
        <v>423</v>
      </c>
      <c r="B206" t="s">
        <v>424</v>
      </c>
      <c r="C206" s="30">
        <v>1862</v>
      </c>
      <c r="E206" t="s">
        <v>424</v>
      </c>
      <c r="F206" s="30">
        <v>1664</v>
      </c>
      <c r="G206" t="b">
        <f>IF(B206=E206,TRUE,FALSE)</f>
        <v>1</v>
      </c>
      <c r="J206">
        <f>F206-C206</f>
        <v>-198</v>
      </c>
      <c r="K206" s="4">
        <f>F206/C206-1</f>
        <v>-0.10633727175080554</v>
      </c>
      <c r="M206" s="5">
        <v>3918.54</v>
      </c>
      <c r="N206" s="5">
        <v>1764.37</v>
      </c>
      <c r="Q206" s="5">
        <v>17104.5</v>
      </c>
      <c r="U206" s="167">
        <f>N206-M206</f>
        <v>-2154.17</v>
      </c>
      <c r="V206" s="4">
        <f>IF(M206=0,0,N206/M206-1)</f>
        <v>-0.54973791258989313</v>
      </c>
      <c r="W206">
        <v>1.0281860737273261</v>
      </c>
      <c r="X206">
        <f>N206/F206</f>
        <v>1.0603185096153847</v>
      </c>
      <c r="Y206">
        <f>X206-W206</f>
        <v>3.2132435888058586E-2</v>
      </c>
      <c r="Z206" s="18">
        <v>63255.39</v>
      </c>
      <c r="AA206" s="18">
        <v>59619.360000000001</v>
      </c>
      <c r="AB206" s="4">
        <f>AA206/Z206-1</f>
        <v>-5.7481741872115522E-2</v>
      </c>
    </row>
    <row r="207" spans="1:28" ht="15" customHeight="1">
      <c r="A207" t="s">
        <v>425</v>
      </c>
      <c r="B207" t="s">
        <v>426</v>
      </c>
      <c r="C207" s="30">
        <v>2572</v>
      </c>
      <c r="E207" t="s">
        <v>426</v>
      </c>
      <c r="F207" s="30">
        <v>2369</v>
      </c>
      <c r="G207" t="b">
        <f>IF(B207=E207,TRUE,FALSE)</f>
        <v>1</v>
      </c>
      <c r="J207">
        <f>F207-C207</f>
        <v>-203</v>
      </c>
      <c r="K207" s="4">
        <f>F207/C207-1</f>
        <v>-7.8926905132192804E-2</v>
      </c>
      <c r="M207" s="5">
        <v>4463.3500000000004</v>
      </c>
      <c r="N207" s="5">
        <v>4283</v>
      </c>
      <c r="Q207" s="5">
        <v>28155.17</v>
      </c>
      <c r="U207" s="167">
        <f>N207-M207</f>
        <v>-180.35000000000036</v>
      </c>
      <c r="V207" s="4">
        <f>IF(M207=0,0,N207/M207-1)</f>
        <v>-4.0406869279801083E-2</v>
      </c>
      <c r="W207">
        <v>1.4721448162369719</v>
      </c>
      <c r="X207">
        <f>N207/F207</f>
        <v>1.8079358379062895</v>
      </c>
      <c r="Y207">
        <f>X207-W207</f>
        <v>0.33579102166931762</v>
      </c>
      <c r="Z207" s="18">
        <v>74376.179999999993</v>
      </c>
      <c r="AA207" s="18">
        <v>68454.8</v>
      </c>
      <c r="AB207" s="4">
        <f>AA207/Z207-1</f>
        <v>-7.9613930158822233E-2</v>
      </c>
    </row>
    <row r="208" spans="1:28" ht="15" customHeight="1">
      <c r="A208" t="s">
        <v>427</v>
      </c>
      <c r="B208" t="s">
        <v>428</v>
      </c>
      <c r="C208" s="30">
        <v>3379</v>
      </c>
      <c r="E208" t="s">
        <v>428</v>
      </c>
      <c r="F208" s="30">
        <v>3162</v>
      </c>
      <c r="G208" t="b">
        <f>IF(B208=E208,TRUE,FALSE)</f>
        <v>1</v>
      </c>
      <c r="J208">
        <f>F208-C208</f>
        <v>-217</v>
      </c>
      <c r="K208" s="4">
        <f>F208/C208-1</f>
        <v>-6.422018348623848E-2</v>
      </c>
      <c r="M208" s="5">
        <v>3715.39</v>
      </c>
      <c r="N208" s="5">
        <v>3743.79</v>
      </c>
      <c r="Q208" s="5">
        <v>22939.54</v>
      </c>
      <c r="U208" s="167">
        <f>N208-M208</f>
        <v>28.400000000000091</v>
      </c>
      <c r="V208" s="4">
        <f>IF(M208=0,0,N208/M208-1)</f>
        <v>7.6438812614556539E-3</v>
      </c>
      <c r="W208">
        <v>1.0715108481262328</v>
      </c>
      <c r="X208">
        <f>N208/F208</f>
        <v>1.1839943074003796</v>
      </c>
      <c r="Y208">
        <f>X208-W208</f>
        <v>0.11248345927414682</v>
      </c>
      <c r="Z208" s="18">
        <v>97793.1</v>
      </c>
      <c r="AA208" s="18">
        <v>91539.9</v>
      </c>
      <c r="AB208" s="4">
        <f>AA208/Z208-1</f>
        <v>-6.3943161634103185E-2</v>
      </c>
    </row>
    <row r="209" spans="1:28" ht="15" customHeight="1">
      <c r="A209" t="s">
        <v>429</v>
      </c>
      <c r="B209" t="s">
        <v>430</v>
      </c>
      <c r="C209" s="30">
        <v>1200</v>
      </c>
      <c r="E209" t="s">
        <v>430</v>
      </c>
      <c r="F209" s="30">
        <v>978</v>
      </c>
      <c r="G209" t="b">
        <f>IF(B209=E209,TRUE,FALSE)</f>
        <v>1</v>
      </c>
      <c r="J209">
        <f>F209-C209</f>
        <v>-222</v>
      </c>
      <c r="K209" s="4">
        <f>F209/C209-1</f>
        <v>-0.18500000000000005</v>
      </c>
      <c r="M209" s="5">
        <v>678.05</v>
      </c>
      <c r="N209" s="5">
        <v>871.95</v>
      </c>
      <c r="Q209" s="5">
        <v>5688.37</v>
      </c>
      <c r="U209" s="167">
        <f>N209-M209</f>
        <v>193.90000000000009</v>
      </c>
      <c r="V209" s="4">
        <f>IF(M209=0,0,N209/M209-1)</f>
        <v>0.28596711156994337</v>
      </c>
      <c r="W209">
        <v>0.68368073878627966</v>
      </c>
      <c r="X209">
        <f>N209/F209</f>
        <v>0.89156441717791413</v>
      </c>
      <c r="Y209">
        <f>X209-W209</f>
        <v>0.20788367839163446</v>
      </c>
      <c r="Z209" s="18">
        <v>35940</v>
      </c>
      <c r="AA209" s="18">
        <v>29291.1</v>
      </c>
      <c r="AB209" s="4">
        <f>AA209/Z209-1</f>
        <v>-0.18500000000000005</v>
      </c>
    </row>
    <row r="210" spans="1:28" ht="15" customHeight="1">
      <c r="A210" t="s">
        <v>431</v>
      </c>
      <c r="B210" t="s">
        <v>432</v>
      </c>
      <c r="C210" s="30">
        <v>2103</v>
      </c>
      <c r="E210" t="s">
        <v>432</v>
      </c>
      <c r="F210" s="30">
        <v>1863</v>
      </c>
      <c r="G210" t="b">
        <f>IF(B210=E210,TRUE,FALSE)</f>
        <v>1</v>
      </c>
      <c r="J210">
        <f>F210-C210</f>
        <v>-240</v>
      </c>
      <c r="K210" s="4">
        <f>F210/C210-1</f>
        <v>-0.11412268188302421</v>
      </c>
      <c r="M210" s="5">
        <v>2532.59</v>
      </c>
      <c r="N210" s="5">
        <v>2162.81</v>
      </c>
      <c r="Q210" s="5">
        <v>16753.62</v>
      </c>
      <c r="U210" s="167">
        <f>N210-M210</f>
        <v>-369.7800000000002</v>
      </c>
      <c r="V210" s="4">
        <f>IF(M210=0,0,N210/M210-1)</f>
        <v>-0.14600863148002641</v>
      </c>
      <c r="W210">
        <v>1.0839021074099253</v>
      </c>
      <c r="X210">
        <f>N210/F210</f>
        <v>1.1609286097691895</v>
      </c>
      <c r="Y210">
        <f>X210-W210</f>
        <v>7.7026502359264226E-2</v>
      </c>
      <c r="Z210" s="18">
        <v>62835.1</v>
      </c>
      <c r="AA210" s="18">
        <v>55796.85</v>
      </c>
      <c r="AB210" s="4">
        <f>AA210/Z210-1</f>
        <v>-0.11201143946615821</v>
      </c>
    </row>
    <row r="211" spans="1:28" ht="15" customHeight="1">
      <c r="A211" t="s">
        <v>433</v>
      </c>
      <c r="B211" t="s">
        <v>434</v>
      </c>
      <c r="C211" s="30">
        <v>3351</v>
      </c>
      <c r="E211" t="s">
        <v>434</v>
      </c>
      <c r="F211" s="30">
        <v>3090</v>
      </c>
      <c r="G211" t="b">
        <f>IF(B211=E211,TRUE,FALSE)</f>
        <v>1</v>
      </c>
      <c r="J211">
        <f>F211-C211</f>
        <v>-261</v>
      </c>
      <c r="K211" s="4">
        <f>F211/C211-1</f>
        <v>-7.7887197851387646E-2</v>
      </c>
      <c r="M211" s="5">
        <v>5004.8599999999997</v>
      </c>
      <c r="N211" s="5">
        <v>3298.37</v>
      </c>
      <c r="Q211" s="5">
        <v>25565.11</v>
      </c>
      <c r="U211" s="167">
        <f>N211-M211</f>
        <v>-1706.4899999999998</v>
      </c>
      <c r="V211" s="4">
        <f>IF(M211=0,0,N211/M211-1)</f>
        <v>-0.34096658048376971</v>
      </c>
      <c r="W211">
        <v>1.0037092651757189</v>
      </c>
      <c r="X211">
        <f>N211/F211</f>
        <v>1.0674336569579288</v>
      </c>
      <c r="Y211">
        <f>X211-W211</f>
        <v>6.3724391782209899E-2</v>
      </c>
      <c r="Z211" s="18">
        <v>129919.83</v>
      </c>
      <c r="AA211" s="18">
        <v>119959.14</v>
      </c>
      <c r="AB211" s="4">
        <f>AA211/Z211-1</f>
        <v>-7.6667972856799493E-2</v>
      </c>
    </row>
    <row r="212" spans="1:28" ht="15" customHeight="1">
      <c r="A212" t="s">
        <v>435</v>
      </c>
      <c r="B212" t="s">
        <v>436</v>
      </c>
      <c r="C212" s="30">
        <v>1407</v>
      </c>
      <c r="E212" t="s">
        <v>436</v>
      </c>
      <c r="F212" s="30">
        <v>1145</v>
      </c>
      <c r="G212" t="b">
        <f>IF(B212=E212,TRUE,FALSE)</f>
        <v>1</v>
      </c>
      <c r="J212" s="27">
        <f>F212-C212</f>
        <v>-262</v>
      </c>
      <c r="K212" s="4">
        <f>F212/C212-1</f>
        <v>-0.18621179815209665</v>
      </c>
      <c r="M212" s="5">
        <v>3544.32</v>
      </c>
      <c r="N212" s="5">
        <v>1234.98</v>
      </c>
      <c r="Q212" s="5">
        <v>9266.9500000000007</v>
      </c>
      <c r="U212" s="167">
        <f>N212-M212</f>
        <v>-2309.34</v>
      </c>
      <c r="V212" s="4">
        <f>IF(M212=0,0,N212/M212-1)</f>
        <v>-0.65156080715059583</v>
      </c>
      <c r="W212">
        <v>1.6281103835360151</v>
      </c>
      <c r="X212">
        <f>N212/F212</f>
        <v>1.078585152838428</v>
      </c>
      <c r="Y212">
        <f>X212-W212</f>
        <v>-0.54952523069758707</v>
      </c>
      <c r="Z212" s="18">
        <v>33107.74</v>
      </c>
      <c r="AA212" s="18">
        <v>27551.77</v>
      </c>
      <c r="AB212" s="4">
        <f>AA212/Z212-1</f>
        <v>-0.16781483725557822</v>
      </c>
    </row>
    <row r="213" spans="1:28" ht="15" customHeight="1">
      <c r="A213" t="s">
        <v>437</v>
      </c>
      <c r="B213" t="s">
        <v>438</v>
      </c>
      <c r="C213" s="30">
        <v>2036</v>
      </c>
      <c r="E213" t="s">
        <v>438</v>
      </c>
      <c r="F213" s="30">
        <v>1753</v>
      </c>
      <c r="G213" t="b">
        <f>IF(B213=E213,TRUE,FALSE)</f>
        <v>1</v>
      </c>
      <c r="J213">
        <f>F213-C213</f>
        <v>-283</v>
      </c>
      <c r="K213" s="4">
        <f>F213/C213-1</f>
        <v>-0.13899803536345778</v>
      </c>
      <c r="M213" s="5">
        <v>2251.8000000000002</v>
      </c>
      <c r="N213" s="5">
        <v>1596.89</v>
      </c>
      <c r="Q213" s="5">
        <v>13236.16</v>
      </c>
      <c r="U213" s="167">
        <f>N213-M213</f>
        <v>-654.91000000000008</v>
      </c>
      <c r="V213" s="4">
        <f>IF(M213=0,0,N213/M213-1)</f>
        <v>-0.29083844035882411</v>
      </c>
      <c r="W213">
        <v>0.83546806167400878</v>
      </c>
      <c r="X213">
        <f>N213/F213</f>
        <v>0.91094694808899035</v>
      </c>
      <c r="Y213">
        <f>X213-W213</f>
        <v>7.5478886414981572E-2</v>
      </c>
      <c r="Z213" s="18">
        <v>60948.25</v>
      </c>
      <c r="AA213" s="18">
        <v>52442.45</v>
      </c>
      <c r="AB213" s="4">
        <f>AA213/Z213-1</f>
        <v>-0.13955773955773965</v>
      </c>
    </row>
    <row r="214" spans="1:28" ht="15" customHeight="1">
      <c r="A214" t="s">
        <v>439</v>
      </c>
      <c r="B214" t="s">
        <v>440</v>
      </c>
      <c r="C214" s="30">
        <v>3964</v>
      </c>
      <c r="E214" t="s">
        <v>440</v>
      </c>
      <c r="F214" s="30">
        <v>3661</v>
      </c>
      <c r="G214" t="b">
        <f>IF(B214=E214,TRUE,FALSE)</f>
        <v>1</v>
      </c>
      <c r="J214">
        <f>F214-C214</f>
        <v>-303</v>
      </c>
      <c r="K214" s="4">
        <f>F214/C214-1</f>
        <v>-7.643794147325933E-2</v>
      </c>
      <c r="M214" s="5">
        <v>8474.01</v>
      </c>
      <c r="N214" s="5">
        <v>7728.05</v>
      </c>
      <c r="Q214" s="5">
        <v>43712.14</v>
      </c>
      <c r="U214" s="167">
        <f>N214-M214</f>
        <v>-745.96</v>
      </c>
      <c r="V214" s="4">
        <f>IF(M214=0,0,N214/M214-1)</f>
        <v>-8.8029162108612113E-2</v>
      </c>
      <c r="W214">
        <v>1.7901531589023612</v>
      </c>
      <c r="X214">
        <f>N214/F214</f>
        <v>2.1109123190385142</v>
      </c>
      <c r="Y214">
        <f>X214-W214</f>
        <v>0.32075916013615302</v>
      </c>
      <c r="Z214" s="18">
        <v>134388.59</v>
      </c>
      <c r="AA214" s="18">
        <v>127803.24</v>
      </c>
      <c r="AB214" s="4">
        <f>AA214/Z214-1</f>
        <v>-4.9002299972043639E-2</v>
      </c>
    </row>
    <row r="215" spans="1:28" ht="15" customHeight="1">
      <c r="A215" t="s">
        <v>441</v>
      </c>
      <c r="B215" t="s">
        <v>442</v>
      </c>
      <c r="C215" s="30">
        <v>1697</v>
      </c>
      <c r="E215" t="s">
        <v>442</v>
      </c>
      <c r="F215" s="30">
        <v>1390</v>
      </c>
      <c r="G215" t="b">
        <f>IF(B215=E215,TRUE,FALSE)</f>
        <v>1</v>
      </c>
      <c r="J215">
        <f>F215-C215</f>
        <v>-307</v>
      </c>
      <c r="K215" s="4">
        <f>F215/C215-1</f>
        <v>-0.18090748379493227</v>
      </c>
      <c r="M215" s="5">
        <v>1777.7</v>
      </c>
      <c r="N215" s="5">
        <v>1789.01</v>
      </c>
      <c r="Q215" s="5">
        <v>14375.33</v>
      </c>
      <c r="U215" s="167">
        <f>N215-M215</f>
        <v>11.309999999999945</v>
      </c>
      <c r="V215" s="4">
        <f>IF(M215=0,0,N215/M215-1)</f>
        <v>6.3621533442088651E-3</v>
      </c>
      <c r="W215">
        <v>1.1766964285714285</v>
      </c>
      <c r="X215">
        <f>N215/F215</f>
        <v>1.2870575539568345</v>
      </c>
      <c r="Y215">
        <f>X215-W215</f>
        <v>0.11036112538540599</v>
      </c>
      <c r="Z215" s="18">
        <v>49128.15</v>
      </c>
      <c r="AA215" s="18">
        <v>40240.5</v>
      </c>
      <c r="AB215" s="4">
        <f>AA215/Z215-1</f>
        <v>-0.18090748379493227</v>
      </c>
    </row>
    <row r="216" spans="1:28" ht="15" customHeight="1">
      <c r="A216" t="s">
        <v>443</v>
      </c>
      <c r="B216" t="s">
        <v>444</v>
      </c>
      <c r="C216" s="30">
        <v>5007</v>
      </c>
      <c r="E216" t="s">
        <v>444</v>
      </c>
      <c r="F216" s="30">
        <v>4667</v>
      </c>
      <c r="G216" t="b">
        <f>IF(B216=E216,TRUE,FALSE)</f>
        <v>1</v>
      </c>
      <c r="J216">
        <f>F216-C216</f>
        <v>-340</v>
      </c>
      <c r="K216" s="4">
        <f>F216/C216-1</f>
        <v>-6.7904933093668851E-2</v>
      </c>
      <c r="M216" s="5">
        <v>10215.879999999999</v>
      </c>
      <c r="N216" s="5">
        <v>10317.379999999999</v>
      </c>
      <c r="Q216" s="5">
        <v>83184.09</v>
      </c>
      <c r="U216" s="167">
        <f>N216-M216</f>
        <v>101.5</v>
      </c>
      <c r="V216" s="4">
        <f>IF(M216=0,0,N216/M216-1)</f>
        <v>9.9355121634161492E-3</v>
      </c>
      <c r="W216">
        <v>1.5808240587260241</v>
      </c>
      <c r="X216">
        <f>N216/F216</f>
        <v>2.2107092350546389</v>
      </c>
      <c r="Y216">
        <f>X216-W216</f>
        <v>0.62988517632861485</v>
      </c>
      <c r="Z216" s="18">
        <v>130287.7</v>
      </c>
      <c r="AA216" s="18">
        <v>135889.41999999998</v>
      </c>
      <c r="AB216" s="4">
        <f>AA216/Z216-1</f>
        <v>4.2995002598096299E-2</v>
      </c>
    </row>
    <row r="217" spans="1:28" ht="15" customHeight="1">
      <c r="A217" t="s">
        <v>445</v>
      </c>
      <c r="B217" t="s">
        <v>446</v>
      </c>
      <c r="C217" s="30">
        <v>3622</v>
      </c>
      <c r="E217" t="s">
        <v>446</v>
      </c>
      <c r="F217" s="30">
        <v>3262</v>
      </c>
      <c r="G217" t="b">
        <f>IF(B217=E217,TRUE,FALSE)</f>
        <v>1</v>
      </c>
      <c r="J217">
        <f>F217-C217</f>
        <v>-360</v>
      </c>
      <c r="K217" s="4">
        <f>F217/C217-1</f>
        <v>-9.9392600773053563E-2</v>
      </c>
      <c r="M217" s="5">
        <v>5548.83</v>
      </c>
      <c r="N217" s="5">
        <v>5310.92</v>
      </c>
      <c r="Q217" s="5">
        <v>39637.449999999997</v>
      </c>
      <c r="U217" s="167">
        <f>N217-M217</f>
        <v>-237.90999999999985</v>
      </c>
      <c r="V217" s="4">
        <f>IF(M217=0,0,N217/M217-1)</f>
        <v>-4.2875705328871083E-2</v>
      </c>
      <c r="W217">
        <v>1.4591492378589153</v>
      </c>
      <c r="X217">
        <f>N217/F217</f>
        <v>1.6281177191906806</v>
      </c>
      <c r="Y217">
        <f>X217-W217</f>
        <v>0.16896848133176534</v>
      </c>
      <c r="Z217" s="18">
        <v>86891.78</v>
      </c>
      <c r="AA217" s="18">
        <v>78255.38</v>
      </c>
      <c r="AB217" s="4">
        <f>AA217/Z217-1</f>
        <v>-9.9392600773053452E-2</v>
      </c>
    </row>
    <row r="218" spans="1:28" ht="15" customHeight="1">
      <c r="A218" t="s">
        <v>447</v>
      </c>
      <c r="B218" t="s">
        <v>448</v>
      </c>
      <c r="C218" s="30">
        <v>2210</v>
      </c>
      <c r="E218" t="s">
        <v>448</v>
      </c>
      <c r="F218" s="30">
        <v>1829</v>
      </c>
      <c r="G218" t="b">
        <f>IF(B218=E218,TRUE,FALSE)</f>
        <v>1</v>
      </c>
      <c r="J218">
        <f>F218-C218</f>
        <v>-381</v>
      </c>
      <c r="K218" s="4">
        <f>F218/C218-1</f>
        <v>-0.17239819004524892</v>
      </c>
      <c r="M218" s="5">
        <v>4575.7299999999996</v>
      </c>
      <c r="N218" s="5">
        <v>4095.28</v>
      </c>
      <c r="Q218" s="5">
        <v>24567.13</v>
      </c>
      <c r="U218" s="167">
        <f>N218-M218</f>
        <v>-480.44999999999936</v>
      </c>
      <c r="V218" s="4">
        <f>IF(M218=0,0,N218/M218-1)</f>
        <v>-0.10499963940180024</v>
      </c>
      <c r="W218">
        <v>2.0487123287671234</v>
      </c>
      <c r="X218">
        <f>N218/F218</f>
        <v>2.2390814652815747</v>
      </c>
      <c r="Y218">
        <f>X218-W218</f>
        <v>0.19036913651445131</v>
      </c>
      <c r="Z218" s="18">
        <v>61857.9</v>
      </c>
      <c r="AA218" s="18">
        <v>51193.71</v>
      </c>
      <c r="AB218" s="4">
        <f>AA218/Z218-1</f>
        <v>-0.17239819004524892</v>
      </c>
    </row>
    <row r="219" spans="1:28" ht="15" customHeight="1">
      <c r="A219" t="s">
        <v>449</v>
      </c>
      <c r="B219" t="s">
        <v>450</v>
      </c>
      <c r="C219" s="30">
        <v>1752</v>
      </c>
      <c r="E219" t="s">
        <v>450</v>
      </c>
      <c r="F219" s="30">
        <v>1327</v>
      </c>
      <c r="G219" t="b">
        <f>IF(B219=E219,TRUE,FALSE)</f>
        <v>1</v>
      </c>
      <c r="J219">
        <f>F219-C219</f>
        <v>-425</v>
      </c>
      <c r="K219" s="4">
        <f>F219/C219-1</f>
        <v>-0.24257990867579904</v>
      </c>
      <c r="M219" s="5">
        <v>2487.14</v>
      </c>
      <c r="N219" s="5">
        <v>3076.45</v>
      </c>
      <c r="Q219" s="5">
        <v>11288.14</v>
      </c>
      <c r="U219" s="167">
        <f>N219-M219</f>
        <v>589.30999999999995</v>
      </c>
      <c r="V219" s="4">
        <f>IF(M219=0,0,N219/M219-1)</f>
        <v>0.23694283393777593</v>
      </c>
      <c r="W219">
        <v>1.0006238361266295</v>
      </c>
      <c r="X219">
        <f>N219/F219</f>
        <v>2.3183496608892238</v>
      </c>
      <c r="Y219">
        <f>X219-W219</f>
        <v>1.3177258247625943</v>
      </c>
      <c r="Z219" s="18">
        <v>36702.199999999997</v>
      </c>
      <c r="AA219" s="18">
        <v>30321.16</v>
      </c>
      <c r="AB219" s="4">
        <f>AA219/Z219-1</f>
        <v>-0.17385987760951649</v>
      </c>
    </row>
    <row r="220" spans="1:28" ht="15" customHeight="1">
      <c r="A220" t="s">
        <v>451</v>
      </c>
      <c r="B220" t="s">
        <v>452</v>
      </c>
      <c r="C220" s="30">
        <v>1815</v>
      </c>
      <c r="E220" t="s">
        <v>452</v>
      </c>
      <c r="F220" s="30">
        <v>1376</v>
      </c>
      <c r="G220" t="b">
        <f>IF(B220=E220,TRUE,FALSE)</f>
        <v>1</v>
      </c>
      <c r="J220">
        <f>F220-C220</f>
        <v>-439</v>
      </c>
      <c r="K220" s="4">
        <f>F220/C220-1</f>
        <v>-0.24187327823691462</v>
      </c>
      <c r="M220" s="5">
        <v>2911.24</v>
      </c>
      <c r="N220" s="5">
        <v>2237.9499999999998</v>
      </c>
      <c r="Q220" s="5">
        <v>18695.22</v>
      </c>
      <c r="U220" s="167">
        <f>N220-M220</f>
        <v>-673.29</v>
      </c>
      <c r="V220" s="4">
        <f>IF(M220=0,0,N220/M220-1)</f>
        <v>-0.23127258487792146</v>
      </c>
      <c r="W220">
        <v>1.45046875</v>
      </c>
      <c r="X220">
        <f>N220/F220</f>
        <v>1.6264171511627905</v>
      </c>
      <c r="Y220">
        <f>X220-W220</f>
        <v>0.17594840116279054</v>
      </c>
      <c r="Z220" s="18">
        <v>51626.85</v>
      </c>
      <c r="AA220" s="18">
        <v>41236.25</v>
      </c>
      <c r="AB220" s="4">
        <f>AA220/Z220-1</f>
        <v>-0.20126348983135711</v>
      </c>
    </row>
    <row r="221" spans="1:28" ht="15" customHeight="1">
      <c r="A221" t="s">
        <v>453</v>
      </c>
      <c r="B221" t="s">
        <v>454</v>
      </c>
      <c r="C221" s="30">
        <v>5238</v>
      </c>
      <c r="E221" t="s">
        <v>454</v>
      </c>
      <c r="F221" s="30">
        <v>4708</v>
      </c>
      <c r="G221" t="b">
        <f>IF(B221=E221,TRUE,FALSE)</f>
        <v>1</v>
      </c>
      <c r="J221">
        <f>F221-C221</f>
        <v>-530</v>
      </c>
      <c r="K221" s="4">
        <f>F221/C221-1</f>
        <v>-0.10118365788468886</v>
      </c>
      <c r="M221" s="5">
        <v>9161.64</v>
      </c>
      <c r="N221" s="5">
        <v>8799.1</v>
      </c>
      <c r="Q221" s="5">
        <v>56903.48</v>
      </c>
      <c r="U221" s="167">
        <f>N221-M221</f>
        <v>-362.53999999999905</v>
      </c>
      <c r="V221" s="4">
        <f>IF(M221=0,0,N221/M221-1)</f>
        <v>-3.9571517763195119E-2</v>
      </c>
      <c r="W221">
        <v>1.7365152941176469</v>
      </c>
      <c r="X221">
        <f>N221/F221</f>
        <v>1.8689677145284622</v>
      </c>
      <c r="Y221">
        <f>X221-W221</f>
        <v>0.13245242041081529</v>
      </c>
      <c r="Z221" s="18">
        <v>151597.71</v>
      </c>
      <c r="AA221" s="18">
        <v>136124.92000000001</v>
      </c>
      <c r="AB221" s="4">
        <f>AA221/Z221-1</f>
        <v>-0.10206480031921317</v>
      </c>
    </row>
    <row r="222" spans="1:28" ht="15" customHeight="1">
      <c r="A222" t="s">
        <v>455</v>
      </c>
      <c r="B222" t="s">
        <v>456</v>
      </c>
      <c r="C222" s="30">
        <v>1568</v>
      </c>
      <c r="E222" t="s">
        <v>456</v>
      </c>
      <c r="F222" s="30">
        <v>1031</v>
      </c>
      <c r="G222" t="b">
        <f>IF(B222=E222,TRUE,FALSE)</f>
        <v>1</v>
      </c>
      <c r="J222">
        <f>F222-C222</f>
        <v>-537</v>
      </c>
      <c r="K222" s="4">
        <f>F222/C222-1</f>
        <v>-0.34247448979591832</v>
      </c>
      <c r="M222" s="5">
        <v>3647.54</v>
      </c>
      <c r="N222" s="5">
        <v>2527.0700000000002</v>
      </c>
      <c r="Q222" s="5">
        <v>11397.05</v>
      </c>
      <c r="U222" s="167">
        <f>N222-M222</f>
        <v>-1120.4699999999998</v>
      </c>
      <c r="V222" s="4">
        <f>IF(M222=0,0,N222/M222-1)</f>
        <v>-0.30718511654430103</v>
      </c>
      <c r="W222">
        <v>1.9286386639676112</v>
      </c>
      <c r="X222">
        <f>N222/F222</f>
        <v>2.4510863239573233</v>
      </c>
      <c r="Y222">
        <f>X222-W222</f>
        <v>0.5224476599897121</v>
      </c>
      <c r="Z222" s="18">
        <v>39182.28</v>
      </c>
      <c r="AA222" s="18">
        <v>25714.71</v>
      </c>
      <c r="AB222" s="4">
        <f>AA222/Z222-1</f>
        <v>-0.34371583276930284</v>
      </c>
    </row>
    <row r="223" spans="1:28" ht="15" customHeight="1">
      <c r="A223" t="s">
        <v>457</v>
      </c>
      <c r="B223" t="s">
        <v>458</v>
      </c>
      <c r="C223" s="30">
        <v>4828</v>
      </c>
      <c r="E223" t="s">
        <v>458</v>
      </c>
      <c r="F223" s="30">
        <v>4242</v>
      </c>
      <c r="G223" t="b">
        <f>IF(B223=E223,TRUE,FALSE)</f>
        <v>1</v>
      </c>
      <c r="J223">
        <f>F223-C223</f>
        <v>-586</v>
      </c>
      <c r="K223" s="4">
        <f>F223/C223-1</f>
        <v>-0.12137531068765539</v>
      </c>
      <c r="M223" s="5">
        <v>7820.98</v>
      </c>
      <c r="N223" s="5">
        <v>7415.45</v>
      </c>
      <c r="Q223" s="5">
        <v>60061.05</v>
      </c>
      <c r="U223" s="167">
        <f>N223-M223</f>
        <v>-405.52999999999975</v>
      </c>
      <c r="V223" s="4">
        <f>IF(M223=0,0,N223/M223-1)</f>
        <v>-5.1851558244618956E-2</v>
      </c>
      <c r="W223">
        <v>1.6689450056116721</v>
      </c>
      <c r="X223">
        <f>N223/F223</f>
        <v>1.7481023102310231</v>
      </c>
      <c r="Y223">
        <f>X223-W223</f>
        <v>7.9157304619350999E-2</v>
      </c>
      <c r="Z223" s="18">
        <v>146187.72</v>
      </c>
      <c r="AA223" s="18">
        <v>135669.59</v>
      </c>
      <c r="AB223" s="4">
        <f>AA223/Z223-1</f>
        <v>-7.1949477014895624E-2</v>
      </c>
    </row>
    <row r="224" spans="1:28" ht="15" customHeight="1">
      <c r="A224" t="s">
        <v>459</v>
      </c>
      <c r="B224" s="29" t="s">
        <v>460</v>
      </c>
      <c r="C224" s="30">
        <v>1873</v>
      </c>
      <c r="E224" s="29" t="s">
        <v>460</v>
      </c>
      <c r="F224" s="30">
        <v>1254</v>
      </c>
      <c r="G224" t="b">
        <f>IF(B224=E224,TRUE,FALSE)</f>
        <v>1</v>
      </c>
      <c r="J224">
        <f>F224-C224</f>
        <v>-619</v>
      </c>
      <c r="K224" s="4">
        <f>F224/C224-1</f>
        <v>-0.33048585157501331</v>
      </c>
      <c r="M224" s="5">
        <v>2750.65</v>
      </c>
      <c r="N224" s="5">
        <v>3319.52</v>
      </c>
      <c r="Q224" s="5">
        <v>20276.03</v>
      </c>
      <c r="U224" s="167">
        <f>N224-M224</f>
        <v>568.86999999999989</v>
      </c>
      <c r="V224" s="4">
        <f>IF(M224=0,0,N224/M224-1)</f>
        <v>0.206812935124425</v>
      </c>
      <c r="W224">
        <v>1.6083118971061092</v>
      </c>
      <c r="X224">
        <f>N224/F224</f>
        <v>2.6471451355661881</v>
      </c>
      <c r="Y224">
        <f>X224-W224</f>
        <v>1.0388332384600789</v>
      </c>
      <c r="Z224" s="18">
        <v>51356.28</v>
      </c>
      <c r="AA224" s="18">
        <v>38445.47</v>
      </c>
      <c r="AB224" s="4">
        <f>AA224/Z224-1</f>
        <v>-0.25139690803150072</v>
      </c>
    </row>
    <row r="225" spans="1:28" ht="15" customHeight="1">
      <c r="A225" t="s">
        <v>461</v>
      </c>
      <c r="B225" t="s">
        <v>462</v>
      </c>
      <c r="C225" s="30">
        <v>1732</v>
      </c>
      <c r="E225" t="s">
        <v>462</v>
      </c>
      <c r="F225" s="30">
        <v>1077</v>
      </c>
      <c r="G225" t="b">
        <f>IF(B225=E225,TRUE,FALSE)</f>
        <v>1</v>
      </c>
      <c r="J225">
        <f>F225-C225</f>
        <v>-655</v>
      </c>
      <c r="K225" s="4">
        <f>F225/C225-1</f>
        <v>-0.37817551963048501</v>
      </c>
      <c r="M225" s="5">
        <v>4187.26</v>
      </c>
      <c r="N225" s="5">
        <v>3291.87</v>
      </c>
      <c r="Q225" s="5">
        <v>20532.2</v>
      </c>
      <c r="U225" s="167">
        <f>N225-M225</f>
        <v>-895.39000000000033</v>
      </c>
      <c r="V225" s="4">
        <f>IF(M225=0,0,N225/M225-1)</f>
        <v>-0.21383673332919384</v>
      </c>
      <c r="W225">
        <v>2.1224557522123892</v>
      </c>
      <c r="X225">
        <f>N225/F225</f>
        <v>3.0565181058495821</v>
      </c>
      <c r="Y225">
        <f>X225-W225</f>
        <v>0.93406235363719281</v>
      </c>
      <c r="Z225" s="18">
        <v>40411.620000000003</v>
      </c>
      <c r="AA225" s="18">
        <v>24600.7</v>
      </c>
      <c r="AB225" s="4">
        <f>AA225/Z225-1</f>
        <v>-0.39124687404266401</v>
      </c>
    </row>
    <row r="226" spans="1:28" ht="15" customHeight="1">
      <c r="A226" t="s">
        <v>463</v>
      </c>
      <c r="B226" t="s">
        <v>464</v>
      </c>
      <c r="C226" s="30">
        <v>1033</v>
      </c>
      <c r="E226" t="s">
        <v>464</v>
      </c>
      <c r="F226" s="30">
        <v>351</v>
      </c>
      <c r="G226" t="b">
        <f>IF(B226=E226,TRUE,FALSE)</f>
        <v>1</v>
      </c>
      <c r="J226" s="27">
        <f>F226-C226</f>
        <v>-682</v>
      </c>
      <c r="K226" s="4">
        <f>F226/C226-1</f>
        <v>-0.66021297192642781</v>
      </c>
      <c r="M226" s="5">
        <v>1335.32</v>
      </c>
      <c r="N226" s="5">
        <v>625.14</v>
      </c>
      <c r="Q226" s="5">
        <v>3145.96</v>
      </c>
      <c r="U226" s="167">
        <f>N226-M226</f>
        <v>-710.18</v>
      </c>
      <c r="V226" s="4">
        <f>IF(M226=0,0,N226/M226-1)</f>
        <v>-0.53184255459365537</v>
      </c>
      <c r="W226">
        <v>0.54693957115009739</v>
      </c>
      <c r="X226">
        <f>N226/F226</f>
        <v>1.7810256410256411</v>
      </c>
      <c r="Y226">
        <f>X226-W226</f>
        <v>1.2340860698755436</v>
      </c>
      <c r="Z226" s="18">
        <v>24773.030000000002</v>
      </c>
      <c r="AA226" s="18">
        <v>8420.49</v>
      </c>
      <c r="AB226" s="4">
        <f>AA226/Z226-1</f>
        <v>-0.6600944656346035</v>
      </c>
    </row>
    <row r="227" spans="1:28" ht="15" customHeight="1">
      <c r="A227" t="s">
        <v>465</v>
      </c>
      <c r="B227" t="s">
        <v>466</v>
      </c>
      <c r="C227" s="30">
        <v>8115</v>
      </c>
      <c r="E227" t="s">
        <v>466</v>
      </c>
      <c r="F227" s="30">
        <v>7423</v>
      </c>
      <c r="G227" t="b">
        <f>IF(B227=E227,TRUE,FALSE)</f>
        <v>1</v>
      </c>
      <c r="J227">
        <f>F227-C227</f>
        <v>-692</v>
      </c>
      <c r="K227" s="4">
        <f>F227/C227-1</f>
        <v>-8.5274183610597687E-2</v>
      </c>
      <c r="M227" s="5">
        <v>10916.65</v>
      </c>
      <c r="N227" s="5">
        <v>11232.22</v>
      </c>
      <c r="Q227" s="5">
        <v>69783.3</v>
      </c>
      <c r="U227" s="167">
        <f>N227-M227</f>
        <v>315.56999999999971</v>
      </c>
      <c r="V227" s="4">
        <f>IF(M227=0,0,N227/M227-1)</f>
        <v>2.8907219705678999E-2</v>
      </c>
      <c r="W227">
        <v>0.75522341463414633</v>
      </c>
      <c r="X227">
        <f>N227/F227</f>
        <v>1.5131644887511786</v>
      </c>
      <c r="Y227">
        <f>X227-W227</f>
        <v>0.75794107411703227</v>
      </c>
      <c r="Z227" s="18">
        <v>202008.83</v>
      </c>
      <c r="AA227" s="18">
        <v>194028.26</v>
      </c>
      <c r="AB227" s="4">
        <f>AA227/Z227-1</f>
        <v>-3.9506045354551933E-2</v>
      </c>
    </row>
    <row r="228" spans="1:28" ht="15" customHeight="1">
      <c r="A228" t="s">
        <v>467</v>
      </c>
      <c r="B228" t="s">
        <v>468</v>
      </c>
      <c r="C228" s="30">
        <v>1831</v>
      </c>
      <c r="E228" t="s">
        <v>468</v>
      </c>
      <c r="F228" s="30">
        <v>1134</v>
      </c>
      <c r="G228" t="b">
        <f>IF(B228=E228,TRUE,FALSE)</f>
        <v>1</v>
      </c>
      <c r="J228">
        <f>F228-C228</f>
        <v>-697</v>
      </c>
      <c r="K228" s="4">
        <f>F228/C228-1</f>
        <v>-0.38066630256690337</v>
      </c>
      <c r="M228" s="5">
        <v>4710.41</v>
      </c>
      <c r="N228" s="5">
        <v>2253.0500000000002</v>
      </c>
      <c r="Q228" s="5">
        <v>13285.14</v>
      </c>
      <c r="U228" s="167">
        <f>N228-M228</f>
        <v>-2457.3599999999997</v>
      </c>
      <c r="V228" s="4">
        <f>IF(M228=0,0,N228/M228-1)</f>
        <v>-0.52168707182601937</v>
      </c>
      <c r="W228">
        <v>1.5349529652351739</v>
      </c>
      <c r="X228">
        <f>N228/F228</f>
        <v>1.9868165784832452</v>
      </c>
      <c r="Y228">
        <f>X228-W228</f>
        <v>0.45186361324807134</v>
      </c>
      <c r="Z228" s="18">
        <v>52489.599999999999</v>
      </c>
      <c r="AA228" s="18">
        <v>32773</v>
      </c>
      <c r="AB228" s="4">
        <f>AA228/Z228-1</f>
        <v>-0.37562869597024928</v>
      </c>
    </row>
    <row r="229" spans="1:28" ht="15" customHeight="1">
      <c r="A229" t="s">
        <v>469</v>
      </c>
      <c r="B229" t="s">
        <v>470</v>
      </c>
      <c r="C229" s="30">
        <v>7614</v>
      </c>
      <c r="E229" t="s">
        <v>470</v>
      </c>
      <c r="F229" s="30">
        <v>6857</v>
      </c>
      <c r="G229" t="b">
        <f>IF(B229=E229,TRUE,FALSE)</f>
        <v>1</v>
      </c>
      <c r="J229">
        <f>F229-C229</f>
        <v>-757</v>
      </c>
      <c r="K229" s="4">
        <f>F229/C229-1</f>
        <v>-9.942211715261362E-2</v>
      </c>
      <c r="M229" s="5">
        <v>7058.72</v>
      </c>
      <c r="N229" s="5">
        <v>7319.16</v>
      </c>
      <c r="Q229" s="5">
        <v>54044.04</v>
      </c>
      <c r="U229" s="167">
        <f>N229-M229</f>
        <v>260.4399999999996</v>
      </c>
      <c r="V229" s="4">
        <f>IF(M229=0,0,N229/M229-1)</f>
        <v>3.6896207811047743E-2</v>
      </c>
      <c r="W229">
        <v>0.78131416017575395</v>
      </c>
      <c r="X229">
        <f>N229/F229</f>
        <v>1.0673997374945312</v>
      </c>
      <c r="Y229">
        <f>X229-W229</f>
        <v>0.28608557731877726</v>
      </c>
      <c r="Z229" s="18">
        <v>227380.4</v>
      </c>
      <c r="AA229" s="18">
        <v>205007.75</v>
      </c>
      <c r="AB229" s="4">
        <f>AA229/Z229-1</f>
        <v>-9.8393045310853466E-2</v>
      </c>
    </row>
    <row r="230" spans="1:28" ht="15" customHeight="1">
      <c r="A230" t="s">
        <v>471</v>
      </c>
      <c r="B230" t="s">
        <v>472</v>
      </c>
      <c r="C230" s="30">
        <v>915</v>
      </c>
      <c r="E230" t="s">
        <v>472</v>
      </c>
      <c r="F230" s="30">
        <v>124</v>
      </c>
      <c r="G230" t="b">
        <f>IF(B230=E230,TRUE,FALSE)</f>
        <v>1</v>
      </c>
      <c r="J230">
        <f>F230-C230</f>
        <v>-791</v>
      </c>
      <c r="K230" s="4">
        <f>F230/C230-1</f>
        <v>-0.86448087431693987</v>
      </c>
      <c r="M230" s="5">
        <v>2144.59</v>
      </c>
      <c r="N230" s="5">
        <v>275.04000000000002</v>
      </c>
      <c r="Q230" s="5">
        <v>1650.72</v>
      </c>
      <c r="U230" s="167">
        <f>N230-M230</f>
        <v>-1869.5500000000002</v>
      </c>
      <c r="V230" s="4">
        <f>IF(M230=0,0,N230/M230-1)</f>
        <v>-0.8717517101170853</v>
      </c>
      <c r="W230">
        <v>1.7988000000000002</v>
      </c>
      <c r="X230">
        <f>N230/F230</f>
        <v>2.2180645161290324</v>
      </c>
      <c r="Y230">
        <f>X230-W230</f>
        <v>0.41926451612903226</v>
      </c>
      <c r="Z230" s="18">
        <v>21902.87</v>
      </c>
      <c r="AA230" s="18">
        <v>2974.76</v>
      </c>
      <c r="AB230" s="4">
        <f>AA230/Z230-1</f>
        <v>-0.86418400876232204</v>
      </c>
    </row>
    <row r="231" spans="1:28" ht="15" customHeight="1">
      <c r="A231" t="s">
        <v>473</v>
      </c>
      <c r="B231" t="s">
        <v>474</v>
      </c>
      <c r="C231" s="30">
        <v>2496</v>
      </c>
      <c r="E231" t="s">
        <v>474</v>
      </c>
      <c r="F231" s="30">
        <v>1614</v>
      </c>
      <c r="G231" t="b">
        <f>IF(B231=E231,TRUE,FALSE)</f>
        <v>1</v>
      </c>
      <c r="J231">
        <f>F231-C231</f>
        <v>-882</v>
      </c>
      <c r="K231" s="4">
        <f>F231/C231-1</f>
        <v>-0.35336538461538458</v>
      </c>
      <c r="M231" s="5">
        <v>4437.2</v>
      </c>
      <c r="N231" s="5">
        <v>3807.06</v>
      </c>
      <c r="Q231" s="5">
        <v>20413.8</v>
      </c>
      <c r="U231" s="167">
        <f>N231-M231</f>
        <v>-630.13999999999987</v>
      </c>
      <c r="V231" s="4">
        <f>IF(M231=0,0,N231/M231-1)</f>
        <v>-0.14201298115928962</v>
      </c>
      <c r="W231">
        <v>0.8396944109368718</v>
      </c>
      <c r="X231">
        <f>N231/F231</f>
        <v>2.3587732342007435</v>
      </c>
      <c r="Y231">
        <f>X231-W231</f>
        <v>1.5190788232638717</v>
      </c>
      <c r="Z231" s="18">
        <v>63752.04</v>
      </c>
      <c r="AA231" s="18">
        <v>43561.86</v>
      </c>
      <c r="AB231" s="4">
        <f>AA231/Z231-1</f>
        <v>-0.31669857152806402</v>
      </c>
    </row>
    <row r="232" spans="1:28" ht="15" customHeight="1">
      <c r="A232" t="s">
        <v>475</v>
      </c>
      <c r="B232" t="s">
        <v>476</v>
      </c>
      <c r="C232" s="30">
        <v>956</v>
      </c>
      <c r="E232" t="s">
        <v>476</v>
      </c>
      <c r="F232" s="30">
        <v>64</v>
      </c>
      <c r="G232" t="b">
        <f>IF(B232=E232,TRUE,FALSE)</f>
        <v>1</v>
      </c>
      <c r="J232">
        <f>F232-C232</f>
        <v>-892</v>
      </c>
      <c r="K232" s="4">
        <f>F232/C232-1</f>
        <v>-0.93305439330543938</v>
      </c>
      <c r="M232" s="5">
        <v>2073.1999999999998</v>
      </c>
      <c r="N232" s="5">
        <v>178.31</v>
      </c>
      <c r="Q232" s="5">
        <v>1182.3900000000001</v>
      </c>
      <c r="U232" s="167">
        <f>N232-M232</f>
        <v>-1894.8899999999999</v>
      </c>
      <c r="V232" s="4">
        <f>IF(M232=0,0,N232/M232-1)</f>
        <v>-0.91399286127725254</v>
      </c>
      <c r="W232">
        <v>2.1939256198347108</v>
      </c>
      <c r="X232">
        <f>N232/F232</f>
        <v>2.78609375</v>
      </c>
      <c r="Y232">
        <f>X232-W232</f>
        <v>0.59216813016528924</v>
      </c>
      <c r="Z232" s="18">
        <v>25737.25</v>
      </c>
      <c r="AA232" s="18">
        <v>1724.8</v>
      </c>
      <c r="AB232" s="4">
        <f>AA232/Z232-1</f>
        <v>-0.93298429319371734</v>
      </c>
    </row>
    <row r="233" spans="1:28" ht="15" customHeight="1">
      <c r="A233" t="s">
        <v>477</v>
      </c>
      <c r="B233" t="s">
        <v>478</v>
      </c>
      <c r="C233" s="30">
        <v>3184</v>
      </c>
      <c r="E233" t="s">
        <v>478</v>
      </c>
      <c r="F233" s="30">
        <v>1546</v>
      </c>
      <c r="G233" t="b">
        <f>IF(B233=E233,TRUE,FALSE)</f>
        <v>1</v>
      </c>
      <c r="J233">
        <f>F233-C233</f>
        <v>-1638</v>
      </c>
      <c r="K233" s="4">
        <f>F233/C233-1</f>
        <v>-0.51444723618090449</v>
      </c>
      <c r="M233" s="5">
        <v>4951.3500000000004</v>
      </c>
      <c r="N233" s="5">
        <v>1959.09</v>
      </c>
      <c r="Q233" s="5">
        <v>13206.54</v>
      </c>
      <c r="U233" s="167">
        <f>N233-M233</f>
        <v>-2992.26</v>
      </c>
      <c r="V233" s="4">
        <f>IF(M233=0,0,N233/M233-1)</f>
        <v>-0.60433215183737765</v>
      </c>
      <c r="W233">
        <v>1.4406530612244899</v>
      </c>
      <c r="X233">
        <f>N233/F233</f>
        <v>1.2671992238033634</v>
      </c>
      <c r="Y233">
        <f>X233-W233</f>
        <v>-0.17345383742112652</v>
      </c>
      <c r="Z233" s="18">
        <v>63509.45</v>
      </c>
      <c r="AA233" s="18">
        <v>35519.550000000003</v>
      </c>
      <c r="AB233" s="4">
        <f>AA233/Z233-1</f>
        <v>-0.44072023927147841</v>
      </c>
    </row>
    <row r="234" spans="1:28" ht="15" customHeight="1">
      <c r="A234" t="s">
        <v>479</v>
      </c>
      <c r="B234" t="s">
        <v>480</v>
      </c>
      <c r="C234" s="30">
        <v>1897</v>
      </c>
      <c r="E234" t="s">
        <v>480</v>
      </c>
      <c r="F234" s="30">
        <v>38</v>
      </c>
      <c r="G234" t="b">
        <f>IF(B234=E234,TRUE,FALSE)</f>
        <v>1</v>
      </c>
      <c r="J234">
        <f>F234-C234</f>
        <v>-1859</v>
      </c>
      <c r="K234" s="4">
        <f>F234/C234-1</f>
        <v>-0.97996837111228252</v>
      </c>
      <c r="M234" s="5">
        <v>3637.39</v>
      </c>
      <c r="N234" s="5">
        <v>156.91</v>
      </c>
      <c r="Q234" s="5">
        <v>619.71</v>
      </c>
      <c r="U234" s="167">
        <f>N234-M234</f>
        <v>-3480.48</v>
      </c>
      <c r="V234" s="4">
        <f>IF(M234=0,0,N234/M234-1)</f>
        <v>-0.95686192572146511</v>
      </c>
      <c r="W234">
        <v>1.1514661654135339</v>
      </c>
      <c r="X234">
        <f>N234/F234</f>
        <v>4.1292105263157897</v>
      </c>
      <c r="Y234">
        <f>X234-W234</f>
        <v>2.977744360902256</v>
      </c>
      <c r="Z234" s="18">
        <v>54965.04</v>
      </c>
      <c r="AA234" s="18">
        <v>1101.6199999999999</v>
      </c>
      <c r="AB234" s="4">
        <f>AA234/Z234-1</f>
        <v>-0.97995780590717296</v>
      </c>
    </row>
    <row r="235" spans="1:28" ht="15" customHeight="1">
      <c r="A235" t="s">
        <v>481</v>
      </c>
      <c r="B235" t="s">
        <v>482</v>
      </c>
      <c r="C235" s="30">
        <v>5354</v>
      </c>
      <c r="E235" t="s">
        <v>482</v>
      </c>
      <c r="F235" s="30">
        <v>3488</v>
      </c>
      <c r="G235" t="b">
        <f>IF(B235=E235,TRUE,FALSE)</f>
        <v>1</v>
      </c>
      <c r="J235">
        <f>F235-C235</f>
        <v>-1866</v>
      </c>
      <c r="K235" s="4">
        <f>F235/C235-1</f>
        <v>-0.34852446768771017</v>
      </c>
      <c r="M235" s="5">
        <v>6136.63</v>
      </c>
      <c r="N235" s="5">
        <v>6528.03</v>
      </c>
      <c r="Q235" s="5">
        <v>33747.54</v>
      </c>
      <c r="U235" s="167">
        <f>N235-M235</f>
        <v>391.39999999999964</v>
      </c>
      <c r="V235" s="4">
        <f>IF(M235=0,0,N235/M235-1)</f>
        <v>6.3780935138667338E-2</v>
      </c>
      <c r="W235">
        <v>1.5212486910994765</v>
      </c>
      <c r="X235">
        <f>N235/F235</f>
        <v>1.871568233944954</v>
      </c>
      <c r="Y235">
        <f>X235-W235</f>
        <v>0.35031954284547751</v>
      </c>
      <c r="Z235" s="18">
        <v>160536.47</v>
      </c>
      <c r="AA235" s="18">
        <v>104575.13</v>
      </c>
      <c r="AB235" s="4">
        <f>AA235/Z235-1</f>
        <v>-0.34858957593872597</v>
      </c>
    </row>
    <row r="236" spans="1:28" ht="15" customHeight="1">
      <c r="A236" t="s">
        <v>483</v>
      </c>
      <c r="B236" t="s">
        <v>484</v>
      </c>
      <c r="C236" s="30">
        <v>40099</v>
      </c>
      <c r="E236" t="s">
        <v>484</v>
      </c>
      <c r="F236" s="30">
        <v>33472</v>
      </c>
      <c r="G236" t="b">
        <f>IF(B236=E236,TRUE,FALSE)</f>
        <v>1</v>
      </c>
      <c r="J236">
        <f>F236-C236</f>
        <v>-6627</v>
      </c>
      <c r="K236" s="4">
        <f>F236/C236-1</f>
        <v>-0.16526596673233751</v>
      </c>
      <c r="M236" s="5">
        <v>37888.379999999997</v>
      </c>
      <c r="N236" s="5">
        <v>35816.089999999997</v>
      </c>
      <c r="Q236" s="5">
        <v>295852.83</v>
      </c>
      <c r="U236" s="167">
        <f>N236-M236</f>
        <v>-2072.2900000000009</v>
      </c>
      <c r="V236" s="4">
        <f>IF(M236=0,0,N236/M236-1)</f>
        <v>-5.4694605575640876E-2</v>
      </c>
      <c r="W236">
        <v>1.0297198431534413</v>
      </c>
      <c r="X236">
        <f>N236/F236</f>
        <v>1.070031369502868</v>
      </c>
      <c r="Y236">
        <f>X236-W236</f>
        <v>4.0311526349426696E-2</v>
      </c>
      <c r="Z236" s="18">
        <v>1292263.58</v>
      </c>
      <c r="AA236" s="18">
        <v>1039589.4199999999</v>
      </c>
      <c r="AB236" s="4">
        <f>AA236/Z236-1</f>
        <v>-0.19552834569554312</v>
      </c>
    </row>
    <row r="237" spans="1:28" ht="15" customHeight="1">
      <c r="A237" s="59"/>
      <c r="B237" s="39"/>
      <c r="C237" s="30"/>
      <c r="E237" s="39"/>
      <c r="F237" s="30"/>
      <c r="K237" s="4"/>
      <c r="V237" s="4"/>
      <c r="Z237" s="18"/>
      <c r="AA237" s="18"/>
      <c r="AB237" s="33"/>
    </row>
    <row r="238" spans="1:28" ht="15" customHeight="1">
      <c r="C238" s="4"/>
      <c r="M238" s="4"/>
      <c r="N238" s="26"/>
    </row>
    <row r="239" spans="1:28" ht="15" customHeight="1">
      <c r="C239" s="3" t="s">
        <v>485</v>
      </c>
      <c r="D239" s="3"/>
      <c r="E239" s="3"/>
      <c r="F239" s="3" t="s">
        <v>485</v>
      </c>
      <c r="G239" s="3"/>
      <c r="H239" s="3"/>
      <c r="I239" s="3"/>
      <c r="J239" s="3" t="s">
        <v>486</v>
      </c>
      <c r="K239" s="33"/>
      <c r="L239" s="3"/>
      <c r="M239" s="35" t="s">
        <v>487</v>
      </c>
      <c r="N239" s="35" t="s">
        <v>487</v>
      </c>
      <c r="O239" s="3"/>
      <c r="Q239" s="35" t="s">
        <v>488</v>
      </c>
      <c r="R239" s="3"/>
      <c r="U239" s="168" t="s">
        <v>489</v>
      </c>
      <c r="V239" s="3"/>
      <c r="W239" s="3"/>
      <c r="X239" s="3"/>
      <c r="Y239" s="3"/>
      <c r="Z239" s="37" t="s">
        <v>3</v>
      </c>
      <c r="AA239" s="37" t="s">
        <v>3</v>
      </c>
      <c r="AB239" s="37"/>
    </row>
    <row r="240" spans="1:28" ht="15" customHeight="1">
      <c r="A240" s="20"/>
      <c r="C240" s="27">
        <f>SUM(C3:C236)</f>
        <v>572775</v>
      </c>
      <c r="F240" s="27">
        <f>SUM(F3:F236)</f>
        <v>598894</v>
      </c>
      <c r="J240" s="27">
        <f>SUM(J3:J236)</f>
        <v>26119</v>
      </c>
      <c r="M240" s="18">
        <f>SUM(M3:M236)</f>
        <v>771258.64999999979</v>
      </c>
      <c r="N240" s="18">
        <f>SUM(N3:N236)</f>
        <v>792337.80000000028</v>
      </c>
      <c r="Q240" s="18">
        <f>SUM(Q3:Q236)</f>
        <v>5590028.4100000011</v>
      </c>
      <c r="U240" s="167">
        <f>N240-M240</f>
        <v>21079.150000000489</v>
      </c>
      <c r="V240" s="4">
        <f>IF(M240=0,0,N240/M240-1)</f>
        <v>2.7330844198636184E-2</v>
      </c>
      <c r="Z240" s="32">
        <f>SUM(Z3:Z236)</f>
        <v>16902826.939999998</v>
      </c>
      <c r="AA240" s="32">
        <f>SUM(AA3:AA236)</f>
        <v>17685415.640000001</v>
      </c>
      <c r="AB240" s="33">
        <f>AA240/Z240-1</f>
        <v>4.6299278977295355E-2</v>
      </c>
    </row>
    <row r="242" spans="6:27" ht="15" customHeight="1">
      <c r="F242" s="19">
        <f>F240-C240</f>
        <v>26119</v>
      </c>
      <c r="N242" s="35" t="s">
        <v>490</v>
      </c>
      <c r="Q242" s="28">
        <f>N240/Q240</f>
        <v>0.1417412832075392</v>
      </c>
      <c r="Z242" s="3" t="s">
        <v>491</v>
      </c>
      <c r="AA242" s="3" t="s">
        <v>491</v>
      </c>
    </row>
    <row r="243" spans="6:27" ht="15" customHeight="1">
      <c r="F243" s="4">
        <f>F240/C240-1</f>
        <v>4.5600803107677557E-2</v>
      </c>
      <c r="Z243" s="34">
        <f>M240/Z240</f>
        <v>4.5628973942509046E-2</v>
      </c>
      <c r="AA243" s="34">
        <f>N240/AA240</f>
        <v>4.4801762996620205E-2</v>
      </c>
    </row>
    <row r="246" spans="6:27" ht="15" customHeight="1">
      <c r="Z246" s="37"/>
      <c r="AA246" s="37"/>
    </row>
    <row r="247" spans="6:27" ht="15" customHeight="1">
      <c r="V247" s="3"/>
      <c r="Z247" s="32"/>
      <c r="AA247" s="32"/>
    </row>
    <row r="248" spans="6:27" ht="15" customHeight="1">
      <c r="V248" s="3"/>
    </row>
    <row r="249" spans="6:27" ht="15" customHeight="1">
      <c r="V249" s="3"/>
    </row>
    <row r="253" spans="6:27" ht="15" customHeight="1">
      <c r="Z253" s="3"/>
      <c r="AA253" s="3"/>
    </row>
  </sheetData>
  <autoFilter ref="A2:AD236" xr:uid="{00000000-0001-0000-0000-000000000000}">
    <sortState xmlns:xlrd2="http://schemas.microsoft.com/office/spreadsheetml/2017/richdata2" ref="A3:AB236">
      <sortCondition descending="1" ref="J2:J236"/>
    </sortState>
  </autoFilter>
  <sortState xmlns:xlrd2="http://schemas.microsoft.com/office/spreadsheetml/2017/richdata2" ref="J3:K236">
    <sortCondition descending="1" ref="J3:J236"/>
  </sortState>
  <mergeCells count="6">
    <mergeCell ref="Z1:AA1"/>
    <mergeCell ref="U1:V1"/>
    <mergeCell ref="B1:C1"/>
    <mergeCell ref="J1:K1"/>
    <mergeCell ref="M1:N1"/>
    <mergeCell ref="E1:F1"/>
  </mergeCells>
  <phoneticPr fontId="3" type="noConversion"/>
  <conditionalFormatting sqref="J2:J243 D181 H181:I181 L181 O181:P181 R181:T181 J247:J1048576">
    <cfRule type="cellIs" dxfId="43" priority="23" operator="greaterThan">
      <formula>500</formula>
    </cfRule>
  </conditionalFormatting>
  <conditionalFormatting sqref="J3:J237">
    <cfRule type="cellIs" dxfId="42" priority="29" operator="lessThan">
      <formula>-100</formula>
    </cfRule>
  </conditionalFormatting>
  <conditionalFormatting sqref="J239">
    <cfRule type="cellIs" dxfId="41" priority="2" operator="lessThan">
      <formula>-100</formula>
    </cfRule>
  </conditionalFormatting>
  <conditionalFormatting sqref="K3:K237">
    <cfRule type="cellIs" dxfId="40" priority="15" operator="lessThan">
      <formula>-10%</formula>
    </cfRule>
    <cfRule type="cellIs" dxfId="39" priority="46" operator="greaterThan">
      <formula>0.2</formula>
    </cfRule>
  </conditionalFormatting>
  <conditionalFormatting sqref="K3:K1048576">
    <cfRule type="cellIs" dxfId="38" priority="3" operator="lessThan">
      <formula>-0.2</formula>
    </cfRule>
  </conditionalFormatting>
  <conditionalFormatting sqref="K239">
    <cfRule type="cellIs" dxfId="37" priority="5" operator="greaterThan">
      <formula>0.2</formula>
    </cfRule>
  </conditionalFormatting>
  <conditionalFormatting sqref="V3:V237 V240">
    <cfRule type="cellIs" dxfId="36" priority="14" operator="greaterThan">
      <formula>0.5</formula>
    </cfRule>
  </conditionalFormatting>
  <conditionalFormatting sqref="AB3:AB237">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AB240">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filterMode="1"/>
  <dimension ref="A1:AC211"/>
  <sheetViews>
    <sheetView zoomScale="85" zoomScaleNormal="85" workbookViewId="0">
      <pane xSplit="2" ySplit="2" topLeftCell="C132" activePane="bottomRight" state="frozen"/>
      <selection pane="bottomRight" activeCell="T146" sqref="T146"/>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5" customWidth="1"/>
    <col min="18" max="19" width="0.85546875" customWidth="1"/>
    <col min="20" max="20" width="11.85546875" style="152"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29">
      <c r="B1" s="171">
        <v>45658</v>
      </c>
      <c r="C1" s="170"/>
      <c r="E1" s="171">
        <v>45689</v>
      </c>
      <c r="F1" s="170"/>
      <c r="J1" s="172"/>
      <c r="K1" s="172"/>
      <c r="M1" s="173" t="s">
        <v>0</v>
      </c>
      <c r="N1" s="173"/>
      <c r="O1" s="1"/>
      <c r="Q1" s="10" t="s">
        <v>1</v>
      </c>
      <c r="R1" s="1"/>
      <c r="T1" s="170" t="s">
        <v>2</v>
      </c>
      <c r="U1" s="170"/>
      <c r="W1" s="172" t="s">
        <v>492</v>
      </c>
      <c r="X1" s="172"/>
      <c r="Y1" s="172"/>
      <c r="Z1" s="172"/>
      <c r="AA1" s="170" t="s">
        <v>3</v>
      </c>
      <c r="AB1" s="170"/>
    </row>
    <row r="2" spans="1:29">
      <c r="A2" t="s">
        <v>4</v>
      </c>
      <c r="B2" s="3" t="s">
        <v>5</v>
      </c>
      <c r="C2" s="3" t="s">
        <v>6</v>
      </c>
      <c r="E2" s="3" t="s">
        <v>5</v>
      </c>
      <c r="F2" s="3" t="s">
        <v>6</v>
      </c>
      <c r="G2" t="s">
        <v>7</v>
      </c>
      <c r="J2" t="s">
        <v>8</v>
      </c>
      <c r="K2" t="s">
        <v>9</v>
      </c>
      <c r="M2" t="s">
        <v>10</v>
      </c>
      <c r="N2" t="s">
        <v>11</v>
      </c>
      <c r="Q2" s="5" t="s">
        <v>12</v>
      </c>
      <c r="T2" s="152" t="s">
        <v>13</v>
      </c>
      <c r="U2" t="s">
        <v>9</v>
      </c>
      <c r="W2" t="s">
        <v>493</v>
      </c>
      <c r="X2" t="s">
        <v>494</v>
      </c>
      <c r="Y2" t="s">
        <v>495</v>
      </c>
      <c r="Z2" s="14" t="s">
        <v>496</v>
      </c>
      <c r="AA2" t="s">
        <v>10</v>
      </c>
      <c r="AB2" t="s">
        <v>11</v>
      </c>
      <c r="AC2" t="s">
        <v>9</v>
      </c>
    </row>
    <row r="3" spans="1:29" ht="13.5" customHeight="1">
      <c r="A3" t="s">
        <v>497</v>
      </c>
      <c r="B3" t="s">
        <v>498</v>
      </c>
      <c r="C3" s="19">
        <v>13372</v>
      </c>
      <c r="E3" t="s">
        <v>498</v>
      </c>
      <c r="F3" s="19">
        <v>10278</v>
      </c>
      <c r="G3" t="b">
        <f>IF(B3=E3,TRUE,FALSE)</f>
        <v>1</v>
      </c>
      <c r="J3" s="27">
        <f>F3-C3</f>
        <v>-3094</v>
      </c>
      <c r="K3" s="4">
        <f>F3/C3-1</f>
        <v>-0.2313790008973976</v>
      </c>
      <c r="M3" s="5">
        <v>12381.189999999999</v>
      </c>
      <c r="N3" s="5">
        <v>8437.92</v>
      </c>
      <c r="Q3" s="5">
        <v>39396.870000000003</v>
      </c>
      <c r="T3" s="150">
        <f>N3-M3</f>
        <v>-3943.2699999999986</v>
      </c>
      <c r="U3" s="4">
        <f>IF(M3=0,0,N3/M3-1)</f>
        <v>-0.31848877208087423</v>
      </c>
      <c r="W3" t="s">
        <v>499</v>
      </c>
      <c r="Y3" t="s">
        <v>500</v>
      </c>
      <c r="AA3" s="18">
        <v>251490.16</v>
      </c>
      <c r="AB3" s="18">
        <v>193537.02000000002</v>
      </c>
      <c r="AC3" s="4">
        <f>AB3/AA3-1</f>
        <v>-0.23043899610227292</v>
      </c>
    </row>
    <row r="4" spans="1:29" ht="13.9" customHeight="1">
      <c r="A4" t="s">
        <v>501</v>
      </c>
      <c r="B4" t="s">
        <v>502</v>
      </c>
      <c r="C4" s="19">
        <v>9152</v>
      </c>
      <c r="E4" t="s">
        <v>502</v>
      </c>
      <c r="F4" s="19">
        <v>7632</v>
      </c>
      <c r="G4" t="b">
        <f>IF(B4=E4,TRUE,FALSE)</f>
        <v>1</v>
      </c>
      <c r="J4" s="27">
        <f>F4-C4</f>
        <v>-1520</v>
      </c>
      <c r="K4" s="4">
        <f>F4/C4-1</f>
        <v>-0.16608391608391604</v>
      </c>
      <c r="M4" s="5">
        <v>14874.52</v>
      </c>
      <c r="N4" s="5">
        <v>11858.24</v>
      </c>
      <c r="Q4" s="5">
        <v>51451.57</v>
      </c>
      <c r="T4" s="150">
        <f>N4-M4</f>
        <v>-3016.2800000000007</v>
      </c>
      <c r="U4" s="4">
        <f>IF(M4=0,0,N4/M4-1)</f>
        <v>-0.20278166959337174</v>
      </c>
      <c r="AA4" s="18">
        <v>218952.54</v>
      </c>
      <c r="AB4" s="18">
        <v>182521.85</v>
      </c>
      <c r="AC4" s="4">
        <f>AB4/AA4-1</f>
        <v>-0.16638624059807661</v>
      </c>
    </row>
    <row r="5" spans="1:29" ht="14.25" customHeight="1">
      <c r="A5" t="s">
        <v>503</v>
      </c>
      <c r="B5" t="s">
        <v>504</v>
      </c>
      <c r="C5" s="19">
        <v>3898</v>
      </c>
      <c r="E5" t="s">
        <v>504</v>
      </c>
      <c r="F5" s="19">
        <v>3762</v>
      </c>
      <c r="G5" t="b">
        <f>IF(B5=E5,TRUE,FALSE)</f>
        <v>1</v>
      </c>
      <c r="J5" s="27">
        <f>F5-C5</f>
        <v>-136</v>
      </c>
      <c r="K5" s="4">
        <f>F5/C5-1</f>
        <v>-3.4889687018984095E-2</v>
      </c>
      <c r="M5" s="5">
        <v>9014.6</v>
      </c>
      <c r="N5" s="5">
        <v>6511.64</v>
      </c>
      <c r="Q5" s="5">
        <v>25645.09</v>
      </c>
      <c r="T5" s="150">
        <f>N5-M5</f>
        <v>-2502.96</v>
      </c>
      <c r="U5" s="4">
        <f>IF(M5=0,0,N5/M5-1)</f>
        <v>-0.27765624653340137</v>
      </c>
      <c r="AA5" s="18">
        <v>77765.100000000006</v>
      </c>
      <c r="AB5" s="18">
        <v>75051.899999999994</v>
      </c>
      <c r="AC5" s="4">
        <f>AB5/AA5-1</f>
        <v>-3.4889687018984206E-2</v>
      </c>
    </row>
    <row r="6" spans="1:29" ht="13.9" customHeight="1">
      <c r="A6" t="s">
        <v>505</v>
      </c>
      <c r="B6" t="s">
        <v>506</v>
      </c>
      <c r="C6" s="19">
        <v>1335</v>
      </c>
      <c r="D6" s="5"/>
      <c r="E6" t="s">
        <v>506</v>
      </c>
      <c r="F6" s="19">
        <v>1388</v>
      </c>
      <c r="G6" t="b">
        <f>IF(B6=E6,TRUE,FALSE)</f>
        <v>1</v>
      </c>
      <c r="H6" s="5"/>
      <c r="I6" s="5"/>
      <c r="J6" s="27">
        <f>F6-C6</f>
        <v>53</v>
      </c>
      <c r="K6" s="4">
        <f>F6/C6-1</f>
        <v>3.970037453183517E-2</v>
      </c>
      <c r="L6" s="5"/>
      <c r="M6" s="5">
        <v>2990.56</v>
      </c>
      <c r="N6" s="5">
        <v>939.57</v>
      </c>
      <c r="O6" s="5"/>
      <c r="P6" s="5"/>
      <c r="Q6" s="5">
        <v>7224.96</v>
      </c>
      <c r="R6" s="5"/>
      <c r="S6" s="5"/>
      <c r="T6" s="150">
        <f>N6-M6</f>
        <v>-2050.9899999999998</v>
      </c>
      <c r="U6" s="4">
        <f>IF(M6=0,0,N6/M6-1)</f>
        <v>-0.68582138462361564</v>
      </c>
      <c r="V6" s="5"/>
      <c r="W6" s="5"/>
      <c r="X6" s="5"/>
      <c r="Y6" s="5"/>
      <c r="Z6" s="15"/>
      <c r="AA6" s="18">
        <v>26629.199999999997</v>
      </c>
      <c r="AB6" s="18">
        <v>27690.6</v>
      </c>
      <c r="AC6" s="4">
        <f>AB6/AA6-1</f>
        <v>3.9858501194177887E-2</v>
      </c>
    </row>
    <row r="7" spans="1:29" ht="13.9" customHeight="1">
      <c r="A7" t="s">
        <v>507</v>
      </c>
      <c r="B7" t="s">
        <v>508</v>
      </c>
      <c r="C7" s="19">
        <v>1390</v>
      </c>
      <c r="E7" t="s">
        <v>508</v>
      </c>
      <c r="F7" s="19">
        <v>1005</v>
      </c>
      <c r="G7" t="b">
        <f>IF(B7=E7,TRUE,FALSE)</f>
        <v>1</v>
      </c>
      <c r="J7" s="27">
        <f>F7-C7</f>
        <v>-385</v>
      </c>
      <c r="K7" s="4">
        <f>F7/C7-1</f>
        <v>-0.2769784172661871</v>
      </c>
      <c r="M7" s="5">
        <v>3330.54</v>
      </c>
      <c r="N7" s="5">
        <v>1621.33</v>
      </c>
      <c r="Q7" s="5">
        <v>12791</v>
      </c>
      <c r="T7" s="150">
        <f>N7-M7</f>
        <v>-1709.21</v>
      </c>
      <c r="U7" s="4">
        <f>IF(M7=0,0,N7/M7-1)</f>
        <v>-0.51319305578074426</v>
      </c>
      <c r="AA7" s="18">
        <v>38913.11</v>
      </c>
      <c r="AB7" s="18">
        <v>27867.95</v>
      </c>
      <c r="AC7" s="4">
        <f>AB7/AA7-1</f>
        <v>-0.28384161533221064</v>
      </c>
    </row>
    <row r="8" spans="1:29" ht="13.5" customHeight="1">
      <c r="A8" t="s">
        <v>509</v>
      </c>
      <c r="B8" t="s">
        <v>510</v>
      </c>
      <c r="C8" s="19">
        <v>3028</v>
      </c>
      <c r="E8" t="s">
        <v>510</v>
      </c>
      <c r="F8" s="19">
        <v>1995</v>
      </c>
      <c r="G8" t="b">
        <f>IF(B8=E8,TRUE,FALSE)</f>
        <v>1</v>
      </c>
      <c r="J8" s="27">
        <f>F8-C8</f>
        <v>-1033</v>
      </c>
      <c r="K8" s="4">
        <f>F8/C8-1</f>
        <v>-0.34114927344782031</v>
      </c>
      <c r="M8" s="5">
        <v>6231.07</v>
      </c>
      <c r="N8" s="5">
        <v>4535.91</v>
      </c>
      <c r="Q8" s="5">
        <v>19578.740000000002</v>
      </c>
      <c r="T8" s="150">
        <f>N8-M8</f>
        <v>-1695.1599999999999</v>
      </c>
      <c r="U8" s="4">
        <f>IF(M8=0,0,N8/M8-1)</f>
        <v>-0.27204958377935085</v>
      </c>
      <c r="AA8" s="18">
        <v>83957.73</v>
      </c>
      <c r="AB8" s="18">
        <v>57806.06</v>
      </c>
      <c r="AC8" s="4">
        <f>AB8/AA8-1</f>
        <v>-0.31148614904190475</v>
      </c>
    </row>
    <row r="9" spans="1:29" ht="12.75" customHeight="1">
      <c r="A9" t="s">
        <v>511</v>
      </c>
      <c r="B9" t="s">
        <v>512</v>
      </c>
      <c r="C9" s="19">
        <v>4682</v>
      </c>
      <c r="E9" t="s">
        <v>512</v>
      </c>
      <c r="F9" s="19">
        <v>4039</v>
      </c>
      <c r="G9" t="b">
        <f>IF(B9=E9,TRUE,FALSE)</f>
        <v>1</v>
      </c>
      <c r="J9" s="27">
        <f>F9-C9</f>
        <v>-643</v>
      </c>
      <c r="K9" s="4">
        <f>F9/C9-1</f>
        <v>-0.13733447244767194</v>
      </c>
      <c r="M9" s="5">
        <v>6619.91</v>
      </c>
      <c r="N9" s="5">
        <v>5176.58</v>
      </c>
      <c r="Q9" s="5">
        <v>23799.74</v>
      </c>
      <c r="T9" s="150">
        <f>N9-M9</f>
        <v>-1443.33</v>
      </c>
      <c r="U9" s="4">
        <f>IF(M9=0,0,N9/M9-1)</f>
        <v>-0.21802864389395027</v>
      </c>
      <c r="AA9" s="18">
        <v>129958.17</v>
      </c>
      <c r="AB9" s="18">
        <v>113014.56</v>
      </c>
      <c r="AC9" s="4">
        <f>AB9/AA9-1</f>
        <v>-0.13037741297834526</v>
      </c>
    </row>
    <row r="10" spans="1:29" ht="13.9" customHeight="1">
      <c r="A10" t="s">
        <v>513</v>
      </c>
      <c r="B10" t="s">
        <v>514</v>
      </c>
      <c r="C10" s="19">
        <v>356</v>
      </c>
      <c r="E10" t="s">
        <v>514</v>
      </c>
      <c r="F10" s="19">
        <v>0</v>
      </c>
      <c r="G10" t="b">
        <f>IF(B10=E10,TRUE,FALSE)</f>
        <v>1</v>
      </c>
      <c r="J10" s="27">
        <f>F10-C10</f>
        <v>-356</v>
      </c>
      <c r="K10" s="4">
        <f>F10/C10-1</f>
        <v>-1</v>
      </c>
      <c r="M10" s="5">
        <v>1383.82</v>
      </c>
      <c r="N10" s="5">
        <v>0</v>
      </c>
      <c r="Q10" s="5">
        <v>0</v>
      </c>
      <c r="T10" s="150">
        <f>N10-M10</f>
        <v>-1383.82</v>
      </c>
      <c r="U10" s="4">
        <f>IF(M10=0,0,N10/M10-1)</f>
        <v>-1</v>
      </c>
      <c r="AA10" s="18">
        <v>7116.4400000000005</v>
      </c>
      <c r="AB10" s="18">
        <v>0</v>
      </c>
      <c r="AC10" s="4">
        <f>AB10/AA10-1</f>
        <v>-1</v>
      </c>
    </row>
    <row r="11" spans="1:29" ht="13.9" customHeight="1">
      <c r="A11" t="s">
        <v>515</v>
      </c>
      <c r="B11" t="s">
        <v>516</v>
      </c>
      <c r="C11" s="19">
        <v>3039</v>
      </c>
      <c r="E11" t="s">
        <v>516</v>
      </c>
      <c r="F11" s="19">
        <v>3048</v>
      </c>
      <c r="G11" t="b">
        <f>IF(B11=E11,TRUE,FALSE)</f>
        <v>1</v>
      </c>
      <c r="J11" s="27">
        <f>F11-C11</f>
        <v>9</v>
      </c>
      <c r="K11" s="4">
        <f>F11/C11-1</f>
        <v>2.9615004935834577E-3</v>
      </c>
      <c r="M11" s="5">
        <v>6047.48</v>
      </c>
      <c r="N11" s="5">
        <v>4722.41</v>
      </c>
      <c r="Q11" s="5">
        <v>19832.7</v>
      </c>
      <c r="T11" s="150">
        <f>N11-M11</f>
        <v>-1325.0699999999997</v>
      </c>
      <c r="U11" s="4">
        <f>IF(M11=0,0,N11/M11-1)</f>
        <v>-0.21911110082216056</v>
      </c>
      <c r="W11" t="s">
        <v>517</v>
      </c>
      <c r="AA11" s="18">
        <v>54807.64</v>
      </c>
      <c r="AB11" s="18">
        <v>53855.43</v>
      </c>
      <c r="AC11" s="4">
        <f>AB11/AA11-1</f>
        <v>-1.7373672721540223E-2</v>
      </c>
    </row>
    <row r="12" spans="1:29" ht="13.9" customHeight="1">
      <c r="A12" s="5" t="s">
        <v>518</v>
      </c>
      <c r="B12" s="5" t="s">
        <v>519</v>
      </c>
      <c r="C12" s="19">
        <v>2258</v>
      </c>
      <c r="D12" s="5"/>
      <c r="E12" t="s">
        <v>519</v>
      </c>
      <c r="F12" s="19">
        <v>1841</v>
      </c>
      <c r="G12" t="b">
        <f>IF(B12=E12,TRUE,FALSE)</f>
        <v>1</v>
      </c>
      <c r="H12" s="5"/>
      <c r="I12" s="5"/>
      <c r="J12" s="27">
        <f>F12-C12</f>
        <v>-417</v>
      </c>
      <c r="K12" s="4">
        <f>F12/C12-1</f>
        <v>-0.18467670504871569</v>
      </c>
      <c r="L12" s="5"/>
      <c r="M12" s="5">
        <v>3838.6499999999996</v>
      </c>
      <c r="N12" s="5">
        <v>2630.37</v>
      </c>
      <c r="O12" s="5"/>
      <c r="P12" s="5"/>
      <c r="Q12" s="5">
        <v>11300.4</v>
      </c>
      <c r="R12" s="5"/>
      <c r="S12" s="5"/>
      <c r="T12" s="150">
        <f>N12-M12</f>
        <v>-1208.2799999999997</v>
      </c>
      <c r="U12" s="4">
        <f>IF(M12=0,0,N12/M12-1)</f>
        <v>-0.31476691024188186</v>
      </c>
      <c r="V12" s="5"/>
      <c r="W12" s="5"/>
      <c r="X12" s="5"/>
      <c r="Y12" s="5"/>
      <c r="Z12" s="15"/>
      <c r="AA12" s="18">
        <v>67320.42</v>
      </c>
      <c r="AB12" s="18">
        <v>55151.61</v>
      </c>
      <c r="AC12" s="4">
        <f>AB12/AA12-1</f>
        <v>-0.18075956745367894</v>
      </c>
    </row>
    <row r="13" spans="1:29" ht="13.9" customHeight="1">
      <c r="A13" t="s">
        <v>520</v>
      </c>
      <c r="B13" t="s">
        <v>521</v>
      </c>
      <c r="C13" s="19">
        <v>827</v>
      </c>
      <c r="E13" t="s">
        <v>521</v>
      </c>
      <c r="F13" s="19">
        <v>337</v>
      </c>
      <c r="G13" t="b">
        <f>IF(B13=E13,TRUE,FALSE)</f>
        <v>1</v>
      </c>
      <c r="J13" s="27">
        <f>F13-C13</f>
        <v>-490</v>
      </c>
      <c r="K13" s="4">
        <f>F13/C13-1</f>
        <v>-0.592503022974607</v>
      </c>
      <c r="M13" s="5">
        <v>1444.37</v>
      </c>
      <c r="N13" s="5">
        <v>529.88</v>
      </c>
      <c r="Q13" s="5">
        <v>2765.7</v>
      </c>
      <c r="T13" s="150">
        <f>N13-M13</f>
        <v>-914.4899999999999</v>
      </c>
      <c r="U13" s="4">
        <f>IF(M13=0,0,N13/M13-1)</f>
        <v>-0.6331410926563138</v>
      </c>
      <c r="W13" t="s">
        <v>522</v>
      </c>
      <c r="Z13" s="14" t="s">
        <v>523</v>
      </c>
      <c r="AA13" s="18">
        <v>24768.65</v>
      </c>
      <c r="AB13" s="18">
        <v>9494.15</v>
      </c>
      <c r="AC13" s="4">
        <f>AB13/AA13-1</f>
        <v>-0.61668681983071338</v>
      </c>
    </row>
    <row r="14" spans="1:29" ht="13.9" customHeight="1">
      <c r="A14" s="29" t="s">
        <v>524</v>
      </c>
      <c r="B14" s="29" t="s">
        <v>525</v>
      </c>
      <c r="C14" s="19">
        <v>1001</v>
      </c>
      <c r="E14" s="29" t="s">
        <v>525</v>
      </c>
      <c r="F14" s="19">
        <v>934</v>
      </c>
      <c r="G14" t="b">
        <f>IF(B14=E14,TRUE,FALSE)</f>
        <v>1</v>
      </c>
      <c r="J14" s="27">
        <f>F14-C14</f>
        <v>-67</v>
      </c>
      <c r="K14" s="4">
        <f>F14/C14-1</f>
        <v>-6.6933066933066887E-2</v>
      </c>
      <c r="M14" s="5">
        <v>2477.4299999999998</v>
      </c>
      <c r="N14" s="5">
        <v>1679.4</v>
      </c>
      <c r="Q14" s="5">
        <v>6750.74</v>
      </c>
      <c r="T14" s="150">
        <f>N14-M14</f>
        <v>-798.02999999999975</v>
      </c>
      <c r="U14" s="4">
        <f>IF(M14=0,0,N14/M14-1)</f>
        <v>-0.32212010026519411</v>
      </c>
      <c r="AA14" s="18">
        <v>14003.99</v>
      </c>
      <c r="AB14" s="18">
        <v>13052.67</v>
      </c>
      <c r="AC14" s="4">
        <f>AB14/AA14-1</f>
        <v>-6.7932067932067963E-2</v>
      </c>
    </row>
    <row r="15" spans="1:29" ht="13.9" customHeight="1">
      <c r="A15" t="s">
        <v>526</v>
      </c>
      <c r="B15" t="s">
        <v>527</v>
      </c>
      <c r="C15" s="19">
        <v>791</v>
      </c>
      <c r="E15" t="s">
        <v>527</v>
      </c>
      <c r="F15" s="19">
        <v>711</v>
      </c>
      <c r="G15" t="b">
        <f>IF(B15=E15,TRUE,FALSE)</f>
        <v>1</v>
      </c>
      <c r="J15" s="27">
        <f>F15-C15</f>
        <v>-80</v>
      </c>
      <c r="K15" s="4">
        <f>F15/C15-1</f>
        <v>-0.10113780025284447</v>
      </c>
      <c r="M15" s="5">
        <v>2213.9</v>
      </c>
      <c r="N15" s="5">
        <v>1448.65</v>
      </c>
      <c r="Q15" s="5">
        <v>5189.12</v>
      </c>
      <c r="T15" s="150">
        <f>N15-M15</f>
        <v>-765.25</v>
      </c>
      <c r="U15" s="4">
        <f>IF(M15=0,0,N15/M15-1)</f>
        <v>-0.34565698541036183</v>
      </c>
      <c r="W15" t="s">
        <v>528</v>
      </c>
      <c r="Y15" t="s">
        <v>529</v>
      </c>
      <c r="AA15" s="18">
        <v>15631.05</v>
      </c>
      <c r="AB15" s="18">
        <v>14212.89</v>
      </c>
      <c r="AC15" s="4">
        <f>AB15/AA15-1</f>
        <v>-9.0727110462828775E-2</v>
      </c>
    </row>
    <row r="16" spans="1:29" ht="13.9" customHeight="1">
      <c r="A16" t="s">
        <v>530</v>
      </c>
      <c r="B16" t="s">
        <v>531</v>
      </c>
      <c r="C16" s="19">
        <v>1953</v>
      </c>
      <c r="E16" t="s">
        <v>531</v>
      </c>
      <c r="F16" s="19">
        <v>1810</v>
      </c>
      <c r="G16" t="b">
        <f>IF(B16=E16,TRUE,FALSE)</f>
        <v>1</v>
      </c>
      <c r="J16" s="27">
        <f>F16-C16</f>
        <v>-143</v>
      </c>
      <c r="K16" s="4">
        <f>F16/C16-1</f>
        <v>-7.3220686123911971E-2</v>
      </c>
      <c r="M16" s="5">
        <v>3009.95</v>
      </c>
      <c r="N16" s="5">
        <v>2248.7199999999998</v>
      </c>
      <c r="Q16" s="5">
        <v>7469.38</v>
      </c>
      <c r="T16" s="150">
        <f>N16-M16</f>
        <v>-761.23</v>
      </c>
      <c r="U16" s="4">
        <f>IF(M16=0,0,N16/M16-1)</f>
        <v>-0.25290453329789531</v>
      </c>
      <c r="Y16" t="s">
        <v>532</v>
      </c>
      <c r="AA16" s="18">
        <v>34222.269999999997</v>
      </c>
      <c r="AB16" s="18">
        <v>31666.309999999998</v>
      </c>
      <c r="AC16" s="4">
        <f>AB16/AA16-1</f>
        <v>-7.4687038586277232E-2</v>
      </c>
    </row>
    <row r="17" spans="1:29" ht="13.9" customHeight="1">
      <c r="A17" t="s">
        <v>533</v>
      </c>
      <c r="B17" t="s">
        <v>534</v>
      </c>
      <c r="C17" s="19">
        <v>1232</v>
      </c>
      <c r="E17" t="s">
        <v>534</v>
      </c>
      <c r="F17" s="19">
        <v>972</v>
      </c>
      <c r="G17" t="b">
        <f>IF(B17=E17,TRUE,FALSE)</f>
        <v>1</v>
      </c>
      <c r="J17" s="27">
        <f>F17-C17</f>
        <v>-260</v>
      </c>
      <c r="K17" s="4">
        <f>F17/C17-1</f>
        <v>-0.21103896103896103</v>
      </c>
      <c r="M17" s="5">
        <v>2454.6</v>
      </c>
      <c r="N17" s="5">
        <v>1832.04</v>
      </c>
      <c r="Q17" s="5">
        <v>7269.57</v>
      </c>
      <c r="T17" s="150">
        <f>N17-M17</f>
        <v>-622.55999999999995</v>
      </c>
      <c r="U17" s="4">
        <f>IF(M17=0,0,N17/M17-1)</f>
        <v>-0.25362991933512591</v>
      </c>
      <c r="AA17" s="18">
        <v>18793.689999999999</v>
      </c>
      <c r="AB17" s="18">
        <v>15526.29</v>
      </c>
      <c r="AC17" s="4">
        <f>AB17/AA17-1</f>
        <v>-0.17385622514790855</v>
      </c>
    </row>
    <row r="18" spans="1:29" ht="13.9" customHeight="1">
      <c r="A18" t="s">
        <v>535</v>
      </c>
      <c r="B18" t="s">
        <v>536</v>
      </c>
      <c r="C18" s="19">
        <v>1815</v>
      </c>
      <c r="E18" t="s">
        <v>536</v>
      </c>
      <c r="F18" s="19">
        <v>1894</v>
      </c>
      <c r="G18" t="b">
        <f>IF(B18=E18,TRUE,FALSE)</f>
        <v>1</v>
      </c>
      <c r="J18" s="27">
        <f>F18-C18</f>
        <v>79</v>
      </c>
      <c r="K18" s="4">
        <f>F18/C18-1</f>
        <v>4.3526170798898089E-2</v>
      </c>
      <c r="M18" s="5">
        <v>4021.58</v>
      </c>
      <c r="N18" s="5">
        <v>3441.08</v>
      </c>
      <c r="Q18" s="5">
        <v>14602.45</v>
      </c>
      <c r="T18" s="150">
        <f>N18-M18</f>
        <v>-580.5</v>
      </c>
      <c r="U18" s="4">
        <f>IF(M18=0,0,N18/M18-1)</f>
        <v>-0.14434625197061857</v>
      </c>
      <c r="W18" t="s">
        <v>537</v>
      </c>
      <c r="Y18" t="s">
        <v>538</v>
      </c>
      <c r="AA18" s="18">
        <v>36209.25</v>
      </c>
      <c r="AB18" s="18">
        <v>37745.4</v>
      </c>
      <c r="AC18" s="4">
        <f>AB18/AA18-1</f>
        <v>4.2424242424242475E-2</v>
      </c>
    </row>
    <row r="19" spans="1:29" ht="13.9" customHeight="1">
      <c r="A19" t="s">
        <v>539</v>
      </c>
      <c r="B19" s="5" t="s">
        <v>540</v>
      </c>
      <c r="C19" s="19">
        <v>1658</v>
      </c>
      <c r="D19" s="5"/>
      <c r="E19" t="s">
        <v>540</v>
      </c>
      <c r="F19" s="19">
        <v>1667</v>
      </c>
      <c r="G19" t="b">
        <f>IF(B19=E19,TRUE,FALSE)</f>
        <v>1</v>
      </c>
      <c r="H19" s="5"/>
      <c r="I19" s="5"/>
      <c r="J19" s="27">
        <f>F19-C19</f>
        <v>9</v>
      </c>
      <c r="K19" s="4">
        <f>F19/C19-1</f>
        <v>5.4282267792520322E-3</v>
      </c>
      <c r="L19" s="5"/>
      <c r="M19" s="5">
        <v>3490.55</v>
      </c>
      <c r="N19" s="5">
        <v>2965.44</v>
      </c>
      <c r="O19" s="5"/>
      <c r="P19" s="5"/>
      <c r="Q19" s="5">
        <v>12445.59</v>
      </c>
      <c r="R19" s="5"/>
      <c r="S19" s="5"/>
      <c r="T19" s="150">
        <f>N19-M19</f>
        <v>-525.11000000000013</v>
      </c>
      <c r="U19" s="4">
        <f>IF(M19=0,0,N19/M19-1)</f>
        <v>-0.15043761011874923</v>
      </c>
      <c r="V19" s="5"/>
      <c r="W19" s="5"/>
      <c r="X19" s="5"/>
      <c r="Y19" s="5"/>
      <c r="Z19" s="15"/>
      <c r="AA19" s="18">
        <v>32332.09</v>
      </c>
      <c r="AB19" s="18">
        <v>32116.68</v>
      </c>
      <c r="AC19" s="4">
        <f>AB19/AA19-1</f>
        <v>-6.6624211425861946E-3</v>
      </c>
    </row>
    <row r="20" spans="1:29" ht="13.9" customHeight="1">
      <c r="A20" t="s">
        <v>541</v>
      </c>
      <c r="B20" s="29" t="s">
        <v>542</v>
      </c>
      <c r="C20" s="19">
        <v>843</v>
      </c>
      <c r="D20" s="19"/>
      <c r="E20" s="29" t="s">
        <v>542</v>
      </c>
      <c r="F20" s="19">
        <v>1142</v>
      </c>
      <c r="G20" t="b">
        <f>IF(B20=E20,TRUE,FALSE)</f>
        <v>1</v>
      </c>
      <c r="J20" s="27">
        <f>F20-C20</f>
        <v>299</v>
      </c>
      <c r="K20" s="4">
        <f>F20/C20-1</f>
        <v>0.3546856465005932</v>
      </c>
      <c r="M20" s="19">
        <v>1122.54</v>
      </c>
      <c r="N20" s="19">
        <v>598.61</v>
      </c>
      <c r="Q20" s="5">
        <v>2372.3000000000002</v>
      </c>
      <c r="T20" s="152">
        <f>N20-M20</f>
        <v>-523.92999999999995</v>
      </c>
      <c r="U20" s="4">
        <f>IF(M20=0,0,N20/M20-1)</f>
        <v>-0.46673615194113349</v>
      </c>
      <c r="AA20" s="18">
        <v>16851.57</v>
      </c>
      <c r="AB20" s="18">
        <v>22828.58</v>
      </c>
      <c r="AC20" s="4">
        <f>AB20/AA20-1</f>
        <v>0.3546856465005932</v>
      </c>
    </row>
    <row r="21" spans="1:29" ht="13.9" customHeight="1">
      <c r="A21" t="s">
        <v>543</v>
      </c>
      <c r="B21" t="s">
        <v>544</v>
      </c>
      <c r="C21" s="19">
        <v>3481</v>
      </c>
      <c r="E21" t="s">
        <v>544</v>
      </c>
      <c r="F21" s="19">
        <v>3637</v>
      </c>
      <c r="G21" t="b">
        <f>IF(B21=E21,TRUE,FALSE)</f>
        <v>1</v>
      </c>
      <c r="J21" s="27">
        <f>F21-C21</f>
        <v>156</v>
      </c>
      <c r="K21" s="4">
        <f>F21/C21-1</f>
        <v>4.481470841712154E-2</v>
      </c>
      <c r="M21" s="5">
        <v>7834.8600000000006</v>
      </c>
      <c r="N21" s="5">
        <v>7335.47</v>
      </c>
      <c r="Q21" s="5">
        <v>40762.49</v>
      </c>
      <c r="T21" s="150">
        <f>N21-M21</f>
        <v>-499.39000000000033</v>
      </c>
      <c r="U21" s="4">
        <f>IF(M21=0,0,N21/M21-1)</f>
        <v>-6.3739492473381842E-2</v>
      </c>
      <c r="W21" t="s">
        <v>545</v>
      </c>
      <c r="AA21" s="18">
        <v>93898.01</v>
      </c>
      <c r="AB21" s="18">
        <v>98162.63</v>
      </c>
      <c r="AC21" s="4">
        <f>AB21/AA21-1</f>
        <v>4.5417575942237942E-2</v>
      </c>
    </row>
    <row r="22" spans="1:29" ht="13.9" customHeight="1">
      <c r="A22" t="s">
        <v>546</v>
      </c>
      <c r="B22" t="s">
        <v>547</v>
      </c>
      <c r="C22" s="19">
        <v>1129</v>
      </c>
      <c r="E22" t="s">
        <v>547</v>
      </c>
      <c r="F22" s="19">
        <v>1050</v>
      </c>
      <c r="G22" t="b">
        <f>IF(B22=E22,TRUE,FALSE)</f>
        <v>1</v>
      </c>
      <c r="J22" s="27">
        <f>F22-C22</f>
        <v>-79</v>
      </c>
      <c r="K22" s="4">
        <f>F22/C22-1</f>
        <v>-6.9973427812223155E-2</v>
      </c>
      <c r="M22" s="5">
        <v>3108.3099999999995</v>
      </c>
      <c r="N22" s="5">
        <v>2642.42</v>
      </c>
      <c r="Q22" s="5">
        <v>16482.77</v>
      </c>
      <c r="T22" s="150">
        <f>N22-M22</f>
        <v>-465.88999999999942</v>
      </c>
      <c r="U22" s="4">
        <f>IF(M22=0,0,N22/M22-1)</f>
        <v>-0.14988530745002893</v>
      </c>
      <c r="Y22" t="s">
        <v>548</v>
      </c>
      <c r="AA22" s="18">
        <v>33783.599999999999</v>
      </c>
      <c r="AB22" s="18">
        <v>31417.55</v>
      </c>
      <c r="AC22" s="4">
        <f>AB22/AA22-1</f>
        <v>-7.0035460992907805E-2</v>
      </c>
    </row>
    <row r="23" spans="1:29" ht="13.9" customHeight="1">
      <c r="A23" s="29" t="s">
        <v>549</v>
      </c>
      <c r="B23" t="s">
        <v>550</v>
      </c>
      <c r="C23" s="19">
        <v>1793</v>
      </c>
      <c r="E23" s="29" t="s">
        <v>550</v>
      </c>
      <c r="F23" s="19">
        <v>1870</v>
      </c>
      <c r="G23" t="b">
        <f>IF(B23=E23,TRUE,FALSE)</f>
        <v>1</v>
      </c>
      <c r="J23" s="27">
        <f>F23-C23</f>
        <v>77</v>
      </c>
      <c r="K23" s="4">
        <f>F23/C23-1</f>
        <v>4.2944785276073594E-2</v>
      </c>
      <c r="M23" s="5">
        <v>4303.96</v>
      </c>
      <c r="N23" s="5">
        <v>3839.5</v>
      </c>
      <c r="Q23" s="5">
        <v>22336.93</v>
      </c>
      <c r="T23" s="150">
        <f>N23-M23</f>
        <v>-464.46000000000004</v>
      </c>
      <c r="U23" s="4">
        <f>IF(M23=0,0,N23/M23-1)</f>
        <v>-0.107914571696763</v>
      </c>
      <c r="AA23" s="18">
        <v>25252.65</v>
      </c>
      <c r="AB23" s="18">
        <v>30336.57</v>
      </c>
      <c r="AC23" s="4">
        <f>AB23/AA23-1</f>
        <v>0.20132223746814693</v>
      </c>
    </row>
    <row r="24" spans="1:29" ht="13.9" customHeight="1">
      <c r="A24" t="s">
        <v>551</v>
      </c>
      <c r="B24" t="s">
        <v>552</v>
      </c>
      <c r="C24" s="19">
        <v>1407</v>
      </c>
      <c r="D24" s="5"/>
      <c r="E24" t="s">
        <v>552</v>
      </c>
      <c r="F24" s="19">
        <v>1359</v>
      </c>
      <c r="G24" t="b">
        <f>IF(B24=E24,TRUE,FALSE)</f>
        <v>1</v>
      </c>
      <c r="H24" s="5"/>
      <c r="I24" s="5"/>
      <c r="J24" s="27">
        <f>F24-C24</f>
        <v>-48</v>
      </c>
      <c r="K24" s="4">
        <f>F24/C24-1</f>
        <v>-3.4115138592750505E-2</v>
      </c>
      <c r="L24" s="5"/>
      <c r="M24" s="5">
        <v>3102.49</v>
      </c>
      <c r="N24" s="5">
        <v>2670.18</v>
      </c>
      <c r="O24" s="5"/>
      <c r="P24" s="5"/>
      <c r="Q24" s="5">
        <v>12393.09</v>
      </c>
      <c r="R24" s="5"/>
      <c r="S24" s="5"/>
      <c r="T24" s="150">
        <f>N24-M24</f>
        <v>-432.30999999999995</v>
      </c>
      <c r="U24" s="4">
        <f>IF(M24=0,0,N24/M24-1)</f>
        <v>-0.13934291488449602</v>
      </c>
      <c r="V24" s="5"/>
      <c r="W24" s="5"/>
      <c r="X24" s="5"/>
      <c r="Y24" s="5"/>
      <c r="Z24" s="15"/>
      <c r="AA24" s="18">
        <v>33958.93</v>
      </c>
      <c r="AB24" s="18">
        <v>33961.410000000003</v>
      </c>
      <c r="AC24" s="4">
        <f>AB24/AA24-1</f>
        <v>7.3029391679968469E-5</v>
      </c>
    </row>
    <row r="25" spans="1:29" ht="13.9" customHeight="1">
      <c r="A25" t="s">
        <v>553</v>
      </c>
      <c r="B25" t="s">
        <v>554</v>
      </c>
      <c r="C25" s="19">
        <v>3320</v>
      </c>
      <c r="E25" t="s">
        <v>554</v>
      </c>
      <c r="F25" s="19">
        <v>2197</v>
      </c>
      <c r="G25" t="b">
        <f>IF(B25=E25,TRUE,FALSE)</f>
        <v>1</v>
      </c>
      <c r="J25" s="27">
        <f>F25-C25</f>
        <v>-1123</v>
      </c>
      <c r="K25" s="4">
        <f>F25/C25-1</f>
        <v>-0.3382530120481928</v>
      </c>
      <c r="M25" s="5">
        <v>3778.17</v>
      </c>
      <c r="N25" s="5">
        <v>3365.88</v>
      </c>
      <c r="Q25" s="5">
        <v>11414.79</v>
      </c>
      <c r="T25" s="150">
        <f>N25-M25</f>
        <v>-412.28999999999996</v>
      </c>
      <c r="U25" s="4">
        <f>IF(M25=0,0,N25/M25-1)</f>
        <v>-0.10912425856962493</v>
      </c>
      <c r="AA25" s="18">
        <v>61989.14</v>
      </c>
      <c r="AB25" s="18">
        <v>41533.11</v>
      </c>
      <c r="AC25" s="4">
        <f>AB25/AA25-1</f>
        <v>-0.32999376987646545</v>
      </c>
    </row>
    <row r="26" spans="1:29" ht="13.9" customHeight="1">
      <c r="A26" t="s">
        <v>555</v>
      </c>
      <c r="B26" t="s">
        <v>556</v>
      </c>
      <c r="C26" s="19">
        <v>4967</v>
      </c>
      <c r="E26" t="s">
        <v>556</v>
      </c>
      <c r="F26" s="19">
        <v>5550</v>
      </c>
      <c r="G26" t="b">
        <f>IF(B26=E26,TRUE,FALSE)</f>
        <v>1</v>
      </c>
      <c r="J26" s="27">
        <f>F26-C26</f>
        <v>583</v>
      </c>
      <c r="K26" s="4">
        <f>F26/C26-1</f>
        <v>0.11737467284074898</v>
      </c>
      <c r="M26" s="5">
        <v>10285.14</v>
      </c>
      <c r="N26" s="5">
        <v>9885.65</v>
      </c>
      <c r="Q26" s="5">
        <v>52866.62</v>
      </c>
      <c r="T26" s="150">
        <f>N26-M26</f>
        <v>-399.48999999999978</v>
      </c>
      <c r="U26" s="4">
        <f>IF(M26=0,0,N26/M26-1)</f>
        <v>-3.8841474204531989E-2</v>
      </c>
      <c r="W26" t="s">
        <v>557</v>
      </c>
      <c r="AA26" s="18">
        <v>123354.34</v>
      </c>
      <c r="AB26" s="18">
        <v>138550.5</v>
      </c>
      <c r="AC26" s="4">
        <f>AB26/AA26-1</f>
        <v>0.12319112566286683</v>
      </c>
    </row>
    <row r="27" spans="1:29" ht="13.9" customHeight="1">
      <c r="A27" t="s">
        <v>558</v>
      </c>
      <c r="B27" t="s">
        <v>559</v>
      </c>
      <c r="C27" s="19">
        <v>3089</v>
      </c>
      <c r="E27" t="s">
        <v>559</v>
      </c>
      <c r="F27" s="19">
        <v>3398</v>
      </c>
      <c r="G27" t="b">
        <f>IF(B27=E27,TRUE,FALSE)</f>
        <v>1</v>
      </c>
      <c r="J27" s="27">
        <f>F27-C27</f>
        <v>309</v>
      </c>
      <c r="K27" s="4">
        <f>F27/C27-1</f>
        <v>0.10003237293622536</v>
      </c>
      <c r="M27" s="5">
        <v>4762.47</v>
      </c>
      <c r="N27" s="5">
        <v>4409.53</v>
      </c>
      <c r="Q27" s="5">
        <v>27799.89</v>
      </c>
      <c r="T27" s="150">
        <f>N27-M27</f>
        <v>-352.94000000000051</v>
      </c>
      <c r="U27" s="4">
        <f>IF(M27=0,0,N27/M27-1)</f>
        <v>-7.4108603308787324E-2</v>
      </c>
      <c r="AA27" s="18">
        <v>69934.539999999994</v>
      </c>
      <c r="AB27" s="18">
        <v>77291.42</v>
      </c>
      <c r="AC27" s="4">
        <f>AB27/AA27-1</f>
        <v>0.10519665961912383</v>
      </c>
    </row>
    <row r="28" spans="1:29" ht="13.9" customHeight="1">
      <c r="A28" t="s">
        <v>560</v>
      </c>
      <c r="B28" t="s">
        <v>561</v>
      </c>
      <c r="C28" s="19">
        <v>1029</v>
      </c>
      <c r="D28" s="5"/>
      <c r="E28" t="s">
        <v>561</v>
      </c>
      <c r="F28" s="19">
        <v>1001</v>
      </c>
      <c r="G28" t="b">
        <f>IF(B28=E28,TRUE,FALSE)</f>
        <v>1</v>
      </c>
      <c r="H28" s="5"/>
      <c r="I28" s="5"/>
      <c r="J28" s="27">
        <f>F28-C28</f>
        <v>-28</v>
      </c>
      <c r="K28" s="4">
        <f>F28/C28-1</f>
        <v>-2.7210884353741527E-2</v>
      </c>
      <c r="L28" s="5"/>
      <c r="M28" s="5">
        <v>1646.73</v>
      </c>
      <c r="N28" s="5">
        <v>1293.8800000000001</v>
      </c>
      <c r="O28" s="5"/>
      <c r="P28" s="5"/>
      <c r="Q28" s="5">
        <v>7910.2</v>
      </c>
      <c r="R28" s="5"/>
      <c r="S28" s="5"/>
      <c r="T28" s="150">
        <f>N28-M28</f>
        <v>-352.84999999999991</v>
      </c>
      <c r="U28" s="4">
        <f>IF(M28=0,0,N28/M28-1)</f>
        <v>-0.21427313524378611</v>
      </c>
      <c r="V28" s="5"/>
      <c r="W28" s="5"/>
      <c r="X28" s="5"/>
      <c r="Y28" s="5"/>
      <c r="Z28" s="15"/>
      <c r="AA28" s="18">
        <v>30818.55</v>
      </c>
      <c r="AB28" s="18">
        <v>29950</v>
      </c>
      <c r="AC28" s="4">
        <f>AB28/AA28-1</f>
        <v>-2.8182701652089359E-2</v>
      </c>
    </row>
    <row r="29" spans="1:29" ht="13.9" customHeight="1">
      <c r="A29" t="s">
        <v>562</v>
      </c>
      <c r="B29" t="s">
        <v>563</v>
      </c>
      <c r="C29" s="19">
        <v>2301</v>
      </c>
      <c r="E29" t="s">
        <v>563</v>
      </c>
      <c r="F29" s="19">
        <v>2201</v>
      </c>
      <c r="G29" t="b">
        <f>IF(B29=E29,TRUE,FALSE)</f>
        <v>1</v>
      </c>
      <c r="J29" s="27">
        <f>F29-C29</f>
        <v>-100</v>
      </c>
      <c r="K29" s="4">
        <f>F29/C29-1</f>
        <v>-4.3459365493263791E-2</v>
      </c>
      <c r="M29" s="5">
        <v>3121.07</v>
      </c>
      <c r="N29" s="5">
        <v>2780.43</v>
      </c>
      <c r="Q29" s="5">
        <v>14210.56</v>
      </c>
      <c r="T29" s="150">
        <f>N29-M29</f>
        <v>-340.64000000000033</v>
      </c>
      <c r="U29" s="4">
        <f>IF(M29=0,0,N29/M29-1)</f>
        <v>-0.10914205705094737</v>
      </c>
      <c r="AA29" s="18">
        <v>50463.05</v>
      </c>
      <c r="AB29" s="18">
        <v>48312.03</v>
      </c>
      <c r="AC29" s="4">
        <f>AB29/AA29-1</f>
        <v>-4.2625643911733513E-2</v>
      </c>
    </row>
    <row r="30" spans="1:29" ht="13.9" customHeight="1">
      <c r="A30" t="s">
        <v>564</v>
      </c>
      <c r="B30" t="s">
        <v>565</v>
      </c>
      <c r="C30" s="19">
        <v>720</v>
      </c>
      <c r="E30" t="s">
        <v>565</v>
      </c>
      <c r="F30" s="19">
        <v>706</v>
      </c>
      <c r="G30" t="b">
        <f>IF(B30=E30,TRUE,FALSE)</f>
        <v>1</v>
      </c>
      <c r="J30" s="27">
        <f>F30-C30</f>
        <v>-14</v>
      </c>
      <c r="K30" s="4">
        <f>F30/C30-1</f>
        <v>-1.9444444444444486E-2</v>
      </c>
      <c r="M30" s="5">
        <v>1154.8499999999999</v>
      </c>
      <c r="N30" s="5">
        <v>887.74</v>
      </c>
      <c r="Q30" s="5">
        <v>6482.3</v>
      </c>
      <c r="T30" s="150">
        <f>N30-M30</f>
        <v>-267.1099999999999</v>
      </c>
      <c r="U30" s="4">
        <f>IF(M30=0,0,N30/M30-1)</f>
        <v>-0.23129410745984325</v>
      </c>
      <c r="AA30" s="18">
        <v>13644</v>
      </c>
      <c r="AB30" s="18">
        <v>13692.779999999999</v>
      </c>
      <c r="AC30" s="4">
        <f>AB30/AA30-1</f>
        <v>3.5751978891820357E-3</v>
      </c>
    </row>
    <row r="31" spans="1:29" ht="13.9" customHeight="1">
      <c r="A31" s="29" t="s">
        <v>566</v>
      </c>
      <c r="B31" s="29" t="s">
        <v>567</v>
      </c>
      <c r="C31" s="19">
        <v>1905</v>
      </c>
      <c r="E31" s="29" t="s">
        <v>567</v>
      </c>
      <c r="F31" s="19">
        <v>871</v>
      </c>
      <c r="G31" t="b">
        <f>IF(B31=E31,TRUE,FALSE)</f>
        <v>1</v>
      </c>
      <c r="J31" s="27">
        <f>F31-C31</f>
        <v>-1034</v>
      </c>
      <c r="K31" s="4">
        <f>F31/C31-1</f>
        <v>-0.54278215223097115</v>
      </c>
      <c r="M31" s="5">
        <v>2041.7400000000002</v>
      </c>
      <c r="N31" s="5">
        <v>1788.28</v>
      </c>
      <c r="Q31" s="5">
        <v>9908.57</v>
      </c>
      <c r="T31" s="150">
        <f>N31-M31</f>
        <v>-253.46000000000026</v>
      </c>
      <c r="U31" s="4">
        <f>IF(M31=0,0,N31/M31-1)</f>
        <v>-0.12413921459147603</v>
      </c>
      <c r="AA31" s="18">
        <v>36348.949999999997</v>
      </c>
      <c r="AB31" s="18">
        <v>17391.3</v>
      </c>
      <c r="AC31" s="4">
        <f>AB31/AA31-1</f>
        <v>-0.52154601439656445</v>
      </c>
    </row>
    <row r="32" spans="1:29" ht="13.9" customHeight="1">
      <c r="A32" t="s">
        <v>568</v>
      </c>
      <c r="B32" t="s">
        <v>569</v>
      </c>
      <c r="C32" s="19">
        <v>857</v>
      </c>
      <c r="E32" t="s">
        <v>569</v>
      </c>
      <c r="F32" s="19">
        <v>709</v>
      </c>
      <c r="G32" t="b">
        <f>IF(B32=E32,TRUE,FALSE)</f>
        <v>1</v>
      </c>
      <c r="J32" s="27">
        <f>F32-C32</f>
        <v>-148</v>
      </c>
      <c r="K32" s="4">
        <f>F32/C32-1</f>
        <v>-0.17269544924154023</v>
      </c>
      <c r="M32" s="5">
        <v>580.86</v>
      </c>
      <c r="N32" s="5">
        <v>343.68</v>
      </c>
      <c r="Q32" s="5">
        <v>2639.37</v>
      </c>
      <c r="T32" s="150">
        <f>N32-M32</f>
        <v>-237.18</v>
      </c>
      <c r="U32" s="4">
        <f>IF(M32=0,0,N32/M32-1)</f>
        <v>-0.40832558619977277</v>
      </c>
      <c r="AA32" s="18">
        <v>33380.149999999994</v>
      </c>
      <c r="AB32" s="18">
        <v>27810.3</v>
      </c>
      <c r="AC32" s="4">
        <f>AB32/AA32-1</f>
        <v>-0.16686114352392056</v>
      </c>
    </row>
    <row r="33" spans="1:29">
      <c r="A33" t="s">
        <v>570</v>
      </c>
      <c r="B33" t="s">
        <v>571</v>
      </c>
      <c r="C33" s="19">
        <v>994</v>
      </c>
      <c r="E33" t="s">
        <v>571</v>
      </c>
      <c r="F33" s="19">
        <v>957</v>
      </c>
      <c r="G33" t="b">
        <f>IF(B33=E33,TRUE,FALSE)</f>
        <v>1</v>
      </c>
      <c r="J33" s="27">
        <f>F33-C33</f>
        <v>-37</v>
      </c>
      <c r="K33" s="4">
        <f>F33/C33-1</f>
        <v>-3.7223340040241415E-2</v>
      </c>
      <c r="M33" s="5">
        <v>1188.49</v>
      </c>
      <c r="N33" s="5">
        <v>952.57</v>
      </c>
      <c r="Q33" s="5">
        <v>3576.02</v>
      </c>
      <c r="T33" s="150">
        <f>N33-M33</f>
        <v>-235.91999999999996</v>
      </c>
      <c r="U33" s="4">
        <f>IF(M33=0,0,N33/M33-1)</f>
        <v>-0.19850398404698399</v>
      </c>
      <c r="AA33" s="18">
        <v>9890.2999999999993</v>
      </c>
      <c r="AB33" s="18">
        <v>9502.25</v>
      </c>
      <c r="AC33" s="4">
        <f>AB33/AA33-1</f>
        <v>-3.9235412474849074E-2</v>
      </c>
    </row>
    <row r="34" spans="1:29">
      <c r="A34" s="5" t="s">
        <v>572</v>
      </c>
      <c r="B34" t="s">
        <v>573</v>
      </c>
      <c r="C34" s="19">
        <v>996</v>
      </c>
      <c r="D34" s="5"/>
      <c r="E34" t="s">
        <v>573</v>
      </c>
      <c r="F34" s="19">
        <v>1097</v>
      </c>
      <c r="G34" t="b">
        <f>IF(B34=E34,TRUE,FALSE)</f>
        <v>1</v>
      </c>
      <c r="H34" s="5"/>
      <c r="I34" s="5"/>
      <c r="J34" s="27">
        <f>F34-C34</f>
        <v>101</v>
      </c>
      <c r="K34" s="4">
        <f>F34/C34-1</f>
        <v>0.10140562248995977</v>
      </c>
      <c r="L34" s="5"/>
      <c r="M34" s="5">
        <v>2541.3500000000004</v>
      </c>
      <c r="N34" s="5">
        <v>2322.02</v>
      </c>
      <c r="O34" s="5"/>
      <c r="P34" s="5"/>
      <c r="Q34" s="5">
        <v>9797.44</v>
      </c>
      <c r="R34" s="5"/>
      <c r="S34" s="5"/>
      <c r="T34" s="150">
        <f>N34-M34</f>
        <v>-219.33000000000038</v>
      </c>
      <c r="U34" s="4">
        <f>IF(M34=0,0,N34/M34-1)</f>
        <v>-8.6304523186495508E-2</v>
      </c>
      <c r="V34" s="5"/>
      <c r="W34" s="5"/>
      <c r="X34" s="5"/>
      <c r="Y34" s="5"/>
      <c r="Z34" s="15"/>
      <c r="AA34" s="18">
        <v>17918.04</v>
      </c>
      <c r="AB34" s="18">
        <v>19295.830000000002</v>
      </c>
      <c r="AC34" s="4">
        <f>AB34/AA34-1</f>
        <v>7.6894012961239211E-2</v>
      </c>
    </row>
    <row r="35" spans="1:29">
      <c r="A35" s="56" t="s">
        <v>574</v>
      </c>
      <c r="B35" s="39" t="s">
        <v>575</v>
      </c>
      <c r="C35" s="19">
        <v>445</v>
      </c>
      <c r="E35" s="39" t="s">
        <v>575</v>
      </c>
      <c r="F35" s="19">
        <v>611</v>
      </c>
      <c r="G35" t="b">
        <f>IF(B35=E35,TRUE,FALSE)</f>
        <v>1</v>
      </c>
      <c r="J35" s="27">
        <f>F35-C35</f>
        <v>166</v>
      </c>
      <c r="K35" s="4">
        <f>F35/C36-1</f>
        <v>-0.55595930232558133</v>
      </c>
      <c r="M35" s="5">
        <v>1677.9</v>
      </c>
      <c r="N35" s="5">
        <v>1458.74</v>
      </c>
      <c r="Q35" s="5">
        <v>8189.37</v>
      </c>
      <c r="T35" s="150">
        <f>N35-M35</f>
        <v>-219.16000000000008</v>
      </c>
      <c r="U35" s="4">
        <f>IF(M35=0,0,N35/M35-1)</f>
        <v>-0.13061565051552537</v>
      </c>
      <c r="AA35" s="18">
        <v>8855.57</v>
      </c>
      <c r="AB35" s="18">
        <v>12213.89</v>
      </c>
      <c r="AC35" s="4">
        <f>AB35/AA35-1</f>
        <v>0.37923250564334077</v>
      </c>
    </row>
    <row r="36" spans="1:29">
      <c r="A36" s="56" t="s">
        <v>576</v>
      </c>
      <c r="B36" s="39" t="s">
        <v>577</v>
      </c>
      <c r="C36" s="19">
        <v>1376</v>
      </c>
      <c r="E36" s="39" t="s">
        <v>577</v>
      </c>
      <c r="F36" s="19">
        <v>1206</v>
      </c>
      <c r="G36" t="b">
        <f>IF(B36=E36,TRUE,FALSE)</f>
        <v>1</v>
      </c>
      <c r="J36" s="27">
        <f>F36-C36</f>
        <v>-170</v>
      </c>
      <c r="K36" s="4">
        <f>F36/C37-1</f>
        <v>0.23565573770491799</v>
      </c>
      <c r="M36" s="5">
        <v>1526.97</v>
      </c>
      <c r="N36" s="5">
        <v>1339.91</v>
      </c>
      <c r="Q36" s="5">
        <v>3761.3</v>
      </c>
      <c r="T36" s="150">
        <f>N36-M36</f>
        <v>-187.05999999999995</v>
      </c>
      <c r="U36" s="4">
        <f>IF(M36=0,0,N36/M36-1)</f>
        <v>-0.12250404395633174</v>
      </c>
      <c r="AA36" s="18">
        <v>13290.68</v>
      </c>
      <c r="AB36" s="18">
        <v>11862.6</v>
      </c>
      <c r="AC36" s="4">
        <f>AB36/AA36-1</f>
        <v>-0.1074497316916817</v>
      </c>
    </row>
    <row r="37" spans="1:29">
      <c r="A37" t="s">
        <v>578</v>
      </c>
      <c r="B37" t="s">
        <v>579</v>
      </c>
      <c r="C37" s="19">
        <v>976</v>
      </c>
      <c r="E37" t="s">
        <v>579</v>
      </c>
      <c r="F37" s="19">
        <v>931</v>
      </c>
      <c r="G37" t="b">
        <f>IF(B37=E37,TRUE,FALSE)</f>
        <v>1</v>
      </c>
      <c r="J37" s="27">
        <f>F37-C37</f>
        <v>-45</v>
      </c>
      <c r="K37" s="4">
        <f>F37/C37-1</f>
        <v>-4.6106557377049162E-2</v>
      </c>
      <c r="M37" s="5">
        <v>1759.63</v>
      </c>
      <c r="N37" s="5">
        <v>1583.03</v>
      </c>
      <c r="Q37" s="5">
        <v>6450.04</v>
      </c>
      <c r="T37" s="150">
        <f>N37-M37</f>
        <v>-176.60000000000014</v>
      </c>
      <c r="U37" s="4">
        <f>IF(M37=0,0,N37/M37-1)</f>
        <v>-0.10036200792212002</v>
      </c>
      <c r="AA37" s="18">
        <v>19451.25</v>
      </c>
      <c r="AB37" s="18">
        <v>18573.45</v>
      </c>
      <c r="AC37" s="4">
        <f>AB37/AA37-1</f>
        <v>-4.5128205128205146E-2</v>
      </c>
    </row>
    <row r="38" spans="1:29">
      <c r="A38" t="s">
        <v>580</v>
      </c>
      <c r="B38" t="s">
        <v>581</v>
      </c>
      <c r="C38" s="19">
        <v>570</v>
      </c>
      <c r="E38" t="s">
        <v>581</v>
      </c>
      <c r="F38" s="19">
        <v>433</v>
      </c>
      <c r="G38" t="b">
        <f>IF(B38=E38,TRUE,FALSE)</f>
        <v>1</v>
      </c>
      <c r="J38" s="27">
        <f>F38-C38</f>
        <v>-137</v>
      </c>
      <c r="K38" s="4">
        <f>F38/C38-1</f>
        <v>-0.24035087719298243</v>
      </c>
      <c r="M38" s="5">
        <v>447.4</v>
      </c>
      <c r="N38" s="5">
        <v>283.95999999999998</v>
      </c>
      <c r="Q38" s="5">
        <v>1260.3699999999999</v>
      </c>
      <c r="T38" s="150">
        <f>N38-M38</f>
        <v>-163.44</v>
      </c>
      <c r="U38" s="4">
        <f>IF(M38=0,0,N38/M38-1)</f>
        <v>-0.36531068395172106</v>
      </c>
      <c r="AA38" s="18">
        <v>11394.3</v>
      </c>
      <c r="AB38" s="18">
        <v>8655.67</v>
      </c>
      <c r="AC38" s="4">
        <f>AB38/AA38-1</f>
        <v>-0.24035087719298243</v>
      </c>
    </row>
    <row r="39" spans="1:29">
      <c r="A39" t="s">
        <v>582</v>
      </c>
      <c r="B39" t="s">
        <v>583</v>
      </c>
      <c r="C39" s="19">
        <v>1531</v>
      </c>
      <c r="D39" s="5"/>
      <c r="E39" t="s">
        <v>583</v>
      </c>
      <c r="F39" s="19">
        <v>1372</v>
      </c>
      <c r="G39" t="b">
        <f>IF(B39=E39,TRUE,FALSE)</f>
        <v>1</v>
      </c>
      <c r="H39" s="5"/>
      <c r="I39" s="5"/>
      <c r="J39" s="27">
        <f>F39-C39</f>
        <v>-159</v>
      </c>
      <c r="K39" s="4">
        <f>F39/C39-1</f>
        <v>-0.1038536903984324</v>
      </c>
      <c r="L39" s="5"/>
      <c r="M39" s="5">
        <v>3324.98</v>
      </c>
      <c r="N39" s="5">
        <v>3179.39</v>
      </c>
      <c r="O39" s="5"/>
      <c r="P39" s="5"/>
      <c r="Q39" s="5">
        <v>15313.59</v>
      </c>
      <c r="R39" s="5"/>
      <c r="S39" s="5"/>
      <c r="T39" s="150">
        <f>N39-M39</f>
        <v>-145.59000000000015</v>
      </c>
      <c r="U39" s="4">
        <f>IF(M39=0,0,N39/M39-1)</f>
        <v>-4.3786729544237901E-2</v>
      </c>
      <c r="V39" s="5"/>
      <c r="W39" s="5"/>
      <c r="X39" s="5"/>
      <c r="Y39" s="5"/>
      <c r="Z39" s="15"/>
      <c r="AA39" s="18">
        <v>27438.7</v>
      </c>
      <c r="AB39" s="18">
        <v>27275.279999999999</v>
      </c>
      <c r="AC39" s="4">
        <f>AB39/AA39-1</f>
        <v>-5.955821522156679E-3</v>
      </c>
    </row>
    <row r="40" spans="1:29">
      <c r="A40" t="s">
        <v>584</v>
      </c>
      <c r="B40" t="s">
        <v>585</v>
      </c>
      <c r="C40" s="19">
        <v>1034</v>
      </c>
      <c r="E40" t="s">
        <v>585</v>
      </c>
      <c r="F40" s="19">
        <v>1003</v>
      </c>
      <c r="G40" t="b">
        <f>IF(B40=E40,TRUE,FALSE)</f>
        <v>1</v>
      </c>
      <c r="J40" s="27">
        <f>F40-C40</f>
        <v>-31</v>
      </c>
      <c r="K40" s="4">
        <f>F40/C40-1</f>
        <v>-2.9980657640232056E-2</v>
      </c>
      <c r="M40" s="5">
        <v>1024.58</v>
      </c>
      <c r="N40" s="5">
        <v>879.2</v>
      </c>
      <c r="Q40" s="5">
        <v>5165.2299999999996</v>
      </c>
      <c r="T40" s="150">
        <f>N40-M40</f>
        <v>-145.37999999999988</v>
      </c>
      <c r="U40" s="4">
        <f>IF(M40=0,0,N40/M40-1)</f>
        <v>-0.14189228757149264</v>
      </c>
      <c r="AA40" s="18">
        <v>20608.349999999999</v>
      </c>
      <c r="AB40" s="18">
        <v>20009.849999999999</v>
      </c>
      <c r="AC40" s="4">
        <f>AB40/AA40-1</f>
        <v>-2.9041626331074544E-2</v>
      </c>
    </row>
    <row r="41" spans="1:29">
      <c r="A41" t="s">
        <v>586</v>
      </c>
      <c r="B41" t="s">
        <v>587</v>
      </c>
      <c r="C41" s="19">
        <v>902</v>
      </c>
      <c r="D41" s="5"/>
      <c r="E41" t="s">
        <v>587</v>
      </c>
      <c r="F41" s="19">
        <v>1195</v>
      </c>
      <c r="G41" t="b">
        <f>IF(B41=E41,TRUE,FALSE)</f>
        <v>1</v>
      </c>
      <c r="H41" s="5"/>
      <c r="I41" s="5"/>
      <c r="J41" s="27">
        <f>F41-C41</f>
        <v>293</v>
      </c>
      <c r="K41" s="4">
        <f>F41/C41-1</f>
        <v>0.32483370288248348</v>
      </c>
      <c r="L41" s="5"/>
      <c r="M41" s="5">
        <v>2395.2600000000002</v>
      </c>
      <c r="N41" s="5">
        <v>2255.9299999999998</v>
      </c>
      <c r="O41" s="5"/>
      <c r="P41" s="5"/>
      <c r="Q41" s="5">
        <v>9904.7900000000009</v>
      </c>
      <c r="R41" s="5"/>
      <c r="S41" s="5"/>
      <c r="T41" s="150">
        <f>N41-M41</f>
        <v>-139.33000000000038</v>
      </c>
      <c r="U41" s="4">
        <f>IF(M41=0,0,N41/M41-1)</f>
        <v>-5.8169050541486245E-2</v>
      </c>
      <c r="V41" s="5"/>
      <c r="W41" s="5"/>
      <c r="X41" s="5"/>
      <c r="Y41" s="5"/>
      <c r="Z41" s="15"/>
      <c r="AA41" s="18">
        <v>24333.4</v>
      </c>
      <c r="AB41" s="18">
        <v>32221.4</v>
      </c>
      <c r="AC41" s="4">
        <f>AB41/AA41-1</f>
        <v>0.32416349544247813</v>
      </c>
    </row>
    <row r="42" spans="1:29" ht="16.5">
      <c r="A42" s="25" t="s">
        <v>588</v>
      </c>
      <c r="B42" s="24" t="s">
        <v>589</v>
      </c>
      <c r="C42" s="19">
        <v>915</v>
      </c>
      <c r="D42" s="5"/>
      <c r="E42" s="24" t="s">
        <v>589</v>
      </c>
      <c r="F42" s="19">
        <v>968</v>
      </c>
      <c r="G42" t="b">
        <f>IF(B42=E42,TRUE,FALSE)</f>
        <v>1</v>
      </c>
      <c r="H42" s="5"/>
      <c r="I42" s="5"/>
      <c r="J42" s="27">
        <f>F42-C42</f>
        <v>53</v>
      </c>
      <c r="K42" s="4">
        <f>F42/C42-1</f>
        <v>5.7923497267759583E-2</v>
      </c>
      <c r="L42" s="5"/>
      <c r="M42" s="5">
        <v>2157.83</v>
      </c>
      <c r="N42" s="5">
        <v>2030.96</v>
      </c>
      <c r="O42" s="5"/>
      <c r="P42" s="5"/>
      <c r="Q42" s="5">
        <v>9229.73</v>
      </c>
      <c r="R42" s="5"/>
      <c r="S42" s="5"/>
      <c r="T42" s="150">
        <f>N42-M42</f>
        <v>-126.86999999999989</v>
      </c>
      <c r="U42" s="4">
        <f>IF(M42=0,0,N42/M42-1)</f>
        <v>-5.8795178489500999E-2</v>
      </c>
      <c r="V42" s="5"/>
      <c r="W42" s="5"/>
      <c r="X42" s="5"/>
      <c r="Y42" s="5"/>
      <c r="Z42" s="15"/>
      <c r="AA42" s="18">
        <v>13715.85</v>
      </c>
      <c r="AB42" s="18">
        <v>14465.35</v>
      </c>
      <c r="AC42" s="4">
        <f>AB42/AA42-1</f>
        <v>5.464480874316946E-2</v>
      </c>
    </row>
    <row r="43" spans="1:29">
      <c r="A43" t="s">
        <v>590</v>
      </c>
      <c r="B43" t="s">
        <v>591</v>
      </c>
      <c r="C43" s="19">
        <v>700</v>
      </c>
      <c r="E43" t="s">
        <v>591</v>
      </c>
      <c r="F43" s="19">
        <v>595</v>
      </c>
      <c r="G43" t="b">
        <f>IF(B43=E43,TRUE,FALSE)</f>
        <v>1</v>
      </c>
      <c r="J43" s="27">
        <f>F43-C43</f>
        <v>-105</v>
      </c>
      <c r="K43" s="4">
        <f>F43/C43-1</f>
        <v>-0.15000000000000002</v>
      </c>
      <c r="M43" s="5">
        <v>612.22</v>
      </c>
      <c r="N43" s="5">
        <v>486.99</v>
      </c>
      <c r="Q43" s="5">
        <v>3064.35</v>
      </c>
      <c r="T43" s="150">
        <f>N43-M43</f>
        <v>-125.23000000000002</v>
      </c>
      <c r="U43" s="4">
        <f>IF(M43=0,0,N43/M43-1)</f>
        <v>-0.20455065172650355</v>
      </c>
      <c r="AA43" s="18">
        <v>23065</v>
      </c>
      <c r="AB43" s="18">
        <v>19605.25</v>
      </c>
      <c r="AC43" s="4">
        <f>AB43/AA43-1</f>
        <v>-0.15000000000000002</v>
      </c>
    </row>
    <row r="44" spans="1:29">
      <c r="A44" t="s">
        <v>592</v>
      </c>
      <c r="B44" t="s">
        <v>593</v>
      </c>
      <c r="C44" s="19">
        <v>723</v>
      </c>
      <c r="E44" t="s">
        <v>593</v>
      </c>
      <c r="F44" s="19">
        <v>722</v>
      </c>
      <c r="G44" t="b">
        <f>IF(B44=E44,TRUE,FALSE)</f>
        <v>1</v>
      </c>
      <c r="J44" s="27">
        <f>F44-C44</f>
        <v>-1</v>
      </c>
      <c r="K44" s="4">
        <f>F44/C44-1</f>
        <v>-1.3831258644536604E-3</v>
      </c>
      <c r="M44" s="5">
        <v>612.1</v>
      </c>
      <c r="N44" s="5">
        <v>486.87</v>
      </c>
      <c r="Q44" s="5">
        <v>3168.7</v>
      </c>
      <c r="T44" s="150">
        <f>N44-M44</f>
        <v>-125.23000000000002</v>
      </c>
      <c r="U44" s="4">
        <f>IF(M44=0,0,N44/M44-1)</f>
        <v>-0.20459075314491093</v>
      </c>
      <c r="W44" t="s">
        <v>594</v>
      </c>
      <c r="AA44" s="18">
        <v>18038.849999999999</v>
      </c>
      <c r="AB44" s="18">
        <v>18013.900000000001</v>
      </c>
      <c r="AC44" s="4">
        <f>AB44/AA44-1</f>
        <v>-1.3831258644535493E-3</v>
      </c>
    </row>
    <row r="45" spans="1:29">
      <c r="A45" t="s">
        <v>595</v>
      </c>
      <c r="B45" t="s">
        <v>596</v>
      </c>
      <c r="C45" s="19">
        <v>1169</v>
      </c>
      <c r="E45" t="s">
        <v>596</v>
      </c>
      <c r="F45" s="19">
        <v>1221</v>
      </c>
      <c r="G45" t="b">
        <f>IF(B45=E45,TRUE,FALSE)</f>
        <v>1</v>
      </c>
      <c r="J45" s="27">
        <f>F45-C45</f>
        <v>52</v>
      </c>
      <c r="K45" s="4">
        <f>F45/C45-1</f>
        <v>4.4482463644140324E-2</v>
      </c>
      <c r="M45" s="5">
        <v>1354.58</v>
      </c>
      <c r="N45" s="5">
        <v>1238.4000000000001</v>
      </c>
      <c r="Q45" s="5">
        <v>4946.37</v>
      </c>
      <c r="T45" s="150">
        <f>N45-M45</f>
        <v>-116.17999999999984</v>
      </c>
      <c r="U45" s="4">
        <f>IF(M45=0,0,N45/M45-1)</f>
        <v>-8.5768282419642849E-2</v>
      </c>
      <c r="AA45" s="18">
        <v>25706.31</v>
      </c>
      <c r="AB45" s="18">
        <v>26854.75</v>
      </c>
      <c r="AC45" s="4">
        <f>AB45/AA45-1</f>
        <v>4.4675412379295176E-2</v>
      </c>
    </row>
    <row r="46" spans="1:29">
      <c r="A46" t="s">
        <v>597</v>
      </c>
      <c r="B46" t="s">
        <v>598</v>
      </c>
      <c r="C46" s="19">
        <v>866</v>
      </c>
      <c r="E46" t="s">
        <v>598</v>
      </c>
      <c r="F46" s="19">
        <v>1039</v>
      </c>
      <c r="G46" t="b">
        <f>IF(B46=E46,TRUE,FALSE)</f>
        <v>1</v>
      </c>
      <c r="J46" s="27">
        <f>F46-C46</f>
        <v>173</v>
      </c>
      <c r="K46" s="4">
        <f>F46/C46-1</f>
        <v>0.19976905311778292</v>
      </c>
      <c r="M46" s="5">
        <v>1548.21</v>
      </c>
      <c r="N46" s="5">
        <v>1446.12</v>
      </c>
      <c r="Q46" s="5">
        <v>8934.76</v>
      </c>
      <c r="T46" s="150">
        <f>N46-M46</f>
        <v>-102.09000000000015</v>
      </c>
      <c r="U46" s="4">
        <f>IF(M46=0,0,N46/M46-1)</f>
        <v>-6.5940666963784089E-2</v>
      </c>
      <c r="AA46" s="18">
        <v>17311.34</v>
      </c>
      <c r="AB46" s="18">
        <v>20749.580000000002</v>
      </c>
      <c r="AC46" s="4">
        <f>AB46/AA46-1</f>
        <v>0.1986120080825633</v>
      </c>
    </row>
    <row r="47" spans="1:29">
      <c r="A47" t="s">
        <v>599</v>
      </c>
      <c r="B47" t="s">
        <v>600</v>
      </c>
      <c r="C47" s="19">
        <v>4474</v>
      </c>
      <c r="E47" t="s">
        <v>600</v>
      </c>
      <c r="F47" s="19">
        <v>4341</v>
      </c>
      <c r="G47" t="b">
        <f>IF(B47=E47,TRUE,FALSE)</f>
        <v>1</v>
      </c>
      <c r="J47" s="27">
        <f>F47-C47</f>
        <v>-133</v>
      </c>
      <c r="K47" s="4">
        <f>F47/C47-1</f>
        <v>-2.9727313366115338E-2</v>
      </c>
      <c r="M47" s="5">
        <v>5227.5200000000004</v>
      </c>
      <c r="N47" s="5">
        <v>5128.26</v>
      </c>
      <c r="Q47" s="5">
        <v>20643.939999999999</v>
      </c>
      <c r="T47" s="150">
        <f>N47-M47</f>
        <v>-99.260000000000218</v>
      </c>
      <c r="U47" s="4">
        <f>IF(M47=0,0,N47/M47-1)</f>
        <v>-1.8987971351616117E-2</v>
      </c>
      <c r="AA47" s="18">
        <v>101616.09</v>
      </c>
      <c r="AB47" s="18">
        <v>98670.5</v>
      </c>
      <c r="AC47" s="4">
        <f>AB47/AA47-1</f>
        <v>-2.8987436930509647E-2</v>
      </c>
    </row>
    <row r="48" spans="1:29">
      <c r="A48" t="s">
        <v>601</v>
      </c>
      <c r="B48" t="s">
        <v>602</v>
      </c>
      <c r="C48" s="19">
        <v>475</v>
      </c>
      <c r="E48" t="s">
        <v>602</v>
      </c>
      <c r="F48" s="19">
        <v>468</v>
      </c>
      <c r="G48" t="b">
        <f>IF(B48=E48,TRUE,FALSE)</f>
        <v>1</v>
      </c>
      <c r="J48" s="27">
        <f>F48-C48</f>
        <v>-7</v>
      </c>
      <c r="K48" s="4">
        <f>F48/C48-1</f>
        <v>-1.4736842105263159E-2</v>
      </c>
      <c r="M48" s="5">
        <v>681.82</v>
      </c>
      <c r="N48" s="5">
        <v>604.41</v>
      </c>
      <c r="Q48" s="5">
        <v>2131.61</v>
      </c>
      <c r="T48" s="150">
        <f>N48-M48</f>
        <v>-77.410000000000082</v>
      </c>
      <c r="U48" s="4">
        <f>IF(M48=0,0,N48/M48-1)</f>
        <v>-0.11353436390836302</v>
      </c>
      <c r="AA48" s="18">
        <v>9001.25</v>
      </c>
      <c r="AB48" s="18">
        <v>8868.6</v>
      </c>
      <c r="AC48" s="4">
        <f>AB48/AA48-1</f>
        <v>-1.4736842105263159E-2</v>
      </c>
    </row>
    <row r="49" spans="1:29">
      <c r="A49" t="s">
        <v>603</v>
      </c>
      <c r="B49" t="s">
        <v>604</v>
      </c>
      <c r="C49" s="19">
        <v>748</v>
      </c>
      <c r="E49" t="s">
        <v>604</v>
      </c>
      <c r="F49" s="19">
        <v>942</v>
      </c>
      <c r="G49" t="b">
        <f>IF(B49=E49,TRUE,FALSE)</f>
        <v>1</v>
      </c>
      <c r="J49" s="27">
        <f>F49-C49</f>
        <v>194</v>
      </c>
      <c r="K49" s="4">
        <f>F49/C49-1</f>
        <v>0.2593582887700534</v>
      </c>
      <c r="M49" s="5">
        <v>1971.43</v>
      </c>
      <c r="N49" s="5">
        <v>1905.07</v>
      </c>
      <c r="Q49" s="5">
        <v>15701.76</v>
      </c>
      <c r="T49" s="150">
        <f>N49-M49</f>
        <v>-66.360000000000127</v>
      </c>
      <c r="U49" s="4">
        <f>IF(M49=0,0,N49/M49-1)</f>
        <v>-3.3660845173300702E-2</v>
      </c>
      <c r="AA49" s="18">
        <v>14952.52</v>
      </c>
      <c r="AB49" s="18">
        <v>18830.580000000002</v>
      </c>
      <c r="AC49" s="4">
        <f>AB49/AA49-1</f>
        <v>0.25935828877005362</v>
      </c>
    </row>
    <row r="50" spans="1:29">
      <c r="A50" t="s">
        <v>605</v>
      </c>
      <c r="B50" s="5" t="s">
        <v>606</v>
      </c>
      <c r="C50" s="19">
        <v>1711</v>
      </c>
      <c r="D50" s="5"/>
      <c r="E50" t="s">
        <v>606</v>
      </c>
      <c r="F50" s="19">
        <v>1730</v>
      </c>
      <c r="G50" t="b">
        <f>IF(B50=E50,TRUE,FALSE)</f>
        <v>1</v>
      </c>
      <c r="H50" s="5"/>
      <c r="I50" s="5"/>
      <c r="J50" s="27">
        <f>F50-C50</f>
        <v>19</v>
      </c>
      <c r="K50" s="4">
        <f>F50/C50-1</f>
        <v>1.1104617182933874E-2</v>
      </c>
      <c r="L50" s="5"/>
      <c r="M50" s="5">
        <v>2734.81</v>
      </c>
      <c r="N50" s="5">
        <v>2680.43</v>
      </c>
      <c r="O50" s="5"/>
      <c r="P50" s="5"/>
      <c r="Q50" s="5">
        <v>11081.56</v>
      </c>
      <c r="R50" s="5"/>
      <c r="S50" s="5"/>
      <c r="T50" s="150">
        <f>N50-M50</f>
        <v>-54.380000000000109</v>
      </c>
      <c r="U50" s="4">
        <f>IF(M50=0,0,N50/M50-1)</f>
        <v>-1.9884379536421193E-2</v>
      </c>
      <c r="V50" s="5"/>
      <c r="W50" s="5"/>
      <c r="X50" s="5"/>
      <c r="Y50" s="5"/>
      <c r="Z50" s="15"/>
      <c r="AA50" s="18">
        <v>46179.89</v>
      </c>
      <c r="AB50" s="18">
        <v>45585.72</v>
      </c>
      <c r="AC50" s="4">
        <f>AB50/AA50-1</f>
        <v>-1.2866423025260532E-2</v>
      </c>
    </row>
    <row r="51" spans="1:29">
      <c r="A51" s="29" t="s">
        <v>607</v>
      </c>
      <c r="B51" s="29" t="s">
        <v>608</v>
      </c>
      <c r="C51" s="19">
        <v>1574</v>
      </c>
      <c r="E51" s="29" t="s">
        <v>608</v>
      </c>
      <c r="F51" s="19">
        <v>1081</v>
      </c>
      <c r="G51" t="b">
        <f>IF(B51=E51,TRUE,FALSE)</f>
        <v>1</v>
      </c>
      <c r="J51" s="27">
        <f>F51-C51</f>
        <v>-493</v>
      </c>
      <c r="K51" s="4">
        <f>F51/C51-1</f>
        <v>-0.31321473951715373</v>
      </c>
      <c r="M51" s="5">
        <v>1915.92</v>
      </c>
      <c r="N51" s="5">
        <v>1862.72</v>
      </c>
      <c r="Q51" s="5">
        <v>6853.82</v>
      </c>
      <c r="T51" s="150">
        <f>N51-M51</f>
        <v>-53.200000000000045</v>
      </c>
      <c r="U51" s="4">
        <f>IF(M51=0,0,N51/M51-1)</f>
        <v>-2.776733892855654E-2</v>
      </c>
      <c r="AA51" s="18">
        <v>16444.18</v>
      </c>
      <c r="AB51" s="18">
        <v>14988.84</v>
      </c>
      <c r="AC51" s="4">
        <f>AB51/AA51-1</f>
        <v>-8.8501828610487165E-2</v>
      </c>
    </row>
    <row r="52" spans="1:29">
      <c r="A52" t="s">
        <v>609</v>
      </c>
      <c r="B52" t="s">
        <v>610</v>
      </c>
      <c r="C52" s="19">
        <v>801</v>
      </c>
      <c r="E52" t="s">
        <v>610</v>
      </c>
      <c r="F52" s="19">
        <v>721</v>
      </c>
      <c r="G52" t="b">
        <f>IF(B52=E52,TRUE,FALSE)</f>
        <v>1</v>
      </c>
      <c r="J52" s="27">
        <f>F52-C52</f>
        <v>-80</v>
      </c>
      <c r="K52" s="4">
        <f>F52/C52-1</f>
        <v>-9.9875156054931358E-2</v>
      </c>
      <c r="M52" s="5">
        <v>895.73</v>
      </c>
      <c r="N52" s="5">
        <v>855.88</v>
      </c>
      <c r="Q52" s="5">
        <v>4973.68</v>
      </c>
      <c r="T52" s="150">
        <f>N52-M52</f>
        <v>-39.850000000000023</v>
      </c>
      <c r="U52" s="4">
        <f>IF(M52=0,0,N52/M52-1)</f>
        <v>-4.4488852667656564E-2</v>
      </c>
      <c r="AA52" s="18">
        <v>19183.95</v>
      </c>
      <c r="AB52" s="18">
        <v>17267.95</v>
      </c>
      <c r="AC52" s="4">
        <f>AB52/AA52-1</f>
        <v>-9.9875156054931358E-2</v>
      </c>
    </row>
    <row r="53" spans="1:29" ht="16.5">
      <c r="A53" s="25" t="s">
        <v>611</v>
      </c>
      <c r="B53" s="24" t="s">
        <v>612</v>
      </c>
      <c r="C53" s="19">
        <v>3089</v>
      </c>
      <c r="D53" s="5"/>
      <c r="E53" s="24" t="s">
        <v>612</v>
      </c>
      <c r="F53" s="19">
        <v>4317</v>
      </c>
      <c r="G53" t="b">
        <f>IF(B53=E53,TRUE,FALSE)</f>
        <v>1</v>
      </c>
      <c r="H53" s="5"/>
      <c r="I53" s="5"/>
      <c r="J53" s="27">
        <f>F53-C53</f>
        <v>1228</v>
      </c>
      <c r="K53" s="4">
        <f>F53/C53-1</f>
        <v>0.39753965684687609</v>
      </c>
      <c r="L53" s="5"/>
      <c r="M53" s="5">
        <v>6933.5</v>
      </c>
      <c r="N53" s="5">
        <v>6897.7699999999995</v>
      </c>
      <c r="O53" s="5"/>
      <c r="P53" s="5"/>
      <c r="Q53" s="5">
        <v>32231.97</v>
      </c>
      <c r="R53" s="5"/>
      <c r="S53" s="5"/>
      <c r="T53" s="150">
        <f>N53-M53</f>
        <v>-35.730000000000473</v>
      </c>
      <c r="U53" s="4">
        <f>IF(M53=0,0,N53/M53-1)</f>
        <v>-5.1532415086176231E-3</v>
      </c>
      <c r="V53" s="5"/>
      <c r="W53" s="5"/>
      <c r="X53" s="5"/>
      <c r="Y53" s="5"/>
      <c r="Z53" s="15"/>
      <c r="AA53" s="18">
        <v>79939.679999999993</v>
      </c>
      <c r="AB53" s="18">
        <v>113078.64</v>
      </c>
      <c r="AC53" s="4">
        <f>AB53/AA53-1</f>
        <v>0.41454957037606377</v>
      </c>
    </row>
    <row r="54" spans="1:29">
      <c r="A54" t="s">
        <v>613</v>
      </c>
      <c r="B54" t="s">
        <v>614</v>
      </c>
      <c r="C54" s="19">
        <v>46706</v>
      </c>
      <c r="E54" t="s">
        <v>614</v>
      </c>
      <c r="F54" s="19">
        <v>40373</v>
      </c>
      <c r="G54" t="b">
        <f>IF(B54=E54,TRUE,FALSE)</f>
        <v>1</v>
      </c>
      <c r="J54" s="27">
        <f>F54-C54</f>
        <v>-6333</v>
      </c>
      <c r="K54" s="4">
        <f>F54/C54-1</f>
        <v>-0.13559285744872174</v>
      </c>
      <c r="M54" s="5">
        <v>31079.4</v>
      </c>
      <c r="N54" s="5">
        <v>31043.68</v>
      </c>
      <c r="Q54" s="5">
        <v>145296.01999999999</v>
      </c>
      <c r="T54" s="150">
        <f>N54-M54</f>
        <v>-35.720000000001164</v>
      </c>
      <c r="U54" s="4">
        <f>IF(M54=0,0,N54/M54-1)</f>
        <v>-1.1493143368276337E-3</v>
      </c>
      <c r="W54" t="s">
        <v>615</v>
      </c>
      <c r="AA54" s="18">
        <v>927658.54</v>
      </c>
      <c r="AB54" s="18">
        <v>778619.72</v>
      </c>
      <c r="AC54" s="4">
        <f>AB54/AA54-1</f>
        <v>-0.16066129246220284</v>
      </c>
    </row>
    <row r="55" spans="1:29">
      <c r="A55" t="s">
        <v>616</v>
      </c>
      <c r="B55" t="s">
        <v>617</v>
      </c>
      <c r="C55" s="19">
        <v>152</v>
      </c>
      <c r="E55" t="s">
        <v>617</v>
      </c>
      <c r="F55" s="19">
        <v>171</v>
      </c>
      <c r="G55" t="b">
        <f>IF(B55=E55,TRUE,FALSE)</f>
        <v>1</v>
      </c>
      <c r="J55" s="27">
        <f>F55-C55</f>
        <v>19</v>
      </c>
      <c r="K55" s="4">
        <f>F55/C55-1</f>
        <v>0.125</v>
      </c>
      <c r="M55" s="5">
        <v>116.5</v>
      </c>
      <c r="N55" s="5">
        <v>98.72</v>
      </c>
      <c r="Q55" s="5">
        <v>549.54999999999995</v>
      </c>
      <c r="T55" s="150">
        <f>N55-M55</f>
        <v>-17.78</v>
      </c>
      <c r="U55" s="4">
        <f>IF(M55=0,0,N55/M55-1)</f>
        <v>-0.15261802575107297</v>
      </c>
      <c r="AA55" s="18">
        <v>2861.45</v>
      </c>
      <c r="AB55" s="18">
        <v>3240.45</v>
      </c>
      <c r="AC55" s="4">
        <f>AB55/AA55-1</f>
        <v>0.13245033112582782</v>
      </c>
    </row>
    <row r="56" spans="1:29">
      <c r="A56" t="s">
        <v>618</v>
      </c>
      <c r="B56" t="s">
        <v>619</v>
      </c>
      <c r="C56" s="19">
        <v>15</v>
      </c>
      <c r="E56" t="s">
        <v>619</v>
      </c>
      <c r="F56" s="19">
        <v>3</v>
      </c>
      <c r="G56" t="b">
        <f>IF(B56=E56,TRUE,FALSE)</f>
        <v>1</v>
      </c>
      <c r="J56" s="27">
        <f>F56-C56</f>
        <v>-12</v>
      </c>
      <c r="K56" s="4">
        <f>F56/C56-1</f>
        <v>-0.8</v>
      </c>
      <c r="M56" s="5">
        <v>17.260000000000002</v>
      </c>
      <c r="N56" s="5">
        <v>0</v>
      </c>
      <c r="Q56" s="5">
        <v>0</v>
      </c>
      <c r="T56" s="150">
        <f>N56-M56</f>
        <v>-17.260000000000002</v>
      </c>
      <c r="U56" s="4">
        <f>IF(M56=0,0,N56/M56-1)</f>
        <v>-1</v>
      </c>
      <c r="AA56" s="18">
        <v>299.25</v>
      </c>
      <c r="AB56" s="18">
        <v>59.85</v>
      </c>
      <c r="AC56" s="4">
        <f>AB56/AA56-1</f>
        <v>-0.8</v>
      </c>
    </row>
    <row r="57" spans="1:29">
      <c r="A57" t="s">
        <v>620</v>
      </c>
      <c r="B57" t="s">
        <v>621</v>
      </c>
      <c r="C57" s="19">
        <v>517</v>
      </c>
      <c r="E57" t="s">
        <v>621</v>
      </c>
      <c r="F57" s="19">
        <v>485</v>
      </c>
      <c r="G57" t="b">
        <f>IF(B57=E57,TRUE,FALSE)</f>
        <v>1</v>
      </c>
      <c r="J57" s="27">
        <f>F57-C57</f>
        <v>-32</v>
      </c>
      <c r="K57" s="4">
        <f>F57/C57-1</f>
        <v>-6.1895551257253434E-2</v>
      </c>
      <c r="M57" s="5">
        <v>339.72</v>
      </c>
      <c r="N57" s="5">
        <v>329.07</v>
      </c>
      <c r="Q57" s="5">
        <v>2877.25</v>
      </c>
      <c r="T57" s="150">
        <f>N57-M57</f>
        <v>-10.650000000000034</v>
      </c>
      <c r="U57" s="4">
        <f>IF(M57=0,0,N57/M57-1)</f>
        <v>-3.1349346520664123E-2</v>
      </c>
      <c r="AA57" s="18">
        <v>13953.83</v>
      </c>
      <c r="AB57" s="18">
        <v>13040.279999999999</v>
      </c>
      <c r="AC57" s="4">
        <f>AB57/AA57-1</f>
        <v>-6.5469480422221116E-2</v>
      </c>
    </row>
    <row r="58" spans="1:29">
      <c r="A58" t="s">
        <v>622</v>
      </c>
      <c r="B58" t="s">
        <v>623</v>
      </c>
      <c r="C58" s="19">
        <v>542</v>
      </c>
      <c r="E58" t="s">
        <v>623</v>
      </c>
      <c r="F58" s="19">
        <v>567</v>
      </c>
      <c r="G58" t="b">
        <f>IF(B58=E58,TRUE,FALSE)</f>
        <v>1</v>
      </c>
      <c r="J58" s="27">
        <f>F58-C58</f>
        <v>25</v>
      </c>
      <c r="K58" s="4">
        <f>F58/C58-1</f>
        <v>4.6125461254612476E-2</v>
      </c>
      <c r="M58" s="5">
        <v>482.78000000000003</v>
      </c>
      <c r="N58" s="5">
        <v>473.66</v>
      </c>
      <c r="Q58" s="5">
        <v>3492.34</v>
      </c>
      <c r="T58" s="150">
        <f>N58-M58</f>
        <v>-9.1200000000000045</v>
      </c>
      <c r="U58" s="4">
        <f>IF(M58=0,0,N58/M58-1)</f>
        <v>-1.8890591988069083E-2</v>
      </c>
      <c r="AA58" s="18">
        <v>16202.95</v>
      </c>
      <c r="AB58" s="18">
        <v>16951.7</v>
      </c>
      <c r="AC58" s="4">
        <f>AB58/AA58-1</f>
        <v>4.621072088724576E-2</v>
      </c>
    </row>
    <row r="59" spans="1:29">
      <c r="A59" t="s">
        <v>624</v>
      </c>
      <c r="B59" t="s">
        <v>625</v>
      </c>
      <c r="C59" s="19">
        <v>143</v>
      </c>
      <c r="E59" t="s">
        <v>625</v>
      </c>
      <c r="F59" s="19">
        <v>140</v>
      </c>
      <c r="G59" t="b">
        <f>IF(B59=E59,TRUE,FALSE)</f>
        <v>1</v>
      </c>
      <c r="J59" s="27">
        <f>F59-C59</f>
        <v>-3</v>
      </c>
      <c r="K59" s="4">
        <f>F59/C59-1</f>
        <v>-2.0979020979020935E-2</v>
      </c>
      <c r="M59" s="5">
        <v>0</v>
      </c>
      <c r="N59" s="5">
        <v>0</v>
      </c>
      <c r="Q59" s="5">
        <v>0</v>
      </c>
      <c r="T59" s="150">
        <v>0</v>
      </c>
      <c r="U59" s="4">
        <f>IF(M59=0,0,N59/M59-1)</f>
        <v>0</v>
      </c>
      <c r="AA59" s="18">
        <v>4568.8500000000004</v>
      </c>
      <c r="AB59" s="18">
        <v>4473</v>
      </c>
      <c r="AC59" s="4">
        <f>AB59/AA59-1</f>
        <v>-2.0979020979021046E-2</v>
      </c>
    </row>
    <row r="60" spans="1:29">
      <c r="A60" t="s">
        <v>626</v>
      </c>
      <c r="B60" t="s">
        <v>627</v>
      </c>
      <c r="C60" s="19">
        <v>3</v>
      </c>
      <c r="D60" s="5"/>
      <c r="E60" t="s">
        <v>627</v>
      </c>
      <c r="F60" s="19">
        <v>2</v>
      </c>
      <c r="G60" t="b">
        <f>IF(B60=E60,TRUE,FALSE)</f>
        <v>1</v>
      </c>
      <c r="H60" s="5"/>
      <c r="I60" s="5"/>
      <c r="J60" s="27">
        <f>F60-C60</f>
        <v>-1</v>
      </c>
      <c r="K60" s="4">
        <f>F60/C60-1</f>
        <v>-0.33333333333333337</v>
      </c>
      <c r="L60" s="5"/>
      <c r="M60" s="5">
        <v>0</v>
      </c>
      <c r="N60" s="5">
        <v>0</v>
      </c>
      <c r="O60" s="5"/>
      <c r="P60" s="5"/>
      <c r="Q60" s="5">
        <v>0</v>
      </c>
      <c r="R60" s="5"/>
      <c r="S60" s="5"/>
      <c r="T60" s="150">
        <f>N60-M60</f>
        <v>0</v>
      </c>
      <c r="U60" s="4">
        <f>IF(M60=0,0,N60/M60-1)</f>
        <v>0</v>
      </c>
      <c r="V60" s="5"/>
      <c r="W60" s="5"/>
      <c r="X60" s="5"/>
      <c r="Y60" s="5"/>
      <c r="Z60" s="15"/>
      <c r="AA60" s="18">
        <v>71.97</v>
      </c>
      <c r="AB60" s="18">
        <v>47.98</v>
      </c>
      <c r="AC60" s="4">
        <f>AB60/AA60-1</f>
        <v>-0.33333333333333337</v>
      </c>
    </row>
    <row r="61" spans="1:29">
      <c r="A61" t="s">
        <v>628</v>
      </c>
      <c r="B61" t="s">
        <v>629</v>
      </c>
      <c r="C61" s="19">
        <v>131</v>
      </c>
      <c r="E61" t="s">
        <v>629</v>
      </c>
      <c r="F61" s="19">
        <v>130</v>
      </c>
      <c r="G61" t="b">
        <f>IF(B61=E61,TRUE,FALSE)</f>
        <v>1</v>
      </c>
      <c r="J61" s="27">
        <f>F61-C61</f>
        <v>-1</v>
      </c>
      <c r="K61" s="4">
        <f>F61/C61-1</f>
        <v>-7.6335877862595547E-3</v>
      </c>
      <c r="M61" s="5">
        <v>0</v>
      </c>
      <c r="N61" s="5">
        <v>0</v>
      </c>
      <c r="Q61" s="5">
        <v>0</v>
      </c>
      <c r="T61" s="150">
        <f>N61-M61</f>
        <v>0</v>
      </c>
      <c r="U61" s="4">
        <f>IF(M61=0,0,N61/M61-1)</f>
        <v>0</v>
      </c>
      <c r="AA61" s="18">
        <v>4447.45</v>
      </c>
      <c r="AB61" s="18">
        <v>4413.5</v>
      </c>
      <c r="AC61" s="4">
        <f>AB61/AA61-1</f>
        <v>-7.6335877862595547E-3</v>
      </c>
    </row>
    <row r="62" spans="1:29">
      <c r="A62" t="s">
        <v>630</v>
      </c>
      <c r="B62" t="s">
        <v>631</v>
      </c>
      <c r="C62" s="19">
        <v>1</v>
      </c>
      <c r="E62" t="s">
        <v>631</v>
      </c>
      <c r="F62" s="19">
        <v>0</v>
      </c>
      <c r="G62" t="b">
        <f>IF(B62=E62,TRUE,FALSE)</f>
        <v>1</v>
      </c>
      <c r="J62" s="27">
        <v>0</v>
      </c>
      <c r="K62" s="4">
        <f>F62/C62-1</f>
        <v>-1</v>
      </c>
      <c r="M62" s="5">
        <v>0</v>
      </c>
      <c r="N62" s="5">
        <v>0</v>
      </c>
      <c r="Q62" s="5">
        <v>0</v>
      </c>
      <c r="T62" s="150">
        <f>N62-M62</f>
        <v>0</v>
      </c>
      <c r="U62" s="4">
        <f>IF(M62=0,0,N62/M62-1)</f>
        <v>0</v>
      </c>
      <c r="AA62" s="18">
        <v>18.96</v>
      </c>
      <c r="AB62" s="18">
        <v>0</v>
      </c>
      <c r="AC62" s="4">
        <f>AB62/AA62-1</f>
        <v>-1</v>
      </c>
    </row>
    <row r="63" spans="1:29">
      <c r="A63" t="s">
        <v>632</v>
      </c>
      <c r="B63" t="s">
        <v>633</v>
      </c>
      <c r="C63" s="19">
        <v>433</v>
      </c>
      <c r="E63" t="s">
        <v>633</v>
      </c>
      <c r="F63" s="19">
        <v>442</v>
      </c>
      <c r="G63" t="b">
        <f>IF(B63=E63,TRUE,FALSE)</f>
        <v>1</v>
      </c>
      <c r="J63" s="27">
        <f>F63-C63</f>
        <v>9</v>
      </c>
      <c r="K63" s="4">
        <f>F63/C63-1</f>
        <v>2.0785219399538146E-2</v>
      </c>
      <c r="M63" s="5">
        <v>0</v>
      </c>
      <c r="N63" s="5">
        <v>0</v>
      </c>
      <c r="Q63" s="5">
        <v>0</v>
      </c>
      <c r="T63" s="150">
        <f>N63-M63</f>
        <v>0</v>
      </c>
      <c r="U63" s="4">
        <f>IF(M63=0,0,N63/M63-1)</f>
        <v>0</v>
      </c>
      <c r="AA63" s="18">
        <v>13355.1</v>
      </c>
      <c r="AB63" s="18">
        <v>14089.95</v>
      </c>
      <c r="AC63" s="4">
        <f>AB63/AA63-1</f>
        <v>5.5023923444976086E-2</v>
      </c>
    </row>
    <row r="64" spans="1:29">
      <c r="A64" t="s">
        <v>634</v>
      </c>
      <c r="B64" t="s">
        <v>635</v>
      </c>
      <c r="C64" s="19">
        <v>648</v>
      </c>
      <c r="E64" t="s">
        <v>635</v>
      </c>
      <c r="F64" s="19">
        <v>671</v>
      </c>
      <c r="G64" t="b">
        <f>IF(B64=E64,TRUE,FALSE)</f>
        <v>1</v>
      </c>
      <c r="J64" s="27">
        <f>F64-C64</f>
        <v>23</v>
      </c>
      <c r="K64" s="4">
        <f>F64/C64-1</f>
        <v>3.5493827160493874E-2</v>
      </c>
      <c r="M64" s="5">
        <v>348.31999999999994</v>
      </c>
      <c r="N64" s="5">
        <v>0</v>
      </c>
      <c r="Q64" s="5">
        <v>0</v>
      </c>
      <c r="T64" s="150">
        <v>0</v>
      </c>
      <c r="U64" s="4">
        <f>IF(M64=0,0,N64/M64-1)</f>
        <v>-1</v>
      </c>
      <c r="W64" t="s">
        <v>636</v>
      </c>
      <c r="Y64" t="s">
        <v>637</v>
      </c>
      <c r="Z64" s="14" t="s">
        <v>638</v>
      </c>
      <c r="AA64" s="18">
        <v>14223.6</v>
      </c>
      <c r="AB64" s="18">
        <v>14728.45</v>
      </c>
      <c r="AC64" s="4">
        <f>AB64/AA64-1</f>
        <v>3.5493827160493874E-2</v>
      </c>
    </row>
    <row r="65" spans="1:29">
      <c r="A65" t="s">
        <v>639</v>
      </c>
      <c r="B65" t="s">
        <v>640</v>
      </c>
      <c r="C65" s="19">
        <v>262</v>
      </c>
      <c r="E65" t="s">
        <v>640</v>
      </c>
      <c r="F65" s="19">
        <v>304</v>
      </c>
      <c r="G65" t="b">
        <f>IF(B65=E65,TRUE,FALSE)</f>
        <v>1</v>
      </c>
      <c r="J65" s="27">
        <f>F65-C65</f>
        <v>42</v>
      </c>
      <c r="K65" s="4">
        <f>F65/C65-1</f>
        <v>0.16030534351145032</v>
      </c>
      <c r="M65" s="5">
        <v>0</v>
      </c>
      <c r="N65" s="5">
        <v>0</v>
      </c>
      <c r="Q65" s="5">
        <v>0</v>
      </c>
      <c r="T65" s="150">
        <f>N65-M65</f>
        <v>0</v>
      </c>
      <c r="U65" s="4">
        <f>IF(M65=0,0,N65/M65-1)</f>
        <v>0</v>
      </c>
      <c r="AA65" s="18">
        <v>8381.380000000001</v>
      </c>
      <c r="AB65" s="18">
        <v>9724.9599999999991</v>
      </c>
      <c r="AC65" s="4">
        <f>AB65/AA65-1</f>
        <v>0.16030534351145009</v>
      </c>
    </row>
    <row r="66" spans="1:29">
      <c r="A66" t="s">
        <v>641</v>
      </c>
      <c r="B66" t="s">
        <v>642</v>
      </c>
      <c r="C66" s="19">
        <v>995</v>
      </c>
      <c r="E66" t="s">
        <v>642</v>
      </c>
      <c r="F66" s="19">
        <v>1221</v>
      </c>
      <c r="G66" t="b">
        <f>IF(B66=E66,TRUE,FALSE)</f>
        <v>1</v>
      </c>
      <c r="J66" s="27">
        <f>F66-C66</f>
        <v>226</v>
      </c>
      <c r="K66" s="4">
        <f>F66/C66-1</f>
        <v>0.22713567839195981</v>
      </c>
      <c r="M66" s="5">
        <v>0</v>
      </c>
      <c r="N66" s="5">
        <v>0</v>
      </c>
      <c r="Q66" s="5">
        <v>0</v>
      </c>
      <c r="T66" s="150">
        <v>0</v>
      </c>
      <c r="U66" s="4">
        <f>IF(M66=0,0,N66/M66-1)</f>
        <v>0</v>
      </c>
      <c r="AA66" s="18">
        <v>38755.25</v>
      </c>
      <c r="AB66" s="18">
        <v>47557.95</v>
      </c>
      <c r="AC66" s="4">
        <f>AB66/AA66-1</f>
        <v>0.22713567839195981</v>
      </c>
    </row>
    <row r="67" spans="1:29">
      <c r="A67" t="s">
        <v>643</v>
      </c>
      <c r="B67" t="s">
        <v>644</v>
      </c>
      <c r="C67" s="19">
        <v>1298</v>
      </c>
      <c r="E67" t="s">
        <v>644</v>
      </c>
      <c r="F67" s="19">
        <v>1071</v>
      </c>
      <c r="G67" t="b">
        <f>IF(B67=E67,TRUE,FALSE)</f>
        <v>1</v>
      </c>
      <c r="J67" s="27">
        <f>F67-C67</f>
        <v>-227</v>
      </c>
      <c r="K67" s="4">
        <f>F67/C67-1</f>
        <v>-0.17488443759630201</v>
      </c>
      <c r="M67" s="5">
        <v>1094.02</v>
      </c>
      <c r="N67" s="5">
        <v>1111.29</v>
      </c>
      <c r="Q67" s="5">
        <v>5511.58</v>
      </c>
      <c r="T67" s="150">
        <f>N67-M67</f>
        <v>17.269999999999982</v>
      </c>
      <c r="U67" s="4">
        <f>IF(M67=0,0,N67/M67-1)</f>
        <v>1.578581744392249E-2</v>
      </c>
      <c r="AA67" s="18">
        <v>20764.03</v>
      </c>
      <c r="AB67" s="18">
        <v>18196.29</v>
      </c>
      <c r="AC67" s="4">
        <f>AB67/AA67-1</f>
        <v>-0.1236628920301116</v>
      </c>
    </row>
    <row r="68" spans="1:29">
      <c r="A68" t="s">
        <v>645</v>
      </c>
      <c r="B68" t="s">
        <v>646</v>
      </c>
      <c r="C68" s="19">
        <v>372</v>
      </c>
      <c r="E68" t="s">
        <v>646</v>
      </c>
      <c r="F68" s="19">
        <v>348</v>
      </c>
      <c r="G68" t="b">
        <f>IF(B68=E68,TRUE,FALSE)</f>
        <v>1</v>
      </c>
      <c r="J68" s="27">
        <f>F68-C68</f>
        <v>-24</v>
      </c>
      <c r="K68" s="4">
        <f>F68/C68-1</f>
        <v>-6.4516129032258118E-2</v>
      </c>
      <c r="M68" s="5">
        <v>206.48</v>
      </c>
      <c r="N68" s="5">
        <v>233.13</v>
      </c>
      <c r="Q68" s="5">
        <v>987.75</v>
      </c>
      <c r="T68" s="150">
        <f>N68-M68</f>
        <v>26.650000000000006</v>
      </c>
      <c r="U68" s="4">
        <f>IF(M68=0,0,N68/M68-1)</f>
        <v>0.12906819062378916</v>
      </c>
      <c r="AA68" s="18">
        <v>8165.4</v>
      </c>
      <c r="AB68" s="18">
        <v>7638.6</v>
      </c>
      <c r="AC68" s="4">
        <f>AB68/AA68-1</f>
        <v>-6.4516129032258007E-2</v>
      </c>
    </row>
    <row r="69" spans="1:29">
      <c r="A69" t="s">
        <v>647</v>
      </c>
      <c r="B69" t="s">
        <v>648</v>
      </c>
      <c r="C69" s="19">
        <v>1414</v>
      </c>
      <c r="E69" t="s">
        <v>648</v>
      </c>
      <c r="F69" s="19">
        <v>1461</v>
      </c>
      <c r="G69" t="b">
        <f>IF(B69=E69,TRUE,FALSE)</f>
        <v>1</v>
      </c>
      <c r="J69" s="27">
        <f>F69-C69</f>
        <v>47</v>
      </c>
      <c r="K69" s="4">
        <f>F69/C69-1</f>
        <v>3.3239038189533332E-2</v>
      </c>
      <c r="M69" s="5">
        <v>3164.17</v>
      </c>
      <c r="N69" s="5">
        <v>3193.14</v>
      </c>
      <c r="Q69" s="5">
        <v>13584.45</v>
      </c>
      <c r="T69" s="150">
        <f>N69-M69</f>
        <v>28.9699999999998</v>
      </c>
      <c r="U69" s="4">
        <f>IF(M69=0,0,N69/M69-1)</f>
        <v>9.1556395516043665E-3</v>
      </c>
      <c r="W69" t="s">
        <v>649</v>
      </c>
      <c r="Y69" t="s">
        <v>650</v>
      </c>
      <c r="AA69" s="18">
        <v>31843.86</v>
      </c>
      <c r="AB69" s="18">
        <v>35049.39</v>
      </c>
      <c r="AC69" s="4">
        <f>AB69/AA69-1</f>
        <v>0.10066398985550107</v>
      </c>
    </row>
    <row r="70" spans="1:29">
      <c r="A70" t="s">
        <v>651</v>
      </c>
      <c r="B70" t="s">
        <v>652</v>
      </c>
      <c r="C70" s="19">
        <v>977</v>
      </c>
      <c r="D70" s="5"/>
      <c r="E70" t="s">
        <v>652</v>
      </c>
      <c r="F70" s="19">
        <v>1207</v>
      </c>
      <c r="G70" t="b">
        <f>IF(B70=E70,TRUE,FALSE)</f>
        <v>1</v>
      </c>
      <c r="H70" s="5"/>
      <c r="I70" s="5"/>
      <c r="J70" s="27">
        <f>F70-C70</f>
        <v>230</v>
      </c>
      <c r="K70" s="4">
        <f>F70/C70-1</f>
        <v>0.23541453428863868</v>
      </c>
      <c r="L70" s="5"/>
      <c r="M70" s="5">
        <v>2317.59</v>
      </c>
      <c r="N70" s="5">
        <v>2348.6</v>
      </c>
      <c r="O70" s="5"/>
      <c r="P70" s="5"/>
      <c r="Q70" s="5">
        <v>8687.9500000000007</v>
      </c>
      <c r="R70" s="5"/>
      <c r="S70" s="5"/>
      <c r="T70" s="150">
        <f>N70-M70</f>
        <v>31.009999999999764</v>
      </c>
      <c r="U70" s="4">
        <f>IF(M70=0,0,N70/M70-1)</f>
        <v>1.3380278651530242E-2</v>
      </c>
      <c r="V70" s="5"/>
      <c r="W70" s="5"/>
      <c r="X70" s="5"/>
      <c r="Y70" s="5"/>
      <c r="Z70" s="15"/>
      <c r="AA70" s="18">
        <v>16582.240000000002</v>
      </c>
      <c r="AB70" s="18">
        <v>20489.939999999999</v>
      </c>
      <c r="AC70" s="4">
        <f>AB70/AA70-1</f>
        <v>0.23565573770491777</v>
      </c>
    </row>
    <row r="71" spans="1:29">
      <c r="A71" t="s">
        <v>653</v>
      </c>
      <c r="B71" t="s">
        <v>654</v>
      </c>
      <c r="C71" s="19">
        <v>1743</v>
      </c>
      <c r="E71" t="s">
        <v>654</v>
      </c>
      <c r="F71" s="19">
        <v>1773</v>
      </c>
      <c r="G71" t="b">
        <f>IF(B71=E71,TRUE,FALSE)</f>
        <v>1</v>
      </c>
      <c r="J71" s="27">
        <f>F71-C71</f>
        <v>30</v>
      </c>
      <c r="K71" s="4">
        <f>F71/C71-1</f>
        <v>1.7211703958691871E-2</v>
      </c>
      <c r="M71" s="5">
        <v>625.11</v>
      </c>
      <c r="N71" s="5">
        <v>658.97</v>
      </c>
      <c r="Q71" s="5">
        <v>3877.36</v>
      </c>
      <c r="T71" s="150">
        <f>N71-M71</f>
        <v>33.860000000000014</v>
      </c>
      <c r="U71" s="4">
        <f>IF(M71=0,0,N71/M71-1)</f>
        <v>5.4166466701860427E-2</v>
      </c>
      <c r="W71" t="s">
        <v>655</v>
      </c>
      <c r="Y71" t="s">
        <v>656</v>
      </c>
      <c r="AA71" s="18">
        <v>52172.9</v>
      </c>
      <c r="AB71" s="18">
        <v>53101.35</v>
      </c>
      <c r="AC71" s="4">
        <f>AB71/AA71-1</f>
        <v>1.7795637198622316E-2</v>
      </c>
    </row>
    <row r="72" spans="1:29" ht="13.5" customHeight="1">
      <c r="A72" t="s">
        <v>657</v>
      </c>
      <c r="B72" t="s">
        <v>658</v>
      </c>
      <c r="C72" s="19">
        <v>1066</v>
      </c>
      <c r="E72" t="s">
        <v>658</v>
      </c>
      <c r="F72" s="19">
        <v>1104</v>
      </c>
      <c r="G72" t="b">
        <f>IF(B72=E72,TRUE,FALSE)</f>
        <v>1</v>
      </c>
      <c r="J72" s="27">
        <f>F72-C72</f>
        <v>38</v>
      </c>
      <c r="K72" s="4">
        <f>F72/C72-1</f>
        <v>3.5647279549718469E-2</v>
      </c>
      <c r="M72" s="5">
        <v>2155.92</v>
      </c>
      <c r="N72" s="5">
        <v>2208.2800000000002</v>
      </c>
      <c r="Q72" s="5">
        <v>8982.67</v>
      </c>
      <c r="T72" s="150">
        <f>N72-M72</f>
        <v>52.360000000000127</v>
      </c>
      <c r="U72" s="4">
        <f>IF(M72=0,0,N72/M72-1)</f>
        <v>2.4286615458829708E-2</v>
      </c>
      <c r="AA72" s="18">
        <v>18034.8</v>
      </c>
      <c r="AB72" s="18">
        <v>18678.900000000001</v>
      </c>
      <c r="AC72" s="4">
        <f>AB72/AA72-1</f>
        <v>3.5714285714285809E-2</v>
      </c>
    </row>
    <row r="73" spans="1:29">
      <c r="A73" t="s">
        <v>659</v>
      </c>
      <c r="B73" t="s">
        <v>660</v>
      </c>
      <c r="C73" s="19">
        <v>712</v>
      </c>
      <c r="E73" t="s">
        <v>660</v>
      </c>
      <c r="F73" s="19">
        <v>740</v>
      </c>
      <c r="G73" t="b">
        <f>IF(B73=E73,TRUE,FALSE)</f>
        <v>1</v>
      </c>
      <c r="J73" s="27">
        <f>F73-C73</f>
        <v>28</v>
      </c>
      <c r="K73" s="4">
        <f>F73/C73-1</f>
        <v>3.9325842696629199E-2</v>
      </c>
      <c r="M73" s="5">
        <v>1636.48</v>
      </c>
      <c r="N73" s="5">
        <v>1692.16</v>
      </c>
      <c r="Q73" s="5">
        <v>6567.54</v>
      </c>
      <c r="T73" s="150">
        <f>N73-M73</f>
        <v>55.680000000000064</v>
      </c>
      <c r="U73" s="4">
        <f>IF(M73=0,0,N73/M73-1)</f>
        <v>3.4024247164646138E-2</v>
      </c>
      <c r="AA73" s="18">
        <v>14204.4</v>
      </c>
      <c r="AB73" s="18">
        <v>14763</v>
      </c>
      <c r="AC73" s="4">
        <f>AB73/AA73-1</f>
        <v>3.9325842696629199E-2</v>
      </c>
    </row>
    <row r="74" spans="1:29">
      <c r="A74" t="s">
        <v>661</v>
      </c>
      <c r="B74" t="s">
        <v>662</v>
      </c>
      <c r="C74" s="19">
        <v>1009</v>
      </c>
      <c r="D74" s="5"/>
      <c r="E74" t="s">
        <v>662</v>
      </c>
      <c r="F74" s="19">
        <v>1270</v>
      </c>
      <c r="G74" t="b">
        <f>IF(B74=E74,TRUE,FALSE)</f>
        <v>1</v>
      </c>
      <c r="H74" s="5"/>
      <c r="I74" s="5"/>
      <c r="J74" s="27">
        <f>F74-C74</f>
        <v>261</v>
      </c>
      <c r="K74" s="4">
        <f>F74/C74-1</f>
        <v>0.25867195242814667</v>
      </c>
      <c r="L74" s="5"/>
      <c r="M74" s="5">
        <v>2780.3500000000004</v>
      </c>
      <c r="N74" s="5">
        <v>2839.08</v>
      </c>
      <c r="O74" s="5"/>
      <c r="P74" s="5"/>
      <c r="Q74" s="5">
        <v>15683.4</v>
      </c>
      <c r="R74" s="5"/>
      <c r="S74" s="5"/>
      <c r="T74" s="150">
        <f>N74-M74</f>
        <v>58.729999999999563</v>
      </c>
      <c r="U74" s="4">
        <f>IF(M74=0,0,N74/M74-1)</f>
        <v>2.1123239879871081E-2</v>
      </c>
      <c r="V74" s="5"/>
      <c r="W74" s="5"/>
      <c r="X74" s="5"/>
      <c r="Y74" s="5"/>
      <c r="Z74" s="15"/>
      <c r="AA74" s="18">
        <v>15109.92</v>
      </c>
      <c r="AB74" s="18">
        <v>19213.310000000001</v>
      </c>
      <c r="AC74" s="4">
        <f>AB74/AA74-1</f>
        <v>0.27156927369569139</v>
      </c>
    </row>
    <row r="75" spans="1:29">
      <c r="A75" t="s">
        <v>663</v>
      </c>
      <c r="B75" t="s">
        <v>664</v>
      </c>
      <c r="C75" s="19">
        <v>1031</v>
      </c>
      <c r="E75" t="s">
        <v>664</v>
      </c>
      <c r="F75" s="19">
        <v>1048</v>
      </c>
      <c r="G75" t="b">
        <f>IF(B75=E75,TRUE,FALSE)</f>
        <v>1</v>
      </c>
      <c r="J75" s="27">
        <f>F75-C75</f>
        <v>17</v>
      </c>
      <c r="K75" s="4">
        <f>F75/C75-1</f>
        <v>1.6488845780795236E-2</v>
      </c>
      <c r="M75" s="5">
        <v>1209.78</v>
      </c>
      <c r="N75" s="5">
        <v>1274.44</v>
      </c>
      <c r="Q75" s="5">
        <v>8476.25</v>
      </c>
      <c r="T75" s="150">
        <f>N75-M75</f>
        <v>64.660000000000082</v>
      </c>
      <c r="U75" s="4">
        <f>IF(M75=0,0,N75/M75-1)</f>
        <v>5.3447734298798233E-2</v>
      </c>
      <c r="AA75" s="18">
        <v>20609.689999999999</v>
      </c>
      <c r="AB75" s="18">
        <v>20949.52</v>
      </c>
      <c r="AC75" s="4">
        <f>AB75/AA75-1</f>
        <v>1.6488845780795458E-2</v>
      </c>
    </row>
    <row r="76" spans="1:29" hidden="1">
      <c r="A76" t="s">
        <v>665</v>
      </c>
      <c r="B76" t="s">
        <v>666</v>
      </c>
      <c r="C76" s="19">
        <v>0</v>
      </c>
      <c r="F76" s="19">
        <v>0</v>
      </c>
      <c r="G76" t="b">
        <f>IF(B76=E76,TRUE,FALSE)</f>
        <v>0</v>
      </c>
      <c r="J76" s="27">
        <v>0</v>
      </c>
      <c r="K76" s="4" t="e">
        <f>F76/C76-1</f>
        <v>#DIV/0!</v>
      </c>
      <c r="M76" s="5">
        <v>0</v>
      </c>
      <c r="N76" s="5">
        <v>0</v>
      </c>
      <c r="Q76" s="5">
        <v>0</v>
      </c>
      <c r="T76" s="150">
        <v>0</v>
      </c>
      <c r="U76" s="4">
        <f>IF(M76=0,0,N76/M76-1)</f>
        <v>0</v>
      </c>
      <c r="AA76" s="18">
        <v>0</v>
      </c>
      <c r="AB76" s="18">
        <v>0</v>
      </c>
      <c r="AC76" s="4" t="e">
        <f>AB76/AA76-1</f>
        <v>#DIV/0!</v>
      </c>
    </row>
    <row r="77" spans="1:29" hidden="1">
      <c r="A77" t="s">
        <v>667</v>
      </c>
      <c r="B77" t="s">
        <v>668</v>
      </c>
      <c r="C77" s="19">
        <v>0</v>
      </c>
      <c r="F77" s="19">
        <v>0</v>
      </c>
      <c r="G77" t="b">
        <f>IF(B77=E77,TRUE,FALSE)</f>
        <v>0</v>
      </c>
      <c r="J77" s="27">
        <v>0</v>
      </c>
      <c r="K77" s="4" t="e">
        <f>F77/C77-1</f>
        <v>#DIV/0!</v>
      </c>
      <c r="M77" s="5">
        <v>0</v>
      </c>
      <c r="N77" s="5">
        <v>0</v>
      </c>
      <c r="Q77" s="5">
        <v>0</v>
      </c>
      <c r="T77" s="150">
        <f>N77-M77</f>
        <v>0</v>
      </c>
      <c r="U77" s="4">
        <f>IF(M77=0,0,N77/M77-1)</f>
        <v>0</v>
      </c>
      <c r="AA77" s="18">
        <v>0</v>
      </c>
      <c r="AB77" s="18">
        <v>0</v>
      </c>
      <c r="AC77" s="4" t="e">
        <f>AB77/AA77-1</f>
        <v>#DIV/0!</v>
      </c>
    </row>
    <row r="78" spans="1:29" hidden="1">
      <c r="A78" t="s">
        <v>669</v>
      </c>
      <c r="B78" t="s">
        <v>670</v>
      </c>
      <c r="C78" s="19">
        <v>0</v>
      </c>
      <c r="F78" s="19">
        <v>0</v>
      </c>
      <c r="G78" t="b">
        <f>IF(B78=E78,TRUE,FALSE)</f>
        <v>0</v>
      </c>
      <c r="J78" s="27">
        <v>0</v>
      </c>
      <c r="K78" s="4" t="e">
        <f>F78/C78-1</f>
        <v>#DIV/0!</v>
      </c>
      <c r="M78" s="5">
        <v>0</v>
      </c>
      <c r="N78" s="5">
        <v>0</v>
      </c>
      <c r="Q78" s="5">
        <v>0</v>
      </c>
      <c r="T78" s="150">
        <f>N78-M78</f>
        <v>0</v>
      </c>
      <c r="U78" s="4">
        <f>IF(M78=0,0,N78/M78-1)</f>
        <v>0</v>
      </c>
      <c r="AA78" s="18">
        <v>0</v>
      </c>
      <c r="AB78" s="18">
        <v>0</v>
      </c>
      <c r="AC78" s="4" t="e">
        <f>AB78/AA78-1</f>
        <v>#DIV/0!</v>
      </c>
    </row>
    <row r="79" spans="1:29" hidden="1">
      <c r="A79" t="s">
        <v>671</v>
      </c>
      <c r="B79" t="s">
        <v>672</v>
      </c>
      <c r="C79" s="19">
        <v>0</v>
      </c>
      <c r="F79" s="19">
        <v>0</v>
      </c>
      <c r="G79" t="b">
        <f>IF(B79=E79,TRUE,FALSE)</f>
        <v>0</v>
      </c>
      <c r="J79" s="27">
        <v>0</v>
      </c>
      <c r="K79" s="4" t="e">
        <f>F79/C79-1</f>
        <v>#DIV/0!</v>
      </c>
      <c r="M79" s="5">
        <v>0</v>
      </c>
      <c r="N79" s="5">
        <v>0</v>
      </c>
      <c r="Q79" s="5">
        <v>0</v>
      </c>
      <c r="T79" s="150">
        <f>N79-M79</f>
        <v>0</v>
      </c>
      <c r="U79" s="4">
        <f>IF(M79=0,0,N79/M79-1)</f>
        <v>0</v>
      </c>
      <c r="AA79" s="18">
        <v>0</v>
      </c>
      <c r="AB79" s="18">
        <v>0</v>
      </c>
      <c r="AC79" s="4" t="e">
        <f>AB79/AA79-1</f>
        <v>#DIV/0!</v>
      </c>
    </row>
    <row r="80" spans="1:29" hidden="1">
      <c r="A80" t="s">
        <v>673</v>
      </c>
      <c r="B80" t="s">
        <v>674</v>
      </c>
      <c r="C80" s="19">
        <v>0</v>
      </c>
      <c r="D80" s="5"/>
      <c r="F80" s="19">
        <v>0</v>
      </c>
      <c r="G80" t="b">
        <f>IF(B80=E80,TRUE,FALSE)</f>
        <v>0</v>
      </c>
      <c r="H80" s="5"/>
      <c r="I80" s="5"/>
      <c r="J80" s="27">
        <v>0</v>
      </c>
      <c r="K80" s="4" t="e">
        <f>F80/C80-1</f>
        <v>#DIV/0!</v>
      </c>
      <c r="L80" s="5"/>
      <c r="M80" s="5">
        <v>0</v>
      </c>
      <c r="N80" s="5">
        <v>0</v>
      </c>
      <c r="O80" s="5"/>
      <c r="P80" s="5"/>
      <c r="Q80" s="5">
        <v>0</v>
      </c>
      <c r="R80" s="5"/>
      <c r="S80" s="5"/>
      <c r="T80" s="150">
        <f>N80-M80</f>
        <v>0</v>
      </c>
      <c r="U80" s="4">
        <f>IF(M80=0,0,N80/M80-1)</f>
        <v>0</v>
      </c>
      <c r="V80" s="5"/>
      <c r="W80" s="5"/>
      <c r="X80" s="5"/>
      <c r="Y80" s="5"/>
      <c r="Z80" s="15"/>
      <c r="AA80" s="18">
        <v>0</v>
      </c>
      <c r="AB80" s="18">
        <v>0</v>
      </c>
      <c r="AC80" s="4" t="e">
        <f>AB80/AA80-1</f>
        <v>#DIV/0!</v>
      </c>
    </row>
    <row r="81" spans="1:29" hidden="1">
      <c r="A81" s="25" t="s">
        <v>675</v>
      </c>
      <c r="B81" t="s">
        <v>676</v>
      </c>
      <c r="C81" s="19">
        <v>0</v>
      </c>
      <c r="D81" s="5"/>
      <c r="F81" s="19">
        <v>0</v>
      </c>
      <c r="G81" t="b">
        <f>IF(B81=E81,TRUE,FALSE)</f>
        <v>0</v>
      </c>
      <c r="H81" s="5"/>
      <c r="I81" s="5"/>
      <c r="J81" s="27">
        <v>0</v>
      </c>
      <c r="K81" s="4" t="e">
        <f>F81/C81-1</f>
        <v>#DIV/0!</v>
      </c>
      <c r="L81" s="5"/>
      <c r="M81" s="5">
        <v>0</v>
      </c>
      <c r="N81" s="5">
        <v>0</v>
      </c>
      <c r="O81" s="5"/>
      <c r="P81" s="5"/>
      <c r="Q81" s="5">
        <v>0</v>
      </c>
      <c r="R81" s="5"/>
      <c r="S81" s="5"/>
      <c r="T81" s="150">
        <f>N81-M81</f>
        <v>0</v>
      </c>
      <c r="U81" s="4">
        <f>IF(M81=0,0,N81/M81-1)</f>
        <v>0</v>
      </c>
      <c r="V81" s="5"/>
      <c r="W81" s="5"/>
      <c r="X81" s="5"/>
      <c r="Y81" s="5"/>
      <c r="Z81" s="15"/>
      <c r="AA81" s="18">
        <v>0</v>
      </c>
      <c r="AB81" s="18">
        <v>0</v>
      </c>
      <c r="AC81" s="4" t="e">
        <f>AB81/AA81-1</f>
        <v>#DIV/0!</v>
      </c>
    </row>
    <row r="82" spans="1:29" hidden="1">
      <c r="A82" t="s">
        <v>677</v>
      </c>
      <c r="B82" t="s">
        <v>678</v>
      </c>
      <c r="C82" s="19">
        <v>2</v>
      </c>
      <c r="F82" s="19">
        <v>0</v>
      </c>
      <c r="G82" t="b">
        <f>IF(B82=E82,TRUE,FALSE)</f>
        <v>0</v>
      </c>
      <c r="J82" s="27">
        <v>0</v>
      </c>
      <c r="K82" s="4">
        <f>F82/C82-1</f>
        <v>-1</v>
      </c>
      <c r="M82" s="5">
        <v>0</v>
      </c>
      <c r="N82" s="5">
        <v>0</v>
      </c>
      <c r="Q82" s="5">
        <v>0</v>
      </c>
      <c r="T82" s="150">
        <f>N82-M82</f>
        <v>0</v>
      </c>
      <c r="U82" s="4">
        <f>IF(M82=0,0,N82/M82-1)</f>
        <v>0</v>
      </c>
      <c r="AA82" s="18">
        <v>37.9</v>
      </c>
      <c r="AB82" s="18">
        <v>0</v>
      </c>
      <c r="AC82" s="4">
        <f>AB82/AA82-1</f>
        <v>-1</v>
      </c>
    </row>
    <row r="83" spans="1:29" hidden="1">
      <c r="A83" t="s">
        <v>679</v>
      </c>
      <c r="B83" t="s">
        <v>680</v>
      </c>
      <c r="C83" s="19">
        <v>1</v>
      </c>
      <c r="F83" s="19">
        <v>0</v>
      </c>
      <c r="G83" t="b">
        <f>IF(B83=E83,TRUE,FALSE)</f>
        <v>0</v>
      </c>
      <c r="J83" s="27">
        <v>0</v>
      </c>
      <c r="K83" s="4">
        <f>F83/C83-1</f>
        <v>-1</v>
      </c>
      <c r="M83" s="5">
        <v>0</v>
      </c>
      <c r="N83" s="5">
        <v>0</v>
      </c>
      <c r="Q83" s="5">
        <v>0</v>
      </c>
      <c r="T83" s="150">
        <f>N83-M83</f>
        <v>0</v>
      </c>
      <c r="U83" s="4">
        <f>IF(M83=0,0,N83/M83-1)</f>
        <v>0</v>
      </c>
      <c r="AA83" s="18">
        <v>18.95</v>
      </c>
      <c r="AB83" s="18">
        <v>0</v>
      </c>
      <c r="AC83" s="4">
        <f>AB83/AA83-1</f>
        <v>-1</v>
      </c>
    </row>
    <row r="84" spans="1:29" ht="13.9" customHeight="1">
      <c r="A84" t="s">
        <v>681</v>
      </c>
      <c r="B84" t="s">
        <v>682</v>
      </c>
      <c r="C84" s="19">
        <v>1604</v>
      </c>
      <c r="E84" t="s">
        <v>682</v>
      </c>
      <c r="F84" s="19">
        <v>1727</v>
      </c>
      <c r="G84" t="b">
        <f>IF(B84=E84,TRUE,FALSE)</f>
        <v>1</v>
      </c>
      <c r="J84" s="27">
        <f>F84-C84</f>
        <v>123</v>
      </c>
      <c r="K84" s="4">
        <f>F84/C84-1</f>
        <v>7.6683291770573536E-2</v>
      </c>
      <c r="M84" s="5">
        <v>3446.4700000000003</v>
      </c>
      <c r="N84" s="5">
        <v>3534.84</v>
      </c>
      <c r="Q84" s="5">
        <v>16338.59</v>
      </c>
      <c r="T84" s="150">
        <f>N84-M84</f>
        <v>88.369999999999891</v>
      </c>
      <c r="U84" s="4">
        <f>IF(M84=0,0,N84/M84-1)</f>
        <v>2.5640728049279415E-2</v>
      </c>
      <c r="AA84" s="18">
        <v>30421.98</v>
      </c>
      <c r="AB84" s="18">
        <v>33378.730000000003</v>
      </c>
      <c r="AC84" s="4">
        <f>AB84/AA84-1</f>
        <v>9.7191241332747147E-2</v>
      </c>
    </row>
    <row r="85" spans="1:29" ht="13.9" customHeight="1">
      <c r="A85" t="s">
        <v>683</v>
      </c>
      <c r="B85" t="s">
        <v>684</v>
      </c>
      <c r="C85" s="19">
        <v>448</v>
      </c>
      <c r="E85" t="s">
        <v>684</v>
      </c>
      <c r="F85" s="19">
        <v>456</v>
      </c>
      <c r="G85" t="b">
        <f>IF(B85=E85,TRUE,FALSE)</f>
        <v>1</v>
      </c>
      <c r="J85" s="27">
        <f>F85-C85</f>
        <v>8</v>
      </c>
      <c r="K85" s="4">
        <f>F85/C85-1</f>
        <v>1.7857142857142794E-2</v>
      </c>
      <c r="M85" s="5">
        <v>480.07</v>
      </c>
      <c r="N85" s="5">
        <v>569.27</v>
      </c>
      <c r="Q85" s="5">
        <v>2729.19</v>
      </c>
      <c r="T85" s="150">
        <f>N85-M85</f>
        <v>89.199999999999989</v>
      </c>
      <c r="U85" s="4">
        <f>IF(M85=0,0,N85/M85-1)</f>
        <v>0.18580623659049711</v>
      </c>
      <c r="AA85" s="18">
        <v>13387.65</v>
      </c>
      <c r="AB85" s="18">
        <v>13657.2</v>
      </c>
      <c r="AC85" s="4">
        <f>AB85/AA85-1</f>
        <v>2.0134228187919545E-2</v>
      </c>
    </row>
    <row r="86" spans="1:29" ht="13.9" customHeight="1">
      <c r="A86" t="s">
        <v>685</v>
      </c>
      <c r="B86" t="s">
        <v>686</v>
      </c>
      <c r="C86" s="19">
        <v>2254</v>
      </c>
      <c r="D86" s="5"/>
      <c r="E86" t="s">
        <v>686</v>
      </c>
      <c r="F86" s="19">
        <v>2263</v>
      </c>
      <c r="G86" t="b">
        <f>IF(B86=E86,TRUE,FALSE)</f>
        <v>1</v>
      </c>
      <c r="H86" s="5"/>
      <c r="I86" s="5"/>
      <c r="J86" s="27">
        <f>F86-C86</f>
        <v>9</v>
      </c>
      <c r="K86" s="4">
        <f>F86/C86-1</f>
        <v>3.9929015084294583E-3</v>
      </c>
      <c r="L86" s="5"/>
      <c r="M86" s="5">
        <v>5031.0599999999995</v>
      </c>
      <c r="N86" s="5">
        <v>5130.78</v>
      </c>
      <c r="O86" s="5"/>
      <c r="P86" s="5"/>
      <c r="Q86" s="5">
        <v>24633.64</v>
      </c>
      <c r="R86" s="5"/>
      <c r="S86" s="5"/>
      <c r="T86" s="150">
        <f>N86-M86</f>
        <v>99.720000000000255</v>
      </c>
      <c r="U86" s="4">
        <f>IF(M86=0,0,N86/M86-1)</f>
        <v>1.9820872738548267E-2</v>
      </c>
      <c r="V86" s="5"/>
      <c r="W86" s="5"/>
      <c r="X86" s="5"/>
      <c r="Y86" s="5"/>
      <c r="Z86" s="15"/>
      <c r="AA86" s="18">
        <v>39345.57</v>
      </c>
      <c r="AB86" s="18">
        <v>45588.17</v>
      </c>
      <c r="AC86" s="4">
        <f>AB86/AA86-1</f>
        <v>0.15866080984466602</v>
      </c>
    </row>
    <row r="87" spans="1:29" ht="13.9" customHeight="1">
      <c r="A87" t="s">
        <v>687</v>
      </c>
      <c r="B87" t="s">
        <v>688</v>
      </c>
      <c r="C87" s="19">
        <v>3111</v>
      </c>
      <c r="E87" t="s">
        <v>688</v>
      </c>
      <c r="F87" s="19">
        <v>4088</v>
      </c>
      <c r="G87" t="b">
        <f>IF(B87=E87,TRUE,FALSE)</f>
        <v>1</v>
      </c>
      <c r="J87" s="27">
        <f>F87-C87</f>
        <v>977</v>
      </c>
      <c r="K87" s="4">
        <f>F87/C87-1</f>
        <v>0.31404693024750885</v>
      </c>
      <c r="M87" s="5">
        <v>1257.19</v>
      </c>
      <c r="N87" s="5">
        <v>1357.7</v>
      </c>
      <c r="Q87" s="5">
        <v>26545.599999999999</v>
      </c>
      <c r="T87" s="150">
        <f>N87-M87</f>
        <v>100.50999999999999</v>
      </c>
      <c r="U87" s="4">
        <f>IF(M87=0,0,N87/M87-1)</f>
        <v>7.9948138308449712E-2</v>
      </c>
      <c r="AA87" s="18">
        <v>114803.65</v>
      </c>
      <c r="AB87" s="18">
        <v>145427.89000000001</v>
      </c>
      <c r="AC87" s="4">
        <f>AB87/AA87-1</f>
        <v>0.26675319120951313</v>
      </c>
    </row>
    <row r="88" spans="1:29" ht="13.9" customHeight="1">
      <c r="A88" t="s">
        <v>689</v>
      </c>
      <c r="B88" t="s">
        <v>690</v>
      </c>
      <c r="C88" s="19">
        <v>1421</v>
      </c>
      <c r="E88" t="s">
        <v>690</v>
      </c>
      <c r="F88" s="19">
        <v>1468</v>
      </c>
      <c r="G88" t="b">
        <f>IF(B88=E88,TRUE,FALSE)</f>
        <v>1</v>
      </c>
      <c r="J88" s="27">
        <f>F88-C88</f>
        <v>47</v>
      </c>
      <c r="K88" s="4">
        <f>F88/C88-1</f>
        <v>3.3075299085151277E-2</v>
      </c>
      <c r="M88" s="5">
        <v>356.72</v>
      </c>
      <c r="N88" s="5">
        <v>459.8</v>
      </c>
      <c r="Q88" s="5">
        <v>2663.85</v>
      </c>
      <c r="T88" s="150">
        <f>N88-M88</f>
        <v>103.07999999999998</v>
      </c>
      <c r="U88" s="4">
        <f>IF(M88=0,0,N88/M88-1)</f>
        <v>0.28896613590491138</v>
      </c>
      <c r="AA88" s="18">
        <v>34023.199999999997</v>
      </c>
      <c r="AB88" s="18">
        <v>35125.360000000001</v>
      </c>
      <c r="AC88" s="4">
        <f>AB88/AA88-1</f>
        <v>3.2394366197183277E-2</v>
      </c>
    </row>
    <row r="89" spans="1:29" ht="14.45" customHeight="1">
      <c r="A89" t="s">
        <v>691</v>
      </c>
      <c r="B89" t="s">
        <v>692</v>
      </c>
      <c r="C89" s="19">
        <v>785</v>
      </c>
      <c r="E89" t="s">
        <v>692</v>
      </c>
      <c r="F89" s="19">
        <v>2459</v>
      </c>
      <c r="G89" t="b">
        <f>IF(B89=E89,TRUE,FALSE)</f>
        <v>1</v>
      </c>
      <c r="J89" s="27">
        <f>F89-C89</f>
        <v>1674</v>
      </c>
      <c r="K89" s="4">
        <f>F89/C89-1</f>
        <v>2.132484076433121</v>
      </c>
      <c r="M89" s="5">
        <v>1993.38</v>
      </c>
      <c r="N89" s="5">
        <v>2134.25</v>
      </c>
      <c r="Q89" s="5">
        <v>12054.06</v>
      </c>
      <c r="T89" s="150">
        <f>N89-M89</f>
        <v>140.86999999999989</v>
      </c>
      <c r="U89" s="4">
        <f>IF(M89=0,0,N89/M89-1)</f>
        <v>7.0668914105689762E-2</v>
      </c>
      <c r="AA89" s="18">
        <v>7842.15</v>
      </c>
      <c r="AB89" s="18">
        <v>29447.480000000003</v>
      </c>
      <c r="AC89" s="4">
        <f>AB89/AA89-1</f>
        <v>2.7550263639435619</v>
      </c>
    </row>
    <row r="90" spans="1:29" ht="13.9" customHeight="1">
      <c r="A90" t="s">
        <v>693</v>
      </c>
      <c r="B90" t="s">
        <v>694</v>
      </c>
      <c r="C90" s="19">
        <v>1762</v>
      </c>
      <c r="E90" t="s">
        <v>694</v>
      </c>
      <c r="F90" s="19">
        <v>1758</v>
      </c>
      <c r="G90" t="b">
        <f>IF(B90=E90,TRUE,FALSE)</f>
        <v>1</v>
      </c>
      <c r="J90" s="27">
        <f>F90-C90</f>
        <v>-4</v>
      </c>
      <c r="K90" s="4">
        <f>F90/C90-1</f>
        <v>-2.2701475595914289E-3</v>
      </c>
      <c r="M90" s="5">
        <v>3333.63</v>
      </c>
      <c r="N90" s="5">
        <v>3478.4</v>
      </c>
      <c r="Q90" s="5">
        <v>13357.78</v>
      </c>
      <c r="T90" s="150">
        <f>N90-M90</f>
        <v>144.76999999999998</v>
      </c>
      <c r="U90" s="4">
        <f>IF(M90=0,0,N90/M90-1)</f>
        <v>4.3427134984986404E-2</v>
      </c>
      <c r="AA90" s="18">
        <v>42668.57</v>
      </c>
      <c r="AB90" s="18">
        <v>43814.13</v>
      </c>
      <c r="AC90" s="4">
        <f>AB90/AA90-1</f>
        <v>2.6847864833529744E-2</v>
      </c>
    </row>
    <row r="91" spans="1:29" ht="13.9" customHeight="1">
      <c r="A91" t="s">
        <v>695</v>
      </c>
      <c r="B91" t="s">
        <v>696</v>
      </c>
      <c r="C91" s="19">
        <v>576</v>
      </c>
      <c r="E91" t="s">
        <v>696</v>
      </c>
      <c r="F91" s="19">
        <v>697</v>
      </c>
      <c r="G91" t="b">
        <f>IF(B91=E91,TRUE,FALSE)</f>
        <v>1</v>
      </c>
      <c r="J91" s="27">
        <f>F91-C91</f>
        <v>121</v>
      </c>
      <c r="K91" s="4">
        <f>F91/C91-1</f>
        <v>0.21006944444444442</v>
      </c>
      <c r="M91" s="5">
        <v>778.44</v>
      </c>
      <c r="N91" s="5">
        <v>933.22</v>
      </c>
      <c r="Q91" s="5">
        <v>5687.39</v>
      </c>
      <c r="T91" s="150">
        <f>N91-M91</f>
        <v>154.77999999999997</v>
      </c>
      <c r="U91" s="4">
        <f>IF(M91=0,0,N91/M91-1)</f>
        <v>0.19883356456502743</v>
      </c>
      <c r="AA91" s="18">
        <v>11451.3</v>
      </c>
      <c r="AB91" s="18">
        <v>13885.2</v>
      </c>
      <c r="AC91" s="4">
        <f>AB91/AA91-1</f>
        <v>0.21254355400696867</v>
      </c>
    </row>
    <row r="92" spans="1:29" ht="13.9" customHeight="1">
      <c r="A92" t="s">
        <v>697</v>
      </c>
      <c r="B92" t="s">
        <v>698</v>
      </c>
      <c r="C92" s="19">
        <v>1872</v>
      </c>
      <c r="E92" t="s">
        <v>698</v>
      </c>
      <c r="F92" s="19">
        <v>1954</v>
      </c>
      <c r="G92" t="b">
        <f>IF(B92=E92,TRUE,FALSE)</f>
        <v>1</v>
      </c>
      <c r="J92" s="27">
        <f>F92-C92</f>
        <v>82</v>
      </c>
      <c r="K92" s="4">
        <f>F92/C92-1</f>
        <v>4.380341880341887E-2</v>
      </c>
      <c r="M92" s="5">
        <v>2248.63</v>
      </c>
      <c r="N92" s="5">
        <v>2412.92</v>
      </c>
      <c r="Q92" s="5">
        <v>14538.17</v>
      </c>
      <c r="T92" s="150">
        <f>N92-M92</f>
        <v>164.28999999999996</v>
      </c>
      <c r="U92" s="4">
        <f>IF(M92=0,0,N92/M92-1)</f>
        <v>7.306226457887699E-2</v>
      </c>
      <c r="AA92" s="18">
        <v>37401.29</v>
      </c>
      <c r="AB92" s="18">
        <v>39020.480000000003</v>
      </c>
      <c r="AC92" s="4">
        <f>AB92/AA92-1</f>
        <v>4.3292357028327233E-2</v>
      </c>
    </row>
    <row r="93" spans="1:29">
      <c r="A93" t="s">
        <v>699</v>
      </c>
      <c r="B93" t="s">
        <v>700</v>
      </c>
      <c r="C93" s="19">
        <v>815</v>
      </c>
      <c r="E93" t="s">
        <v>700</v>
      </c>
      <c r="F93" s="19">
        <v>995</v>
      </c>
      <c r="G93" t="b">
        <f>IF(B93=E93,TRUE,FALSE)</f>
        <v>1</v>
      </c>
      <c r="J93" s="27">
        <f>F93-C93</f>
        <v>180</v>
      </c>
      <c r="K93" s="4">
        <f>F93/C93-1</f>
        <v>0.22085889570552153</v>
      </c>
      <c r="M93" s="5">
        <v>1083.0899999999999</v>
      </c>
      <c r="N93" s="5">
        <v>1253.03</v>
      </c>
      <c r="Q93" s="5">
        <v>10293.77</v>
      </c>
      <c r="T93" s="150">
        <f>N93-M93</f>
        <v>169.94000000000005</v>
      </c>
      <c r="U93" s="4">
        <f>IF(M93=0,0,N93/M93-1)</f>
        <v>0.15690293512081177</v>
      </c>
      <c r="AA93" s="18">
        <v>20309.3</v>
      </c>
      <c r="AB93" s="18">
        <v>24825.25</v>
      </c>
      <c r="AC93" s="4">
        <f>AB93/AA93-1</f>
        <v>0.22235872235872245</v>
      </c>
    </row>
    <row r="94" spans="1:29">
      <c r="A94" s="29" t="s">
        <v>701</v>
      </c>
      <c r="B94" s="29" t="s">
        <v>702</v>
      </c>
      <c r="C94" s="19">
        <v>2220</v>
      </c>
      <c r="E94" s="29" t="s">
        <v>702</v>
      </c>
      <c r="F94" s="19">
        <v>2475</v>
      </c>
      <c r="G94" t="b">
        <f>IF(B94=E94,TRUE,FALSE)</f>
        <v>1</v>
      </c>
      <c r="J94" s="27">
        <f>F94-C94</f>
        <v>255</v>
      </c>
      <c r="K94" s="4">
        <f>F94/C94-1</f>
        <v>0.11486486486486491</v>
      </c>
      <c r="M94" s="5">
        <v>4488.7999999999993</v>
      </c>
      <c r="N94" s="5">
        <v>4662.12</v>
      </c>
      <c r="Q94" s="5">
        <v>33487.96</v>
      </c>
      <c r="T94" s="150">
        <f>N94-M94</f>
        <v>173.32000000000062</v>
      </c>
      <c r="U94" s="4">
        <f>IF(M94=0,0,N94/M94-1)</f>
        <v>3.8611655676350276E-2</v>
      </c>
      <c r="AA94" s="18">
        <v>39719.82</v>
      </c>
      <c r="AB94" s="18">
        <v>48646.04</v>
      </c>
      <c r="AC94" s="4">
        <f>AB94/AA94-1</f>
        <v>0.22472961861357876</v>
      </c>
    </row>
    <row r="95" spans="1:29">
      <c r="A95" s="29" t="s">
        <v>703</v>
      </c>
      <c r="B95" s="29" t="s">
        <v>704</v>
      </c>
      <c r="C95" s="19">
        <v>1631</v>
      </c>
      <c r="E95" s="29" t="s">
        <v>704</v>
      </c>
      <c r="F95" s="19">
        <v>932</v>
      </c>
      <c r="G95" t="b">
        <f>IF(B95=E95,TRUE,FALSE)</f>
        <v>1</v>
      </c>
      <c r="J95" s="27">
        <f>F95-C95</f>
        <v>-699</v>
      </c>
      <c r="K95" s="4">
        <f>F95/C95-1</f>
        <v>-0.4285714285714286</v>
      </c>
      <c r="M95" s="5">
        <v>1633.9499999999998</v>
      </c>
      <c r="N95" s="5">
        <v>1821.75</v>
      </c>
      <c r="Q95" s="5">
        <v>5824.55</v>
      </c>
      <c r="T95" s="150">
        <f>N95-M95</f>
        <v>187.80000000000018</v>
      </c>
      <c r="U95" s="4">
        <f>IF(M95=0,0,N95/M95-1)</f>
        <v>0.11493619755806495</v>
      </c>
      <c r="AA95" s="18">
        <v>16119.3</v>
      </c>
      <c r="AB95" s="18">
        <v>12137.95</v>
      </c>
      <c r="AC95" s="4">
        <f>AB95/AA95-1</f>
        <v>-0.24699273541655031</v>
      </c>
    </row>
    <row r="96" spans="1:29">
      <c r="A96" t="s">
        <v>705</v>
      </c>
      <c r="B96" t="s">
        <v>706</v>
      </c>
      <c r="C96" s="19">
        <v>817</v>
      </c>
      <c r="E96" t="s">
        <v>706</v>
      </c>
      <c r="F96" s="19">
        <v>898</v>
      </c>
      <c r="G96" t="b">
        <f>IF(B96=E96,TRUE,FALSE)</f>
        <v>1</v>
      </c>
      <c r="J96" s="27">
        <f>F96-C96</f>
        <v>81</v>
      </c>
      <c r="K96" s="4">
        <f>F96/C96-1</f>
        <v>9.9143206854345189E-2</v>
      </c>
      <c r="M96" s="5">
        <v>951.69</v>
      </c>
      <c r="N96" s="5">
        <v>1140.48</v>
      </c>
      <c r="Q96" s="5">
        <v>5343.13</v>
      </c>
      <c r="T96" s="150">
        <f>N96-M96</f>
        <v>188.78999999999996</v>
      </c>
      <c r="U96" s="4">
        <f>IF(M96=0,0,N96/M96-1)</f>
        <v>0.1983734199161491</v>
      </c>
      <c r="AA96" s="18">
        <v>13063.83</v>
      </c>
      <c r="AB96" s="18">
        <v>14359.02</v>
      </c>
      <c r="AC96" s="4">
        <f>AB96/AA96-1</f>
        <v>9.9143206854345189E-2</v>
      </c>
    </row>
    <row r="97" spans="1:29" s="5" customFormat="1">
      <c r="A97" t="s">
        <v>707</v>
      </c>
      <c r="B97" t="s">
        <v>708</v>
      </c>
      <c r="C97" s="19">
        <v>659</v>
      </c>
      <c r="D97"/>
      <c r="E97" t="s">
        <v>708</v>
      </c>
      <c r="F97" s="19">
        <v>767</v>
      </c>
      <c r="G97" t="b">
        <f>IF(B97=E97,TRUE,FALSE)</f>
        <v>1</v>
      </c>
      <c r="H97"/>
      <c r="I97"/>
      <c r="J97" s="27">
        <f>F97-C97</f>
        <v>108</v>
      </c>
      <c r="K97" s="4">
        <f>F97/C97-1</f>
        <v>0.16388467374810323</v>
      </c>
      <c r="L97"/>
      <c r="M97" s="5">
        <v>589.6</v>
      </c>
      <c r="N97" s="5">
        <v>780.51</v>
      </c>
      <c r="O97"/>
      <c r="P97"/>
      <c r="Q97" s="5">
        <v>4907.34</v>
      </c>
      <c r="R97"/>
      <c r="S97"/>
      <c r="T97" s="150">
        <f>N97-M97</f>
        <v>190.90999999999997</v>
      </c>
      <c r="U97" s="4">
        <f>IF(M97=0,0,N97/M97-1)</f>
        <v>0.32379579375848033</v>
      </c>
      <c r="V97"/>
      <c r="W97"/>
      <c r="X97"/>
      <c r="Y97"/>
      <c r="Z97" s="14"/>
      <c r="AA97" s="18">
        <v>12514.41</v>
      </c>
      <c r="AB97" s="18">
        <v>14565.33</v>
      </c>
      <c r="AC97" s="4">
        <f>AB97/AA97-1</f>
        <v>0.16388467374810323</v>
      </c>
    </row>
    <row r="98" spans="1:29" s="5" customFormat="1">
      <c r="A98" s="29" t="s">
        <v>709</v>
      </c>
      <c r="B98" s="29" t="s">
        <v>710</v>
      </c>
      <c r="C98" s="19">
        <v>1164</v>
      </c>
      <c r="D98"/>
      <c r="E98" s="29" t="s">
        <v>710</v>
      </c>
      <c r="F98" s="19">
        <v>1255</v>
      </c>
      <c r="G98" t="b">
        <f>IF(B98=E98,TRUE,FALSE)</f>
        <v>1</v>
      </c>
      <c r="H98"/>
      <c r="I98"/>
      <c r="J98" s="27">
        <f>F98-C98</f>
        <v>91</v>
      </c>
      <c r="K98" s="4">
        <f>F98/C98-1</f>
        <v>7.8178694158075546E-2</v>
      </c>
      <c r="L98"/>
      <c r="M98" s="5">
        <v>1739.6000000000001</v>
      </c>
      <c r="N98" s="5">
        <v>1935.82</v>
      </c>
      <c r="O98"/>
      <c r="P98"/>
      <c r="Q98" s="5">
        <v>8170.82</v>
      </c>
      <c r="R98"/>
      <c r="S98"/>
      <c r="T98" s="150">
        <f>N98-M98</f>
        <v>196.2199999999998</v>
      </c>
      <c r="U98" s="4">
        <f>IF(M98=0,0,N98/M98-1)</f>
        <v>0.11279604506783159</v>
      </c>
      <c r="V98"/>
      <c r="W98"/>
      <c r="X98"/>
      <c r="Y98"/>
      <c r="Z98" s="14"/>
      <c r="AA98" s="18">
        <v>11188.22</v>
      </c>
      <c r="AB98" s="18">
        <v>12296.75</v>
      </c>
      <c r="AC98" s="4">
        <f>AB98/AA98-1</f>
        <v>9.9080103894989557E-2</v>
      </c>
    </row>
    <row r="99" spans="1:29" s="5" customFormat="1">
      <c r="A99" t="s">
        <v>711</v>
      </c>
      <c r="B99" t="s">
        <v>712</v>
      </c>
      <c r="C99" s="19">
        <v>1385</v>
      </c>
      <c r="D99"/>
      <c r="E99" t="s">
        <v>712</v>
      </c>
      <c r="F99" s="19">
        <v>1391</v>
      </c>
      <c r="G99" t="b">
        <f>IF(B99=E99,TRUE,FALSE)</f>
        <v>1</v>
      </c>
      <c r="H99"/>
      <c r="I99"/>
      <c r="J99" s="27">
        <f>F99-C99</f>
        <v>6</v>
      </c>
      <c r="K99" s="4">
        <f>F99/C99-1</f>
        <v>4.3321299638989785E-3</v>
      </c>
      <c r="L99"/>
      <c r="M99" s="5">
        <v>552.44000000000005</v>
      </c>
      <c r="N99" s="5">
        <v>753.72</v>
      </c>
      <c r="O99"/>
      <c r="P99"/>
      <c r="Q99" s="5">
        <v>4296.79</v>
      </c>
      <c r="R99"/>
      <c r="S99"/>
      <c r="T99" s="150">
        <f>N99-M99</f>
        <v>201.27999999999997</v>
      </c>
      <c r="U99" s="4">
        <f>IF(M99=0,0,N99/M99-1)</f>
        <v>0.3643472594308883</v>
      </c>
      <c r="V99"/>
      <c r="W99"/>
      <c r="X99"/>
      <c r="Y99"/>
      <c r="Z99" s="14"/>
      <c r="AA99" s="18">
        <v>26301.15</v>
      </c>
      <c r="AB99" s="18">
        <v>26396.1</v>
      </c>
      <c r="AC99" s="4">
        <f>AB99/AA99-1</f>
        <v>3.6101083032489267E-3</v>
      </c>
    </row>
    <row r="100" spans="1:29" s="5" customFormat="1">
      <c r="A100" t="s">
        <v>713</v>
      </c>
      <c r="B100" t="s">
        <v>714</v>
      </c>
      <c r="C100" s="19">
        <v>2686</v>
      </c>
      <c r="E100" t="s">
        <v>714</v>
      </c>
      <c r="F100" s="19">
        <v>2322</v>
      </c>
      <c r="G100" t="b">
        <f>IF(B100=E100,TRUE,FALSE)</f>
        <v>1</v>
      </c>
      <c r="J100" s="27">
        <f>F100-C100</f>
        <v>-364</v>
      </c>
      <c r="K100" s="4">
        <f>F100/C100-1</f>
        <v>-0.1355174981384959</v>
      </c>
      <c r="M100" s="5">
        <v>2575.0500000000002</v>
      </c>
      <c r="N100" s="5">
        <v>2781.16</v>
      </c>
      <c r="Q100" s="5">
        <v>15454.35</v>
      </c>
      <c r="T100" s="150">
        <f>N100-M100</f>
        <v>206.10999999999967</v>
      </c>
      <c r="U100" s="4">
        <f>IF(M100=0,0,N100/M100-1)</f>
        <v>8.0041164249237795E-2</v>
      </c>
      <c r="Z100" s="15"/>
      <c r="AA100" s="18">
        <v>58935.75</v>
      </c>
      <c r="AB100" s="18">
        <v>49185.24</v>
      </c>
      <c r="AC100" s="4">
        <f>AB100/AA100-1</f>
        <v>-0.16544304602893833</v>
      </c>
    </row>
    <row r="101" spans="1:29" s="5" customFormat="1">
      <c r="A101" t="s">
        <v>715</v>
      </c>
      <c r="B101" t="s">
        <v>716</v>
      </c>
      <c r="C101" s="19">
        <v>1653</v>
      </c>
      <c r="D101"/>
      <c r="E101" t="s">
        <v>716</v>
      </c>
      <c r="F101" s="19">
        <v>1050</v>
      </c>
      <c r="G101" t="b">
        <f>IF(B101=E101,TRUE,FALSE)</f>
        <v>1</v>
      </c>
      <c r="H101"/>
      <c r="I101"/>
      <c r="J101" s="27">
        <f>F101-C101</f>
        <v>-603</v>
      </c>
      <c r="K101" s="4">
        <f>F101/C101-1</f>
        <v>-0.36479128856624321</v>
      </c>
      <c r="L101"/>
      <c r="M101" s="5">
        <v>0</v>
      </c>
      <c r="N101" s="5">
        <v>214.39</v>
      </c>
      <c r="O101"/>
      <c r="P101"/>
      <c r="Q101" s="5">
        <v>1707</v>
      </c>
      <c r="R101"/>
      <c r="S101"/>
      <c r="T101" s="150">
        <f>N101-M101</f>
        <v>214.39</v>
      </c>
      <c r="U101" s="4">
        <f>IF(M101=0,0,N101/M101-1)</f>
        <v>0</v>
      </c>
      <c r="V101"/>
      <c r="W101"/>
      <c r="X101"/>
      <c r="Y101"/>
      <c r="Z101" s="14"/>
      <c r="AA101" s="18">
        <v>55219.99</v>
      </c>
      <c r="AB101" s="18">
        <v>35862.33</v>
      </c>
      <c r="AC101" s="4">
        <f>AB101/AA101-1</f>
        <v>-0.35055529709440358</v>
      </c>
    </row>
    <row r="102" spans="1:29" s="5" customFormat="1">
      <c r="A102" t="s">
        <v>717</v>
      </c>
      <c r="B102" t="s">
        <v>718</v>
      </c>
      <c r="C102" s="19">
        <v>1275</v>
      </c>
      <c r="D102"/>
      <c r="E102" t="s">
        <v>718</v>
      </c>
      <c r="F102" s="19">
        <v>1132</v>
      </c>
      <c r="G102" t="b">
        <f>IF(B102=E102,TRUE,FALSE)</f>
        <v>1</v>
      </c>
      <c r="H102"/>
      <c r="I102"/>
      <c r="J102" s="27">
        <f>F102-C102</f>
        <v>-143</v>
      </c>
      <c r="K102" s="4">
        <f>F102/C102-1</f>
        <v>-0.11215686274509806</v>
      </c>
      <c r="L102"/>
      <c r="M102" s="5">
        <v>745.68</v>
      </c>
      <c r="N102" s="5">
        <v>960.15</v>
      </c>
      <c r="O102"/>
      <c r="P102"/>
      <c r="Q102" s="5">
        <v>2233.19</v>
      </c>
      <c r="R102"/>
      <c r="S102"/>
      <c r="T102" s="150">
        <f>N102-M102</f>
        <v>214.47000000000003</v>
      </c>
      <c r="U102" s="4">
        <f>IF(M102=0,0,N102/M102-1)</f>
        <v>0.28761667203089814</v>
      </c>
      <c r="V102"/>
      <c r="W102"/>
      <c r="X102"/>
      <c r="Y102"/>
      <c r="Z102" s="14"/>
      <c r="AA102" s="18">
        <v>35386.79</v>
      </c>
      <c r="AB102" s="18">
        <v>31656.690000000002</v>
      </c>
      <c r="AC102" s="4">
        <f>AB102/AA102-1</f>
        <v>-0.10540939147065898</v>
      </c>
    </row>
    <row r="103" spans="1:29" s="5" customFormat="1">
      <c r="A103" t="s">
        <v>719</v>
      </c>
      <c r="B103" t="s">
        <v>720</v>
      </c>
      <c r="C103" s="19">
        <v>1088</v>
      </c>
      <c r="D103"/>
      <c r="E103" t="s">
        <v>720</v>
      </c>
      <c r="F103" s="19">
        <v>1017</v>
      </c>
      <c r="G103" t="b">
        <f>IF(B103=E103,TRUE,FALSE)</f>
        <v>1</v>
      </c>
      <c r="H103"/>
      <c r="I103"/>
      <c r="J103" s="27">
        <f>F103-C103</f>
        <v>-71</v>
      </c>
      <c r="K103" s="4">
        <f>F103/C103-1</f>
        <v>-6.5257352941176516E-2</v>
      </c>
      <c r="L103"/>
      <c r="M103" s="5">
        <v>1056.3800000000001</v>
      </c>
      <c r="N103" s="5">
        <v>1281.21</v>
      </c>
      <c r="O103"/>
      <c r="P103"/>
      <c r="Q103" s="5">
        <v>4867.53</v>
      </c>
      <c r="R103"/>
      <c r="S103"/>
      <c r="T103" s="150">
        <f>N103-M103</f>
        <v>224.82999999999993</v>
      </c>
      <c r="U103" s="4">
        <f>IF(M103=0,0,N103/M103-1)</f>
        <v>0.21283061019708804</v>
      </c>
      <c r="V103"/>
      <c r="W103"/>
      <c r="X103"/>
      <c r="Y103"/>
      <c r="Z103" s="14"/>
      <c r="AA103" s="18">
        <v>21476.639999999999</v>
      </c>
      <c r="AB103" s="18">
        <v>20329.830000000002</v>
      </c>
      <c r="AC103" s="4">
        <f>AB103/AA103-1</f>
        <v>-5.3398017566993583E-2</v>
      </c>
    </row>
    <row r="104" spans="1:29" s="5" customFormat="1">
      <c r="A104" t="s">
        <v>721</v>
      </c>
      <c r="B104" t="s">
        <v>722</v>
      </c>
      <c r="C104" s="19">
        <v>1242</v>
      </c>
      <c r="E104" t="s">
        <v>722</v>
      </c>
      <c r="F104" s="19">
        <v>1614</v>
      </c>
      <c r="G104" t="b">
        <f>IF(B104=E104,TRUE,FALSE)</f>
        <v>1</v>
      </c>
      <c r="J104" s="27">
        <f>F104-C104</f>
        <v>372</v>
      </c>
      <c r="K104" s="4">
        <f>F104/C104-1</f>
        <v>0.29951690821256038</v>
      </c>
      <c r="M104" s="5">
        <v>3132.4900000000002</v>
      </c>
      <c r="N104" s="5">
        <v>3358.06</v>
      </c>
      <c r="Q104" s="5">
        <v>15951.28</v>
      </c>
      <c r="T104" s="150">
        <f>N104-M104</f>
        <v>225.56999999999971</v>
      </c>
      <c r="U104" s="4">
        <f>IF(M104=0,0,N104/M104-1)</f>
        <v>7.2009806894834272E-2</v>
      </c>
      <c r="Z104" s="15"/>
      <c r="AA104" s="18">
        <v>27301.58</v>
      </c>
      <c r="AB104" s="18">
        <v>35469.870000000003</v>
      </c>
      <c r="AC104" s="4">
        <f>AB104/AA104-1</f>
        <v>0.29918744629431715</v>
      </c>
    </row>
    <row r="105" spans="1:29">
      <c r="A105" t="s">
        <v>723</v>
      </c>
      <c r="B105" t="s">
        <v>724</v>
      </c>
      <c r="C105" s="19">
        <v>1029</v>
      </c>
      <c r="E105" t="s">
        <v>724</v>
      </c>
      <c r="F105" s="19">
        <v>556</v>
      </c>
      <c r="G105" t="b">
        <f>IF(B105=E105,TRUE,FALSE)</f>
        <v>1</v>
      </c>
      <c r="J105" s="27">
        <f>F105-C105</f>
        <v>-473</v>
      </c>
      <c r="K105" s="4">
        <f>F105/C105-1</f>
        <v>-0.45966958211856168</v>
      </c>
      <c r="M105" s="5">
        <v>588.18000000000006</v>
      </c>
      <c r="N105" s="5">
        <v>825.59</v>
      </c>
      <c r="Q105" s="5">
        <v>3721.89</v>
      </c>
      <c r="T105" s="150">
        <f>N105-M105</f>
        <v>237.40999999999997</v>
      </c>
      <c r="U105" s="4">
        <f>IF(M105=0,0,N105/M105-1)</f>
        <v>0.40363494168451819</v>
      </c>
      <c r="AA105" s="18">
        <v>14353.74</v>
      </c>
      <c r="AB105" s="18">
        <v>7506.84</v>
      </c>
      <c r="AC105" s="4">
        <f>AB105/AA105-1</f>
        <v>-0.47701156632348085</v>
      </c>
    </row>
    <row r="106" spans="1:29" s="5" customFormat="1">
      <c r="A106" t="s">
        <v>725</v>
      </c>
      <c r="B106" t="s">
        <v>726</v>
      </c>
      <c r="C106" s="19">
        <v>590</v>
      </c>
      <c r="D106"/>
      <c r="E106" t="s">
        <v>726</v>
      </c>
      <c r="F106" s="19">
        <v>563</v>
      </c>
      <c r="G106" t="b">
        <f>IF(B106=E106,TRUE,FALSE)</f>
        <v>1</v>
      </c>
      <c r="H106"/>
      <c r="I106"/>
      <c r="J106" s="27">
        <f>F106-C106</f>
        <v>-27</v>
      </c>
      <c r="K106" s="4">
        <f>F106/C106-1</f>
        <v>-4.5762711864406724E-2</v>
      </c>
      <c r="L106"/>
      <c r="M106" s="5">
        <v>0</v>
      </c>
      <c r="N106" s="5">
        <v>245.88</v>
      </c>
      <c r="O106"/>
      <c r="P106"/>
      <c r="Q106" s="5">
        <v>2523.38</v>
      </c>
      <c r="R106"/>
      <c r="S106"/>
      <c r="T106" s="150">
        <f>N106-M106</f>
        <v>245.88</v>
      </c>
      <c r="U106" s="4">
        <f>IF(M106=0,0,N106/M106-1)</f>
        <v>0</v>
      </c>
      <c r="V106"/>
      <c r="W106"/>
      <c r="X106"/>
      <c r="Y106"/>
      <c r="Z106" s="14"/>
      <c r="AA106" s="18">
        <v>17075.11</v>
      </c>
      <c r="AB106" s="18">
        <v>16536.37</v>
      </c>
      <c r="AC106" s="4">
        <f>AB106/AA106-1</f>
        <v>-3.1551187664384139E-2</v>
      </c>
    </row>
    <row r="107" spans="1:29" s="5" customFormat="1">
      <c r="A107" t="s">
        <v>727</v>
      </c>
      <c r="B107" t="s">
        <v>728</v>
      </c>
      <c r="C107" s="19">
        <v>1013</v>
      </c>
      <c r="D107"/>
      <c r="E107" t="s">
        <v>728</v>
      </c>
      <c r="F107" s="19">
        <v>1079</v>
      </c>
      <c r="G107" t="b">
        <f>IF(B107=E107,TRUE,FALSE)</f>
        <v>1</v>
      </c>
      <c r="H107"/>
      <c r="I107"/>
      <c r="J107" s="27">
        <f>F107-C107</f>
        <v>66</v>
      </c>
      <c r="K107" s="4">
        <f>F107/C107-1</f>
        <v>6.5153010858835181E-2</v>
      </c>
      <c r="L107"/>
      <c r="M107" s="5">
        <v>1941.5100000000002</v>
      </c>
      <c r="N107" s="5">
        <v>2197.5700000000002</v>
      </c>
      <c r="O107"/>
      <c r="P107"/>
      <c r="Q107" s="5">
        <v>9391.07</v>
      </c>
      <c r="R107"/>
      <c r="S107"/>
      <c r="T107" s="150">
        <f>N107-M107</f>
        <v>256.05999999999995</v>
      </c>
      <c r="U107" s="4">
        <f>IF(M107=0,0,N107/M107-1)</f>
        <v>0.13188703637890087</v>
      </c>
      <c r="V107"/>
      <c r="W107"/>
      <c r="X107"/>
      <c r="Y107"/>
      <c r="Z107" s="14"/>
      <c r="AA107" s="18">
        <v>20209.349999999999</v>
      </c>
      <c r="AB107" s="18">
        <v>21426.3</v>
      </c>
      <c r="AC107" s="4">
        <f>AB107/AA107-1</f>
        <v>6.0217176702862751E-2</v>
      </c>
    </row>
    <row r="108" spans="1:29" s="5" customFormat="1">
      <c r="A108" s="5" t="s">
        <v>729</v>
      </c>
      <c r="B108" s="29" t="s">
        <v>730</v>
      </c>
      <c r="C108" s="19">
        <v>1036</v>
      </c>
      <c r="E108" s="29" t="s">
        <v>730</v>
      </c>
      <c r="F108" s="19">
        <v>1012</v>
      </c>
      <c r="G108" t="b">
        <f>IF(B108=E108,TRUE,FALSE)</f>
        <v>1</v>
      </c>
      <c r="J108" s="27">
        <f>F108-C108</f>
        <v>-24</v>
      </c>
      <c r="K108" s="4">
        <f>F108/C108-1</f>
        <v>-2.316602316602312E-2</v>
      </c>
      <c r="M108" s="5">
        <v>1641.4</v>
      </c>
      <c r="N108" s="5">
        <v>1914.07</v>
      </c>
      <c r="Q108" s="5">
        <v>5765.9</v>
      </c>
      <c r="T108" s="150">
        <f>N108-M108</f>
        <v>272.66999999999985</v>
      </c>
      <c r="U108" s="5">
        <f>IF(M108=0,0,N108/M108-1)</f>
        <v>0.16612038503716331</v>
      </c>
      <c r="Z108" s="15"/>
      <c r="AA108" s="18">
        <v>12385.64</v>
      </c>
      <c r="AB108" s="18">
        <v>14143.89</v>
      </c>
      <c r="AC108" s="4">
        <f>AB108/AA108-1</f>
        <v>0.14195875223242393</v>
      </c>
    </row>
    <row r="109" spans="1:29" s="5" customFormat="1" ht="15.75" customHeight="1">
      <c r="A109" t="s">
        <v>731</v>
      </c>
      <c r="B109" t="s">
        <v>732</v>
      </c>
      <c r="C109" s="19">
        <v>1220</v>
      </c>
      <c r="D109"/>
      <c r="E109" t="s">
        <v>732</v>
      </c>
      <c r="F109" s="19">
        <v>1330</v>
      </c>
      <c r="G109" t="b">
        <f>IF(B109=E109,TRUE,FALSE)</f>
        <v>1</v>
      </c>
      <c r="H109"/>
      <c r="I109"/>
      <c r="J109" s="27">
        <f>F109-C109</f>
        <v>110</v>
      </c>
      <c r="K109" s="4">
        <f>F109/C109-1</f>
        <v>9.0163934426229497E-2</v>
      </c>
      <c r="L109"/>
      <c r="M109" s="5">
        <v>1258.31</v>
      </c>
      <c r="N109" s="5">
        <v>1531.91</v>
      </c>
      <c r="O109"/>
      <c r="P109"/>
      <c r="Q109" s="5">
        <v>11525.65</v>
      </c>
      <c r="R109"/>
      <c r="S109"/>
      <c r="T109" s="150">
        <f>N109-M109</f>
        <v>273.60000000000014</v>
      </c>
      <c r="U109" s="4">
        <f>IF(M109=0,0,N109/M109-1)</f>
        <v>0.21743449547408833</v>
      </c>
      <c r="V109"/>
      <c r="W109"/>
      <c r="X109"/>
      <c r="Y109"/>
      <c r="Z109" s="14"/>
      <c r="AA109" s="18">
        <v>35338.81</v>
      </c>
      <c r="AB109" s="18">
        <v>38527.71</v>
      </c>
      <c r="AC109" s="4">
        <f>AB109/AA109-1</f>
        <v>9.0237899917965603E-2</v>
      </c>
    </row>
    <row r="110" spans="1:29" s="5" customFormat="1">
      <c r="A110" t="s">
        <v>733</v>
      </c>
      <c r="B110" t="s">
        <v>734</v>
      </c>
      <c r="C110" s="19">
        <v>698</v>
      </c>
      <c r="D110"/>
      <c r="E110" t="s">
        <v>734</v>
      </c>
      <c r="F110" s="19">
        <v>736</v>
      </c>
      <c r="G110" t="b">
        <f>IF(B110=E110,TRUE,FALSE)</f>
        <v>1</v>
      </c>
      <c r="H110"/>
      <c r="I110"/>
      <c r="J110" s="27">
        <f>F110-C110</f>
        <v>38</v>
      </c>
      <c r="K110" s="4">
        <f>F110/C110-1</f>
        <v>5.4441260744985565E-2</v>
      </c>
      <c r="L110"/>
      <c r="M110" s="5">
        <v>644.89</v>
      </c>
      <c r="N110" s="5">
        <v>930.48</v>
      </c>
      <c r="O110"/>
      <c r="P110"/>
      <c r="Q110" s="5">
        <v>4013.69</v>
      </c>
      <c r="R110"/>
      <c r="S110"/>
      <c r="T110" s="150">
        <f>N110-M110</f>
        <v>285.59000000000003</v>
      </c>
      <c r="U110" s="4">
        <f>IF(M110=0,0,N110/M110-1)</f>
        <v>0.44285071872722481</v>
      </c>
      <c r="V110"/>
      <c r="W110" t="s">
        <v>735</v>
      </c>
      <c r="X110"/>
      <c r="Y110" s="4" t="s">
        <v>736</v>
      </c>
      <c r="Z110" s="14"/>
      <c r="AA110" s="18">
        <v>13236.03</v>
      </c>
      <c r="AB110" s="18">
        <v>13976.64</v>
      </c>
      <c r="AC110" s="4">
        <f>AB110/AA110-1</f>
        <v>5.5954088952654191E-2</v>
      </c>
    </row>
    <row r="111" spans="1:29" s="5" customFormat="1">
      <c r="A111" t="s">
        <v>737</v>
      </c>
      <c r="B111" t="s">
        <v>738</v>
      </c>
      <c r="C111" s="19">
        <v>939</v>
      </c>
      <c r="D111"/>
      <c r="E111" t="s">
        <v>738</v>
      </c>
      <c r="F111" s="19">
        <v>986</v>
      </c>
      <c r="G111" t="b">
        <f>IF(B111=E111,TRUE,FALSE)</f>
        <v>1</v>
      </c>
      <c r="H111"/>
      <c r="I111"/>
      <c r="J111" s="27">
        <f>F111-C111</f>
        <v>47</v>
      </c>
      <c r="K111" s="4">
        <f>F111/C111-1</f>
        <v>5.0053248136315176E-2</v>
      </c>
      <c r="L111"/>
      <c r="M111" s="5">
        <v>1224.8000000000002</v>
      </c>
      <c r="N111" s="5">
        <v>1511.76</v>
      </c>
      <c r="O111"/>
      <c r="P111"/>
      <c r="Q111" s="5">
        <v>6883.19</v>
      </c>
      <c r="R111"/>
      <c r="S111"/>
      <c r="T111" s="150">
        <f>N111-M111</f>
        <v>286.95999999999981</v>
      </c>
      <c r="U111" s="4">
        <f>IF(M111=0,0,N111/M111-1)</f>
        <v>0.23429131286740668</v>
      </c>
      <c r="V111"/>
      <c r="W111"/>
      <c r="X111"/>
      <c r="Y111"/>
      <c r="Z111" s="14"/>
      <c r="AA111" s="18">
        <v>18770.61</v>
      </c>
      <c r="AB111" s="18">
        <v>19710.14</v>
      </c>
      <c r="AC111" s="4">
        <f>AB111/AA111-1</f>
        <v>5.0053248136315176E-2</v>
      </c>
    </row>
    <row r="112" spans="1:29" s="5" customFormat="1">
      <c r="A112" t="s">
        <v>739</v>
      </c>
      <c r="B112" t="s">
        <v>740</v>
      </c>
      <c r="C112" s="19">
        <v>348</v>
      </c>
      <c r="D112"/>
      <c r="E112" t="s">
        <v>740</v>
      </c>
      <c r="F112" s="19">
        <v>352</v>
      </c>
      <c r="G112" t="b">
        <f>IF(B112=E112,TRUE,FALSE)</f>
        <v>1</v>
      </c>
      <c r="H112"/>
      <c r="I112"/>
      <c r="J112" s="27">
        <f>F112-C112</f>
        <v>4</v>
      </c>
      <c r="K112" s="4">
        <f>F112/C112-1</f>
        <v>1.1494252873563315E-2</v>
      </c>
      <c r="L112"/>
      <c r="M112" s="5">
        <v>0</v>
      </c>
      <c r="N112" s="5">
        <v>304.18</v>
      </c>
      <c r="O112"/>
      <c r="P112"/>
      <c r="Q112" s="5">
        <v>2861</v>
      </c>
      <c r="R112"/>
      <c r="S112"/>
      <c r="T112" s="150">
        <f>N112-M112</f>
        <v>304.18</v>
      </c>
      <c r="U112" s="4">
        <f>IF(M112=0,0,N112/M112-1)</f>
        <v>0</v>
      </c>
      <c r="V112"/>
      <c r="W112"/>
      <c r="X112"/>
      <c r="Y112"/>
      <c r="Z112" s="14"/>
      <c r="AA112" s="18">
        <v>10045.65</v>
      </c>
      <c r="AB112" s="18">
        <v>10338.08</v>
      </c>
      <c r="AC112" s="4">
        <f>AB112/AA112-1</f>
        <v>2.911011233718086E-2</v>
      </c>
    </row>
    <row r="113" spans="1:29" s="5" customFormat="1">
      <c r="A113" t="s">
        <v>741</v>
      </c>
      <c r="B113" t="s">
        <v>742</v>
      </c>
      <c r="C113" s="19">
        <v>639</v>
      </c>
      <c r="D113"/>
      <c r="E113" t="s">
        <v>742</v>
      </c>
      <c r="F113" s="19">
        <v>680</v>
      </c>
      <c r="G113" t="b">
        <f>IF(B113=E113,TRUE,FALSE)</f>
        <v>1</v>
      </c>
      <c r="H113"/>
      <c r="I113"/>
      <c r="J113" s="27">
        <f>F113-C113</f>
        <v>41</v>
      </c>
      <c r="K113" s="4">
        <f>F113/C113-1</f>
        <v>6.4162754303599412E-2</v>
      </c>
      <c r="M113" s="5">
        <v>0</v>
      </c>
      <c r="N113" s="5">
        <v>313.06</v>
      </c>
      <c r="Q113" s="5">
        <v>2491.4499999999998</v>
      </c>
      <c r="T113" s="150">
        <f>N113-M113</f>
        <v>313.06</v>
      </c>
      <c r="U113" s="4">
        <f>IF(M113=0,0,N113/M113-1)</f>
        <v>0</v>
      </c>
      <c r="Z113" s="15"/>
      <c r="AA113" s="18">
        <v>19133.62</v>
      </c>
      <c r="AB113" s="18">
        <v>20393.2</v>
      </c>
      <c r="AC113" s="4">
        <f>AB113/AA113-1</f>
        <v>6.5830721003134807E-2</v>
      </c>
    </row>
    <row r="114" spans="1:29" s="5" customFormat="1">
      <c r="A114" t="s">
        <v>743</v>
      </c>
      <c r="B114" t="s">
        <v>744</v>
      </c>
      <c r="C114" s="19">
        <v>310</v>
      </c>
      <c r="D114"/>
      <c r="E114" t="s">
        <v>744</v>
      </c>
      <c r="F114" s="19">
        <v>307</v>
      </c>
      <c r="G114" t="b">
        <f>IF(B114=E114,TRUE,FALSE)</f>
        <v>1</v>
      </c>
      <c r="H114"/>
      <c r="I114"/>
      <c r="J114" s="27">
        <f>F114-C114</f>
        <v>-3</v>
      </c>
      <c r="K114" s="4">
        <f>F114/C114-1</f>
        <v>-9.6774193548386789E-3</v>
      </c>
      <c r="L114"/>
      <c r="M114" s="5">
        <v>0</v>
      </c>
      <c r="N114" s="5">
        <v>316.98</v>
      </c>
      <c r="O114"/>
      <c r="P114"/>
      <c r="Q114" s="5">
        <v>1743.27</v>
      </c>
      <c r="R114"/>
      <c r="S114"/>
      <c r="T114" s="150">
        <f>N114-M114</f>
        <v>316.98</v>
      </c>
      <c r="U114" s="4">
        <f>IF(M114=0,0,N114/M114-1)</f>
        <v>0</v>
      </c>
      <c r="V114"/>
      <c r="W114"/>
      <c r="X114"/>
      <c r="Y114"/>
      <c r="Z114" s="14"/>
      <c r="AA114" s="18">
        <v>9284.5</v>
      </c>
      <c r="AB114" s="18">
        <v>9194.65</v>
      </c>
      <c r="AC114" s="4">
        <f>AB114/AA114-1</f>
        <v>-9.6774193548387899E-3</v>
      </c>
    </row>
    <row r="115" spans="1:29" s="5" customFormat="1">
      <c r="A115" t="s">
        <v>745</v>
      </c>
      <c r="B115" t="s">
        <v>746</v>
      </c>
      <c r="C115" s="19">
        <v>926</v>
      </c>
      <c r="D115"/>
      <c r="E115" t="s">
        <v>746</v>
      </c>
      <c r="F115" s="19">
        <v>1069</v>
      </c>
      <c r="G115" t="b">
        <f>IF(B115=E115,TRUE,FALSE)</f>
        <v>1</v>
      </c>
      <c r="H115"/>
      <c r="I115"/>
      <c r="J115" s="27">
        <f>F115-C115</f>
        <v>143</v>
      </c>
      <c r="K115" s="4">
        <f>F115/C115-1</f>
        <v>0.1544276457883369</v>
      </c>
      <c r="L115"/>
      <c r="M115" s="5">
        <v>1275.5900000000001</v>
      </c>
      <c r="N115" s="5">
        <v>1609.44</v>
      </c>
      <c r="O115"/>
      <c r="P115"/>
      <c r="Q115" s="5">
        <v>10190.459999999999</v>
      </c>
      <c r="R115"/>
      <c r="S115"/>
      <c r="T115" s="150">
        <f>N115-M115</f>
        <v>333.84999999999991</v>
      </c>
      <c r="U115" s="4">
        <f>IF(M115=0,0,N115/M115-1)</f>
        <v>0.26172202667001132</v>
      </c>
      <c r="V115"/>
      <c r="W115"/>
      <c r="X115"/>
      <c r="Y115"/>
      <c r="Z115" s="14"/>
      <c r="AA115" s="18">
        <v>22978.95</v>
      </c>
      <c r="AB115" s="18">
        <v>26646.6</v>
      </c>
      <c r="AC115" s="4">
        <f>AB115/AA115-1</f>
        <v>0.15960912052117249</v>
      </c>
    </row>
    <row r="116" spans="1:29" s="5" customFormat="1">
      <c r="A116" t="s">
        <v>747</v>
      </c>
      <c r="B116" t="s">
        <v>748</v>
      </c>
      <c r="C116" s="19">
        <v>1464</v>
      </c>
      <c r="D116"/>
      <c r="E116" t="s">
        <v>748</v>
      </c>
      <c r="F116" s="19">
        <v>1585</v>
      </c>
      <c r="G116" t="b">
        <f>IF(B116=E116,TRUE,FALSE)</f>
        <v>1</v>
      </c>
      <c r="H116"/>
      <c r="I116"/>
      <c r="J116" s="27">
        <f>F116-C116</f>
        <v>121</v>
      </c>
      <c r="K116" s="4">
        <f>F116/C116-1</f>
        <v>8.2650273224043724E-2</v>
      </c>
      <c r="L116"/>
      <c r="M116" s="5">
        <v>1500.42</v>
      </c>
      <c r="N116" s="5">
        <v>1853.67</v>
      </c>
      <c r="O116"/>
      <c r="P116"/>
      <c r="Q116" s="5">
        <v>6838.58</v>
      </c>
      <c r="R116"/>
      <c r="S116"/>
      <c r="T116" s="150">
        <f>N116-M116</f>
        <v>353.25</v>
      </c>
      <c r="U116" s="4">
        <f>IF(M116=0,0,N116/M116-1)</f>
        <v>0.23543407845803177</v>
      </c>
      <c r="V116"/>
      <c r="W116"/>
      <c r="X116"/>
      <c r="Y116"/>
      <c r="Z116" s="14"/>
      <c r="AA116" s="18">
        <v>28724.49</v>
      </c>
      <c r="AB116" s="18">
        <v>31555.16</v>
      </c>
      <c r="AC116" s="4">
        <f>AB116/AA116-1</f>
        <v>9.8545526830937646E-2</v>
      </c>
    </row>
    <row r="117" spans="1:29" s="5" customFormat="1">
      <c r="A117" t="s">
        <v>749</v>
      </c>
      <c r="B117" t="s">
        <v>750</v>
      </c>
      <c r="C117" s="19">
        <v>1639</v>
      </c>
      <c r="D117"/>
      <c r="E117" t="s">
        <v>750</v>
      </c>
      <c r="F117" s="19">
        <v>1599</v>
      </c>
      <c r="G117" t="b">
        <f>IF(B117=E117,TRUE,FALSE)</f>
        <v>1</v>
      </c>
      <c r="H117"/>
      <c r="I117"/>
      <c r="J117" s="27">
        <f>F117-C117</f>
        <v>-40</v>
      </c>
      <c r="K117" s="4">
        <f>F117/C117-1</f>
        <v>-2.4405125076266021E-2</v>
      </c>
      <c r="L117"/>
      <c r="M117" s="5">
        <v>2101.9300000000003</v>
      </c>
      <c r="N117" s="5">
        <v>2462.29</v>
      </c>
      <c r="O117"/>
      <c r="P117"/>
      <c r="Q117" s="5">
        <v>9222.76</v>
      </c>
      <c r="R117"/>
      <c r="S117"/>
      <c r="T117" s="150">
        <f>N117-M117</f>
        <v>360.35999999999967</v>
      </c>
      <c r="U117" s="4">
        <f>IF(M117=0,0,N117/M117-1)</f>
        <v>0.17144243623717226</v>
      </c>
      <c r="V117"/>
      <c r="W117"/>
      <c r="X117" t="s">
        <v>751</v>
      </c>
      <c r="Y117" t="s">
        <v>752</v>
      </c>
      <c r="Z117" s="14" t="s">
        <v>753</v>
      </c>
      <c r="AA117" s="18">
        <v>27795.64</v>
      </c>
      <c r="AB117" s="18">
        <v>27184</v>
      </c>
      <c r="AC117" s="4">
        <f>AB117/AA117-1</f>
        <v>-2.2004889975550057E-2</v>
      </c>
    </row>
    <row r="118" spans="1:29" s="5" customFormat="1">
      <c r="A118" t="s">
        <v>754</v>
      </c>
      <c r="B118" t="s">
        <v>755</v>
      </c>
      <c r="C118" s="19">
        <v>1986</v>
      </c>
      <c r="D118"/>
      <c r="E118" t="s">
        <v>755</v>
      </c>
      <c r="F118" s="19">
        <v>2100</v>
      </c>
      <c r="G118" t="b">
        <f>IF(B118=E118,TRUE,FALSE)</f>
        <v>1</v>
      </c>
      <c r="H118"/>
      <c r="I118"/>
      <c r="J118" s="27">
        <f>F118-C118</f>
        <v>114</v>
      </c>
      <c r="K118" s="4">
        <f>F118/C118-1</f>
        <v>5.7401812688821829E-2</v>
      </c>
      <c r="L118"/>
      <c r="M118" s="5">
        <v>2494.56</v>
      </c>
      <c r="N118" s="5">
        <v>2900.04</v>
      </c>
      <c r="O118"/>
      <c r="P118"/>
      <c r="Q118" s="5">
        <v>15684.82</v>
      </c>
      <c r="R118"/>
      <c r="S118"/>
      <c r="T118" s="150">
        <f>N118-M118</f>
        <v>405.48</v>
      </c>
      <c r="U118" s="4">
        <f>IF(M118=0,0,N118/M118-1)</f>
        <v>0.16254569944198582</v>
      </c>
      <c r="V118"/>
      <c r="W118"/>
      <c r="X118"/>
      <c r="Y118"/>
      <c r="Z118" s="14"/>
      <c r="AA118" s="18">
        <v>39620.699999999997</v>
      </c>
      <c r="AB118" s="18">
        <v>41895</v>
      </c>
      <c r="AC118" s="4">
        <f>AB118/AA118-1</f>
        <v>5.7401812688821829E-2</v>
      </c>
    </row>
    <row r="119" spans="1:29" s="5" customFormat="1">
      <c r="A119" s="29" t="s">
        <v>756</v>
      </c>
      <c r="B119" s="39" t="s">
        <v>757</v>
      </c>
      <c r="C119" s="19">
        <v>1377</v>
      </c>
      <c r="D119"/>
      <c r="E119" s="39" t="s">
        <v>757</v>
      </c>
      <c r="F119" s="19">
        <v>1391</v>
      </c>
      <c r="G119" t="b">
        <f>IF(B119=E119,TRUE,FALSE)</f>
        <v>1</v>
      </c>
      <c r="H119"/>
      <c r="I119"/>
      <c r="J119" s="27">
        <f>F119-C119</f>
        <v>14</v>
      </c>
      <c r="K119" s="4">
        <f>F119/C119-1</f>
        <v>1.0167029774872827E-2</v>
      </c>
      <c r="L119"/>
      <c r="M119" s="5">
        <v>3009.2400000000002</v>
      </c>
      <c r="N119" s="5">
        <v>3435.81</v>
      </c>
      <c r="O119"/>
      <c r="P119"/>
      <c r="Q119" s="5">
        <v>24546.86</v>
      </c>
      <c r="R119"/>
      <c r="S119"/>
      <c r="T119" s="150">
        <f>N119-M119</f>
        <v>426.56999999999971</v>
      </c>
      <c r="U119" s="4">
        <f>IF(M119=0,0,N119/M119-1)</f>
        <v>0.1417533995294491</v>
      </c>
      <c r="V119"/>
      <c r="W119"/>
      <c r="X119"/>
      <c r="Y119"/>
      <c r="Z119" s="14"/>
      <c r="AA119" s="18">
        <v>41236.25</v>
      </c>
      <c r="AB119" s="18">
        <v>41716.089999999997</v>
      </c>
      <c r="AC119" s="4">
        <f>AB119/AA119-1</f>
        <v>1.1636363636363445E-2</v>
      </c>
    </row>
    <row r="120" spans="1:29" s="5" customFormat="1">
      <c r="A120" t="s">
        <v>758</v>
      </c>
      <c r="B120" t="s">
        <v>759</v>
      </c>
      <c r="C120" s="19">
        <v>1905</v>
      </c>
      <c r="D120"/>
      <c r="E120" t="s">
        <v>759</v>
      </c>
      <c r="F120" s="19">
        <v>2183</v>
      </c>
      <c r="G120" t="b">
        <f>IF(B120=E120,TRUE,FALSE)</f>
        <v>1</v>
      </c>
      <c r="H120"/>
      <c r="I120"/>
      <c r="J120" s="27">
        <f>F120-C120</f>
        <v>278</v>
      </c>
      <c r="K120" s="4">
        <f>F120/C120-1</f>
        <v>0.14593175853018381</v>
      </c>
      <c r="L120"/>
      <c r="M120" s="5">
        <v>3210.54</v>
      </c>
      <c r="N120" s="5">
        <v>3642.64</v>
      </c>
      <c r="O120"/>
      <c r="P120"/>
      <c r="Q120" s="5">
        <v>13695.01</v>
      </c>
      <c r="R120"/>
      <c r="S120"/>
      <c r="T120" s="150">
        <f>N120-M120</f>
        <v>432.09999999999991</v>
      </c>
      <c r="U120" s="4">
        <f>IF(M120=0,0,N120/M120-1)</f>
        <v>0.13458795093660259</v>
      </c>
      <c r="V120"/>
      <c r="W120"/>
      <c r="X120"/>
      <c r="Y120"/>
      <c r="Z120" s="14"/>
      <c r="AA120" s="18">
        <v>37544.979999999996</v>
      </c>
      <c r="AB120" s="18">
        <v>42524.57</v>
      </c>
      <c r="AC120" s="4">
        <f>AB120/AA120-1</f>
        <v>0.13262998142494697</v>
      </c>
    </row>
    <row r="121" spans="1:29" s="5" customFormat="1">
      <c r="A121" t="s">
        <v>760</v>
      </c>
      <c r="B121" t="s">
        <v>761</v>
      </c>
      <c r="C121" s="19">
        <v>1585</v>
      </c>
      <c r="D121"/>
      <c r="E121" t="s">
        <v>761</v>
      </c>
      <c r="F121" s="19">
        <v>1498</v>
      </c>
      <c r="G121" t="b">
        <f>IF(B121=E121,TRUE,FALSE)</f>
        <v>1</v>
      </c>
      <c r="H121"/>
      <c r="I121"/>
      <c r="J121" s="27">
        <f>F121-C121</f>
        <v>-87</v>
      </c>
      <c r="K121" s="4">
        <f>F121/C121-1</f>
        <v>-5.4889589905362746E-2</v>
      </c>
      <c r="L121"/>
      <c r="M121" s="5">
        <v>290.15999999999997</v>
      </c>
      <c r="N121" s="5">
        <v>723.63</v>
      </c>
      <c r="O121"/>
      <c r="P121"/>
      <c r="Q121" s="5">
        <v>5352.58</v>
      </c>
      <c r="R121"/>
      <c r="S121"/>
      <c r="T121" s="150">
        <f>N121-M121</f>
        <v>433.47</v>
      </c>
      <c r="U121" s="4">
        <f>IF(M121=0,0,N121/M121-1)</f>
        <v>1.4938999172870142</v>
      </c>
      <c r="V121"/>
      <c r="W121"/>
      <c r="X121"/>
      <c r="Y121"/>
      <c r="Z121" s="14"/>
      <c r="AA121" s="18">
        <v>31664.16</v>
      </c>
      <c r="AB121" s="18">
        <v>29920.19</v>
      </c>
      <c r="AC121" s="4">
        <f>AB121/AA121-1</f>
        <v>-5.5077096629122635E-2</v>
      </c>
    </row>
    <row r="122" spans="1:29" s="5" customFormat="1">
      <c r="A122" s="57" t="s">
        <v>762</v>
      </c>
      <c r="B122" s="39" t="s">
        <v>763</v>
      </c>
      <c r="C122" s="19">
        <v>1048</v>
      </c>
      <c r="D122"/>
      <c r="E122" s="39" t="s">
        <v>763</v>
      </c>
      <c r="F122" s="19">
        <v>1493</v>
      </c>
      <c r="G122" t="b">
        <f>IF(B122=E122,TRUE,FALSE)</f>
        <v>1</v>
      </c>
      <c r="H122"/>
      <c r="I122"/>
      <c r="J122" s="27">
        <f>F122-C122</f>
        <v>445</v>
      </c>
      <c r="K122" s="4">
        <f>F122/C123-1</f>
        <v>-0.39505672609400322</v>
      </c>
      <c r="L122"/>
      <c r="M122" s="5">
        <v>2010.92</v>
      </c>
      <c r="N122" s="5">
        <v>2515.94</v>
      </c>
      <c r="O122"/>
      <c r="P122"/>
      <c r="Q122" s="5">
        <v>12268.27</v>
      </c>
      <c r="R122"/>
      <c r="S122"/>
      <c r="T122" s="150">
        <f>N122-M122</f>
        <v>505.02</v>
      </c>
      <c r="U122" s="4">
        <f>IF(M122=0,0,N122/M122-1)</f>
        <v>0.25113878224892083</v>
      </c>
      <c r="V122"/>
      <c r="W122"/>
      <c r="X122"/>
      <c r="Y122"/>
      <c r="Z122" s="14"/>
      <c r="AA122" s="18">
        <v>10359.630000000001</v>
      </c>
      <c r="AB122" s="18">
        <v>16331.07</v>
      </c>
      <c r="AC122" s="4">
        <f>AB122/AA122-1</f>
        <v>0.57641440862270166</v>
      </c>
    </row>
    <row r="123" spans="1:29" s="5" customFormat="1">
      <c r="A123" t="s">
        <v>764</v>
      </c>
      <c r="B123" t="s">
        <v>765</v>
      </c>
      <c r="C123" s="19">
        <v>2468</v>
      </c>
      <c r="E123" t="s">
        <v>765</v>
      </c>
      <c r="F123" s="19">
        <v>3590</v>
      </c>
      <c r="G123" t="b">
        <f>IF(B123=E123,TRUE,FALSE)</f>
        <v>1</v>
      </c>
      <c r="J123" s="27">
        <f>F123-C123</f>
        <v>1122</v>
      </c>
      <c r="K123" s="4">
        <f>F123/C123-1</f>
        <v>0.45461912479740674</v>
      </c>
      <c r="M123" s="5">
        <v>2775.51</v>
      </c>
      <c r="N123" s="5">
        <v>3329.15</v>
      </c>
      <c r="Q123" s="5">
        <v>14235.69</v>
      </c>
      <c r="T123" s="150">
        <f>N123-M123</f>
        <v>553.63999999999987</v>
      </c>
      <c r="U123" s="4">
        <f>IF(M123=0,0,N123/M123-1)</f>
        <v>0.19947324996126836</v>
      </c>
      <c r="Z123" s="15"/>
      <c r="AA123" s="18">
        <v>53255.85</v>
      </c>
      <c r="AB123" s="18">
        <v>78100.94</v>
      </c>
      <c r="AC123" s="4">
        <f>AB123/AA123-1</f>
        <v>0.46652320824848359</v>
      </c>
    </row>
    <row r="124" spans="1:29" s="5" customFormat="1">
      <c r="A124" t="s">
        <v>766</v>
      </c>
      <c r="B124" t="s">
        <v>767</v>
      </c>
      <c r="C124" s="19">
        <v>938</v>
      </c>
      <c r="D124"/>
      <c r="E124" t="s">
        <v>767</v>
      </c>
      <c r="F124" s="19">
        <v>1303</v>
      </c>
      <c r="G124" t="b">
        <f>IF(B124=E124,TRUE,FALSE)</f>
        <v>1</v>
      </c>
      <c r="H124"/>
      <c r="I124"/>
      <c r="J124" s="27">
        <f>F124-C124</f>
        <v>365</v>
      </c>
      <c r="K124" s="4">
        <f>F124/C124-1</f>
        <v>0.38912579957356086</v>
      </c>
      <c r="L124"/>
      <c r="M124" s="5">
        <v>1921.43</v>
      </c>
      <c r="N124" s="5">
        <v>2502.1999999999998</v>
      </c>
      <c r="O124"/>
      <c r="P124"/>
      <c r="Q124" s="5">
        <v>11281</v>
      </c>
      <c r="R124"/>
      <c r="S124"/>
      <c r="T124" s="150">
        <f>N124-M124</f>
        <v>580.76999999999975</v>
      </c>
      <c r="U124" s="4">
        <f>IF(M124=0,0,N124/M124-1)</f>
        <v>0.30225925482583271</v>
      </c>
      <c r="V124"/>
      <c r="W124"/>
      <c r="X124"/>
      <c r="Y124"/>
      <c r="Z124" s="14"/>
      <c r="AA124" s="18">
        <v>13094.64</v>
      </c>
      <c r="AB124" s="18">
        <v>18608.98</v>
      </c>
      <c r="AC124" s="4">
        <f>AB124/AA124-1</f>
        <v>0.42111428798348038</v>
      </c>
    </row>
    <row r="125" spans="1:29">
      <c r="A125" t="s">
        <v>768</v>
      </c>
      <c r="B125" s="5" t="s">
        <v>769</v>
      </c>
      <c r="C125" s="19">
        <v>891</v>
      </c>
      <c r="E125" t="s">
        <v>769</v>
      </c>
      <c r="F125" s="19">
        <v>1220</v>
      </c>
      <c r="G125" t="b">
        <f>IF(B125=E125,TRUE,FALSE)</f>
        <v>1</v>
      </c>
      <c r="J125" s="27">
        <f>F125-C125</f>
        <v>329</v>
      </c>
      <c r="K125" s="4">
        <f>F125/C125-1</f>
        <v>0.36924803591470257</v>
      </c>
      <c r="M125" s="5">
        <v>1899.8400000000001</v>
      </c>
      <c r="N125" s="5">
        <v>2543.9699999999998</v>
      </c>
      <c r="Q125" s="5">
        <v>9901.16</v>
      </c>
      <c r="T125" s="150">
        <f>N125-M125</f>
        <v>644.12999999999965</v>
      </c>
      <c r="U125" s="4">
        <f>IF(M125=0,0,N125/M125-1)</f>
        <v>0.33904434057604838</v>
      </c>
      <c r="AA125" s="18">
        <v>19557.45</v>
      </c>
      <c r="AB125" s="18">
        <v>26779</v>
      </c>
      <c r="AC125" s="4">
        <f>AB125/AA125-1</f>
        <v>0.36924803591470257</v>
      </c>
    </row>
    <row r="126" spans="1:29">
      <c r="A126" t="s">
        <v>770</v>
      </c>
      <c r="B126" t="s">
        <v>771</v>
      </c>
      <c r="C126" s="19">
        <v>341</v>
      </c>
      <c r="E126" t="s">
        <v>771</v>
      </c>
      <c r="F126" s="19">
        <v>480</v>
      </c>
      <c r="G126" t="b">
        <f>IF(B126=E126,TRUE,FALSE)</f>
        <v>1</v>
      </c>
      <c r="J126" s="27">
        <f>F126-C126</f>
        <v>139</v>
      </c>
      <c r="K126" s="4">
        <f>F126/C126-1</f>
        <v>0.40762463343108513</v>
      </c>
      <c r="M126" s="5">
        <v>719.83</v>
      </c>
      <c r="N126" s="5">
        <v>1367.15</v>
      </c>
      <c r="Q126" s="5">
        <v>4908.78</v>
      </c>
      <c r="T126" s="150">
        <f>N126-M126</f>
        <v>647.32000000000005</v>
      </c>
      <c r="U126" s="4">
        <f>IF(M126=0,0,N126/M126-1)</f>
        <v>0.89926788269452507</v>
      </c>
      <c r="AA126" s="18">
        <v>6802.95</v>
      </c>
      <c r="AB126" s="18">
        <v>9576</v>
      </c>
      <c r="AC126" s="4">
        <f>AB126/AA126-1</f>
        <v>0.40762463343108513</v>
      </c>
    </row>
    <row r="127" spans="1:29">
      <c r="A127" t="s">
        <v>772</v>
      </c>
      <c r="B127" t="s">
        <v>773</v>
      </c>
      <c r="C127" s="19">
        <v>1111</v>
      </c>
      <c r="E127" t="s">
        <v>773</v>
      </c>
      <c r="F127" s="19">
        <v>1164</v>
      </c>
      <c r="G127" t="b">
        <f>IF(B127=E127,TRUE,FALSE)</f>
        <v>1</v>
      </c>
      <c r="J127" s="27">
        <f>F127-C127</f>
        <v>53</v>
      </c>
      <c r="K127" s="4">
        <f>F127/C127-1</f>
        <v>4.7704770477047687E-2</v>
      </c>
      <c r="M127" s="5">
        <v>48.63</v>
      </c>
      <c r="N127" s="5">
        <v>700.98</v>
      </c>
      <c r="Q127" s="5">
        <v>4281.3100000000004</v>
      </c>
      <c r="T127" s="150">
        <f>N127-M127</f>
        <v>652.35</v>
      </c>
      <c r="U127" s="4">
        <f>IF(M127=0,0,N127/M127-1)</f>
        <v>13.414558914250462</v>
      </c>
      <c r="AA127" s="18">
        <v>22164.45</v>
      </c>
      <c r="AB127" s="18">
        <v>23221.8</v>
      </c>
      <c r="AC127" s="4">
        <f>AB127/AA127-1</f>
        <v>4.7704770477047687E-2</v>
      </c>
    </row>
    <row r="128" spans="1:29">
      <c r="A128" t="s">
        <v>774</v>
      </c>
      <c r="B128" t="s">
        <v>775</v>
      </c>
      <c r="C128" s="19">
        <v>2221</v>
      </c>
      <c r="E128" t="s">
        <v>775</v>
      </c>
      <c r="F128" s="19">
        <v>2185</v>
      </c>
      <c r="G128" t="b">
        <f>IF(B128=E128,TRUE,FALSE)</f>
        <v>1</v>
      </c>
      <c r="J128" s="27">
        <f>F128-C128</f>
        <v>-36</v>
      </c>
      <c r="K128" s="4">
        <f>F128/C128-1</f>
        <v>-1.6208914903196758E-2</v>
      </c>
      <c r="M128" s="5">
        <v>3069.93</v>
      </c>
      <c r="N128" s="5">
        <v>3732.5</v>
      </c>
      <c r="Q128" s="5">
        <v>13926.81</v>
      </c>
      <c r="T128" s="150">
        <f>N128-M128</f>
        <v>662.57000000000016</v>
      </c>
      <c r="U128" s="4">
        <f>IF(M128=0,0,N128/M128-1)</f>
        <v>0.21582576801425457</v>
      </c>
      <c r="AA128" s="18">
        <v>66518.95</v>
      </c>
      <c r="AB128" s="18">
        <v>65410.8</v>
      </c>
      <c r="AC128" s="4">
        <f>AB128/AA128-1</f>
        <v>-1.6659162539396588E-2</v>
      </c>
    </row>
    <row r="129" spans="1:29">
      <c r="A129" s="58" t="s">
        <v>776</v>
      </c>
      <c r="B129" s="39" t="s">
        <v>777</v>
      </c>
      <c r="C129" s="19">
        <v>777</v>
      </c>
      <c r="E129" s="39" t="s">
        <v>777</v>
      </c>
      <c r="F129" s="19">
        <v>1019</v>
      </c>
      <c r="G129" t="b">
        <f>IF(B129=E129,TRUE,FALSE)</f>
        <v>1</v>
      </c>
      <c r="J129" s="27">
        <f>F129-C129</f>
        <v>242</v>
      </c>
      <c r="K129" s="4">
        <f>F129/C130-1</f>
        <v>-0.44041735310269081</v>
      </c>
      <c r="M129" s="5">
        <v>1346.18</v>
      </c>
      <c r="N129" s="5">
        <v>2154.46</v>
      </c>
      <c r="Q129" s="5">
        <v>11538.41</v>
      </c>
      <c r="T129" s="150">
        <f>N129-M129</f>
        <v>808.28</v>
      </c>
      <c r="U129" s="4">
        <f>IF(M129=0,0,N129/M129-1)</f>
        <v>0.600424906030397</v>
      </c>
      <c r="AA129" s="18">
        <v>9908.24</v>
      </c>
      <c r="AB129" s="18">
        <v>14919.82</v>
      </c>
      <c r="AC129" s="4">
        <f>AB129/AA129-1</f>
        <v>0.50579921358384539</v>
      </c>
    </row>
    <row r="130" spans="1:29">
      <c r="A130" t="s">
        <v>778</v>
      </c>
      <c r="B130" t="s">
        <v>779</v>
      </c>
      <c r="C130" s="19">
        <v>1821</v>
      </c>
      <c r="E130" t="s">
        <v>779</v>
      </c>
      <c r="F130" s="19">
        <v>1983</v>
      </c>
      <c r="G130" t="b">
        <f>IF(B130=E130,TRUE,FALSE)</f>
        <v>1</v>
      </c>
      <c r="J130" s="27">
        <f>F130-C130</f>
        <v>162</v>
      </c>
      <c r="K130" s="4">
        <f>F130/C130-1</f>
        <v>8.8962108731466261E-2</v>
      </c>
      <c r="M130" s="5">
        <v>1609.6000000000001</v>
      </c>
      <c r="N130" s="5">
        <v>2421.4300000000003</v>
      </c>
      <c r="Q130" s="5">
        <v>18635.22</v>
      </c>
      <c r="T130" s="150">
        <f>N130-M130</f>
        <v>811.83000000000015</v>
      </c>
      <c r="U130" s="4">
        <f>IF(M130=0,0,N130/M130-1)</f>
        <v>0.5043675447316105</v>
      </c>
      <c r="AA130" s="18">
        <v>54581.760000000002</v>
      </c>
      <c r="AB130" s="18">
        <v>59350.13</v>
      </c>
      <c r="AC130" s="4">
        <f>AB130/AA130-1</f>
        <v>8.7361968540406121E-2</v>
      </c>
    </row>
    <row r="131" spans="1:29">
      <c r="A131" t="s">
        <v>780</v>
      </c>
      <c r="B131" t="s">
        <v>781</v>
      </c>
      <c r="C131" s="19">
        <v>2619</v>
      </c>
      <c r="E131" t="s">
        <v>781</v>
      </c>
      <c r="F131" s="19">
        <v>4451</v>
      </c>
      <c r="G131" t="b">
        <f>IF(B131=E131,TRUE,FALSE)</f>
        <v>1</v>
      </c>
      <c r="J131" s="27">
        <f>F131-C131</f>
        <v>1832</v>
      </c>
      <c r="K131" s="4">
        <f>F131/C131-1</f>
        <v>0.69950362733867899</v>
      </c>
      <c r="M131" s="5">
        <v>5604.37</v>
      </c>
      <c r="N131" s="5">
        <v>6429.45</v>
      </c>
      <c r="Q131" s="5">
        <v>42070.14</v>
      </c>
      <c r="T131" s="150">
        <f>N131-M131</f>
        <v>825.07999999999993</v>
      </c>
      <c r="U131" s="4">
        <f>IF(M131=0,0,N131/M131-1)</f>
        <v>0.14722082945986781</v>
      </c>
      <c r="AA131" s="18">
        <v>78513.820000000007</v>
      </c>
      <c r="AB131" s="18">
        <v>139281.49</v>
      </c>
      <c r="AC131" s="4">
        <f>AB131/AA131-1</f>
        <v>0.77397418696479137</v>
      </c>
    </row>
    <row r="132" spans="1:29">
      <c r="A132" t="s">
        <v>782</v>
      </c>
      <c r="B132" t="s">
        <v>783</v>
      </c>
      <c r="C132" s="19">
        <v>779</v>
      </c>
      <c r="E132" t="s">
        <v>783</v>
      </c>
      <c r="F132" s="19">
        <v>1079</v>
      </c>
      <c r="G132" t="b">
        <f>IF(B132=E132,TRUE,FALSE)</f>
        <v>1</v>
      </c>
      <c r="J132" s="27">
        <f>F132-C132</f>
        <v>300</v>
      </c>
      <c r="K132" s="4">
        <f>F132/C132-1</f>
        <v>0.38510911424903727</v>
      </c>
      <c r="M132" s="5">
        <v>1282.3</v>
      </c>
      <c r="N132" s="5">
        <v>2122.04</v>
      </c>
      <c r="Q132" s="5">
        <v>8218.66</v>
      </c>
      <c r="T132" s="150">
        <f>N132-M132</f>
        <v>839.74</v>
      </c>
      <c r="U132" s="4">
        <f>IF(M132=0,0,N132/M132-1)</f>
        <v>0.65487015518989322</v>
      </c>
      <c r="AA132" s="18">
        <v>14736.31</v>
      </c>
      <c r="AB132" s="18">
        <v>20403.3</v>
      </c>
      <c r="AC132" s="4">
        <f>AB132/AA132-1</f>
        <v>0.38455963534969073</v>
      </c>
    </row>
    <row r="133" spans="1:29">
      <c r="A133" t="s">
        <v>784</v>
      </c>
      <c r="B133" t="s">
        <v>785</v>
      </c>
      <c r="C133" s="19">
        <v>2463</v>
      </c>
      <c r="E133" t="s">
        <v>785</v>
      </c>
      <c r="F133" s="19">
        <v>2435</v>
      </c>
      <c r="G133" t="b">
        <f>IF(B133=E133,TRUE,FALSE)</f>
        <v>1</v>
      </c>
      <c r="J133" s="27">
        <f>F133-C133</f>
        <v>-28</v>
      </c>
      <c r="K133" s="4">
        <f>F133/C133-1</f>
        <v>-1.136825010150222E-2</v>
      </c>
      <c r="M133" s="5">
        <v>3965.7599999999998</v>
      </c>
      <c r="N133" s="5">
        <v>4841.3100000000004</v>
      </c>
      <c r="Q133" s="5">
        <v>36754.69</v>
      </c>
      <c r="T133" s="150">
        <f>N133-M133</f>
        <v>875.55000000000064</v>
      </c>
      <c r="U133" s="4">
        <f>IF(M133=0,0,N133/M133-1)</f>
        <v>0.22077735415153743</v>
      </c>
      <c r="AA133" s="18">
        <v>61849.37</v>
      </c>
      <c r="AB133" s="18">
        <v>72632.66</v>
      </c>
      <c r="AC133" s="4">
        <f>AB133/AA133-1</f>
        <v>0.17434761259492215</v>
      </c>
    </row>
    <row r="134" spans="1:29">
      <c r="A134" t="s">
        <v>786</v>
      </c>
      <c r="B134" t="s">
        <v>787</v>
      </c>
      <c r="C134" s="19">
        <v>2488</v>
      </c>
      <c r="E134" t="s">
        <v>787</v>
      </c>
      <c r="F134" s="19">
        <v>2392</v>
      </c>
      <c r="G134" t="b">
        <f>IF(B134=E134,TRUE,FALSE)</f>
        <v>1</v>
      </c>
      <c r="J134" s="27">
        <f>F134-C134</f>
        <v>-96</v>
      </c>
      <c r="K134" s="4">
        <f>F134/C134-1</f>
        <v>-3.8585209003215382E-2</v>
      </c>
      <c r="M134" s="5">
        <v>2896.21</v>
      </c>
      <c r="N134" s="5">
        <v>3804.61</v>
      </c>
      <c r="Q134" s="5">
        <v>20514.16</v>
      </c>
      <c r="T134" s="150">
        <f>N134-M134</f>
        <v>908.40000000000009</v>
      </c>
      <c r="U134" s="4">
        <f>IF(M134=0,0,N134/M134-1)</f>
        <v>0.31365128909851148</v>
      </c>
      <c r="W134" t="s">
        <v>788</v>
      </c>
      <c r="Y134" t="s">
        <v>789</v>
      </c>
      <c r="Z134" s="14" t="s">
        <v>790</v>
      </c>
      <c r="AA134" s="18">
        <v>63343.39</v>
      </c>
      <c r="AB134" s="18">
        <v>62140.01</v>
      </c>
      <c r="AC134" s="4">
        <f>AB134/AA134-1</f>
        <v>-1.8997720204112833E-2</v>
      </c>
    </row>
    <row r="135" spans="1:29">
      <c r="A135" t="s">
        <v>791</v>
      </c>
      <c r="B135" t="s">
        <v>792</v>
      </c>
      <c r="C135" s="19">
        <v>1356</v>
      </c>
      <c r="E135" t="s">
        <v>792</v>
      </c>
      <c r="F135" s="19">
        <v>1002</v>
      </c>
      <c r="G135" t="b">
        <f>IF(B135=E135,TRUE,FALSE)</f>
        <v>1</v>
      </c>
      <c r="J135" s="27">
        <f>F135-C135</f>
        <v>-354</v>
      </c>
      <c r="K135" s="4">
        <f>F135/C135-1</f>
        <v>-0.26106194690265483</v>
      </c>
      <c r="M135" s="5">
        <v>174.59</v>
      </c>
      <c r="N135" s="5">
        <v>1222.03</v>
      </c>
      <c r="Q135" s="5">
        <v>8016.89</v>
      </c>
      <c r="T135" s="150">
        <f>N135-M135</f>
        <v>1047.44</v>
      </c>
      <c r="U135" s="4">
        <f>IF(M135=0,0,N135/M135-1)</f>
        <v>5.9994272295091351</v>
      </c>
      <c r="AA135" s="18">
        <v>36542.439999999995</v>
      </c>
      <c r="AB135" s="18">
        <v>29047.98</v>
      </c>
      <c r="AC135" s="4">
        <f>AB135/AA135-1</f>
        <v>-0.20508920586583701</v>
      </c>
    </row>
    <row r="136" spans="1:29">
      <c r="A136" t="s">
        <v>793</v>
      </c>
      <c r="B136" t="s">
        <v>794</v>
      </c>
      <c r="C136" s="19">
        <v>2410</v>
      </c>
      <c r="E136" t="s">
        <v>794</v>
      </c>
      <c r="F136" s="19">
        <v>2751</v>
      </c>
      <c r="G136" t="b">
        <f>IF(B136=E136,TRUE,FALSE)</f>
        <v>1</v>
      </c>
      <c r="J136" s="27">
        <f>F136-C136</f>
        <v>341</v>
      </c>
      <c r="K136" s="4">
        <f>F136/C136-1</f>
        <v>0.1414937759336099</v>
      </c>
      <c r="M136" s="5">
        <v>2425.73</v>
      </c>
      <c r="N136" s="5">
        <v>3498.09</v>
      </c>
      <c r="Q136" s="5">
        <v>24216.19</v>
      </c>
      <c r="T136" s="150">
        <f>N136-M136</f>
        <v>1072.3600000000001</v>
      </c>
      <c r="U136" s="4">
        <f>IF(M136=0,0,N136/M136-1)</f>
        <v>0.44207723035952062</v>
      </c>
      <c r="AA136" s="18">
        <v>72299.3</v>
      </c>
      <c r="AB136" s="18">
        <v>82392.45</v>
      </c>
      <c r="AC136" s="4">
        <f>AB136/AA136-1</f>
        <v>0.13960231980115978</v>
      </c>
    </row>
    <row r="137" spans="1:29">
      <c r="A137" t="s">
        <v>795</v>
      </c>
      <c r="B137" t="s">
        <v>796</v>
      </c>
      <c r="C137" s="19">
        <v>2448</v>
      </c>
      <c r="E137" t="s">
        <v>796</v>
      </c>
      <c r="F137" s="19">
        <v>2721</v>
      </c>
      <c r="G137" t="b">
        <f>IF(B137=E137,TRUE,FALSE)</f>
        <v>1</v>
      </c>
      <c r="J137" s="27">
        <f>F137-C137</f>
        <v>273</v>
      </c>
      <c r="K137" s="4">
        <f>F137/C137-1</f>
        <v>0.1115196078431373</v>
      </c>
      <c r="M137" s="5">
        <v>4308.8899999999994</v>
      </c>
      <c r="N137" s="5">
        <v>5511.35</v>
      </c>
      <c r="Q137" s="5">
        <v>25248.36</v>
      </c>
      <c r="T137" s="150">
        <f>N137-M137</f>
        <v>1202.4600000000009</v>
      </c>
      <c r="U137" s="4">
        <f>IF(M137=0,0,N137/M137-1)</f>
        <v>0.27906490998841949</v>
      </c>
      <c r="AA137" s="18">
        <v>63623.44</v>
      </c>
      <c r="AB137" s="18">
        <v>70640.820000000007</v>
      </c>
      <c r="AC137" s="4">
        <f>AB137/AA137-1</f>
        <v>0.11029551372890256</v>
      </c>
    </row>
    <row r="138" spans="1:29" ht="16.5">
      <c r="A138" s="25" t="s">
        <v>797</v>
      </c>
      <c r="B138" s="24" t="s">
        <v>798</v>
      </c>
      <c r="C138" s="19">
        <v>1792</v>
      </c>
      <c r="D138" s="5"/>
      <c r="E138" s="24" t="s">
        <v>798</v>
      </c>
      <c r="F138" s="19">
        <v>2452</v>
      </c>
      <c r="G138" t="b">
        <f>IF(B138=E138,TRUE,FALSE)</f>
        <v>1</v>
      </c>
      <c r="H138" s="5"/>
      <c r="I138" s="5"/>
      <c r="J138" s="27">
        <f>F138-C138</f>
        <v>660</v>
      </c>
      <c r="K138" s="4">
        <f>F138/C138-1</f>
        <v>0.3683035714285714</v>
      </c>
      <c r="L138" s="5"/>
      <c r="M138" s="5">
        <v>2260.9899999999998</v>
      </c>
      <c r="N138" s="5">
        <v>3544.16</v>
      </c>
      <c r="O138" s="5"/>
      <c r="P138" s="5"/>
      <c r="Q138" s="5">
        <v>12092.57</v>
      </c>
      <c r="R138" s="5"/>
      <c r="S138" s="5"/>
      <c r="T138" s="150">
        <f>N138-M138</f>
        <v>1283.17</v>
      </c>
      <c r="U138" s="4">
        <f>IF(M138=0,0,N138/M138-1)</f>
        <v>0.56752572987938921</v>
      </c>
      <c r="V138" s="5"/>
      <c r="W138" s="5"/>
      <c r="X138" s="5"/>
      <c r="Y138" s="5"/>
      <c r="Z138" s="15"/>
      <c r="AA138" s="18">
        <v>47831.11</v>
      </c>
      <c r="AB138" s="18">
        <v>66127.13</v>
      </c>
      <c r="AC138" s="4">
        <f>AB138/AA138-1</f>
        <v>0.38251297116040184</v>
      </c>
    </row>
    <row r="139" spans="1:29">
      <c r="A139" t="s">
        <v>799</v>
      </c>
      <c r="B139" t="s">
        <v>800</v>
      </c>
      <c r="C139" s="19">
        <v>1768</v>
      </c>
      <c r="D139" s="12"/>
      <c r="E139" t="s">
        <v>800</v>
      </c>
      <c r="F139" s="19">
        <v>1934</v>
      </c>
      <c r="G139" t="b">
        <f>IF(B139=E139,TRUE,FALSE)</f>
        <v>1</v>
      </c>
      <c r="H139" s="12"/>
      <c r="I139" s="12"/>
      <c r="J139" s="27">
        <f>F139-C139</f>
        <v>166</v>
      </c>
      <c r="K139" s="4">
        <f>F139/C139-1</f>
        <v>9.3891402714932237E-2</v>
      </c>
      <c r="L139" s="12"/>
      <c r="M139" s="5">
        <v>2013.6399999999999</v>
      </c>
      <c r="N139" s="5">
        <v>3360.25</v>
      </c>
      <c r="O139" s="12"/>
      <c r="P139" s="12"/>
      <c r="Q139" s="5">
        <v>14482.51</v>
      </c>
      <c r="R139" s="12"/>
      <c r="S139" s="12"/>
      <c r="T139" s="150">
        <f>N139-M139</f>
        <v>1346.6100000000001</v>
      </c>
      <c r="U139" s="4">
        <f>IF(M139=0,0,N139/M139-1)</f>
        <v>0.66874416479609078</v>
      </c>
      <c r="V139" s="5"/>
      <c r="W139" s="5"/>
      <c r="X139" s="5"/>
      <c r="Y139" s="5"/>
      <c r="Z139" s="15"/>
      <c r="AA139" s="18">
        <v>42366.34</v>
      </c>
      <c r="AB139" s="18">
        <v>46653.67</v>
      </c>
      <c r="AC139" s="4">
        <f>AB139/AA139-1</f>
        <v>0.10119661032791605</v>
      </c>
    </row>
    <row r="140" spans="1:29">
      <c r="A140" s="59" t="s">
        <v>801</v>
      </c>
      <c r="B140" s="39" t="s">
        <v>802</v>
      </c>
      <c r="C140" s="19">
        <v>811</v>
      </c>
      <c r="E140" s="39" t="s">
        <v>802</v>
      </c>
      <c r="F140" s="19">
        <v>994</v>
      </c>
      <c r="G140" t="b">
        <f>IF(B140=E140,TRUE,FALSE)</f>
        <v>1</v>
      </c>
      <c r="J140" s="27">
        <f>F140-C140</f>
        <v>183</v>
      </c>
      <c r="K140" s="4">
        <f>F140/C141-1</f>
        <v>-0.82391496899911432</v>
      </c>
      <c r="M140" s="5">
        <v>1032.8900000000001</v>
      </c>
      <c r="N140" s="5">
        <v>2606.08</v>
      </c>
      <c r="Q140" s="5">
        <v>8761.09</v>
      </c>
      <c r="T140" s="150">
        <f>N140-M140</f>
        <v>1573.1899999999998</v>
      </c>
      <c r="U140" s="4">
        <f>IF(M140=0,0,N140/M140-1)</f>
        <v>1.5230953925393793</v>
      </c>
      <c r="AA140" s="18">
        <v>15581.130000000001</v>
      </c>
      <c r="AB140" s="18">
        <v>19830.080000000002</v>
      </c>
      <c r="AC140" s="4">
        <f>AB140/AA140-1</f>
        <v>0.27269844998405124</v>
      </c>
    </row>
    <row r="141" spans="1:29">
      <c r="A141" t="s">
        <v>803</v>
      </c>
      <c r="B141" t="s">
        <v>804</v>
      </c>
      <c r="C141" s="19">
        <v>5645</v>
      </c>
      <c r="E141" t="s">
        <v>804</v>
      </c>
      <c r="F141" s="19">
        <v>5137</v>
      </c>
      <c r="G141" t="b">
        <f>IF(B141=E141,TRUE,FALSE)</f>
        <v>1</v>
      </c>
      <c r="J141" s="27">
        <f>F141-C141</f>
        <v>-508</v>
      </c>
      <c r="K141" s="4">
        <f>F141/C141-1</f>
        <v>-8.999114260407437E-2</v>
      </c>
      <c r="M141" s="5">
        <v>6771.77</v>
      </c>
      <c r="N141" s="5">
        <v>8701.9699999999993</v>
      </c>
      <c r="Q141" s="5">
        <v>44211.88</v>
      </c>
      <c r="T141" s="150">
        <f>N141-M141</f>
        <v>1930.1999999999989</v>
      </c>
      <c r="U141" s="4">
        <f>IF(M141=0,0,N141/M141-1)</f>
        <v>0.2850362608298862</v>
      </c>
      <c r="AA141" s="18">
        <v>156688.17000000001</v>
      </c>
      <c r="AB141" s="18">
        <v>148728.59</v>
      </c>
      <c r="AC141" s="4">
        <f>AB141/AA141-1</f>
        <v>-5.0798857373852924E-2</v>
      </c>
    </row>
    <row r="142" spans="1:29">
      <c r="A142" s="58" t="s">
        <v>805</v>
      </c>
      <c r="B142" s="39" t="s">
        <v>806</v>
      </c>
      <c r="C142" s="19">
        <v>1485</v>
      </c>
      <c r="E142" s="39" t="s">
        <v>806</v>
      </c>
      <c r="F142" s="19">
        <v>2202</v>
      </c>
      <c r="G142" t="b">
        <f>IF(B142=E142,TRUE,FALSE)</f>
        <v>1</v>
      </c>
      <c r="J142" s="27">
        <f>F142-C142</f>
        <v>717</v>
      </c>
      <c r="K142" s="4" t="e">
        <f>F142/C143-1</f>
        <v>#DIV/0!</v>
      </c>
      <c r="M142" s="5">
        <v>1803.42</v>
      </c>
      <c r="N142" s="5">
        <v>4728.72</v>
      </c>
      <c r="Q142" s="5">
        <v>22024.34</v>
      </c>
      <c r="T142" s="150">
        <f>N142-M142</f>
        <v>2925.3</v>
      </c>
      <c r="U142" s="4">
        <f>IF(M142=0,0,N142/M142-1)</f>
        <v>1.6220847057257877</v>
      </c>
      <c r="AA142" s="18">
        <v>21189.149999999998</v>
      </c>
      <c r="AB142" s="18">
        <v>35459</v>
      </c>
      <c r="AC142" s="4">
        <f>AB142/AA142-1</f>
        <v>0.67345079911180972</v>
      </c>
    </row>
    <row r="143" spans="1:29">
      <c r="A143" s="29"/>
      <c r="B143" s="29"/>
      <c r="C143" s="19"/>
      <c r="E143" s="29"/>
      <c r="F143" s="19"/>
      <c r="K143" s="4"/>
      <c r="T143" s="150"/>
      <c r="U143" s="4"/>
      <c r="AA143" s="18">
        <v>0</v>
      </c>
      <c r="AB143" s="18"/>
      <c r="AC143" s="4"/>
    </row>
    <row r="144" spans="1:29">
      <c r="K144" s="4"/>
      <c r="N144" s="4"/>
    </row>
    <row r="145" spans="3:29">
      <c r="C145" s="3" t="s">
        <v>485</v>
      </c>
      <c r="D145" s="3"/>
      <c r="E145" s="3"/>
      <c r="F145" s="3" t="s">
        <v>485</v>
      </c>
      <c r="G145" s="3"/>
      <c r="H145" s="3"/>
      <c r="I145" s="3"/>
      <c r="J145" s="3" t="s">
        <v>486</v>
      </c>
      <c r="K145" s="33"/>
      <c r="L145" s="3"/>
      <c r="M145" s="35" t="s">
        <v>487</v>
      </c>
      <c r="N145" s="35" t="s">
        <v>487</v>
      </c>
      <c r="O145" s="3"/>
      <c r="Q145" s="35" t="s">
        <v>488</v>
      </c>
      <c r="R145" s="3"/>
      <c r="T145" s="151" t="s">
        <v>489</v>
      </c>
      <c r="U145" s="3"/>
      <c r="V145" s="3"/>
      <c r="W145" s="3"/>
      <c r="X145" s="3"/>
      <c r="Y145" s="36"/>
      <c r="Z145" s="37" t="s">
        <v>3</v>
      </c>
      <c r="AA145" s="37" t="s">
        <v>3</v>
      </c>
      <c r="AB145" s="37" t="s">
        <v>3</v>
      </c>
    </row>
    <row r="146" spans="3:29">
      <c r="C146" s="19">
        <f>SUM(C3:C142)</f>
        <v>251722</v>
      </c>
      <c r="F146" s="19">
        <f>SUM(F3:F142)</f>
        <v>246216</v>
      </c>
      <c r="J146" s="19">
        <f>SUM(J3:J142)</f>
        <v>-5502</v>
      </c>
      <c r="K146" s="4"/>
      <c r="M146" s="19">
        <f>SUM(M3:M142)</f>
        <v>331372.34000000003</v>
      </c>
      <c r="N146" s="5">
        <f>SUM(N3:N142)</f>
        <v>329113.70000000007</v>
      </c>
      <c r="Q146" s="19">
        <f>SUM(Q3:Q142)</f>
        <v>1641173.6799999997</v>
      </c>
      <c r="T146" s="153">
        <f>SUM(T3:T142)</f>
        <v>-1910.3200000000033</v>
      </c>
      <c r="U146" s="4">
        <f>IF(M146=0,0,N146/M146-1)</f>
        <v>-6.8160185005180507E-3</v>
      </c>
      <c r="AA146" s="32">
        <f>SUM(AA3:AA143)</f>
        <v>5536315.4100000029</v>
      </c>
      <c r="AB146" s="32">
        <f>SUM(AB3:AB143)</f>
        <v>5487073.7100000046</v>
      </c>
      <c r="AC146" s="4">
        <f>AB146/AA146-1</f>
        <v>-8.8943090039731443E-3</v>
      </c>
    </row>
    <row r="147" spans="3:29">
      <c r="K147" s="4"/>
      <c r="U147" s="4"/>
    </row>
    <row r="148" spans="3:29">
      <c r="F148" s="27">
        <f>F146-C146</f>
        <v>-5506</v>
      </c>
      <c r="K148" s="4"/>
      <c r="N148" s="35" t="s">
        <v>490</v>
      </c>
      <c r="Q148" s="28">
        <f>N146/Q146</f>
        <v>0.20053557037302727</v>
      </c>
      <c r="U148" s="4"/>
      <c r="AA148" s="3" t="s">
        <v>491</v>
      </c>
      <c r="AB148" s="3" t="s">
        <v>491</v>
      </c>
    </row>
    <row r="149" spans="3:29">
      <c r="F149" s="4">
        <f>F146/C146-1</f>
        <v>-2.1873336458474002E-2</v>
      </c>
      <c r="K149" s="4"/>
      <c r="U149" s="4"/>
      <c r="AA149" s="34">
        <f>M146/AA146</f>
        <v>5.9854310215320596E-2</v>
      </c>
      <c r="AB149" s="34">
        <f>N146/AB146</f>
        <v>5.9979821193253076E-2</v>
      </c>
    </row>
    <row r="150" spans="3:29">
      <c r="K150" s="4"/>
      <c r="U150" s="4"/>
    </row>
    <row r="151" spans="3:29">
      <c r="K151" s="4"/>
    </row>
    <row r="152" spans="3:29">
      <c r="K152" s="4"/>
      <c r="U152" s="4"/>
    </row>
    <row r="153" spans="3:29">
      <c r="K153" s="4"/>
      <c r="U153" s="4"/>
    </row>
    <row r="154" spans="3:29">
      <c r="K154" s="4"/>
      <c r="U154" s="4"/>
    </row>
    <row r="155" spans="3:29">
      <c r="K155" s="4"/>
      <c r="U155" s="4"/>
    </row>
    <row r="156" spans="3:29">
      <c r="K156" s="4"/>
      <c r="U156" s="4"/>
    </row>
    <row r="157" spans="3:29">
      <c r="K157" s="4"/>
      <c r="U157" s="4"/>
    </row>
    <row r="158" spans="3:29">
      <c r="K158" s="4"/>
      <c r="U158" s="4"/>
    </row>
    <row r="159" spans="3:29">
      <c r="K159" s="4"/>
      <c r="U159" s="4"/>
    </row>
    <row r="160" spans="3: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3:21">
      <c r="K193" s="6"/>
      <c r="M193" s="11"/>
      <c r="N193" s="11"/>
      <c r="T193" s="154"/>
      <c r="U193" s="6"/>
    </row>
    <row r="194" spans="3:21" ht="15" customHeight="1">
      <c r="K194" s="6"/>
      <c r="M194" s="11"/>
      <c r="N194" s="11"/>
      <c r="T194" s="154"/>
      <c r="U194" s="6"/>
    </row>
    <row r="195" spans="3:21" ht="15" customHeight="1">
      <c r="K195" s="6"/>
      <c r="M195" s="11"/>
      <c r="N195" s="11"/>
      <c r="T195" s="154"/>
      <c r="U195" s="6"/>
    </row>
    <row r="196" spans="3:21" ht="15" customHeight="1">
      <c r="K196" s="6"/>
      <c r="M196" s="11"/>
      <c r="N196" s="11"/>
      <c r="T196" s="154"/>
      <c r="U196" s="6"/>
    </row>
    <row r="197" spans="3:21" ht="15" customHeight="1">
      <c r="K197" s="6"/>
      <c r="M197" s="11"/>
      <c r="N197" s="11"/>
      <c r="T197" s="154"/>
      <c r="U197" s="6"/>
    </row>
    <row r="198" spans="3:21" ht="15" customHeight="1">
      <c r="K198" s="6"/>
      <c r="M198" s="11"/>
      <c r="N198" s="11"/>
      <c r="T198" s="154"/>
      <c r="U198" s="6"/>
    </row>
    <row r="199" spans="3:21" ht="15" customHeight="1">
      <c r="K199" s="6"/>
      <c r="M199" s="11"/>
      <c r="N199" s="11"/>
      <c r="T199" s="154"/>
      <c r="U199" s="6"/>
    </row>
    <row r="200" spans="3:21" ht="15" customHeight="1">
      <c r="K200" s="6"/>
      <c r="M200" s="11"/>
      <c r="N200" s="11"/>
      <c r="T200" s="154"/>
      <c r="U200" s="6"/>
    </row>
    <row r="201" spans="3:21" ht="15" customHeight="1">
      <c r="K201" s="6"/>
      <c r="M201" s="11"/>
      <c r="N201" s="11"/>
      <c r="T201" s="154"/>
      <c r="U201" s="6"/>
    </row>
    <row r="202" spans="3:21">
      <c r="M202" s="11"/>
      <c r="N202" s="11"/>
      <c r="T202" s="154"/>
    </row>
    <row r="203" spans="3:21" ht="15" customHeight="1">
      <c r="C203" s="8"/>
      <c r="F203" s="8"/>
      <c r="J203" s="8"/>
      <c r="M203" s="11"/>
      <c r="N203" s="11"/>
      <c r="T203" s="154"/>
    </row>
    <row r="204" spans="3:21">
      <c r="M204" s="11"/>
      <c r="N204" s="11"/>
      <c r="T204" s="154"/>
    </row>
    <row r="205" spans="3:21" ht="15" customHeight="1">
      <c r="M205" s="11"/>
      <c r="N205" s="11"/>
      <c r="T205" s="154"/>
    </row>
    <row r="206" spans="3:21" ht="15" customHeight="1">
      <c r="C206" s="9"/>
      <c r="F206" s="9"/>
      <c r="M206" s="7"/>
      <c r="N206" s="7"/>
    </row>
    <row r="208" spans="3:21" ht="15" customHeight="1">
      <c r="C208" s="8"/>
      <c r="F208" s="8"/>
    </row>
    <row r="211" spans="3:14" ht="15" customHeight="1">
      <c r="C211" s="9"/>
      <c r="F211" s="9"/>
      <c r="M211" s="7"/>
      <c r="N211" s="7"/>
    </row>
  </sheetData>
  <autoFilter ref="A2:AC142" xr:uid="{97EDC353-A3BB-4027-BC75-3196C26C68C7}">
    <filterColumn colId="6">
      <filters>
        <filter val="TRUE"/>
      </filters>
    </filterColumn>
    <sortState xmlns:xlrd2="http://schemas.microsoft.com/office/spreadsheetml/2017/richdata2" ref="A3:AC142">
      <sortCondition ref="T2:T142"/>
    </sortState>
  </autoFilter>
  <mergeCells count="7">
    <mergeCell ref="AA1:AB1"/>
    <mergeCell ref="W1:Z1"/>
    <mergeCell ref="B1:C1"/>
    <mergeCell ref="E1:F1"/>
    <mergeCell ref="J1:K1"/>
    <mergeCell ref="T1:U1"/>
    <mergeCell ref="M1:N1"/>
  </mergeCells>
  <phoneticPr fontId="3" type="noConversion"/>
  <conditionalFormatting sqref="D100 H100:I100 L100 O100:P100 R100:S100">
    <cfRule type="cellIs" dxfId="29" priority="15" operator="greaterThan">
      <formula>500</formula>
    </cfRule>
    <cfRule type="cellIs" dxfId="28" priority="21" operator="lessThan">
      <formula>-100</formula>
    </cfRule>
  </conditionalFormatting>
  <conditionalFormatting sqref="J2:J202">
    <cfRule type="cellIs" dxfId="27" priority="1" operator="greaterThan">
      <formula>500</formula>
    </cfRule>
  </conditionalFormatting>
  <conditionalFormatting sqref="J3:J201">
    <cfRule type="cellIs" dxfId="26" priority="2" operator="lessThan">
      <formula>-100</formula>
    </cfRule>
  </conditionalFormatting>
  <conditionalFormatting sqref="J204:J1048576">
    <cfRule type="cellIs" dxfId="25" priority="19" operator="greaterThan">
      <formula>500</formula>
    </cfRule>
  </conditionalFormatting>
  <conditionalFormatting sqref="K2">
    <cfRule type="cellIs" dxfId="24" priority="20" operator="lessThan">
      <formula>-20%</formula>
    </cfRule>
  </conditionalFormatting>
  <conditionalFormatting sqref="K3:K201">
    <cfRule type="cellIs" dxfId="23" priority="5" operator="greaterThan">
      <formula>0.2</formula>
    </cfRule>
  </conditionalFormatting>
  <conditionalFormatting sqref="K3:K1048576">
    <cfRule type="cellIs" dxfId="22" priority="3" operator="lessThan">
      <formula>-0.2</formula>
    </cfRule>
  </conditionalFormatting>
  <conditionalFormatting sqref="U3:U143 U146:U150 U152:U201">
    <cfRule type="cellIs" dxfId="21" priority="12" operator="greaterThan">
      <formula>0.5</formula>
    </cfRule>
  </conditionalFormatting>
  <conditionalFormatting sqref="AC3:AC143">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6">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sheetPr filterMode="1"/>
  <dimension ref="A1:AD184"/>
  <sheetViews>
    <sheetView zoomScale="85" zoomScaleNormal="85" workbookViewId="0">
      <pane xSplit="2" ySplit="2" topLeftCell="C104" activePane="bottomRight" state="frozen"/>
      <selection pane="bottomRight" activeCell="U126" sqref="U126"/>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50"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71">
        <v>45658</v>
      </c>
      <c r="C1" s="170"/>
      <c r="E1" s="171">
        <v>45689</v>
      </c>
      <c r="F1" s="170"/>
      <c r="J1" s="172"/>
      <c r="K1" s="172"/>
      <c r="L1" s="1"/>
      <c r="N1" s="173" t="s">
        <v>0</v>
      </c>
      <c r="O1" s="173"/>
      <c r="Q1" s="10" t="s">
        <v>1</v>
      </c>
      <c r="R1" s="1"/>
      <c r="T1" s="170" t="s">
        <v>2</v>
      </c>
      <c r="U1" s="170"/>
      <c r="X1" s="172" t="s">
        <v>492</v>
      </c>
      <c r="Y1" s="172"/>
      <c r="Z1" s="172"/>
      <c r="AA1" s="172"/>
      <c r="AB1" s="170" t="s">
        <v>3</v>
      </c>
      <c r="AC1" s="170"/>
    </row>
    <row r="2" spans="1:30">
      <c r="A2" s="3" t="s">
        <v>4</v>
      </c>
      <c r="B2" s="3" t="s">
        <v>5</v>
      </c>
      <c r="C2" s="3" t="s">
        <v>6</v>
      </c>
      <c r="E2" s="3" t="s">
        <v>5</v>
      </c>
      <c r="F2" s="3" t="s">
        <v>6</v>
      </c>
      <c r="G2" t="s">
        <v>7</v>
      </c>
      <c r="J2" t="s">
        <v>8</v>
      </c>
      <c r="K2" t="s">
        <v>9</v>
      </c>
      <c r="N2" t="s">
        <v>10</v>
      </c>
      <c r="O2" t="s">
        <v>11</v>
      </c>
      <c r="Q2" s="5" t="s">
        <v>12</v>
      </c>
      <c r="T2" s="150" t="s">
        <v>13</v>
      </c>
      <c r="U2" t="s">
        <v>9</v>
      </c>
      <c r="X2" t="s">
        <v>493</v>
      </c>
      <c r="Y2" t="s">
        <v>494</v>
      </c>
      <c r="Z2" t="s">
        <v>807</v>
      </c>
      <c r="AB2" t="s">
        <v>10</v>
      </c>
      <c r="AC2" t="s">
        <v>11</v>
      </c>
      <c r="AD2" t="s">
        <v>9</v>
      </c>
    </row>
    <row r="3" spans="1:30" ht="13.9" customHeight="1">
      <c r="A3" t="s">
        <v>808</v>
      </c>
      <c r="B3" t="s">
        <v>809</v>
      </c>
      <c r="C3" s="19">
        <v>3555</v>
      </c>
      <c r="E3" t="s">
        <v>809</v>
      </c>
      <c r="F3" s="19">
        <v>3508</v>
      </c>
      <c r="G3" t="b">
        <f t="shared" ref="G3:G34" si="0">IF(B3=E3,TRUE,FALSE)</f>
        <v>1</v>
      </c>
      <c r="J3">
        <f t="shared" ref="J3:J34" si="1">F3-C3</f>
        <v>-47</v>
      </c>
      <c r="K3" s="4">
        <f t="shared" ref="K3:K34" si="2">F3/C3-1</f>
        <v>-1.3220815752461368E-2</v>
      </c>
      <c r="L3" s="4"/>
      <c r="N3" s="5">
        <v>7328.99</v>
      </c>
      <c r="O3" s="5">
        <v>5196.4399999999996</v>
      </c>
      <c r="Q3" s="5">
        <v>22896.77</v>
      </c>
      <c r="T3" s="150">
        <f>O3-N3</f>
        <v>-2132.5500000000002</v>
      </c>
      <c r="U3" s="4">
        <f>IF(N4=0,0,O3/N4-1)</f>
        <v>-6.3191369687180088E-2</v>
      </c>
      <c r="AB3" s="18">
        <v>65722.47</v>
      </c>
      <c r="AC3" s="18">
        <v>67747.929999999993</v>
      </c>
      <c r="AD3" s="4">
        <f t="shared" ref="AD3:AD34" si="3">AC3/AB3-1</f>
        <v>3.0818379163168874E-2</v>
      </c>
    </row>
    <row r="4" spans="1:30" ht="13.9" customHeight="1">
      <c r="A4" t="s">
        <v>810</v>
      </c>
      <c r="B4" t="s">
        <v>811</v>
      </c>
      <c r="C4" s="19">
        <v>3420</v>
      </c>
      <c r="E4" t="s">
        <v>811</v>
      </c>
      <c r="F4" s="19">
        <v>4183</v>
      </c>
      <c r="G4" t="b">
        <f t="shared" si="0"/>
        <v>1</v>
      </c>
      <c r="J4">
        <f t="shared" si="1"/>
        <v>763</v>
      </c>
      <c r="K4" s="4">
        <f t="shared" si="2"/>
        <v>0.22309941520467835</v>
      </c>
      <c r="N4" s="5">
        <v>5546.96</v>
      </c>
      <c r="O4" s="5">
        <v>5646.1</v>
      </c>
      <c r="Q4" s="5">
        <v>27232.19</v>
      </c>
      <c r="T4" s="150">
        <f t="shared" ref="T4:T34" si="4">O4-N4</f>
        <v>99.140000000000327</v>
      </c>
      <c r="U4" s="4">
        <f t="shared" ref="U4:U35" si="5">IF(N4=0,0,O4/N4-1)</f>
        <v>1.78728528779728E-2</v>
      </c>
      <c r="X4" s="5"/>
      <c r="Y4" s="5"/>
      <c r="Z4" s="5"/>
      <c r="AA4" s="17"/>
      <c r="AB4" s="18">
        <v>47815.18</v>
      </c>
      <c r="AC4" s="18">
        <v>58520.17</v>
      </c>
      <c r="AD4" s="4">
        <f t="shared" si="3"/>
        <v>0.22388266655066436</v>
      </c>
    </row>
    <row r="5" spans="1:30" ht="13.9" customHeight="1">
      <c r="A5" t="s">
        <v>812</v>
      </c>
      <c r="B5" t="s">
        <v>813</v>
      </c>
      <c r="C5" s="19">
        <v>2363</v>
      </c>
      <c r="E5" t="s">
        <v>813</v>
      </c>
      <c r="F5" s="19">
        <v>2357</v>
      </c>
      <c r="G5" t="b">
        <f t="shared" si="0"/>
        <v>1</v>
      </c>
      <c r="J5">
        <f t="shared" si="1"/>
        <v>-6</v>
      </c>
      <c r="K5" s="4">
        <f t="shared" si="2"/>
        <v>-2.5391451544646282E-3</v>
      </c>
      <c r="L5" s="6"/>
      <c r="N5" s="5">
        <v>5902.06</v>
      </c>
      <c r="O5" s="5">
        <v>4551.13</v>
      </c>
      <c r="Q5" s="5">
        <v>21031.19</v>
      </c>
      <c r="T5" s="150">
        <f t="shared" si="4"/>
        <v>-1350.9300000000003</v>
      </c>
      <c r="U5" s="4">
        <f t="shared" si="5"/>
        <v>-0.22889126847236396</v>
      </c>
      <c r="AB5" s="18">
        <v>63777.37</v>
      </c>
      <c r="AC5" s="18">
        <v>63588.44</v>
      </c>
      <c r="AD5" s="4">
        <f t="shared" si="3"/>
        <v>-2.9623360135421217E-3</v>
      </c>
    </row>
    <row r="6" spans="1:30" ht="13.9" customHeight="1">
      <c r="A6" t="s">
        <v>814</v>
      </c>
      <c r="B6" t="s">
        <v>815</v>
      </c>
      <c r="C6" s="19">
        <v>1218</v>
      </c>
      <c r="E6" t="s">
        <v>815</v>
      </c>
      <c r="F6" s="19">
        <v>1605</v>
      </c>
      <c r="G6" t="b">
        <f t="shared" si="0"/>
        <v>1</v>
      </c>
      <c r="J6">
        <f t="shared" si="1"/>
        <v>387</v>
      </c>
      <c r="K6" s="4">
        <f t="shared" si="2"/>
        <v>0.31773399014778314</v>
      </c>
      <c r="L6" s="4"/>
      <c r="N6" s="5">
        <v>1501.59</v>
      </c>
      <c r="O6" s="5">
        <v>1997.57</v>
      </c>
      <c r="Q6" s="5">
        <v>11887.07</v>
      </c>
      <c r="T6" s="150">
        <f t="shared" si="4"/>
        <v>495.98</v>
      </c>
      <c r="U6" s="4">
        <f t="shared" si="5"/>
        <v>0.33030321192868906</v>
      </c>
      <c r="AB6" s="18">
        <v>27982.52</v>
      </c>
      <c r="AC6" s="18">
        <v>38503.949999999997</v>
      </c>
      <c r="AD6" s="4">
        <f t="shared" si="3"/>
        <v>0.37600008862675693</v>
      </c>
    </row>
    <row r="7" spans="1:30" ht="13.9" customHeight="1">
      <c r="A7" t="s">
        <v>816</v>
      </c>
      <c r="B7" t="s">
        <v>817</v>
      </c>
      <c r="C7" s="19">
        <v>2083</v>
      </c>
      <c r="E7" t="s">
        <v>817</v>
      </c>
      <c r="F7" s="19">
        <v>1961</v>
      </c>
      <c r="G7" t="b">
        <f t="shared" si="0"/>
        <v>1</v>
      </c>
      <c r="J7">
        <f t="shared" si="1"/>
        <v>-122</v>
      </c>
      <c r="K7" s="4">
        <f t="shared" si="2"/>
        <v>-5.8569371099375878E-2</v>
      </c>
      <c r="L7" s="4"/>
      <c r="N7" s="5">
        <v>4044.5</v>
      </c>
      <c r="O7" s="5">
        <v>3430.93</v>
      </c>
      <c r="Q7" s="5">
        <v>15954.63</v>
      </c>
      <c r="T7" s="150">
        <f t="shared" si="4"/>
        <v>-613.57000000000016</v>
      </c>
      <c r="U7" s="4">
        <f t="shared" si="5"/>
        <v>-0.15170478427494127</v>
      </c>
      <c r="AB7" s="18">
        <v>35390.199999999997</v>
      </c>
      <c r="AC7" s="18">
        <v>37914.410000000003</v>
      </c>
      <c r="AD7" s="4">
        <f t="shared" si="3"/>
        <v>7.1325112601793972E-2</v>
      </c>
    </row>
    <row r="8" spans="1:30" ht="13.9" customHeight="1">
      <c r="A8" t="s">
        <v>818</v>
      </c>
      <c r="B8" t="s">
        <v>819</v>
      </c>
      <c r="C8" s="19">
        <v>2862</v>
      </c>
      <c r="E8" t="s">
        <v>819</v>
      </c>
      <c r="F8" s="19">
        <v>2820</v>
      </c>
      <c r="G8" t="b">
        <f t="shared" si="0"/>
        <v>1</v>
      </c>
      <c r="J8">
        <f t="shared" si="1"/>
        <v>-42</v>
      </c>
      <c r="K8" s="4">
        <f t="shared" si="2"/>
        <v>-1.4675052410901501E-2</v>
      </c>
      <c r="L8" s="4"/>
      <c r="N8" s="5">
        <v>4480.33</v>
      </c>
      <c r="O8" s="5">
        <v>5352.41</v>
      </c>
      <c r="Q8" s="5">
        <v>18793.509999999998</v>
      </c>
      <c r="T8" s="150">
        <f t="shared" si="4"/>
        <v>872.07999999999993</v>
      </c>
      <c r="U8" s="4">
        <f t="shared" si="5"/>
        <v>0.19464637649458849</v>
      </c>
      <c r="AB8" s="18">
        <v>57057</v>
      </c>
      <c r="AC8" s="18">
        <v>56219.1</v>
      </c>
      <c r="AD8" s="4">
        <f t="shared" si="3"/>
        <v>-1.4685314685314754E-2</v>
      </c>
    </row>
    <row r="9" spans="1:30" ht="13.9" customHeight="1">
      <c r="A9" t="s">
        <v>820</v>
      </c>
      <c r="B9" t="s">
        <v>821</v>
      </c>
      <c r="C9" s="19">
        <v>4203</v>
      </c>
      <c r="E9" t="s">
        <v>821</v>
      </c>
      <c r="F9" s="19">
        <v>4202</v>
      </c>
      <c r="G9" t="b">
        <f t="shared" si="0"/>
        <v>1</v>
      </c>
      <c r="J9">
        <f t="shared" si="1"/>
        <v>-1</v>
      </c>
      <c r="K9" s="4">
        <f t="shared" si="2"/>
        <v>-2.3792529145849617E-4</v>
      </c>
      <c r="L9" s="4"/>
      <c r="N9" s="5">
        <v>4211.0599999999995</v>
      </c>
      <c r="O9" s="5">
        <v>3829.56</v>
      </c>
      <c r="Q9" s="5">
        <v>14898.87</v>
      </c>
      <c r="T9" s="150">
        <f t="shared" si="4"/>
        <v>-381.49999999999955</v>
      </c>
      <c r="U9" s="4">
        <f t="shared" si="5"/>
        <v>-9.0594767113268304E-2</v>
      </c>
      <c r="X9" s="5"/>
      <c r="Y9" s="5" t="s">
        <v>822</v>
      </c>
      <c r="Z9" s="5"/>
      <c r="AA9" s="17"/>
      <c r="AB9" s="18">
        <v>79627.899999999994</v>
      </c>
      <c r="AC9" s="18">
        <v>79627.899999999994</v>
      </c>
      <c r="AD9" s="4">
        <f t="shared" si="3"/>
        <v>0</v>
      </c>
    </row>
    <row r="10" spans="1:30" ht="13.9" customHeight="1">
      <c r="A10" t="s">
        <v>823</v>
      </c>
      <c r="B10" t="s">
        <v>824</v>
      </c>
      <c r="C10" s="19">
        <v>704</v>
      </c>
      <c r="E10" t="s">
        <v>824</v>
      </c>
      <c r="F10" s="19">
        <v>706</v>
      </c>
      <c r="G10" t="b">
        <f t="shared" si="0"/>
        <v>1</v>
      </c>
      <c r="J10">
        <f t="shared" si="1"/>
        <v>2</v>
      </c>
      <c r="K10" s="4">
        <f t="shared" si="2"/>
        <v>2.8409090909091717E-3</v>
      </c>
      <c r="L10" s="4"/>
      <c r="N10" s="5">
        <v>1403.88</v>
      </c>
      <c r="O10" s="5">
        <v>930.18</v>
      </c>
      <c r="Q10" s="5">
        <v>4026.82</v>
      </c>
      <c r="T10" s="150">
        <f t="shared" si="4"/>
        <v>-473.70000000000016</v>
      </c>
      <c r="U10" s="4">
        <f t="shared" si="5"/>
        <v>-0.33742200188050264</v>
      </c>
      <c r="X10" t="s">
        <v>825</v>
      </c>
      <c r="AB10" s="18">
        <v>14051.84</v>
      </c>
      <c r="AC10" s="18">
        <v>14031.88</v>
      </c>
      <c r="AD10" s="4">
        <f t="shared" si="3"/>
        <v>-1.4204545454545858E-3</v>
      </c>
    </row>
    <row r="11" spans="1:30" ht="13.9" customHeight="1">
      <c r="A11" t="s">
        <v>826</v>
      </c>
      <c r="B11" t="s">
        <v>827</v>
      </c>
      <c r="C11" s="19">
        <v>1379</v>
      </c>
      <c r="E11" t="s">
        <v>827</v>
      </c>
      <c r="F11" s="19">
        <v>1460</v>
      </c>
      <c r="G11" t="b">
        <f t="shared" si="0"/>
        <v>1</v>
      </c>
      <c r="J11">
        <f t="shared" si="1"/>
        <v>81</v>
      </c>
      <c r="K11" s="4">
        <f t="shared" si="2"/>
        <v>5.8738216098622287E-2</v>
      </c>
      <c r="L11" s="4"/>
      <c r="N11" s="5">
        <v>2889</v>
      </c>
      <c r="O11" s="5">
        <v>3168.75</v>
      </c>
      <c r="Q11" s="5">
        <v>18111.009999999998</v>
      </c>
      <c r="T11" s="150">
        <f t="shared" si="4"/>
        <v>279.75</v>
      </c>
      <c r="U11" s="4">
        <f t="shared" si="5"/>
        <v>9.6832814122533639E-2</v>
      </c>
      <c r="AB11" s="18">
        <v>34486.199999999997</v>
      </c>
      <c r="AC11" s="18">
        <v>36456.89</v>
      </c>
      <c r="AD11" s="4">
        <f t="shared" si="3"/>
        <v>5.7144306998161642E-2</v>
      </c>
    </row>
    <row r="12" spans="1:30" ht="13.9" customHeight="1">
      <c r="A12" t="s">
        <v>828</v>
      </c>
      <c r="B12" t="s">
        <v>829</v>
      </c>
      <c r="C12" s="19">
        <v>925</v>
      </c>
      <c r="E12" t="s">
        <v>829</v>
      </c>
      <c r="F12" s="19">
        <v>871</v>
      </c>
      <c r="G12" t="b">
        <f t="shared" si="0"/>
        <v>1</v>
      </c>
      <c r="J12">
        <f t="shared" si="1"/>
        <v>-54</v>
      </c>
      <c r="K12" s="4">
        <f t="shared" si="2"/>
        <v>-5.8378378378378337E-2</v>
      </c>
      <c r="L12" s="4"/>
      <c r="N12" s="5">
        <v>2241.63</v>
      </c>
      <c r="O12" s="5">
        <v>1459.05</v>
      </c>
      <c r="Q12" s="5">
        <v>5123.93</v>
      </c>
      <c r="T12" s="150">
        <f t="shared" si="4"/>
        <v>-782.58000000000015</v>
      </c>
      <c r="U12" s="4">
        <f t="shared" si="5"/>
        <v>-0.34911203008525049</v>
      </c>
      <c r="AB12" s="18">
        <v>12875.85</v>
      </c>
      <c r="AC12" s="18">
        <v>12150.45</v>
      </c>
      <c r="AD12" s="4">
        <f t="shared" si="3"/>
        <v>-5.6338028169014009E-2</v>
      </c>
    </row>
    <row r="13" spans="1:30" ht="13.9" customHeight="1">
      <c r="A13" t="s">
        <v>830</v>
      </c>
      <c r="B13" t="s">
        <v>831</v>
      </c>
      <c r="C13" s="19">
        <v>5313</v>
      </c>
      <c r="E13" t="s">
        <v>831</v>
      </c>
      <c r="F13" s="19">
        <v>4871</v>
      </c>
      <c r="G13" t="b">
        <f t="shared" si="0"/>
        <v>1</v>
      </c>
      <c r="J13" s="27">
        <f>F13-C13</f>
        <v>-442</v>
      </c>
      <c r="K13" s="4">
        <f t="shared" si="2"/>
        <v>-8.3192170148691846E-2</v>
      </c>
      <c r="L13" s="4"/>
      <c r="N13" s="5">
        <v>6995.88</v>
      </c>
      <c r="O13" s="5">
        <v>8603.15</v>
      </c>
      <c r="Q13" s="5">
        <v>32857.01</v>
      </c>
      <c r="T13" s="150">
        <f t="shared" si="4"/>
        <v>1607.2699999999995</v>
      </c>
      <c r="U13" s="4">
        <f t="shared" si="5"/>
        <v>0.22974522147320986</v>
      </c>
      <c r="Y13" t="s">
        <v>832</v>
      </c>
      <c r="AB13" s="18">
        <v>100816.76</v>
      </c>
      <c r="AC13" s="18">
        <v>92429.81</v>
      </c>
      <c r="AD13" s="4">
        <f t="shared" si="3"/>
        <v>-8.319003705336292E-2</v>
      </c>
    </row>
    <row r="14" spans="1:30" ht="13.9" customHeight="1">
      <c r="A14" t="s">
        <v>833</v>
      </c>
      <c r="B14" t="s">
        <v>834</v>
      </c>
      <c r="C14" s="19">
        <v>11432</v>
      </c>
      <c r="E14" t="s">
        <v>834</v>
      </c>
      <c r="F14" s="19">
        <v>10863</v>
      </c>
      <c r="G14" t="b">
        <f t="shared" si="0"/>
        <v>1</v>
      </c>
      <c r="J14">
        <f t="shared" si="1"/>
        <v>-569</v>
      </c>
      <c r="K14" s="4">
        <f t="shared" si="2"/>
        <v>-4.9772568229531133E-2</v>
      </c>
      <c r="L14" s="4"/>
      <c r="N14" s="5">
        <v>9526.5</v>
      </c>
      <c r="O14" s="5">
        <v>10572.08</v>
      </c>
      <c r="Q14" s="5">
        <v>51885.380000000005</v>
      </c>
      <c r="T14" s="150">
        <f t="shared" si="4"/>
        <v>1045.58</v>
      </c>
      <c r="U14" s="4">
        <f t="shared" si="5"/>
        <v>0.1097548942423765</v>
      </c>
      <c r="X14" t="s">
        <v>835</v>
      </c>
      <c r="AB14" s="18">
        <v>213672.72</v>
      </c>
      <c r="AC14" s="18">
        <v>200785.76</v>
      </c>
      <c r="AD14" s="4">
        <f t="shared" si="3"/>
        <v>-6.0311676661391256E-2</v>
      </c>
    </row>
    <row r="15" spans="1:30" ht="13.9" customHeight="1">
      <c r="A15" t="s">
        <v>836</v>
      </c>
      <c r="B15" t="s">
        <v>837</v>
      </c>
      <c r="C15" s="19">
        <v>1661</v>
      </c>
      <c r="E15" t="s">
        <v>837</v>
      </c>
      <c r="F15" s="19">
        <v>2105</v>
      </c>
      <c r="G15" t="b">
        <f t="shared" si="0"/>
        <v>1</v>
      </c>
      <c r="J15">
        <f t="shared" si="1"/>
        <v>444</v>
      </c>
      <c r="K15" s="4">
        <f t="shared" si="2"/>
        <v>0.26730885009030714</v>
      </c>
      <c r="L15" s="4"/>
      <c r="N15" s="5">
        <v>3716.09</v>
      </c>
      <c r="O15" s="5">
        <v>5222.25</v>
      </c>
      <c r="Q15" s="5">
        <v>30808.21</v>
      </c>
      <c r="T15" s="150">
        <f t="shared" si="4"/>
        <v>1506.1599999999999</v>
      </c>
      <c r="U15" s="4">
        <f t="shared" si="5"/>
        <v>0.40530772936069903</v>
      </c>
      <c r="AB15" s="18">
        <v>49783.4</v>
      </c>
      <c r="AC15" s="18">
        <v>63128.95</v>
      </c>
      <c r="AD15" s="4">
        <f t="shared" si="3"/>
        <v>0.26807228915662651</v>
      </c>
    </row>
    <row r="16" spans="1:30" ht="13.9" customHeight="1">
      <c r="A16" t="s">
        <v>838</v>
      </c>
      <c r="B16" t="s">
        <v>839</v>
      </c>
      <c r="C16" s="19">
        <v>1196</v>
      </c>
      <c r="D16" s="5"/>
      <c r="E16" t="s">
        <v>839</v>
      </c>
      <c r="F16" s="19">
        <v>1161</v>
      </c>
      <c r="G16" t="b">
        <f t="shared" si="0"/>
        <v>1</v>
      </c>
      <c r="H16" s="5"/>
      <c r="I16" s="5"/>
      <c r="J16">
        <f t="shared" si="1"/>
        <v>-35</v>
      </c>
      <c r="K16" s="4">
        <f t="shared" si="2"/>
        <v>-2.9264214046822778E-2</v>
      </c>
      <c r="L16" s="5"/>
      <c r="M16" s="5"/>
      <c r="N16" s="5">
        <v>3228.6899999999996</v>
      </c>
      <c r="O16" s="5">
        <v>1374.2</v>
      </c>
      <c r="Q16" s="5">
        <v>9069.34</v>
      </c>
      <c r="T16" s="150">
        <f t="shared" si="4"/>
        <v>-1854.4899999999996</v>
      </c>
      <c r="U16" s="4">
        <f t="shared" si="5"/>
        <v>-0.57437846309184215</v>
      </c>
      <c r="X16" s="5"/>
      <c r="Y16" s="5"/>
      <c r="Z16" s="5"/>
      <c r="AA16" s="17"/>
      <c r="AB16" s="18">
        <v>35820.199999999997</v>
      </c>
      <c r="AC16" s="18">
        <v>34682.1</v>
      </c>
      <c r="AD16" s="4">
        <f t="shared" si="3"/>
        <v>-3.1772575250836099E-2</v>
      </c>
    </row>
    <row r="17" spans="1:30" ht="13.9" customHeight="1">
      <c r="A17" t="s">
        <v>840</v>
      </c>
      <c r="B17" t="s">
        <v>841</v>
      </c>
      <c r="C17" s="19">
        <v>3096</v>
      </c>
      <c r="E17" t="s">
        <v>841</v>
      </c>
      <c r="F17" s="19">
        <v>2704</v>
      </c>
      <c r="G17" t="b">
        <f t="shared" si="0"/>
        <v>1</v>
      </c>
      <c r="J17">
        <f t="shared" si="1"/>
        <v>-392</v>
      </c>
      <c r="K17" s="4">
        <f t="shared" si="2"/>
        <v>-0.12661498708010333</v>
      </c>
      <c r="L17" s="6"/>
      <c r="N17" s="5">
        <v>4777.2300000000005</v>
      </c>
      <c r="O17" s="5">
        <v>3791.04</v>
      </c>
      <c r="Q17" s="5">
        <v>14501.59</v>
      </c>
      <c r="T17" s="150">
        <f t="shared" si="4"/>
        <v>-986.19000000000051</v>
      </c>
      <c r="U17" s="4">
        <f t="shared" si="5"/>
        <v>-0.20643552853850466</v>
      </c>
      <c r="AB17" s="18">
        <v>77220.25</v>
      </c>
      <c r="AC17" s="18">
        <v>67365</v>
      </c>
      <c r="AD17" s="4">
        <f t="shared" si="3"/>
        <v>-0.12762520193861071</v>
      </c>
    </row>
    <row r="18" spans="1:30" ht="13.9" customHeight="1">
      <c r="A18" t="s">
        <v>842</v>
      </c>
      <c r="B18" t="s">
        <v>843</v>
      </c>
      <c r="C18" s="19">
        <v>1385</v>
      </c>
      <c r="E18" t="s">
        <v>843</v>
      </c>
      <c r="F18" s="19">
        <v>1464</v>
      </c>
      <c r="G18" t="b">
        <f t="shared" si="0"/>
        <v>1</v>
      </c>
      <c r="J18">
        <f t="shared" si="1"/>
        <v>79</v>
      </c>
      <c r="K18" s="4">
        <f t="shared" si="2"/>
        <v>5.7039711191335662E-2</v>
      </c>
      <c r="L18" s="4"/>
      <c r="N18" s="5">
        <v>2022.5600000000002</v>
      </c>
      <c r="O18" s="5">
        <v>1310.06</v>
      </c>
      <c r="Q18" s="5">
        <v>5194.1400000000003</v>
      </c>
      <c r="T18" s="150">
        <f t="shared" si="4"/>
        <v>-712.50000000000023</v>
      </c>
      <c r="U18" s="4">
        <f t="shared" si="5"/>
        <v>-0.35227632307570611</v>
      </c>
      <c r="AB18" s="18">
        <v>26301.15</v>
      </c>
      <c r="AC18" s="18">
        <v>27782.37</v>
      </c>
      <c r="AD18" s="4">
        <f t="shared" si="3"/>
        <v>5.6317689530685833E-2</v>
      </c>
    </row>
    <row r="19" spans="1:30" ht="13.9" customHeight="1">
      <c r="A19" t="s">
        <v>844</v>
      </c>
      <c r="B19" t="s">
        <v>845</v>
      </c>
      <c r="C19" s="19">
        <v>829</v>
      </c>
      <c r="E19" t="s">
        <v>845</v>
      </c>
      <c r="F19" s="19">
        <v>432</v>
      </c>
      <c r="G19" t="b">
        <f t="shared" si="0"/>
        <v>1</v>
      </c>
      <c r="J19">
        <f t="shared" si="1"/>
        <v>-397</v>
      </c>
      <c r="K19" s="4">
        <f t="shared" si="2"/>
        <v>-0.47889022919179736</v>
      </c>
      <c r="L19" s="4"/>
      <c r="N19" s="5">
        <v>1811.58</v>
      </c>
      <c r="O19" s="5">
        <v>657.51</v>
      </c>
      <c r="Q19" s="5">
        <v>3371.42</v>
      </c>
      <c r="T19" s="150">
        <f t="shared" si="4"/>
        <v>-1154.07</v>
      </c>
      <c r="U19" s="4">
        <f t="shared" si="5"/>
        <v>-0.63705163448481428</v>
      </c>
      <c r="X19" t="s">
        <v>846</v>
      </c>
      <c r="AB19" s="18">
        <v>19887.71</v>
      </c>
      <c r="AC19" s="18">
        <v>10363.68</v>
      </c>
      <c r="AD19" s="4">
        <f t="shared" si="3"/>
        <v>-0.47889022919179736</v>
      </c>
    </row>
    <row r="20" spans="1:30" ht="13.9" customHeight="1">
      <c r="A20" t="s">
        <v>847</v>
      </c>
      <c r="B20" t="s">
        <v>848</v>
      </c>
      <c r="C20" s="19">
        <v>1367</v>
      </c>
      <c r="E20" t="s">
        <v>848</v>
      </c>
      <c r="F20" s="19">
        <v>1424</v>
      </c>
      <c r="G20" t="b">
        <f t="shared" si="0"/>
        <v>1</v>
      </c>
      <c r="J20">
        <f t="shared" si="1"/>
        <v>57</v>
      </c>
      <c r="K20" s="4">
        <f t="shared" si="2"/>
        <v>4.169714703730798E-2</v>
      </c>
      <c r="L20" s="6"/>
      <c r="N20" s="5">
        <v>3474.0299999999997</v>
      </c>
      <c r="O20" s="5">
        <v>3264.21</v>
      </c>
      <c r="Q20" s="5">
        <v>17727.82</v>
      </c>
      <c r="T20" s="150">
        <f t="shared" si="4"/>
        <v>-209.81999999999971</v>
      </c>
      <c r="U20" s="4">
        <f t="shared" si="5"/>
        <v>-6.0396715054274019E-2</v>
      </c>
      <c r="AB20" s="18">
        <v>39018.339999999997</v>
      </c>
      <c r="AC20" s="18">
        <v>41252.769999999997</v>
      </c>
      <c r="AD20" s="4">
        <f t="shared" si="3"/>
        <v>5.7266147150288882E-2</v>
      </c>
    </row>
    <row r="21" spans="1:30" ht="13.9" customHeight="1">
      <c r="A21" t="s">
        <v>849</v>
      </c>
      <c r="B21" t="s">
        <v>850</v>
      </c>
      <c r="C21" s="19">
        <v>998</v>
      </c>
      <c r="E21" t="s">
        <v>850</v>
      </c>
      <c r="F21" s="19">
        <v>1014</v>
      </c>
      <c r="G21" t="b">
        <f t="shared" si="0"/>
        <v>1</v>
      </c>
      <c r="J21">
        <f t="shared" si="1"/>
        <v>16</v>
      </c>
      <c r="K21" s="4">
        <f t="shared" si="2"/>
        <v>1.6032064128256529E-2</v>
      </c>
      <c r="L21" s="6"/>
      <c r="N21" s="5">
        <v>1658.82</v>
      </c>
      <c r="O21" s="5">
        <v>1354.39</v>
      </c>
      <c r="Q21" s="5">
        <v>8048.89</v>
      </c>
      <c r="T21" s="150">
        <f t="shared" si="4"/>
        <v>-304.42999999999984</v>
      </c>
      <c r="U21" s="4">
        <f t="shared" si="5"/>
        <v>-0.1835220216780602</v>
      </c>
      <c r="X21" t="s">
        <v>851</v>
      </c>
      <c r="AB21" s="18">
        <v>32851.15</v>
      </c>
      <c r="AC21" s="18">
        <v>33411.300000000003</v>
      </c>
      <c r="AD21" s="4">
        <f t="shared" si="3"/>
        <v>1.7051153460381219E-2</v>
      </c>
    </row>
    <row r="22" spans="1:30" ht="13.9" customHeight="1">
      <c r="A22" t="s">
        <v>852</v>
      </c>
      <c r="B22" t="s">
        <v>853</v>
      </c>
      <c r="C22" s="19">
        <v>1496</v>
      </c>
      <c r="E22" t="s">
        <v>853</v>
      </c>
      <c r="F22" s="19">
        <v>1525</v>
      </c>
      <c r="G22" t="b">
        <f t="shared" si="0"/>
        <v>1</v>
      </c>
      <c r="J22">
        <f t="shared" si="1"/>
        <v>29</v>
      </c>
      <c r="K22" s="4">
        <f t="shared" si="2"/>
        <v>1.9385026737967825E-2</v>
      </c>
      <c r="L22" s="4"/>
      <c r="N22" s="5">
        <v>2150.4399999999996</v>
      </c>
      <c r="O22" s="5">
        <v>2359.86</v>
      </c>
      <c r="Q22" s="5">
        <v>7950.89</v>
      </c>
      <c r="T22" s="150">
        <f t="shared" si="4"/>
        <v>209.42000000000053</v>
      </c>
      <c r="U22" s="4">
        <f t="shared" si="5"/>
        <v>9.7384721266345675E-2</v>
      </c>
      <c r="AB22" s="18">
        <v>36360.04</v>
      </c>
      <c r="AC22" s="18">
        <v>38084.76</v>
      </c>
      <c r="AD22" s="4">
        <f t="shared" si="3"/>
        <v>4.7434491271186818E-2</v>
      </c>
    </row>
    <row r="23" spans="1:30" ht="13.9" customHeight="1">
      <c r="A23" t="s">
        <v>854</v>
      </c>
      <c r="B23" t="s">
        <v>855</v>
      </c>
      <c r="C23" s="19">
        <v>976</v>
      </c>
      <c r="E23" t="s">
        <v>855</v>
      </c>
      <c r="F23" s="19">
        <v>816</v>
      </c>
      <c r="G23" t="b">
        <f t="shared" si="0"/>
        <v>1</v>
      </c>
      <c r="J23">
        <f t="shared" si="1"/>
        <v>-160</v>
      </c>
      <c r="K23" s="4">
        <f t="shared" si="2"/>
        <v>-0.16393442622950816</v>
      </c>
      <c r="N23" s="5">
        <v>2943.9700000000003</v>
      </c>
      <c r="O23" s="5">
        <v>2073.8200000000002</v>
      </c>
      <c r="Q23" s="5">
        <v>9598.92</v>
      </c>
      <c r="T23" s="150">
        <f t="shared" si="4"/>
        <v>-870.15000000000009</v>
      </c>
      <c r="U23" s="4">
        <f t="shared" si="5"/>
        <v>-0.29557026736006142</v>
      </c>
      <c r="X23" s="5"/>
      <c r="Y23" s="5"/>
      <c r="Z23" s="5"/>
      <c r="AA23" s="17"/>
      <c r="AB23" s="18">
        <v>19296.240000000002</v>
      </c>
      <c r="AC23" s="18">
        <v>16311.84</v>
      </c>
      <c r="AD23" s="4">
        <f t="shared" si="3"/>
        <v>-0.15466225544458412</v>
      </c>
    </row>
    <row r="24" spans="1:30" ht="13.9" customHeight="1">
      <c r="A24" t="s">
        <v>856</v>
      </c>
      <c r="B24" t="s">
        <v>857</v>
      </c>
      <c r="C24" s="19">
        <v>1466</v>
      </c>
      <c r="E24" t="s">
        <v>857</v>
      </c>
      <c r="F24" s="19">
        <v>1682</v>
      </c>
      <c r="G24" t="b">
        <f t="shared" si="0"/>
        <v>1</v>
      </c>
      <c r="J24">
        <f t="shared" si="1"/>
        <v>216</v>
      </c>
      <c r="K24" s="4">
        <f t="shared" si="2"/>
        <v>0.14733969986357431</v>
      </c>
      <c r="L24" s="4"/>
      <c r="N24" s="5">
        <v>1760.27</v>
      </c>
      <c r="O24" s="5">
        <v>580.09</v>
      </c>
      <c r="Q24" s="5">
        <v>3495.14</v>
      </c>
      <c r="T24" s="150">
        <f t="shared" si="4"/>
        <v>-1180.1799999999998</v>
      </c>
      <c r="U24" s="4">
        <f t="shared" si="5"/>
        <v>-0.6704539644486357</v>
      </c>
      <c r="AB24" s="18">
        <v>25887.37</v>
      </c>
      <c r="AC24" s="18">
        <v>29983.18</v>
      </c>
      <c r="AD24" s="4">
        <f t="shared" si="3"/>
        <v>0.1582165357083396</v>
      </c>
    </row>
    <row r="25" spans="1:30" ht="13.9" customHeight="1">
      <c r="A25" s="57" t="s">
        <v>858</v>
      </c>
      <c r="B25" s="39" t="s">
        <v>859</v>
      </c>
      <c r="C25" s="166">
        <v>289</v>
      </c>
      <c r="E25" s="39" t="s">
        <v>859</v>
      </c>
      <c r="F25" s="166">
        <v>261</v>
      </c>
      <c r="G25" t="b">
        <f t="shared" si="0"/>
        <v>1</v>
      </c>
      <c r="J25">
        <f t="shared" si="1"/>
        <v>-28</v>
      </c>
      <c r="K25" s="4">
        <f t="shared" si="2"/>
        <v>-9.6885813148788968E-2</v>
      </c>
      <c r="L25" s="4"/>
      <c r="N25" s="5">
        <v>1919.01</v>
      </c>
      <c r="O25" s="5">
        <v>1405.71</v>
      </c>
      <c r="Q25" s="5">
        <v>5851.44</v>
      </c>
      <c r="T25" s="150">
        <f t="shared" si="4"/>
        <v>-513.29999999999995</v>
      </c>
      <c r="U25" s="4">
        <f t="shared" si="5"/>
        <v>-0.2674816702362155</v>
      </c>
      <c r="AB25" s="18">
        <v>7800.11</v>
      </c>
      <c r="AC25" s="18">
        <v>6812.39</v>
      </c>
      <c r="AD25" s="4">
        <f t="shared" si="3"/>
        <v>-0.12662898343741302</v>
      </c>
    </row>
    <row r="26" spans="1:30">
      <c r="A26" t="s">
        <v>860</v>
      </c>
      <c r="B26" t="s">
        <v>861</v>
      </c>
      <c r="C26" s="19">
        <v>1196</v>
      </c>
      <c r="E26" t="s">
        <v>861</v>
      </c>
      <c r="F26" s="19">
        <v>1366</v>
      </c>
      <c r="G26" t="b">
        <f t="shared" si="0"/>
        <v>1</v>
      </c>
      <c r="J26">
        <f t="shared" si="1"/>
        <v>170</v>
      </c>
      <c r="K26" s="4">
        <f t="shared" si="2"/>
        <v>0.14214046822742477</v>
      </c>
      <c r="L26" s="6"/>
      <c r="N26" s="5">
        <v>2981.88</v>
      </c>
      <c r="O26" s="5">
        <v>3088.32</v>
      </c>
      <c r="Q26" s="5">
        <v>17340.91</v>
      </c>
      <c r="T26" s="150">
        <f t="shared" si="4"/>
        <v>106.44000000000005</v>
      </c>
      <c r="U26" s="4">
        <f t="shared" si="5"/>
        <v>3.5695601432653268E-2</v>
      </c>
      <c r="AB26" s="18">
        <v>26300.04</v>
      </c>
      <c r="AC26" s="18">
        <v>30038.34</v>
      </c>
      <c r="AD26" s="4">
        <f t="shared" si="3"/>
        <v>0.14214046822742477</v>
      </c>
    </row>
    <row r="27" spans="1:30">
      <c r="A27" s="59" t="s">
        <v>862</v>
      </c>
      <c r="B27" s="39" t="s">
        <v>863</v>
      </c>
      <c r="C27" s="166">
        <v>964</v>
      </c>
      <c r="E27" s="39" t="s">
        <v>863</v>
      </c>
      <c r="F27" s="166">
        <v>1601</v>
      </c>
      <c r="G27" t="b">
        <f t="shared" si="0"/>
        <v>1</v>
      </c>
      <c r="J27">
        <f t="shared" si="1"/>
        <v>637</v>
      </c>
      <c r="K27" s="4">
        <f t="shared" si="2"/>
        <v>0.66078838174273868</v>
      </c>
      <c r="L27" s="4"/>
      <c r="N27" s="5">
        <v>2360.4599999999996</v>
      </c>
      <c r="O27" s="5">
        <v>3000.95</v>
      </c>
      <c r="Q27" s="5">
        <v>13513.19</v>
      </c>
      <c r="T27" s="150">
        <f t="shared" si="4"/>
        <v>640.49000000000024</v>
      </c>
      <c r="U27" s="4">
        <f t="shared" si="5"/>
        <v>0.27134117926166956</v>
      </c>
      <c r="AB27" s="18">
        <v>19552.61</v>
      </c>
      <c r="AC27" s="18">
        <v>36110</v>
      </c>
      <c r="AD27" s="4">
        <f t="shared" si="3"/>
        <v>0.84681226700680878</v>
      </c>
    </row>
    <row r="28" spans="1:30">
      <c r="A28" t="s">
        <v>864</v>
      </c>
      <c r="B28" t="s">
        <v>865</v>
      </c>
      <c r="C28" s="19">
        <v>7209</v>
      </c>
      <c r="E28" t="s">
        <v>865</v>
      </c>
      <c r="F28" s="19">
        <v>7185</v>
      </c>
      <c r="G28" t="b">
        <f t="shared" si="0"/>
        <v>1</v>
      </c>
      <c r="J28">
        <f t="shared" si="1"/>
        <v>-24</v>
      </c>
      <c r="K28" s="4">
        <f t="shared" si="2"/>
        <v>-3.3291718684976823E-3</v>
      </c>
      <c r="L28" s="4"/>
      <c r="N28" s="5">
        <v>8321.9600000000009</v>
      </c>
      <c r="O28" s="5">
        <v>9078.4500000000007</v>
      </c>
      <c r="Q28" s="5">
        <v>57317.11</v>
      </c>
      <c r="T28" s="150">
        <f t="shared" si="4"/>
        <v>756.48999999999978</v>
      </c>
      <c r="U28" s="4">
        <f t="shared" si="5"/>
        <v>9.0902864229099878E-2</v>
      </c>
      <c r="X28" t="s">
        <v>866</v>
      </c>
      <c r="AB28" s="18">
        <v>180685.94</v>
      </c>
      <c r="AC28" s="18">
        <v>180421.82</v>
      </c>
      <c r="AD28" s="4">
        <f t="shared" si="3"/>
        <v>-1.4617628798344606E-3</v>
      </c>
    </row>
    <row r="29" spans="1:30">
      <c r="A29" t="s">
        <v>867</v>
      </c>
      <c r="B29" t="s">
        <v>868</v>
      </c>
      <c r="C29" s="19">
        <v>1056</v>
      </c>
      <c r="E29" t="s">
        <v>868</v>
      </c>
      <c r="F29" s="19">
        <v>1016</v>
      </c>
      <c r="G29" t="b">
        <f t="shared" si="0"/>
        <v>1</v>
      </c>
      <c r="J29">
        <f t="shared" si="1"/>
        <v>-40</v>
      </c>
      <c r="K29" s="4">
        <f t="shared" si="2"/>
        <v>-3.7878787878787845E-2</v>
      </c>
      <c r="L29" s="4"/>
      <c r="N29" s="5">
        <v>2686.1099999999997</v>
      </c>
      <c r="O29" s="5">
        <v>2364.4699999999998</v>
      </c>
      <c r="Q29" s="5">
        <v>11358.84</v>
      </c>
      <c r="T29" s="150">
        <f t="shared" si="4"/>
        <v>-321.63999999999987</v>
      </c>
      <c r="U29" s="4">
        <f t="shared" si="5"/>
        <v>-0.11974193164092306</v>
      </c>
      <c r="AB29" s="18">
        <v>20011.2</v>
      </c>
      <c r="AC29" s="18">
        <v>19234.25</v>
      </c>
      <c r="AD29" s="4">
        <f t="shared" si="3"/>
        <v>-3.8825757575757569E-2</v>
      </c>
    </row>
    <row r="30" spans="1:30">
      <c r="A30" t="s">
        <v>869</v>
      </c>
      <c r="B30" t="s">
        <v>870</v>
      </c>
      <c r="C30" s="19">
        <v>1010</v>
      </c>
      <c r="E30" t="s">
        <v>870</v>
      </c>
      <c r="F30" s="19">
        <v>1074</v>
      </c>
      <c r="G30" t="b">
        <f t="shared" si="0"/>
        <v>1</v>
      </c>
      <c r="J30">
        <f t="shared" si="1"/>
        <v>64</v>
      </c>
      <c r="K30" s="4">
        <f t="shared" si="2"/>
        <v>6.3366336633663423E-2</v>
      </c>
      <c r="N30" s="5">
        <v>1136.25</v>
      </c>
      <c r="O30" s="5">
        <v>1191.3399999999999</v>
      </c>
      <c r="Q30" s="5">
        <v>4350.21</v>
      </c>
      <c r="T30" s="150">
        <f t="shared" si="4"/>
        <v>55.089999999999918</v>
      </c>
      <c r="U30" s="4">
        <f t="shared" si="5"/>
        <v>4.848404840484033E-2</v>
      </c>
      <c r="AB30" s="18">
        <v>20129.55</v>
      </c>
      <c r="AC30" s="18">
        <v>21426.3</v>
      </c>
      <c r="AD30" s="4">
        <f t="shared" si="3"/>
        <v>6.4420218037660959E-2</v>
      </c>
    </row>
    <row r="31" spans="1:30" hidden="1">
      <c r="A31" t="s">
        <v>871</v>
      </c>
      <c r="B31" t="s">
        <v>872</v>
      </c>
      <c r="C31" s="19">
        <v>2</v>
      </c>
      <c r="F31" s="19">
        <v>0</v>
      </c>
      <c r="G31" t="b">
        <f t="shared" si="0"/>
        <v>0</v>
      </c>
      <c r="J31">
        <f t="shared" si="1"/>
        <v>-2</v>
      </c>
      <c r="K31" s="4">
        <f t="shared" si="2"/>
        <v>-1</v>
      </c>
      <c r="L31" s="4"/>
      <c r="N31" s="5">
        <v>0</v>
      </c>
      <c r="O31" s="5">
        <v>0</v>
      </c>
      <c r="Q31" s="5">
        <v>0</v>
      </c>
      <c r="T31" s="150">
        <f t="shared" si="4"/>
        <v>0</v>
      </c>
      <c r="U31" s="4">
        <f t="shared" si="5"/>
        <v>0</v>
      </c>
      <c r="AB31" s="18">
        <v>53.9</v>
      </c>
      <c r="AC31" s="18">
        <v>0</v>
      </c>
      <c r="AD31" s="4">
        <f t="shared" si="3"/>
        <v>-1</v>
      </c>
    </row>
    <row r="32" spans="1:30">
      <c r="A32" t="s">
        <v>873</v>
      </c>
      <c r="B32" t="s">
        <v>874</v>
      </c>
      <c r="C32" s="19">
        <v>737</v>
      </c>
      <c r="E32" t="s">
        <v>874</v>
      </c>
      <c r="F32" s="19">
        <v>539</v>
      </c>
      <c r="G32" t="b">
        <f t="shared" si="0"/>
        <v>1</v>
      </c>
      <c r="J32">
        <f t="shared" si="1"/>
        <v>-198</v>
      </c>
      <c r="K32" s="4">
        <f t="shared" si="2"/>
        <v>-0.26865671641791045</v>
      </c>
      <c r="L32" s="4"/>
      <c r="N32" s="5">
        <v>1474.73</v>
      </c>
      <c r="O32" s="5">
        <v>1057.49</v>
      </c>
      <c r="Q32" s="5">
        <v>4695.5</v>
      </c>
      <c r="T32" s="150">
        <f t="shared" si="4"/>
        <v>-417.24</v>
      </c>
      <c r="U32" s="4">
        <f t="shared" si="5"/>
        <v>-0.28292636618228417</v>
      </c>
      <c r="AB32" s="18">
        <v>13240.64</v>
      </c>
      <c r="AC32" s="18">
        <v>9696.61</v>
      </c>
      <c r="AD32" s="4">
        <f t="shared" si="3"/>
        <v>-0.26766304347826075</v>
      </c>
    </row>
    <row r="33" spans="1:30">
      <c r="A33" t="s">
        <v>875</v>
      </c>
      <c r="B33" t="s">
        <v>876</v>
      </c>
      <c r="C33" s="19">
        <v>1221</v>
      </c>
      <c r="E33" t="s">
        <v>876</v>
      </c>
      <c r="F33" s="19">
        <v>1075</v>
      </c>
      <c r="G33" t="b">
        <f t="shared" si="0"/>
        <v>1</v>
      </c>
      <c r="J33">
        <f t="shared" si="1"/>
        <v>-146</v>
      </c>
      <c r="K33" s="4">
        <f t="shared" si="2"/>
        <v>-0.11957411957411956</v>
      </c>
      <c r="L33" s="4"/>
      <c r="N33" s="5">
        <v>2063.7799999999997</v>
      </c>
      <c r="O33" s="5">
        <v>1761.57</v>
      </c>
      <c r="Q33" s="5">
        <v>11640.16</v>
      </c>
      <c r="T33" s="150">
        <f t="shared" si="4"/>
        <v>-302.20999999999981</v>
      </c>
      <c r="U33" s="4">
        <f t="shared" si="5"/>
        <v>-0.14643518204459771</v>
      </c>
      <c r="AB33" s="18">
        <v>18269.810000000001</v>
      </c>
      <c r="AC33" s="18">
        <v>17970.25</v>
      </c>
      <c r="AD33" s="4">
        <f t="shared" si="3"/>
        <v>-1.6396448567336019E-2</v>
      </c>
    </row>
    <row r="34" spans="1:30">
      <c r="A34" t="s">
        <v>877</v>
      </c>
      <c r="B34" t="s">
        <v>878</v>
      </c>
      <c r="C34" s="19">
        <v>1496</v>
      </c>
      <c r="E34" t="s">
        <v>878</v>
      </c>
      <c r="F34" s="19">
        <v>1470</v>
      </c>
      <c r="G34" t="b">
        <f t="shared" si="0"/>
        <v>1</v>
      </c>
      <c r="J34">
        <f t="shared" si="1"/>
        <v>-26</v>
      </c>
      <c r="K34" s="4">
        <f t="shared" si="2"/>
        <v>-1.7379679144384985E-2</v>
      </c>
      <c r="L34" s="4"/>
      <c r="N34" s="5">
        <v>2025.8000000000002</v>
      </c>
      <c r="O34" s="5">
        <v>2032.1</v>
      </c>
      <c r="Q34" s="5">
        <v>7891.69</v>
      </c>
      <c r="T34" s="150">
        <f t="shared" si="4"/>
        <v>6.2999999999997272</v>
      </c>
      <c r="U34" s="4">
        <f t="shared" si="5"/>
        <v>3.1098825155493337E-3</v>
      </c>
      <c r="AB34" s="18">
        <v>34393.040000000001</v>
      </c>
      <c r="AC34" s="18">
        <v>33772.31</v>
      </c>
      <c r="AD34" s="4">
        <f t="shared" si="3"/>
        <v>-1.8048128342246117E-2</v>
      </c>
    </row>
    <row r="35" spans="1:30">
      <c r="A35" t="s">
        <v>879</v>
      </c>
      <c r="B35" s="5" t="s">
        <v>880</v>
      </c>
      <c r="C35" s="19">
        <v>1725</v>
      </c>
      <c r="E35" t="s">
        <v>880</v>
      </c>
      <c r="F35" s="19">
        <v>1676</v>
      </c>
      <c r="G35" t="b">
        <f t="shared" ref="G35:G66" si="6">IF(B35=E35,TRUE,FALSE)</f>
        <v>1</v>
      </c>
      <c r="J35">
        <f t="shared" ref="J35:J66" si="7">F35-C35</f>
        <v>-49</v>
      </c>
      <c r="K35" s="4">
        <f t="shared" ref="K35:K66" si="8">F35/C35-1</f>
        <v>-2.8405797101449304E-2</v>
      </c>
      <c r="N35" s="5">
        <v>3299.27</v>
      </c>
      <c r="O35" s="5">
        <v>2748.23</v>
      </c>
      <c r="Q35" s="5">
        <v>12671.13</v>
      </c>
      <c r="T35" s="150">
        <f t="shared" ref="T35:T66" si="9">O35-N35</f>
        <v>-551.04</v>
      </c>
      <c r="U35" s="4">
        <f t="shared" si="5"/>
        <v>-0.16701876475705235</v>
      </c>
      <c r="X35" s="5"/>
      <c r="Y35" s="5"/>
      <c r="Z35" s="5"/>
      <c r="AA35" s="17"/>
      <c r="AB35" s="18">
        <v>51633.8</v>
      </c>
      <c r="AC35" s="18">
        <v>50256.1</v>
      </c>
      <c r="AD35" s="4">
        <f t="shared" ref="AD35:AD66" si="10">AC35/AB35-1</f>
        <v>-2.6682134570765736E-2</v>
      </c>
    </row>
    <row r="36" spans="1:30">
      <c r="A36" t="s">
        <v>881</v>
      </c>
      <c r="B36" t="s">
        <v>882</v>
      </c>
      <c r="C36" s="19">
        <v>726</v>
      </c>
      <c r="E36" t="s">
        <v>882</v>
      </c>
      <c r="F36" s="19">
        <v>556</v>
      </c>
      <c r="G36" t="b">
        <f t="shared" si="6"/>
        <v>1</v>
      </c>
      <c r="J36">
        <f t="shared" si="7"/>
        <v>-170</v>
      </c>
      <c r="K36" s="4">
        <f t="shared" si="8"/>
        <v>-0.2341597796143251</v>
      </c>
      <c r="L36" s="4"/>
      <c r="N36" s="5">
        <v>1403.84</v>
      </c>
      <c r="O36" s="5">
        <v>399.59</v>
      </c>
      <c r="Q36" s="5">
        <v>2589.77</v>
      </c>
      <c r="T36" s="150">
        <f t="shared" si="9"/>
        <v>-1004.25</v>
      </c>
      <c r="U36" s="4">
        <f t="shared" ref="U36:U67" si="11">IF(N36=0,0,O36/N36-1)</f>
        <v>-0.71535930020515159</v>
      </c>
      <c r="X36" t="s">
        <v>883</v>
      </c>
      <c r="AB36" s="18">
        <v>12986.74</v>
      </c>
      <c r="AC36" s="18">
        <v>10558.44</v>
      </c>
      <c r="AD36" s="4">
        <f t="shared" si="10"/>
        <v>-0.18698303038329855</v>
      </c>
    </row>
    <row r="37" spans="1:30">
      <c r="A37" t="s">
        <v>884</v>
      </c>
      <c r="B37" t="s">
        <v>885</v>
      </c>
      <c r="C37" s="19">
        <v>1281</v>
      </c>
      <c r="E37" t="s">
        <v>885</v>
      </c>
      <c r="F37" s="19">
        <v>1179</v>
      </c>
      <c r="G37" t="b">
        <f t="shared" si="6"/>
        <v>1</v>
      </c>
      <c r="J37">
        <f t="shared" si="7"/>
        <v>-102</v>
      </c>
      <c r="K37" s="4">
        <f t="shared" si="8"/>
        <v>-7.9625292740046816E-2</v>
      </c>
      <c r="L37" s="4"/>
      <c r="N37" s="5">
        <v>2861.1</v>
      </c>
      <c r="O37" s="5">
        <v>2708.58</v>
      </c>
      <c r="Q37" s="5">
        <v>19511.349999999999</v>
      </c>
      <c r="T37" s="150">
        <f t="shared" si="9"/>
        <v>-152.51999999999998</v>
      </c>
      <c r="U37" s="4">
        <f t="shared" si="11"/>
        <v>-5.3308168187060967E-2</v>
      </c>
      <c r="Y37" t="s">
        <v>886</v>
      </c>
      <c r="AB37" s="18">
        <v>34574.19</v>
      </c>
      <c r="AC37" s="18">
        <v>31821.21</v>
      </c>
      <c r="AD37" s="4">
        <f t="shared" si="10"/>
        <v>-7.9625292740046927E-2</v>
      </c>
    </row>
    <row r="38" spans="1:30">
      <c r="A38" t="s">
        <v>887</v>
      </c>
      <c r="B38" t="s">
        <v>888</v>
      </c>
      <c r="C38" s="19">
        <v>1319</v>
      </c>
      <c r="E38" t="s">
        <v>888</v>
      </c>
      <c r="F38" s="19">
        <v>1553</v>
      </c>
      <c r="G38" t="b">
        <f t="shared" si="6"/>
        <v>1</v>
      </c>
      <c r="J38">
        <f t="shared" si="7"/>
        <v>234</v>
      </c>
      <c r="K38" s="4">
        <f t="shared" si="8"/>
        <v>0.17740712661106905</v>
      </c>
      <c r="L38" s="4"/>
      <c r="N38" s="5">
        <v>900.66</v>
      </c>
      <c r="O38" s="5">
        <v>1075</v>
      </c>
      <c r="Q38" s="5">
        <v>4289.25</v>
      </c>
      <c r="T38" s="150">
        <f t="shared" si="9"/>
        <v>174.34000000000003</v>
      </c>
      <c r="U38" s="4">
        <f t="shared" si="11"/>
        <v>0.19356916039348926</v>
      </c>
      <c r="AB38" s="18">
        <v>26314.05</v>
      </c>
      <c r="AC38" s="18">
        <v>30982.35</v>
      </c>
      <c r="AD38" s="4">
        <f t="shared" si="10"/>
        <v>0.17740712661106905</v>
      </c>
    </row>
    <row r="39" spans="1:30">
      <c r="A39" t="s">
        <v>889</v>
      </c>
      <c r="B39" t="s">
        <v>890</v>
      </c>
      <c r="C39" s="19">
        <v>1317</v>
      </c>
      <c r="E39" t="s">
        <v>890</v>
      </c>
      <c r="F39" s="19">
        <v>1400</v>
      </c>
      <c r="G39" t="b">
        <f t="shared" si="6"/>
        <v>1</v>
      </c>
      <c r="J39">
        <f t="shared" si="7"/>
        <v>83</v>
      </c>
      <c r="K39" s="4">
        <f t="shared" si="8"/>
        <v>6.302201974183741E-2</v>
      </c>
      <c r="L39" s="4"/>
      <c r="N39" s="5">
        <v>1551.3000000000002</v>
      </c>
      <c r="O39" s="5">
        <v>1440.96</v>
      </c>
      <c r="Q39" s="5">
        <v>6182.01</v>
      </c>
      <c r="T39" s="150">
        <f t="shared" si="9"/>
        <v>-110.34000000000015</v>
      </c>
      <c r="U39" s="4">
        <f t="shared" si="11"/>
        <v>-7.1127441500676958E-2</v>
      </c>
      <c r="AB39" s="18">
        <v>24957.15</v>
      </c>
      <c r="AC39" s="18">
        <v>26473.15</v>
      </c>
      <c r="AD39" s="4">
        <f t="shared" si="10"/>
        <v>6.07441154138193E-2</v>
      </c>
    </row>
    <row r="40" spans="1:30">
      <c r="A40" t="s">
        <v>891</v>
      </c>
      <c r="B40" t="s">
        <v>892</v>
      </c>
      <c r="C40" s="19">
        <v>1486</v>
      </c>
      <c r="E40" t="s">
        <v>892</v>
      </c>
      <c r="F40" s="19">
        <v>1462</v>
      </c>
      <c r="G40" t="b">
        <f t="shared" si="6"/>
        <v>1</v>
      </c>
      <c r="J40">
        <f t="shared" si="7"/>
        <v>-24</v>
      </c>
      <c r="K40" s="4">
        <f t="shared" si="8"/>
        <v>-1.6150740242261152E-2</v>
      </c>
      <c r="L40" s="4"/>
      <c r="N40" s="5">
        <v>1299.4100000000001</v>
      </c>
      <c r="O40" s="5">
        <v>1070.9000000000001</v>
      </c>
      <c r="Q40" s="5">
        <v>7364.35</v>
      </c>
      <c r="T40" s="150">
        <f t="shared" si="9"/>
        <v>-228.51</v>
      </c>
      <c r="U40" s="4">
        <f t="shared" si="11"/>
        <v>-0.17585673497972154</v>
      </c>
      <c r="X40" t="s">
        <v>893</v>
      </c>
      <c r="AB40" s="18">
        <v>35589.699999999997</v>
      </c>
      <c r="AC40" s="18">
        <v>35014.9</v>
      </c>
      <c r="AD40" s="4">
        <f t="shared" si="10"/>
        <v>-1.615074024226093E-2</v>
      </c>
    </row>
    <row r="41" spans="1:30">
      <c r="A41" t="s">
        <v>894</v>
      </c>
      <c r="B41" t="s">
        <v>895</v>
      </c>
      <c r="C41" s="19">
        <v>6847</v>
      </c>
      <c r="E41" t="s">
        <v>895</v>
      </c>
      <c r="F41" s="19">
        <v>7031</v>
      </c>
      <c r="G41" t="b">
        <f t="shared" si="6"/>
        <v>1</v>
      </c>
      <c r="J41">
        <f t="shared" si="7"/>
        <v>184</v>
      </c>
      <c r="K41" s="4">
        <f t="shared" si="8"/>
        <v>2.6873083102088469E-2</v>
      </c>
      <c r="L41" s="4"/>
      <c r="N41" s="5">
        <v>5529.76</v>
      </c>
      <c r="O41" s="5">
        <v>6062.04</v>
      </c>
      <c r="Q41" s="5">
        <v>41628.11</v>
      </c>
      <c r="T41" s="150">
        <f t="shared" si="9"/>
        <v>532.27999999999975</v>
      </c>
      <c r="U41" s="4">
        <f t="shared" si="11"/>
        <v>9.625734209079595E-2</v>
      </c>
      <c r="AB41" s="18">
        <v>215052.88</v>
      </c>
      <c r="AC41" s="18">
        <v>219486.75</v>
      </c>
      <c r="AD41" s="4">
        <f t="shared" si="10"/>
        <v>2.0617580197019425E-2</v>
      </c>
    </row>
    <row r="42" spans="1:30">
      <c r="A42" t="s">
        <v>896</v>
      </c>
      <c r="B42" t="s">
        <v>897</v>
      </c>
      <c r="C42" s="19">
        <v>1470</v>
      </c>
      <c r="E42" t="s">
        <v>897</v>
      </c>
      <c r="F42" s="19">
        <v>1743</v>
      </c>
      <c r="G42" t="b">
        <f t="shared" si="6"/>
        <v>1</v>
      </c>
      <c r="J42">
        <f t="shared" si="7"/>
        <v>273</v>
      </c>
      <c r="K42" s="4">
        <f t="shared" si="8"/>
        <v>0.18571428571428572</v>
      </c>
      <c r="L42" s="4"/>
      <c r="N42" s="5">
        <v>2690.62</v>
      </c>
      <c r="O42" s="5">
        <v>2986.39</v>
      </c>
      <c r="Q42" s="5">
        <v>12808.42</v>
      </c>
      <c r="T42" s="150">
        <f t="shared" si="9"/>
        <v>295.77</v>
      </c>
      <c r="U42" s="4">
        <f t="shared" si="11"/>
        <v>0.10992633668076501</v>
      </c>
      <c r="AB42" s="18">
        <v>28585.63</v>
      </c>
      <c r="AC42" s="18">
        <v>34812.5</v>
      </c>
      <c r="AD42" s="4">
        <f t="shared" si="10"/>
        <v>0.21783217651666242</v>
      </c>
    </row>
    <row r="43" spans="1:30">
      <c r="A43" t="s">
        <v>898</v>
      </c>
      <c r="B43" t="s">
        <v>899</v>
      </c>
      <c r="C43" s="19">
        <v>1359</v>
      </c>
      <c r="E43" t="s">
        <v>899</v>
      </c>
      <c r="F43" s="19">
        <v>1235</v>
      </c>
      <c r="G43" t="b">
        <f t="shared" si="6"/>
        <v>1</v>
      </c>
      <c r="J43">
        <f t="shared" si="7"/>
        <v>-124</v>
      </c>
      <c r="K43" s="4">
        <f t="shared" si="8"/>
        <v>-9.1243561442236887E-2</v>
      </c>
      <c r="L43" s="4"/>
      <c r="N43" s="5">
        <v>2177.64</v>
      </c>
      <c r="O43" s="5">
        <v>2031.46</v>
      </c>
      <c r="Q43" s="5">
        <v>9681.76</v>
      </c>
      <c r="T43" s="150">
        <f t="shared" si="9"/>
        <v>-146.17999999999984</v>
      </c>
      <c r="U43" s="4">
        <f t="shared" si="11"/>
        <v>-6.7127716243272517E-2</v>
      </c>
      <c r="AB43" s="18">
        <v>22964.42</v>
      </c>
      <c r="AC43" s="18">
        <v>22199.66</v>
      </c>
      <c r="AD43" s="4">
        <f t="shared" si="10"/>
        <v>-3.3301951453596379E-2</v>
      </c>
    </row>
    <row r="44" spans="1:30">
      <c r="A44" t="s">
        <v>900</v>
      </c>
      <c r="B44" t="s">
        <v>901</v>
      </c>
      <c r="C44" s="19">
        <v>46</v>
      </c>
      <c r="E44" t="s">
        <v>901</v>
      </c>
      <c r="F44" s="19">
        <v>1</v>
      </c>
      <c r="G44" t="b">
        <f t="shared" si="6"/>
        <v>1</v>
      </c>
      <c r="J44">
        <f t="shared" si="7"/>
        <v>-45</v>
      </c>
      <c r="K44" s="4">
        <f t="shared" si="8"/>
        <v>-0.97826086956521741</v>
      </c>
      <c r="L44" s="6"/>
      <c r="N44" s="5">
        <v>0</v>
      </c>
      <c r="O44" s="5">
        <v>0</v>
      </c>
      <c r="Q44" s="5">
        <v>0</v>
      </c>
      <c r="T44" s="150">
        <f t="shared" si="9"/>
        <v>0</v>
      </c>
      <c r="U44" s="4">
        <f t="shared" si="11"/>
        <v>0</v>
      </c>
      <c r="AB44" s="18">
        <v>873.54</v>
      </c>
      <c r="AC44" s="18">
        <v>18.989999999999998</v>
      </c>
      <c r="AD44" s="4">
        <f t="shared" si="10"/>
        <v>-0.97826086956521741</v>
      </c>
    </row>
    <row r="45" spans="1:30">
      <c r="A45" t="s">
        <v>902</v>
      </c>
      <c r="B45" t="s">
        <v>903</v>
      </c>
      <c r="C45" s="19">
        <v>926</v>
      </c>
      <c r="E45" t="s">
        <v>903</v>
      </c>
      <c r="F45" s="19">
        <v>1060</v>
      </c>
      <c r="G45" t="b">
        <f t="shared" si="6"/>
        <v>1</v>
      </c>
      <c r="J45">
        <f t="shared" si="7"/>
        <v>134</v>
      </c>
      <c r="K45" s="4">
        <f t="shared" si="8"/>
        <v>0.14470842332613398</v>
      </c>
      <c r="N45" s="5">
        <v>1592.1799999999998</v>
      </c>
      <c r="O45" s="5">
        <v>1987.32</v>
      </c>
      <c r="Q45" s="5">
        <v>11896.06</v>
      </c>
      <c r="T45" s="150">
        <f t="shared" si="9"/>
        <v>395.1400000000001</v>
      </c>
      <c r="U45" s="4">
        <f t="shared" si="11"/>
        <v>0.2481754575487698</v>
      </c>
      <c r="X45" s="5"/>
      <c r="Y45" s="5"/>
      <c r="Z45" s="5"/>
      <c r="AA45" s="17"/>
      <c r="AB45" s="18">
        <v>34215.699999999997</v>
      </c>
      <c r="AC45" s="18">
        <v>39167</v>
      </c>
      <c r="AD45" s="4">
        <f t="shared" si="10"/>
        <v>0.14470842332613398</v>
      </c>
    </row>
    <row r="46" spans="1:30">
      <c r="A46" t="s">
        <v>904</v>
      </c>
      <c r="B46" t="s">
        <v>905</v>
      </c>
      <c r="C46" s="19">
        <v>807</v>
      </c>
      <c r="E46" t="s">
        <v>905</v>
      </c>
      <c r="F46" s="19">
        <v>810</v>
      </c>
      <c r="G46" t="b">
        <f t="shared" si="6"/>
        <v>1</v>
      </c>
      <c r="J46">
        <f t="shared" si="7"/>
        <v>3</v>
      </c>
      <c r="K46" s="4">
        <f t="shared" si="8"/>
        <v>3.7174721189590088E-3</v>
      </c>
      <c r="L46" s="4"/>
      <c r="N46" s="5">
        <v>1010.03</v>
      </c>
      <c r="O46" s="5">
        <v>987.64</v>
      </c>
      <c r="Q46" s="5">
        <v>3713.43</v>
      </c>
      <c r="T46" s="150">
        <f t="shared" si="9"/>
        <v>-22.389999999999986</v>
      </c>
      <c r="U46" s="4">
        <f t="shared" si="11"/>
        <v>-2.216765838638457E-2</v>
      </c>
      <c r="AB46" s="18">
        <v>16131.93</v>
      </c>
      <c r="AC46" s="18">
        <v>16171.91</v>
      </c>
      <c r="AD46" s="4">
        <f t="shared" si="10"/>
        <v>2.4783147459728205E-3</v>
      </c>
    </row>
    <row r="47" spans="1:30">
      <c r="A47" t="s">
        <v>906</v>
      </c>
      <c r="B47" t="s">
        <v>907</v>
      </c>
      <c r="C47" s="19">
        <v>1023</v>
      </c>
      <c r="E47" t="s">
        <v>907</v>
      </c>
      <c r="F47" s="19">
        <v>1161</v>
      </c>
      <c r="G47" t="b">
        <f t="shared" si="6"/>
        <v>1</v>
      </c>
      <c r="J47">
        <f t="shared" si="7"/>
        <v>138</v>
      </c>
      <c r="K47" s="4">
        <f t="shared" si="8"/>
        <v>0.13489736070381242</v>
      </c>
      <c r="L47" s="4"/>
      <c r="N47" s="5">
        <v>1778.4099999999999</v>
      </c>
      <c r="O47" s="5">
        <v>2264.92</v>
      </c>
      <c r="Q47" s="5">
        <v>9872.9</v>
      </c>
      <c r="T47" s="150">
        <f t="shared" si="9"/>
        <v>486.51000000000022</v>
      </c>
      <c r="U47" s="4">
        <f t="shared" si="11"/>
        <v>0.27356458859318167</v>
      </c>
      <c r="X47" t="s">
        <v>908</v>
      </c>
      <c r="AB47" s="18">
        <v>17606.150000000001</v>
      </c>
      <c r="AC47" s="18">
        <v>19725.39</v>
      </c>
      <c r="AD47" s="4">
        <f t="shared" si="10"/>
        <v>0.1203693027720425</v>
      </c>
    </row>
    <row r="48" spans="1:30">
      <c r="A48" t="s">
        <v>909</v>
      </c>
      <c r="B48" t="s">
        <v>910</v>
      </c>
      <c r="C48" s="19">
        <v>1612</v>
      </c>
      <c r="E48" t="s">
        <v>910</v>
      </c>
      <c r="F48" s="19">
        <v>1609</v>
      </c>
      <c r="G48" t="b">
        <f t="shared" si="6"/>
        <v>1</v>
      </c>
      <c r="J48">
        <f t="shared" si="7"/>
        <v>-3</v>
      </c>
      <c r="K48" s="4">
        <f t="shared" si="8"/>
        <v>-1.8610421836228186E-3</v>
      </c>
      <c r="L48" s="4"/>
      <c r="N48" s="5">
        <v>1515.79</v>
      </c>
      <c r="O48" s="5">
        <v>1661.07</v>
      </c>
      <c r="Q48" s="5">
        <v>8004.48</v>
      </c>
      <c r="T48" s="150">
        <f t="shared" si="9"/>
        <v>145.27999999999997</v>
      </c>
      <c r="U48" s="4">
        <f t="shared" si="11"/>
        <v>9.5844411165135091E-2</v>
      </c>
      <c r="AB48" s="18">
        <v>27387.88</v>
      </c>
      <c r="AC48" s="18">
        <v>27319.919999999998</v>
      </c>
      <c r="AD48" s="4">
        <f t="shared" si="10"/>
        <v>-2.4813895781639062E-3</v>
      </c>
    </row>
    <row r="49" spans="1:30">
      <c r="A49" t="s">
        <v>911</v>
      </c>
      <c r="B49" t="s">
        <v>912</v>
      </c>
      <c r="C49" s="19">
        <v>1107</v>
      </c>
      <c r="E49" t="s">
        <v>912</v>
      </c>
      <c r="F49" s="19">
        <v>1107</v>
      </c>
      <c r="G49" t="b">
        <f t="shared" si="6"/>
        <v>1</v>
      </c>
      <c r="J49">
        <f t="shared" si="7"/>
        <v>0</v>
      </c>
      <c r="K49" s="4">
        <f t="shared" si="8"/>
        <v>0</v>
      </c>
      <c r="N49" s="5">
        <v>1365.53</v>
      </c>
      <c r="O49" s="5">
        <v>1110.52</v>
      </c>
      <c r="Q49" s="5">
        <v>6071.67</v>
      </c>
      <c r="T49" s="150">
        <f t="shared" si="9"/>
        <v>-255.01</v>
      </c>
      <c r="U49" s="4">
        <f t="shared" si="11"/>
        <v>-0.18674800260704638</v>
      </c>
      <c r="AB49" s="18">
        <v>20977.65</v>
      </c>
      <c r="AC49" s="18">
        <v>20958.7</v>
      </c>
      <c r="AD49" s="4">
        <f t="shared" si="10"/>
        <v>-9.0334236675704283E-4</v>
      </c>
    </row>
    <row r="50" spans="1:30">
      <c r="A50" t="s">
        <v>913</v>
      </c>
      <c r="B50" t="s">
        <v>914</v>
      </c>
      <c r="C50" s="19">
        <v>639</v>
      </c>
      <c r="E50" t="s">
        <v>914</v>
      </c>
      <c r="F50" s="19">
        <v>550</v>
      </c>
      <c r="G50" t="b">
        <f t="shared" si="6"/>
        <v>1</v>
      </c>
      <c r="J50">
        <f t="shared" si="7"/>
        <v>-89</v>
      </c>
      <c r="K50" s="4">
        <f t="shared" si="8"/>
        <v>-0.13928012519561817</v>
      </c>
      <c r="L50" s="4"/>
      <c r="N50" s="5">
        <v>759.90000000000009</v>
      </c>
      <c r="O50" s="5">
        <v>515.15</v>
      </c>
      <c r="Q50" s="5">
        <v>2529.62</v>
      </c>
      <c r="T50" s="150">
        <f t="shared" si="9"/>
        <v>-244.75000000000011</v>
      </c>
      <c r="U50" s="4">
        <f t="shared" si="11"/>
        <v>-0.32208185287537849</v>
      </c>
      <c r="AB50" s="18">
        <v>14145.62</v>
      </c>
      <c r="AC50" s="18">
        <v>12644.5</v>
      </c>
      <c r="AD50" s="4">
        <f t="shared" si="10"/>
        <v>-0.10611906724484332</v>
      </c>
    </row>
    <row r="51" spans="1:30">
      <c r="A51" t="s">
        <v>915</v>
      </c>
      <c r="B51" t="s">
        <v>916</v>
      </c>
      <c r="C51" s="19">
        <v>812</v>
      </c>
      <c r="E51" t="s">
        <v>916</v>
      </c>
      <c r="F51" s="19">
        <v>925</v>
      </c>
      <c r="G51" t="b">
        <f t="shared" si="6"/>
        <v>1</v>
      </c>
      <c r="J51">
        <f t="shared" si="7"/>
        <v>113</v>
      </c>
      <c r="K51" s="4">
        <f t="shared" si="8"/>
        <v>0.13916256157635476</v>
      </c>
      <c r="L51" s="4"/>
      <c r="N51" s="5">
        <v>1510.38</v>
      </c>
      <c r="O51" s="5">
        <v>1261.25</v>
      </c>
      <c r="Q51" s="5">
        <v>6720.67</v>
      </c>
      <c r="T51" s="150">
        <f t="shared" si="9"/>
        <v>-249.13000000000011</v>
      </c>
      <c r="U51" s="4">
        <f t="shared" si="11"/>
        <v>-0.16494524556734069</v>
      </c>
      <c r="AB51" s="18">
        <v>20196.330000000002</v>
      </c>
      <c r="AC51" s="18">
        <v>23053.03</v>
      </c>
      <c r="AD51" s="4">
        <f t="shared" si="10"/>
        <v>0.14144649052575375</v>
      </c>
    </row>
    <row r="52" spans="1:30">
      <c r="A52" t="s">
        <v>917</v>
      </c>
      <c r="B52" t="s">
        <v>918</v>
      </c>
      <c r="C52" s="19">
        <v>1350</v>
      </c>
      <c r="E52" t="s">
        <v>918</v>
      </c>
      <c r="F52" s="19">
        <v>1375</v>
      </c>
      <c r="G52" t="b">
        <f t="shared" si="6"/>
        <v>1</v>
      </c>
      <c r="J52">
        <f t="shared" si="7"/>
        <v>25</v>
      </c>
      <c r="K52" s="4">
        <f t="shared" si="8"/>
        <v>1.8518518518518601E-2</v>
      </c>
      <c r="L52" s="6"/>
      <c r="N52" s="5">
        <v>2713.03</v>
      </c>
      <c r="O52" s="5">
        <v>2480.4</v>
      </c>
      <c r="Q52" s="5">
        <v>10765.89</v>
      </c>
      <c r="T52" s="150">
        <f t="shared" si="9"/>
        <v>-232.63000000000011</v>
      </c>
      <c r="U52" s="4">
        <f t="shared" si="11"/>
        <v>-8.5745458030320409E-2</v>
      </c>
      <c r="AB52" s="18">
        <v>26912.55</v>
      </c>
      <c r="AC52" s="18">
        <v>27411.3</v>
      </c>
      <c r="AD52" s="4">
        <f t="shared" si="10"/>
        <v>1.8532246108228234E-2</v>
      </c>
    </row>
    <row r="53" spans="1:30">
      <c r="A53" t="s">
        <v>919</v>
      </c>
      <c r="B53" t="s">
        <v>920</v>
      </c>
      <c r="C53" s="19">
        <v>740</v>
      </c>
      <c r="E53" t="s">
        <v>920</v>
      </c>
      <c r="F53" s="19">
        <v>770</v>
      </c>
      <c r="G53" t="b">
        <f t="shared" si="6"/>
        <v>1</v>
      </c>
      <c r="J53">
        <f t="shared" si="7"/>
        <v>30</v>
      </c>
      <c r="K53" s="4">
        <f t="shared" si="8"/>
        <v>4.0540540540540571E-2</v>
      </c>
      <c r="L53" s="4"/>
      <c r="N53" s="5">
        <v>100.91</v>
      </c>
      <c r="O53" s="5">
        <v>85.89</v>
      </c>
      <c r="Q53" s="5">
        <v>189.89</v>
      </c>
      <c r="T53" s="150">
        <f t="shared" si="9"/>
        <v>-15.019999999999996</v>
      </c>
      <c r="U53" s="4">
        <f t="shared" si="11"/>
        <v>-0.14884550589634327</v>
      </c>
      <c r="X53" t="s">
        <v>921</v>
      </c>
      <c r="AB53" s="18">
        <v>14732.63</v>
      </c>
      <c r="AC53" s="18">
        <v>15392.3</v>
      </c>
      <c r="AD53" s="4">
        <f t="shared" si="10"/>
        <v>4.4776119402984982E-2</v>
      </c>
    </row>
    <row r="54" spans="1:30">
      <c r="A54" t="s">
        <v>922</v>
      </c>
      <c r="B54" t="s">
        <v>923</v>
      </c>
      <c r="C54" s="19">
        <v>998</v>
      </c>
      <c r="E54" t="s">
        <v>923</v>
      </c>
      <c r="F54" s="19">
        <v>1104</v>
      </c>
      <c r="G54" t="b">
        <f t="shared" si="6"/>
        <v>1</v>
      </c>
      <c r="J54">
        <f t="shared" si="7"/>
        <v>106</v>
      </c>
      <c r="K54" s="4">
        <f t="shared" si="8"/>
        <v>0.10621242484969939</v>
      </c>
      <c r="L54" s="4"/>
      <c r="N54" s="5">
        <v>2085.38</v>
      </c>
      <c r="O54" s="5">
        <v>2117</v>
      </c>
      <c r="Q54" s="5">
        <v>9126.41</v>
      </c>
      <c r="T54" s="150">
        <f t="shared" si="9"/>
        <v>31.619999999999891</v>
      </c>
      <c r="U54" s="4">
        <f t="shared" si="11"/>
        <v>1.5162704159433771E-2</v>
      </c>
      <c r="X54" s="5"/>
      <c r="Y54" s="5"/>
      <c r="Z54" s="5"/>
      <c r="AA54" s="17"/>
      <c r="AB54" s="18">
        <v>21884.15</v>
      </c>
      <c r="AC54" s="18">
        <v>24232.799999999999</v>
      </c>
      <c r="AD54" s="4">
        <f t="shared" si="10"/>
        <v>0.10732196589769294</v>
      </c>
    </row>
    <row r="55" spans="1:30">
      <c r="A55" t="s">
        <v>924</v>
      </c>
      <c r="B55" t="s">
        <v>925</v>
      </c>
      <c r="C55" s="19">
        <v>1240</v>
      </c>
      <c r="E55" t="s">
        <v>925</v>
      </c>
      <c r="F55" s="19">
        <v>1299</v>
      </c>
      <c r="G55" t="b">
        <f t="shared" si="6"/>
        <v>1</v>
      </c>
      <c r="J55">
        <f t="shared" si="7"/>
        <v>59</v>
      </c>
      <c r="K55" s="4">
        <f t="shared" si="8"/>
        <v>4.7580645161290347E-2</v>
      </c>
      <c r="L55" s="4"/>
      <c r="N55" s="5">
        <v>2118.52</v>
      </c>
      <c r="O55" s="5">
        <v>2181.89</v>
      </c>
      <c r="Q55" s="5">
        <v>10374.09</v>
      </c>
      <c r="T55" s="150">
        <f t="shared" si="9"/>
        <v>63.369999999999891</v>
      </c>
      <c r="U55" s="4">
        <f t="shared" si="11"/>
        <v>2.9912391669656202E-2</v>
      </c>
      <c r="AB55" s="18">
        <v>28458</v>
      </c>
      <c r="AC55" s="18">
        <v>29766.15</v>
      </c>
      <c r="AD55" s="4">
        <f t="shared" si="10"/>
        <v>4.596774193548403E-2</v>
      </c>
    </row>
    <row r="56" spans="1:30">
      <c r="A56" t="s">
        <v>926</v>
      </c>
      <c r="B56" t="s">
        <v>927</v>
      </c>
      <c r="C56" s="19">
        <v>867</v>
      </c>
      <c r="E56" t="s">
        <v>927</v>
      </c>
      <c r="F56" s="19">
        <v>930</v>
      </c>
      <c r="G56" t="b">
        <f t="shared" si="6"/>
        <v>1</v>
      </c>
      <c r="J56">
        <f t="shared" si="7"/>
        <v>63</v>
      </c>
      <c r="K56" s="4">
        <f t="shared" si="8"/>
        <v>7.2664359861591699E-2</v>
      </c>
      <c r="L56" s="4"/>
      <c r="N56" s="5">
        <v>2116.8999999999996</v>
      </c>
      <c r="O56" s="5">
        <v>2178.85</v>
      </c>
      <c r="Q56" s="5">
        <v>13320.05</v>
      </c>
      <c r="T56" s="150">
        <f t="shared" si="9"/>
        <v>61.950000000000273</v>
      </c>
      <c r="U56" s="4">
        <f t="shared" si="11"/>
        <v>2.9264490528603249E-2</v>
      </c>
      <c r="AB56" s="18">
        <v>19043.34</v>
      </c>
      <c r="AC56" s="18">
        <v>20450.7</v>
      </c>
      <c r="AD56" s="4">
        <f t="shared" si="10"/>
        <v>7.390300230946889E-2</v>
      </c>
    </row>
    <row r="57" spans="1:30">
      <c r="A57" t="s">
        <v>928</v>
      </c>
      <c r="B57" t="s">
        <v>929</v>
      </c>
      <c r="C57" s="19">
        <v>538</v>
      </c>
      <c r="E57" t="s">
        <v>929</v>
      </c>
      <c r="F57" s="19">
        <v>531</v>
      </c>
      <c r="G57" t="b">
        <f t="shared" si="6"/>
        <v>1</v>
      </c>
      <c r="J57">
        <f t="shared" si="7"/>
        <v>-7</v>
      </c>
      <c r="K57" s="4">
        <f t="shared" si="8"/>
        <v>-1.3011152416356864E-2</v>
      </c>
      <c r="L57" s="6"/>
      <c r="N57" s="5">
        <v>1114.77</v>
      </c>
      <c r="O57" s="5">
        <v>251.56</v>
      </c>
      <c r="Q57" s="5">
        <v>1130.0999999999999</v>
      </c>
      <c r="T57" s="150">
        <f t="shared" si="9"/>
        <v>-863.21</v>
      </c>
      <c r="U57" s="4">
        <f t="shared" si="11"/>
        <v>-0.77433910133928974</v>
      </c>
      <c r="AB57" s="18">
        <v>12906.62</v>
      </c>
      <c r="AC57" s="18">
        <v>12738.69</v>
      </c>
      <c r="AD57" s="4">
        <f t="shared" si="10"/>
        <v>-1.3011152416356864E-2</v>
      </c>
    </row>
    <row r="58" spans="1:30">
      <c r="A58" s="58" t="s">
        <v>930</v>
      </c>
      <c r="B58" s="39" t="s">
        <v>931</v>
      </c>
      <c r="C58" s="166">
        <v>921</v>
      </c>
      <c r="E58" s="39" t="s">
        <v>931</v>
      </c>
      <c r="F58" s="166">
        <v>1122</v>
      </c>
      <c r="G58" t="b">
        <f t="shared" si="6"/>
        <v>1</v>
      </c>
      <c r="J58">
        <f t="shared" si="7"/>
        <v>201</v>
      </c>
      <c r="K58" s="4">
        <f t="shared" si="8"/>
        <v>0.21824104234527697</v>
      </c>
      <c r="L58" s="4"/>
      <c r="N58" s="5">
        <v>2238.63</v>
      </c>
      <c r="O58" s="5">
        <v>2440.81</v>
      </c>
      <c r="Q58" s="5">
        <v>12302.73</v>
      </c>
      <c r="T58" s="150">
        <f t="shared" si="9"/>
        <v>202.17999999999984</v>
      </c>
      <c r="U58" s="4">
        <f t="shared" si="11"/>
        <v>9.0314165360063869E-2</v>
      </c>
      <c r="AB58" s="18">
        <v>15647.79</v>
      </c>
      <c r="AC58" s="18">
        <v>19728.78</v>
      </c>
      <c r="AD58" s="4">
        <f t="shared" si="10"/>
        <v>0.26080296322995111</v>
      </c>
    </row>
    <row r="59" spans="1:30">
      <c r="A59" s="29" t="s">
        <v>932</v>
      </c>
      <c r="B59" s="29" t="s">
        <v>933</v>
      </c>
      <c r="C59" s="19">
        <v>260</v>
      </c>
      <c r="E59" s="29" t="s">
        <v>933</v>
      </c>
      <c r="F59" s="19">
        <v>325</v>
      </c>
      <c r="G59" t="b">
        <f t="shared" si="6"/>
        <v>1</v>
      </c>
      <c r="J59">
        <f t="shared" si="7"/>
        <v>65</v>
      </c>
      <c r="K59" s="4">
        <f t="shared" si="8"/>
        <v>0.25</v>
      </c>
      <c r="L59" s="4"/>
      <c r="N59" s="5">
        <v>1003.23</v>
      </c>
      <c r="O59" s="5">
        <v>978.93</v>
      </c>
      <c r="Q59" s="5">
        <v>3572.66</v>
      </c>
      <c r="T59" s="150">
        <f t="shared" si="9"/>
        <v>-24.300000000000068</v>
      </c>
      <c r="U59" s="4">
        <f t="shared" si="11"/>
        <v>-2.4221763703238586E-2</v>
      </c>
      <c r="AB59" s="18">
        <v>5197.3999999999996</v>
      </c>
      <c r="AC59" s="18">
        <v>6496.75</v>
      </c>
      <c r="AD59" s="4">
        <f t="shared" si="10"/>
        <v>0.25</v>
      </c>
    </row>
    <row r="60" spans="1:30">
      <c r="A60" s="29" t="s">
        <v>934</v>
      </c>
      <c r="B60" s="29" t="s">
        <v>935</v>
      </c>
      <c r="C60" s="19">
        <v>1036</v>
      </c>
      <c r="E60" s="29" t="s">
        <v>935</v>
      </c>
      <c r="F60" s="19">
        <v>1173</v>
      </c>
      <c r="G60" t="b">
        <f t="shared" si="6"/>
        <v>1</v>
      </c>
      <c r="J60">
        <f t="shared" si="7"/>
        <v>137</v>
      </c>
      <c r="K60" s="4">
        <f t="shared" si="8"/>
        <v>0.13223938223938214</v>
      </c>
      <c r="L60" s="4"/>
      <c r="N60" s="5">
        <v>1361.3600000000001</v>
      </c>
      <c r="O60" s="5">
        <v>2045.63</v>
      </c>
      <c r="Q60" s="5">
        <v>8538.01</v>
      </c>
      <c r="T60" s="150">
        <f t="shared" si="9"/>
        <v>684.27</v>
      </c>
      <c r="U60" s="4">
        <f t="shared" si="11"/>
        <v>0.50263706881353931</v>
      </c>
      <c r="AB60" s="18">
        <v>23020.74</v>
      </c>
      <c r="AC60" s="18">
        <v>25980.959999999999</v>
      </c>
      <c r="AD60" s="4">
        <f t="shared" si="10"/>
        <v>0.12858926342072396</v>
      </c>
    </row>
    <row r="61" spans="1:30">
      <c r="A61" t="s">
        <v>936</v>
      </c>
      <c r="B61" t="s">
        <v>937</v>
      </c>
      <c r="C61" s="19">
        <v>0</v>
      </c>
      <c r="E61" t="s">
        <v>937</v>
      </c>
      <c r="F61" s="19">
        <v>0</v>
      </c>
      <c r="G61" t="b">
        <f t="shared" si="6"/>
        <v>1</v>
      </c>
      <c r="J61">
        <f t="shared" si="7"/>
        <v>0</v>
      </c>
      <c r="K61" s="4" t="e">
        <f t="shared" si="8"/>
        <v>#DIV/0!</v>
      </c>
      <c r="L61" s="4"/>
      <c r="N61" s="5">
        <v>0</v>
      </c>
      <c r="O61" s="5">
        <v>0</v>
      </c>
      <c r="Q61" s="5">
        <v>0</v>
      </c>
      <c r="T61" s="150">
        <f t="shared" si="9"/>
        <v>0</v>
      </c>
      <c r="U61" s="4">
        <f t="shared" si="11"/>
        <v>0</v>
      </c>
      <c r="AB61" s="18">
        <v>0</v>
      </c>
      <c r="AC61" s="18">
        <v>0</v>
      </c>
      <c r="AD61" s="4" t="e">
        <f t="shared" si="10"/>
        <v>#DIV/0!</v>
      </c>
    </row>
    <row r="62" spans="1:30" hidden="1">
      <c r="A62" t="s">
        <v>938</v>
      </c>
      <c r="B62" t="s">
        <v>939</v>
      </c>
      <c r="C62" s="19">
        <v>0</v>
      </c>
      <c r="F62" s="19">
        <v>0</v>
      </c>
      <c r="G62" t="b">
        <f t="shared" si="6"/>
        <v>0</v>
      </c>
      <c r="J62">
        <f t="shared" si="7"/>
        <v>0</v>
      </c>
      <c r="K62" s="4" t="e">
        <f t="shared" si="8"/>
        <v>#DIV/0!</v>
      </c>
      <c r="L62" s="4"/>
      <c r="N62" s="5">
        <v>0</v>
      </c>
      <c r="O62" s="5">
        <v>0</v>
      </c>
      <c r="Q62" s="5">
        <v>0</v>
      </c>
      <c r="T62" s="150">
        <f t="shared" si="9"/>
        <v>0</v>
      </c>
      <c r="U62" s="4">
        <f t="shared" si="11"/>
        <v>0</v>
      </c>
      <c r="X62" t="s">
        <v>940</v>
      </c>
      <c r="AB62" s="18">
        <v>0</v>
      </c>
      <c r="AC62" s="18">
        <v>0</v>
      </c>
      <c r="AD62" s="4" t="e">
        <f t="shared" si="10"/>
        <v>#DIV/0!</v>
      </c>
    </row>
    <row r="63" spans="1:30" hidden="1">
      <c r="A63" t="s">
        <v>941</v>
      </c>
      <c r="B63" t="s">
        <v>942</v>
      </c>
      <c r="C63" s="19">
        <v>0</v>
      </c>
      <c r="F63" s="19">
        <v>0</v>
      </c>
      <c r="G63" t="b">
        <f t="shared" si="6"/>
        <v>0</v>
      </c>
      <c r="J63">
        <f t="shared" si="7"/>
        <v>0</v>
      </c>
      <c r="K63" s="4" t="e">
        <f t="shared" si="8"/>
        <v>#DIV/0!</v>
      </c>
      <c r="L63" s="4"/>
      <c r="N63" s="5">
        <v>0</v>
      </c>
      <c r="O63" s="5">
        <v>0</v>
      </c>
      <c r="Q63" s="5">
        <v>0</v>
      </c>
      <c r="T63" s="150">
        <f t="shared" si="9"/>
        <v>0</v>
      </c>
      <c r="U63" s="4">
        <f t="shared" si="11"/>
        <v>0</v>
      </c>
      <c r="AB63" s="18">
        <v>0</v>
      </c>
      <c r="AC63" s="18">
        <v>0</v>
      </c>
      <c r="AD63" s="4" t="e">
        <f t="shared" si="10"/>
        <v>#DIV/0!</v>
      </c>
    </row>
    <row r="64" spans="1:30">
      <c r="A64" t="s">
        <v>943</v>
      </c>
      <c r="B64" t="s">
        <v>944</v>
      </c>
      <c r="C64" s="19">
        <v>1110</v>
      </c>
      <c r="E64" t="s">
        <v>944</v>
      </c>
      <c r="F64" s="19">
        <v>1253</v>
      </c>
      <c r="G64" t="b">
        <f t="shared" si="6"/>
        <v>1</v>
      </c>
      <c r="J64">
        <f t="shared" si="7"/>
        <v>143</v>
      </c>
      <c r="K64" s="4">
        <f t="shared" si="8"/>
        <v>0.12882882882882885</v>
      </c>
      <c r="L64" s="4"/>
      <c r="N64" s="5">
        <v>1471.2399999999998</v>
      </c>
      <c r="O64" s="5">
        <v>1938.81</v>
      </c>
      <c r="Q64" s="5">
        <v>7324.17</v>
      </c>
      <c r="T64" s="150">
        <f t="shared" si="9"/>
        <v>467.57000000000016</v>
      </c>
      <c r="U64" s="4">
        <f t="shared" si="11"/>
        <v>0.31780674804926479</v>
      </c>
      <c r="AB64" s="18">
        <v>22144.5</v>
      </c>
      <c r="AC64" s="18">
        <v>24917.55</v>
      </c>
      <c r="AD64" s="4">
        <f t="shared" si="10"/>
        <v>0.12522522522522528</v>
      </c>
    </row>
    <row r="65" spans="1:30" ht="13.9" hidden="1" customHeight="1">
      <c r="A65" t="s">
        <v>945</v>
      </c>
      <c r="B65" t="s">
        <v>946</v>
      </c>
      <c r="C65" s="19">
        <v>1</v>
      </c>
      <c r="F65" s="19">
        <v>0</v>
      </c>
      <c r="G65" t="b">
        <f t="shared" si="6"/>
        <v>0</v>
      </c>
      <c r="J65">
        <f t="shared" si="7"/>
        <v>-1</v>
      </c>
      <c r="K65" s="4">
        <f t="shared" si="8"/>
        <v>-1</v>
      </c>
      <c r="L65" s="4"/>
      <c r="N65" s="5">
        <v>0</v>
      </c>
      <c r="O65" s="5">
        <v>0</v>
      </c>
      <c r="Q65" s="5">
        <v>0</v>
      </c>
      <c r="T65" s="150">
        <f t="shared" si="9"/>
        <v>0</v>
      </c>
      <c r="U65" s="4">
        <f t="shared" si="11"/>
        <v>0</v>
      </c>
      <c r="X65" t="s">
        <v>947</v>
      </c>
      <c r="AB65" s="18">
        <v>23.95</v>
      </c>
      <c r="AC65" s="18">
        <v>0</v>
      </c>
      <c r="AD65" s="4">
        <f t="shared" si="10"/>
        <v>-1</v>
      </c>
    </row>
    <row r="66" spans="1:30" ht="13.9" customHeight="1">
      <c r="A66" t="s">
        <v>948</v>
      </c>
      <c r="B66" t="s">
        <v>949</v>
      </c>
      <c r="C66" s="19">
        <v>512</v>
      </c>
      <c r="E66" t="s">
        <v>949</v>
      </c>
      <c r="F66" s="19">
        <v>566</v>
      </c>
      <c r="G66" t="b">
        <f t="shared" si="6"/>
        <v>1</v>
      </c>
      <c r="J66">
        <f t="shared" si="7"/>
        <v>54</v>
      </c>
      <c r="K66" s="4">
        <f t="shared" si="8"/>
        <v>0.10546875</v>
      </c>
      <c r="L66" s="4"/>
      <c r="N66" s="5">
        <v>1460.4899999999998</v>
      </c>
      <c r="O66" s="5">
        <v>1224.96</v>
      </c>
      <c r="Q66" s="5">
        <v>7655.62</v>
      </c>
      <c r="T66" s="150">
        <f t="shared" si="9"/>
        <v>-235.52999999999975</v>
      </c>
      <c r="U66" s="4">
        <f t="shared" si="11"/>
        <v>-0.16126779368568067</v>
      </c>
      <c r="AB66" s="18">
        <v>15244.55</v>
      </c>
      <c r="AC66" s="18">
        <v>16861.849999999999</v>
      </c>
      <c r="AD66" s="4">
        <f t="shared" si="10"/>
        <v>0.10609037328094306</v>
      </c>
    </row>
    <row r="67" spans="1:30" ht="13.9" customHeight="1">
      <c r="A67" s="29" t="s">
        <v>950</v>
      </c>
      <c r="B67" t="s">
        <v>951</v>
      </c>
      <c r="C67" s="19">
        <v>1003</v>
      </c>
      <c r="E67" t="s">
        <v>951</v>
      </c>
      <c r="F67" s="19">
        <v>601</v>
      </c>
      <c r="G67" t="b">
        <f t="shared" ref="G67:G98" si="12">IF(B67=E67,TRUE,FALSE)</f>
        <v>1</v>
      </c>
      <c r="J67">
        <f t="shared" ref="J67:J98" si="13">F67-C67</f>
        <v>-402</v>
      </c>
      <c r="K67" s="4">
        <f t="shared" ref="K67:K98" si="14">F67/C67-1</f>
        <v>-0.40079760717846458</v>
      </c>
      <c r="L67" s="4"/>
      <c r="N67" s="5">
        <v>2335.27</v>
      </c>
      <c r="O67" s="5">
        <v>1605.96</v>
      </c>
      <c r="Q67" s="5">
        <v>9667.6</v>
      </c>
      <c r="T67" s="150">
        <f t="shared" ref="T67:T98" si="15">O67-N67</f>
        <v>-729.31</v>
      </c>
      <c r="U67" s="4">
        <f t="shared" si="11"/>
        <v>-0.3123022177307121</v>
      </c>
      <c r="AB67" s="18">
        <v>20044.02</v>
      </c>
      <c r="AC67" s="18">
        <v>14104.04</v>
      </c>
      <c r="AD67" s="4">
        <f t="shared" ref="AD67:AD98" si="16">AC67/AB67-1</f>
        <v>-0.29634674082344759</v>
      </c>
    </row>
    <row r="68" spans="1:30" ht="13.9" customHeight="1">
      <c r="A68" t="s">
        <v>952</v>
      </c>
      <c r="B68" t="s">
        <v>953</v>
      </c>
      <c r="C68" s="19">
        <v>397</v>
      </c>
      <c r="E68" t="s">
        <v>953</v>
      </c>
      <c r="F68" s="19">
        <v>375</v>
      </c>
      <c r="G68" t="b">
        <f t="shared" si="12"/>
        <v>1</v>
      </c>
      <c r="J68">
        <f t="shared" si="13"/>
        <v>-22</v>
      </c>
      <c r="K68" s="4">
        <f t="shared" si="14"/>
        <v>-5.5415617128463435E-2</v>
      </c>
      <c r="L68" s="4"/>
      <c r="N68" s="5">
        <v>878.44</v>
      </c>
      <c r="O68" s="5">
        <v>652.58000000000004</v>
      </c>
      <c r="Q68" s="5">
        <v>1836.94</v>
      </c>
      <c r="T68" s="150">
        <f t="shared" si="15"/>
        <v>-225.86</v>
      </c>
      <c r="U68" s="4">
        <f t="shared" ref="U68:U99" si="17">IF(N68=0,0,O68/N68-1)</f>
        <v>-0.25711488547880335</v>
      </c>
      <c r="AB68" s="18">
        <v>6165.46</v>
      </c>
      <c r="AC68" s="18">
        <v>5871.27</v>
      </c>
      <c r="AD68" s="4">
        <f t="shared" si="16"/>
        <v>-4.7715823312453498E-2</v>
      </c>
    </row>
    <row r="69" spans="1:30" ht="13.9" customHeight="1">
      <c r="A69" t="s">
        <v>954</v>
      </c>
      <c r="B69" t="s">
        <v>955</v>
      </c>
      <c r="C69" s="19">
        <v>17</v>
      </c>
      <c r="E69" t="s">
        <v>955</v>
      </c>
      <c r="F69" s="19">
        <v>17</v>
      </c>
      <c r="G69" t="b">
        <f t="shared" si="12"/>
        <v>1</v>
      </c>
      <c r="J69">
        <f t="shared" si="13"/>
        <v>0</v>
      </c>
      <c r="K69" s="4">
        <f t="shared" si="14"/>
        <v>0</v>
      </c>
      <c r="L69" s="4"/>
      <c r="N69" s="5">
        <v>0</v>
      </c>
      <c r="O69" s="5">
        <v>31</v>
      </c>
      <c r="Q69" s="5">
        <v>58.94</v>
      </c>
      <c r="T69" s="150">
        <f t="shared" si="15"/>
        <v>31</v>
      </c>
      <c r="U69" s="4">
        <f t="shared" si="17"/>
        <v>0</v>
      </c>
      <c r="AB69" s="18">
        <v>662.15</v>
      </c>
      <c r="AC69" s="18">
        <v>662.15</v>
      </c>
      <c r="AD69" s="4">
        <f t="shared" si="16"/>
        <v>0</v>
      </c>
    </row>
    <row r="70" spans="1:30" ht="13.9" customHeight="1">
      <c r="A70" t="s">
        <v>956</v>
      </c>
      <c r="B70" t="s">
        <v>957</v>
      </c>
      <c r="C70" s="19">
        <v>247</v>
      </c>
      <c r="E70" t="s">
        <v>957</v>
      </c>
      <c r="F70" s="19">
        <v>0</v>
      </c>
      <c r="G70" t="b">
        <f t="shared" si="12"/>
        <v>1</v>
      </c>
      <c r="J70">
        <f t="shared" si="13"/>
        <v>-247</v>
      </c>
      <c r="K70" s="4">
        <f t="shared" si="14"/>
        <v>-1</v>
      </c>
      <c r="L70" s="4"/>
      <c r="N70" s="5">
        <v>0</v>
      </c>
      <c r="O70" s="5">
        <v>0</v>
      </c>
      <c r="Q70" s="5">
        <v>0</v>
      </c>
      <c r="T70" s="150">
        <f t="shared" si="15"/>
        <v>0</v>
      </c>
      <c r="U70" s="4">
        <f t="shared" si="17"/>
        <v>0</v>
      </c>
      <c r="AB70" s="18">
        <v>4937.53</v>
      </c>
      <c r="AC70" s="18">
        <v>0</v>
      </c>
      <c r="AD70" s="4">
        <f t="shared" si="16"/>
        <v>-1</v>
      </c>
    </row>
    <row r="71" spans="1:30" ht="13.9" customHeight="1">
      <c r="A71" t="s">
        <v>958</v>
      </c>
      <c r="B71" t="s">
        <v>959</v>
      </c>
      <c r="C71" s="19">
        <v>1010</v>
      </c>
      <c r="E71" t="s">
        <v>959</v>
      </c>
      <c r="F71" s="19">
        <v>966</v>
      </c>
      <c r="G71" t="b">
        <f t="shared" si="12"/>
        <v>1</v>
      </c>
      <c r="J71">
        <f t="shared" si="13"/>
        <v>-44</v>
      </c>
      <c r="K71" s="4">
        <f t="shared" si="14"/>
        <v>-4.3564356435643603E-2</v>
      </c>
      <c r="L71" s="4"/>
      <c r="N71" s="5">
        <v>463.54</v>
      </c>
      <c r="O71" s="5">
        <v>591.04999999999995</v>
      </c>
      <c r="Q71" s="5">
        <v>4592.97</v>
      </c>
      <c r="T71" s="150">
        <f t="shared" si="15"/>
        <v>127.50999999999993</v>
      </c>
      <c r="U71" s="4">
        <f t="shared" si="17"/>
        <v>0.27507874185615044</v>
      </c>
      <c r="AB71" s="18">
        <v>24229.9</v>
      </c>
      <c r="AC71" s="18">
        <v>23174.34</v>
      </c>
      <c r="AD71" s="4">
        <f t="shared" si="16"/>
        <v>-4.3564356435643603E-2</v>
      </c>
    </row>
    <row r="72" spans="1:30" ht="13.9" customHeight="1">
      <c r="A72" t="s">
        <v>960</v>
      </c>
      <c r="B72" t="s">
        <v>961</v>
      </c>
      <c r="C72" s="19">
        <v>19</v>
      </c>
      <c r="E72" t="s">
        <v>961</v>
      </c>
      <c r="F72" s="19">
        <v>22</v>
      </c>
      <c r="G72" t="b">
        <f t="shared" si="12"/>
        <v>1</v>
      </c>
      <c r="J72">
        <f t="shared" si="13"/>
        <v>3</v>
      </c>
      <c r="K72" s="4">
        <f t="shared" si="14"/>
        <v>0.15789473684210531</v>
      </c>
      <c r="L72" s="4"/>
      <c r="N72" s="5">
        <v>0</v>
      </c>
      <c r="O72" s="5">
        <v>26.05</v>
      </c>
      <c r="Q72" s="5">
        <v>262.72000000000003</v>
      </c>
      <c r="T72" s="150">
        <f t="shared" si="15"/>
        <v>26.05</v>
      </c>
      <c r="U72" s="4">
        <f t="shared" si="17"/>
        <v>0</v>
      </c>
      <c r="AB72" s="18">
        <v>740.05</v>
      </c>
      <c r="AC72" s="18">
        <v>856.9</v>
      </c>
      <c r="AD72" s="4">
        <f t="shared" si="16"/>
        <v>0.15789473684210531</v>
      </c>
    </row>
    <row r="73" spans="1:30" ht="13.9" customHeight="1">
      <c r="A73" t="s">
        <v>962</v>
      </c>
      <c r="B73" t="s">
        <v>963</v>
      </c>
      <c r="C73" s="19">
        <v>1007</v>
      </c>
      <c r="E73" t="s">
        <v>963</v>
      </c>
      <c r="F73" s="19">
        <v>1292</v>
      </c>
      <c r="G73" t="b">
        <f t="shared" si="12"/>
        <v>1</v>
      </c>
      <c r="J73">
        <f t="shared" si="13"/>
        <v>285</v>
      </c>
      <c r="K73" s="4">
        <f t="shared" si="14"/>
        <v>0.28301886792452824</v>
      </c>
      <c r="L73" s="4"/>
      <c r="N73" s="5">
        <v>1021.48</v>
      </c>
      <c r="O73" s="5">
        <v>1954.98</v>
      </c>
      <c r="Q73" s="5">
        <v>10016.200000000001</v>
      </c>
      <c r="T73" s="150">
        <f t="shared" si="15"/>
        <v>933.5</v>
      </c>
      <c r="U73" s="4">
        <f t="shared" si="17"/>
        <v>0.91387007087755023</v>
      </c>
      <c r="AB73" s="18">
        <v>22103.65</v>
      </c>
      <c r="AC73" s="18">
        <v>28359.4</v>
      </c>
      <c r="AD73" s="4">
        <f t="shared" si="16"/>
        <v>0.28301886792452824</v>
      </c>
    </row>
    <row r="74" spans="1:30" ht="13.9" customHeight="1">
      <c r="A74" t="s">
        <v>964</v>
      </c>
      <c r="B74" t="s">
        <v>965</v>
      </c>
      <c r="C74" s="19">
        <v>778</v>
      </c>
      <c r="E74" t="s">
        <v>965</v>
      </c>
      <c r="F74" s="19">
        <v>840</v>
      </c>
      <c r="G74" t="b">
        <f t="shared" si="12"/>
        <v>1</v>
      </c>
      <c r="J74">
        <f t="shared" si="13"/>
        <v>62</v>
      </c>
      <c r="K74" s="4">
        <f t="shared" si="14"/>
        <v>7.9691516709511578E-2</v>
      </c>
      <c r="L74" s="4"/>
      <c r="N74" s="5">
        <v>624.26</v>
      </c>
      <c r="O74" s="5">
        <v>462.91</v>
      </c>
      <c r="Q74" s="5">
        <v>2668.91</v>
      </c>
      <c r="T74" s="150">
        <f t="shared" si="15"/>
        <v>-161.34999999999997</v>
      </c>
      <c r="U74" s="4">
        <f t="shared" si="17"/>
        <v>-0.25846602377214623</v>
      </c>
      <c r="AB74" s="18">
        <v>25927.11</v>
      </c>
      <c r="AC74" s="18">
        <v>27904.39</v>
      </c>
      <c r="AD74" s="4">
        <f t="shared" si="16"/>
        <v>7.6263031244130142E-2</v>
      </c>
    </row>
    <row r="75" spans="1:30" ht="13.9" customHeight="1">
      <c r="A75" t="s">
        <v>966</v>
      </c>
      <c r="B75" t="s">
        <v>967</v>
      </c>
      <c r="C75" s="19">
        <v>168</v>
      </c>
      <c r="E75" t="s">
        <v>967</v>
      </c>
      <c r="F75" s="19">
        <v>142</v>
      </c>
      <c r="G75" t="b">
        <f t="shared" si="12"/>
        <v>1</v>
      </c>
      <c r="J75">
        <f t="shared" si="13"/>
        <v>-26</v>
      </c>
      <c r="K75" s="4">
        <f t="shared" si="14"/>
        <v>-0.15476190476190477</v>
      </c>
      <c r="L75" s="4"/>
      <c r="N75" s="5">
        <v>0</v>
      </c>
      <c r="O75" s="5">
        <v>0</v>
      </c>
      <c r="Q75" s="5">
        <v>0</v>
      </c>
      <c r="T75" s="150">
        <f t="shared" si="15"/>
        <v>0</v>
      </c>
      <c r="U75" s="4">
        <f t="shared" si="17"/>
        <v>0</v>
      </c>
      <c r="AB75" s="18">
        <v>4191.6000000000004</v>
      </c>
      <c r="AC75" s="18">
        <v>3542.9</v>
      </c>
      <c r="AD75" s="4">
        <f t="shared" si="16"/>
        <v>-0.15476190476190477</v>
      </c>
    </row>
    <row r="76" spans="1:30" ht="14.25" customHeight="1">
      <c r="A76" s="58" t="s">
        <v>968</v>
      </c>
      <c r="B76" s="39" t="s">
        <v>969</v>
      </c>
      <c r="C76" s="166">
        <v>172</v>
      </c>
      <c r="E76" s="39" t="s">
        <v>969</v>
      </c>
      <c r="F76" s="166">
        <v>131</v>
      </c>
      <c r="G76" t="b">
        <f t="shared" si="12"/>
        <v>1</v>
      </c>
      <c r="J76">
        <f t="shared" si="13"/>
        <v>-41</v>
      </c>
      <c r="K76" s="4">
        <f t="shared" si="14"/>
        <v>-0.23837209302325579</v>
      </c>
      <c r="L76" s="4"/>
      <c r="N76" s="5">
        <v>871.81000000000006</v>
      </c>
      <c r="O76" s="5">
        <v>513.11</v>
      </c>
      <c r="Q76" s="5">
        <v>1873.55</v>
      </c>
      <c r="T76" s="150">
        <f t="shared" si="15"/>
        <v>-358.70000000000005</v>
      </c>
      <c r="U76" s="4">
        <f t="shared" si="17"/>
        <v>-0.41144286025624854</v>
      </c>
      <c r="AB76" s="18">
        <v>4642.28</v>
      </c>
      <c r="AC76" s="18">
        <v>3535.69</v>
      </c>
      <c r="AD76" s="4">
        <f t="shared" si="16"/>
        <v>-0.23837209302325579</v>
      </c>
    </row>
    <row r="77" spans="1:30" ht="13.9" customHeight="1">
      <c r="A77" t="s">
        <v>970</v>
      </c>
      <c r="B77" t="s">
        <v>971</v>
      </c>
      <c r="C77" s="19">
        <v>472</v>
      </c>
      <c r="E77" t="s">
        <v>971</v>
      </c>
      <c r="F77" s="19">
        <v>0</v>
      </c>
      <c r="G77" t="b">
        <f t="shared" si="12"/>
        <v>1</v>
      </c>
      <c r="J77">
        <f t="shared" si="13"/>
        <v>-472</v>
      </c>
      <c r="K77" s="4">
        <f t="shared" si="14"/>
        <v>-1</v>
      </c>
      <c r="L77" s="4"/>
      <c r="N77" s="5">
        <v>0</v>
      </c>
      <c r="O77" s="5">
        <v>0</v>
      </c>
      <c r="Q77" s="5">
        <v>0</v>
      </c>
      <c r="T77" s="150">
        <f t="shared" si="15"/>
        <v>0</v>
      </c>
      <c r="U77" s="4">
        <f t="shared" si="17"/>
        <v>0</v>
      </c>
      <c r="AB77" s="18">
        <v>10357.290000000001</v>
      </c>
      <c r="AC77" s="18">
        <v>0</v>
      </c>
      <c r="AD77" s="4">
        <f t="shared" si="16"/>
        <v>-1</v>
      </c>
    </row>
    <row r="78" spans="1:30" ht="13.9" customHeight="1">
      <c r="A78" t="s">
        <v>972</v>
      </c>
      <c r="B78" t="s">
        <v>973</v>
      </c>
      <c r="C78" s="19">
        <v>699</v>
      </c>
      <c r="E78" t="s">
        <v>973</v>
      </c>
      <c r="F78" s="19">
        <v>683</v>
      </c>
      <c r="G78" t="b">
        <f t="shared" si="12"/>
        <v>1</v>
      </c>
      <c r="J78">
        <f t="shared" si="13"/>
        <v>-16</v>
      </c>
      <c r="K78" s="4">
        <f t="shared" si="14"/>
        <v>-2.2889842632331958E-2</v>
      </c>
      <c r="L78" s="4"/>
      <c r="N78" s="5">
        <v>606.70000000000005</v>
      </c>
      <c r="O78" s="5">
        <v>642.48</v>
      </c>
      <c r="Q78" s="5">
        <v>5254.15</v>
      </c>
      <c r="T78" s="150">
        <f t="shared" si="15"/>
        <v>35.779999999999973</v>
      </c>
      <c r="U78" s="4">
        <f t="shared" si="17"/>
        <v>5.8974781605406257E-2</v>
      </c>
      <c r="AB78" s="18">
        <v>11848.05</v>
      </c>
      <c r="AC78" s="18">
        <v>11576.85</v>
      </c>
      <c r="AD78" s="4">
        <f t="shared" si="16"/>
        <v>-2.2889842632331847E-2</v>
      </c>
    </row>
    <row r="79" spans="1:30">
      <c r="A79" t="s">
        <v>974</v>
      </c>
      <c r="B79" t="s">
        <v>975</v>
      </c>
      <c r="C79" s="19">
        <v>275</v>
      </c>
      <c r="E79" t="s">
        <v>975</v>
      </c>
      <c r="F79" s="19">
        <v>276</v>
      </c>
      <c r="G79" t="b">
        <f t="shared" si="12"/>
        <v>1</v>
      </c>
      <c r="J79">
        <f t="shared" si="13"/>
        <v>1</v>
      </c>
      <c r="K79" s="4">
        <f t="shared" si="14"/>
        <v>3.6363636363636598E-3</v>
      </c>
      <c r="L79" s="4"/>
      <c r="N79" s="5">
        <v>0</v>
      </c>
      <c r="O79" s="5">
        <v>0</v>
      </c>
      <c r="Q79" s="5">
        <v>0</v>
      </c>
      <c r="T79" s="150">
        <f t="shared" si="15"/>
        <v>0</v>
      </c>
      <c r="U79" s="4">
        <f t="shared" si="17"/>
        <v>0</v>
      </c>
      <c r="AB79" s="18">
        <v>2747.25</v>
      </c>
      <c r="AC79" s="18">
        <v>2747.25</v>
      </c>
      <c r="AD79" s="4">
        <f t="shared" si="16"/>
        <v>0</v>
      </c>
    </row>
    <row r="80" spans="1:30">
      <c r="A80" t="s">
        <v>976</v>
      </c>
      <c r="B80" t="s">
        <v>977</v>
      </c>
      <c r="C80" s="19">
        <v>235</v>
      </c>
      <c r="E80" t="s">
        <v>977</v>
      </c>
      <c r="F80" s="19">
        <v>295</v>
      </c>
      <c r="G80" t="b">
        <f t="shared" si="12"/>
        <v>1</v>
      </c>
      <c r="J80">
        <f t="shared" si="13"/>
        <v>60</v>
      </c>
      <c r="K80" s="4">
        <f t="shared" si="14"/>
        <v>0.25531914893617014</v>
      </c>
      <c r="N80" s="5">
        <v>0.78</v>
      </c>
      <c r="O80" s="5">
        <v>114.7</v>
      </c>
      <c r="Q80" s="5">
        <v>907.44</v>
      </c>
      <c r="T80" s="150">
        <f t="shared" si="15"/>
        <v>113.92</v>
      </c>
      <c r="U80" s="4">
        <f t="shared" si="17"/>
        <v>146.05128205128204</v>
      </c>
      <c r="AB80" s="18">
        <v>4693.8500000000004</v>
      </c>
      <c r="AC80" s="18">
        <v>5874.9</v>
      </c>
      <c r="AD80" s="4">
        <f t="shared" si="16"/>
        <v>0.25161647687932054</v>
      </c>
    </row>
    <row r="81" spans="1:30">
      <c r="A81" t="s">
        <v>978</v>
      </c>
      <c r="B81" t="s">
        <v>979</v>
      </c>
      <c r="C81" s="19">
        <v>298</v>
      </c>
      <c r="E81" t="s">
        <v>979</v>
      </c>
      <c r="F81" s="19">
        <v>279</v>
      </c>
      <c r="G81" t="b">
        <f t="shared" si="12"/>
        <v>1</v>
      </c>
      <c r="J81">
        <f t="shared" si="13"/>
        <v>-19</v>
      </c>
      <c r="K81" s="4">
        <f t="shared" si="14"/>
        <v>-6.375838926174493E-2</v>
      </c>
      <c r="L81" s="4"/>
      <c r="N81" s="5">
        <v>0</v>
      </c>
      <c r="O81" s="5">
        <v>0</v>
      </c>
      <c r="Q81" s="5">
        <v>0</v>
      </c>
      <c r="T81" s="150">
        <f t="shared" si="15"/>
        <v>0</v>
      </c>
      <c r="U81" s="4">
        <f t="shared" si="17"/>
        <v>0</v>
      </c>
      <c r="AB81" s="18">
        <v>4446.09</v>
      </c>
      <c r="AC81" s="18">
        <v>4176.63</v>
      </c>
      <c r="AD81" s="4">
        <f t="shared" si="16"/>
        <v>-6.0606060606060663E-2</v>
      </c>
    </row>
    <row r="82" spans="1:30">
      <c r="A82" t="s">
        <v>980</v>
      </c>
      <c r="B82" t="s">
        <v>981</v>
      </c>
      <c r="C82" s="19">
        <v>2424</v>
      </c>
      <c r="E82" t="s">
        <v>981</v>
      </c>
      <c r="F82" s="19">
        <v>1946</v>
      </c>
      <c r="G82" t="b">
        <f t="shared" si="12"/>
        <v>1</v>
      </c>
      <c r="J82">
        <f t="shared" si="13"/>
        <v>-478</v>
      </c>
      <c r="K82" s="4">
        <f t="shared" si="14"/>
        <v>-0.19719471947194722</v>
      </c>
      <c r="L82" s="6"/>
      <c r="N82" s="5">
        <v>4622.55</v>
      </c>
      <c r="O82" s="5">
        <v>2591</v>
      </c>
      <c r="Q82" s="5">
        <v>13698.15</v>
      </c>
      <c r="T82" s="150">
        <f t="shared" si="15"/>
        <v>-2031.5500000000002</v>
      </c>
      <c r="U82" s="4">
        <f t="shared" si="17"/>
        <v>-0.43948686331137576</v>
      </c>
      <c r="AB82" s="18">
        <v>48389.7</v>
      </c>
      <c r="AC82" s="18">
        <v>42310.54</v>
      </c>
      <c r="AD82" s="4">
        <f t="shared" si="16"/>
        <v>-0.12562921448159414</v>
      </c>
    </row>
    <row r="83" spans="1:30">
      <c r="A83" t="s">
        <v>982</v>
      </c>
      <c r="B83" t="s">
        <v>983</v>
      </c>
      <c r="C83" s="19">
        <v>1318</v>
      </c>
      <c r="E83" t="s">
        <v>983</v>
      </c>
      <c r="F83" s="19">
        <v>1462</v>
      </c>
      <c r="G83" t="b">
        <f t="shared" si="12"/>
        <v>1</v>
      </c>
      <c r="J83">
        <f t="shared" si="13"/>
        <v>144</v>
      </c>
      <c r="K83" s="4">
        <f t="shared" si="14"/>
        <v>0.10925644916540223</v>
      </c>
      <c r="N83" s="5">
        <v>1783.5100000000002</v>
      </c>
      <c r="O83" s="5">
        <v>2207.94</v>
      </c>
      <c r="Q83" s="5">
        <v>10568.7</v>
      </c>
      <c r="T83" s="150">
        <f t="shared" si="15"/>
        <v>424.42999999999984</v>
      </c>
      <c r="U83" s="4">
        <f t="shared" si="17"/>
        <v>0.23797455579166904</v>
      </c>
      <c r="X83" s="5"/>
      <c r="Y83" s="5"/>
      <c r="Z83" s="5"/>
      <c r="AA83" s="17"/>
      <c r="AB83" s="18">
        <v>21022.1</v>
      </c>
      <c r="AC83" s="18">
        <v>24664.66</v>
      </c>
      <c r="AD83" s="4">
        <f t="shared" si="16"/>
        <v>0.17327288900728299</v>
      </c>
    </row>
    <row r="84" spans="1:30">
      <c r="A84" t="s">
        <v>984</v>
      </c>
      <c r="B84" t="s">
        <v>985</v>
      </c>
      <c r="C84" s="19">
        <v>1756</v>
      </c>
      <c r="E84" t="s">
        <v>985</v>
      </c>
      <c r="F84" s="19">
        <v>2083</v>
      </c>
      <c r="G84" t="b">
        <f t="shared" si="12"/>
        <v>1</v>
      </c>
      <c r="J84">
        <f t="shared" si="13"/>
        <v>327</v>
      </c>
      <c r="K84" s="4">
        <f t="shared" si="14"/>
        <v>0.18621867881548981</v>
      </c>
      <c r="L84" s="4"/>
      <c r="N84" s="5">
        <v>2253.41</v>
      </c>
      <c r="O84" s="5">
        <v>2456.46</v>
      </c>
      <c r="Q84" s="5">
        <v>10967.68</v>
      </c>
      <c r="T84" s="150">
        <f t="shared" si="15"/>
        <v>203.05000000000018</v>
      </c>
      <c r="U84" s="4">
        <f t="shared" si="17"/>
        <v>9.0107880944879204E-2</v>
      </c>
      <c r="AB84" s="18">
        <v>34992.300000000003</v>
      </c>
      <c r="AC84" s="18">
        <v>41535.9</v>
      </c>
      <c r="AD84" s="4">
        <f t="shared" si="16"/>
        <v>0.18700114025085512</v>
      </c>
    </row>
    <row r="85" spans="1:30">
      <c r="A85" s="29" t="s">
        <v>986</v>
      </c>
      <c r="B85" s="29" t="s">
        <v>987</v>
      </c>
      <c r="C85" s="19">
        <v>483</v>
      </c>
      <c r="E85" s="29" t="s">
        <v>987</v>
      </c>
      <c r="F85" s="19">
        <v>336</v>
      </c>
      <c r="G85" t="b">
        <f t="shared" si="12"/>
        <v>1</v>
      </c>
      <c r="J85">
        <f t="shared" si="13"/>
        <v>-147</v>
      </c>
      <c r="K85" s="4">
        <f t="shared" si="14"/>
        <v>-0.30434782608695654</v>
      </c>
      <c r="L85" s="4"/>
      <c r="N85" s="5">
        <v>1631.3999999999999</v>
      </c>
      <c r="O85" s="5">
        <v>1014.8</v>
      </c>
      <c r="Q85" s="5">
        <v>6549.66</v>
      </c>
      <c r="T85" s="150">
        <f t="shared" si="15"/>
        <v>-616.59999999999991</v>
      </c>
      <c r="U85" s="4">
        <f t="shared" si="17"/>
        <v>-0.37795758244452615</v>
      </c>
      <c r="AB85" s="18">
        <v>13036.17</v>
      </c>
      <c r="AC85" s="18">
        <v>9068.64</v>
      </c>
      <c r="AD85" s="4">
        <f t="shared" si="16"/>
        <v>-0.30434782608695654</v>
      </c>
    </row>
    <row r="86" spans="1:30">
      <c r="A86" t="s">
        <v>988</v>
      </c>
      <c r="B86" t="s">
        <v>989</v>
      </c>
      <c r="C86" s="19">
        <v>1427</v>
      </c>
      <c r="E86" t="s">
        <v>989</v>
      </c>
      <c r="F86" s="19">
        <v>1332</v>
      </c>
      <c r="G86" t="b">
        <f t="shared" si="12"/>
        <v>1</v>
      </c>
      <c r="J86">
        <f t="shared" si="13"/>
        <v>-95</v>
      </c>
      <c r="K86" s="4">
        <f t="shared" si="14"/>
        <v>-6.6573230553608975E-2</v>
      </c>
      <c r="N86" s="5">
        <v>1975</v>
      </c>
      <c r="O86" s="5">
        <v>1485.85</v>
      </c>
      <c r="Q86" s="5">
        <v>6819.95</v>
      </c>
      <c r="T86" s="150">
        <f t="shared" si="15"/>
        <v>-489.15000000000009</v>
      </c>
      <c r="U86" s="4">
        <f t="shared" si="17"/>
        <v>-0.24767088607594945</v>
      </c>
      <c r="X86" s="5"/>
      <c r="Y86" s="5"/>
      <c r="Z86" s="5"/>
      <c r="AA86" s="17"/>
      <c r="AB86" s="18">
        <v>26072.74</v>
      </c>
      <c r="AC86" s="18">
        <v>25754.7</v>
      </c>
      <c r="AD86" s="4">
        <f t="shared" si="16"/>
        <v>-1.2198180935337088E-2</v>
      </c>
    </row>
    <row r="87" spans="1:30">
      <c r="A87" t="s">
        <v>990</v>
      </c>
      <c r="B87" t="s">
        <v>991</v>
      </c>
      <c r="C87" s="19">
        <v>805</v>
      </c>
      <c r="E87" t="s">
        <v>991</v>
      </c>
      <c r="F87" s="19">
        <v>796</v>
      </c>
      <c r="G87" t="b">
        <f t="shared" si="12"/>
        <v>1</v>
      </c>
      <c r="J87">
        <f t="shared" si="13"/>
        <v>-9</v>
      </c>
      <c r="K87" s="4">
        <f t="shared" si="14"/>
        <v>-1.1180124223602483E-2</v>
      </c>
      <c r="L87" s="4"/>
      <c r="N87" s="5">
        <v>1297.8400000000001</v>
      </c>
      <c r="O87" s="5">
        <v>1368.16</v>
      </c>
      <c r="Q87" s="5">
        <v>7366.86</v>
      </c>
      <c r="T87" s="150">
        <f t="shared" si="15"/>
        <v>70.319999999999936</v>
      </c>
      <c r="U87" s="4">
        <f t="shared" si="17"/>
        <v>5.4182333723725495E-2</v>
      </c>
      <c r="AB87" s="18">
        <v>13644.75</v>
      </c>
      <c r="AC87" s="18">
        <v>13492.2</v>
      </c>
      <c r="AD87" s="4">
        <f t="shared" si="16"/>
        <v>-1.1180124223602483E-2</v>
      </c>
    </row>
    <row r="88" spans="1:30">
      <c r="A88" t="s">
        <v>992</v>
      </c>
      <c r="B88" t="s">
        <v>993</v>
      </c>
      <c r="C88" s="19">
        <v>4313</v>
      </c>
      <c r="E88" t="s">
        <v>993</v>
      </c>
      <c r="F88" s="19">
        <v>3891</v>
      </c>
      <c r="G88" t="b">
        <f t="shared" si="12"/>
        <v>1</v>
      </c>
      <c r="J88">
        <f t="shared" si="13"/>
        <v>-422</v>
      </c>
      <c r="K88" s="4">
        <f t="shared" si="14"/>
        <v>-9.7843728263389718E-2</v>
      </c>
      <c r="L88" s="4"/>
      <c r="N88" s="5">
        <v>3846.55</v>
      </c>
      <c r="O88" s="5">
        <v>3675.14</v>
      </c>
      <c r="Q88" s="5">
        <v>19081.599999999999</v>
      </c>
      <c r="T88" s="150">
        <f t="shared" si="15"/>
        <v>-171.41000000000031</v>
      </c>
      <c r="U88" s="4">
        <f t="shared" si="17"/>
        <v>-4.4562010112958461E-2</v>
      </c>
      <c r="AB88" s="18">
        <v>85773.03</v>
      </c>
      <c r="AC88" s="18">
        <v>77326.2</v>
      </c>
      <c r="AD88" s="4">
        <f t="shared" si="16"/>
        <v>-9.8478857515002072E-2</v>
      </c>
    </row>
    <row r="89" spans="1:30">
      <c r="A89" t="s">
        <v>994</v>
      </c>
      <c r="B89" t="s">
        <v>995</v>
      </c>
      <c r="C89" s="19">
        <v>1569</v>
      </c>
      <c r="E89" t="s">
        <v>995</v>
      </c>
      <c r="F89" s="19">
        <v>1452</v>
      </c>
      <c r="G89" t="b">
        <f t="shared" si="12"/>
        <v>1</v>
      </c>
      <c r="J89">
        <f t="shared" si="13"/>
        <v>-117</v>
      </c>
      <c r="K89" s="4">
        <f t="shared" si="14"/>
        <v>-7.4569789674952203E-2</v>
      </c>
      <c r="L89" s="4"/>
      <c r="N89" s="5">
        <v>2888</v>
      </c>
      <c r="O89" s="5">
        <v>3178.29</v>
      </c>
      <c r="Q89" s="5">
        <v>13787.74</v>
      </c>
      <c r="T89" s="150">
        <f t="shared" si="15"/>
        <v>290.28999999999996</v>
      </c>
      <c r="U89" s="4">
        <f t="shared" si="17"/>
        <v>0.10051592797783937</v>
      </c>
      <c r="AB89" s="18">
        <v>31364.31</v>
      </c>
      <c r="AC89" s="18">
        <v>31613.48</v>
      </c>
      <c r="AD89" s="4">
        <f t="shared" si="16"/>
        <v>7.9443800931695563E-3</v>
      </c>
    </row>
    <row r="90" spans="1:30">
      <c r="A90" t="s">
        <v>996</v>
      </c>
      <c r="B90" t="s">
        <v>997</v>
      </c>
      <c r="C90" s="19">
        <v>1495</v>
      </c>
      <c r="E90" t="s">
        <v>997</v>
      </c>
      <c r="F90" s="19">
        <v>1547</v>
      </c>
      <c r="G90" t="b">
        <f t="shared" si="12"/>
        <v>1</v>
      </c>
      <c r="J90">
        <f t="shared" si="13"/>
        <v>52</v>
      </c>
      <c r="K90" s="4">
        <f t="shared" si="14"/>
        <v>3.4782608695652195E-2</v>
      </c>
      <c r="L90" s="4"/>
      <c r="N90" s="5">
        <v>2254.13</v>
      </c>
      <c r="O90" s="5">
        <v>2379.5700000000002</v>
      </c>
      <c r="Q90" s="5">
        <v>17689.28</v>
      </c>
      <c r="T90" s="150">
        <f t="shared" si="15"/>
        <v>125.44000000000005</v>
      </c>
      <c r="U90" s="4">
        <f t="shared" si="17"/>
        <v>5.5648964345445862E-2</v>
      </c>
      <c r="X90" s="5"/>
      <c r="Y90" s="5"/>
      <c r="Z90" s="5"/>
      <c r="AA90" s="17"/>
      <c r="AB90" s="18">
        <v>53594.51</v>
      </c>
      <c r="AC90" s="18">
        <v>55261.2</v>
      </c>
      <c r="AD90" s="4">
        <f t="shared" si="16"/>
        <v>3.1098147925972208E-2</v>
      </c>
    </row>
    <row r="91" spans="1:30">
      <c r="A91" t="s">
        <v>998</v>
      </c>
      <c r="B91" t="s">
        <v>999</v>
      </c>
      <c r="C91" s="19">
        <v>268</v>
      </c>
      <c r="E91" t="s">
        <v>999</v>
      </c>
      <c r="F91" s="19">
        <v>303</v>
      </c>
      <c r="G91" t="b">
        <f t="shared" si="12"/>
        <v>1</v>
      </c>
      <c r="J91">
        <f t="shared" si="13"/>
        <v>35</v>
      </c>
      <c r="K91" s="4">
        <f t="shared" si="14"/>
        <v>0.13059701492537323</v>
      </c>
      <c r="L91" s="4"/>
      <c r="N91" s="5">
        <v>0</v>
      </c>
      <c r="O91" s="5">
        <v>0</v>
      </c>
      <c r="Q91" s="5">
        <v>0</v>
      </c>
      <c r="T91" s="150">
        <f t="shared" si="15"/>
        <v>0</v>
      </c>
      <c r="U91" s="4">
        <f t="shared" si="17"/>
        <v>0</v>
      </c>
      <c r="AB91" s="18">
        <v>5346.6</v>
      </c>
      <c r="AC91" s="18">
        <v>6044.85</v>
      </c>
      <c r="AD91" s="4">
        <f t="shared" si="16"/>
        <v>0.13059701492537323</v>
      </c>
    </row>
    <row r="92" spans="1:30">
      <c r="A92" t="s">
        <v>1000</v>
      </c>
      <c r="B92" t="s">
        <v>1001</v>
      </c>
      <c r="C92" s="19">
        <v>1614</v>
      </c>
      <c r="E92" t="s">
        <v>1001</v>
      </c>
      <c r="F92" s="19">
        <v>1797</v>
      </c>
      <c r="G92" t="b">
        <f t="shared" si="12"/>
        <v>1</v>
      </c>
      <c r="J92">
        <f t="shared" si="13"/>
        <v>183</v>
      </c>
      <c r="K92" s="4">
        <f t="shared" si="14"/>
        <v>0.11338289962825288</v>
      </c>
      <c r="L92" s="4"/>
      <c r="N92" s="5">
        <v>961.08</v>
      </c>
      <c r="O92" s="5">
        <v>1445.79</v>
      </c>
      <c r="Q92" s="5">
        <v>8568.94</v>
      </c>
      <c r="T92" s="150">
        <f t="shared" si="15"/>
        <v>484.70999999999992</v>
      </c>
      <c r="U92" s="4">
        <f t="shared" si="17"/>
        <v>0.50433886877263068</v>
      </c>
      <c r="AB92" s="18">
        <v>40269.300000000003</v>
      </c>
      <c r="AC92" s="18">
        <v>44785.25</v>
      </c>
      <c r="AD92" s="4">
        <f t="shared" si="16"/>
        <v>0.11214374225526624</v>
      </c>
    </row>
    <row r="93" spans="1:30">
      <c r="A93" t="s">
        <v>1002</v>
      </c>
      <c r="B93" t="s">
        <v>1003</v>
      </c>
      <c r="C93" s="19">
        <v>319</v>
      </c>
      <c r="E93" t="s">
        <v>1003</v>
      </c>
      <c r="F93" s="19">
        <v>313</v>
      </c>
      <c r="G93" t="b">
        <f t="shared" si="12"/>
        <v>1</v>
      </c>
      <c r="J93">
        <f t="shared" si="13"/>
        <v>-6</v>
      </c>
      <c r="K93" s="4">
        <f t="shared" si="14"/>
        <v>-1.8808777429467072E-2</v>
      </c>
      <c r="N93" s="5">
        <v>0</v>
      </c>
      <c r="O93" s="5">
        <v>201.38</v>
      </c>
      <c r="Q93" s="5">
        <v>1350.58</v>
      </c>
      <c r="T93" s="150">
        <f t="shared" si="15"/>
        <v>201.38</v>
      </c>
      <c r="U93" s="4">
        <f t="shared" si="17"/>
        <v>0</v>
      </c>
      <c r="AB93" s="18">
        <v>9562.61</v>
      </c>
      <c r="AC93" s="18">
        <v>9386.8700000000008</v>
      </c>
      <c r="AD93" s="4">
        <f t="shared" si="16"/>
        <v>-1.8377827810608149E-2</v>
      </c>
    </row>
    <row r="94" spans="1:30">
      <c r="A94" t="s">
        <v>1004</v>
      </c>
      <c r="B94" t="s">
        <v>1005</v>
      </c>
      <c r="C94" s="19">
        <v>747</v>
      </c>
      <c r="E94" t="s">
        <v>1005</v>
      </c>
      <c r="F94" s="19">
        <v>742</v>
      </c>
      <c r="G94" t="b">
        <f t="shared" si="12"/>
        <v>1</v>
      </c>
      <c r="J94">
        <f t="shared" si="13"/>
        <v>-5</v>
      </c>
      <c r="K94" s="4">
        <f t="shared" si="14"/>
        <v>-6.6934404283801596E-3</v>
      </c>
      <c r="L94" s="4"/>
      <c r="N94" s="5">
        <v>523.64</v>
      </c>
      <c r="O94" s="5">
        <v>704.89</v>
      </c>
      <c r="Q94" s="5">
        <v>4283.1400000000003</v>
      </c>
      <c r="T94" s="150">
        <f t="shared" si="15"/>
        <v>181.25</v>
      </c>
      <c r="U94" s="4">
        <f t="shared" si="17"/>
        <v>0.34613474906424258</v>
      </c>
      <c r="AB94" s="18">
        <v>21596.7</v>
      </c>
      <c r="AC94" s="18">
        <v>21480.9</v>
      </c>
      <c r="AD94" s="4">
        <f t="shared" si="16"/>
        <v>-5.3619302949061698E-3</v>
      </c>
    </row>
    <row r="95" spans="1:30">
      <c r="A95" t="s">
        <v>1006</v>
      </c>
      <c r="B95" t="s">
        <v>1007</v>
      </c>
      <c r="C95" s="19">
        <v>334</v>
      </c>
      <c r="E95" t="s">
        <v>1007</v>
      </c>
      <c r="F95" s="19">
        <v>356</v>
      </c>
      <c r="G95" t="b">
        <f t="shared" si="12"/>
        <v>1</v>
      </c>
      <c r="J95">
        <f t="shared" si="13"/>
        <v>22</v>
      </c>
      <c r="K95" s="4">
        <f t="shared" si="14"/>
        <v>6.5868263473053856E-2</v>
      </c>
      <c r="L95" s="4"/>
      <c r="N95" s="5">
        <v>0</v>
      </c>
      <c r="O95" s="5">
        <v>199.27</v>
      </c>
      <c r="Q95" s="5">
        <v>1429.16</v>
      </c>
      <c r="T95" s="150">
        <f t="shared" si="15"/>
        <v>199.27</v>
      </c>
      <c r="U95" s="4">
        <f t="shared" si="17"/>
        <v>0</v>
      </c>
      <c r="AB95" s="18">
        <v>13009.3</v>
      </c>
      <c r="AC95" s="18">
        <v>13866.2</v>
      </c>
      <c r="AD95" s="4">
        <f t="shared" si="16"/>
        <v>6.5868263473054078E-2</v>
      </c>
    </row>
    <row r="96" spans="1:30">
      <c r="A96" t="s">
        <v>1008</v>
      </c>
      <c r="B96" t="s">
        <v>1009</v>
      </c>
      <c r="C96" s="19">
        <v>1305</v>
      </c>
      <c r="E96" t="s">
        <v>1009</v>
      </c>
      <c r="F96" s="19">
        <v>1874</v>
      </c>
      <c r="G96" t="b">
        <f t="shared" si="12"/>
        <v>1</v>
      </c>
      <c r="J96">
        <f t="shared" si="13"/>
        <v>569</v>
      </c>
      <c r="K96" s="4">
        <f t="shared" si="14"/>
        <v>0.43601532567049817</v>
      </c>
      <c r="L96" s="4"/>
      <c r="N96" s="5">
        <v>1481.44</v>
      </c>
      <c r="O96" s="5">
        <v>3772.22</v>
      </c>
      <c r="Q96" s="5">
        <v>16298.77</v>
      </c>
      <c r="T96" s="150">
        <f t="shared" si="15"/>
        <v>2290.7799999999997</v>
      </c>
      <c r="U96" s="4">
        <f t="shared" si="17"/>
        <v>1.5463197969543145</v>
      </c>
      <c r="AB96" s="18">
        <v>24762.959999999999</v>
      </c>
      <c r="AC96" s="18">
        <v>35846.269999999997</v>
      </c>
      <c r="AD96" s="4">
        <f t="shared" si="16"/>
        <v>0.44757613790919981</v>
      </c>
    </row>
    <row r="97" spans="1:30">
      <c r="A97" t="s">
        <v>1010</v>
      </c>
      <c r="B97" t="s">
        <v>1011</v>
      </c>
      <c r="C97" s="19">
        <v>650</v>
      </c>
      <c r="E97" t="s">
        <v>1011</v>
      </c>
      <c r="F97" s="19">
        <v>434</v>
      </c>
      <c r="G97" t="b">
        <f t="shared" si="12"/>
        <v>1</v>
      </c>
      <c r="J97">
        <f t="shared" si="13"/>
        <v>-216</v>
      </c>
      <c r="K97" s="4">
        <f t="shared" si="14"/>
        <v>-0.3323076923076923</v>
      </c>
      <c r="L97" s="4"/>
      <c r="N97" s="5">
        <v>1314.01</v>
      </c>
      <c r="O97" s="5">
        <v>676.99</v>
      </c>
      <c r="Q97" s="5">
        <v>2663.67</v>
      </c>
      <c r="T97" s="150">
        <f t="shared" si="15"/>
        <v>-637.02</v>
      </c>
      <c r="U97" s="4">
        <f t="shared" si="17"/>
        <v>-0.48479083112000665</v>
      </c>
      <c r="AB97" s="18">
        <v>12260.65</v>
      </c>
      <c r="AC97" s="18">
        <v>8224.2999999999993</v>
      </c>
      <c r="AD97" s="4">
        <f t="shared" si="16"/>
        <v>-0.32921174652241114</v>
      </c>
    </row>
    <row r="98" spans="1:30">
      <c r="A98" t="s">
        <v>1012</v>
      </c>
      <c r="B98" t="s">
        <v>1013</v>
      </c>
      <c r="C98" s="19">
        <v>892</v>
      </c>
      <c r="E98" t="s">
        <v>1013</v>
      </c>
      <c r="F98" s="19">
        <v>922</v>
      </c>
      <c r="G98" t="b">
        <f t="shared" si="12"/>
        <v>1</v>
      </c>
      <c r="J98">
        <f t="shared" si="13"/>
        <v>30</v>
      </c>
      <c r="K98" s="4">
        <f t="shared" si="14"/>
        <v>3.3632286995515681E-2</v>
      </c>
      <c r="L98" s="4"/>
      <c r="N98" s="5">
        <v>663.4899999999999</v>
      </c>
      <c r="O98" s="5">
        <v>615.99</v>
      </c>
      <c r="Q98" s="5">
        <v>5631.87</v>
      </c>
      <c r="T98" s="150">
        <f t="shared" si="15"/>
        <v>-47.499999999999886</v>
      </c>
      <c r="U98" s="4">
        <f t="shared" si="17"/>
        <v>-7.1591131742754111E-2</v>
      </c>
      <c r="AB98" s="18">
        <v>19615.080000000002</v>
      </c>
      <c r="AC98" s="18">
        <v>20252.79</v>
      </c>
      <c r="AD98" s="4">
        <f t="shared" si="16"/>
        <v>3.2511210762331766E-2</v>
      </c>
    </row>
    <row r="99" spans="1:30">
      <c r="A99" t="s">
        <v>1014</v>
      </c>
      <c r="B99" t="s">
        <v>1015</v>
      </c>
      <c r="C99" s="19">
        <v>1317</v>
      </c>
      <c r="E99" t="s">
        <v>1015</v>
      </c>
      <c r="F99" s="19">
        <v>1303</v>
      </c>
      <c r="G99" t="b">
        <f t="shared" ref="G99:G113" si="18">IF(B99=E99,TRUE,FALSE)</f>
        <v>1</v>
      </c>
      <c r="J99">
        <f t="shared" ref="J99:J113" si="19">F99-C99</f>
        <v>-14</v>
      </c>
      <c r="K99" s="4">
        <f t="shared" ref="K99:K113" si="20">F99/C99-1</f>
        <v>-1.0630220197418327E-2</v>
      </c>
      <c r="L99" s="4"/>
      <c r="N99" s="5">
        <v>1115.17</v>
      </c>
      <c r="O99" s="5">
        <v>976.48</v>
      </c>
      <c r="Q99" s="5">
        <v>3927.63</v>
      </c>
      <c r="T99" s="150">
        <f t="shared" ref="T99:T112" si="21">O99-N99</f>
        <v>-138.69000000000005</v>
      </c>
      <c r="U99" s="4">
        <f t="shared" si="17"/>
        <v>-0.1243666884869572</v>
      </c>
      <c r="AB99" s="18">
        <v>24674.240000000002</v>
      </c>
      <c r="AC99" s="18">
        <v>24039.75</v>
      </c>
      <c r="AD99" s="4">
        <f t="shared" ref="AD99:AD113" si="22">AC99/AB99-1</f>
        <v>-2.5714672468128752E-2</v>
      </c>
    </row>
    <row r="100" spans="1:30">
      <c r="A100" t="s">
        <v>1016</v>
      </c>
      <c r="B100" t="s">
        <v>1017</v>
      </c>
      <c r="C100" s="19">
        <v>3316</v>
      </c>
      <c r="E100" t="s">
        <v>1017</v>
      </c>
      <c r="F100" s="19">
        <v>1967</v>
      </c>
      <c r="G100" t="b">
        <f t="shared" si="18"/>
        <v>1</v>
      </c>
      <c r="J100">
        <f t="shared" si="19"/>
        <v>-1349</v>
      </c>
      <c r="K100" s="4">
        <f t="shared" si="20"/>
        <v>-0.40681544028950545</v>
      </c>
      <c r="L100" s="4"/>
      <c r="N100" s="5">
        <v>4403.41</v>
      </c>
      <c r="O100" s="5">
        <v>2669.32</v>
      </c>
      <c r="Q100" s="5">
        <v>11609.83</v>
      </c>
      <c r="T100" s="150">
        <f t="shared" si="21"/>
        <v>-1734.0899999999997</v>
      </c>
      <c r="U100" s="4">
        <f t="shared" ref="U100:U112" si="23">IF(N100=0,0,O100/N100-1)</f>
        <v>-0.39380616385937262</v>
      </c>
      <c r="AB100" s="18">
        <v>51058.86</v>
      </c>
      <c r="AC100" s="18">
        <v>31452.33</v>
      </c>
      <c r="AD100" s="4">
        <f t="shared" si="22"/>
        <v>-0.3839985851623009</v>
      </c>
    </row>
    <row r="101" spans="1:30">
      <c r="A101" t="s">
        <v>1018</v>
      </c>
      <c r="B101" t="s">
        <v>1019</v>
      </c>
      <c r="C101" s="19">
        <v>2557</v>
      </c>
      <c r="E101" t="s">
        <v>1019</v>
      </c>
      <c r="F101" s="19">
        <v>2648</v>
      </c>
      <c r="G101" t="b">
        <f t="shared" si="18"/>
        <v>1</v>
      </c>
      <c r="J101">
        <f t="shared" si="19"/>
        <v>91</v>
      </c>
      <c r="K101" s="4">
        <f t="shared" si="20"/>
        <v>3.5588580367618361E-2</v>
      </c>
      <c r="L101" s="4"/>
      <c r="N101" s="5">
        <v>1107.06</v>
      </c>
      <c r="O101" s="5">
        <v>1533.95</v>
      </c>
      <c r="Q101" s="5">
        <v>7607.14</v>
      </c>
      <c r="T101" s="150">
        <f t="shared" si="21"/>
        <v>426.8900000000001</v>
      </c>
      <c r="U101" s="4">
        <f t="shared" si="23"/>
        <v>0.38560692284067732</v>
      </c>
      <c r="AB101" s="18">
        <v>50952.3</v>
      </c>
      <c r="AC101" s="18">
        <v>52807.65</v>
      </c>
      <c r="AD101" s="4">
        <f t="shared" si="22"/>
        <v>3.6413469068128368E-2</v>
      </c>
    </row>
    <row r="102" spans="1:30">
      <c r="A102" t="s">
        <v>1020</v>
      </c>
      <c r="B102" t="s">
        <v>1021</v>
      </c>
      <c r="C102" s="19">
        <v>1032</v>
      </c>
      <c r="E102" t="s">
        <v>1021</v>
      </c>
      <c r="F102" s="19">
        <v>1099</v>
      </c>
      <c r="G102" t="b">
        <f t="shared" si="18"/>
        <v>1</v>
      </c>
      <c r="J102">
        <f t="shared" si="19"/>
        <v>67</v>
      </c>
      <c r="K102" s="4">
        <f t="shared" si="20"/>
        <v>6.4922480620154932E-2</v>
      </c>
      <c r="L102" s="4"/>
      <c r="N102" s="5">
        <v>1663.38</v>
      </c>
      <c r="O102" s="5">
        <v>1681.39</v>
      </c>
      <c r="Q102" s="5">
        <v>12457.79</v>
      </c>
      <c r="T102" s="150">
        <f t="shared" si="21"/>
        <v>18.009999999999991</v>
      </c>
      <c r="U102" s="4">
        <f t="shared" si="23"/>
        <v>1.0827351537231467E-2</v>
      </c>
      <c r="X102" s="5"/>
      <c r="Y102" s="5"/>
      <c r="Z102" s="5"/>
      <c r="AA102" s="17"/>
      <c r="AB102" s="18">
        <v>24733.69</v>
      </c>
      <c r="AC102" s="18">
        <v>27007.01</v>
      </c>
      <c r="AD102" s="4">
        <f t="shared" si="22"/>
        <v>9.1911882133236089E-2</v>
      </c>
    </row>
    <row r="103" spans="1:30" ht="15" customHeight="1">
      <c r="A103" t="s">
        <v>1022</v>
      </c>
      <c r="B103" t="s">
        <v>1023</v>
      </c>
      <c r="C103" s="19">
        <v>2865</v>
      </c>
      <c r="E103" t="s">
        <v>1023</v>
      </c>
      <c r="F103" s="19">
        <v>3298</v>
      </c>
      <c r="G103" t="b">
        <f t="shared" si="18"/>
        <v>1</v>
      </c>
      <c r="J103">
        <f t="shared" si="19"/>
        <v>433</v>
      </c>
      <c r="K103" s="4">
        <f t="shared" si="20"/>
        <v>0.15113438045375216</v>
      </c>
      <c r="L103" s="4"/>
      <c r="N103" s="5">
        <v>5880.42</v>
      </c>
      <c r="O103" s="5">
        <v>6920.57</v>
      </c>
      <c r="Q103" s="5">
        <v>48064.89</v>
      </c>
      <c r="T103" s="150">
        <f t="shared" si="21"/>
        <v>1040.1499999999996</v>
      </c>
      <c r="U103" s="4">
        <f t="shared" si="23"/>
        <v>0.17688362395883273</v>
      </c>
      <c r="AB103" s="18">
        <v>85716.9</v>
      </c>
      <c r="AC103" s="18">
        <v>103125.77</v>
      </c>
      <c r="AD103" s="4">
        <f t="shared" si="22"/>
        <v>0.20309728886602296</v>
      </c>
    </row>
    <row r="104" spans="1:30" ht="15" customHeight="1">
      <c r="A104" t="s">
        <v>1024</v>
      </c>
      <c r="B104" t="s">
        <v>1025</v>
      </c>
      <c r="C104" s="19">
        <v>371</v>
      </c>
      <c r="E104" t="s">
        <v>1025</v>
      </c>
      <c r="F104" s="19">
        <v>355</v>
      </c>
      <c r="G104" t="b">
        <f t="shared" si="18"/>
        <v>1</v>
      </c>
      <c r="J104">
        <f t="shared" si="19"/>
        <v>-16</v>
      </c>
      <c r="K104" s="4">
        <f t="shared" si="20"/>
        <v>-4.3126684636118573E-2</v>
      </c>
      <c r="L104" s="4"/>
      <c r="N104" s="5">
        <v>146.54</v>
      </c>
      <c r="O104" s="5">
        <v>1017.38</v>
      </c>
      <c r="Q104" s="5">
        <v>6251.78</v>
      </c>
      <c r="T104" s="150">
        <f t="shared" si="21"/>
        <v>870.84</v>
      </c>
      <c r="U104" s="4">
        <f t="shared" si="23"/>
        <v>5.9426777671625501</v>
      </c>
      <c r="AB104" s="18">
        <v>11126.29</v>
      </c>
      <c r="AC104" s="18">
        <v>10646.45</v>
      </c>
      <c r="AD104" s="4">
        <f t="shared" si="22"/>
        <v>-4.3126684636118573E-2</v>
      </c>
    </row>
    <row r="105" spans="1:30" ht="15" customHeight="1">
      <c r="A105" t="s">
        <v>1026</v>
      </c>
      <c r="B105" t="s">
        <v>1027</v>
      </c>
      <c r="C105" s="19">
        <v>4535</v>
      </c>
      <c r="E105" t="s">
        <v>1027</v>
      </c>
      <c r="F105" s="19">
        <v>4192</v>
      </c>
      <c r="G105" t="b">
        <f t="shared" si="18"/>
        <v>1</v>
      </c>
      <c r="J105">
        <f t="shared" si="19"/>
        <v>-343</v>
      </c>
      <c r="K105" s="4">
        <f t="shared" si="20"/>
        <v>-7.5633958103638377E-2</v>
      </c>
      <c r="L105" s="4"/>
      <c r="N105" s="5">
        <v>3781.37</v>
      </c>
      <c r="O105" s="5">
        <v>3703.72</v>
      </c>
      <c r="Q105" s="5">
        <v>21215.08</v>
      </c>
      <c r="T105" s="150">
        <f t="shared" si="21"/>
        <v>-77.650000000000091</v>
      </c>
      <c r="U105" s="4">
        <f t="shared" si="23"/>
        <v>-2.0534885504460032E-2</v>
      </c>
      <c r="X105" t="s">
        <v>1028</v>
      </c>
      <c r="AB105" s="18">
        <v>92462.46</v>
      </c>
      <c r="AC105" s="18">
        <v>85401.68</v>
      </c>
      <c r="AD105" s="4">
        <f t="shared" si="22"/>
        <v>-7.6363748055156777E-2</v>
      </c>
    </row>
    <row r="106" spans="1:30" ht="15" customHeight="1">
      <c r="A106" t="s">
        <v>1029</v>
      </c>
      <c r="B106" t="s">
        <v>1030</v>
      </c>
      <c r="C106" s="19">
        <v>3985</v>
      </c>
      <c r="E106" t="s">
        <v>1030</v>
      </c>
      <c r="F106" s="19">
        <v>5893</v>
      </c>
      <c r="G106" t="b">
        <f t="shared" si="18"/>
        <v>1</v>
      </c>
      <c r="J106">
        <f t="shared" si="19"/>
        <v>1908</v>
      </c>
      <c r="K106" s="4">
        <f t="shared" si="20"/>
        <v>0.47879548306148045</v>
      </c>
      <c r="L106" s="4"/>
      <c r="N106" s="5">
        <v>4436.3500000000004</v>
      </c>
      <c r="O106" s="5">
        <v>4482.1899999999996</v>
      </c>
      <c r="Q106" s="5">
        <v>17748.91</v>
      </c>
      <c r="T106" s="150">
        <f t="shared" si="21"/>
        <v>45.839999999999236</v>
      </c>
      <c r="U106" s="4">
        <f t="shared" si="23"/>
        <v>1.0332818645958808E-2</v>
      </c>
      <c r="AB106" s="18">
        <v>39796.559999999998</v>
      </c>
      <c r="AC106" s="18">
        <v>58831.11</v>
      </c>
      <c r="AD106" s="4">
        <f t="shared" si="22"/>
        <v>0.47829636531398712</v>
      </c>
    </row>
    <row r="107" spans="1:30" ht="15" customHeight="1">
      <c r="A107" t="s">
        <v>1031</v>
      </c>
      <c r="B107" t="s">
        <v>1032</v>
      </c>
      <c r="C107" s="19">
        <v>806</v>
      </c>
      <c r="E107" t="s">
        <v>1032</v>
      </c>
      <c r="F107" s="19">
        <v>1168</v>
      </c>
      <c r="G107" t="b">
        <f t="shared" si="18"/>
        <v>1</v>
      </c>
      <c r="J107">
        <f t="shared" si="19"/>
        <v>362</v>
      </c>
      <c r="K107" s="4">
        <f t="shared" si="20"/>
        <v>0.44913151364764259</v>
      </c>
      <c r="L107" s="4"/>
      <c r="N107" s="5">
        <v>0</v>
      </c>
      <c r="O107" s="5">
        <v>1022.36</v>
      </c>
      <c r="Q107" s="5">
        <v>13529.47</v>
      </c>
      <c r="T107" s="150">
        <f t="shared" si="21"/>
        <v>1022.36</v>
      </c>
      <c r="U107" s="4">
        <f t="shared" si="23"/>
        <v>0</v>
      </c>
      <c r="AB107" s="18">
        <v>30370.63</v>
      </c>
      <c r="AC107" s="18">
        <v>43622.51</v>
      </c>
      <c r="AD107" s="4">
        <f t="shared" si="22"/>
        <v>0.43633866008047906</v>
      </c>
    </row>
    <row r="108" spans="1:30" ht="15" customHeight="1">
      <c r="A108" t="s">
        <v>1033</v>
      </c>
      <c r="B108" t="s">
        <v>1034</v>
      </c>
      <c r="C108" s="19">
        <v>667</v>
      </c>
      <c r="E108" t="s">
        <v>1034</v>
      </c>
      <c r="F108" s="19">
        <v>660</v>
      </c>
      <c r="G108" t="b">
        <f t="shared" si="18"/>
        <v>1</v>
      </c>
      <c r="J108">
        <f t="shared" si="19"/>
        <v>-7</v>
      </c>
      <c r="K108" s="4">
        <f t="shared" si="20"/>
        <v>-1.0494752623688153E-2</v>
      </c>
      <c r="L108" s="4"/>
      <c r="N108" s="5">
        <v>0</v>
      </c>
      <c r="O108" s="5">
        <v>1099.67</v>
      </c>
      <c r="Q108" s="5">
        <v>4235.26</v>
      </c>
      <c r="T108" s="150">
        <f t="shared" si="21"/>
        <v>1099.67</v>
      </c>
      <c r="U108" s="4">
        <f t="shared" si="23"/>
        <v>0</v>
      </c>
      <c r="AB108" s="18">
        <v>12620.7</v>
      </c>
      <c r="AC108" s="18">
        <v>12507</v>
      </c>
      <c r="AD108" s="4">
        <f t="shared" si="22"/>
        <v>-9.009009009009028E-3</v>
      </c>
    </row>
    <row r="109" spans="1:30" ht="15" customHeight="1">
      <c r="A109" t="s">
        <v>1035</v>
      </c>
      <c r="B109" t="s">
        <v>1036</v>
      </c>
      <c r="C109" s="19">
        <v>1373</v>
      </c>
      <c r="E109" t="s">
        <v>1036</v>
      </c>
      <c r="F109" s="19">
        <v>1341</v>
      </c>
      <c r="G109" t="b">
        <f t="shared" si="18"/>
        <v>1</v>
      </c>
      <c r="J109">
        <f t="shared" si="19"/>
        <v>-32</v>
      </c>
      <c r="K109" s="4">
        <f t="shared" si="20"/>
        <v>-2.3306627822286985E-2</v>
      </c>
      <c r="L109" s="4"/>
      <c r="N109" s="5">
        <v>2126.7600000000002</v>
      </c>
      <c r="O109" s="5">
        <v>2691.33</v>
      </c>
      <c r="Q109" s="5">
        <v>19598.830000000002</v>
      </c>
      <c r="T109" s="150">
        <f t="shared" si="21"/>
        <v>564.56999999999971</v>
      </c>
      <c r="U109" s="4">
        <f t="shared" si="23"/>
        <v>0.26546013654573142</v>
      </c>
      <c r="AB109" s="18">
        <v>38593.269999999997</v>
      </c>
      <c r="AC109" s="18">
        <v>37211.589999999997</v>
      </c>
      <c r="AD109" s="4">
        <f t="shared" si="22"/>
        <v>-3.5801060651248218E-2</v>
      </c>
    </row>
    <row r="110" spans="1:30" ht="15" customHeight="1">
      <c r="A110" t="s">
        <v>1037</v>
      </c>
      <c r="B110" t="s">
        <v>1038</v>
      </c>
      <c r="C110" s="19">
        <v>3487</v>
      </c>
      <c r="E110" t="s">
        <v>1038</v>
      </c>
      <c r="F110" s="19">
        <v>3129</v>
      </c>
      <c r="G110" t="b">
        <f t="shared" si="18"/>
        <v>1</v>
      </c>
      <c r="J110">
        <f t="shared" si="19"/>
        <v>-358</v>
      </c>
      <c r="K110" s="4">
        <f t="shared" si="20"/>
        <v>-0.1026670490392888</v>
      </c>
      <c r="L110" s="4"/>
      <c r="N110" s="5">
        <v>2854.99</v>
      </c>
      <c r="O110" s="5">
        <v>2951.94</v>
      </c>
      <c r="Q110" s="5">
        <v>13674.99</v>
      </c>
      <c r="T110" s="150">
        <f t="shared" si="21"/>
        <v>96.950000000000273</v>
      </c>
      <c r="U110" s="4">
        <f t="shared" si="23"/>
        <v>3.3958087418870297E-2</v>
      </c>
      <c r="AB110" s="18">
        <v>69505.8</v>
      </c>
      <c r="AC110" s="18">
        <v>62423.55</v>
      </c>
      <c r="AD110" s="4">
        <f t="shared" si="22"/>
        <v>-0.10189437428243397</v>
      </c>
    </row>
    <row r="111" spans="1:30" ht="15" customHeight="1">
      <c r="A111" t="s">
        <v>1039</v>
      </c>
      <c r="B111" t="s">
        <v>1040</v>
      </c>
      <c r="C111" s="19">
        <v>3422</v>
      </c>
      <c r="E111" t="s">
        <v>1040</v>
      </c>
      <c r="F111" s="19">
        <v>3780</v>
      </c>
      <c r="G111" t="b">
        <f t="shared" si="18"/>
        <v>1</v>
      </c>
      <c r="J111">
        <f t="shared" si="19"/>
        <v>358</v>
      </c>
      <c r="K111" s="4">
        <f t="shared" si="20"/>
        <v>0.10461718293395683</v>
      </c>
      <c r="L111" s="4"/>
      <c r="N111" s="5">
        <v>6108.6200000000008</v>
      </c>
      <c r="O111" s="5">
        <v>6358.12</v>
      </c>
      <c r="Q111" s="5">
        <v>31053.7</v>
      </c>
      <c r="T111" s="150">
        <f t="shared" si="21"/>
        <v>249.49999999999909</v>
      </c>
      <c r="U111" s="4">
        <f t="shared" si="23"/>
        <v>4.0843922195192839E-2</v>
      </c>
      <c r="AB111" s="18">
        <v>85490.79</v>
      </c>
      <c r="AC111" s="18">
        <v>94387.23</v>
      </c>
      <c r="AD111" s="4">
        <f t="shared" si="22"/>
        <v>0.10406313943291434</v>
      </c>
    </row>
    <row r="112" spans="1:30" ht="15" customHeight="1">
      <c r="A112" t="s">
        <v>1041</v>
      </c>
      <c r="B112" t="s">
        <v>1042</v>
      </c>
      <c r="C112" s="19">
        <v>4983</v>
      </c>
      <c r="E112" t="s">
        <v>1042</v>
      </c>
      <c r="F112" s="19">
        <v>4424</v>
      </c>
      <c r="G112" t="b">
        <f t="shared" si="18"/>
        <v>1</v>
      </c>
      <c r="J112">
        <f t="shared" si="19"/>
        <v>-559</v>
      </c>
      <c r="K112" s="4">
        <f t="shared" si="20"/>
        <v>-0.11218141681717841</v>
      </c>
      <c r="L112" s="4"/>
      <c r="N112" s="5">
        <v>3148.06</v>
      </c>
      <c r="O112" s="5">
        <v>4518.8</v>
      </c>
      <c r="Q112" s="5">
        <v>18942.79</v>
      </c>
      <c r="T112" s="150">
        <f t="shared" si="21"/>
        <v>1370.7400000000002</v>
      </c>
      <c r="U112" s="4">
        <f t="shared" si="23"/>
        <v>0.43542372127596041</v>
      </c>
      <c r="AB112" s="18">
        <v>78762.03</v>
      </c>
      <c r="AC112" s="18">
        <v>71354.570000000007</v>
      </c>
      <c r="AD112" s="4">
        <f t="shared" si="22"/>
        <v>-9.4048617081098462E-2</v>
      </c>
    </row>
    <row r="113" spans="1:30" ht="15" customHeight="1">
      <c r="A113" t="s">
        <v>1043</v>
      </c>
      <c r="B113" t="s">
        <v>1044</v>
      </c>
      <c r="C113" s="19">
        <v>1070</v>
      </c>
      <c r="E113" t="s">
        <v>1044</v>
      </c>
      <c r="F113" s="19">
        <v>910</v>
      </c>
      <c r="G113" t="b">
        <f t="shared" si="18"/>
        <v>1</v>
      </c>
      <c r="J113">
        <f t="shared" si="19"/>
        <v>-160</v>
      </c>
      <c r="K113" s="4">
        <f t="shared" si="20"/>
        <v>-0.14953271028037385</v>
      </c>
      <c r="L113" s="4"/>
      <c r="N113" s="5">
        <v>2463.88</v>
      </c>
      <c r="O113" s="5">
        <v>2003.82</v>
      </c>
      <c r="Q113" s="5">
        <v>8903.84</v>
      </c>
      <c r="T113" s="150">
        <f>O113-N114</f>
        <v>2003.82</v>
      </c>
      <c r="U113" s="4">
        <f>IF(N114=0,0,O113/N114-1)</f>
        <v>0</v>
      </c>
      <c r="AB113" s="18">
        <v>25669.3</v>
      </c>
      <c r="AC113" s="18">
        <v>21830.9</v>
      </c>
      <c r="AD113" s="4">
        <f t="shared" si="22"/>
        <v>-0.14953271028037374</v>
      </c>
    </row>
    <row r="114" spans="1:30" ht="15" customHeight="1">
      <c r="A114" s="59"/>
      <c r="B114" s="39"/>
      <c r="E114" s="39"/>
      <c r="K114" s="4"/>
      <c r="L114" s="4"/>
      <c r="U114" s="4"/>
      <c r="AB114" s="18"/>
      <c r="AC114" s="18"/>
    </row>
    <row r="115" spans="1:30" ht="15" customHeight="1">
      <c r="A115" s="59"/>
      <c r="B115" s="39"/>
      <c r="E115" s="39"/>
      <c r="K115" s="4"/>
      <c r="L115" s="4"/>
      <c r="U115" s="4"/>
      <c r="AB115" s="18"/>
      <c r="AC115" s="18"/>
    </row>
    <row r="116" spans="1:30" ht="13.5" customHeight="1">
      <c r="C116" s="3" t="s">
        <v>485</v>
      </c>
      <c r="D116" s="3"/>
      <c r="E116" s="3"/>
      <c r="F116" s="3" t="s">
        <v>485</v>
      </c>
      <c r="G116" s="3"/>
      <c r="H116" s="3"/>
      <c r="I116" s="3"/>
      <c r="J116" s="3" t="s">
        <v>486</v>
      </c>
      <c r="K116" s="33"/>
      <c r="L116" s="33"/>
      <c r="M116" s="3"/>
      <c r="N116" s="35" t="s">
        <v>487</v>
      </c>
      <c r="O116" s="35" t="s">
        <v>487</v>
      </c>
      <c r="P116" s="3"/>
      <c r="Q116" s="35" t="s">
        <v>488</v>
      </c>
      <c r="R116" s="3"/>
      <c r="S116" s="3"/>
      <c r="T116" s="151" t="s">
        <v>489</v>
      </c>
      <c r="U116" s="33"/>
      <c r="V116" s="3"/>
      <c r="W116" s="3"/>
      <c r="X116" s="3"/>
      <c r="Y116" s="3"/>
      <c r="Z116" s="3"/>
      <c r="AA116" s="36"/>
      <c r="AB116" s="37" t="s">
        <v>3</v>
      </c>
      <c r="AC116" s="37" t="s">
        <v>3</v>
      </c>
    </row>
    <row r="117" spans="1:30">
      <c r="C117" s="19">
        <f>SUM(C3:C113)</f>
        <v>167484</v>
      </c>
      <c r="F117" s="19">
        <f>SUM(F3:F113)</f>
        <v>168499</v>
      </c>
      <c r="J117">
        <f>SUM(J3:J113)</f>
        <v>1015</v>
      </c>
      <c r="K117" s="4"/>
      <c r="L117" s="4"/>
      <c r="N117" s="5">
        <f>SUM(N3:N113)</f>
        <v>231150.66000000003</v>
      </c>
      <c r="O117" s="5">
        <f>SUM(O3:O113)</f>
        <v>228140.53000000009</v>
      </c>
      <c r="Q117" s="5">
        <f>SUM(Q3:Q113)</f>
        <v>1160975.4900000002</v>
      </c>
      <c r="T117" s="150">
        <f>O117-N117</f>
        <v>-3010.1299999999464</v>
      </c>
      <c r="U117" s="4">
        <f>IF(N117=0,0,O117/N117-1)</f>
        <v>-1.3022372508042834E-2</v>
      </c>
      <c r="X117" s="5"/>
      <c r="Y117" s="5"/>
      <c r="Z117" s="5"/>
      <c r="AA117" s="17"/>
      <c r="AB117" s="18">
        <f>SUM(AB3:AB113)</f>
        <v>3609131.1899999976</v>
      </c>
      <c r="AC117" s="18">
        <f>SUM(AC3:AC113)</f>
        <v>3670417.9999999991</v>
      </c>
      <c r="AD117" s="4">
        <f t="shared" ref="AD117" si="24">AC117/AB117-1</f>
        <v>1.6981042465237017E-2</v>
      </c>
    </row>
    <row r="118" spans="1:30">
      <c r="K118" s="4"/>
      <c r="L118" s="4"/>
      <c r="U118" s="4"/>
      <c r="X118" s="5"/>
      <c r="Y118" s="5"/>
      <c r="Z118" s="5"/>
      <c r="AA118" s="17"/>
    </row>
    <row r="119" spans="1:30">
      <c r="C119" s="4"/>
      <c r="F119" s="19">
        <f>F117-C117</f>
        <v>1015</v>
      </c>
      <c r="K119" s="4"/>
      <c r="L119" s="4"/>
      <c r="N119" s="4"/>
      <c r="O119" s="33" t="s">
        <v>490</v>
      </c>
      <c r="Q119" s="28">
        <f>O117/Q117</f>
        <v>0.1965076196397566</v>
      </c>
      <c r="U119" s="4"/>
      <c r="AB119" s="3" t="s">
        <v>491</v>
      </c>
      <c r="AC119" s="3" t="s">
        <v>491</v>
      </c>
    </row>
    <row r="120" spans="1:30">
      <c r="F120" s="4">
        <f>F117/C117-1</f>
        <v>6.0602803849920672E-3</v>
      </c>
      <c r="K120" s="4"/>
      <c r="L120" s="4"/>
      <c r="Q120" s="13"/>
      <c r="U120" s="4"/>
      <c r="AB120" s="34">
        <f>N117/AB117</f>
        <v>6.404606755234081E-2</v>
      </c>
      <c r="AC120" s="34">
        <f>O117/AC117</f>
        <v>6.2156552741404421E-2</v>
      </c>
    </row>
    <row r="121" spans="1:30">
      <c r="K121" s="4"/>
      <c r="L121" s="4"/>
      <c r="U121" s="4"/>
    </row>
    <row r="122" spans="1:30">
      <c r="K122" s="4"/>
      <c r="L122" s="4"/>
      <c r="U122" s="4"/>
    </row>
    <row r="123" spans="1:30">
      <c r="K123" s="4"/>
      <c r="L123" s="4"/>
      <c r="U123" s="4"/>
    </row>
    <row r="124" spans="1:30">
      <c r="K124" s="4"/>
      <c r="L124" s="4"/>
      <c r="U124" s="4"/>
    </row>
    <row r="125" spans="1:30">
      <c r="U125" s="4"/>
    </row>
    <row r="126" spans="1:30">
      <c r="K126" s="4"/>
      <c r="L126" s="4"/>
      <c r="U126" s="4"/>
    </row>
    <row r="127" spans="1:30">
      <c r="K127" s="4"/>
      <c r="L127" s="4"/>
      <c r="U127" s="4"/>
    </row>
    <row r="128" spans="1:30">
      <c r="K128" s="4"/>
      <c r="L128" s="4"/>
      <c r="U128" s="4"/>
    </row>
    <row r="129" spans="11:21">
      <c r="K129" s="4"/>
      <c r="L129" s="4"/>
      <c r="U129" s="4"/>
    </row>
    <row r="130" spans="11:21">
      <c r="K130" s="4"/>
      <c r="L130" s="4"/>
      <c r="U130" s="4"/>
    </row>
    <row r="131" spans="11:21">
      <c r="K131" s="4"/>
      <c r="L131" s="4"/>
      <c r="U131" s="4"/>
    </row>
    <row r="132" spans="11:21">
      <c r="K132" s="4"/>
      <c r="L132" s="4"/>
      <c r="U132" s="4"/>
    </row>
    <row r="133" spans="11:21">
      <c r="K133" s="4"/>
      <c r="L133" s="4"/>
      <c r="U133" s="4"/>
    </row>
    <row r="134" spans="11:21">
      <c r="K134" s="4"/>
      <c r="L134" s="4"/>
      <c r="U134" s="4"/>
    </row>
    <row r="135" spans="11:21">
      <c r="K135" s="4"/>
      <c r="L135" s="4"/>
      <c r="U135" s="4"/>
    </row>
    <row r="136" spans="11:21">
      <c r="K136" s="4"/>
      <c r="L136" s="4"/>
      <c r="U136" s="4"/>
    </row>
    <row r="137" spans="11:21">
      <c r="K137" s="4"/>
      <c r="L137" s="4"/>
      <c r="U137" s="4"/>
    </row>
    <row r="138" spans="11:21">
      <c r="K138" s="4"/>
      <c r="L138" s="4"/>
      <c r="U138" s="4"/>
    </row>
    <row r="139" spans="11:21">
      <c r="K139" s="4"/>
      <c r="L139" s="4"/>
      <c r="U139" s="4"/>
    </row>
    <row r="140" spans="11:21">
      <c r="K140" s="4"/>
      <c r="L140" s="4"/>
      <c r="U140" s="4"/>
    </row>
    <row r="141" spans="11:21">
      <c r="K141" s="4"/>
      <c r="L141" s="4"/>
      <c r="U141" s="4"/>
    </row>
    <row r="142" spans="11:21">
      <c r="K142" s="4"/>
      <c r="L142" s="4"/>
      <c r="U142" s="4"/>
    </row>
    <row r="143" spans="11:21">
      <c r="K143" s="4"/>
      <c r="L143" s="4"/>
      <c r="U143" s="4"/>
    </row>
    <row r="144" spans="11:21">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3:21">
      <c r="K161" s="4"/>
      <c r="L161" s="4"/>
      <c r="U161" s="4"/>
    </row>
    <row r="162" spans="3:21">
      <c r="K162" s="4"/>
      <c r="L162" s="4"/>
      <c r="U162" s="4"/>
    </row>
    <row r="163" spans="3:21">
      <c r="K163" s="4"/>
      <c r="L163" s="4"/>
      <c r="U163" s="4"/>
    </row>
    <row r="164" spans="3:21">
      <c r="K164" s="4"/>
      <c r="L164" s="4"/>
      <c r="U164" s="4"/>
    </row>
    <row r="165" spans="3:21">
      <c r="K165" s="4"/>
      <c r="L165" s="4"/>
      <c r="U165" s="4"/>
    </row>
    <row r="166" spans="3:21">
      <c r="K166" s="6"/>
      <c r="L166" s="6"/>
      <c r="N166" s="11"/>
      <c r="O166" s="11"/>
      <c r="T166" s="155"/>
      <c r="U166" s="6"/>
    </row>
    <row r="167" spans="3:21" ht="15" customHeight="1">
      <c r="K167" s="6"/>
      <c r="L167" s="6"/>
      <c r="N167" s="11"/>
      <c r="O167" s="11"/>
      <c r="T167" s="155"/>
      <c r="U167" s="6"/>
    </row>
    <row r="168" spans="3:21" ht="15" customHeight="1">
      <c r="K168" s="6"/>
      <c r="L168" s="6"/>
      <c r="N168" s="11"/>
      <c r="O168" s="11"/>
      <c r="T168" s="155"/>
      <c r="U168" s="6"/>
    </row>
    <row r="169" spans="3:21" ht="15" customHeight="1">
      <c r="K169" s="6"/>
      <c r="L169" s="6"/>
      <c r="N169" s="11"/>
      <c r="O169" s="11"/>
      <c r="T169" s="155"/>
      <c r="U169" s="6"/>
    </row>
    <row r="170" spans="3:21" ht="15" customHeight="1">
      <c r="K170" s="6"/>
      <c r="N170" s="11"/>
      <c r="O170" s="11"/>
      <c r="T170" s="155"/>
      <c r="U170" s="6"/>
    </row>
    <row r="171" spans="3:21" ht="15" customHeight="1">
      <c r="K171" s="6"/>
      <c r="L171" s="6"/>
      <c r="N171" s="11"/>
      <c r="O171" s="11"/>
      <c r="T171" s="155"/>
      <c r="U171" s="6"/>
    </row>
    <row r="172" spans="3:21" ht="15" customHeight="1">
      <c r="K172" s="6"/>
      <c r="L172" s="6"/>
      <c r="N172" s="11"/>
      <c r="O172" s="11"/>
      <c r="T172" s="155"/>
      <c r="U172" s="6"/>
    </row>
    <row r="173" spans="3:21" ht="15" customHeight="1">
      <c r="K173" s="6"/>
      <c r="L173" s="6"/>
      <c r="N173" s="11"/>
      <c r="O173" s="11"/>
      <c r="T173" s="155"/>
      <c r="U173" s="6"/>
    </row>
    <row r="174" spans="3:21" ht="15" customHeight="1">
      <c r="K174" s="6"/>
      <c r="L174" s="6"/>
      <c r="N174" s="11"/>
      <c r="O174" s="11"/>
      <c r="T174" s="155"/>
      <c r="U174" s="6"/>
    </row>
    <row r="175" spans="3:21">
      <c r="N175" s="11"/>
      <c r="O175" s="11"/>
      <c r="T175" s="155"/>
    </row>
    <row r="176" spans="3:21" ht="15" customHeight="1">
      <c r="C176" s="8"/>
      <c r="F176" s="8"/>
      <c r="J176" s="8"/>
      <c r="N176" s="11"/>
      <c r="O176" s="11"/>
      <c r="T176" s="155"/>
    </row>
    <row r="177" spans="3:20">
      <c r="N177" s="11"/>
      <c r="O177" s="11"/>
      <c r="T177" s="155"/>
    </row>
    <row r="178" spans="3:20" ht="15" customHeight="1">
      <c r="N178" s="11"/>
      <c r="O178" s="11"/>
      <c r="T178" s="155"/>
    </row>
    <row r="179" spans="3:20" ht="15" customHeight="1">
      <c r="C179" s="9"/>
      <c r="F179" s="9"/>
    </row>
    <row r="181" spans="3:20" ht="15" customHeight="1">
      <c r="C181" s="8"/>
      <c r="F181" s="8"/>
    </row>
    <row r="184" spans="3:20" ht="15" customHeight="1">
      <c r="C184" s="9"/>
      <c r="F184" s="9"/>
    </row>
  </sheetData>
  <autoFilter ref="A2:AD113" xr:uid="{A0872D2E-CA91-4628-AF55-6EA17D54F5B9}">
    <filterColumn colId="6">
      <filters>
        <filter val="TRUE"/>
      </filters>
    </filterColumn>
  </autoFilter>
  <sortState xmlns:xlrd2="http://schemas.microsoft.com/office/spreadsheetml/2017/richdata2" ref="J3:K104">
    <sortCondition ref="J104"/>
  </sortState>
  <mergeCells count="7">
    <mergeCell ref="AB1:AC1"/>
    <mergeCell ref="X1:AA1"/>
    <mergeCell ref="B1:C1"/>
    <mergeCell ref="E1:F1"/>
    <mergeCell ref="J1:K1"/>
    <mergeCell ref="N1:O1"/>
    <mergeCell ref="T1:U1"/>
  </mergeCells>
  <phoneticPr fontId="3" type="noConversion"/>
  <conditionalFormatting sqref="D90 H90:I90 L90:M90 P90 R90:S90">
    <cfRule type="cellIs" dxfId="14" priority="17" operator="greaterThan">
      <formula>500</formula>
    </cfRule>
    <cfRule type="cellIs" dxfId="13" priority="18" operator="lessThan">
      <formula>-100</formula>
    </cfRule>
  </conditionalFormatting>
  <conditionalFormatting sqref="J2:J116 J118:J124 J126:J175">
    <cfRule type="cellIs" dxfId="12" priority="7" operator="greaterThan">
      <formula>500</formula>
    </cfRule>
  </conditionalFormatting>
  <conditionalFormatting sqref="J3:J116 J118:J124 J126:J174">
    <cfRule type="cellIs" dxfId="11" priority="11" operator="lessThan">
      <formula>-100</formula>
    </cfRule>
  </conditionalFormatting>
  <conditionalFormatting sqref="J177:J1048576">
    <cfRule type="cellIs" dxfId="10" priority="30" operator="greaterThan">
      <formula>500</formula>
    </cfRule>
  </conditionalFormatting>
  <conditionalFormatting sqref="K2">
    <cfRule type="cellIs" dxfId="9" priority="31" operator="lessThan">
      <formula>-20%</formula>
    </cfRule>
  </conditionalFormatting>
  <conditionalFormatting sqref="K3:K124 K126:K1048576">
    <cfRule type="cellIs" dxfId="8" priority="14" operator="lessThan">
      <formula>-0.2</formula>
    </cfRule>
  </conditionalFormatting>
  <conditionalFormatting sqref="K3:L3 L4:L78 K4:K124 L80:L89 L91:L124 L126:L170 K126:K174">
    <cfRule type="cellIs" dxfId="7" priority="35" operator="greaterThan">
      <formula>0.2</formula>
    </cfRule>
  </conditionalFormatting>
  <conditionalFormatting sqref="U3:U174">
    <cfRule type="cellIs" dxfId="6" priority="33" operator="greaterThan">
      <formula>0.5</formula>
    </cfRule>
  </conditionalFormatting>
  <conditionalFormatting sqref="AD3:AD113">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17">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B54"/>
  <sheetViews>
    <sheetView topLeftCell="H102" zoomScale="85" zoomScaleNormal="85" workbookViewId="0">
      <selection activeCell="Z42" sqref="Z42"/>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7" width="16.42578125" customWidth="1"/>
  </cols>
  <sheetData>
    <row r="1" spans="1:28" ht="15.75" thickBot="1">
      <c r="A1" s="38" t="s">
        <v>1045</v>
      </c>
      <c r="B1" s="60" t="s">
        <v>1046</v>
      </c>
      <c r="C1" s="60" t="s">
        <v>1047</v>
      </c>
      <c r="D1" s="60" t="s">
        <v>1048</v>
      </c>
      <c r="E1" s="60" t="s">
        <v>1049</v>
      </c>
      <c r="F1" s="60" t="s">
        <v>1050</v>
      </c>
      <c r="G1" s="60" t="s">
        <v>1051</v>
      </c>
      <c r="H1" s="60" t="s">
        <v>1052</v>
      </c>
      <c r="I1" s="60" t="s">
        <v>1053</v>
      </c>
      <c r="J1" s="60" t="s">
        <v>1054</v>
      </c>
      <c r="K1" s="60" t="s">
        <v>1055</v>
      </c>
      <c r="L1" s="60" t="s">
        <v>1056</v>
      </c>
      <c r="M1" s="60" t="s">
        <v>1057</v>
      </c>
      <c r="N1" s="60" t="s">
        <v>1058</v>
      </c>
      <c r="O1" s="60" t="s">
        <v>1059</v>
      </c>
      <c r="P1" s="60" t="s">
        <v>1060</v>
      </c>
      <c r="Q1" s="60" t="s">
        <v>1061</v>
      </c>
      <c r="R1" s="60" t="s">
        <v>1062</v>
      </c>
      <c r="S1" s="60" t="s">
        <v>1063</v>
      </c>
      <c r="T1" s="60" t="s">
        <v>1064</v>
      </c>
      <c r="U1" s="60" t="s">
        <v>1065</v>
      </c>
      <c r="V1" s="60" t="s">
        <v>1066</v>
      </c>
      <c r="W1" s="60" t="s">
        <v>1067</v>
      </c>
      <c r="X1" s="60" t="s">
        <v>1068</v>
      </c>
      <c r="Y1" s="61" t="s">
        <v>1069</v>
      </c>
      <c r="Z1" s="61" t="s">
        <v>1070</v>
      </c>
      <c r="AA1" s="61" t="s">
        <v>1071</v>
      </c>
      <c r="AB1" s="29"/>
    </row>
    <row r="2" spans="1:28">
      <c r="A2" s="62" t="s">
        <v>1072</v>
      </c>
      <c r="B2" s="63">
        <v>4932070</v>
      </c>
      <c r="C2" s="63">
        <v>4882291</v>
      </c>
      <c r="D2" s="63">
        <v>5747107</v>
      </c>
      <c r="E2" s="63">
        <v>5558578</v>
      </c>
      <c r="F2" s="63">
        <v>5608447</v>
      </c>
      <c r="G2" s="63">
        <v>5365821</v>
      </c>
      <c r="H2" s="63">
        <v>6175048</v>
      </c>
      <c r="I2" s="63">
        <v>6208913</v>
      </c>
      <c r="J2" s="63">
        <v>6107157</v>
      </c>
      <c r="K2" s="63">
        <v>6062880</v>
      </c>
      <c r="L2" s="63">
        <v>6409021</v>
      </c>
      <c r="M2" s="63">
        <v>5849059</v>
      </c>
      <c r="N2" s="103">
        <v>7678962</v>
      </c>
      <c r="O2" s="63">
        <v>8708296</v>
      </c>
      <c r="P2" s="63">
        <v>10429669.960000001</v>
      </c>
      <c r="Q2" s="63">
        <v>12527965</v>
      </c>
      <c r="R2" s="63">
        <v>12400737</v>
      </c>
      <c r="S2" s="63">
        <v>12318165</v>
      </c>
      <c r="T2" s="63">
        <v>13296822</v>
      </c>
      <c r="U2" s="63">
        <v>12427810.4</v>
      </c>
      <c r="V2" s="63">
        <v>12425462.310000001</v>
      </c>
      <c r="W2" s="63">
        <v>13116754.92</v>
      </c>
      <c r="X2" s="63">
        <v>13168808.529999999</v>
      </c>
      <c r="Y2" s="99">
        <v>13467008.08</v>
      </c>
      <c r="Z2" s="138">
        <v>16902826.940000001</v>
      </c>
      <c r="AA2" s="138">
        <v>17685415.640000001</v>
      </c>
      <c r="AB2" s="29"/>
    </row>
    <row r="3" spans="1:28">
      <c r="A3" s="65" t="s">
        <v>1073</v>
      </c>
      <c r="B3" s="66">
        <v>2297147</v>
      </c>
      <c r="C3" s="66">
        <v>2150420</v>
      </c>
      <c r="D3" s="66">
        <v>2629984</v>
      </c>
      <c r="E3" s="66">
        <v>2521569</v>
      </c>
      <c r="F3" s="66">
        <v>2259914</v>
      </c>
      <c r="G3" s="66">
        <v>2519256</v>
      </c>
      <c r="H3" s="66">
        <v>2827089</v>
      </c>
      <c r="I3" s="66">
        <v>2875100</v>
      </c>
      <c r="J3" s="66">
        <v>3207713</v>
      </c>
      <c r="K3" s="66">
        <v>2859584</v>
      </c>
      <c r="L3" s="66">
        <v>3081446</v>
      </c>
      <c r="M3" s="66">
        <v>3056146</v>
      </c>
      <c r="N3" s="104">
        <v>3844080</v>
      </c>
      <c r="O3" s="66">
        <v>3634529</v>
      </c>
      <c r="P3" s="66">
        <v>3706201</v>
      </c>
      <c r="Q3" s="66">
        <v>3814600</v>
      </c>
      <c r="R3" s="66">
        <v>3900991</v>
      </c>
      <c r="S3" s="66">
        <v>3690019</v>
      </c>
      <c r="T3" s="66">
        <v>3951398</v>
      </c>
      <c r="U3" s="66">
        <v>3583522.44</v>
      </c>
      <c r="V3" s="66">
        <v>3864300.73</v>
      </c>
      <c r="W3" s="66">
        <v>4230378.59</v>
      </c>
      <c r="X3" s="66">
        <v>4478555.7300000004</v>
      </c>
      <c r="Y3" s="100">
        <v>4536415</v>
      </c>
      <c r="Z3" s="142">
        <v>5536315.4100000001</v>
      </c>
      <c r="AA3" s="142">
        <v>5487073.7100000009</v>
      </c>
      <c r="AB3" s="29"/>
    </row>
    <row r="4" spans="1:28">
      <c r="A4" s="67" t="s">
        <v>1074</v>
      </c>
      <c r="B4" s="68">
        <v>1279804</v>
      </c>
      <c r="C4" s="68">
        <v>1268372</v>
      </c>
      <c r="D4" s="68">
        <v>1573830</v>
      </c>
      <c r="E4" s="68">
        <v>1506528</v>
      </c>
      <c r="F4" s="68">
        <v>1655029</v>
      </c>
      <c r="G4" s="68">
        <v>1700272</v>
      </c>
      <c r="H4" s="68">
        <v>2169477</v>
      </c>
      <c r="I4" s="68">
        <v>2248226</v>
      </c>
      <c r="J4" s="68">
        <v>2556442</v>
      </c>
      <c r="K4" s="68">
        <v>2514905</v>
      </c>
      <c r="L4" s="68">
        <v>2557339</v>
      </c>
      <c r="M4" s="68">
        <v>2415591</v>
      </c>
      <c r="N4" s="105">
        <v>2984457</v>
      </c>
      <c r="O4" s="68">
        <v>2977315</v>
      </c>
      <c r="P4" s="68">
        <v>3001644</v>
      </c>
      <c r="Q4" s="68">
        <v>3078498</v>
      </c>
      <c r="R4" s="68">
        <v>3417854</v>
      </c>
      <c r="S4" s="68">
        <v>2883462</v>
      </c>
      <c r="T4" s="68">
        <v>2983823.16</v>
      </c>
      <c r="U4" s="68">
        <v>2907226.21</v>
      </c>
      <c r="V4" s="68">
        <v>3099136.78</v>
      </c>
      <c r="W4" s="68">
        <v>3166072.06</v>
      </c>
      <c r="X4" s="68">
        <v>3138932.53</v>
      </c>
      <c r="Y4" s="101">
        <v>2941749.11</v>
      </c>
      <c r="Z4" s="143">
        <v>3609131</v>
      </c>
      <c r="AA4" s="143">
        <v>3670417.9999999991</v>
      </c>
      <c r="AB4" s="29"/>
    </row>
    <row r="5" spans="1:28" ht="15.75" thickBot="1">
      <c r="A5" s="69" t="s">
        <v>1075</v>
      </c>
      <c r="B5" s="70">
        <v>8509021</v>
      </c>
      <c r="C5" s="70">
        <v>8301083</v>
      </c>
      <c r="D5" s="70">
        <v>9950921</v>
      </c>
      <c r="E5" s="70">
        <v>9586675</v>
      </c>
      <c r="F5" s="70">
        <v>9523390</v>
      </c>
      <c r="G5" s="70">
        <v>9585349</v>
      </c>
      <c r="H5" s="70">
        <v>11171614</v>
      </c>
      <c r="I5" s="70">
        <v>11332239</v>
      </c>
      <c r="J5" s="70">
        <v>11871312</v>
      </c>
      <c r="K5" s="70">
        <v>11437369</v>
      </c>
      <c r="L5" s="70">
        <v>12047806</v>
      </c>
      <c r="M5" s="70">
        <v>11320796</v>
      </c>
      <c r="N5" s="106">
        <v>14507499</v>
      </c>
      <c r="O5" s="70">
        <v>15320140</v>
      </c>
      <c r="P5" s="70">
        <v>17137514.960000001</v>
      </c>
      <c r="Q5" s="70">
        <v>19421063</v>
      </c>
      <c r="R5" s="70">
        <v>19719582</v>
      </c>
      <c r="S5" s="70">
        <v>18891646</v>
      </c>
      <c r="T5" s="70">
        <v>20232043.16</v>
      </c>
      <c r="U5" s="70">
        <v>18918559.050000001</v>
      </c>
      <c r="V5" s="70">
        <v>19388899.82</v>
      </c>
      <c r="W5" s="70">
        <v>20513205.57</v>
      </c>
      <c r="X5" s="70">
        <v>20786296.789999999</v>
      </c>
      <c r="Y5" s="102">
        <f>SUM(Y2:Y4)</f>
        <v>20945172.189999998</v>
      </c>
      <c r="Z5" s="144">
        <f>SUM(Z2:Z4)</f>
        <v>26048273.350000001</v>
      </c>
      <c r="AA5" s="144">
        <f>SUM(AA2:AA4)</f>
        <v>26842907.350000001</v>
      </c>
      <c r="AB5" s="29"/>
    </row>
    <row r="6" spans="1:28">
      <c r="A6" s="71"/>
      <c r="B6" s="71"/>
      <c r="C6" s="71"/>
      <c r="D6" s="71"/>
      <c r="E6" s="71"/>
      <c r="F6" s="71"/>
      <c r="G6" s="71"/>
      <c r="H6" s="71"/>
      <c r="I6" s="71"/>
      <c r="J6" s="71"/>
      <c r="K6" s="71"/>
      <c r="L6" s="71"/>
      <c r="M6" s="71"/>
      <c r="N6" s="71"/>
      <c r="O6" s="71"/>
      <c r="P6" s="71"/>
      <c r="Q6" s="71"/>
      <c r="R6" s="71"/>
      <c r="S6" s="71"/>
      <c r="T6" s="71"/>
      <c r="U6" s="64"/>
      <c r="V6" s="64"/>
      <c r="W6" s="64"/>
      <c r="X6" s="64"/>
      <c r="Y6" s="64"/>
      <c r="Z6" s="64"/>
      <c r="AA6" s="64"/>
      <c r="AB6" s="158"/>
    </row>
    <row r="7" spans="1:28" ht="15.75" thickBo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163"/>
    </row>
    <row r="8" spans="1:28" ht="15.75" thickBot="1">
      <c r="A8" s="38" t="s">
        <v>1076</v>
      </c>
      <c r="B8" s="60" t="s">
        <v>1046</v>
      </c>
      <c r="C8" s="60" t="s">
        <v>1047</v>
      </c>
      <c r="D8" s="60" t="s">
        <v>1048</v>
      </c>
      <c r="E8" s="60" t="s">
        <v>1049</v>
      </c>
      <c r="F8" s="60" t="s">
        <v>1050</v>
      </c>
      <c r="G8" s="60" t="s">
        <v>1051</v>
      </c>
      <c r="H8" s="60" t="s">
        <v>1052</v>
      </c>
      <c r="I8" s="60" t="s">
        <v>1053</v>
      </c>
      <c r="J8" s="60" t="s">
        <v>1054</v>
      </c>
      <c r="K8" s="60" t="s">
        <v>1055</v>
      </c>
      <c r="L8" s="60" t="s">
        <v>1056</v>
      </c>
      <c r="M8" s="60" t="s">
        <v>1057</v>
      </c>
      <c r="N8" s="60" t="s">
        <v>1058</v>
      </c>
      <c r="O8" s="60" t="s">
        <v>1059</v>
      </c>
      <c r="P8" s="60" t="s">
        <v>1060</v>
      </c>
      <c r="Q8" s="60" t="s">
        <v>1061</v>
      </c>
      <c r="R8" s="60" t="s">
        <v>1062</v>
      </c>
      <c r="S8" s="60" t="s">
        <v>1063</v>
      </c>
      <c r="T8" s="60" t="s">
        <v>1064</v>
      </c>
      <c r="U8" s="60" t="s">
        <v>1065</v>
      </c>
      <c r="V8" s="60" t="s">
        <v>1066</v>
      </c>
      <c r="W8" s="60" t="s">
        <v>1067</v>
      </c>
      <c r="X8" s="60" t="s">
        <v>1068</v>
      </c>
      <c r="Y8" s="61" t="s">
        <v>1069</v>
      </c>
      <c r="Z8" s="61" t="s">
        <v>1070</v>
      </c>
      <c r="AA8" s="61" t="s">
        <v>1071</v>
      </c>
      <c r="AB8" s="29"/>
    </row>
    <row r="9" spans="1:28">
      <c r="A9" s="62" t="s">
        <v>1072</v>
      </c>
      <c r="B9" s="72"/>
      <c r="C9" s="72"/>
      <c r="D9" s="72"/>
      <c r="E9" s="72"/>
      <c r="F9" s="72"/>
      <c r="G9" s="72"/>
      <c r="H9" s="72"/>
      <c r="I9" s="63">
        <v>1904424</v>
      </c>
      <c r="J9" s="63">
        <v>1695098</v>
      </c>
      <c r="K9" s="63">
        <v>1666813</v>
      </c>
      <c r="L9" s="63">
        <v>1750099</v>
      </c>
      <c r="M9" s="63">
        <v>1643527</v>
      </c>
      <c r="N9" s="103">
        <v>2406151</v>
      </c>
      <c r="O9" s="63">
        <v>2919412.87</v>
      </c>
      <c r="P9" s="63">
        <v>3048758.81</v>
      </c>
      <c r="Q9" s="63">
        <v>3106780.26</v>
      </c>
      <c r="R9" s="63">
        <v>2784737.18</v>
      </c>
      <c r="S9" s="63">
        <v>3492681.52</v>
      </c>
      <c r="T9" s="63">
        <v>4066064.7</v>
      </c>
      <c r="U9" s="63">
        <v>3748577.68</v>
      </c>
      <c r="V9" s="63">
        <v>3443396.96</v>
      </c>
      <c r="W9" s="63">
        <v>3525797.52</v>
      </c>
      <c r="X9" s="63">
        <v>3658847.17</v>
      </c>
      <c r="Y9" s="99">
        <v>3834500.07</v>
      </c>
      <c r="Z9" s="137">
        <v>5020104.29</v>
      </c>
      <c r="AA9" s="137">
        <v>5590028.4100000001</v>
      </c>
      <c r="AB9" s="29"/>
    </row>
    <row r="10" spans="1:28">
      <c r="A10" s="65" t="s">
        <v>1073</v>
      </c>
      <c r="B10" s="73"/>
      <c r="C10" s="73"/>
      <c r="D10" s="73"/>
      <c r="E10" s="73"/>
      <c r="F10" s="73"/>
      <c r="G10" s="73"/>
      <c r="H10" s="73"/>
      <c r="I10" s="66">
        <v>706024</v>
      </c>
      <c r="J10" s="66">
        <v>780336</v>
      </c>
      <c r="K10" s="66">
        <v>681505.29</v>
      </c>
      <c r="L10" s="66">
        <v>757472</v>
      </c>
      <c r="M10" s="66">
        <v>689408</v>
      </c>
      <c r="N10" s="104">
        <v>1042938</v>
      </c>
      <c r="O10" s="66">
        <v>993958</v>
      </c>
      <c r="P10" s="66">
        <v>1014061</v>
      </c>
      <c r="Q10" s="66">
        <v>988563</v>
      </c>
      <c r="R10" s="66">
        <v>976671</v>
      </c>
      <c r="S10" s="66">
        <v>810220</v>
      </c>
      <c r="T10" s="66">
        <v>880304</v>
      </c>
      <c r="U10" s="66">
        <v>819190</v>
      </c>
      <c r="V10" s="66">
        <v>844494</v>
      </c>
      <c r="W10" s="66">
        <v>986509</v>
      </c>
      <c r="X10" s="66">
        <v>1077277</v>
      </c>
      <c r="Y10" s="100">
        <v>1149351</v>
      </c>
      <c r="Z10" s="139">
        <v>1516609</v>
      </c>
      <c r="AA10" s="139">
        <v>1641173.6800000006</v>
      </c>
      <c r="AB10" s="29"/>
    </row>
    <row r="11" spans="1:28">
      <c r="A11" s="67" t="s">
        <v>1074</v>
      </c>
      <c r="B11" s="74"/>
      <c r="C11" s="74"/>
      <c r="D11" s="74"/>
      <c r="E11" s="74"/>
      <c r="F11" s="74"/>
      <c r="G11" s="74"/>
      <c r="H11" s="74"/>
      <c r="I11" s="68">
        <v>601219</v>
      </c>
      <c r="J11" s="68">
        <v>693403</v>
      </c>
      <c r="K11" s="68">
        <v>656364.23</v>
      </c>
      <c r="L11" s="68">
        <v>695530</v>
      </c>
      <c r="M11" s="68">
        <v>708403</v>
      </c>
      <c r="N11" s="105">
        <v>973949</v>
      </c>
      <c r="O11" s="68">
        <v>951983</v>
      </c>
      <c r="P11" s="68">
        <v>931209</v>
      </c>
      <c r="Q11" s="68">
        <v>895312</v>
      </c>
      <c r="R11" s="68">
        <v>1019778</v>
      </c>
      <c r="S11" s="68">
        <v>790104</v>
      </c>
      <c r="T11" s="68">
        <v>808969</v>
      </c>
      <c r="U11" s="68">
        <v>809964</v>
      </c>
      <c r="V11" s="68">
        <v>874705</v>
      </c>
      <c r="W11" s="68">
        <v>857979</v>
      </c>
      <c r="X11" s="68">
        <v>789235</v>
      </c>
      <c r="Y11" s="101">
        <v>795115</v>
      </c>
      <c r="Z11" s="140">
        <v>1098357</v>
      </c>
      <c r="AA11" s="140">
        <v>1160975.4900000002</v>
      </c>
      <c r="AB11" s="29"/>
    </row>
    <row r="12" spans="1:28" ht="15.75" thickBot="1">
      <c r="A12" s="69" t="s">
        <v>1075</v>
      </c>
      <c r="B12" s="75"/>
      <c r="C12" s="75"/>
      <c r="D12" s="75"/>
      <c r="E12" s="75"/>
      <c r="F12" s="75"/>
      <c r="G12" s="75"/>
      <c r="H12" s="75"/>
      <c r="I12" s="70">
        <v>3211667</v>
      </c>
      <c r="J12" s="70">
        <v>3168837</v>
      </c>
      <c r="K12" s="70">
        <v>3004682.52</v>
      </c>
      <c r="L12" s="70">
        <v>3203101</v>
      </c>
      <c r="M12" s="70">
        <v>3041338</v>
      </c>
      <c r="N12" s="106">
        <v>4423038</v>
      </c>
      <c r="O12" s="70">
        <v>4865353.87</v>
      </c>
      <c r="P12" s="70">
        <v>4994028.8099999996</v>
      </c>
      <c r="Q12" s="70">
        <v>4990655.26</v>
      </c>
      <c r="R12" s="70">
        <v>4781186.18</v>
      </c>
      <c r="S12" s="70">
        <v>5093005.5199999996</v>
      </c>
      <c r="T12" s="70">
        <v>5755337.7000000002</v>
      </c>
      <c r="U12" s="70">
        <v>5377731.6799999997</v>
      </c>
      <c r="V12" s="70">
        <v>5162595.96</v>
      </c>
      <c r="W12" s="70">
        <v>5370285.5199999996</v>
      </c>
      <c r="X12" s="70">
        <v>5525359.1699999999</v>
      </c>
      <c r="Y12" s="102">
        <v>5778966.0700000003</v>
      </c>
      <c r="Z12" s="141">
        <f>SUM(Z9:Z11)</f>
        <v>7635070.29</v>
      </c>
      <c r="AA12" s="141">
        <f>SUM(AA9:AA11)</f>
        <v>8392177.5800000019</v>
      </c>
      <c r="AB12" s="29"/>
    </row>
    <row r="13" spans="1:28">
      <c r="A13" s="71"/>
      <c r="B13" s="71"/>
      <c r="C13" s="71"/>
      <c r="D13" s="71"/>
      <c r="E13" s="71"/>
      <c r="F13" s="71"/>
      <c r="G13" s="71"/>
      <c r="H13" s="71"/>
      <c r="I13" s="71"/>
      <c r="J13" s="71"/>
      <c r="K13" s="71"/>
      <c r="L13" s="71"/>
      <c r="M13" s="71"/>
      <c r="N13" s="64"/>
      <c r="O13" s="64"/>
      <c r="P13" s="64"/>
      <c r="Q13" s="64"/>
      <c r="R13" s="64"/>
      <c r="S13" s="64"/>
      <c r="T13" s="64"/>
      <c r="U13" s="64"/>
      <c r="V13" s="64"/>
      <c r="W13" s="64"/>
      <c r="X13" s="64"/>
      <c r="Y13" s="64"/>
      <c r="Z13" s="64"/>
      <c r="AA13" s="29"/>
      <c r="AB13" s="29"/>
    </row>
    <row r="14" spans="1:28" ht="15.75" thickBo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B14" s="149"/>
    </row>
    <row r="15" spans="1:28" ht="15.75" thickBot="1">
      <c r="A15" s="38" t="s">
        <v>1077</v>
      </c>
      <c r="B15" s="60" t="s">
        <v>1046</v>
      </c>
      <c r="C15" s="60" t="s">
        <v>1047</v>
      </c>
      <c r="D15" s="60" t="s">
        <v>1048</v>
      </c>
      <c r="E15" s="60" t="s">
        <v>1049</v>
      </c>
      <c r="F15" s="60" t="s">
        <v>1050</v>
      </c>
      <c r="G15" s="60" t="s">
        <v>1051</v>
      </c>
      <c r="H15" s="60" t="s">
        <v>1052</v>
      </c>
      <c r="I15" s="60" t="s">
        <v>1053</v>
      </c>
      <c r="J15" s="60" t="s">
        <v>1054</v>
      </c>
      <c r="K15" s="60" t="s">
        <v>1055</v>
      </c>
      <c r="L15" s="60" t="s">
        <v>1056</v>
      </c>
      <c r="M15" s="60" t="s">
        <v>1057</v>
      </c>
      <c r="N15" s="60" t="s">
        <v>1058</v>
      </c>
      <c r="O15" s="60" t="s">
        <v>1059</v>
      </c>
      <c r="P15" s="60" t="s">
        <v>1060</v>
      </c>
      <c r="Q15" s="60" t="s">
        <v>1061</v>
      </c>
      <c r="R15" s="60" t="s">
        <v>1062</v>
      </c>
      <c r="S15" s="60" t="s">
        <v>1063</v>
      </c>
      <c r="T15" s="60" t="s">
        <v>1064</v>
      </c>
      <c r="U15" s="60" t="s">
        <v>1065</v>
      </c>
      <c r="V15" s="60" t="s">
        <v>1066</v>
      </c>
      <c r="W15" s="60" t="s">
        <v>1067</v>
      </c>
      <c r="X15" s="60" t="s">
        <v>1068</v>
      </c>
      <c r="Y15" s="61" t="s">
        <v>1069</v>
      </c>
      <c r="Z15" s="61" t="s">
        <v>1070</v>
      </c>
      <c r="AA15" s="61" t="s">
        <v>1071</v>
      </c>
      <c r="AB15" s="29"/>
    </row>
    <row r="16" spans="1:28">
      <c r="A16" s="62" t="s">
        <v>1072</v>
      </c>
      <c r="B16" s="72"/>
      <c r="C16" s="63">
        <v>281621</v>
      </c>
      <c r="D16" s="63">
        <v>273878</v>
      </c>
      <c r="E16" s="63">
        <v>277809</v>
      </c>
      <c r="F16" s="63">
        <v>254443</v>
      </c>
      <c r="G16" s="63">
        <v>260570</v>
      </c>
      <c r="H16" s="63">
        <v>336892</v>
      </c>
      <c r="I16" s="63">
        <v>353937</v>
      </c>
      <c r="J16" s="63">
        <v>290810</v>
      </c>
      <c r="K16" s="63">
        <v>287548</v>
      </c>
      <c r="L16" s="63">
        <v>293581</v>
      </c>
      <c r="M16" s="63">
        <v>260800</v>
      </c>
      <c r="N16" s="103">
        <v>391789.03</v>
      </c>
      <c r="O16" s="63">
        <v>456957.97</v>
      </c>
      <c r="P16" s="63">
        <v>433741.56</v>
      </c>
      <c r="Q16" s="63">
        <v>417240.93</v>
      </c>
      <c r="R16" s="63">
        <v>378268.57</v>
      </c>
      <c r="S16" s="63">
        <v>447394</v>
      </c>
      <c r="T16" s="63">
        <v>520052.15</v>
      </c>
      <c r="U16" s="63">
        <v>506057.84</v>
      </c>
      <c r="V16" s="63">
        <v>490372.32</v>
      </c>
      <c r="W16" s="63">
        <v>483724.33</v>
      </c>
      <c r="X16" s="63">
        <v>522704.26</v>
      </c>
      <c r="Y16" s="99">
        <v>560029.31999999995</v>
      </c>
      <c r="Z16" s="137">
        <v>771258.65</v>
      </c>
      <c r="AA16" s="137">
        <v>792337.80000000098</v>
      </c>
      <c r="AB16" s="29"/>
    </row>
    <row r="17" spans="1:28">
      <c r="A17" s="65" t="s">
        <v>1073</v>
      </c>
      <c r="B17" s="73"/>
      <c r="C17" s="66">
        <v>157254</v>
      </c>
      <c r="D17" s="66">
        <v>174005</v>
      </c>
      <c r="E17" s="66">
        <v>171273</v>
      </c>
      <c r="F17" s="66">
        <v>118695</v>
      </c>
      <c r="G17" s="66">
        <v>125637</v>
      </c>
      <c r="H17" s="66">
        <v>173332</v>
      </c>
      <c r="I17" s="66">
        <v>150428</v>
      </c>
      <c r="J17" s="66">
        <v>151620</v>
      </c>
      <c r="K17" s="66">
        <v>124967</v>
      </c>
      <c r="L17" s="66">
        <v>130035</v>
      </c>
      <c r="M17" s="66">
        <v>120095.34</v>
      </c>
      <c r="N17" s="104">
        <v>195481</v>
      </c>
      <c r="O17" s="66">
        <v>192130</v>
      </c>
      <c r="P17" s="66">
        <v>176189</v>
      </c>
      <c r="Q17" s="66">
        <v>173609</v>
      </c>
      <c r="R17" s="66">
        <v>163129</v>
      </c>
      <c r="S17" s="66">
        <v>151125</v>
      </c>
      <c r="T17" s="66">
        <v>162391</v>
      </c>
      <c r="U17" s="66">
        <v>165932.48000000001</v>
      </c>
      <c r="V17" s="66">
        <v>174978.27</v>
      </c>
      <c r="W17" s="66">
        <v>190435</v>
      </c>
      <c r="X17" s="66">
        <v>218696</v>
      </c>
      <c r="Y17" s="100">
        <v>248084</v>
      </c>
      <c r="Z17" s="139">
        <v>331372</v>
      </c>
      <c r="AA17" s="139">
        <v>329113.70000000007</v>
      </c>
      <c r="AB17" s="29"/>
    </row>
    <row r="18" spans="1:28">
      <c r="A18" s="67" t="s">
        <v>1074</v>
      </c>
      <c r="B18" s="74"/>
      <c r="C18" s="68">
        <v>105644</v>
      </c>
      <c r="D18" s="68">
        <v>123530</v>
      </c>
      <c r="E18" s="68">
        <v>111756</v>
      </c>
      <c r="F18" s="68">
        <v>101708</v>
      </c>
      <c r="G18" s="68">
        <v>115414</v>
      </c>
      <c r="H18" s="68">
        <v>149559</v>
      </c>
      <c r="I18" s="68">
        <v>140607</v>
      </c>
      <c r="J18" s="68">
        <v>149786</v>
      </c>
      <c r="K18" s="68">
        <v>131233</v>
      </c>
      <c r="L18" s="68">
        <v>134895</v>
      </c>
      <c r="M18" s="68">
        <v>135219</v>
      </c>
      <c r="N18" s="105">
        <v>200784</v>
      </c>
      <c r="O18" s="68">
        <v>185443</v>
      </c>
      <c r="P18" s="68">
        <v>173278</v>
      </c>
      <c r="Q18" s="68">
        <v>161823</v>
      </c>
      <c r="R18" s="68">
        <v>174040</v>
      </c>
      <c r="S18" s="68">
        <v>147768</v>
      </c>
      <c r="T18" s="68">
        <v>154351</v>
      </c>
      <c r="U18" s="68">
        <v>166396.01999999999</v>
      </c>
      <c r="V18" s="68">
        <v>184384.8</v>
      </c>
      <c r="W18" s="68">
        <v>169616</v>
      </c>
      <c r="X18" s="68">
        <v>160236</v>
      </c>
      <c r="Y18" s="101">
        <v>168096</v>
      </c>
      <c r="Z18" s="140">
        <v>231151</v>
      </c>
      <c r="AA18" s="140">
        <v>228140.53000000009</v>
      </c>
      <c r="AB18" s="29"/>
    </row>
    <row r="19" spans="1:28" ht="15.75" thickBot="1">
      <c r="A19" s="69" t="s">
        <v>1075</v>
      </c>
      <c r="B19" s="75"/>
      <c r="C19" s="70">
        <v>544519</v>
      </c>
      <c r="D19" s="70">
        <v>571413</v>
      </c>
      <c r="E19" s="70">
        <v>560838</v>
      </c>
      <c r="F19" s="70">
        <v>474846</v>
      </c>
      <c r="G19" s="70">
        <v>501621</v>
      </c>
      <c r="H19" s="70">
        <v>659783</v>
      </c>
      <c r="I19" s="70">
        <v>644972</v>
      </c>
      <c r="J19" s="70">
        <v>592216</v>
      </c>
      <c r="K19" s="70">
        <v>543748</v>
      </c>
      <c r="L19" s="70">
        <v>558511</v>
      </c>
      <c r="M19" s="70">
        <v>516114.34</v>
      </c>
      <c r="N19" s="106">
        <v>788054.03</v>
      </c>
      <c r="O19" s="70">
        <v>834530.97</v>
      </c>
      <c r="P19" s="70">
        <v>783208.56</v>
      </c>
      <c r="Q19" s="70">
        <v>752672.93</v>
      </c>
      <c r="R19" s="70">
        <v>715437.57</v>
      </c>
      <c r="S19" s="70">
        <v>746287</v>
      </c>
      <c r="T19" s="70">
        <v>836794.15</v>
      </c>
      <c r="U19" s="70">
        <v>838386.34</v>
      </c>
      <c r="V19" s="70">
        <v>849735.39</v>
      </c>
      <c r="W19" s="70">
        <v>843775.33</v>
      </c>
      <c r="X19" s="70">
        <v>901636.26</v>
      </c>
      <c r="Y19" s="102">
        <v>976209.32</v>
      </c>
      <c r="Z19" s="141">
        <f>SUM(Z16:Z18)</f>
        <v>1333781.6499999999</v>
      </c>
      <c r="AA19" s="141">
        <f>SUM(AA16:AA18)</f>
        <v>1349592.030000001</v>
      </c>
      <c r="AB19" s="164"/>
    </row>
    <row r="20" spans="1:28">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15.75" thickBo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row>
    <row r="22" spans="1:28" ht="15.75" thickBot="1">
      <c r="A22" s="38" t="s">
        <v>491</v>
      </c>
      <c r="B22" s="60" t="s">
        <v>1046</v>
      </c>
      <c r="C22" s="60" t="s">
        <v>1047</v>
      </c>
      <c r="D22" s="60" t="s">
        <v>1048</v>
      </c>
      <c r="E22" s="60" t="s">
        <v>1049</v>
      </c>
      <c r="F22" s="60" t="s">
        <v>1050</v>
      </c>
      <c r="G22" s="60" t="s">
        <v>1051</v>
      </c>
      <c r="H22" s="60" t="s">
        <v>1052</v>
      </c>
      <c r="I22" s="60" t="s">
        <v>1053</v>
      </c>
      <c r="J22" s="60" t="s">
        <v>1054</v>
      </c>
      <c r="K22" s="60" t="s">
        <v>1055</v>
      </c>
      <c r="L22" s="60" t="s">
        <v>1056</v>
      </c>
      <c r="M22" s="60" t="s">
        <v>1057</v>
      </c>
      <c r="N22" s="60" t="s">
        <v>1058</v>
      </c>
      <c r="O22" s="60" t="s">
        <v>1059</v>
      </c>
      <c r="P22" s="60" t="s">
        <v>1060</v>
      </c>
      <c r="Q22" s="60" t="s">
        <v>1061</v>
      </c>
      <c r="R22" s="60" t="s">
        <v>1062</v>
      </c>
      <c r="S22" s="60" t="s">
        <v>1063</v>
      </c>
      <c r="T22" s="60" t="s">
        <v>1064</v>
      </c>
      <c r="U22" s="60" t="s">
        <v>1065</v>
      </c>
      <c r="V22" s="60" t="s">
        <v>1066</v>
      </c>
      <c r="W22" s="60" t="s">
        <v>1067</v>
      </c>
      <c r="X22" s="60" t="s">
        <v>1068</v>
      </c>
      <c r="Y22" s="61" t="s">
        <v>1069</v>
      </c>
      <c r="Z22" s="61" t="s">
        <v>1070</v>
      </c>
      <c r="AA22" s="61" t="s">
        <v>1071</v>
      </c>
      <c r="AB22" s="29"/>
    </row>
    <row r="23" spans="1:28">
      <c r="A23" s="62" t="s">
        <v>1072</v>
      </c>
      <c r="B23" s="77">
        <v>0</v>
      </c>
      <c r="C23" s="77">
        <v>5.7700000000000001E-2</v>
      </c>
      <c r="D23" s="77">
        <v>4.7699999999999999E-2</v>
      </c>
      <c r="E23" s="77">
        <v>0.05</v>
      </c>
      <c r="F23" s="77">
        <v>4.5400000000000003E-2</v>
      </c>
      <c r="G23" s="77">
        <v>4.8599999999999997E-2</v>
      </c>
      <c r="H23" s="77">
        <v>5.4600000000000003E-2</v>
      </c>
      <c r="I23" s="77">
        <v>5.7000000000000002E-2</v>
      </c>
      <c r="J23" s="77">
        <v>4.7600000000000003E-2</v>
      </c>
      <c r="K23" s="77">
        <v>4.7399999999999998E-2</v>
      </c>
      <c r="L23" s="77">
        <v>4.58E-2</v>
      </c>
      <c r="M23" s="77">
        <v>4.4600000000000001E-2</v>
      </c>
      <c r="N23" s="107">
        <v>5.0999999999999997E-2</v>
      </c>
      <c r="O23" s="77">
        <v>5.2499999999999998E-2</v>
      </c>
      <c r="P23" s="77">
        <v>4.1599999999999998E-2</v>
      </c>
      <c r="Q23" s="77">
        <v>3.3300000000000003E-2</v>
      </c>
      <c r="R23" s="77">
        <v>3.0499999999999999E-2</v>
      </c>
      <c r="S23" s="77">
        <v>3.6299999999999999E-2</v>
      </c>
      <c r="T23" s="77">
        <v>3.9100000000000003E-2</v>
      </c>
      <c r="U23" s="77">
        <v>4.07E-2</v>
      </c>
      <c r="V23" s="77">
        <v>3.95E-2</v>
      </c>
      <c r="W23" s="77">
        <v>3.6900000000000002E-2</v>
      </c>
      <c r="X23" s="77">
        <v>3.9699999999999999E-2</v>
      </c>
      <c r="Y23" s="108">
        <v>3.9699999999999999E-2</v>
      </c>
      <c r="Z23" s="108">
        <f t="shared" ref="Z23:AA26" si="0">Z16/Z2</f>
        <v>4.5628973942509046E-2</v>
      </c>
      <c r="AA23" s="108">
        <f t="shared" si="0"/>
        <v>4.4801762996620247E-2</v>
      </c>
      <c r="AB23" s="29"/>
    </row>
    <row r="24" spans="1:28">
      <c r="A24" s="65" t="s">
        <v>1073</v>
      </c>
      <c r="B24" s="79">
        <v>0</v>
      </c>
      <c r="C24" s="79">
        <v>7.3099999999999998E-2</v>
      </c>
      <c r="D24" s="79">
        <v>6.6199999999999995E-2</v>
      </c>
      <c r="E24" s="79">
        <v>6.7900000000000002E-2</v>
      </c>
      <c r="F24" s="79">
        <v>5.2499999999999998E-2</v>
      </c>
      <c r="G24" s="79">
        <v>4.99E-2</v>
      </c>
      <c r="H24" s="79">
        <v>6.13E-2</v>
      </c>
      <c r="I24" s="79">
        <v>5.2299999999999999E-2</v>
      </c>
      <c r="J24" s="79">
        <v>4.7300000000000002E-2</v>
      </c>
      <c r="K24" s="79">
        <v>4.3700000000000003E-2</v>
      </c>
      <c r="L24" s="79">
        <v>4.2200000000000001E-2</v>
      </c>
      <c r="M24" s="79">
        <v>3.9300000000000002E-2</v>
      </c>
      <c r="N24" s="109">
        <v>5.0900000000000001E-2</v>
      </c>
      <c r="O24" s="79">
        <v>5.2900000000000003E-2</v>
      </c>
      <c r="P24" s="79">
        <v>4.7500000000000001E-2</v>
      </c>
      <c r="Q24" s="79">
        <v>4.5499999999999999E-2</v>
      </c>
      <c r="R24" s="79">
        <v>4.1799999999999997E-2</v>
      </c>
      <c r="S24" s="79">
        <v>4.1000000000000002E-2</v>
      </c>
      <c r="T24" s="79">
        <v>4.1099999999999998E-2</v>
      </c>
      <c r="U24" s="79">
        <v>4.6300000000000001E-2</v>
      </c>
      <c r="V24" s="79">
        <v>4.53E-2</v>
      </c>
      <c r="W24" s="79">
        <v>4.4999999999999998E-2</v>
      </c>
      <c r="X24" s="79">
        <v>4.8800000000000003E-2</v>
      </c>
      <c r="Y24" s="110">
        <v>4.8800000000000003E-2</v>
      </c>
      <c r="Z24" s="110">
        <f t="shared" si="0"/>
        <v>5.9854248802634603E-2</v>
      </c>
      <c r="AA24" s="110">
        <f t="shared" si="0"/>
        <v>5.9979821193253118E-2</v>
      </c>
      <c r="AB24" s="29"/>
    </row>
    <row r="25" spans="1:28">
      <c r="A25" s="67" t="s">
        <v>1074</v>
      </c>
      <c r="B25" s="81">
        <v>0</v>
      </c>
      <c r="C25" s="81">
        <v>8.3299999999999999E-2</v>
      </c>
      <c r="D25" s="81">
        <v>7.85E-2</v>
      </c>
      <c r="E25" s="81">
        <v>7.4200000000000002E-2</v>
      </c>
      <c r="F25" s="81">
        <v>6.1499999999999999E-2</v>
      </c>
      <c r="G25" s="81">
        <v>6.7900000000000002E-2</v>
      </c>
      <c r="H25" s="81">
        <v>6.8900000000000003E-2</v>
      </c>
      <c r="I25" s="81">
        <v>6.25E-2</v>
      </c>
      <c r="J25" s="81">
        <v>5.8599999999999999E-2</v>
      </c>
      <c r="K25" s="81">
        <v>5.2200000000000003E-2</v>
      </c>
      <c r="L25" s="81">
        <v>5.2699999999999997E-2</v>
      </c>
      <c r="M25" s="81">
        <v>5.6000000000000001E-2</v>
      </c>
      <c r="N25" s="111">
        <v>6.7299999999999999E-2</v>
      </c>
      <c r="O25" s="81">
        <v>6.2300000000000001E-2</v>
      </c>
      <c r="P25" s="81">
        <v>5.7700000000000001E-2</v>
      </c>
      <c r="Q25" s="81">
        <v>5.2600000000000001E-2</v>
      </c>
      <c r="R25" s="81">
        <v>5.0900000000000001E-2</v>
      </c>
      <c r="S25" s="81">
        <v>5.1200000000000002E-2</v>
      </c>
      <c r="T25" s="81">
        <v>5.1700000000000003E-2</v>
      </c>
      <c r="U25" s="81">
        <v>5.7200000000000001E-2</v>
      </c>
      <c r="V25" s="81">
        <v>5.9499999999999997E-2</v>
      </c>
      <c r="W25" s="81">
        <v>5.3600000000000002E-2</v>
      </c>
      <c r="X25" s="81">
        <v>5.0999999999999997E-2</v>
      </c>
      <c r="Y25" s="112">
        <v>5.0999999999999997E-2</v>
      </c>
      <c r="Z25" s="112">
        <f t="shared" si="0"/>
        <v>6.4046165129500704E-2</v>
      </c>
      <c r="AA25" s="112">
        <f t="shared" si="0"/>
        <v>6.2156552741404421E-2</v>
      </c>
      <c r="AB25" s="29"/>
    </row>
    <row r="26" spans="1:28" ht="15.75" thickBot="1">
      <c r="A26" s="69" t="s">
        <v>1075</v>
      </c>
      <c r="B26" s="83">
        <v>0</v>
      </c>
      <c r="C26" s="83">
        <v>6.5600000000000006E-2</v>
      </c>
      <c r="D26" s="83">
        <v>5.74E-2</v>
      </c>
      <c r="E26" s="83">
        <v>5.8500000000000003E-2</v>
      </c>
      <c r="F26" s="83">
        <v>4.99E-2</v>
      </c>
      <c r="G26" s="83">
        <v>5.2299999999999999E-2</v>
      </c>
      <c r="H26" s="83">
        <v>5.91E-2</v>
      </c>
      <c r="I26" s="83">
        <v>5.6899999999999999E-2</v>
      </c>
      <c r="J26" s="83">
        <v>4.99E-2</v>
      </c>
      <c r="K26" s="83">
        <v>4.7500000000000001E-2</v>
      </c>
      <c r="L26" s="83">
        <v>4.6399999999999997E-2</v>
      </c>
      <c r="M26" s="83">
        <v>4.5600000000000002E-2</v>
      </c>
      <c r="N26" s="113">
        <v>5.4300000000000001E-2</v>
      </c>
      <c r="O26" s="83">
        <v>5.45E-2</v>
      </c>
      <c r="P26" s="83">
        <v>4.5699999999999998E-2</v>
      </c>
      <c r="Q26" s="83">
        <v>3.8800000000000001E-2</v>
      </c>
      <c r="R26" s="83">
        <v>3.6299999999999999E-2</v>
      </c>
      <c r="S26" s="83">
        <v>3.95E-2</v>
      </c>
      <c r="T26" s="83">
        <v>4.1399999999999999E-2</v>
      </c>
      <c r="U26" s="83">
        <v>4.4299999999999999E-2</v>
      </c>
      <c r="V26" s="83">
        <v>4.3799999999999999E-2</v>
      </c>
      <c r="W26" s="83">
        <v>4.1099999999999998E-2</v>
      </c>
      <c r="X26" s="83">
        <v>4.3400000000000001E-2</v>
      </c>
      <c r="Y26" s="114">
        <v>4.3400000000000001E-2</v>
      </c>
      <c r="Z26" s="114">
        <f t="shared" si="0"/>
        <v>5.1204225020158575E-2</v>
      </c>
      <c r="AA26" s="114">
        <f t="shared" si="0"/>
        <v>5.0277416391708435E-2</v>
      </c>
      <c r="AB26" s="29"/>
    </row>
    <row r="27" spans="1:28">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1:28" ht="15.75" thickBo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ht="15.75" thickBot="1">
      <c r="A29" s="38" t="s">
        <v>1078</v>
      </c>
      <c r="B29" s="60" t="s">
        <v>1046</v>
      </c>
      <c r="C29" s="60" t="s">
        <v>1047</v>
      </c>
      <c r="D29" s="60" t="s">
        <v>1048</v>
      </c>
      <c r="E29" s="60" t="s">
        <v>1049</v>
      </c>
      <c r="F29" s="60" t="s">
        <v>1050</v>
      </c>
      <c r="G29" s="60" t="s">
        <v>1051</v>
      </c>
      <c r="H29" s="60" t="s">
        <v>1052</v>
      </c>
      <c r="I29" s="60" t="s">
        <v>1053</v>
      </c>
      <c r="J29" s="60" t="s">
        <v>1054</v>
      </c>
      <c r="K29" s="60" t="s">
        <v>1055</v>
      </c>
      <c r="L29" s="60" t="s">
        <v>1056</v>
      </c>
      <c r="M29" s="60" t="s">
        <v>1057</v>
      </c>
      <c r="N29" s="60" t="s">
        <v>1058</v>
      </c>
      <c r="O29" s="60" t="s">
        <v>1059</v>
      </c>
      <c r="P29" s="60" t="s">
        <v>1060</v>
      </c>
      <c r="Q29" s="60" t="s">
        <v>1061</v>
      </c>
      <c r="R29" s="60" t="s">
        <v>1062</v>
      </c>
      <c r="S29" s="60" t="s">
        <v>1063</v>
      </c>
      <c r="T29" s="60" t="s">
        <v>1064</v>
      </c>
      <c r="U29" s="60" t="s">
        <v>1065</v>
      </c>
      <c r="V29" s="60" t="s">
        <v>1066</v>
      </c>
      <c r="W29" s="60" t="s">
        <v>1067</v>
      </c>
      <c r="X29" s="60" t="s">
        <v>1068</v>
      </c>
      <c r="Y29" s="61" t="s">
        <v>1069</v>
      </c>
      <c r="Z29" s="61" t="s">
        <v>1070</v>
      </c>
      <c r="AA29" s="61" t="s">
        <v>1071</v>
      </c>
      <c r="AB29" s="29"/>
    </row>
    <row r="30" spans="1:28">
      <c r="A30" s="62" t="s">
        <v>1072</v>
      </c>
      <c r="B30" s="76"/>
      <c r="C30" s="76"/>
      <c r="D30" s="72" t="e">
        <v>#DIV/0!</v>
      </c>
      <c r="E30" s="72" t="e">
        <v>#DIV/0!</v>
      </c>
      <c r="F30" s="72" t="e">
        <v>#DIV/0!</v>
      </c>
      <c r="G30" s="72" t="e">
        <v>#DIV/0!</v>
      </c>
      <c r="H30" s="72" t="e">
        <v>#DIV/0!</v>
      </c>
      <c r="I30" s="77">
        <v>0.18579999999999999</v>
      </c>
      <c r="J30" s="77">
        <v>0.1716</v>
      </c>
      <c r="K30" s="77">
        <v>0.17249999999999999</v>
      </c>
      <c r="L30" s="77">
        <v>0.1678</v>
      </c>
      <c r="M30" s="77">
        <v>0.15870000000000001</v>
      </c>
      <c r="N30" s="107">
        <v>0.1628</v>
      </c>
      <c r="O30" s="77">
        <v>0.1565</v>
      </c>
      <c r="P30" s="77">
        <v>0.14230000000000001</v>
      </c>
      <c r="Q30" s="77">
        <v>0.1343</v>
      </c>
      <c r="R30" s="77">
        <v>0.1358</v>
      </c>
      <c r="S30" s="77">
        <v>0.12809999999999999</v>
      </c>
      <c r="T30" s="77">
        <v>0.12790000000000001</v>
      </c>
      <c r="U30" s="77">
        <v>0.13500000000000001</v>
      </c>
      <c r="V30" s="77">
        <v>0.1424</v>
      </c>
      <c r="W30" s="77">
        <v>0.13719999999999999</v>
      </c>
      <c r="X30" s="77">
        <v>0.1429</v>
      </c>
      <c r="Y30" s="108">
        <v>0.1429</v>
      </c>
      <c r="Z30" s="145">
        <f t="shared" ref="Z30:AA33" si="1">Z16/Z9</f>
        <v>0.15363398954406982</v>
      </c>
      <c r="AA30" s="145">
        <f t="shared" si="1"/>
        <v>0.14174128320753937</v>
      </c>
      <c r="AB30" s="29"/>
    </row>
    <row r="31" spans="1:28">
      <c r="A31" s="65" t="s">
        <v>1073</v>
      </c>
      <c r="B31" s="78"/>
      <c r="C31" s="78"/>
      <c r="D31" s="73" t="e">
        <v>#DIV/0!</v>
      </c>
      <c r="E31" s="73" t="e">
        <v>#DIV/0!</v>
      </c>
      <c r="F31" s="73" t="e">
        <v>#DIV/0!</v>
      </c>
      <c r="G31" s="73" t="e">
        <v>#DIV/0!</v>
      </c>
      <c r="H31" s="73" t="e">
        <v>#DIV/0!</v>
      </c>
      <c r="I31" s="79">
        <v>0.21310000000000001</v>
      </c>
      <c r="J31" s="79">
        <v>0.1943</v>
      </c>
      <c r="K31" s="79">
        <v>0.18340000000000001</v>
      </c>
      <c r="L31" s="79">
        <v>0.17169999999999999</v>
      </c>
      <c r="M31" s="79">
        <v>0.17419999999999999</v>
      </c>
      <c r="N31" s="109">
        <v>0.18740000000000001</v>
      </c>
      <c r="O31" s="79">
        <v>0.1933</v>
      </c>
      <c r="P31" s="79">
        <v>0.17369999999999999</v>
      </c>
      <c r="Q31" s="79">
        <v>0.17560000000000001</v>
      </c>
      <c r="R31" s="79">
        <v>0.16700000000000001</v>
      </c>
      <c r="S31" s="79">
        <v>0.1865</v>
      </c>
      <c r="T31" s="79">
        <v>0.1845</v>
      </c>
      <c r="U31" s="79">
        <v>0.2026</v>
      </c>
      <c r="V31" s="79">
        <v>0.2072</v>
      </c>
      <c r="W31" s="79">
        <v>0.193</v>
      </c>
      <c r="X31" s="79">
        <v>0.20300000000000001</v>
      </c>
      <c r="Y31" s="110">
        <v>0.20300000000000001</v>
      </c>
      <c r="Z31" s="146">
        <f t="shared" si="1"/>
        <v>0.21849534059207087</v>
      </c>
      <c r="AA31" s="146">
        <f t="shared" si="1"/>
        <v>0.20053557037302716</v>
      </c>
      <c r="AB31" s="29"/>
    </row>
    <row r="32" spans="1:28">
      <c r="A32" s="67" t="s">
        <v>1074</v>
      </c>
      <c r="B32" s="80"/>
      <c r="C32" s="80"/>
      <c r="D32" s="74" t="e">
        <v>#DIV/0!</v>
      </c>
      <c r="E32" s="74" t="e">
        <v>#DIV/0!</v>
      </c>
      <c r="F32" s="74" t="e">
        <v>#DIV/0!</v>
      </c>
      <c r="G32" s="74" t="e">
        <v>#DIV/0!</v>
      </c>
      <c r="H32" s="74" t="e">
        <v>#DIV/0!</v>
      </c>
      <c r="I32" s="81">
        <v>0.2339</v>
      </c>
      <c r="J32" s="81">
        <v>0.216</v>
      </c>
      <c r="K32" s="81">
        <v>0.19989999999999999</v>
      </c>
      <c r="L32" s="81">
        <v>0.19389999999999999</v>
      </c>
      <c r="M32" s="81">
        <v>0.19089999999999999</v>
      </c>
      <c r="N32" s="111">
        <v>0.20619999999999999</v>
      </c>
      <c r="O32" s="81">
        <v>0.1948</v>
      </c>
      <c r="P32" s="81">
        <v>0.18609999999999999</v>
      </c>
      <c r="Q32" s="81">
        <v>0.1807</v>
      </c>
      <c r="R32" s="81">
        <v>0.17069999999999999</v>
      </c>
      <c r="S32" s="81">
        <v>0.187</v>
      </c>
      <c r="T32" s="81">
        <v>0.1908</v>
      </c>
      <c r="U32" s="81">
        <v>0.2054</v>
      </c>
      <c r="V32" s="81">
        <v>0.21079999999999999</v>
      </c>
      <c r="W32" s="81">
        <v>0.19769999999999999</v>
      </c>
      <c r="X32" s="81">
        <v>0.20300000000000001</v>
      </c>
      <c r="Y32" s="112">
        <v>0.20300000000000001</v>
      </c>
      <c r="Z32" s="147">
        <f t="shared" si="1"/>
        <v>0.21045161090610795</v>
      </c>
      <c r="AA32" s="147">
        <f t="shared" si="1"/>
        <v>0.1965076196397566</v>
      </c>
      <c r="AB32" s="29"/>
    </row>
    <row r="33" spans="1:28" ht="15.75" thickBot="1">
      <c r="A33" s="69" t="s">
        <v>1075</v>
      </c>
      <c r="B33" s="82"/>
      <c r="C33" s="82"/>
      <c r="D33" s="75" t="e">
        <v>#DIV/0!</v>
      </c>
      <c r="E33" s="75" t="e">
        <v>#DIV/0!</v>
      </c>
      <c r="F33" s="75" t="e">
        <v>#DIV/0!</v>
      </c>
      <c r="G33" s="75" t="e">
        <v>#DIV/0!</v>
      </c>
      <c r="H33" s="75" t="e">
        <v>#DIV/0!</v>
      </c>
      <c r="I33" s="83">
        <v>0.20080000000000001</v>
      </c>
      <c r="J33" s="83">
        <v>0.18690000000000001</v>
      </c>
      <c r="K33" s="83">
        <v>0.18099999999999999</v>
      </c>
      <c r="L33" s="83">
        <v>0.1744</v>
      </c>
      <c r="M33" s="83">
        <v>0.16969999999999999</v>
      </c>
      <c r="N33" s="113">
        <v>0.1782</v>
      </c>
      <c r="O33" s="83">
        <v>0.17150000000000001</v>
      </c>
      <c r="P33" s="83">
        <v>0.15679999999999999</v>
      </c>
      <c r="Q33" s="83">
        <v>0.15079999999999999</v>
      </c>
      <c r="R33" s="83">
        <v>0.14960000000000001</v>
      </c>
      <c r="S33" s="83">
        <v>0.14649999999999999</v>
      </c>
      <c r="T33" s="83">
        <v>0.1454</v>
      </c>
      <c r="U33" s="83">
        <v>0.15590000000000001</v>
      </c>
      <c r="V33" s="83">
        <v>0.1646</v>
      </c>
      <c r="W33" s="83">
        <v>0.15709999999999999</v>
      </c>
      <c r="X33" s="83">
        <v>0.16320000000000001</v>
      </c>
      <c r="Y33" s="114">
        <v>0.16320000000000001</v>
      </c>
      <c r="Z33" s="148">
        <f t="shared" si="1"/>
        <v>0.17469146967080507</v>
      </c>
      <c r="AA33" s="148">
        <f t="shared" si="1"/>
        <v>0.16081547573734739</v>
      </c>
      <c r="AB33" s="29"/>
    </row>
    <row r="34" spans="1:28">
      <c r="A34" s="71"/>
      <c r="B34" s="71"/>
      <c r="C34" s="71"/>
      <c r="D34" s="71"/>
      <c r="E34" s="71"/>
      <c r="F34" s="71"/>
      <c r="G34" s="71"/>
      <c r="H34" s="71"/>
      <c r="I34" s="71"/>
      <c r="J34" s="71"/>
      <c r="K34" s="71"/>
      <c r="L34" s="71"/>
      <c r="M34" s="71"/>
      <c r="N34" s="64"/>
      <c r="O34" s="64"/>
      <c r="P34" s="64"/>
      <c r="Q34" s="64"/>
      <c r="R34" s="64"/>
      <c r="S34" s="64"/>
      <c r="T34" s="64"/>
      <c r="U34" s="64"/>
      <c r="V34" s="64"/>
      <c r="W34" s="64"/>
      <c r="X34" s="64"/>
      <c r="Y34" s="64"/>
      <c r="Z34" s="64"/>
      <c r="AA34" s="64"/>
      <c r="AB34" s="29"/>
    </row>
    <row r="35" spans="1:28" ht="15.75" thickBo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spans="1:28" ht="15.75" thickBot="1">
      <c r="A36" s="84" t="s">
        <v>485</v>
      </c>
      <c r="B36" s="85" t="s">
        <v>1046</v>
      </c>
      <c r="C36" s="85" t="s">
        <v>1047</v>
      </c>
      <c r="D36" s="85" t="s">
        <v>1048</v>
      </c>
      <c r="E36" s="85" t="s">
        <v>1049</v>
      </c>
      <c r="F36" s="85" t="s">
        <v>1050</v>
      </c>
      <c r="G36" s="85" t="s">
        <v>1051</v>
      </c>
      <c r="H36" s="85" t="s">
        <v>1052</v>
      </c>
      <c r="I36" s="85" t="s">
        <v>1053</v>
      </c>
      <c r="J36" s="85" t="s">
        <v>1054</v>
      </c>
      <c r="K36" s="85" t="s">
        <v>1055</v>
      </c>
      <c r="L36" s="85" t="s">
        <v>1056</v>
      </c>
      <c r="M36" s="85" t="s">
        <v>1057</v>
      </c>
      <c r="N36" s="85" t="s">
        <v>1058</v>
      </c>
      <c r="O36" s="85" t="s">
        <v>1059</v>
      </c>
      <c r="P36" s="85" t="s">
        <v>1060</v>
      </c>
      <c r="Q36" s="85" t="s">
        <v>1061</v>
      </c>
      <c r="R36" s="85" t="s">
        <v>1062</v>
      </c>
      <c r="S36" s="85" t="s">
        <v>1063</v>
      </c>
      <c r="T36" s="85" t="s">
        <v>1064</v>
      </c>
      <c r="U36" s="85" t="s">
        <v>1065</v>
      </c>
      <c r="V36" s="85" t="s">
        <v>1066</v>
      </c>
      <c r="W36" s="85" t="s">
        <v>1067</v>
      </c>
      <c r="X36" s="85" t="s">
        <v>1068</v>
      </c>
      <c r="Y36" s="86" t="s">
        <v>1069</v>
      </c>
      <c r="Z36" s="61" t="s">
        <v>1070</v>
      </c>
      <c r="AA36" s="61" t="s">
        <v>1071</v>
      </c>
      <c r="AB36" s="29"/>
    </row>
    <row r="37" spans="1:28">
      <c r="A37" s="87" t="s">
        <v>1072</v>
      </c>
      <c r="B37" s="89">
        <v>206450</v>
      </c>
      <c r="C37" s="89">
        <v>201966</v>
      </c>
      <c r="D37" s="89">
        <v>232244</v>
      </c>
      <c r="E37" s="89">
        <v>230500</v>
      </c>
      <c r="F37" s="89">
        <v>228949</v>
      </c>
      <c r="G37" s="89">
        <v>216548</v>
      </c>
      <c r="H37" s="89">
        <v>229222</v>
      </c>
      <c r="I37" s="89">
        <v>226692</v>
      </c>
      <c r="J37" s="89">
        <v>230639</v>
      </c>
      <c r="K37" s="89">
        <v>252280</v>
      </c>
      <c r="L37" s="89">
        <v>264001</v>
      </c>
      <c r="M37" s="115">
        <v>231198</v>
      </c>
      <c r="N37" s="125">
        <v>301961</v>
      </c>
      <c r="O37" s="126">
        <v>331009</v>
      </c>
      <c r="P37" s="126">
        <v>369644</v>
      </c>
      <c r="Q37" s="126">
        <v>419338</v>
      </c>
      <c r="R37" s="126">
        <v>403325</v>
      </c>
      <c r="S37" s="126">
        <v>407084</v>
      </c>
      <c r="T37" s="126">
        <v>446387</v>
      </c>
      <c r="U37" s="126">
        <v>410269</v>
      </c>
      <c r="V37" s="126">
        <v>413757</v>
      </c>
      <c r="W37" s="126">
        <v>445439</v>
      </c>
      <c r="X37" s="126">
        <v>453965</v>
      </c>
      <c r="Y37" s="127">
        <v>462128</v>
      </c>
      <c r="Z37" s="120">
        <v>572775</v>
      </c>
      <c r="AA37" s="120">
        <v>598894</v>
      </c>
      <c r="AB37" s="29"/>
    </row>
    <row r="38" spans="1:28">
      <c r="A38" s="90" t="s">
        <v>1073</v>
      </c>
      <c r="B38" s="91">
        <v>103070</v>
      </c>
      <c r="C38" s="91">
        <v>98910</v>
      </c>
      <c r="D38" s="91">
        <v>116062</v>
      </c>
      <c r="E38" s="91">
        <v>116489</v>
      </c>
      <c r="F38" s="91">
        <v>102286</v>
      </c>
      <c r="G38" s="91">
        <v>110085</v>
      </c>
      <c r="H38" s="91">
        <v>115702</v>
      </c>
      <c r="I38" s="91">
        <v>120670</v>
      </c>
      <c r="J38" s="91">
        <v>142446</v>
      </c>
      <c r="K38" s="91">
        <v>136602</v>
      </c>
      <c r="L38" s="91">
        <v>152488</v>
      </c>
      <c r="M38" s="116">
        <v>144866</v>
      </c>
      <c r="N38" s="128">
        <v>190333</v>
      </c>
      <c r="O38" s="91">
        <v>179484</v>
      </c>
      <c r="P38" s="91">
        <v>182162</v>
      </c>
      <c r="Q38" s="91">
        <v>182919</v>
      </c>
      <c r="R38" s="91">
        <v>183923</v>
      </c>
      <c r="S38" s="91">
        <v>173556</v>
      </c>
      <c r="T38" s="91">
        <v>186892</v>
      </c>
      <c r="U38" s="91">
        <v>171949</v>
      </c>
      <c r="V38" s="91">
        <v>182461</v>
      </c>
      <c r="W38" s="91">
        <v>199796</v>
      </c>
      <c r="X38" s="91">
        <v>214586</v>
      </c>
      <c r="Y38" s="129">
        <v>215754</v>
      </c>
      <c r="Z38" s="121">
        <v>251772</v>
      </c>
      <c r="AA38" s="121">
        <v>246216</v>
      </c>
      <c r="AB38" s="29"/>
    </row>
    <row r="39" spans="1:28">
      <c r="A39" s="92" t="s">
        <v>1074</v>
      </c>
      <c r="B39" s="93">
        <v>65792</v>
      </c>
      <c r="C39" s="93">
        <v>66921</v>
      </c>
      <c r="D39" s="93">
        <v>80622</v>
      </c>
      <c r="E39" s="93">
        <v>81286</v>
      </c>
      <c r="F39" s="93">
        <v>88250</v>
      </c>
      <c r="G39" s="93">
        <v>90033</v>
      </c>
      <c r="H39" s="93">
        <v>103104</v>
      </c>
      <c r="I39" s="93">
        <v>103860</v>
      </c>
      <c r="J39" s="93">
        <v>124892</v>
      </c>
      <c r="K39" s="93">
        <v>133302</v>
      </c>
      <c r="L39" s="93">
        <v>140626</v>
      </c>
      <c r="M39" s="117">
        <v>128870</v>
      </c>
      <c r="N39" s="130">
        <v>159471</v>
      </c>
      <c r="O39" s="93">
        <v>157686</v>
      </c>
      <c r="P39" s="93">
        <v>154308</v>
      </c>
      <c r="Q39" s="93">
        <v>154291</v>
      </c>
      <c r="R39" s="93">
        <v>162133</v>
      </c>
      <c r="S39" s="93">
        <v>136127</v>
      </c>
      <c r="T39" s="93">
        <v>146540</v>
      </c>
      <c r="U39" s="93">
        <v>144576</v>
      </c>
      <c r="V39" s="93">
        <v>153627</v>
      </c>
      <c r="W39" s="93">
        <v>158313</v>
      </c>
      <c r="X39" s="93">
        <v>155184</v>
      </c>
      <c r="Y39" s="131">
        <v>141383</v>
      </c>
      <c r="Z39" s="122">
        <v>167484</v>
      </c>
      <c r="AA39" s="122">
        <v>168499</v>
      </c>
      <c r="AB39" s="29"/>
    </row>
    <row r="40" spans="1:28">
      <c r="A40" s="94" t="s">
        <v>1075</v>
      </c>
      <c r="B40" s="95">
        <v>375312</v>
      </c>
      <c r="C40" s="95">
        <v>367797</v>
      </c>
      <c r="D40" s="95">
        <v>428928</v>
      </c>
      <c r="E40" s="95">
        <v>428275</v>
      </c>
      <c r="F40" s="95">
        <v>419485</v>
      </c>
      <c r="G40" s="95">
        <v>416666</v>
      </c>
      <c r="H40" s="95">
        <v>448028</v>
      </c>
      <c r="I40" s="95">
        <v>451222</v>
      </c>
      <c r="J40" s="95">
        <v>497977</v>
      </c>
      <c r="K40" s="95">
        <v>522184</v>
      </c>
      <c r="L40" s="95">
        <v>557115</v>
      </c>
      <c r="M40" s="118">
        <v>504934</v>
      </c>
      <c r="N40" s="132">
        <v>651765</v>
      </c>
      <c r="O40" s="95">
        <v>668179</v>
      </c>
      <c r="P40" s="95">
        <v>706114</v>
      </c>
      <c r="Q40" s="95">
        <v>756548</v>
      </c>
      <c r="R40" s="95">
        <v>749381</v>
      </c>
      <c r="S40" s="95">
        <v>716767</v>
      </c>
      <c r="T40" s="95">
        <v>779819</v>
      </c>
      <c r="U40" s="95">
        <v>726794</v>
      </c>
      <c r="V40" s="95">
        <v>749845</v>
      </c>
      <c r="W40" s="95">
        <v>803548</v>
      </c>
      <c r="X40" s="95">
        <v>823735</v>
      </c>
      <c r="Y40" s="133">
        <f>SUM(Y37:Y39)</f>
        <v>819265</v>
      </c>
      <c r="Z40" s="123">
        <f>SUM(Z37:Z39)</f>
        <v>992031</v>
      </c>
      <c r="AA40" s="123">
        <f>SUM(AA37:AA39)</f>
        <v>1013609</v>
      </c>
      <c r="AB40" s="29"/>
    </row>
    <row r="41" spans="1:28" ht="15.75" thickBot="1">
      <c r="A41" s="96" t="s">
        <v>1079</v>
      </c>
      <c r="B41" s="97"/>
      <c r="C41" s="98">
        <v>-0.02</v>
      </c>
      <c r="D41" s="98">
        <v>0.17</v>
      </c>
      <c r="E41" s="98">
        <v>0</v>
      </c>
      <c r="F41" s="98">
        <v>-0.02</v>
      </c>
      <c r="G41" s="98">
        <v>-0.01</v>
      </c>
      <c r="H41" s="98">
        <v>0.08</v>
      </c>
      <c r="I41" s="98">
        <v>0.01</v>
      </c>
      <c r="J41" s="98">
        <v>0.1</v>
      </c>
      <c r="K41" s="98">
        <v>0.05</v>
      </c>
      <c r="L41" s="98">
        <v>7.0000000000000007E-2</v>
      </c>
      <c r="M41" s="119">
        <v>-0.09</v>
      </c>
      <c r="N41" s="134">
        <v>0.28999999999999998</v>
      </c>
      <c r="O41" s="135">
        <v>0.03</v>
      </c>
      <c r="P41" s="135">
        <v>0.06</v>
      </c>
      <c r="Q41" s="135">
        <v>7.0000000000000007E-2</v>
      </c>
      <c r="R41" s="135">
        <v>-0.01</v>
      </c>
      <c r="S41" s="135">
        <v>-0.04</v>
      </c>
      <c r="T41" s="135">
        <v>0.09</v>
      </c>
      <c r="U41" s="135">
        <v>-7.0000000000000007E-2</v>
      </c>
      <c r="V41" s="135">
        <v>0.03</v>
      </c>
      <c r="W41" s="135">
        <v>7.0000000000000007E-2</v>
      </c>
      <c r="X41" s="135">
        <v>0.03</v>
      </c>
      <c r="Y41" s="136">
        <v>0</v>
      </c>
      <c r="Z41" s="124">
        <f>(Z40-Y40)/Y40</f>
        <v>0.21087926373029484</v>
      </c>
      <c r="AA41" s="124">
        <f>(AA40-Z40)/Z40</f>
        <v>2.1751336399769765E-2</v>
      </c>
      <c r="AB41" s="29"/>
    </row>
    <row r="42" spans="1:28">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spans="1:28">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spans="1:28">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spans="1:28">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spans="1:28">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spans="1:28">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spans="1:2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spans="1:28">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spans="1:28">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8">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8">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8">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8">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F488"/>
  <sheetViews>
    <sheetView topLeftCell="A429" zoomScale="87" zoomScaleNormal="87" workbookViewId="0">
      <selection activeCell="M454" sqref="M454"/>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30" max="30" width="14.5703125" customWidth="1"/>
    <col min="31" max="31" width="32.28515625" customWidth="1"/>
    <col min="32" max="32" width="26.140625" customWidth="1"/>
  </cols>
  <sheetData>
    <row r="1" spans="1:32" hidden="1">
      <c r="A1" s="40" t="s">
        <v>5</v>
      </c>
      <c r="B1" s="40" t="s">
        <v>1080</v>
      </c>
      <c r="C1" s="40" t="s">
        <v>1081</v>
      </c>
      <c r="D1" s="40" t="s">
        <v>1082</v>
      </c>
      <c r="E1" s="40" t="s">
        <v>1083</v>
      </c>
      <c r="F1" s="40" t="s">
        <v>1084</v>
      </c>
      <c r="G1" s="40" t="s">
        <v>1085</v>
      </c>
      <c r="H1" s="40" t="s">
        <v>1086</v>
      </c>
      <c r="I1" s="40" t="s">
        <v>1087</v>
      </c>
      <c r="J1" s="40" t="s">
        <v>1088</v>
      </c>
      <c r="K1" s="40" t="s">
        <v>1089</v>
      </c>
      <c r="L1" s="40" t="s">
        <v>1090</v>
      </c>
      <c r="M1" s="40" t="s">
        <v>1091</v>
      </c>
      <c r="N1" s="40" t="s">
        <v>1092</v>
      </c>
      <c r="O1" s="40" t="s">
        <v>1093</v>
      </c>
      <c r="P1" s="40" t="s">
        <v>1094</v>
      </c>
      <c r="Q1" s="40" t="s">
        <v>1095</v>
      </c>
      <c r="R1" s="40" t="s">
        <v>1096</v>
      </c>
      <c r="S1" s="40" t="s">
        <v>1097</v>
      </c>
      <c r="T1" s="40" t="s">
        <v>1098</v>
      </c>
      <c r="U1" s="40" t="s">
        <v>1099</v>
      </c>
      <c r="V1" s="40" t="s">
        <v>1100</v>
      </c>
      <c r="W1" s="40" t="s">
        <v>1101</v>
      </c>
      <c r="X1" s="40" t="s">
        <v>1102</v>
      </c>
      <c r="Y1" s="40" t="s">
        <v>1103</v>
      </c>
      <c r="Z1" s="40" t="s">
        <v>1104</v>
      </c>
      <c r="AA1" s="40" t="s">
        <v>1105</v>
      </c>
      <c r="AD1" s="169" t="s">
        <v>1106</v>
      </c>
      <c r="AE1" s="40" t="s">
        <v>1107</v>
      </c>
      <c r="AF1" s="40" t="s">
        <v>1108</v>
      </c>
    </row>
    <row r="2" spans="1:32" hidden="1">
      <c r="A2" s="41" t="s">
        <v>428</v>
      </c>
      <c r="B2" s="41">
        <v>3591</v>
      </c>
      <c r="C2" s="41">
        <v>5033</v>
      </c>
      <c r="D2" s="41">
        <v>3472</v>
      </c>
      <c r="E2" s="41">
        <v>6534</v>
      </c>
      <c r="F2" s="41">
        <v>5480</v>
      </c>
      <c r="G2" s="41">
        <v>4553</v>
      </c>
      <c r="H2" s="41">
        <v>15646</v>
      </c>
      <c r="I2" s="41">
        <v>5423</v>
      </c>
      <c r="J2" s="41">
        <v>4135</v>
      </c>
      <c r="K2">
        <v>3762</v>
      </c>
      <c r="L2">
        <v>3361</v>
      </c>
      <c r="M2">
        <v>2925</v>
      </c>
      <c r="N2">
        <v>5767</v>
      </c>
      <c r="O2">
        <v>830</v>
      </c>
      <c r="P2">
        <v>949</v>
      </c>
      <c r="Q2">
        <v>615</v>
      </c>
      <c r="R2">
        <v>1182</v>
      </c>
      <c r="S2">
        <v>1059</v>
      </c>
      <c r="T2">
        <v>868</v>
      </c>
      <c r="U2">
        <v>1282</v>
      </c>
      <c r="V2">
        <v>1003</v>
      </c>
      <c r="W2">
        <v>775</v>
      </c>
      <c r="X2">
        <v>791</v>
      </c>
      <c r="Y2">
        <v>762</v>
      </c>
      <c r="Z2">
        <v>607</v>
      </c>
      <c r="AA2">
        <v>836</v>
      </c>
      <c r="AD2" t="s">
        <v>86</v>
      </c>
      <c r="AE2" s="30">
        <v>67399</v>
      </c>
      <c r="AF2">
        <v>297250</v>
      </c>
    </row>
    <row r="3" spans="1:32" hidden="1">
      <c r="A3" s="41" t="s">
        <v>18</v>
      </c>
      <c r="B3" s="41">
        <v>1487</v>
      </c>
      <c r="C3" s="41">
        <v>1490</v>
      </c>
      <c r="D3" s="41">
        <v>1213</v>
      </c>
      <c r="E3" s="41">
        <v>1477</v>
      </c>
      <c r="F3" s="41">
        <v>1181</v>
      </c>
      <c r="G3" s="41">
        <v>1914</v>
      </c>
      <c r="H3" s="41">
        <v>1610</v>
      </c>
      <c r="I3" s="41">
        <v>1971</v>
      </c>
      <c r="J3" s="41">
        <v>3959</v>
      </c>
      <c r="K3">
        <v>1873</v>
      </c>
      <c r="L3">
        <v>556</v>
      </c>
      <c r="M3">
        <v>3789</v>
      </c>
      <c r="N3">
        <v>7411</v>
      </c>
      <c r="O3">
        <v>368</v>
      </c>
      <c r="P3">
        <v>393</v>
      </c>
      <c r="Q3">
        <v>316</v>
      </c>
      <c r="R3">
        <v>369</v>
      </c>
      <c r="S3">
        <v>352</v>
      </c>
      <c r="T3">
        <v>508</v>
      </c>
      <c r="U3">
        <v>475</v>
      </c>
      <c r="V3">
        <v>519</v>
      </c>
      <c r="W3">
        <v>1081</v>
      </c>
      <c r="X3">
        <v>483</v>
      </c>
      <c r="Y3">
        <v>156</v>
      </c>
      <c r="Z3">
        <v>1067</v>
      </c>
      <c r="AA3">
        <v>1424</v>
      </c>
      <c r="AD3" t="s">
        <v>76</v>
      </c>
      <c r="AE3" s="30">
        <v>4822</v>
      </c>
      <c r="AF3">
        <v>29959</v>
      </c>
    </row>
    <row r="4" spans="1:32" hidden="1">
      <c r="A4" s="41" t="s">
        <v>28</v>
      </c>
      <c r="B4" s="41">
        <v>16658</v>
      </c>
      <c r="C4" s="41">
        <v>30899</v>
      </c>
      <c r="D4" s="41">
        <v>78885</v>
      </c>
      <c r="E4" s="41">
        <v>85527</v>
      </c>
      <c r="F4" s="41">
        <v>47308</v>
      </c>
      <c r="G4" s="41">
        <v>81411</v>
      </c>
      <c r="H4" s="41">
        <v>35571</v>
      </c>
      <c r="I4" s="41">
        <v>48721</v>
      </c>
      <c r="J4" s="41">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46</v>
      </c>
      <c r="AE4" s="30">
        <v>10249</v>
      </c>
      <c r="AF4">
        <v>30497</v>
      </c>
    </row>
    <row r="5" spans="1:32" hidden="1">
      <c r="A5" s="41" t="s">
        <v>598</v>
      </c>
      <c r="B5" s="41">
        <v>1398</v>
      </c>
      <c r="C5" s="41">
        <v>1450</v>
      </c>
      <c r="D5" s="41">
        <v>1595</v>
      </c>
      <c r="E5" s="41">
        <v>1135</v>
      </c>
      <c r="F5" s="41">
        <v>997</v>
      </c>
      <c r="G5" s="41">
        <v>1326</v>
      </c>
      <c r="H5" s="41">
        <v>1041</v>
      </c>
      <c r="I5" s="41">
        <v>798</v>
      </c>
      <c r="J5" s="41">
        <v>627</v>
      </c>
      <c r="K5">
        <v>744</v>
      </c>
      <c r="L5">
        <v>533</v>
      </c>
      <c r="M5">
        <v>695</v>
      </c>
      <c r="N5">
        <v>1260</v>
      </c>
      <c r="O5">
        <v>273</v>
      </c>
      <c r="P5">
        <v>281</v>
      </c>
      <c r="Q5">
        <v>271</v>
      </c>
      <c r="R5">
        <v>250</v>
      </c>
      <c r="S5">
        <v>231</v>
      </c>
      <c r="T5">
        <v>274</v>
      </c>
      <c r="U5">
        <v>238</v>
      </c>
      <c r="V5">
        <v>252</v>
      </c>
      <c r="W5">
        <v>168</v>
      </c>
      <c r="X5">
        <v>283</v>
      </c>
      <c r="Y5">
        <v>170</v>
      </c>
      <c r="Z5">
        <v>162</v>
      </c>
      <c r="AA5">
        <v>272</v>
      </c>
      <c r="AD5" t="s">
        <v>22</v>
      </c>
      <c r="AE5" s="30">
        <v>26241</v>
      </c>
      <c r="AF5">
        <v>119613</v>
      </c>
    </row>
    <row r="6" spans="1:32" hidden="1">
      <c r="A6" s="41" t="s">
        <v>78</v>
      </c>
      <c r="B6" s="41">
        <v>3844</v>
      </c>
      <c r="C6" s="41">
        <v>4014</v>
      </c>
      <c r="D6" s="41">
        <v>4538</v>
      </c>
      <c r="E6" s="41">
        <v>5254</v>
      </c>
      <c r="F6" s="41">
        <v>4263</v>
      </c>
      <c r="G6" s="41">
        <v>2871</v>
      </c>
      <c r="H6" s="41">
        <v>5344</v>
      </c>
      <c r="I6" s="41">
        <v>3059</v>
      </c>
      <c r="J6" s="41">
        <v>3399</v>
      </c>
      <c r="K6">
        <v>3929</v>
      </c>
      <c r="L6">
        <v>4007</v>
      </c>
      <c r="M6">
        <v>4426</v>
      </c>
      <c r="N6">
        <v>4126</v>
      </c>
      <c r="O6">
        <v>967</v>
      </c>
      <c r="P6">
        <v>1074</v>
      </c>
      <c r="Q6">
        <v>966</v>
      </c>
      <c r="R6">
        <v>1242</v>
      </c>
      <c r="S6">
        <v>1147</v>
      </c>
      <c r="T6">
        <v>881</v>
      </c>
      <c r="U6">
        <v>878</v>
      </c>
      <c r="V6">
        <v>833</v>
      </c>
      <c r="W6">
        <v>864</v>
      </c>
      <c r="X6">
        <v>995</v>
      </c>
      <c r="Y6">
        <v>1181</v>
      </c>
      <c r="Z6">
        <v>1259</v>
      </c>
      <c r="AA6">
        <v>1148</v>
      </c>
      <c r="AD6" t="s">
        <v>40</v>
      </c>
      <c r="AE6" s="30">
        <v>20605</v>
      </c>
      <c r="AF6">
        <v>87723</v>
      </c>
    </row>
    <row r="7" spans="1:32" hidden="1">
      <c r="A7" s="41" t="s">
        <v>58</v>
      </c>
      <c r="B7" s="41">
        <v>5966</v>
      </c>
      <c r="C7" s="41">
        <v>5536</v>
      </c>
      <c r="D7" s="41">
        <v>4172</v>
      </c>
      <c r="E7" s="41">
        <v>4356</v>
      </c>
      <c r="F7" s="41">
        <v>3592</v>
      </c>
      <c r="G7" s="41">
        <v>3729</v>
      </c>
      <c r="H7" s="41">
        <v>4120</v>
      </c>
      <c r="I7" s="41">
        <v>3692</v>
      </c>
      <c r="J7" s="41">
        <v>4656</v>
      </c>
      <c r="K7">
        <v>4414</v>
      </c>
      <c r="L7">
        <v>4545</v>
      </c>
      <c r="M7">
        <v>4562</v>
      </c>
      <c r="N7">
        <v>4126</v>
      </c>
      <c r="O7">
        <v>1085</v>
      </c>
      <c r="P7">
        <v>973</v>
      </c>
      <c r="Q7">
        <v>761</v>
      </c>
      <c r="R7">
        <v>844</v>
      </c>
      <c r="S7">
        <v>776</v>
      </c>
      <c r="T7">
        <v>736</v>
      </c>
      <c r="U7">
        <v>760</v>
      </c>
      <c r="V7">
        <v>886</v>
      </c>
      <c r="W7">
        <v>993</v>
      </c>
      <c r="X7">
        <v>938</v>
      </c>
      <c r="Y7">
        <v>1001</v>
      </c>
      <c r="Z7">
        <v>987</v>
      </c>
      <c r="AA7">
        <v>926</v>
      </c>
      <c r="AD7" t="s">
        <v>32</v>
      </c>
      <c r="AE7" s="30">
        <v>6929</v>
      </c>
      <c r="AF7">
        <v>20535</v>
      </c>
    </row>
    <row r="8" spans="1:32" hidden="1">
      <c r="A8" s="41" t="s">
        <v>224</v>
      </c>
      <c r="B8" s="41">
        <v>1688</v>
      </c>
      <c r="C8" s="41">
        <v>1592</v>
      </c>
      <c r="D8" s="41">
        <v>1521</v>
      </c>
      <c r="E8" s="41">
        <v>1648</v>
      </c>
      <c r="F8" s="41">
        <v>1746</v>
      </c>
      <c r="G8" s="41">
        <v>1535</v>
      </c>
      <c r="H8" s="41">
        <v>1551</v>
      </c>
      <c r="I8" s="41">
        <v>1971</v>
      </c>
      <c r="J8" s="41">
        <v>2343</v>
      </c>
      <c r="K8">
        <v>2362</v>
      </c>
      <c r="L8">
        <v>1558</v>
      </c>
      <c r="M8">
        <v>1189</v>
      </c>
      <c r="N8">
        <v>4102</v>
      </c>
      <c r="O8">
        <v>348</v>
      </c>
      <c r="P8">
        <v>338</v>
      </c>
      <c r="Q8">
        <v>372</v>
      </c>
      <c r="R8">
        <v>366</v>
      </c>
      <c r="S8">
        <v>403</v>
      </c>
      <c r="T8">
        <v>328</v>
      </c>
      <c r="U8">
        <v>379</v>
      </c>
      <c r="V8">
        <v>466</v>
      </c>
      <c r="W8">
        <v>504</v>
      </c>
      <c r="X8">
        <v>536</v>
      </c>
      <c r="Y8">
        <v>430</v>
      </c>
      <c r="Z8">
        <v>296</v>
      </c>
      <c r="AA8">
        <v>553</v>
      </c>
      <c r="AD8" t="s">
        <v>26</v>
      </c>
      <c r="AE8" s="30">
        <v>2129</v>
      </c>
      <c r="AF8">
        <v>8488</v>
      </c>
    </row>
    <row r="9" spans="1:32" hidden="1">
      <c r="A9" s="41" t="s">
        <v>160</v>
      </c>
      <c r="B9" s="41">
        <v>2241</v>
      </c>
      <c r="C9" s="41">
        <v>2869</v>
      </c>
      <c r="D9" s="41">
        <v>2475</v>
      </c>
      <c r="E9" s="41">
        <v>2346</v>
      </c>
      <c r="F9" s="41">
        <v>2356</v>
      </c>
      <c r="G9" s="41">
        <v>2232</v>
      </c>
      <c r="H9" s="41">
        <v>2382</v>
      </c>
      <c r="I9" s="41">
        <v>2655</v>
      </c>
      <c r="J9" s="41">
        <v>2719</v>
      </c>
      <c r="K9">
        <v>3108</v>
      </c>
      <c r="L9">
        <v>2807</v>
      </c>
      <c r="M9">
        <v>2079</v>
      </c>
      <c r="N9">
        <v>4200</v>
      </c>
      <c r="O9">
        <v>822</v>
      </c>
      <c r="P9">
        <v>840</v>
      </c>
      <c r="Q9">
        <v>824</v>
      </c>
      <c r="R9">
        <v>668</v>
      </c>
      <c r="S9">
        <v>697</v>
      </c>
      <c r="T9">
        <v>695</v>
      </c>
      <c r="U9">
        <v>718</v>
      </c>
      <c r="V9">
        <v>757</v>
      </c>
      <c r="W9">
        <v>905</v>
      </c>
      <c r="X9">
        <v>998</v>
      </c>
      <c r="Y9">
        <v>1037</v>
      </c>
      <c r="Z9">
        <v>703</v>
      </c>
      <c r="AA9">
        <v>1185</v>
      </c>
      <c r="AD9" t="s">
        <v>36</v>
      </c>
      <c r="AE9" s="30">
        <v>11862</v>
      </c>
      <c r="AF9">
        <v>26335</v>
      </c>
    </row>
    <row r="10" spans="1:32" hidden="1">
      <c r="A10" s="41" t="s">
        <v>470</v>
      </c>
      <c r="B10" s="41">
        <v>4923</v>
      </c>
      <c r="C10" s="41">
        <v>5641</v>
      </c>
      <c r="D10" s="41">
        <v>4456</v>
      </c>
      <c r="E10" s="41">
        <v>4936</v>
      </c>
      <c r="F10" s="41">
        <v>5716</v>
      </c>
      <c r="G10" s="41">
        <v>6278</v>
      </c>
      <c r="H10" s="41">
        <v>5569</v>
      </c>
      <c r="I10" s="41">
        <v>5685</v>
      </c>
      <c r="J10" s="41">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58</v>
      </c>
      <c r="AE10" s="30">
        <v>4129</v>
      </c>
      <c r="AF10">
        <v>18813</v>
      </c>
    </row>
    <row r="11" spans="1:32" hidden="1">
      <c r="A11" s="41" t="s">
        <v>154</v>
      </c>
      <c r="B11" s="41">
        <v>861</v>
      </c>
      <c r="C11" s="41">
        <v>747</v>
      </c>
      <c r="D11" s="41">
        <v>763</v>
      </c>
      <c r="E11" s="41">
        <v>879</v>
      </c>
      <c r="F11" s="41">
        <v>857</v>
      </c>
      <c r="G11" s="41">
        <v>797</v>
      </c>
      <c r="H11" s="41">
        <v>772</v>
      </c>
      <c r="I11" s="41">
        <v>826</v>
      </c>
      <c r="J11" s="41">
        <v>821</v>
      </c>
      <c r="K11">
        <v>798</v>
      </c>
      <c r="L11">
        <v>649</v>
      </c>
      <c r="M11">
        <v>650</v>
      </c>
      <c r="N11">
        <v>1190</v>
      </c>
      <c r="O11">
        <v>171</v>
      </c>
      <c r="P11">
        <v>137</v>
      </c>
      <c r="Q11">
        <v>126</v>
      </c>
      <c r="R11">
        <v>178</v>
      </c>
      <c r="S11">
        <v>171</v>
      </c>
      <c r="T11">
        <v>179</v>
      </c>
      <c r="U11">
        <v>173</v>
      </c>
      <c r="V11">
        <v>174</v>
      </c>
      <c r="W11">
        <v>205</v>
      </c>
      <c r="X11">
        <v>189</v>
      </c>
      <c r="Y11">
        <v>180</v>
      </c>
      <c r="Z11">
        <v>152</v>
      </c>
      <c r="AA11">
        <v>228</v>
      </c>
      <c r="AD11" t="s">
        <v>28</v>
      </c>
      <c r="AE11" s="30">
        <v>25786</v>
      </c>
      <c r="AF11">
        <v>115850</v>
      </c>
    </row>
    <row r="12" spans="1:32" hidden="1">
      <c r="A12" s="41" t="s">
        <v>544</v>
      </c>
      <c r="B12" s="41">
        <v>4756</v>
      </c>
      <c r="C12" s="41">
        <v>4401</v>
      </c>
      <c r="D12" s="41">
        <v>3375</v>
      </c>
      <c r="E12" s="41">
        <v>2711</v>
      </c>
      <c r="F12" s="41">
        <v>2154</v>
      </c>
      <c r="G12" s="41">
        <v>2492</v>
      </c>
      <c r="H12" s="41">
        <v>2441</v>
      </c>
      <c r="I12" s="41">
        <v>2387</v>
      </c>
      <c r="J12" s="41">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44</v>
      </c>
      <c r="AE12" s="30">
        <v>4818</v>
      </c>
      <c r="AF12">
        <v>12139</v>
      </c>
    </row>
    <row r="13" spans="1:32" hidden="1">
      <c r="A13" s="41" t="s">
        <v>742</v>
      </c>
      <c r="B13" s="41">
        <v>532</v>
      </c>
      <c r="C13" s="41">
        <v>765</v>
      </c>
      <c r="D13" s="41">
        <v>1661</v>
      </c>
      <c r="E13" s="41">
        <v>674</v>
      </c>
      <c r="F13" s="41">
        <v>684</v>
      </c>
      <c r="G13" s="41">
        <v>1793</v>
      </c>
      <c r="H13" s="41">
        <v>963</v>
      </c>
      <c r="I13" s="41">
        <v>922</v>
      </c>
      <c r="J13" s="41">
        <v>637</v>
      </c>
      <c r="K13">
        <v>525</v>
      </c>
      <c r="L13">
        <v>470</v>
      </c>
      <c r="M13">
        <v>483</v>
      </c>
      <c r="N13">
        <v>494</v>
      </c>
      <c r="O13">
        <v>129</v>
      </c>
      <c r="P13">
        <v>168</v>
      </c>
      <c r="Q13">
        <v>265</v>
      </c>
      <c r="R13">
        <v>169</v>
      </c>
      <c r="S13">
        <v>145</v>
      </c>
      <c r="T13">
        <v>303</v>
      </c>
      <c r="U13">
        <v>216</v>
      </c>
      <c r="V13">
        <v>240</v>
      </c>
      <c r="W13">
        <v>174</v>
      </c>
      <c r="X13">
        <v>192</v>
      </c>
      <c r="Y13">
        <v>153</v>
      </c>
      <c r="Z13">
        <v>152</v>
      </c>
      <c r="AA13">
        <v>143</v>
      </c>
      <c r="AD13" t="s">
        <v>160</v>
      </c>
      <c r="AE13" s="30">
        <v>3732</v>
      </c>
      <c r="AF13">
        <v>12113</v>
      </c>
    </row>
    <row r="14" spans="1:32" hidden="1">
      <c r="A14" s="41" t="s">
        <v>438</v>
      </c>
      <c r="B14" s="41">
        <v>1912</v>
      </c>
      <c r="C14" s="41">
        <v>1956</v>
      </c>
      <c r="D14" s="41">
        <v>1740</v>
      </c>
      <c r="E14" s="41">
        <v>1413</v>
      </c>
      <c r="F14" s="41">
        <v>1833</v>
      </c>
      <c r="G14" s="41">
        <v>2677</v>
      </c>
      <c r="H14" s="41">
        <v>2190</v>
      </c>
      <c r="I14" s="41">
        <v>2027</v>
      </c>
      <c r="J14" s="41">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24</v>
      </c>
      <c r="AE14" s="30">
        <v>11641</v>
      </c>
      <c r="AF14">
        <v>28899</v>
      </c>
    </row>
    <row r="15" spans="1:32" hidden="1">
      <c r="A15" s="41" t="s">
        <v>330</v>
      </c>
      <c r="B15" s="41">
        <v>1255</v>
      </c>
      <c r="C15" s="41">
        <v>1309</v>
      </c>
      <c r="D15" s="41">
        <v>1188</v>
      </c>
      <c r="E15" s="41">
        <v>1177</v>
      </c>
      <c r="F15" s="41">
        <v>969</v>
      </c>
      <c r="G15" s="41">
        <v>930</v>
      </c>
      <c r="H15" s="41">
        <v>983</v>
      </c>
      <c r="I15" s="41">
        <v>1126</v>
      </c>
      <c r="J15" s="41">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20</v>
      </c>
      <c r="AE15" s="30">
        <v>7271</v>
      </c>
      <c r="AF15">
        <v>24464</v>
      </c>
    </row>
    <row r="16" spans="1:32" hidden="1">
      <c r="A16" s="41" t="s">
        <v>172</v>
      </c>
      <c r="B16" s="41">
        <v>2626</v>
      </c>
      <c r="C16" s="41">
        <v>3952</v>
      </c>
      <c r="D16" s="41">
        <v>4615</v>
      </c>
      <c r="E16" s="41">
        <v>2880</v>
      </c>
      <c r="F16" s="41">
        <v>2635</v>
      </c>
      <c r="G16" s="41">
        <v>2191</v>
      </c>
      <c r="H16" s="41">
        <v>2469</v>
      </c>
      <c r="I16" s="41">
        <v>2406</v>
      </c>
      <c r="J16" s="41">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56</v>
      </c>
      <c r="AE16" s="30">
        <v>4069</v>
      </c>
      <c r="AF16">
        <v>14752</v>
      </c>
    </row>
    <row r="17" spans="1:32" hidden="1">
      <c r="A17" s="41" t="s">
        <v>372</v>
      </c>
      <c r="B17" s="41">
        <v>2251</v>
      </c>
      <c r="C17" s="41">
        <v>1981</v>
      </c>
      <c r="D17" s="41">
        <v>2209</v>
      </c>
      <c r="E17" s="41">
        <v>1972</v>
      </c>
      <c r="F17" s="41">
        <v>2037</v>
      </c>
      <c r="G17" s="41">
        <v>1574</v>
      </c>
      <c r="H17" s="41">
        <v>1888</v>
      </c>
      <c r="I17" s="41">
        <v>1598</v>
      </c>
      <c r="J17" s="41">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34</v>
      </c>
      <c r="AE17" s="30">
        <v>3689</v>
      </c>
      <c r="AF17">
        <v>14117</v>
      </c>
    </row>
    <row r="18" spans="1:32" hidden="1">
      <c r="A18" s="41" t="s">
        <v>234</v>
      </c>
      <c r="B18" s="41">
        <v>2912</v>
      </c>
      <c r="C18" s="41">
        <v>3613</v>
      </c>
      <c r="D18" s="41">
        <v>3895</v>
      </c>
      <c r="E18" s="41">
        <v>3361</v>
      </c>
      <c r="F18" s="41">
        <v>2176</v>
      </c>
      <c r="G18" s="41">
        <v>2473</v>
      </c>
      <c r="H18" s="41">
        <v>1708</v>
      </c>
      <c r="I18" s="41">
        <v>1921</v>
      </c>
      <c r="J18" s="41">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140</v>
      </c>
      <c r="AE18" s="30">
        <v>1500</v>
      </c>
      <c r="AF18">
        <v>6351</v>
      </c>
    </row>
    <row r="19" spans="1:32" hidden="1">
      <c r="A19" s="41" t="s">
        <v>242</v>
      </c>
      <c r="B19" s="41">
        <v>0</v>
      </c>
      <c r="C19" s="41">
        <v>1748</v>
      </c>
      <c r="D19" s="41">
        <v>1392</v>
      </c>
      <c r="E19" s="41">
        <v>1702</v>
      </c>
      <c r="F19" s="41">
        <v>1694</v>
      </c>
      <c r="G19" s="41">
        <v>1549</v>
      </c>
      <c r="H19" s="41">
        <v>1385</v>
      </c>
      <c r="I19" s="41">
        <v>893</v>
      </c>
      <c r="J19" s="41">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110</v>
      </c>
      <c r="AE19" s="30">
        <v>2196</v>
      </c>
      <c r="AF19">
        <v>5001</v>
      </c>
    </row>
    <row r="20" spans="1:32" hidden="1">
      <c r="A20" s="41" t="s">
        <v>250</v>
      </c>
      <c r="B20" s="41">
        <v>1166</v>
      </c>
      <c r="C20" s="41">
        <v>1365</v>
      </c>
      <c r="D20" s="41">
        <v>1305</v>
      </c>
      <c r="E20" s="41">
        <v>1369</v>
      </c>
      <c r="F20" s="41">
        <v>1204</v>
      </c>
      <c r="G20" s="41">
        <v>1479</v>
      </c>
      <c r="H20" s="41">
        <v>2276</v>
      </c>
      <c r="I20" s="41">
        <v>2413</v>
      </c>
      <c r="J20" s="41">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128</v>
      </c>
      <c r="AE20" s="30">
        <v>1326</v>
      </c>
      <c r="AF20">
        <v>7012</v>
      </c>
    </row>
    <row r="21" spans="1:32" hidden="1">
      <c r="A21" s="41" t="s">
        <v>422</v>
      </c>
      <c r="B21" s="41">
        <v>0</v>
      </c>
      <c r="C21" s="41">
        <v>2043</v>
      </c>
      <c r="D21" s="41">
        <v>2010</v>
      </c>
      <c r="E21" s="41">
        <v>1973</v>
      </c>
      <c r="F21" s="41">
        <v>1304</v>
      </c>
      <c r="G21" s="41">
        <v>1219</v>
      </c>
      <c r="H21" s="41">
        <v>1175</v>
      </c>
      <c r="I21" s="41">
        <v>1201</v>
      </c>
      <c r="J21" s="41">
        <v>1105</v>
      </c>
      <c r="K21">
        <v>1069</v>
      </c>
      <c r="L21">
        <v>983</v>
      </c>
      <c r="M21">
        <v>992</v>
      </c>
      <c r="N21">
        <v>1228</v>
      </c>
      <c r="O21">
        <v>0</v>
      </c>
      <c r="P21">
        <v>795</v>
      </c>
      <c r="Q21">
        <v>769</v>
      </c>
      <c r="R21">
        <v>713</v>
      </c>
      <c r="S21">
        <v>483</v>
      </c>
      <c r="T21">
        <v>508</v>
      </c>
      <c r="U21">
        <v>479</v>
      </c>
      <c r="V21">
        <v>509</v>
      </c>
      <c r="W21">
        <v>484</v>
      </c>
      <c r="X21">
        <v>452</v>
      </c>
      <c r="Y21">
        <v>435</v>
      </c>
      <c r="Z21">
        <v>440</v>
      </c>
      <c r="AA21">
        <v>520</v>
      </c>
      <c r="AD21" t="s">
        <v>156</v>
      </c>
      <c r="AE21" s="30">
        <v>1109</v>
      </c>
      <c r="AF21">
        <v>3594</v>
      </c>
    </row>
    <row r="22" spans="1:32" hidden="1">
      <c r="A22" s="41" t="s">
        <v>642</v>
      </c>
      <c r="B22" s="41">
        <v>805</v>
      </c>
      <c r="C22" s="41">
        <v>2222</v>
      </c>
      <c r="D22" s="41">
        <v>770</v>
      </c>
      <c r="E22" s="41">
        <v>1022</v>
      </c>
      <c r="F22" s="41">
        <v>847</v>
      </c>
      <c r="G22" s="41">
        <v>1065</v>
      </c>
      <c r="H22" s="41">
        <v>741</v>
      </c>
      <c r="I22" s="41">
        <v>957</v>
      </c>
      <c r="J22" s="41">
        <v>661</v>
      </c>
      <c r="K22">
        <v>1346</v>
      </c>
      <c r="L22">
        <v>643</v>
      </c>
      <c r="M22">
        <v>930</v>
      </c>
      <c r="N22">
        <v>1036</v>
      </c>
      <c r="O22">
        <v>135</v>
      </c>
      <c r="P22">
        <v>356</v>
      </c>
      <c r="Q22">
        <v>156</v>
      </c>
      <c r="R22">
        <v>237</v>
      </c>
      <c r="S22">
        <v>210</v>
      </c>
      <c r="T22">
        <v>292</v>
      </c>
      <c r="U22">
        <v>163</v>
      </c>
      <c r="V22">
        <v>266</v>
      </c>
      <c r="W22">
        <v>193</v>
      </c>
      <c r="X22">
        <v>328</v>
      </c>
      <c r="Y22">
        <v>224</v>
      </c>
      <c r="Z22">
        <v>274</v>
      </c>
      <c r="AA22">
        <v>298</v>
      </c>
      <c r="AD22" t="s">
        <v>62</v>
      </c>
      <c r="AE22" s="30">
        <v>4052</v>
      </c>
      <c r="AF22">
        <v>25148</v>
      </c>
    </row>
    <row r="23" spans="1:32" hidden="1">
      <c r="A23" s="41" t="s">
        <v>76</v>
      </c>
      <c r="B23" s="41">
        <v>2837</v>
      </c>
      <c r="C23" s="41">
        <v>3008</v>
      </c>
      <c r="D23" s="41">
        <v>3196</v>
      </c>
      <c r="E23" s="41">
        <v>8455</v>
      </c>
      <c r="F23" s="41">
        <v>7979</v>
      </c>
      <c r="G23" s="41">
        <v>10916</v>
      </c>
      <c r="H23" s="41">
        <v>6931</v>
      </c>
      <c r="I23" s="41">
        <v>7015</v>
      </c>
      <c r="J23" s="41">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176</v>
      </c>
      <c r="AE23" s="30">
        <v>1476</v>
      </c>
      <c r="AF23">
        <v>6959</v>
      </c>
    </row>
    <row r="24" spans="1:32" hidden="1">
      <c r="A24" s="41" t="s">
        <v>200</v>
      </c>
      <c r="B24" s="41">
        <v>1158</v>
      </c>
      <c r="C24" s="41">
        <v>1375</v>
      </c>
      <c r="D24" s="41">
        <v>622</v>
      </c>
      <c r="E24" s="41">
        <v>552</v>
      </c>
      <c r="F24" s="41">
        <v>735</v>
      </c>
      <c r="G24" s="41">
        <v>710</v>
      </c>
      <c r="H24" s="41">
        <v>805</v>
      </c>
      <c r="I24" s="41">
        <v>937</v>
      </c>
      <c r="J24" s="41">
        <v>1084</v>
      </c>
      <c r="K24">
        <v>746</v>
      </c>
      <c r="L24">
        <v>566</v>
      </c>
      <c r="M24">
        <v>528</v>
      </c>
      <c r="N24">
        <v>887</v>
      </c>
      <c r="O24">
        <v>54</v>
      </c>
      <c r="P24">
        <v>110</v>
      </c>
      <c r="Q24">
        <v>113</v>
      </c>
      <c r="R24">
        <v>81</v>
      </c>
      <c r="S24">
        <v>103</v>
      </c>
      <c r="T24">
        <v>126</v>
      </c>
      <c r="U24">
        <v>153</v>
      </c>
      <c r="V24">
        <v>216</v>
      </c>
      <c r="W24">
        <v>230</v>
      </c>
      <c r="X24">
        <v>141</v>
      </c>
      <c r="Y24">
        <v>111</v>
      </c>
      <c r="Z24">
        <v>89</v>
      </c>
      <c r="AA24">
        <v>182</v>
      </c>
      <c r="AD24" t="s">
        <v>18</v>
      </c>
      <c r="AE24" s="30">
        <v>14987</v>
      </c>
      <c r="AF24">
        <v>52476</v>
      </c>
    </row>
    <row r="25" spans="1:32" hidden="1">
      <c r="A25" s="41" t="s">
        <v>100</v>
      </c>
      <c r="B25" s="41">
        <v>1208</v>
      </c>
      <c r="C25" s="41">
        <v>1250</v>
      </c>
      <c r="D25" s="41">
        <v>871</v>
      </c>
      <c r="E25" s="41">
        <v>821</v>
      </c>
      <c r="F25" s="41">
        <v>689</v>
      </c>
      <c r="G25" s="41">
        <v>638</v>
      </c>
      <c r="H25" s="41">
        <v>695</v>
      </c>
      <c r="I25" s="41">
        <v>1739</v>
      </c>
      <c r="J25" s="41">
        <v>849</v>
      </c>
      <c r="K25">
        <v>938</v>
      </c>
      <c r="L25">
        <v>850</v>
      </c>
      <c r="M25">
        <v>913</v>
      </c>
      <c r="N25">
        <v>1214</v>
      </c>
      <c r="O25">
        <v>325</v>
      </c>
      <c r="P25">
        <v>361</v>
      </c>
      <c r="Q25">
        <v>290</v>
      </c>
      <c r="R25">
        <v>277</v>
      </c>
      <c r="S25">
        <v>274</v>
      </c>
      <c r="T25">
        <v>252</v>
      </c>
      <c r="U25">
        <v>291</v>
      </c>
      <c r="V25">
        <v>611</v>
      </c>
      <c r="W25">
        <v>332</v>
      </c>
      <c r="X25">
        <v>382</v>
      </c>
      <c r="Y25">
        <v>427</v>
      </c>
      <c r="Z25">
        <v>361</v>
      </c>
      <c r="AA25">
        <v>487</v>
      </c>
      <c r="AD25" t="s">
        <v>370</v>
      </c>
      <c r="AE25" s="30">
        <v>652</v>
      </c>
      <c r="AF25">
        <v>3797</v>
      </c>
    </row>
    <row r="26" spans="1:32" hidden="1">
      <c r="A26" s="41" t="s">
        <v>170</v>
      </c>
      <c r="B26" s="41">
        <v>1350</v>
      </c>
      <c r="C26" s="41">
        <v>1572</v>
      </c>
      <c r="D26" s="41">
        <v>1531</v>
      </c>
      <c r="E26" s="41">
        <v>1099</v>
      </c>
      <c r="F26" s="41">
        <v>993</v>
      </c>
      <c r="G26" s="41">
        <v>953</v>
      </c>
      <c r="H26" s="41">
        <v>1321</v>
      </c>
      <c r="I26" s="41">
        <v>1159</v>
      </c>
      <c r="J26" s="41">
        <v>1280</v>
      </c>
      <c r="K26">
        <v>1374</v>
      </c>
      <c r="L26">
        <v>952</v>
      </c>
      <c r="M26">
        <v>1057</v>
      </c>
      <c r="N26">
        <v>1414</v>
      </c>
      <c r="O26">
        <v>184</v>
      </c>
      <c r="P26">
        <v>212</v>
      </c>
      <c r="Q26">
        <v>218</v>
      </c>
      <c r="R26">
        <v>166</v>
      </c>
      <c r="S26">
        <v>146</v>
      </c>
      <c r="T26">
        <v>129</v>
      </c>
      <c r="U26">
        <v>156</v>
      </c>
      <c r="V26">
        <v>159</v>
      </c>
      <c r="W26">
        <v>162</v>
      </c>
      <c r="X26">
        <v>200</v>
      </c>
      <c r="Y26">
        <v>166</v>
      </c>
      <c r="Z26">
        <v>220</v>
      </c>
      <c r="AA26">
        <v>235</v>
      </c>
      <c r="AD26" s="39" t="s">
        <v>74</v>
      </c>
      <c r="AE26" s="30">
        <v>1671</v>
      </c>
      <c r="AF26">
        <v>3766</v>
      </c>
    </row>
    <row r="27" spans="1:32" hidden="1">
      <c r="A27" s="41" t="s">
        <v>340</v>
      </c>
      <c r="B27" s="41">
        <v>665</v>
      </c>
      <c r="C27" s="41">
        <v>685</v>
      </c>
      <c r="D27" s="41">
        <v>512</v>
      </c>
      <c r="E27" s="41">
        <v>531</v>
      </c>
      <c r="F27" s="41">
        <v>543</v>
      </c>
      <c r="G27" s="41">
        <v>726</v>
      </c>
      <c r="H27" s="41">
        <v>571</v>
      </c>
      <c r="I27" s="41">
        <v>593</v>
      </c>
      <c r="J27" s="41">
        <v>602</v>
      </c>
      <c r="K27">
        <v>563</v>
      </c>
      <c r="L27">
        <v>564</v>
      </c>
      <c r="M27">
        <v>541</v>
      </c>
      <c r="N27">
        <v>685</v>
      </c>
      <c r="O27">
        <v>149</v>
      </c>
      <c r="P27">
        <v>135</v>
      </c>
      <c r="Q27">
        <v>100</v>
      </c>
      <c r="R27">
        <v>154</v>
      </c>
      <c r="S27">
        <v>168</v>
      </c>
      <c r="T27">
        <v>212</v>
      </c>
      <c r="U27">
        <v>154</v>
      </c>
      <c r="V27">
        <v>188</v>
      </c>
      <c r="W27">
        <v>209</v>
      </c>
      <c r="X27">
        <v>206</v>
      </c>
      <c r="Y27">
        <v>211</v>
      </c>
      <c r="Z27">
        <v>178</v>
      </c>
      <c r="AA27">
        <v>237</v>
      </c>
      <c r="AD27" t="s">
        <v>112</v>
      </c>
      <c r="AE27" s="30">
        <v>2656</v>
      </c>
      <c r="AF27">
        <v>14102</v>
      </c>
    </row>
    <row r="28" spans="1:32" hidden="1">
      <c r="A28" s="41" t="s">
        <v>382</v>
      </c>
      <c r="B28" s="41">
        <v>1234</v>
      </c>
      <c r="C28" s="41">
        <v>1378</v>
      </c>
      <c r="D28" s="41">
        <v>1315</v>
      </c>
      <c r="E28" s="41">
        <v>1069</v>
      </c>
      <c r="F28" s="41">
        <v>963</v>
      </c>
      <c r="G28" s="41">
        <v>1037</v>
      </c>
      <c r="H28" s="41">
        <v>872</v>
      </c>
      <c r="I28" s="41">
        <v>952</v>
      </c>
      <c r="J28" s="41">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178</v>
      </c>
      <c r="AE28" s="30">
        <v>596</v>
      </c>
      <c r="AF28">
        <v>3841</v>
      </c>
    </row>
    <row r="29" spans="1:32" hidden="1">
      <c r="A29" s="41" t="s">
        <v>56</v>
      </c>
      <c r="B29" s="41">
        <v>2643</v>
      </c>
      <c r="C29" s="41">
        <v>2194</v>
      </c>
      <c r="D29" s="41">
        <v>2460</v>
      </c>
      <c r="E29" s="41">
        <v>3131</v>
      </c>
      <c r="F29" s="41">
        <v>5169</v>
      </c>
      <c r="G29" s="41">
        <v>5311</v>
      </c>
      <c r="H29" s="41">
        <v>4351</v>
      </c>
      <c r="I29" s="41">
        <v>3748</v>
      </c>
      <c r="J29" s="41">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118</v>
      </c>
      <c r="AE29" s="30">
        <v>1681</v>
      </c>
      <c r="AF29">
        <v>7809</v>
      </c>
    </row>
    <row r="30" spans="1:32" hidden="1">
      <c r="A30" s="41" t="s">
        <v>220</v>
      </c>
      <c r="B30" s="41">
        <v>1291</v>
      </c>
      <c r="C30" s="41">
        <v>1246</v>
      </c>
      <c r="D30" s="41">
        <v>1323</v>
      </c>
      <c r="E30" s="41">
        <v>1384</v>
      </c>
      <c r="F30" s="41">
        <v>2896</v>
      </c>
      <c r="G30" s="41">
        <v>3091</v>
      </c>
      <c r="H30" s="41">
        <v>1801</v>
      </c>
      <c r="I30" s="41">
        <v>1312</v>
      </c>
      <c r="J30" s="41">
        <v>1316</v>
      </c>
      <c r="K30">
        <v>1231</v>
      </c>
      <c r="L30">
        <v>1033</v>
      </c>
      <c r="M30">
        <v>878</v>
      </c>
      <c r="N30">
        <v>1263</v>
      </c>
      <c r="O30">
        <v>128</v>
      </c>
      <c r="P30">
        <v>337</v>
      </c>
      <c r="Q30">
        <v>295</v>
      </c>
      <c r="R30">
        <v>320</v>
      </c>
      <c r="S30">
        <v>520</v>
      </c>
      <c r="T30">
        <v>495</v>
      </c>
      <c r="U30">
        <v>369</v>
      </c>
      <c r="V30">
        <v>309</v>
      </c>
      <c r="W30">
        <v>344</v>
      </c>
      <c r="X30">
        <v>306</v>
      </c>
      <c r="Y30">
        <v>274</v>
      </c>
      <c r="Z30">
        <v>224</v>
      </c>
      <c r="AA30">
        <v>343</v>
      </c>
      <c r="AD30" s="39" t="s">
        <v>38</v>
      </c>
      <c r="AE30" s="30">
        <v>1969</v>
      </c>
      <c r="AF30">
        <v>3186</v>
      </c>
    </row>
    <row r="31" spans="1:32" hidden="1">
      <c r="A31" s="41" t="s">
        <v>348</v>
      </c>
      <c r="B31" s="41">
        <v>1802</v>
      </c>
      <c r="C31" s="41">
        <v>2266</v>
      </c>
      <c r="D31" s="41">
        <v>2188</v>
      </c>
      <c r="E31" s="41">
        <v>2260</v>
      </c>
      <c r="F31" s="41">
        <v>1855</v>
      </c>
      <c r="G31" s="41">
        <v>1756</v>
      </c>
      <c r="H31" s="41">
        <v>1896</v>
      </c>
      <c r="I31" s="41">
        <v>1935</v>
      </c>
      <c r="J31" s="41">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9" t="s">
        <v>80</v>
      </c>
      <c r="AE31" s="30">
        <v>1923</v>
      </c>
      <c r="AF31">
        <v>7678</v>
      </c>
    </row>
    <row r="32" spans="1:32" hidden="1">
      <c r="A32" s="41" t="s">
        <v>314</v>
      </c>
      <c r="B32" s="41">
        <v>1697</v>
      </c>
      <c r="C32" s="41">
        <v>1662</v>
      </c>
      <c r="D32" s="41">
        <v>1362</v>
      </c>
      <c r="E32" s="41">
        <v>1046</v>
      </c>
      <c r="F32" s="41">
        <v>973</v>
      </c>
      <c r="G32" s="41">
        <v>1027</v>
      </c>
      <c r="H32" s="41">
        <v>1129</v>
      </c>
      <c r="I32" s="41">
        <v>893</v>
      </c>
      <c r="J32" s="41">
        <v>844</v>
      </c>
      <c r="K32">
        <v>759</v>
      </c>
      <c r="L32">
        <v>683</v>
      </c>
      <c r="M32">
        <v>552</v>
      </c>
      <c r="N32">
        <v>750</v>
      </c>
      <c r="O32">
        <v>377</v>
      </c>
      <c r="P32">
        <v>343</v>
      </c>
      <c r="Q32">
        <v>338</v>
      </c>
      <c r="R32">
        <v>274</v>
      </c>
      <c r="S32">
        <v>237</v>
      </c>
      <c r="T32">
        <v>236</v>
      </c>
      <c r="U32">
        <v>268</v>
      </c>
      <c r="V32">
        <v>203</v>
      </c>
      <c r="W32">
        <v>211</v>
      </c>
      <c r="X32">
        <v>204</v>
      </c>
      <c r="Y32">
        <v>192</v>
      </c>
      <c r="Z32">
        <v>164</v>
      </c>
      <c r="AA32">
        <v>204</v>
      </c>
      <c r="AD32" t="s">
        <v>94</v>
      </c>
      <c r="AE32" s="30">
        <v>1541</v>
      </c>
      <c r="AF32">
        <v>5675</v>
      </c>
    </row>
    <row r="33" spans="1:32" hidden="1">
      <c r="A33" s="41" t="s">
        <v>452</v>
      </c>
      <c r="B33" s="41">
        <v>2049</v>
      </c>
      <c r="C33" s="41">
        <v>2090</v>
      </c>
      <c r="D33" s="41">
        <v>1579</v>
      </c>
      <c r="E33" s="41">
        <v>1696</v>
      </c>
      <c r="F33" s="41">
        <v>1568</v>
      </c>
      <c r="G33" s="41">
        <v>1921</v>
      </c>
      <c r="H33" s="41">
        <v>1701</v>
      </c>
      <c r="I33" s="41">
        <v>1734</v>
      </c>
      <c r="J33" s="41">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108</v>
      </c>
      <c r="AE33" s="30">
        <v>2159</v>
      </c>
      <c r="AF33">
        <v>7520</v>
      </c>
    </row>
    <row r="34" spans="1:32" hidden="1">
      <c r="A34" s="41" t="s">
        <v>464</v>
      </c>
      <c r="B34" s="41">
        <v>0</v>
      </c>
      <c r="C34" s="41">
        <v>0</v>
      </c>
      <c r="D34" s="41">
        <v>0</v>
      </c>
      <c r="E34" s="41">
        <v>0</v>
      </c>
      <c r="F34" s="41">
        <v>0</v>
      </c>
      <c r="G34" s="41">
        <v>0</v>
      </c>
      <c r="H34" s="41">
        <v>0</v>
      </c>
      <c r="I34" s="41">
        <v>0</v>
      </c>
      <c r="J34" s="41">
        <v>825</v>
      </c>
      <c r="K34">
        <v>820</v>
      </c>
      <c r="L34">
        <v>1364</v>
      </c>
      <c r="M34">
        <v>677</v>
      </c>
      <c r="N34">
        <v>514</v>
      </c>
      <c r="O34">
        <v>0</v>
      </c>
      <c r="P34">
        <v>0</v>
      </c>
      <c r="Q34">
        <v>0</v>
      </c>
      <c r="R34">
        <v>0</v>
      </c>
      <c r="S34">
        <v>0</v>
      </c>
      <c r="T34">
        <v>0</v>
      </c>
      <c r="U34">
        <v>0</v>
      </c>
      <c r="V34">
        <v>0</v>
      </c>
      <c r="W34">
        <v>34</v>
      </c>
      <c r="X34">
        <v>202</v>
      </c>
      <c r="Y34">
        <v>493</v>
      </c>
      <c r="Z34">
        <v>45</v>
      </c>
      <c r="AA34">
        <v>141</v>
      </c>
      <c r="AD34" t="s">
        <v>136</v>
      </c>
      <c r="AE34" s="30">
        <v>1658</v>
      </c>
      <c r="AF34">
        <v>6313</v>
      </c>
    </row>
    <row r="35" spans="1:32" hidden="1">
      <c r="A35" s="41" t="s">
        <v>432</v>
      </c>
      <c r="B35" s="41">
        <v>1612</v>
      </c>
      <c r="C35" s="41">
        <v>1612</v>
      </c>
      <c r="D35" s="41">
        <v>1268</v>
      </c>
      <c r="E35" s="41">
        <v>1177</v>
      </c>
      <c r="F35" s="41">
        <v>1265</v>
      </c>
      <c r="G35" s="41">
        <v>1237</v>
      </c>
      <c r="H35" s="41">
        <v>1282</v>
      </c>
      <c r="I35" s="41">
        <v>1568</v>
      </c>
      <c r="J35" s="41">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478</v>
      </c>
      <c r="AE35" s="30">
        <v>1546</v>
      </c>
      <c r="AF35">
        <v>6817</v>
      </c>
    </row>
    <row r="36" spans="1:32" hidden="1">
      <c r="A36" s="41" t="s">
        <v>370</v>
      </c>
      <c r="B36" s="41">
        <v>1438</v>
      </c>
      <c r="C36" s="41">
        <v>1596</v>
      </c>
      <c r="D36" s="41">
        <v>1534</v>
      </c>
      <c r="E36" s="41">
        <v>1000</v>
      </c>
      <c r="F36" s="41">
        <v>813</v>
      </c>
      <c r="G36" s="41">
        <v>737</v>
      </c>
      <c r="H36" s="41">
        <v>772</v>
      </c>
      <c r="I36" s="41">
        <v>1128</v>
      </c>
      <c r="J36" s="41">
        <v>987</v>
      </c>
      <c r="K36">
        <v>807</v>
      </c>
      <c r="L36">
        <v>912</v>
      </c>
      <c r="M36">
        <v>972</v>
      </c>
      <c r="N36">
        <v>1050</v>
      </c>
      <c r="O36">
        <v>272</v>
      </c>
      <c r="P36">
        <v>327</v>
      </c>
      <c r="Q36">
        <v>237</v>
      </c>
      <c r="R36">
        <v>138</v>
      </c>
      <c r="S36">
        <v>119</v>
      </c>
      <c r="T36">
        <v>95</v>
      </c>
      <c r="U36">
        <v>111</v>
      </c>
      <c r="V36">
        <v>219</v>
      </c>
      <c r="W36">
        <v>156</v>
      </c>
      <c r="X36">
        <v>143</v>
      </c>
      <c r="Y36">
        <v>143</v>
      </c>
      <c r="Z36">
        <v>173</v>
      </c>
      <c r="AA36">
        <v>179</v>
      </c>
      <c r="AD36" t="s">
        <v>192</v>
      </c>
      <c r="AE36" s="30">
        <v>2684</v>
      </c>
      <c r="AF36">
        <v>10777</v>
      </c>
    </row>
    <row r="37" spans="1:32" hidden="1">
      <c r="A37" s="41" t="s">
        <v>563</v>
      </c>
      <c r="B37" s="41">
        <v>1173</v>
      </c>
      <c r="C37" s="41">
        <v>1416</v>
      </c>
      <c r="D37" s="41">
        <v>1415</v>
      </c>
      <c r="E37" s="41">
        <v>1937</v>
      </c>
      <c r="F37" s="41">
        <v>1513</v>
      </c>
      <c r="G37" s="41">
        <v>1190</v>
      </c>
      <c r="H37" s="41">
        <v>1096</v>
      </c>
      <c r="I37" s="41">
        <v>1043</v>
      </c>
      <c r="J37" s="41">
        <v>1008</v>
      </c>
      <c r="K37">
        <v>997</v>
      </c>
      <c r="L37">
        <v>831</v>
      </c>
      <c r="M37">
        <v>782</v>
      </c>
      <c r="N37">
        <v>1235</v>
      </c>
      <c r="O37">
        <v>508</v>
      </c>
      <c r="P37">
        <v>615</v>
      </c>
      <c r="Q37">
        <v>723</v>
      </c>
      <c r="R37">
        <v>929</v>
      </c>
      <c r="S37">
        <v>694</v>
      </c>
      <c r="T37">
        <v>571</v>
      </c>
      <c r="U37">
        <v>578</v>
      </c>
      <c r="V37">
        <v>556</v>
      </c>
      <c r="W37">
        <v>571</v>
      </c>
      <c r="X37">
        <v>519</v>
      </c>
      <c r="Y37">
        <v>487</v>
      </c>
      <c r="Z37">
        <v>443</v>
      </c>
      <c r="AA37">
        <v>672</v>
      </c>
      <c r="AD37" t="s">
        <v>420</v>
      </c>
      <c r="AE37" s="30">
        <v>4901</v>
      </c>
      <c r="AF37">
        <v>19375</v>
      </c>
    </row>
    <row r="38" spans="1:32" hidden="1">
      <c r="A38" s="41" t="s">
        <v>700</v>
      </c>
      <c r="B38" s="41">
        <v>520</v>
      </c>
      <c r="C38" s="41">
        <v>584</v>
      </c>
      <c r="D38" s="41">
        <v>493</v>
      </c>
      <c r="E38" s="41">
        <v>425</v>
      </c>
      <c r="F38" s="41">
        <v>379</v>
      </c>
      <c r="G38" s="41">
        <v>478</v>
      </c>
      <c r="H38" s="41">
        <v>501</v>
      </c>
      <c r="I38" s="41">
        <v>487</v>
      </c>
      <c r="J38" s="41">
        <v>540</v>
      </c>
      <c r="K38">
        <v>402</v>
      </c>
      <c r="L38">
        <v>381</v>
      </c>
      <c r="M38">
        <v>402</v>
      </c>
      <c r="N38">
        <v>534</v>
      </c>
      <c r="O38">
        <v>111</v>
      </c>
      <c r="P38">
        <v>166</v>
      </c>
      <c r="Q38">
        <v>127</v>
      </c>
      <c r="R38">
        <v>138</v>
      </c>
      <c r="S38">
        <v>137</v>
      </c>
      <c r="T38">
        <v>168</v>
      </c>
      <c r="U38">
        <v>208</v>
      </c>
      <c r="V38">
        <v>200</v>
      </c>
      <c r="W38">
        <v>198</v>
      </c>
      <c r="X38">
        <v>206</v>
      </c>
      <c r="Y38">
        <v>186</v>
      </c>
      <c r="Z38">
        <v>158</v>
      </c>
      <c r="AA38">
        <v>265</v>
      </c>
      <c r="AD38" t="s">
        <v>144</v>
      </c>
      <c r="AE38" s="30">
        <v>1150</v>
      </c>
      <c r="AF38">
        <v>3529</v>
      </c>
    </row>
    <row r="39" spans="1:32" hidden="1">
      <c r="A39" s="41" t="s">
        <v>24</v>
      </c>
      <c r="B39" s="41">
        <v>3440</v>
      </c>
      <c r="C39" s="41">
        <v>3745</v>
      </c>
      <c r="D39" s="41">
        <v>3270</v>
      </c>
      <c r="E39" s="41">
        <v>2648</v>
      </c>
      <c r="F39" s="41">
        <v>2103</v>
      </c>
      <c r="G39" s="41">
        <v>2343</v>
      </c>
      <c r="H39" s="41">
        <v>3264</v>
      </c>
      <c r="I39" s="41">
        <v>2287</v>
      </c>
      <c r="J39" s="41">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68</v>
      </c>
      <c r="AE39" s="30">
        <v>3490</v>
      </c>
      <c r="AF39">
        <v>18684</v>
      </c>
    </row>
    <row r="40" spans="1:32" hidden="1">
      <c r="A40" s="41" t="s">
        <v>621</v>
      </c>
      <c r="B40" s="41">
        <v>520</v>
      </c>
      <c r="C40" s="41">
        <v>405</v>
      </c>
      <c r="D40" s="41">
        <v>397</v>
      </c>
      <c r="E40" s="41">
        <v>425</v>
      </c>
      <c r="F40" s="41">
        <v>312</v>
      </c>
      <c r="G40" s="41">
        <v>227</v>
      </c>
      <c r="H40" s="41">
        <v>265</v>
      </c>
      <c r="I40" s="41">
        <v>201</v>
      </c>
      <c r="J40" s="41">
        <v>246</v>
      </c>
      <c r="K40">
        <v>185</v>
      </c>
      <c r="L40">
        <v>164</v>
      </c>
      <c r="M40">
        <v>187</v>
      </c>
      <c r="N40">
        <v>236</v>
      </c>
      <c r="O40">
        <v>196</v>
      </c>
      <c r="P40">
        <v>143</v>
      </c>
      <c r="Q40">
        <v>172</v>
      </c>
      <c r="R40">
        <v>176</v>
      </c>
      <c r="S40">
        <v>158</v>
      </c>
      <c r="T40">
        <v>116</v>
      </c>
      <c r="U40">
        <v>173</v>
      </c>
      <c r="V40">
        <v>144</v>
      </c>
      <c r="W40">
        <v>126</v>
      </c>
      <c r="X40">
        <v>125</v>
      </c>
      <c r="Y40">
        <v>104</v>
      </c>
      <c r="Z40">
        <v>90</v>
      </c>
      <c r="AA40">
        <v>143</v>
      </c>
      <c r="AD40" t="s">
        <v>362</v>
      </c>
      <c r="AE40" s="30">
        <v>973</v>
      </c>
      <c r="AF40">
        <v>4096</v>
      </c>
    </row>
    <row r="41" spans="1:32" hidden="1">
      <c r="A41" s="41" t="s">
        <v>424</v>
      </c>
      <c r="B41" s="41">
        <v>4037</v>
      </c>
      <c r="C41" s="41">
        <v>3903</v>
      </c>
      <c r="D41" s="41">
        <v>3419</v>
      </c>
      <c r="E41" s="41">
        <v>3701</v>
      </c>
      <c r="F41" s="41">
        <v>2603</v>
      </c>
      <c r="G41" s="41">
        <v>2448</v>
      </c>
      <c r="H41" s="41">
        <v>2013</v>
      </c>
      <c r="I41" s="41">
        <v>1537</v>
      </c>
      <c r="J41" s="41">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252</v>
      </c>
      <c r="AE41" s="30">
        <v>1611</v>
      </c>
      <c r="AF41">
        <v>4335</v>
      </c>
    </row>
    <row r="42" spans="1:32" hidden="1">
      <c r="A42" s="41" t="s">
        <v>516</v>
      </c>
      <c r="B42" s="41">
        <v>2406</v>
      </c>
      <c r="C42" s="41">
        <v>2851</v>
      </c>
      <c r="D42" s="41">
        <v>2786</v>
      </c>
      <c r="E42" s="41">
        <v>2649</v>
      </c>
      <c r="F42" s="41">
        <v>2343</v>
      </c>
      <c r="G42" s="41">
        <v>2072</v>
      </c>
      <c r="H42" s="41">
        <v>1866</v>
      </c>
      <c r="I42" s="41">
        <v>1847</v>
      </c>
      <c r="J42" s="41">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98</v>
      </c>
      <c r="AE42" s="30">
        <v>2321</v>
      </c>
      <c r="AF42">
        <v>21220</v>
      </c>
    </row>
    <row r="43" spans="1:32" hidden="1">
      <c r="A43" s="41" t="s">
        <v>565</v>
      </c>
      <c r="B43" s="41">
        <v>639</v>
      </c>
      <c r="C43" s="41">
        <v>656</v>
      </c>
      <c r="D43" s="41">
        <v>555</v>
      </c>
      <c r="E43" s="41">
        <v>594</v>
      </c>
      <c r="F43" s="41">
        <v>550</v>
      </c>
      <c r="G43" s="41">
        <v>465</v>
      </c>
      <c r="H43" s="41">
        <v>502</v>
      </c>
      <c r="I43" s="41">
        <v>452</v>
      </c>
      <c r="J43" s="41">
        <v>383</v>
      </c>
      <c r="K43">
        <v>524</v>
      </c>
      <c r="L43">
        <v>338</v>
      </c>
      <c r="M43">
        <v>450</v>
      </c>
      <c r="N43">
        <v>692</v>
      </c>
      <c r="O43">
        <v>169</v>
      </c>
      <c r="P43">
        <v>177</v>
      </c>
      <c r="Q43">
        <v>168</v>
      </c>
      <c r="R43">
        <v>156</v>
      </c>
      <c r="S43">
        <v>200</v>
      </c>
      <c r="T43">
        <v>169</v>
      </c>
      <c r="U43">
        <v>159</v>
      </c>
      <c r="V43">
        <v>145</v>
      </c>
      <c r="W43">
        <v>136</v>
      </c>
      <c r="X43">
        <v>167</v>
      </c>
      <c r="Y43">
        <v>115</v>
      </c>
      <c r="Z43">
        <v>138</v>
      </c>
      <c r="AA43">
        <v>208</v>
      </c>
      <c r="AD43" t="s">
        <v>54</v>
      </c>
      <c r="AE43" s="30">
        <v>2223</v>
      </c>
      <c r="AF43">
        <v>12395</v>
      </c>
    </row>
    <row r="44" spans="1:32" hidden="1">
      <c r="A44" s="41" t="s">
        <v>664</v>
      </c>
      <c r="B44" s="41">
        <v>775</v>
      </c>
      <c r="C44" s="41">
        <v>731</v>
      </c>
      <c r="D44" s="41">
        <v>667</v>
      </c>
      <c r="E44" s="41">
        <v>630</v>
      </c>
      <c r="F44" s="41">
        <v>391</v>
      </c>
      <c r="G44" s="41">
        <v>443</v>
      </c>
      <c r="H44" s="41">
        <v>465</v>
      </c>
      <c r="I44" s="41">
        <v>548</v>
      </c>
      <c r="J44" s="41">
        <v>560</v>
      </c>
      <c r="K44">
        <v>541</v>
      </c>
      <c r="L44">
        <v>589</v>
      </c>
      <c r="M44">
        <v>603</v>
      </c>
      <c r="N44">
        <v>566</v>
      </c>
      <c r="O44">
        <v>225</v>
      </c>
      <c r="P44">
        <v>224</v>
      </c>
      <c r="Q44">
        <v>209</v>
      </c>
      <c r="R44">
        <v>214</v>
      </c>
      <c r="S44">
        <v>176</v>
      </c>
      <c r="T44">
        <v>185</v>
      </c>
      <c r="U44">
        <v>200</v>
      </c>
      <c r="V44">
        <v>235</v>
      </c>
      <c r="W44">
        <v>241</v>
      </c>
      <c r="X44">
        <v>223</v>
      </c>
      <c r="Y44">
        <v>285</v>
      </c>
      <c r="Z44">
        <v>224</v>
      </c>
      <c r="AA44">
        <v>287</v>
      </c>
      <c r="AD44" t="s">
        <v>104</v>
      </c>
      <c r="AE44" s="30">
        <v>741</v>
      </c>
      <c r="AF44">
        <v>2337</v>
      </c>
    </row>
    <row r="45" spans="1:32" hidden="1">
      <c r="A45" s="41" t="s">
        <v>600</v>
      </c>
      <c r="B45" s="41">
        <v>4597</v>
      </c>
      <c r="C45" s="41">
        <v>4821</v>
      </c>
      <c r="D45" s="41">
        <v>4592</v>
      </c>
      <c r="E45" s="41">
        <v>4863</v>
      </c>
      <c r="F45" s="41">
        <v>4459</v>
      </c>
      <c r="G45" s="41">
        <v>3738</v>
      </c>
      <c r="H45" s="41">
        <v>3250</v>
      </c>
      <c r="I45" s="41">
        <v>2725</v>
      </c>
      <c r="J45" s="41">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214</v>
      </c>
      <c r="AE45" s="30">
        <v>1931</v>
      </c>
      <c r="AF45">
        <v>6561</v>
      </c>
    </row>
    <row r="46" spans="1:32" hidden="1">
      <c r="A46" s="41" t="s">
        <v>792</v>
      </c>
      <c r="B46" s="41">
        <v>1517</v>
      </c>
      <c r="C46" s="41">
        <v>1163</v>
      </c>
      <c r="D46" s="41">
        <v>772</v>
      </c>
      <c r="E46" s="41">
        <v>568</v>
      </c>
      <c r="F46" s="41">
        <v>433</v>
      </c>
      <c r="G46" s="41">
        <v>366</v>
      </c>
      <c r="H46" s="41">
        <v>467</v>
      </c>
      <c r="I46" s="41">
        <v>512</v>
      </c>
      <c r="J46" s="41">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442</v>
      </c>
      <c r="AE46" s="30">
        <v>1390</v>
      </c>
      <c r="AF46">
        <v>8504</v>
      </c>
    </row>
    <row r="47" spans="1:32" hidden="1">
      <c r="A47" s="41" t="s">
        <v>322</v>
      </c>
      <c r="B47" s="41">
        <v>2202</v>
      </c>
      <c r="C47" s="41">
        <v>2261</v>
      </c>
      <c r="D47" s="41">
        <v>2587</v>
      </c>
      <c r="E47" s="41">
        <v>1966</v>
      </c>
      <c r="F47" s="41">
        <v>1833</v>
      </c>
      <c r="G47" s="41">
        <v>1661</v>
      </c>
      <c r="H47" s="41">
        <v>1989</v>
      </c>
      <c r="I47" s="41">
        <v>2059</v>
      </c>
      <c r="J47" s="41">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9" t="s">
        <v>64</v>
      </c>
      <c r="AE47" s="30">
        <v>940</v>
      </c>
      <c r="AF47">
        <v>3810</v>
      </c>
    </row>
    <row r="48" spans="1:32" hidden="1">
      <c r="A48" s="41" t="s">
        <v>418</v>
      </c>
      <c r="B48" s="41">
        <v>1165</v>
      </c>
      <c r="C48" s="41">
        <v>1108</v>
      </c>
      <c r="D48" s="41">
        <v>2964</v>
      </c>
      <c r="E48" s="41">
        <v>8</v>
      </c>
      <c r="F48" s="41">
        <v>0</v>
      </c>
      <c r="G48" s="41">
        <v>626</v>
      </c>
      <c r="H48" s="41">
        <v>1040</v>
      </c>
      <c r="I48" s="41">
        <v>1161</v>
      </c>
      <c r="J48" s="41">
        <v>1011</v>
      </c>
      <c r="K48">
        <v>943</v>
      </c>
      <c r="L48">
        <v>618</v>
      </c>
      <c r="M48">
        <v>631</v>
      </c>
      <c r="N48">
        <v>782</v>
      </c>
      <c r="O48">
        <v>202</v>
      </c>
      <c r="P48">
        <v>180</v>
      </c>
      <c r="Q48">
        <v>610</v>
      </c>
      <c r="R48">
        <v>1</v>
      </c>
      <c r="S48">
        <v>0</v>
      </c>
      <c r="T48">
        <v>85</v>
      </c>
      <c r="U48">
        <v>240</v>
      </c>
      <c r="V48">
        <v>226</v>
      </c>
      <c r="W48">
        <v>214</v>
      </c>
      <c r="X48">
        <v>176</v>
      </c>
      <c r="Y48">
        <v>105</v>
      </c>
      <c r="Z48">
        <v>149</v>
      </c>
      <c r="AA48">
        <v>156</v>
      </c>
      <c r="AD48" t="s">
        <v>482</v>
      </c>
      <c r="AE48" s="30">
        <v>3488</v>
      </c>
      <c r="AF48">
        <v>16265</v>
      </c>
    </row>
    <row r="49" spans="1:32" hidden="1">
      <c r="A49" s="41" t="s">
        <v>698</v>
      </c>
      <c r="B49" s="41">
        <v>789</v>
      </c>
      <c r="C49" s="41">
        <v>638</v>
      </c>
      <c r="D49" s="41">
        <v>560</v>
      </c>
      <c r="E49" s="41">
        <v>595</v>
      </c>
      <c r="F49" s="41">
        <v>668</v>
      </c>
      <c r="G49" s="41">
        <v>611</v>
      </c>
      <c r="H49" s="41">
        <v>761</v>
      </c>
      <c r="I49" s="41">
        <v>780</v>
      </c>
      <c r="J49" s="41">
        <v>653</v>
      </c>
      <c r="K49">
        <v>783</v>
      </c>
      <c r="L49">
        <v>937</v>
      </c>
      <c r="M49">
        <v>780</v>
      </c>
      <c r="N49">
        <v>968</v>
      </c>
      <c r="O49">
        <v>275</v>
      </c>
      <c r="P49">
        <v>276</v>
      </c>
      <c r="Q49">
        <v>276</v>
      </c>
      <c r="R49">
        <v>278</v>
      </c>
      <c r="S49">
        <v>308</v>
      </c>
      <c r="T49">
        <v>290</v>
      </c>
      <c r="U49">
        <v>378</v>
      </c>
      <c r="V49">
        <v>367</v>
      </c>
      <c r="W49">
        <v>315</v>
      </c>
      <c r="X49">
        <v>403</v>
      </c>
      <c r="Y49">
        <v>498</v>
      </c>
      <c r="Z49">
        <v>410</v>
      </c>
      <c r="AA49">
        <v>531</v>
      </c>
      <c r="AD49" t="s">
        <v>70</v>
      </c>
      <c r="AE49" s="30">
        <v>5377</v>
      </c>
      <c r="AF49">
        <v>25769</v>
      </c>
    </row>
    <row r="50" spans="1:32" hidden="1">
      <c r="A50" s="41" t="s">
        <v>696</v>
      </c>
      <c r="B50" s="41">
        <v>598</v>
      </c>
      <c r="C50" s="41">
        <v>376</v>
      </c>
      <c r="D50" s="41">
        <v>314</v>
      </c>
      <c r="E50" s="41">
        <v>285</v>
      </c>
      <c r="F50" s="41">
        <v>298</v>
      </c>
      <c r="G50" s="41">
        <v>282</v>
      </c>
      <c r="H50" s="41">
        <v>327</v>
      </c>
      <c r="I50" s="41">
        <v>376</v>
      </c>
      <c r="J50" s="41">
        <v>344</v>
      </c>
      <c r="K50">
        <v>251</v>
      </c>
      <c r="L50">
        <v>288</v>
      </c>
      <c r="M50">
        <v>269</v>
      </c>
      <c r="N50">
        <v>411</v>
      </c>
      <c r="O50">
        <v>210</v>
      </c>
      <c r="P50">
        <v>147</v>
      </c>
      <c r="Q50">
        <v>148</v>
      </c>
      <c r="R50">
        <v>123</v>
      </c>
      <c r="S50">
        <v>135</v>
      </c>
      <c r="T50">
        <v>114</v>
      </c>
      <c r="U50">
        <v>137</v>
      </c>
      <c r="V50">
        <v>182</v>
      </c>
      <c r="W50">
        <v>167</v>
      </c>
      <c r="X50">
        <v>139</v>
      </c>
      <c r="Y50">
        <v>132</v>
      </c>
      <c r="Z50">
        <v>114</v>
      </c>
      <c r="AA50">
        <v>159</v>
      </c>
      <c r="AD50" t="s">
        <v>198</v>
      </c>
      <c r="AE50" s="30">
        <v>633</v>
      </c>
      <c r="AF50">
        <v>2757</v>
      </c>
    </row>
    <row r="51" spans="1:32" hidden="1">
      <c r="A51" s="41" t="s">
        <v>34</v>
      </c>
      <c r="B51" s="41">
        <v>3107</v>
      </c>
      <c r="C51" s="41">
        <v>2997</v>
      </c>
      <c r="D51" s="41">
        <v>6966</v>
      </c>
      <c r="E51" s="41">
        <v>2340</v>
      </c>
      <c r="F51" s="41">
        <v>1935</v>
      </c>
      <c r="G51" s="41">
        <v>2093</v>
      </c>
      <c r="H51" s="41">
        <v>1135</v>
      </c>
      <c r="I51" s="41">
        <v>2075</v>
      </c>
      <c r="J51" s="41">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162</v>
      </c>
      <c r="AE51" s="30">
        <v>1412</v>
      </c>
      <c r="AF51">
        <v>5438</v>
      </c>
    </row>
    <row r="52" spans="1:32" hidden="1">
      <c r="A52" s="41" t="s">
        <v>344</v>
      </c>
      <c r="B52" s="41">
        <v>1714</v>
      </c>
      <c r="C52" s="41">
        <v>1951</v>
      </c>
      <c r="D52" s="41">
        <v>1431</v>
      </c>
      <c r="E52" s="41">
        <v>1568</v>
      </c>
      <c r="F52" s="41">
        <v>1278</v>
      </c>
      <c r="G52" s="41">
        <v>880</v>
      </c>
      <c r="H52" s="41">
        <v>971</v>
      </c>
      <c r="I52" s="41">
        <v>712</v>
      </c>
      <c r="J52" s="41">
        <v>1022</v>
      </c>
      <c r="K52">
        <v>904</v>
      </c>
      <c r="L52">
        <v>845</v>
      </c>
      <c r="M52">
        <v>764</v>
      </c>
      <c r="N52">
        <v>962</v>
      </c>
      <c r="O52">
        <v>290</v>
      </c>
      <c r="P52">
        <v>329</v>
      </c>
      <c r="Q52">
        <v>287</v>
      </c>
      <c r="R52">
        <v>267</v>
      </c>
      <c r="S52">
        <v>216</v>
      </c>
      <c r="T52">
        <v>192</v>
      </c>
      <c r="U52">
        <v>240</v>
      </c>
      <c r="V52">
        <v>217</v>
      </c>
      <c r="W52">
        <v>204</v>
      </c>
      <c r="X52">
        <v>234</v>
      </c>
      <c r="Y52">
        <v>239</v>
      </c>
      <c r="Z52">
        <v>213</v>
      </c>
      <c r="AA52">
        <v>274</v>
      </c>
      <c r="AD52" t="s">
        <v>260</v>
      </c>
      <c r="AE52" s="30">
        <v>829</v>
      </c>
      <c r="AF52">
        <v>3547</v>
      </c>
    </row>
    <row r="53" spans="1:32" hidden="1">
      <c r="A53" s="41" t="s">
        <v>162</v>
      </c>
      <c r="B53" s="41">
        <v>0</v>
      </c>
      <c r="C53" s="41">
        <v>0</v>
      </c>
      <c r="D53" s="41">
        <v>0</v>
      </c>
      <c r="E53" s="41">
        <v>0</v>
      </c>
      <c r="F53" s="41">
        <v>1346</v>
      </c>
      <c r="G53" s="41">
        <v>1294</v>
      </c>
      <c r="H53" s="41">
        <v>1208</v>
      </c>
      <c r="I53" s="41">
        <v>1210</v>
      </c>
      <c r="J53" s="41">
        <v>1161</v>
      </c>
      <c r="K53">
        <v>1136</v>
      </c>
      <c r="L53">
        <v>1060</v>
      </c>
      <c r="M53">
        <v>912</v>
      </c>
      <c r="N53">
        <v>1478</v>
      </c>
      <c r="O53">
        <v>0</v>
      </c>
      <c r="P53">
        <v>0</v>
      </c>
      <c r="Q53">
        <v>0</v>
      </c>
      <c r="R53">
        <v>0</v>
      </c>
      <c r="S53">
        <v>389</v>
      </c>
      <c r="T53">
        <v>384</v>
      </c>
      <c r="U53">
        <v>323</v>
      </c>
      <c r="V53">
        <v>350</v>
      </c>
      <c r="W53">
        <v>336</v>
      </c>
      <c r="X53">
        <v>331</v>
      </c>
      <c r="Y53">
        <v>309</v>
      </c>
      <c r="Z53">
        <v>267</v>
      </c>
      <c r="AA53">
        <v>409</v>
      </c>
      <c r="AD53" t="s">
        <v>48</v>
      </c>
      <c r="AE53" s="30">
        <v>3176</v>
      </c>
      <c r="AF53">
        <v>14241</v>
      </c>
    </row>
    <row r="54" spans="1:32" hidden="1">
      <c r="A54" s="41" t="s">
        <v>328</v>
      </c>
      <c r="B54" s="41">
        <v>1713</v>
      </c>
      <c r="C54" s="41">
        <v>2945</v>
      </c>
      <c r="D54" s="41">
        <v>4035</v>
      </c>
      <c r="E54" s="41">
        <v>1162</v>
      </c>
      <c r="F54" s="41">
        <v>888</v>
      </c>
      <c r="G54" s="41">
        <v>964</v>
      </c>
      <c r="H54" s="41">
        <v>928</v>
      </c>
      <c r="I54" s="41">
        <v>975</v>
      </c>
      <c r="J54" s="41">
        <v>957</v>
      </c>
      <c r="K54">
        <v>893</v>
      </c>
      <c r="L54">
        <v>838</v>
      </c>
      <c r="M54">
        <v>850</v>
      </c>
      <c r="N54">
        <v>1169</v>
      </c>
      <c r="O54">
        <v>321</v>
      </c>
      <c r="P54">
        <v>480</v>
      </c>
      <c r="Q54">
        <v>520</v>
      </c>
      <c r="R54">
        <v>342</v>
      </c>
      <c r="S54">
        <v>289</v>
      </c>
      <c r="T54">
        <v>244</v>
      </c>
      <c r="U54">
        <v>235</v>
      </c>
      <c r="V54">
        <v>308</v>
      </c>
      <c r="W54">
        <v>285</v>
      </c>
      <c r="X54">
        <v>268</v>
      </c>
      <c r="Y54">
        <v>233</v>
      </c>
      <c r="Z54">
        <v>263</v>
      </c>
      <c r="AA54">
        <v>365</v>
      </c>
      <c r="AD54" t="s">
        <v>204</v>
      </c>
      <c r="AE54" s="30">
        <v>775</v>
      </c>
      <c r="AF54">
        <v>3944</v>
      </c>
    </row>
    <row r="55" spans="1:32" hidden="1">
      <c r="A55" s="41" t="s">
        <v>1109</v>
      </c>
      <c r="B55" s="41">
        <v>0</v>
      </c>
      <c r="C55" s="41">
        <v>0</v>
      </c>
      <c r="D55" s="41">
        <v>0</v>
      </c>
      <c r="E55" s="41">
        <v>0</v>
      </c>
      <c r="F55" s="41">
        <v>0</v>
      </c>
      <c r="G55" s="41">
        <v>0</v>
      </c>
      <c r="H55" s="41">
        <v>0</v>
      </c>
      <c r="I55" s="41">
        <v>0</v>
      </c>
      <c r="J55" s="41">
        <v>0</v>
      </c>
      <c r="K55">
        <v>692</v>
      </c>
      <c r="L55">
        <v>130</v>
      </c>
      <c r="M55">
        <v>487</v>
      </c>
      <c r="N55">
        <v>78</v>
      </c>
      <c r="O55">
        <v>0</v>
      </c>
      <c r="P55">
        <v>0</v>
      </c>
      <c r="Q55">
        <v>0</v>
      </c>
      <c r="R55">
        <v>0</v>
      </c>
      <c r="S55">
        <v>0</v>
      </c>
      <c r="T55">
        <v>0</v>
      </c>
      <c r="U55">
        <v>0</v>
      </c>
      <c r="V55">
        <v>0</v>
      </c>
      <c r="W55">
        <v>0</v>
      </c>
      <c r="X55">
        <v>2</v>
      </c>
      <c r="Y55">
        <v>27</v>
      </c>
      <c r="Z55">
        <v>45</v>
      </c>
      <c r="AA55">
        <v>1</v>
      </c>
      <c r="AD55" t="s">
        <v>124</v>
      </c>
      <c r="AE55" s="30">
        <v>652</v>
      </c>
      <c r="AF55">
        <v>4042</v>
      </c>
    </row>
    <row r="56" spans="1:32" hidden="1">
      <c r="A56" s="41" t="s">
        <v>569</v>
      </c>
      <c r="B56" s="41">
        <v>705</v>
      </c>
      <c r="C56" s="41">
        <v>778</v>
      </c>
      <c r="D56" s="41">
        <v>1098</v>
      </c>
      <c r="E56" s="41">
        <v>862</v>
      </c>
      <c r="F56" s="41">
        <v>999</v>
      </c>
      <c r="G56" s="41">
        <v>968</v>
      </c>
      <c r="H56" s="41">
        <v>794</v>
      </c>
      <c r="I56" s="41">
        <v>740</v>
      </c>
      <c r="J56" s="41">
        <v>644</v>
      </c>
      <c r="K56">
        <v>526</v>
      </c>
      <c r="L56">
        <v>629</v>
      </c>
      <c r="M56">
        <v>505</v>
      </c>
      <c r="N56">
        <v>505</v>
      </c>
      <c r="O56">
        <v>218</v>
      </c>
      <c r="P56">
        <v>267</v>
      </c>
      <c r="Q56">
        <v>238</v>
      </c>
      <c r="R56">
        <v>239</v>
      </c>
      <c r="S56">
        <v>315</v>
      </c>
      <c r="T56">
        <v>281</v>
      </c>
      <c r="U56">
        <v>270</v>
      </c>
      <c r="V56">
        <v>279</v>
      </c>
      <c r="W56">
        <v>243</v>
      </c>
      <c r="X56">
        <v>213</v>
      </c>
      <c r="Y56">
        <v>273</v>
      </c>
      <c r="Z56">
        <v>212</v>
      </c>
      <c r="AA56">
        <v>257</v>
      </c>
      <c r="AD56" t="s">
        <v>466</v>
      </c>
      <c r="AE56" s="30">
        <v>7423</v>
      </c>
      <c r="AF56">
        <v>30685</v>
      </c>
    </row>
    <row r="57" spans="1:32" hidden="1">
      <c r="A57" s="41" t="s">
        <v>512</v>
      </c>
      <c r="B57" s="41">
        <v>1649</v>
      </c>
      <c r="C57" s="41">
        <v>812</v>
      </c>
      <c r="D57" s="41">
        <v>0</v>
      </c>
      <c r="E57" s="41">
        <v>2488</v>
      </c>
      <c r="F57" s="41">
        <v>1265</v>
      </c>
      <c r="G57" s="41">
        <v>1119</v>
      </c>
      <c r="H57" s="41">
        <v>1033</v>
      </c>
      <c r="I57" s="41">
        <v>1417</v>
      </c>
      <c r="J57" s="41">
        <v>1890</v>
      </c>
      <c r="K57">
        <v>1181</v>
      </c>
      <c r="L57">
        <v>1588</v>
      </c>
      <c r="M57">
        <v>1385</v>
      </c>
      <c r="N57">
        <v>2365</v>
      </c>
      <c r="O57">
        <v>272</v>
      </c>
      <c r="P57">
        <v>58</v>
      </c>
      <c r="Q57">
        <v>0</v>
      </c>
      <c r="R57">
        <v>136</v>
      </c>
      <c r="S57">
        <v>69</v>
      </c>
      <c r="T57">
        <v>121</v>
      </c>
      <c r="U57">
        <v>601</v>
      </c>
      <c r="V57">
        <v>357</v>
      </c>
      <c r="W57">
        <v>927</v>
      </c>
      <c r="X57">
        <v>405</v>
      </c>
      <c r="Y57">
        <v>941</v>
      </c>
      <c r="Z57">
        <v>778</v>
      </c>
      <c r="AA57">
        <v>1179</v>
      </c>
      <c r="AD57" t="s">
        <v>450</v>
      </c>
      <c r="AE57" s="30">
        <v>1327</v>
      </c>
      <c r="AF57">
        <v>11643</v>
      </c>
    </row>
    <row r="58" spans="1:32" hidden="1">
      <c r="A58" s="41" t="s">
        <v>785</v>
      </c>
      <c r="B58" s="41">
        <v>600</v>
      </c>
      <c r="C58" s="41">
        <v>710</v>
      </c>
      <c r="D58" s="41">
        <v>611</v>
      </c>
      <c r="E58" s="41">
        <v>504</v>
      </c>
      <c r="F58" s="41">
        <v>427</v>
      </c>
      <c r="G58" s="41">
        <v>647</v>
      </c>
      <c r="H58" s="41">
        <v>517</v>
      </c>
      <c r="I58" s="41">
        <v>693</v>
      </c>
      <c r="J58" s="41">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146</v>
      </c>
      <c r="AE58" s="30">
        <v>932</v>
      </c>
      <c r="AF58">
        <v>4545</v>
      </c>
    </row>
    <row r="59" spans="1:32" hidden="1">
      <c r="A59" s="41" t="s">
        <v>46</v>
      </c>
      <c r="B59" s="41">
        <v>6904</v>
      </c>
      <c r="C59" s="41">
        <v>6392</v>
      </c>
      <c r="D59" s="41">
        <v>5424</v>
      </c>
      <c r="E59" s="41">
        <v>5782</v>
      </c>
      <c r="F59" s="41">
        <v>5396</v>
      </c>
      <c r="G59" s="41">
        <v>5490</v>
      </c>
      <c r="H59" s="41">
        <v>4963</v>
      </c>
      <c r="I59" s="41">
        <v>6007</v>
      </c>
      <c r="J59" s="41">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236</v>
      </c>
      <c r="AE59" s="30">
        <v>1214</v>
      </c>
      <c r="AF59">
        <v>4168</v>
      </c>
    </row>
    <row r="60" spans="1:32" hidden="1">
      <c r="A60" s="41" t="s">
        <v>682</v>
      </c>
      <c r="B60" s="41">
        <v>1711</v>
      </c>
      <c r="C60" s="41">
        <v>1416</v>
      </c>
      <c r="D60" s="41">
        <v>900</v>
      </c>
      <c r="E60" s="41">
        <v>932</v>
      </c>
      <c r="F60" s="41">
        <v>700</v>
      </c>
      <c r="G60" s="41">
        <v>565</v>
      </c>
      <c r="H60" s="41">
        <v>1216</v>
      </c>
      <c r="I60" s="41">
        <v>1004</v>
      </c>
      <c r="J60" s="41">
        <v>972</v>
      </c>
      <c r="K60">
        <v>613</v>
      </c>
      <c r="L60">
        <v>602</v>
      </c>
      <c r="M60">
        <v>649</v>
      </c>
      <c r="N60">
        <v>1002</v>
      </c>
      <c r="O60">
        <v>621</v>
      </c>
      <c r="P60">
        <v>579</v>
      </c>
      <c r="Q60">
        <v>398</v>
      </c>
      <c r="R60">
        <v>453</v>
      </c>
      <c r="S60">
        <v>393</v>
      </c>
      <c r="T60">
        <v>319</v>
      </c>
      <c r="U60">
        <v>885</v>
      </c>
      <c r="V60">
        <v>469</v>
      </c>
      <c r="W60">
        <v>437</v>
      </c>
      <c r="X60">
        <v>346</v>
      </c>
      <c r="Y60">
        <v>294</v>
      </c>
      <c r="Z60">
        <v>315</v>
      </c>
      <c r="AA60">
        <v>432</v>
      </c>
      <c r="AD60" t="s">
        <v>102</v>
      </c>
      <c r="AE60" s="30">
        <v>1982</v>
      </c>
      <c r="AF60">
        <v>4535</v>
      </c>
    </row>
    <row r="61" spans="1:32" hidden="1">
      <c r="A61" s="41" t="s">
        <v>690</v>
      </c>
      <c r="B61" s="41">
        <v>2915</v>
      </c>
      <c r="C61" s="41">
        <v>1681</v>
      </c>
      <c r="D61" s="41">
        <v>1501</v>
      </c>
      <c r="E61" s="41">
        <v>1123</v>
      </c>
      <c r="F61" s="41">
        <v>1016</v>
      </c>
      <c r="G61" s="41">
        <v>1109</v>
      </c>
      <c r="H61" s="41">
        <v>1044</v>
      </c>
      <c r="I61" s="41">
        <v>1063</v>
      </c>
      <c r="J61" s="41">
        <v>1121</v>
      </c>
      <c r="K61">
        <v>969</v>
      </c>
      <c r="L61">
        <v>941</v>
      </c>
      <c r="M61">
        <v>776</v>
      </c>
      <c r="N61">
        <v>1013</v>
      </c>
      <c r="O61">
        <v>711</v>
      </c>
      <c r="P61">
        <v>395</v>
      </c>
      <c r="Q61">
        <v>379</v>
      </c>
      <c r="R61">
        <v>335</v>
      </c>
      <c r="S61">
        <v>335</v>
      </c>
      <c r="T61">
        <v>385</v>
      </c>
      <c r="U61">
        <v>318</v>
      </c>
      <c r="V61">
        <v>379</v>
      </c>
      <c r="W61">
        <v>354</v>
      </c>
      <c r="X61">
        <v>342</v>
      </c>
      <c r="Y61">
        <v>353</v>
      </c>
      <c r="Z61">
        <v>276</v>
      </c>
      <c r="AA61">
        <v>385</v>
      </c>
      <c r="AD61" s="29" t="s">
        <v>460</v>
      </c>
      <c r="AE61" s="30">
        <v>1254</v>
      </c>
      <c r="AF61">
        <v>8932</v>
      </c>
    </row>
    <row r="62" spans="1:32" hidden="1">
      <c r="A62" s="41" t="s">
        <v>380</v>
      </c>
      <c r="B62" s="41">
        <v>2151</v>
      </c>
      <c r="C62" s="41">
        <v>2594</v>
      </c>
      <c r="D62" s="41">
        <v>6699</v>
      </c>
      <c r="E62" s="41">
        <v>2080</v>
      </c>
      <c r="F62" s="41">
        <v>2415</v>
      </c>
      <c r="G62" s="41">
        <v>2029</v>
      </c>
      <c r="H62" s="41">
        <v>2033</v>
      </c>
      <c r="I62" s="41">
        <v>2191</v>
      </c>
      <c r="J62" s="41">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170</v>
      </c>
      <c r="AE62" s="30">
        <v>971</v>
      </c>
      <c r="AF62">
        <v>5979</v>
      </c>
    </row>
    <row r="63" spans="1:32" hidden="1">
      <c r="A63" s="41" t="s">
        <v>158</v>
      </c>
      <c r="B63" s="41">
        <v>1075</v>
      </c>
      <c r="C63" s="41">
        <v>1310</v>
      </c>
      <c r="D63" s="41">
        <v>1452</v>
      </c>
      <c r="E63" s="41">
        <v>1196</v>
      </c>
      <c r="F63" s="41">
        <v>1309</v>
      </c>
      <c r="G63" s="41">
        <v>912</v>
      </c>
      <c r="H63" s="41">
        <v>937</v>
      </c>
      <c r="I63" s="41">
        <v>918</v>
      </c>
      <c r="J63" s="41">
        <v>765</v>
      </c>
      <c r="K63">
        <v>547</v>
      </c>
      <c r="L63">
        <v>687</v>
      </c>
      <c r="M63">
        <v>727</v>
      </c>
      <c r="N63">
        <v>1318</v>
      </c>
      <c r="O63">
        <v>183</v>
      </c>
      <c r="P63">
        <v>235</v>
      </c>
      <c r="Q63">
        <v>261</v>
      </c>
      <c r="R63">
        <v>189</v>
      </c>
      <c r="S63">
        <v>244</v>
      </c>
      <c r="T63">
        <v>198</v>
      </c>
      <c r="U63">
        <v>167</v>
      </c>
      <c r="V63">
        <v>205</v>
      </c>
      <c r="W63">
        <v>149</v>
      </c>
      <c r="X63">
        <v>119</v>
      </c>
      <c r="Y63">
        <v>124</v>
      </c>
      <c r="Z63">
        <v>169</v>
      </c>
      <c r="AA63">
        <v>206</v>
      </c>
      <c r="AD63" t="s">
        <v>172</v>
      </c>
      <c r="AE63" s="30">
        <v>3925</v>
      </c>
      <c r="AF63">
        <v>15541</v>
      </c>
    </row>
    <row r="64" spans="1:32" hidden="1">
      <c r="A64" s="41" t="s">
        <v>336</v>
      </c>
      <c r="B64" s="41">
        <v>1071</v>
      </c>
      <c r="C64" s="41">
        <v>1232</v>
      </c>
      <c r="D64" s="41">
        <v>1079</v>
      </c>
      <c r="E64" s="41">
        <v>1252</v>
      </c>
      <c r="F64" s="41">
        <v>968</v>
      </c>
      <c r="G64" s="41">
        <v>924</v>
      </c>
      <c r="H64" s="41">
        <v>867</v>
      </c>
      <c r="I64" s="41">
        <v>710</v>
      </c>
      <c r="J64" s="41">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304</v>
      </c>
      <c r="AE64" s="30">
        <v>470</v>
      </c>
      <c r="AF64">
        <v>1786</v>
      </c>
    </row>
    <row r="65" spans="1:32" hidden="1">
      <c r="A65" s="41" t="s">
        <v>138</v>
      </c>
      <c r="B65" s="41">
        <v>4762</v>
      </c>
      <c r="C65" s="41">
        <v>5839</v>
      </c>
      <c r="D65" s="41">
        <v>5526</v>
      </c>
      <c r="E65" s="41">
        <v>12099</v>
      </c>
      <c r="F65" s="41">
        <v>5977</v>
      </c>
      <c r="G65" s="41">
        <v>9576</v>
      </c>
      <c r="H65" s="41">
        <v>13936</v>
      </c>
      <c r="I65" s="41">
        <v>8649</v>
      </c>
      <c r="J65" s="41">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224</v>
      </c>
      <c r="AE65" s="30">
        <v>2026</v>
      </c>
      <c r="AF65">
        <v>10626</v>
      </c>
    </row>
    <row r="66" spans="1:32" hidden="1">
      <c r="A66" s="41" t="s">
        <v>248</v>
      </c>
      <c r="B66" s="41">
        <v>0</v>
      </c>
      <c r="C66" s="41">
        <v>0</v>
      </c>
      <c r="D66" s="41">
        <v>441</v>
      </c>
      <c r="E66" s="41">
        <v>1139</v>
      </c>
      <c r="F66" s="41">
        <v>932</v>
      </c>
      <c r="G66" s="41">
        <v>832</v>
      </c>
      <c r="H66" s="41">
        <v>1086</v>
      </c>
      <c r="I66" s="41">
        <v>954</v>
      </c>
      <c r="J66" s="41">
        <v>834</v>
      </c>
      <c r="K66">
        <v>1064</v>
      </c>
      <c r="L66">
        <v>1104</v>
      </c>
      <c r="M66">
        <v>1099</v>
      </c>
      <c r="N66">
        <v>1295</v>
      </c>
      <c r="O66">
        <v>0</v>
      </c>
      <c r="P66">
        <v>0</v>
      </c>
      <c r="Q66">
        <v>115</v>
      </c>
      <c r="R66">
        <v>298</v>
      </c>
      <c r="S66">
        <v>212</v>
      </c>
      <c r="T66">
        <v>205</v>
      </c>
      <c r="U66">
        <v>240</v>
      </c>
      <c r="V66">
        <v>221</v>
      </c>
      <c r="W66">
        <v>219</v>
      </c>
      <c r="X66">
        <v>292</v>
      </c>
      <c r="Y66">
        <v>273</v>
      </c>
      <c r="Z66">
        <v>242</v>
      </c>
      <c r="AA66">
        <v>338</v>
      </c>
      <c r="AD66" t="s">
        <v>84</v>
      </c>
      <c r="AE66" s="30">
        <v>2247</v>
      </c>
      <c r="AF66">
        <v>9320</v>
      </c>
    </row>
    <row r="67" spans="1:32" hidden="1">
      <c r="A67" s="41" t="s">
        <v>290</v>
      </c>
      <c r="B67" s="41">
        <v>1074</v>
      </c>
      <c r="C67" s="41">
        <v>995</v>
      </c>
      <c r="D67" s="41">
        <v>1182</v>
      </c>
      <c r="E67" s="41">
        <v>780</v>
      </c>
      <c r="F67" s="41">
        <v>771</v>
      </c>
      <c r="G67" s="41">
        <v>652</v>
      </c>
      <c r="H67" s="41">
        <v>675</v>
      </c>
      <c r="I67" s="41">
        <v>672</v>
      </c>
      <c r="J67" s="41">
        <v>676</v>
      </c>
      <c r="K67">
        <v>0</v>
      </c>
      <c r="L67">
        <v>0</v>
      </c>
      <c r="M67">
        <v>0</v>
      </c>
      <c r="N67">
        <v>0</v>
      </c>
      <c r="O67">
        <v>182</v>
      </c>
      <c r="P67">
        <v>154</v>
      </c>
      <c r="Q67">
        <v>206</v>
      </c>
      <c r="R67">
        <v>133</v>
      </c>
      <c r="S67">
        <v>166</v>
      </c>
      <c r="T67">
        <v>137</v>
      </c>
      <c r="U67">
        <v>137</v>
      </c>
      <c r="V67">
        <v>137</v>
      </c>
      <c r="W67">
        <v>143</v>
      </c>
      <c r="X67">
        <v>1</v>
      </c>
      <c r="Y67">
        <v>0</v>
      </c>
      <c r="Z67">
        <v>0</v>
      </c>
      <c r="AA67">
        <v>0</v>
      </c>
      <c r="AD67" t="s">
        <v>130</v>
      </c>
      <c r="AE67" s="30">
        <v>2514</v>
      </c>
      <c r="AF67">
        <v>14408</v>
      </c>
    </row>
    <row r="68" spans="1:32" hidden="1">
      <c r="A68" s="41" t="s">
        <v>326</v>
      </c>
      <c r="B68" s="41">
        <v>2356</v>
      </c>
      <c r="C68" s="41">
        <v>4166</v>
      </c>
      <c r="D68" s="41">
        <v>4947</v>
      </c>
      <c r="E68" s="41">
        <v>1743</v>
      </c>
      <c r="F68" s="41">
        <v>2316</v>
      </c>
      <c r="G68" s="41">
        <v>535</v>
      </c>
      <c r="H68" s="41">
        <v>1144</v>
      </c>
      <c r="I68" s="41">
        <v>1118</v>
      </c>
      <c r="J68" s="41">
        <v>892</v>
      </c>
      <c r="K68">
        <v>691</v>
      </c>
      <c r="L68">
        <v>583</v>
      </c>
      <c r="M68">
        <v>612</v>
      </c>
      <c r="N68">
        <v>1172</v>
      </c>
      <c r="O68">
        <v>405</v>
      </c>
      <c r="P68">
        <v>438</v>
      </c>
      <c r="Q68">
        <v>614</v>
      </c>
      <c r="R68">
        <v>437</v>
      </c>
      <c r="S68">
        <v>515</v>
      </c>
      <c r="T68">
        <v>70</v>
      </c>
      <c r="U68">
        <v>306</v>
      </c>
      <c r="V68">
        <v>283</v>
      </c>
      <c r="W68">
        <v>319</v>
      </c>
      <c r="X68">
        <v>248</v>
      </c>
      <c r="Y68">
        <v>190</v>
      </c>
      <c r="Z68">
        <v>193</v>
      </c>
      <c r="AA68">
        <v>367</v>
      </c>
      <c r="AD68" t="s">
        <v>180</v>
      </c>
      <c r="AE68" s="30">
        <v>666</v>
      </c>
      <c r="AF68">
        <v>3291</v>
      </c>
    </row>
    <row r="69" spans="1:32" hidden="1">
      <c r="A69" s="41" t="s">
        <v>585</v>
      </c>
      <c r="B69" s="41">
        <v>842</v>
      </c>
      <c r="C69" s="41">
        <v>638</v>
      </c>
      <c r="D69" s="41">
        <v>426</v>
      </c>
      <c r="E69" s="41">
        <v>403</v>
      </c>
      <c r="F69" s="41">
        <v>359</v>
      </c>
      <c r="G69" s="41">
        <v>317</v>
      </c>
      <c r="H69" s="41">
        <v>310</v>
      </c>
      <c r="I69" s="41">
        <v>362</v>
      </c>
      <c r="J69" s="41">
        <v>322</v>
      </c>
      <c r="K69">
        <v>435</v>
      </c>
      <c r="L69">
        <v>490</v>
      </c>
      <c r="M69">
        <v>312</v>
      </c>
      <c r="N69">
        <v>424</v>
      </c>
      <c r="O69">
        <v>359</v>
      </c>
      <c r="P69">
        <v>265</v>
      </c>
      <c r="Q69">
        <v>199</v>
      </c>
      <c r="R69">
        <v>236</v>
      </c>
      <c r="S69">
        <v>248</v>
      </c>
      <c r="T69">
        <v>210</v>
      </c>
      <c r="U69">
        <v>199</v>
      </c>
      <c r="V69">
        <v>217</v>
      </c>
      <c r="W69">
        <v>221</v>
      </c>
      <c r="X69">
        <v>270</v>
      </c>
      <c r="Y69">
        <v>297</v>
      </c>
      <c r="Z69">
        <v>204</v>
      </c>
      <c r="AA69">
        <v>289</v>
      </c>
      <c r="AD69" t="s">
        <v>132</v>
      </c>
      <c r="AE69" s="30">
        <v>2677</v>
      </c>
      <c r="AF69">
        <v>7629</v>
      </c>
    </row>
    <row r="70" spans="1:32" hidden="1">
      <c r="A70" s="41" t="s">
        <v>773</v>
      </c>
      <c r="B70" s="41">
        <v>806</v>
      </c>
      <c r="C70" s="41">
        <v>802</v>
      </c>
      <c r="D70" s="41">
        <v>1030</v>
      </c>
      <c r="E70" s="41">
        <v>913</v>
      </c>
      <c r="F70" s="41">
        <v>725</v>
      </c>
      <c r="G70" s="41">
        <v>689</v>
      </c>
      <c r="H70" s="41">
        <v>571</v>
      </c>
      <c r="I70" s="41">
        <v>568</v>
      </c>
      <c r="J70" s="41">
        <v>586</v>
      </c>
      <c r="K70">
        <v>672</v>
      </c>
      <c r="L70">
        <v>591</v>
      </c>
      <c r="M70">
        <v>557</v>
      </c>
      <c r="N70">
        <v>651</v>
      </c>
      <c r="O70">
        <v>256</v>
      </c>
      <c r="P70">
        <v>313</v>
      </c>
      <c r="Q70">
        <v>304</v>
      </c>
      <c r="R70">
        <v>283</v>
      </c>
      <c r="S70">
        <v>282</v>
      </c>
      <c r="T70">
        <v>268</v>
      </c>
      <c r="U70">
        <v>256</v>
      </c>
      <c r="V70">
        <v>260</v>
      </c>
      <c r="W70">
        <v>290</v>
      </c>
      <c r="X70">
        <v>304</v>
      </c>
      <c r="Y70">
        <v>256</v>
      </c>
      <c r="Z70">
        <v>241</v>
      </c>
      <c r="AA70">
        <v>279</v>
      </c>
      <c r="AD70" t="s">
        <v>182</v>
      </c>
      <c r="AE70" s="30">
        <v>1267</v>
      </c>
      <c r="AF70">
        <v>6553</v>
      </c>
    </row>
    <row r="71" spans="1:32" hidden="1">
      <c r="A71" s="41" t="s">
        <v>623</v>
      </c>
      <c r="B71" s="41">
        <v>308</v>
      </c>
      <c r="C71" s="41">
        <v>509</v>
      </c>
      <c r="D71" s="41">
        <v>351</v>
      </c>
      <c r="E71" s="41">
        <v>429</v>
      </c>
      <c r="F71" s="41">
        <v>224</v>
      </c>
      <c r="G71" s="41">
        <v>241</v>
      </c>
      <c r="H71" s="41">
        <v>274</v>
      </c>
      <c r="I71" s="41">
        <v>272</v>
      </c>
      <c r="J71" s="41">
        <v>311</v>
      </c>
      <c r="K71">
        <v>348</v>
      </c>
      <c r="L71">
        <v>386</v>
      </c>
      <c r="M71">
        <v>287</v>
      </c>
      <c r="N71">
        <v>355</v>
      </c>
      <c r="O71">
        <v>122</v>
      </c>
      <c r="P71">
        <v>139</v>
      </c>
      <c r="Q71">
        <v>99</v>
      </c>
      <c r="R71">
        <v>142</v>
      </c>
      <c r="S71">
        <v>80</v>
      </c>
      <c r="T71">
        <v>87</v>
      </c>
      <c r="U71">
        <v>97</v>
      </c>
      <c r="V71">
        <v>105</v>
      </c>
      <c r="W71">
        <v>116</v>
      </c>
      <c r="X71">
        <v>109</v>
      </c>
      <c r="Y71">
        <v>171</v>
      </c>
      <c r="Z71">
        <v>103</v>
      </c>
      <c r="AA71">
        <v>169</v>
      </c>
      <c r="AD71" t="s">
        <v>396</v>
      </c>
      <c r="AE71" s="30">
        <v>1937</v>
      </c>
      <c r="AF71">
        <v>8681</v>
      </c>
    </row>
    <row r="72" spans="1:32" hidden="1">
      <c r="A72" s="41" t="s">
        <v>688</v>
      </c>
      <c r="B72" s="41">
        <v>2377</v>
      </c>
      <c r="C72" s="41">
        <v>2225</v>
      </c>
      <c r="D72" s="41">
        <v>1589</v>
      </c>
      <c r="E72" s="41">
        <v>1287</v>
      </c>
      <c r="F72" s="41">
        <v>883</v>
      </c>
      <c r="G72" s="41">
        <v>1077</v>
      </c>
      <c r="H72" s="41">
        <v>1580</v>
      </c>
      <c r="I72" s="41">
        <v>1922</v>
      </c>
      <c r="J72" s="41">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360</v>
      </c>
      <c r="AE72" s="30">
        <v>898</v>
      </c>
      <c r="AF72">
        <v>2535</v>
      </c>
    </row>
    <row r="73" spans="1:32" hidden="1">
      <c r="A73" s="41" t="s">
        <v>398</v>
      </c>
      <c r="B73" s="41">
        <v>2161</v>
      </c>
      <c r="C73" s="41">
        <v>2173</v>
      </c>
      <c r="D73" s="41">
        <v>1377</v>
      </c>
      <c r="E73" s="41">
        <v>1420</v>
      </c>
      <c r="F73" s="41">
        <v>169</v>
      </c>
      <c r="G73" s="41">
        <v>1268</v>
      </c>
      <c r="H73" s="41">
        <v>1048</v>
      </c>
      <c r="I73" s="41">
        <v>1075</v>
      </c>
      <c r="J73" s="41">
        <v>1192</v>
      </c>
      <c r="K73">
        <v>1118</v>
      </c>
      <c r="L73">
        <v>1058</v>
      </c>
      <c r="M73">
        <v>944</v>
      </c>
      <c r="N73">
        <v>1539</v>
      </c>
      <c r="O73">
        <v>410</v>
      </c>
      <c r="P73">
        <v>407</v>
      </c>
      <c r="Q73">
        <v>425</v>
      </c>
      <c r="R73">
        <v>428</v>
      </c>
      <c r="S73">
        <v>7</v>
      </c>
      <c r="T73">
        <v>353</v>
      </c>
      <c r="U73">
        <v>315</v>
      </c>
      <c r="V73">
        <v>306</v>
      </c>
      <c r="W73">
        <v>361</v>
      </c>
      <c r="X73">
        <v>360</v>
      </c>
      <c r="Y73">
        <v>356</v>
      </c>
      <c r="Z73">
        <v>293</v>
      </c>
      <c r="AA73">
        <v>451</v>
      </c>
      <c r="AD73" t="s">
        <v>352</v>
      </c>
      <c r="AE73" s="30">
        <v>866</v>
      </c>
      <c r="AF73">
        <v>4550</v>
      </c>
    </row>
    <row r="74" spans="1:32" hidden="1">
      <c r="A74" s="41" t="s">
        <v>406</v>
      </c>
      <c r="B74" s="41">
        <v>2210</v>
      </c>
      <c r="C74" s="41">
        <v>3028</v>
      </c>
      <c r="D74" s="41">
        <v>3623</v>
      </c>
      <c r="E74" s="41">
        <v>3181</v>
      </c>
      <c r="F74" s="41">
        <v>2203</v>
      </c>
      <c r="G74" s="41">
        <v>2217</v>
      </c>
      <c r="H74" s="41">
        <v>2451</v>
      </c>
      <c r="I74" s="41">
        <v>2601</v>
      </c>
      <c r="J74" s="41">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9" t="s">
        <v>82</v>
      </c>
      <c r="AE74" s="30">
        <v>1675</v>
      </c>
      <c r="AF74">
        <v>10426</v>
      </c>
    </row>
    <row r="75" spans="1:32" hidden="1">
      <c r="A75" s="41" t="s">
        <v>434</v>
      </c>
      <c r="B75" s="41">
        <v>7420</v>
      </c>
      <c r="C75" s="41">
        <v>9064</v>
      </c>
      <c r="D75" s="41">
        <v>7113</v>
      </c>
      <c r="E75" s="41">
        <v>7511</v>
      </c>
      <c r="F75" s="41">
        <v>10781</v>
      </c>
      <c r="G75" s="41">
        <v>6137</v>
      </c>
      <c r="H75" s="41">
        <v>4806</v>
      </c>
      <c r="I75" s="41">
        <v>4603</v>
      </c>
      <c r="J75" s="41">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270</v>
      </c>
      <c r="AE75" s="30">
        <v>821</v>
      </c>
      <c r="AF75">
        <v>3505</v>
      </c>
    </row>
    <row r="76" spans="1:32" hidden="1">
      <c r="A76" s="41" t="s">
        <v>40</v>
      </c>
      <c r="B76" s="41">
        <v>14958</v>
      </c>
      <c r="C76" s="41">
        <v>14790</v>
      </c>
      <c r="D76" s="41">
        <v>32925</v>
      </c>
      <c r="E76" s="41">
        <v>57954</v>
      </c>
      <c r="F76" s="41">
        <v>81282</v>
      </c>
      <c r="G76" s="41">
        <v>59715</v>
      </c>
      <c r="H76" s="41">
        <v>27814</v>
      </c>
      <c r="I76" s="41">
        <v>24145</v>
      </c>
      <c r="J76" s="41">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222</v>
      </c>
      <c r="AE76" s="30">
        <v>472</v>
      </c>
      <c r="AF76">
        <v>1955</v>
      </c>
    </row>
    <row r="77" spans="1:32" hidden="1">
      <c r="A77" s="41" t="s">
        <v>110</v>
      </c>
      <c r="B77" s="41">
        <v>784</v>
      </c>
      <c r="C77" s="41">
        <v>894</v>
      </c>
      <c r="D77" s="41">
        <v>1045</v>
      </c>
      <c r="E77" s="41">
        <v>822</v>
      </c>
      <c r="F77" s="41">
        <v>652</v>
      </c>
      <c r="G77" s="41">
        <v>715</v>
      </c>
      <c r="H77" s="41">
        <v>843</v>
      </c>
      <c r="I77" s="41">
        <v>803</v>
      </c>
      <c r="J77" s="41">
        <v>1022</v>
      </c>
      <c r="K77">
        <v>907</v>
      </c>
      <c r="L77">
        <v>734</v>
      </c>
      <c r="M77">
        <v>775</v>
      </c>
      <c r="N77">
        <v>1187</v>
      </c>
      <c r="O77">
        <v>377</v>
      </c>
      <c r="P77">
        <v>441</v>
      </c>
      <c r="Q77">
        <v>437</v>
      </c>
      <c r="R77">
        <v>408</v>
      </c>
      <c r="S77">
        <v>361</v>
      </c>
      <c r="T77">
        <v>403</v>
      </c>
      <c r="U77">
        <v>438</v>
      </c>
      <c r="V77">
        <v>424</v>
      </c>
      <c r="W77">
        <v>514</v>
      </c>
      <c r="X77">
        <v>494</v>
      </c>
      <c r="Y77">
        <v>463</v>
      </c>
      <c r="Z77">
        <v>385</v>
      </c>
      <c r="AA77">
        <v>536</v>
      </c>
      <c r="AD77" t="s">
        <v>244</v>
      </c>
      <c r="AE77" s="30">
        <v>525</v>
      </c>
      <c r="AF77">
        <v>1914</v>
      </c>
    </row>
    <row r="78" spans="1:32" hidden="1">
      <c r="A78" s="41" t="s">
        <v>338</v>
      </c>
      <c r="B78" s="41">
        <v>800</v>
      </c>
      <c r="C78" s="41">
        <v>768</v>
      </c>
      <c r="D78" s="41">
        <v>939</v>
      </c>
      <c r="E78" s="41">
        <v>644</v>
      </c>
      <c r="F78" s="41">
        <v>589</v>
      </c>
      <c r="G78" s="41">
        <v>693</v>
      </c>
      <c r="H78" s="41">
        <v>820</v>
      </c>
      <c r="I78" s="41">
        <v>492</v>
      </c>
      <c r="J78" s="41">
        <v>431</v>
      </c>
      <c r="K78">
        <v>442</v>
      </c>
      <c r="L78">
        <v>378</v>
      </c>
      <c r="M78">
        <v>412</v>
      </c>
      <c r="N78">
        <v>671</v>
      </c>
      <c r="O78">
        <v>139</v>
      </c>
      <c r="P78">
        <v>143</v>
      </c>
      <c r="Q78">
        <v>124</v>
      </c>
      <c r="R78">
        <v>105</v>
      </c>
      <c r="S78">
        <v>94</v>
      </c>
      <c r="T78">
        <v>132</v>
      </c>
      <c r="U78">
        <v>131</v>
      </c>
      <c r="V78">
        <v>96</v>
      </c>
      <c r="W78">
        <v>102</v>
      </c>
      <c r="X78">
        <v>80</v>
      </c>
      <c r="Y78">
        <v>95</v>
      </c>
      <c r="Z78">
        <v>87</v>
      </c>
      <c r="AA78">
        <v>136</v>
      </c>
      <c r="AD78" t="s">
        <v>364</v>
      </c>
      <c r="AE78" s="30">
        <v>901</v>
      </c>
      <c r="AF78">
        <v>2044</v>
      </c>
    </row>
    <row r="79" spans="1:32" hidden="1">
      <c r="A79" s="41" t="s">
        <v>142</v>
      </c>
      <c r="B79" s="41">
        <v>2815</v>
      </c>
      <c r="C79" s="41">
        <v>1982</v>
      </c>
      <c r="D79" s="41">
        <v>1912</v>
      </c>
      <c r="E79" s="41">
        <v>1912</v>
      </c>
      <c r="F79" s="41">
        <v>1533</v>
      </c>
      <c r="G79" s="41">
        <v>1405</v>
      </c>
      <c r="H79" s="41">
        <v>1810</v>
      </c>
      <c r="I79" s="41">
        <v>1581</v>
      </c>
      <c r="J79" s="41">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234</v>
      </c>
      <c r="AE79" s="30">
        <v>2428</v>
      </c>
      <c r="AF79">
        <v>7026</v>
      </c>
    </row>
    <row r="80" spans="1:32" hidden="1">
      <c r="A80" s="41" t="s">
        <v>252</v>
      </c>
      <c r="B80" s="41">
        <v>1231</v>
      </c>
      <c r="C80" s="41">
        <v>1312</v>
      </c>
      <c r="D80" s="41">
        <v>956</v>
      </c>
      <c r="E80" s="41">
        <v>752</v>
      </c>
      <c r="F80" s="41">
        <v>805</v>
      </c>
      <c r="G80" s="41">
        <v>765</v>
      </c>
      <c r="H80" s="41">
        <v>897</v>
      </c>
      <c r="I80" s="41">
        <v>836</v>
      </c>
      <c r="J80" s="41">
        <v>715</v>
      </c>
      <c r="K80">
        <v>852</v>
      </c>
      <c r="L80">
        <v>672</v>
      </c>
      <c r="M80">
        <v>597</v>
      </c>
      <c r="N80">
        <v>2995</v>
      </c>
      <c r="O80">
        <v>428</v>
      </c>
      <c r="P80">
        <v>480</v>
      </c>
      <c r="Q80">
        <v>449</v>
      </c>
      <c r="R80">
        <v>362</v>
      </c>
      <c r="S80">
        <v>375</v>
      </c>
      <c r="T80">
        <v>330</v>
      </c>
      <c r="U80">
        <v>344</v>
      </c>
      <c r="V80">
        <v>339</v>
      </c>
      <c r="W80">
        <v>370</v>
      </c>
      <c r="X80">
        <v>417</v>
      </c>
      <c r="Y80">
        <v>373</v>
      </c>
      <c r="Z80">
        <v>329</v>
      </c>
      <c r="AA80">
        <v>565</v>
      </c>
      <c r="AD80" t="s">
        <v>218</v>
      </c>
      <c r="AE80" s="30">
        <v>1476</v>
      </c>
      <c r="AF80">
        <v>4569</v>
      </c>
    </row>
    <row r="81" spans="1:32" hidden="1">
      <c r="A81" s="41" t="s">
        <v>36</v>
      </c>
      <c r="B81" s="41">
        <v>4947</v>
      </c>
      <c r="C81" s="41">
        <v>5221</v>
      </c>
      <c r="D81" s="41">
        <v>5089</v>
      </c>
      <c r="E81" s="41">
        <v>5351</v>
      </c>
      <c r="F81" s="41">
        <v>4403</v>
      </c>
      <c r="G81" s="41">
        <v>4309</v>
      </c>
      <c r="H81" s="41">
        <v>4807</v>
      </c>
      <c r="I81" s="41">
        <v>4661</v>
      </c>
      <c r="J81" s="41">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430</v>
      </c>
      <c r="AE81" s="30">
        <v>978</v>
      </c>
      <c r="AF81">
        <v>5143</v>
      </c>
    </row>
    <row r="82" spans="1:32" hidden="1">
      <c r="A82" s="41" t="s">
        <v>738</v>
      </c>
      <c r="B82" s="41">
        <v>624</v>
      </c>
      <c r="C82" s="41">
        <v>693</v>
      </c>
      <c r="D82" s="41">
        <v>602</v>
      </c>
      <c r="E82" s="41">
        <v>594</v>
      </c>
      <c r="F82" s="41">
        <v>501</v>
      </c>
      <c r="G82" s="41">
        <v>410</v>
      </c>
      <c r="H82" s="41">
        <v>476</v>
      </c>
      <c r="I82" s="41">
        <v>463</v>
      </c>
      <c r="J82" s="41">
        <v>458</v>
      </c>
      <c r="K82">
        <v>468</v>
      </c>
      <c r="L82">
        <v>509</v>
      </c>
      <c r="M82">
        <v>414</v>
      </c>
      <c r="N82">
        <v>890</v>
      </c>
      <c r="O82">
        <v>212</v>
      </c>
      <c r="P82">
        <v>226</v>
      </c>
      <c r="Q82">
        <v>221</v>
      </c>
      <c r="R82">
        <v>210</v>
      </c>
      <c r="S82">
        <v>210</v>
      </c>
      <c r="T82">
        <v>186</v>
      </c>
      <c r="U82">
        <v>209</v>
      </c>
      <c r="V82">
        <v>192</v>
      </c>
      <c r="W82">
        <v>206</v>
      </c>
      <c r="X82">
        <v>225</v>
      </c>
      <c r="Y82">
        <v>243</v>
      </c>
      <c r="Z82">
        <v>179</v>
      </c>
      <c r="AA82">
        <v>263</v>
      </c>
      <c r="AD82" t="s">
        <v>158</v>
      </c>
      <c r="AE82" s="30">
        <v>952</v>
      </c>
      <c r="AF82">
        <v>5221</v>
      </c>
    </row>
    <row r="83" spans="1:32" hidden="1">
      <c r="A83" s="41" t="s">
        <v>734</v>
      </c>
      <c r="B83" s="41">
        <v>1634</v>
      </c>
      <c r="C83" s="41">
        <v>510</v>
      </c>
      <c r="D83" s="41">
        <v>569</v>
      </c>
      <c r="E83" s="41">
        <v>304</v>
      </c>
      <c r="F83" s="41">
        <v>647</v>
      </c>
      <c r="G83" s="41">
        <v>771</v>
      </c>
      <c r="H83" s="41">
        <v>706</v>
      </c>
      <c r="I83" s="41">
        <v>1038</v>
      </c>
      <c r="J83" s="41">
        <v>1047</v>
      </c>
      <c r="K83">
        <v>834</v>
      </c>
      <c r="L83">
        <v>695</v>
      </c>
      <c r="M83">
        <v>550</v>
      </c>
      <c r="N83">
        <v>835</v>
      </c>
      <c r="O83">
        <v>215</v>
      </c>
      <c r="P83">
        <v>40</v>
      </c>
      <c r="Q83">
        <v>102</v>
      </c>
      <c r="R83">
        <v>103</v>
      </c>
      <c r="S83">
        <v>169</v>
      </c>
      <c r="T83">
        <v>176</v>
      </c>
      <c r="U83">
        <v>175</v>
      </c>
      <c r="V83">
        <v>205</v>
      </c>
      <c r="W83">
        <v>181</v>
      </c>
      <c r="X83">
        <v>174</v>
      </c>
      <c r="Y83">
        <v>180</v>
      </c>
      <c r="Z83">
        <v>131</v>
      </c>
      <c r="AA83">
        <v>173</v>
      </c>
      <c r="AD83" t="s">
        <v>174</v>
      </c>
      <c r="AE83" s="30">
        <v>1631</v>
      </c>
      <c r="AF83">
        <v>7645</v>
      </c>
    </row>
    <row r="84" spans="1:32" hidden="1">
      <c r="A84" s="41" t="s">
        <v>66</v>
      </c>
      <c r="B84" s="41">
        <v>0</v>
      </c>
      <c r="C84" s="41">
        <v>829</v>
      </c>
      <c r="D84" s="41">
        <v>3224</v>
      </c>
      <c r="E84" s="41">
        <v>3573</v>
      </c>
      <c r="F84" s="41">
        <v>56</v>
      </c>
      <c r="G84" s="41">
        <v>1278</v>
      </c>
      <c r="H84" s="41">
        <v>2263</v>
      </c>
      <c r="I84" s="41">
        <v>1919</v>
      </c>
      <c r="J84" s="41">
        <v>1664</v>
      </c>
      <c r="K84">
        <v>1472</v>
      </c>
      <c r="L84">
        <v>1940</v>
      </c>
      <c r="M84">
        <v>1434</v>
      </c>
      <c r="N84">
        <v>1612</v>
      </c>
      <c r="O84">
        <v>0</v>
      </c>
      <c r="P84">
        <v>203</v>
      </c>
      <c r="Q84">
        <v>360</v>
      </c>
      <c r="R84">
        <v>442</v>
      </c>
      <c r="S84">
        <v>1</v>
      </c>
      <c r="T84">
        <v>89</v>
      </c>
      <c r="U84">
        <v>156</v>
      </c>
      <c r="V84">
        <v>208</v>
      </c>
      <c r="W84">
        <v>185</v>
      </c>
      <c r="X84">
        <v>214</v>
      </c>
      <c r="Y84">
        <v>389</v>
      </c>
      <c r="Z84">
        <v>184</v>
      </c>
      <c r="AA84">
        <v>282</v>
      </c>
      <c r="AD84" t="s">
        <v>226</v>
      </c>
      <c r="AE84" s="30">
        <v>602</v>
      </c>
      <c r="AF84">
        <v>3783</v>
      </c>
    </row>
    <row r="85" spans="1:32" hidden="1">
      <c r="A85" s="41" t="s">
        <v>740</v>
      </c>
      <c r="B85" s="41">
        <v>235</v>
      </c>
      <c r="C85" s="41">
        <v>211</v>
      </c>
      <c r="D85" s="41">
        <v>226</v>
      </c>
      <c r="E85" s="41">
        <v>165</v>
      </c>
      <c r="F85" s="41">
        <v>188</v>
      </c>
      <c r="G85" s="41">
        <v>143</v>
      </c>
      <c r="H85" s="41">
        <v>158</v>
      </c>
      <c r="I85" s="41">
        <v>155</v>
      </c>
      <c r="J85" s="41">
        <v>164</v>
      </c>
      <c r="K85">
        <v>173</v>
      </c>
      <c r="L85">
        <v>138</v>
      </c>
      <c r="M85">
        <v>151</v>
      </c>
      <c r="N85">
        <v>259</v>
      </c>
      <c r="O85">
        <v>53</v>
      </c>
      <c r="P85">
        <v>61</v>
      </c>
      <c r="Q85">
        <v>70</v>
      </c>
      <c r="R85">
        <v>53</v>
      </c>
      <c r="S85">
        <v>64</v>
      </c>
      <c r="T85">
        <v>43</v>
      </c>
      <c r="U85">
        <v>71</v>
      </c>
      <c r="V85">
        <v>63</v>
      </c>
      <c r="W85">
        <v>76</v>
      </c>
      <c r="X85">
        <v>66</v>
      </c>
      <c r="Y85">
        <v>69</v>
      </c>
      <c r="Z85">
        <v>69</v>
      </c>
      <c r="AA85">
        <v>102</v>
      </c>
      <c r="AD85" t="s">
        <v>310</v>
      </c>
      <c r="AE85" s="30">
        <v>1231</v>
      </c>
      <c r="AF85">
        <v>4891</v>
      </c>
    </row>
    <row r="86" spans="1:32" hidden="1">
      <c r="A86" s="41" t="s">
        <v>282</v>
      </c>
      <c r="B86" s="41">
        <v>2417</v>
      </c>
      <c r="C86" s="41">
        <v>2300</v>
      </c>
      <c r="D86" s="41">
        <v>1974</v>
      </c>
      <c r="E86" s="41">
        <v>1692</v>
      </c>
      <c r="F86" s="41">
        <v>1407</v>
      </c>
      <c r="G86" s="41">
        <v>1118</v>
      </c>
      <c r="H86" s="41">
        <v>888</v>
      </c>
      <c r="I86" s="41">
        <v>1165</v>
      </c>
      <c r="J86" s="41">
        <v>847</v>
      </c>
      <c r="K86">
        <v>433</v>
      </c>
      <c r="L86">
        <v>400</v>
      </c>
      <c r="M86">
        <v>0</v>
      </c>
      <c r="N86">
        <v>0</v>
      </c>
      <c r="O86">
        <v>333</v>
      </c>
      <c r="P86">
        <v>385</v>
      </c>
      <c r="Q86">
        <v>273</v>
      </c>
      <c r="R86">
        <v>289</v>
      </c>
      <c r="S86">
        <v>249</v>
      </c>
      <c r="T86">
        <v>197</v>
      </c>
      <c r="U86">
        <v>150</v>
      </c>
      <c r="V86">
        <v>197</v>
      </c>
      <c r="W86">
        <v>143</v>
      </c>
      <c r="X86">
        <v>122</v>
      </c>
      <c r="Y86">
        <v>101</v>
      </c>
      <c r="Z86">
        <v>2</v>
      </c>
      <c r="AA86">
        <v>0</v>
      </c>
      <c r="AD86" t="s">
        <v>88</v>
      </c>
      <c r="AE86" s="30">
        <v>1672</v>
      </c>
      <c r="AF86">
        <v>9371</v>
      </c>
    </row>
    <row r="87" spans="1:32" hidden="1">
      <c r="A87" s="41" t="s">
        <v>629</v>
      </c>
      <c r="B87" s="41">
        <v>98</v>
      </c>
      <c r="C87" s="41">
        <v>97</v>
      </c>
      <c r="D87" s="41">
        <v>88</v>
      </c>
      <c r="E87" s="41">
        <v>73</v>
      </c>
      <c r="F87" s="41">
        <v>70</v>
      </c>
      <c r="G87" s="41">
        <v>64</v>
      </c>
      <c r="H87" s="41">
        <v>70</v>
      </c>
      <c r="I87" s="41">
        <v>73</v>
      </c>
      <c r="J87" s="41">
        <v>61</v>
      </c>
      <c r="K87">
        <v>57</v>
      </c>
      <c r="L87">
        <v>60</v>
      </c>
      <c r="M87">
        <v>85</v>
      </c>
      <c r="N87">
        <v>84</v>
      </c>
      <c r="O87">
        <v>56</v>
      </c>
      <c r="P87">
        <v>38</v>
      </c>
      <c r="Q87">
        <v>27</v>
      </c>
      <c r="R87">
        <v>25</v>
      </c>
      <c r="S87">
        <v>39</v>
      </c>
      <c r="T87">
        <v>26</v>
      </c>
      <c r="U87">
        <v>34</v>
      </c>
      <c r="V87">
        <v>27</v>
      </c>
      <c r="W87">
        <v>31</v>
      </c>
      <c r="X87">
        <v>28</v>
      </c>
      <c r="Y87">
        <v>21</v>
      </c>
      <c r="Z87">
        <v>40</v>
      </c>
      <c r="AA87">
        <v>21</v>
      </c>
      <c r="AD87" t="s">
        <v>194</v>
      </c>
      <c r="AE87" s="30">
        <v>662</v>
      </c>
      <c r="AF87">
        <v>2203</v>
      </c>
    </row>
    <row r="88" spans="1:32" hidden="1">
      <c r="A88" s="41" t="s">
        <v>993</v>
      </c>
      <c r="B88" s="41">
        <v>5274</v>
      </c>
      <c r="C88" s="41">
        <v>957</v>
      </c>
      <c r="D88" s="41">
        <v>2180</v>
      </c>
      <c r="E88" s="41">
        <v>3131</v>
      </c>
      <c r="F88" s="41">
        <v>2602</v>
      </c>
      <c r="G88" s="41">
        <v>2583</v>
      </c>
      <c r="H88" s="41">
        <v>2693</v>
      </c>
      <c r="I88" s="41">
        <v>3088</v>
      </c>
      <c r="J88" s="41">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186</v>
      </c>
      <c r="AE88" s="30">
        <v>423</v>
      </c>
      <c r="AF88">
        <v>2735</v>
      </c>
    </row>
    <row r="89" spans="1:32" hidden="1">
      <c r="A89" s="41" t="s">
        <v>1110</v>
      </c>
      <c r="B89" s="41">
        <v>1401</v>
      </c>
      <c r="C89" s="41">
        <v>1191</v>
      </c>
      <c r="D89" s="41">
        <v>565</v>
      </c>
      <c r="E89" s="41">
        <v>259</v>
      </c>
      <c r="F89" s="41">
        <v>29</v>
      </c>
      <c r="G89" s="41">
        <v>0</v>
      </c>
      <c r="H89" s="41">
        <v>0</v>
      </c>
      <c r="I89" s="41">
        <v>0</v>
      </c>
      <c r="J89" s="41">
        <v>0</v>
      </c>
      <c r="K89">
        <v>104</v>
      </c>
      <c r="L89">
        <v>0</v>
      </c>
      <c r="M89">
        <v>602</v>
      </c>
      <c r="N89">
        <v>994</v>
      </c>
      <c r="O89">
        <v>366</v>
      </c>
      <c r="P89">
        <v>306</v>
      </c>
      <c r="Q89">
        <v>143</v>
      </c>
      <c r="R89">
        <v>88</v>
      </c>
      <c r="S89">
        <v>3</v>
      </c>
      <c r="T89">
        <v>0</v>
      </c>
      <c r="U89">
        <v>0</v>
      </c>
      <c r="V89">
        <v>0</v>
      </c>
      <c r="W89">
        <v>0</v>
      </c>
      <c r="X89">
        <v>18</v>
      </c>
      <c r="Y89">
        <v>0</v>
      </c>
      <c r="Z89">
        <v>102</v>
      </c>
      <c r="AA89">
        <v>116</v>
      </c>
      <c r="AD89" t="s">
        <v>246</v>
      </c>
      <c r="AE89" s="30">
        <v>431</v>
      </c>
      <c r="AF89">
        <v>2578</v>
      </c>
    </row>
    <row r="90" spans="1:32" hidden="1">
      <c r="A90" s="41" t="s">
        <v>967</v>
      </c>
      <c r="B90" s="41">
        <v>539</v>
      </c>
      <c r="C90" s="41">
        <v>362</v>
      </c>
      <c r="D90" s="41">
        <v>249</v>
      </c>
      <c r="E90" s="41">
        <v>229</v>
      </c>
      <c r="F90" s="41">
        <v>207</v>
      </c>
      <c r="G90" s="41">
        <v>220</v>
      </c>
      <c r="H90" s="41">
        <v>297</v>
      </c>
      <c r="I90" s="41">
        <v>137</v>
      </c>
      <c r="J90" s="41">
        <v>96</v>
      </c>
      <c r="K90">
        <v>140</v>
      </c>
      <c r="L90">
        <v>0</v>
      </c>
      <c r="M90">
        <v>134</v>
      </c>
      <c r="N90">
        <v>222</v>
      </c>
      <c r="O90">
        <v>72</v>
      </c>
      <c r="P90">
        <v>117</v>
      </c>
      <c r="Q90">
        <v>63</v>
      </c>
      <c r="R90">
        <v>80</v>
      </c>
      <c r="S90">
        <v>84</v>
      </c>
      <c r="T90">
        <v>75</v>
      </c>
      <c r="U90">
        <v>144</v>
      </c>
      <c r="V90">
        <v>60</v>
      </c>
      <c r="W90">
        <v>46</v>
      </c>
      <c r="X90">
        <v>75</v>
      </c>
      <c r="Y90">
        <v>0</v>
      </c>
      <c r="Z90">
        <v>40</v>
      </c>
      <c r="AA90">
        <v>56</v>
      </c>
      <c r="AD90" t="s">
        <v>240</v>
      </c>
      <c r="AE90" s="30">
        <v>208</v>
      </c>
      <c r="AF90">
        <v>1108</v>
      </c>
    </row>
    <row r="91" spans="1:32" hidden="1">
      <c r="A91" s="41" t="s">
        <v>420</v>
      </c>
      <c r="B91" s="41">
        <v>2661</v>
      </c>
      <c r="C91" s="41">
        <v>3561</v>
      </c>
      <c r="D91" s="41">
        <v>3146</v>
      </c>
      <c r="E91" s="41">
        <v>3133</v>
      </c>
      <c r="F91" s="41">
        <v>2990</v>
      </c>
      <c r="G91" s="41">
        <v>5395</v>
      </c>
      <c r="H91" s="41">
        <v>3136</v>
      </c>
      <c r="I91" s="41">
        <v>2754</v>
      </c>
      <c r="J91" s="41">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264</v>
      </c>
      <c r="AE91" s="30">
        <v>427</v>
      </c>
      <c r="AF91">
        <v>2097</v>
      </c>
    </row>
    <row r="92" spans="1:32" hidden="1">
      <c r="A92" s="41" t="s">
        <v>102</v>
      </c>
      <c r="B92" s="41">
        <v>1256</v>
      </c>
      <c r="C92" s="41">
        <v>916</v>
      </c>
      <c r="D92" s="41">
        <v>731</v>
      </c>
      <c r="E92" s="41">
        <v>867</v>
      </c>
      <c r="F92" s="41">
        <v>838</v>
      </c>
      <c r="G92" s="41">
        <v>745</v>
      </c>
      <c r="H92" s="41">
        <v>692</v>
      </c>
      <c r="I92" s="41">
        <v>721</v>
      </c>
      <c r="J92" s="41">
        <v>652</v>
      </c>
      <c r="K92">
        <v>690</v>
      </c>
      <c r="L92">
        <v>597</v>
      </c>
      <c r="M92">
        <v>459</v>
      </c>
      <c r="N92">
        <v>2757</v>
      </c>
      <c r="O92">
        <v>210</v>
      </c>
      <c r="P92">
        <v>211</v>
      </c>
      <c r="Q92">
        <v>211</v>
      </c>
      <c r="R92">
        <v>334</v>
      </c>
      <c r="S92">
        <v>290</v>
      </c>
      <c r="T92">
        <v>296</v>
      </c>
      <c r="U92">
        <v>258</v>
      </c>
      <c r="V92">
        <v>260</v>
      </c>
      <c r="W92">
        <v>254</v>
      </c>
      <c r="X92">
        <v>376</v>
      </c>
      <c r="Y92">
        <v>333</v>
      </c>
      <c r="Z92">
        <v>293</v>
      </c>
      <c r="AA92">
        <v>669</v>
      </c>
      <c r="AD92" t="s">
        <v>470</v>
      </c>
      <c r="AE92" s="30">
        <v>6857</v>
      </c>
      <c r="AF92">
        <v>24329</v>
      </c>
    </row>
    <row r="93" spans="1:32" hidden="1">
      <c r="A93" s="41" t="s">
        <v>194</v>
      </c>
      <c r="B93" s="41">
        <v>0</v>
      </c>
      <c r="C93" s="41">
        <v>400</v>
      </c>
      <c r="D93" s="41">
        <v>321</v>
      </c>
      <c r="E93" s="41">
        <v>270</v>
      </c>
      <c r="F93" s="41">
        <v>345</v>
      </c>
      <c r="G93" s="41">
        <v>165</v>
      </c>
      <c r="H93" s="41">
        <v>426</v>
      </c>
      <c r="I93" s="41">
        <v>412</v>
      </c>
      <c r="J93" s="41">
        <v>372</v>
      </c>
      <c r="K93">
        <v>346</v>
      </c>
      <c r="L93">
        <v>504</v>
      </c>
      <c r="M93">
        <v>410</v>
      </c>
      <c r="N93">
        <v>650</v>
      </c>
      <c r="O93">
        <v>0</v>
      </c>
      <c r="P93">
        <v>73</v>
      </c>
      <c r="Q93">
        <v>49</v>
      </c>
      <c r="R93">
        <v>76</v>
      </c>
      <c r="S93">
        <v>101</v>
      </c>
      <c r="T93">
        <v>32</v>
      </c>
      <c r="U93">
        <v>102</v>
      </c>
      <c r="V93">
        <v>89</v>
      </c>
      <c r="W93">
        <v>105</v>
      </c>
      <c r="X93">
        <v>83</v>
      </c>
      <c r="Y93">
        <v>121</v>
      </c>
      <c r="Z93">
        <v>85</v>
      </c>
      <c r="AA93">
        <v>160</v>
      </c>
      <c r="AD93" t="s">
        <v>248</v>
      </c>
      <c r="AE93" s="30">
        <v>1277</v>
      </c>
      <c r="AF93">
        <v>5528</v>
      </c>
    </row>
    <row r="94" spans="1:32" hidden="1">
      <c r="A94" s="41" t="s">
        <v>914</v>
      </c>
      <c r="B94" s="41">
        <v>1047</v>
      </c>
      <c r="C94" s="41">
        <v>1003</v>
      </c>
      <c r="D94" s="41">
        <v>1070</v>
      </c>
      <c r="E94" s="41">
        <v>936</v>
      </c>
      <c r="F94" s="41">
        <v>532</v>
      </c>
      <c r="G94" s="41">
        <v>490</v>
      </c>
      <c r="H94" s="41">
        <v>575</v>
      </c>
      <c r="I94" s="41">
        <v>466</v>
      </c>
      <c r="J94" s="41">
        <v>438</v>
      </c>
      <c r="K94">
        <v>373</v>
      </c>
      <c r="L94">
        <v>350</v>
      </c>
      <c r="M94">
        <v>403</v>
      </c>
      <c r="N94">
        <v>547</v>
      </c>
      <c r="O94">
        <v>200</v>
      </c>
      <c r="P94">
        <v>193</v>
      </c>
      <c r="Q94">
        <v>158</v>
      </c>
      <c r="R94">
        <v>172</v>
      </c>
      <c r="S94">
        <v>135</v>
      </c>
      <c r="T94">
        <v>145</v>
      </c>
      <c r="U94">
        <v>167</v>
      </c>
      <c r="V94">
        <v>149</v>
      </c>
      <c r="W94">
        <v>118</v>
      </c>
      <c r="X94">
        <v>137</v>
      </c>
      <c r="Y94">
        <v>141</v>
      </c>
      <c r="Z94">
        <v>138</v>
      </c>
      <c r="AA94">
        <v>119</v>
      </c>
      <c r="AD94" t="s">
        <v>344</v>
      </c>
      <c r="AE94" s="30">
        <v>1046</v>
      </c>
      <c r="AF94">
        <v>4252</v>
      </c>
    </row>
    <row r="95" spans="1:32" hidden="1">
      <c r="A95" s="41" t="s">
        <v>1013</v>
      </c>
      <c r="B95" s="41">
        <v>569</v>
      </c>
      <c r="C95" s="41">
        <v>464</v>
      </c>
      <c r="D95" s="41">
        <v>413</v>
      </c>
      <c r="E95" s="41">
        <v>490</v>
      </c>
      <c r="F95" s="41">
        <v>388</v>
      </c>
      <c r="G95" s="41">
        <v>490</v>
      </c>
      <c r="H95" s="41">
        <v>570</v>
      </c>
      <c r="I95" s="41">
        <v>520</v>
      </c>
      <c r="J95" s="41">
        <v>455</v>
      </c>
      <c r="K95">
        <v>471</v>
      </c>
      <c r="L95">
        <v>330</v>
      </c>
      <c r="M95">
        <v>395</v>
      </c>
      <c r="N95">
        <v>623</v>
      </c>
      <c r="O95">
        <v>153</v>
      </c>
      <c r="P95">
        <v>131</v>
      </c>
      <c r="Q95">
        <v>113</v>
      </c>
      <c r="R95">
        <v>125</v>
      </c>
      <c r="S95">
        <v>141</v>
      </c>
      <c r="T95">
        <v>188</v>
      </c>
      <c r="U95">
        <v>215</v>
      </c>
      <c r="V95">
        <v>209</v>
      </c>
      <c r="W95">
        <v>181</v>
      </c>
      <c r="X95">
        <v>203</v>
      </c>
      <c r="Y95">
        <v>135</v>
      </c>
      <c r="Z95">
        <v>170</v>
      </c>
      <c r="AA95">
        <v>233</v>
      </c>
      <c r="AD95" t="s">
        <v>278</v>
      </c>
      <c r="AE95" s="30">
        <v>577</v>
      </c>
      <c r="AF95">
        <v>2249</v>
      </c>
    </row>
    <row r="96" spans="1:32" hidden="1">
      <c r="A96" s="41" t="s">
        <v>1027</v>
      </c>
      <c r="B96" s="41">
        <v>4013</v>
      </c>
      <c r="C96" s="41">
        <v>2760</v>
      </c>
      <c r="D96" s="41">
        <v>1710</v>
      </c>
      <c r="E96" s="41">
        <v>2229</v>
      </c>
      <c r="F96" s="41">
        <v>2199</v>
      </c>
      <c r="G96" s="41">
        <v>2033</v>
      </c>
      <c r="H96" s="41">
        <v>2284</v>
      </c>
      <c r="I96" s="41">
        <v>2387</v>
      </c>
      <c r="J96" s="41">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316</v>
      </c>
      <c r="AE96" s="30">
        <v>576</v>
      </c>
      <c r="AF96">
        <v>1593</v>
      </c>
    </row>
    <row r="97" spans="1:32" hidden="1">
      <c r="A97" s="41" t="s">
        <v>865</v>
      </c>
      <c r="B97" s="41">
        <v>4430</v>
      </c>
      <c r="C97" s="41">
        <v>4077</v>
      </c>
      <c r="D97" s="41">
        <v>4073</v>
      </c>
      <c r="E97" s="41">
        <v>5819</v>
      </c>
      <c r="F97" s="41">
        <v>4803</v>
      </c>
      <c r="G97" s="41">
        <v>3465</v>
      </c>
      <c r="H97" s="41">
        <v>2984</v>
      </c>
      <c r="I97" s="41">
        <v>3286</v>
      </c>
      <c r="J97" s="41">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164</v>
      </c>
      <c r="AE97" s="30">
        <v>752</v>
      </c>
      <c r="AF97">
        <v>2822</v>
      </c>
    </row>
    <row r="98" spans="1:32" hidden="1">
      <c r="A98" s="41" t="s">
        <v>571</v>
      </c>
      <c r="B98" s="41">
        <v>877</v>
      </c>
      <c r="C98" s="41">
        <v>834</v>
      </c>
      <c r="D98" s="41">
        <v>498</v>
      </c>
      <c r="E98" s="41">
        <v>593</v>
      </c>
      <c r="F98" s="41">
        <v>469</v>
      </c>
      <c r="G98" s="41">
        <v>364</v>
      </c>
      <c r="H98" s="41">
        <v>309</v>
      </c>
      <c r="I98" s="41">
        <v>310</v>
      </c>
      <c r="J98" s="41">
        <v>325</v>
      </c>
      <c r="K98">
        <v>292</v>
      </c>
      <c r="L98">
        <v>306</v>
      </c>
      <c r="M98">
        <v>409</v>
      </c>
      <c r="N98">
        <v>568</v>
      </c>
      <c r="O98">
        <v>335</v>
      </c>
      <c r="P98">
        <v>274</v>
      </c>
      <c r="Q98">
        <v>156</v>
      </c>
      <c r="R98">
        <v>169</v>
      </c>
      <c r="S98">
        <v>168</v>
      </c>
      <c r="T98">
        <v>105</v>
      </c>
      <c r="U98">
        <v>180</v>
      </c>
      <c r="V98">
        <v>157</v>
      </c>
      <c r="W98">
        <v>145</v>
      </c>
      <c r="X98">
        <v>211</v>
      </c>
      <c r="Y98">
        <v>159</v>
      </c>
      <c r="Z98">
        <v>204</v>
      </c>
      <c r="AA98">
        <v>269</v>
      </c>
      <c r="AD98" t="s">
        <v>126</v>
      </c>
      <c r="AE98" s="30">
        <v>613</v>
      </c>
      <c r="AF98">
        <v>10530</v>
      </c>
    </row>
    <row r="99" spans="1:32" hidden="1">
      <c r="A99" s="41" t="s">
        <v>484</v>
      </c>
      <c r="B99" s="41">
        <v>8670</v>
      </c>
      <c r="C99" s="41">
        <v>10909</v>
      </c>
      <c r="D99" s="41">
        <v>20029</v>
      </c>
      <c r="E99" s="41">
        <v>36832</v>
      </c>
      <c r="F99" s="41">
        <v>48074</v>
      </c>
      <c r="G99" s="41">
        <v>8569</v>
      </c>
      <c r="H99" s="41">
        <v>38597</v>
      </c>
      <c r="I99" s="41">
        <v>35871</v>
      </c>
      <c r="J99" s="41">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96</v>
      </c>
      <c r="AE99" s="30">
        <v>1880</v>
      </c>
      <c r="AF99">
        <v>18081</v>
      </c>
    </row>
    <row r="100" spans="1:32" hidden="1">
      <c r="A100" s="41" t="s">
        <v>358</v>
      </c>
      <c r="B100" s="41">
        <v>760</v>
      </c>
      <c r="C100" s="41">
        <v>617</v>
      </c>
      <c r="D100" s="41">
        <v>797</v>
      </c>
      <c r="E100" s="41">
        <v>929</v>
      </c>
      <c r="F100" s="41">
        <v>661</v>
      </c>
      <c r="G100" s="41">
        <v>307</v>
      </c>
      <c r="H100" s="41">
        <v>441</v>
      </c>
      <c r="I100" s="41">
        <v>360</v>
      </c>
      <c r="J100" s="41">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208</v>
      </c>
      <c r="AE100" s="30">
        <v>513</v>
      </c>
      <c r="AF100">
        <v>2211</v>
      </c>
    </row>
    <row r="101" spans="1:32" hidden="1">
      <c r="A101" s="41" t="s">
        <v>300</v>
      </c>
      <c r="B101" s="41">
        <v>632</v>
      </c>
      <c r="C101" s="41">
        <v>1062</v>
      </c>
      <c r="D101" s="41">
        <v>1126</v>
      </c>
      <c r="E101" s="41">
        <v>1227</v>
      </c>
      <c r="F101" s="41">
        <v>713</v>
      </c>
      <c r="G101" s="41">
        <v>320</v>
      </c>
      <c r="H101" s="41">
        <v>544</v>
      </c>
      <c r="I101" s="41">
        <v>581</v>
      </c>
      <c r="J101" s="41">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266</v>
      </c>
      <c r="AE101" s="30">
        <v>196</v>
      </c>
      <c r="AF101">
        <v>1176</v>
      </c>
    </row>
    <row r="102" spans="1:32" hidden="1">
      <c r="A102" s="41" t="s">
        <v>262</v>
      </c>
      <c r="B102" s="41">
        <v>417</v>
      </c>
      <c r="C102" s="41">
        <v>369</v>
      </c>
      <c r="D102" s="41">
        <v>427</v>
      </c>
      <c r="E102" s="41">
        <v>482</v>
      </c>
      <c r="F102" s="41">
        <v>418</v>
      </c>
      <c r="G102" s="41">
        <v>408</v>
      </c>
      <c r="H102" s="41">
        <v>412</v>
      </c>
      <c r="I102" s="41">
        <v>489</v>
      </c>
      <c r="J102" s="41">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374</v>
      </c>
      <c r="AE102" s="30">
        <v>707</v>
      </c>
      <c r="AF102">
        <v>3766</v>
      </c>
    </row>
    <row r="103" spans="1:32" hidden="1">
      <c r="A103" s="41" t="s">
        <v>188</v>
      </c>
      <c r="B103" s="41">
        <v>1416</v>
      </c>
      <c r="C103" s="41">
        <v>1319</v>
      </c>
      <c r="D103" s="41">
        <v>1252</v>
      </c>
      <c r="E103" s="41">
        <v>1470</v>
      </c>
      <c r="F103" s="41">
        <v>1502</v>
      </c>
      <c r="G103" s="41">
        <v>1536</v>
      </c>
      <c r="H103" s="41">
        <v>1132</v>
      </c>
      <c r="I103" s="41">
        <v>1296</v>
      </c>
      <c r="J103" s="41">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66</v>
      </c>
      <c r="AE103" s="30">
        <v>1594</v>
      </c>
      <c r="AF103">
        <v>8161</v>
      </c>
    </row>
    <row r="104" spans="1:32" hidden="1">
      <c r="A104" s="41" t="s">
        <v>410</v>
      </c>
      <c r="B104" s="41">
        <v>2658</v>
      </c>
      <c r="C104" s="41">
        <v>1941</v>
      </c>
      <c r="D104" s="41">
        <v>1600</v>
      </c>
      <c r="E104" s="41">
        <v>2850</v>
      </c>
      <c r="F104" s="41">
        <v>2049</v>
      </c>
      <c r="G104" s="41">
        <v>1591</v>
      </c>
      <c r="H104" s="41">
        <v>1100</v>
      </c>
      <c r="I104" s="41">
        <v>1282</v>
      </c>
      <c r="J104" s="41">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134</v>
      </c>
      <c r="AE104" s="30">
        <v>2511</v>
      </c>
      <c r="AF104">
        <v>12700</v>
      </c>
    </row>
    <row r="105" spans="1:32" hidden="1">
      <c r="A105" s="41" t="s">
        <v>84</v>
      </c>
      <c r="B105" s="41">
        <v>1711</v>
      </c>
      <c r="C105" s="41">
        <v>1517</v>
      </c>
      <c r="D105" s="41">
        <v>1607</v>
      </c>
      <c r="E105" s="41">
        <v>1913</v>
      </c>
      <c r="F105" s="41">
        <v>1166</v>
      </c>
      <c r="G105" s="41">
        <v>1267</v>
      </c>
      <c r="H105" s="41">
        <v>1273</v>
      </c>
      <c r="I105" s="41">
        <v>1016</v>
      </c>
      <c r="J105" s="41">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242</v>
      </c>
      <c r="AE105" s="30">
        <v>1114</v>
      </c>
      <c r="AF105">
        <v>6172</v>
      </c>
    </row>
    <row r="106" spans="1:32" hidden="1">
      <c r="A106" s="41" t="s">
        <v>910</v>
      </c>
      <c r="B106" s="41">
        <v>1350</v>
      </c>
      <c r="C106" s="41">
        <v>1288</v>
      </c>
      <c r="D106" s="41">
        <v>1007</v>
      </c>
      <c r="E106" s="41">
        <v>920</v>
      </c>
      <c r="F106" s="41">
        <v>747</v>
      </c>
      <c r="G106" s="41">
        <v>676</v>
      </c>
      <c r="H106" s="41">
        <v>705</v>
      </c>
      <c r="I106" s="41">
        <v>751</v>
      </c>
      <c r="J106" s="41">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354</v>
      </c>
      <c r="AE106" s="30">
        <v>950</v>
      </c>
      <c r="AF106">
        <v>2213</v>
      </c>
    </row>
    <row r="107" spans="1:32" hidden="1">
      <c r="A107" s="41" t="s">
        <v>979</v>
      </c>
      <c r="B107" s="41">
        <v>0</v>
      </c>
      <c r="C107" s="41">
        <v>0</v>
      </c>
      <c r="D107" s="41">
        <v>0</v>
      </c>
      <c r="E107" s="41">
        <v>0</v>
      </c>
      <c r="F107" s="41">
        <v>0</v>
      </c>
      <c r="G107" s="41">
        <v>0</v>
      </c>
      <c r="H107" s="41">
        <v>208</v>
      </c>
      <c r="I107" s="41">
        <v>163</v>
      </c>
      <c r="J107" s="41">
        <v>136</v>
      </c>
      <c r="K107">
        <v>90</v>
      </c>
      <c r="L107">
        <v>112</v>
      </c>
      <c r="M107">
        <v>98</v>
      </c>
      <c r="N107">
        <v>107</v>
      </c>
      <c r="O107">
        <v>0</v>
      </c>
      <c r="P107">
        <v>0</v>
      </c>
      <c r="Q107">
        <v>0</v>
      </c>
      <c r="R107">
        <v>0</v>
      </c>
      <c r="S107">
        <v>0</v>
      </c>
      <c r="T107">
        <v>0</v>
      </c>
      <c r="U107">
        <v>53</v>
      </c>
      <c r="V107">
        <v>0</v>
      </c>
      <c r="W107">
        <v>89</v>
      </c>
      <c r="X107">
        <v>76</v>
      </c>
      <c r="Y107">
        <v>65</v>
      </c>
      <c r="Z107">
        <v>59</v>
      </c>
      <c r="AA107">
        <v>71</v>
      </c>
      <c r="AD107" t="s">
        <v>366</v>
      </c>
      <c r="AE107" s="30">
        <v>756</v>
      </c>
      <c r="AF107">
        <v>2872</v>
      </c>
    </row>
    <row r="108" spans="1:32" hidden="1">
      <c r="A108" s="41" t="s">
        <v>870</v>
      </c>
      <c r="B108" s="41">
        <v>974</v>
      </c>
      <c r="C108" s="41">
        <v>1095</v>
      </c>
      <c r="D108" s="41">
        <v>2094</v>
      </c>
      <c r="E108" s="41">
        <v>1713</v>
      </c>
      <c r="F108" s="41">
        <v>1063</v>
      </c>
      <c r="G108" s="41">
        <v>7926</v>
      </c>
      <c r="H108" s="41">
        <v>1635</v>
      </c>
      <c r="I108" s="41">
        <v>895</v>
      </c>
      <c r="J108" s="41">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256</v>
      </c>
      <c r="AE108" s="30">
        <v>535</v>
      </c>
      <c r="AF108">
        <v>2720</v>
      </c>
    </row>
    <row r="109" spans="1:32" hidden="1">
      <c r="A109" s="41" t="s">
        <v>819</v>
      </c>
      <c r="B109" s="41">
        <v>3177</v>
      </c>
      <c r="C109" s="41">
        <v>2464</v>
      </c>
      <c r="D109" s="41">
        <v>2763</v>
      </c>
      <c r="E109" s="41">
        <v>1976</v>
      </c>
      <c r="F109" s="41">
        <v>1821</v>
      </c>
      <c r="G109" s="41">
        <v>2050</v>
      </c>
      <c r="H109" s="41">
        <v>1848</v>
      </c>
      <c r="I109" s="41">
        <v>3303</v>
      </c>
      <c r="J109" s="41">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422</v>
      </c>
      <c r="AE109" s="30">
        <v>1992</v>
      </c>
      <c r="AF109">
        <v>4809</v>
      </c>
    </row>
    <row r="110" spans="1:32" hidden="1">
      <c r="A110" s="41" t="s">
        <v>108</v>
      </c>
      <c r="B110" s="41">
        <v>1558</v>
      </c>
      <c r="C110" s="41">
        <v>1634</v>
      </c>
      <c r="D110" s="41">
        <v>1646</v>
      </c>
      <c r="E110" s="41">
        <v>1521</v>
      </c>
      <c r="F110" s="41">
        <v>1323</v>
      </c>
      <c r="G110" s="41">
        <v>1390</v>
      </c>
      <c r="H110" s="41">
        <v>1297</v>
      </c>
      <c r="I110" s="41">
        <v>1409</v>
      </c>
      <c r="J110" s="41">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9" t="s">
        <v>298</v>
      </c>
      <c r="AE110" s="30">
        <v>910</v>
      </c>
      <c r="AF110">
        <v>4186</v>
      </c>
    </row>
    <row r="111" spans="1:32" hidden="1">
      <c r="A111" s="41" t="s">
        <v>312</v>
      </c>
      <c r="B111" s="41">
        <v>1299</v>
      </c>
      <c r="C111" s="41">
        <v>1499</v>
      </c>
      <c r="D111" s="41">
        <v>1816</v>
      </c>
      <c r="E111" s="41">
        <v>1430</v>
      </c>
      <c r="F111" s="41">
        <v>1165</v>
      </c>
      <c r="G111" s="41">
        <v>1127</v>
      </c>
      <c r="H111" s="41">
        <v>1156</v>
      </c>
      <c r="I111" s="41">
        <v>1195</v>
      </c>
      <c r="J111" s="41">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376</v>
      </c>
      <c r="AE111" s="30">
        <v>991</v>
      </c>
      <c r="AF111">
        <v>4900</v>
      </c>
    </row>
    <row r="112" spans="1:32" hidden="1">
      <c r="A112" s="41" t="s">
        <v>843</v>
      </c>
      <c r="B112" s="41">
        <v>1354</v>
      </c>
      <c r="C112" s="41">
        <v>1035</v>
      </c>
      <c r="D112" s="41">
        <v>988</v>
      </c>
      <c r="E112" s="41">
        <v>832</v>
      </c>
      <c r="F112" s="41">
        <v>578</v>
      </c>
      <c r="G112" s="41">
        <v>641</v>
      </c>
      <c r="H112" s="41">
        <v>495</v>
      </c>
      <c r="I112" s="41">
        <v>449</v>
      </c>
      <c r="J112" s="41">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154</v>
      </c>
      <c r="AE112" s="30">
        <v>1070</v>
      </c>
      <c r="AF112">
        <v>4644</v>
      </c>
    </row>
    <row r="113" spans="1:32" hidden="1">
      <c r="A113" s="41" t="s">
        <v>1111</v>
      </c>
      <c r="B113" s="41">
        <v>2000</v>
      </c>
      <c r="C113" s="41">
        <v>2085</v>
      </c>
      <c r="D113" s="41">
        <v>1899</v>
      </c>
      <c r="E113" s="41">
        <v>1650</v>
      </c>
      <c r="F113" s="41">
        <v>382</v>
      </c>
      <c r="G113" s="41">
        <v>0</v>
      </c>
      <c r="H113" s="41">
        <v>22</v>
      </c>
      <c r="I113" s="41">
        <v>12</v>
      </c>
      <c r="J113" s="41">
        <v>0</v>
      </c>
      <c r="K113">
        <v>6</v>
      </c>
      <c r="L113">
        <v>0</v>
      </c>
      <c r="M113">
        <v>0</v>
      </c>
      <c r="N113">
        <v>0</v>
      </c>
      <c r="O113">
        <v>746</v>
      </c>
      <c r="P113">
        <v>797</v>
      </c>
      <c r="Q113">
        <v>748</v>
      </c>
      <c r="R113">
        <v>696</v>
      </c>
      <c r="S113">
        <v>44</v>
      </c>
      <c r="T113">
        <v>0</v>
      </c>
      <c r="U113">
        <v>6</v>
      </c>
      <c r="V113">
        <v>2</v>
      </c>
      <c r="W113">
        <v>0</v>
      </c>
      <c r="X113">
        <v>1</v>
      </c>
      <c r="Y113">
        <v>0</v>
      </c>
      <c r="Z113">
        <v>0</v>
      </c>
      <c r="AA113">
        <v>0</v>
      </c>
      <c r="AD113" t="s">
        <v>306</v>
      </c>
      <c r="AE113" s="30">
        <v>269</v>
      </c>
      <c r="AF113">
        <v>1012</v>
      </c>
    </row>
    <row r="114" spans="1:32" hidden="1">
      <c r="A114" s="41" t="s">
        <v>973</v>
      </c>
      <c r="B114" s="41">
        <v>485</v>
      </c>
      <c r="C114" s="41">
        <v>784</v>
      </c>
      <c r="D114" s="41">
        <v>1103</v>
      </c>
      <c r="E114" s="41">
        <v>586</v>
      </c>
      <c r="F114" s="41">
        <v>489</v>
      </c>
      <c r="G114" s="41">
        <v>498</v>
      </c>
      <c r="H114" s="41">
        <v>519</v>
      </c>
      <c r="I114" s="41">
        <v>491</v>
      </c>
      <c r="J114" s="41">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262</v>
      </c>
      <c r="AE114" s="30">
        <v>366</v>
      </c>
      <c r="AF114">
        <v>2376</v>
      </c>
    </row>
    <row r="115" spans="1:32" hidden="1">
      <c r="A115" s="41" t="s">
        <v>890</v>
      </c>
      <c r="B115" s="41">
        <v>1192</v>
      </c>
      <c r="C115" s="41">
        <v>1048</v>
      </c>
      <c r="D115" s="41">
        <v>821</v>
      </c>
      <c r="E115" s="41">
        <v>1049</v>
      </c>
      <c r="F115" s="41">
        <v>657</v>
      </c>
      <c r="G115" s="41">
        <v>569</v>
      </c>
      <c r="H115" s="41">
        <v>676</v>
      </c>
      <c r="I115" s="41">
        <v>751</v>
      </c>
      <c r="J115" s="41">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100</v>
      </c>
      <c r="AE115" s="30">
        <v>2113</v>
      </c>
      <c r="AF115">
        <v>5392</v>
      </c>
    </row>
    <row r="116" spans="1:32" hidden="1">
      <c r="A116" s="41" t="s">
        <v>824</v>
      </c>
      <c r="B116" s="41">
        <v>1214</v>
      </c>
      <c r="C116" s="41">
        <v>674</v>
      </c>
      <c r="D116" s="41">
        <v>89</v>
      </c>
      <c r="E116" s="41">
        <v>820</v>
      </c>
      <c r="F116" s="41">
        <v>684</v>
      </c>
      <c r="G116" s="41">
        <v>594</v>
      </c>
      <c r="H116" s="41">
        <v>649</v>
      </c>
      <c r="I116" s="41">
        <v>840</v>
      </c>
      <c r="J116" s="41">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152</v>
      </c>
      <c r="AE116" s="30">
        <v>1161</v>
      </c>
      <c r="AF116">
        <v>5011</v>
      </c>
    </row>
    <row r="117" spans="1:32" hidden="1">
      <c r="A117" s="41" t="s">
        <v>640</v>
      </c>
      <c r="B117" s="41">
        <v>128</v>
      </c>
      <c r="C117" s="41">
        <v>112</v>
      </c>
      <c r="D117" s="41">
        <v>69</v>
      </c>
      <c r="E117" s="41">
        <v>74</v>
      </c>
      <c r="F117" s="41">
        <v>64</v>
      </c>
      <c r="G117" s="41">
        <v>77</v>
      </c>
      <c r="H117" s="41">
        <v>86</v>
      </c>
      <c r="I117" s="41">
        <v>74</v>
      </c>
      <c r="J117" s="41">
        <v>72</v>
      </c>
      <c r="K117">
        <v>67</v>
      </c>
      <c r="L117">
        <v>63</v>
      </c>
      <c r="M117">
        <v>67</v>
      </c>
      <c r="N117">
        <v>263</v>
      </c>
      <c r="O117">
        <v>33</v>
      </c>
      <c r="P117">
        <v>29</v>
      </c>
      <c r="Q117">
        <v>23</v>
      </c>
      <c r="R117">
        <v>29</v>
      </c>
      <c r="S117">
        <v>18</v>
      </c>
      <c r="T117">
        <v>31</v>
      </c>
      <c r="U117">
        <v>36</v>
      </c>
      <c r="V117">
        <v>23</v>
      </c>
      <c r="W117">
        <v>33</v>
      </c>
      <c r="X117">
        <v>40</v>
      </c>
      <c r="Y117">
        <v>26</v>
      </c>
      <c r="Z117">
        <v>28</v>
      </c>
      <c r="AA117">
        <v>88</v>
      </c>
      <c r="AD117" t="s">
        <v>216</v>
      </c>
      <c r="AE117" s="30">
        <v>690</v>
      </c>
      <c r="AF117">
        <v>1755</v>
      </c>
    </row>
    <row r="118" spans="1:32" hidden="1">
      <c r="A118" s="41" t="s">
        <v>633</v>
      </c>
      <c r="B118" s="41">
        <v>198</v>
      </c>
      <c r="C118" s="41">
        <v>302</v>
      </c>
      <c r="D118" s="41">
        <v>84</v>
      </c>
      <c r="E118" s="41">
        <v>72</v>
      </c>
      <c r="F118" s="41">
        <v>53</v>
      </c>
      <c r="G118" s="41">
        <v>62</v>
      </c>
      <c r="H118" s="41">
        <v>107</v>
      </c>
      <c r="I118" s="41">
        <v>137</v>
      </c>
      <c r="J118" s="41">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280</v>
      </c>
      <c r="AE118" s="30">
        <v>1115</v>
      </c>
      <c r="AF118">
        <v>4213</v>
      </c>
    </row>
    <row r="119" spans="1:32" hidden="1">
      <c r="A119" s="41" t="s">
        <v>625</v>
      </c>
      <c r="B119" s="41">
        <v>28</v>
      </c>
      <c r="C119" s="41">
        <v>33</v>
      </c>
      <c r="D119" s="41">
        <v>39</v>
      </c>
      <c r="E119" s="41">
        <v>35</v>
      </c>
      <c r="F119" s="41">
        <v>36</v>
      </c>
      <c r="G119" s="41">
        <v>26</v>
      </c>
      <c r="H119" s="41">
        <v>51</v>
      </c>
      <c r="I119" s="41">
        <v>43</v>
      </c>
      <c r="J119" s="41">
        <v>53</v>
      </c>
      <c r="K119">
        <v>67</v>
      </c>
      <c r="L119">
        <v>59</v>
      </c>
      <c r="M119">
        <v>63</v>
      </c>
      <c r="N119">
        <v>73</v>
      </c>
      <c r="O119">
        <v>20</v>
      </c>
      <c r="P119">
        <v>13</v>
      </c>
      <c r="Q119">
        <v>18</v>
      </c>
      <c r="R119">
        <v>17</v>
      </c>
      <c r="S119">
        <v>21</v>
      </c>
      <c r="T119">
        <v>21</v>
      </c>
      <c r="U119">
        <v>23</v>
      </c>
      <c r="V119">
        <v>20</v>
      </c>
      <c r="W119">
        <v>30</v>
      </c>
      <c r="X119">
        <v>29</v>
      </c>
      <c r="Y119">
        <v>33</v>
      </c>
      <c r="Z119">
        <v>23</v>
      </c>
      <c r="AA119">
        <v>29</v>
      </c>
      <c r="AD119" t="s">
        <v>196</v>
      </c>
      <c r="AE119" s="30">
        <v>1273</v>
      </c>
      <c r="AF119">
        <v>4614</v>
      </c>
    </row>
    <row r="120" spans="1:32" hidden="1">
      <c r="A120" s="41" t="s">
        <v>635</v>
      </c>
      <c r="B120" s="41">
        <v>1002</v>
      </c>
      <c r="C120" s="41">
        <v>1034</v>
      </c>
      <c r="D120" s="41">
        <v>660</v>
      </c>
      <c r="E120" s="41">
        <v>563</v>
      </c>
      <c r="F120" s="41">
        <v>480</v>
      </c>
      <c r="G120" s="41">
        <v>479</v>
      </c>
      <c r="H120" s="41">
        <v>567</v>
      </c>
      <c r="I120" s="41">
        <v>408</v>
      </c>
      <c r="J120" s="41">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330</v>
      </c>
      <c r="AE120" s="30">
        <v>1003</v>
      </c>
      <c r="AF120">
        <v>5089</v>
      </c>
    </row>
    <row r="121" spans="1:32" hidden="1">
      <c r="A121" s="41" t="s">
        <v>196</v>
      </c>
      <c r="B121" s="41">
        <v>556</v>
      </c>
      <c r="C121" s="41">
        <v>644</v>
      </c>
      <c r="D121" s="41">
        <v>668</v>
      </c>
      <c r="E121" s="41">
        <v>708</v>
      </c>
      <c r="F121" s="41">
        <v>563</v>
      </c>
      <c r="G121" s="41">
        <v>598</v>
      </c>
      <c r="H121" s="41">
        <v>612</v>
      </c>
      <c r="I121" s="41">
        <v>598</v>
      </c>
      <c r="J121" s="41">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258</v>
      </c>
      <c r="AE121" s="30">
        <v>425</v>
      </c>
      <c r="AF121">
        <v>1216</v>
      </c>
    </row>
    <row r="122" spans="1:32" hidden="1">
      <c r="A122" s="41" t="s">
        <v>414</v>
      </c>
      <c r="B122" s="41">
        <v>1013</v>
      </c>
      <c r="C122" s="41">
        <v>1382</v>
      </c>
      <c r="D122" s="41">
        <v>1449</v>
      </c>
      <c r="E122" s="41">
        <v>2537</v>
      </c>
      <c r="F122" s="41">
        <v>1852</v>
      </c>
      <c r="G122" s="41">
        <v>1365</v>
      </c>
      <c r="H122" s="41">
        <v>998</v>
      </c>
      <c r="I122" s="41">
        <v>1016</v>
      </c>
      <c r="J122" s="41">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342</v>
      </c>
      <c r="AE122" s="30">
        <v>457</v>
      </c>
      <c r="AF122">
        <v>2842</v>
      </c>
    </row>
    <row r="123" spans="1:32" hidden="1">
      <c r="A123" s="41" t="s">
        <v>416</v>
      </c>
      <c r="B123" s="41">
        <v>426</v>
      </c>
      <c r="C123" s="41">
        <v>462</v>
      </c>
      <c r="D123" s="41">
        <v>516</v>
      </c>
      <c r="E123" s="41">
        <v>557</v>
      </c>
      <c r="F123" s="41">
        <v>514</v>
      </c>
      <c r="G123" s="41">
        <v>606</v>
      </c>
      <c r="H123" s="41">
        <v>431</v>
      </c>
      <c r="I123" s="41">
        <v>496</v>
      </c>
      <c r="J123" s="41">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320</v>
      </c>
      <c r="AE123" s="30">
        <v>396</v>
      </c>
      <c r="AF123">
        <v>1089</v>
      </c>
    </row>
    <row r="124" spans="1:32" hidden="1">
      <c r="A124" s="41" t="s">
        <v>444</v>
      </c>
      <c r="B124" s="41">
        <v>2274</v>
      </c>
      <c r="C124" s="41">
        <v>2856</v>
      </c>
      <c r="D124" s="41">
        <v>3377</v>
      </c>
      <c r="E124" s="41">
        <v>5031</v>
      </c>
      <c r="F124" s="41">
        <v>5590</v>
      </c>
      <c r="G124" s="41">
        <v>4851</v>
      </c>
      <c r="H124" s="41">
        <v>4649</v>
      </c>
      <c r="I124" s="41">
        <v>6101</v>
      </c>
      <c r="J124" s="41">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378</v>
      </c>
      <c r="AE124" s="30">
        <v>374</v>
      </c>
      <c r="AF124">
        <v>1383</v>
      </c>
    </row>
    <row r="125" spans="1:32" hidden="1">
      <c r="A125" s="41" t="s">
        <v>408</v>
      </c>
      <c r="B125" s="41">
        <v>879</v>
      </c>
      <c r="C125" s="41">
        <v>1082</v>
      </c>
      <c r="D125" s="41">
        <v>983</v>
      </c>
      <c r="E125" s="41">
        <v>1031</v>
      </c>
      <c r="F125" s="41">
        <v>927</v>
      </c>
      <c r="G125" s="41">
        <v>974</v>
      </c>
      <c r="H125" s="41">
        <v>1011</v>
      </c>
      <c r="I125" s="41">
        <v>1156</v>
      </c>
      <c r="J125" s="41">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348</v>
      </c>
      <c r="AE125" s="30">
        <v>2024</v>
      </c>
      <c r="AF125">
        <v>10130</v>
      </c>
    </row>
    <row r="126" spans="1:32" hidden="1">
      <c r="A126" s="41" t="s">
        <v>1019</v>
      </c>
      <c r="B126" s="41">
        <v>1634</v>
      </c>
      <c r="C126" s="41">
        <v>1088</v>
      </c>
      <c r="D126" s="41">
        <v>1379</v>
      </c>
      <c r="E126" s="41">
        <v>1401</v>
      </c>
      <c r="F126" s="41">
        <v>1057</v>
      </c>
      <c r="G126" s="41">
        <v>1155</v>
      </c>
      <c r="H126" s="41">
        <v>1143</v>
      </c>
      <c r="I126" s="41">
        <v>1093</v>
      </c>
      <c r="J126" s="41">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116</v>
      </c>
      <c r="AE126" s="30">
        <v>444</v>
      </c>
      <c r="AF126">
        <v>1903</v>
      </c>
    </row>
    <row r="127" spans="1:32" hidden="1">
      <c r="A127" s="41" t="s">
        <v>946</v>
      </c>
      <c r="B127" s="41">
        <v>550</v>
      </c>
      <c r="C127" s="41">
        <v>528</v>
      </c>
      <c r="D127" s="41">
        <v>327</v>
      </c>
      <c r="E127" s="41">
        <v>306</v>
      </c>
      <c r="F127" s="41">
        <v>296</v>
      </c>
      <c r="G127" s="41">
        <v>241</v>
      </c>
      <c r="H127" s="41">
        <v>257</v>
      </c>
      <c r="I127" s="41">
        <v>382</v>
      </c>
      <c r="J127" s="41">
        <v>0</v>
      </c>
      <c r="K127">
        <v>2</v>
      </c>
      <c r="L127">
        <v>0</v>
      </c>
      <c r="M127">
        <v>0</v>
      </c>
      <c r="N127">
        <v>0</v>
      </c>
      <c r="O127">
        <v>164</v>
      </c>
      <c r="P127">
        <v>142</v>
      </c>
      <c r="Q127">
        <v>146</v>
      </c>
      <c r="R127">
        <v>116</v>
      </c>
      <c r="S127">
        <v>130</v>
      </c>
      <c r="T127">
        <v>118</v>
      </c>
      <c r="U127">
        <v>138</v>
      </c>
      <c r="V127">
        <v>136</v>
      </c>
      <c r="W127">
        <v>0</v>
      </c>
      <c r="X127">
        <v>2</v>
      </c>
      <c r="Y127">
        <v>0</v>
      </c>
      <c r="Z127">
        <v>0</v>
      </c>
      <c r="AA127">
        <v>0</v>
      </c>
      <c r="AD127" t="s">
        <v>230</v>
      </c>
      <c r="AE127" s="30">
        <v>384</v>
      </c>
      <c r="AF127">
        <v>1342</v>
      </c>
    </row>
    <row r="128" spans="1:32" hidden="1">
      <c r="A128" s="41" t="s">
        <v>206</v>
      </c>
      <c r="B128" s="41">
        <v>0</v>
      </c>
      <c r="C128" s="41">
        <v>687</v>
      </c>
      <c r="D128" s="41">
        <v>1065</v>
      </c>
      <c r="E128" s="41">
        <v>1231</v>
      </c>
      <c r="F128" s="41">
        <v>754</v>
      </c>
      <c r="G128" s="41">
        <v>682</v>
      </c>
      <c r="H128" s="41">
        <v>1047</v>
      </c>
      <c r="I128" s="41">
        <v>797</v>
      </c>
      <c r="J128" s="41">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444</v>
      </c>
      <c r="AE128" s="30">
        <v>4667</v>
      </c>
      <c r="AF128">
        <v>17712</v>
      </c>
    </row>
    <row r="129" spans="1:32" hidden="1">
      <c r="A129" s="41" t="s">
        <v>726</v>
      </c>
      <c r="B129" s="41">
        <v>109</v>
      </c>
      <c r="C129" s="41">
        <v>64</v>
      </c>
      <c r="D129" s="41">
        <v>94</v>
      </c>
      <c r="E129" s="41">
        <v>63</v>
      </c>
      <c r="F129" s="41">
        <v>86</v>
      </c>
      <c r="G129" s="41">
        <v>93</v>
      </c>
      <c r="H129" s="41">
        <v>96</v>
      </c>
      <c r="I129" s="41">
        <v>208</v>
      </c>
      <c r="J129" s="41">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120</v>
      </c>
      <c r="AE129" s="30">
        <v>2577</v>
      </c>
      <c r="AF129">
        <v>9416</v>
      </c>
    </row>
    <row r="130" spans="1:32" hidden="1">
      <c r="A130" s="41" t="s">
        <v>895</v>
      </c>
      <c r="B130" s="41">
        <v>4323</v>
      </c>
      <c r="C130" s="41">
        <v>3717</v>
      </c>
      <c r="D130" s="41">
        <v>6969</v>
      </c>
      <c r="E130" s="41">
        <v>12230</v>
      </c>
      <c r="F130" s="41">
        <v>8131</v>
      </c>
      <c r="G130" s="41">
        <v>5322</v>
      </c>
      <c r="H130" s="41">
        <v>3436</v>
      </c>
      <c r="I130" s="41">
        <v>3161</v>
      </c>
      <c r="J130" s="41">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382</v>
      </c>
      <c r="AE130" s="30">
        <v>2165</v>
      </c>
      <c r="AF130">
        <v>5383</v>
      </c>
    </row>
    <row r="131" spans="1:32" hidden="1">
      <c r="A131" s="41" t="s">
        <v>1038</v>
      </c>
      <c r="B131" s="41">
        <v>1450</v>
      </c>
      <c r="C131" s="41">
        <v>1559</v>
      </c>
      <c r="D131" s="41">
        <v>1228</v>
      </c>
      <c r="E131" s="41">
        <v>1388</v>
      </c>
      <c r="F131" s="41">
        <v>1438</v>
      </c>
      <c r="G131" s="41">
        <v>1443</v>
      </c>
      <c r="H131" s="41">
        <v>1497</v>
      </c>
      <c r="I131" s="41">
        <v>1915</v>
      </c>
      <c r="J131" s="41">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250</v>
      </c>
      <c r="AE131" s="30">
        <v>1108</v>
      </c>
      <c r="AF131">
        <v>5115</v>
      </c>
    </row>
    <row r="132" spans="1:32" hidden="1">
      <c r="A132" s="41" t="s">
        <v>892</v>
      </c>
      <c r="B132" s="41">
        <v>1100</v>
      </c>
      <c r="C132" s="41">
        <v>860</v>
      </c>
      <c r="D132" s="41">
        <v>863</v>
      </c>
      <c r="E132" s="41">
        <v>884</v>
      </c>
      <c r="F132" s="41">
        <v>902</v>
      </c>
      <c r="G132" s="41">
        <v>813</v>
      </c>
      <c r="H132" s="41">
        <v>690</v>
      </c>
      <c r="I132" s="41">
        <v>871</v>
      </c>
      <c r="J132" s="41">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322</v>
      </c>
      <c r="AE132" s="30">
        <v>2302</v>
      </c>
      <c r="AF132">
        <v>10218</v>
      </c>
    </row>
    <row r="133" spans="1:32" hidden="1">
      <c r="A133" s="41" t="s">
        <v>1032</v>
      </c>
      <c r="B133" s="41">
        <v>310</v>
      </c>
      <c r="C133" s="41">
        <v>322</v>
      </c>
      <c r="D133" s="41">
        <v>924</v>
      </c>
      <c r="E133" s="41">
        <v>1220</v>
      </c>
      <c r="F133" s="41">
        <v>1061</v>
      </c>
      <c r="G133" s="41">
        <v>741</v>
      </c>
      <c r="H133" s="41">
        <v>669</v>
      </c>
      <c r="I133" s="41">
        <v>633</v>
      </c>
      <c r="J133" s="41">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408</v>
      </c>
      <c r="AE133" s="30">
        <v>2047</v>
      </c>
      <c r="AF133">
        <v>7282</v>
      </c>
    </row>
    <row r="134" spans="1:32" hidden="1">
      <c r="A134" s="41" t="s">
        <v>961</v>
      </c>
      <c r="B134" s="41">
        <v>21</v>
      </c>
      <c r="C134" s="41">
        <v>23</v>
      </c>
      <c r="D134" s="41">
        <v>38</v>
      </c>
      <c r="E134" s="41">
        <v>47</v>
      </c>
      <c r="F134" s="41">
        <v>34</v>
      </c>
      <c r="G134" s="41">
        <v>33</v>
      </c>
      <c r="H134" s="41">
        <v>22</v>
      </c>
      <c r="I134" s="41">
        <v>28</v>
      </c>
      <c r="J134" s="41">
        <v>39</v>
      </c>
      <c r="K134">
        <v>30</v>
      </c>
      <c r="L134">
        <v>28</v>
      </c>
      <c r="M134">
        <v>24</v>
      </c>
      <c r="N134">
        <v>56</v>
      </c>
      <c r="O134">
        <v>3</v>
      </c>
      <c r="P134">
        <v>4</v>
      </c>
      <c r="Q134">
        <v>4</v>
      </c>
      <c r="R134">
        <v>3</v>
      </c>
      <c r="S134">
        <v>5</v>
      </c>
      <c r="T134">
        <v>1</v>
      </c>
      <c r="U134">
        <v>1</v>
      </c>
      <c r="V134">
        <v>2</v>
      </c>
      <c r="W134">
        <v>4</v>
      </c>
      <c r="X134">
        <v>1</v>
      </c>
      <c r="Y134">
        <v>6</v>
      </c>
      <c r="Z134">
        <v>3</v>
      </c>
      <c r="AA134">
        <v>6</v>
      </c>
      <c r="AD134" t="s">
        <v>212</v>
      </c>
      <c r="AE134" s="30">
        <v>760</v>
      </c>
      <c r="AF134">
        <v>2586</v>
      </c>
    </row>
    <row r="135" spans="1:32" hidden="1">
      <c r="A135" s="41" t="s">
        <v>1025</v>
      </c>
      <c r="B135" s="41">
        <v>66</v>
      </c>
      <c r="C135" s="41">
        <v>134</v>
      </c>
      <c r="D135" s="41">
        <v>267</v>
      </c>
      <c r="E135" s="41">
        <v>141</v>
      </c>
      <c r="F135" s="41">
        <v>86</v>
      </c>
      <c r="G135" s="41">
        <v>77</v>
      </c>
      <c r="H135" s="41">
        <v>87</v>
      </c>
      <c r="I135" s="41">
        <v>169</v>
      </c>
      <c r="J135" s="41">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142</v>
      </c>
      <c r="AE135" s="30">
        <v>1249</v>
      </c>
      <c r="AF135">
        <v>5495</v>
      </c>
    </row>
    <row r="136" spans="1:32" hidden="1">
      <c r="A136" s="41" t="s">
        <v>20</v>
      </c>
      <c r="B136" s="41">
        <v>5320</v>
      </c>
      <c r="C136" s="41">
        <v>3011</v>
      </c>
      <c r="D136" s="41">
        <v>1145</v>
      </c>
      <c r="E136" s="41">
        <v>3689</v>
      </c>
      <c r="F136" s="41">
        <v>2504</v>
      </c>
      <c r="G136" s="41">
        <v>2187</v>
      </c>
      <c r="H136" s="41">
        <v>2306</v>
      </c>
      <c r="I136" s="41">
        <v>2366</v>
      </c>
      <c r="J136" s="41">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30">
        <v>0</v>
      </c>
      <c r="AF136">
        <v>0</v>
      </c>
    </row>
    <row r="137" spans="1:32" hidden="1">
      <c r="A137" s="41" t="s">
        <v>174</v>
      </c>
      <c r="B137" s="41">
        <v>1619</v>
      </c>
      <c r="C137" s="41">
        <v>1633</v>
      </c>
      <c r="D137" s="41">
        <v>717</v>
      </c>
      <c r="E137" s="41">
        <v>826</v>
      </c>
      <c r="F137" s="41">
        <v>650</v>
      </c>
      <c r="G137" s="41">
        <v>725</v>
      </c>
      <c r="H137" s="41">
        <v>777</v>
      </c>
      <c r="I137" s="41">
        <v>962</v>
      </c>
      <c r="J137" s="41">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30">
        <v>0</v>
      </c>
      <c r="AF137">
        <v>0</v>
      </c>
    </row>
    <row r="138" spans="1:32" hidden="1">
      <c r="A138" s="41" t="s">
        <v>192</v>
      </c>
      <c r="B138" s="41">
        <v>2361</v>
      </c>
      <c r="C138" s="41">
        <v>2605</v>
      </c>
      <c r="D138" s="41">
        <v>2688</v>
      </c>
      <c r="E138" s="41">
        <v>3554</v>
      </c>
      <c r="F138" s="41">
        <v>3657</v>
      </c>
      <c r="G138" s="41">
        <v>3360</v>
      </c>
      <c r="H138" s="41">
        <v>3137</v>
      </c>
      <c r="I138" s="41">
        <v>3454</v>
      </c>
      <c r="J138" s="41">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30">
        <v>0</v>
      </c>
      <c r="AF138">
        <v>0</v>
      </c>
    </row>
    <row r="139" spans="1:32" hidden="1">
      <c r="A139" s="41" t="s">
        <v>396</v>
      </c>
      <c r="B139" s="41">
        <v>1476</v>
      </c>
      <c r="C139" s="41">
        <v>1945</v>
      </c>
      <c r="D139" s="41">
        <v>2127</v>
      </c>
      <c r="E139" s="41">
        <v>2420</v>
      </c>
      <c r="F139" s="41">
        <v>2366</v>
      </c>
      <c r="G139" s="41">
        <v>2349</v>
      </c>
      <c r="H139" s="41">
        <v>2432</v>
      </c>
      <c r="I139" s="41">
        <v>2364</v>
      </c>
      <c r="J139" s="41">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30">
        <v>0</v>
      </c>
      <c r="AF139">
        <v>0</v>
      </c>
    </row>
    <row r="140" spans="1:32" hidden="1">
      <c r="A140" s="41" t="s">
        <v>466</v>
      </c>
      <c r="B140" s="41">
        <v>5127</v>
      </c>
      <c r="C140" s="41">
        <v>2691</v>
      </c>
      <c r="D140" s="41">
        <v>3374</v>
      </c>
      <c r="E140" s="41">
        <v>5722</v>
      </c>
      <c r="F140" s="41">
        <v>4410</v>
      </c>
      <c r="G140" s="41">
        <v>4656</v>
      </c>
      <c r="H140" s="41">
        <v>5272</v>
      </c>
      <c r="I140" s="41">
        <v>3944</v>
      </c>
      <c r="J140" s="41">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30">
        <v>0</v>
      </c>
      <c r="AF140">
        <v>0</v>
      </c>
    </row>
    <row r="141" spans="1:32" hidden="1">
      <c r="A141" s="41" t="s">
        <v>106</v>
      </c>
      <c r="B141" s="41">
        <v>5383</v>
      </c>
      <c r="C141" s="41">
        <v>4790</v>
      </c>
      <c r="D141" s="41">
        <v>3916</v>
      </c>
      <c r="E141" s="41">
        <v>3315</v>
      </c>
      <c r="F141" s="41">
        <v>2791</v>
      </c>
      <c r="G141" s="41">
        <v>2696</v>
      </c>
      <c r="H141" s="41">
        <v>2057</v>
      </c>
      <c r="I141" s="41">
        <v>3008</v>
      </c>
      <c r="J141" s="41">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30">
        <v>0</v>
      </c>
      <c r="AF141">
        <v>0</v>
      </c>
    </row>
    <row r="142" spans="1:32" hidden="1">
      <c r="A142" s="41" t="s">
        <v>202</v>
      </c>
      <c r="B142" s="41">
        <v>0</v>
      </c>
      <c r="C142" s="41">
        <v>2098</v>
      </c>
      <c r="D142" s="41">
        <v>2243</v>
      </c>
      <c r="E142" s="41">
        <v>2036</v>
      </c>
      <c r="F142" s="41">
        <v>1818</v>
      </c>
      <c r="G142" s="41">
        <v>2072</v>
      </c>
      <c r="H142" s="41">
        <v>1235</v>
      </c>
      <c r="I142" s="41">
        <v>1323</v>
      </c>
      <c r="J142" s="41">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338</v>
      </c>
      <c r="AE142" s="30">
        <v>477</v>
      </c>
      <c r="AF142">
        <v>2478</v>
      </c>
    </row>
    <row r="143" spans="1:32" hidden="1">
      <c r="A143" s="41" t="s">
        <v>412</v>
      </c>
      <c r="B143" s="41">
        <v>762</v>
      </c>
      <c r="C143" s="41">
        <v>1141</v>
      </c>
      <c r="D143" s="41">
        <v>996</v>
      </c>
      <c r="E143" s="41">
        <v>2175</v>
      </c>
      <c r="F143" s="41">
        <v>1366</v>
      </c>
      <c r="G143" s="41">
        <v>2724</v>
      </c>
      <c r="H143" s="41">
        <v>1011</v>
      </c>
      <c r="I143" s="41">
        <v>1058</v>
      </c>
      <c r="J143" s="41">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9" t="s">
        <v>166</v>
      </c>
      <c r="AE143" s="30">
        <v>732</v>
      </c>
      <c r="AF143">
        <v>3414</v>
      </c>
    </row>
    <row r="144" spans="1:32" hidden="1">
      <c r="A144" s="41" t="s">
        <v>446</v>
      </c>
      <c r="B144" s="41">
        <v>1491</v>
      </c>
      <c r="C144" s="41">
        <v>1436</v>
      </c>
      <c r="D144" s="41">
        <v>1225</v>
      </c>
      <c r="E144" s="41">
        <v>1684</v>
      </c>
      <c r="F144" s="41">
        <v>1462</v>
      </c>
      <c r="G144" s="41">
        <v>1782</v>
      </c>
      <c r="H144" s="41">
        <v>1906</v>
      </c>
      <c r="I144" s="41">
        <v>1800</v>
      </c>
      <c r="J144" s="41">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200</v>
      </c>
      <c r="AE144" s="30">
        <v>807</v>
      </c>
      <c r="AF144">
        <v>3474</v>
      </c>
    </row>
    <row r="145" spans="1:32" hidden="1">
      <c r="A145" s="41" t="s">
        <v>905</v>
      </c>
      <c r="B145" s="41">
        <v>1434</v>
      </c>
      <c r="C145" s="41">
        <v>1037</v>
      </c>
      <c r="D145" s="41">
        <v>643</v>
      </c>
      <c r="E145" s="41">
        <v>560</v>
      </c>
      <c r="F145" s="41">
        <v>454</v>
      </c>
      <c r="G145" s="41">
        <v>513</v>
      </c>
      <c r="H145" s="41">
        <v>583</v>
      </c>
      <c r="I145" s="41">
        <v>404</v>
      </c>
      <c r="J145" s="41">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336</v>
      </c>
      <c r="AE145" s="30">
        <v>1176</v>
      </c>
      <c r="AF145">
        <v>4928</v>
      </c>
    </row>
    <row r="146" spans="1:32" hidden="1">
      <c r="A146" s="41" t="s">
        <v>939</v>
      </c>
      <c r="B146" s="41">
        <v>602</v>
      </c>
      <c r="C146" s="41">
        <v>454</v>
      </c>
      <c r="D146" s="41">
        <v>98</v>
      </c>
      <c r="E146" s="41">
        <v>417</v>
      </c>
      <c r="F146" s="41">
        <v>336</v>
      </c>
      <c r="G146" s="41">
        <v>285</v>
      </c>
      <c r="H146" s="41">
        <v>926</v>
      </c>
      <c r="I146" s="41">
        <v>289</v>
      </c>
      <c r="J146" s="41">
        <v>0</v>
      </c>
      <c r="K146">
        <v>4</v>
      </c>
      <c r="L146">
        <v>2</v>
      </c>
      <c r="M146">
        <v>0</v>
      </c>
      <c r="N146">
        <v>0</v>
      </c>
      <c r="O146">
        <v>175</v>
      </c>
      <c r="P146">
        <v>91</v>
      </c>
      <c r="Q146">
        <v>0</v>
      </c>
      <c r="R146">
        <v>160</v>
      </c>
      <c r="S146">
        <v>111</v>
      </c>
      <c r="T146">
        <v>111</v>
      </c>
      <c r="U146">
        <v>399</v>
      </c>
      <c r="V146">
        <v>61</v>
      </c>
      <c r="W146">
        <v>1</v>
      </c>
      <c r="X146">
        <v>2</v>
      </c>
      <c r="Y146">
        <v>1</v>
      </c>
      <c r="Z146">
        <v>0</v>
      </c>
      <c r="AA146">
        <v>0</v>
      </c>
      <c r="AD146" t="s">
        <v>300</v>
      </c>
      <c r="AE146" s="30">
        <v>485</v>
      </c>
      <c r="AF146">
        <v>1503</v>
      </c>
    </row>
    <row r="147" spans="1:32" hidden="1">
      <c r="A147" s="41" t="s">
        <v>1112</v>
      </c>
      <c r="B147" s="41">
        <v>511</v>
      </c>
      <c r="C147" s="41">
        <v>0</v>
      </c>
      <c r="D147" s="41">
        <v>0</v>
      </c>
      <c r="E147" s="41">
        <v>0</v>
      </c>
      <c r="F147" s="41">
        <v>0</v>
      </c>
      <c r="G147" s="41">
        <v>0</v>
      </c>
      <c r="H147" s="41">
        <v>0</v>
      </c>
      <c r="I147" s="41">
        <v>0</v>
      </c>
      <c r="J147" s="41">
        <v>107</v>
      </c>
      <c r="K147">
        <v>0</v>
      </c>
      <c r="L147">
        <v>127</v>
      </c>
      <c r="M147">
        <v>22</v>
      </c>
      <c r="N147">
        <v>51</v>
      </c>
      <c r="O147">
        <v>153</v>
      </c>
      <c r="P147">
        <v>0</v>
      </c>
      <c r="Q147">
        <v>0</v>
      </c>
      <c r="R147">
        <v>0</v>
      </c>
      <c r="S147">
        <v>0</v>
      </c>
      <c r="T147">
        <v>0</v>
      </c>
      <c r="U147">
        <v>0</v>
      </c>
      <c r="V147">
        <v>0</v>
      </c>
      <c r="W147">
        <v>21</v>
      </c>
      <c r="X147">
        <v>1</v>
      </c>
      <c r="Y147">
        <v>25</v>
      </c>
      <c r="Z147">
        <v>1</v>
      </c>
      <c r="AA147">
        <v>9</v>
      </c>
      <c r="AD147" t="s">
        <v>90</v>
      </c>
      <c r="AE147" s="30">
        <v>1603</v>
      </c>
      <c r="AF147">
        <v>5425</v>
      </c>
    </row>
    <row r="148" spans="1:32" hidden="1">
      <c r="A148" s="41" t="s">
        <v>1005</v>
      </c>
      <c r="B148" s="41">
        <v>446</v>
      </c>
      <c r="C148" s="41">
        <v>408</v>
      </c>
      <c r="D148" s="41">
        <v>328</v>
      </c>
      <c r="E148" s="41">
        <v>346</v>
      </c>
      <c r="F148" s="41">
        <v>332</v>
      </c>
      <c r="G148" s="41">
        <v>369</v>
      </c>
      <c r="H148" s="41">
        <v>428</v>
      </c>
      <c r="I148" s="41">
        <v>522</v>
      </c>
      <c r="J148" s="41">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122</v>
      </c>
      <c r="AE148" s="30">
        <v>5633</v>
      </c>
      <c r="AF148">
        <v>24131</v>
      </c>
    </row>
    <row r="149" spans="1:32" hidden="1">
      <c r="A149" s="41" t="s">
        <v>1007</v>
      </c>
      <c r="B149" s="41">
        <v>198</v>
      </c>
      <c r="C149" s="41">
        <v>149</v>
      </c>
      <c r="D149" s="41">
        <v>200</v>
      </c>
      <c r="E149" s="41">
        <v>244</v>
      </c>
      <c r="F149" s="41">
        <v>134</v>
      </c>
      <c r="G149" s="41">
        <v>153</v>
      </c>
      <c r="H149" s="41">
        <v>155</v>
      </c>
      <c r="I149" s="41">
        <v>204</v>
      </c>
      <c r="J149" s="41">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428</v>
      </c>
      <c r="AE149" s="30">
        <v>3162</v>
      </c>
      <c r="AF149">
        <v>14680</v>
      </c>
    </row>
    <row r="150" spans="1:32" hidden="1">
      <c r="A150" s="41" t="s">
        <v>767</v>
      </c>
      <c r="B150" s="41">
        <v>336</v>
      </c>
      <c r="C150" s="41">
        <v>468</v>
      </c>
      <c r="D150" s="41">
        <v>470</v>
      </c>
      <c r="E150" s="41">
        <v>532</v>
      </c>
      <c r="F150" s="41">
        <v>375</v>
      </c>
      <c r="G150" s="41">
        <v>397</v>
      </c>
      <c r="H150" s="41">
        <v>488</v>
      </c>
      <c r="I150" s="41">
        <v>590</v>
      </c>
      <c r="J150" s="41">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388</v>
      </c>
      <c r="AE150" s="30">
        <v>401</v>
      </c>
      <c r="AF150">
        <v>2749</v>
      </c>
    </row>
    <row r="151" spans="1:32" hidden="1">
      <c r="A151" s="41" t="s">
        <v>284</v>
      </c>
      <c r="B151" s="41">
        <v>0</v>
      </c>
      <c r="C151" s="41">
        <v>298</v>
      </c>
      <c r="D151" s="41">
        <v>1106</v>
      </c>
      <c r="E151" s="41">
        <v>743</v>
      </c>
      <c r="F151" s="41">
        <v>683</v>
      </c>
      <c r="G151" s="41">
        <v>854</v>
      </c>
      <c r="H151" s="41">
        <v>562</v>
      </c>
      <c r="I151" s="41">
        <v>553</v>
      </c>
      <c r="J151" s="41">
        <v>893</v>
      </c>
      <c r="K151">
        <v>3</v>
      </c>
      <c r="L151">
        <v>0</v>
      </c>
      <c r="M151">
        <v>0</v>
      </c>
      <c r="N151">
        <v>0</v>
      </c>
      <c r="O151">
        <v>0</v>
      </c>
      <c r="P151">
        <v>24</v>
      </c>
      <c r="Q151">
        <v>100</v>
      </c>
      <c r="R151">
        <v>73</v>
      </c>
      <c r="S151">
        <v>72</v>
      </c>
      <c r="T151">
        <v>110</v>
      </c>
      <c r="U151">
        <v>69</v>
      </c>
      <c r="V151">
        <v>65</v>
      </c>
      <c r="W151">
        <v>103</v>
      </c>
      <c r="X151">
        <v>2</v>
      </c>
      <c r="Y151">
        <v>0</v>
      </c>
      <c r="Z151">
        <v>0</v>
      </c>
      <c r="AA151">
        <v>0</v>
      </c>
      <c r="AD151" t="s">
        <v>238</v>
      </c>
      <c r="AE151" s="30">
        <v>1430</v>
      </c>
      <c r="AF151">
        <v>3218</v>
      </c>
    </row>
    <row r="152" spans="1:32" hidden="1">
      <c r="A152" s="41" t="s">
        <v>1034</v>
      </c>
      <c r="B152" s="41">
        <v>637</v>
      </c>
      <c r="C152" s="41">
        <v>380</v>
      </c>
      <c r="D152" s="41">
        <v>776</v>
      </c>
      <c r="E152" s="41">
        <v>625</v>
      </c>
      <c r="F152" s="41">
        <v>736</v>
      </c>
      <c r="G152" s="41">
        <v>1280</v>
      </c>
      <c r="H152" s="41">
        <v>1008</v>
      </c>
      <c r="I152" s="41">
        <v>646</v>
      </c>
      <c r="J152" s="41">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368</v>
      </c>
      <c r="AE152" s="30">
        <v>751</v>
      </c>
      <c r="AF152">
        <v>2346</v>
      </c>
    </row>
    <row r="153" spans="1:32" hidden="1">
      <c r="A153" s="41" t="s">
        <v>619</v>
      </c>
      <c r="B153" s="41">
        <v>260</v>
      </c>
      <c r="C153" s="41">
        <v>216</v>
      </c>
      <c r="D153" s="41">
        <v>283</v>
      </c>
      <c r="E153" s="41">
        <v>204</v>
      </c>
      <c r="F153" s="41">
        <v>165</v>
      </c>
      <c r="G153" s="41">
        <v>228</v>
      </c>
      <c r="H153" s="41">
        <v>208</v>
      </c>
      <c r="I153" s="41">
        <v>201</v>
      </c>
      <c r="J153" s="41">
        <v>173</v>
      </c>
      <c r="K153">
        <v>160</v>
      </c>
      <c r="L153">
        <v>141</v>
      </c>
      <c r="M153">
        <v>148</v>
      </c>
      <c r="N153">
        <v>0</v>
      </c>
      <c r="O153">
        <v>88</v>
      </c>
      <c r="P153">
        <v>71</v>
      </c>
      <c r="Q153">
        <v>60</v>
      </c>
      <c r="R153">
        <v>72</v>
      </c>
      <c r="S153">
        <v>73</v>
      </c>
      <c r="T153">
        <v>84</v>
      </c>
      <c r="U153">
        <v>68</v>
      </c>
      <c r="V153">
        <v>81</v>
      </c>
      <c r="W153">
        <v>89</v>
      </c>
      <c r="X153">
        <v>56</v>
      </c>
      <c r="Y153">
        <v>72</v>
      </c>
      <c r="Z153">
        <v>63</v>
      </c>
      <c r="AA153">
        <v>0</v>
      </c>
      <c r="AD153" t="s">
        <v>308</v>
      </c>
      <c r="AE153" s="30">
        <v>696</v>
      </c>
      <c r="AF153">
        <v>1647</v>
      </c>
    </row>
    <row r="154" spans="1:32" hidden="1">
      <c r="A154" s="41" t="s">
        <v>631</v>
      </c>
      <c r="B154" s="41">
        <v>404</v>
      </c>
      <c r="C154" s="41">
        <v>496</v>
      </c>
      <c r="D154" s="41">
        <v>401</v>
      </c>
      <c r="E154" s="41">
        <v>381</v>
      </c>
      <c r="F154" s="41">
        <v>413</v>
      </c>
      <c r="G154" s="41">
        <v>334</v>
      </c>
      <c r="H154" s="41">
        <v>330</v>
      </c>
      <c r="I154" s="41">
        <v>340</v>
      </c>
      <c r="J154" s="41">
        <v>279</v>
      </c>
      <c r="K154">
        <v>18</v>
      </c>
      <c r="L154">
        <v>0</v>
      </c>
      <c r="M154">
        <v>3</v>
      </c>
      <c r="N154">
        <v>0</v>
      </c>
      <c r="O154">
        <v>111</v>
      </c>
      <c r="P154">
        <v>203</v>
      </c>
      <c r="Q154">
        <v>114</v>
      </c>
      <c r="R154">
        <v>201</v>
      </c>
      <c r="S154">
        <v>108</v>
      </c>
      <c r="T154">
        <v>98</v>
      </c>
      <c r="U154">
        <v>89</v>
      </c>
      <c r="V154">
        <v>101</v>
      </c>
      <c r="W154">
        <v>118</v>
      </c>
      <c r="X154">
        <v>6</v>
      </c>
      <c r="Y154">
        <v>0</v>
      </c>
      <c r="Z154">
        <v>0</v>
      </c>
      <c r="AA154">
        <v>0</v>
      </c>
      <c r="AD154" t="s">
        <v>356</v>
      </c>
      <c r="AE154" s="30">
        <v>1272</v>
      </c>
      <c r="AF154">
        <v>3593</v>
      </c>
    </row>
    <row r="155" spans="1:32" hidden="1">
      <c r="A155" s="41" t="s">
        <v>787</v>
      </c>
      <c r="B155" s="41">
        <v>1239</v>
      </c>
      <c r="C155" s="41">
        <v>1315</v>
      </c>
      <c r="D155" s="41">
        <v>1112</v>
      </c>
      <c r="E155" s="41">
        <v>1316</v>
      </c>
      <c r="F155" s="41">
        <v>1188</v>
      </c>
      <c r="G155" s="41">
        <v>1019</v>
      </c>
      <c r="H155" s="41">
        <v>1042</v>
      </c>
      <c r="I155" s="41">
        <v>1211</v>
      </c>
      <c r="J155" s="41">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9" t="s">
        <v>92</v>
      </c>
      <c r="AE155" s="30">
        <v>924</v>
      </c>
      <c r="AF155">
        <v>5069</v>
      </c>
    </row>
    <row r="156" spans="1:32" hidden="1">
      <c r="A156" s="41" t="s">
        <v>1001</v>
      </c>
      <c r="B156" s="41">
        <v>0</v>
      </c>
      <c r="C156" s="41">
        <v>334</v>
      </c>
      <c r="D156" s="41">
        <v>746</v>
      </c>
      <c r="E156" s="41">
        <v>755</v>
      </c>
      <c r="F156" s="41">
        <v>764</v>
      </c>
      <c r="G156" s="41">
        <v>776</v>
      </c>
      <c r="H156" s="41">
        <v>736</v>
      </c>
      <c r="I156" s="41">
        <v>863</v>
      </c>
      <c r="J156" s="41">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282</v>
      </c>
      <c r="AE156" s="30">
        <v>3</v>
      </c>
      <c r="AF156">
        <v>134</v>
      </c>
    </row>
    <row r="157" spans="1:32" hidden="1">
      <c r="A157" s="41" t="s">
        <v>920</v>
      </c>
      <c r="B157" s="41">
        <v>715</v>
      </c>
      <c r="C157" s="41">
        <v>979</v>
      </c>
      <c r="D157" s="41">
        <v>854</v>
      </c>
      <c r="E157" s="41">
        <v>785</v>
      </c>
      <c r="F157" s="41">
        <v>626</v>
      </c>
      <c r="G157" s="41">
        <v>719</v>
      </c>
      <c r="H157" s="41">
        <v>373</v>
      </c>
      <c r="I157" s="41">
        <v>642</v>
      </c>
      <c r="J157" s="41">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150</v>
      </c>
      <c r="AE157" s="30">
        <v>654</v>
      </c>
      <c r="AF157">
        <v>2670</v>
      </c>
    </row>
    <row r="158" spans="1:32" hidden="1">
      <c r="A158" s="41" t="s">
        <v>1011</v>
      </c>
      <c r="B158" s="41">
        <v>1369</v>
      </c>
      <c r="C158" s="41">
        <v>297</v>
      </c>
      <c r="D158" s="41">
        <v>0</v>
      </c>
      <c r="E158" s="41">
        <v>848</v>
      </c>
      <c r="F158" s="41">
        <v>772</v>
      </c>
      <c r="G158" s="41">
        <v>797</v>
      </c>
      <c r="H158" s="41">
        <v>491</v>
      </c>
      <c r="I158" s="41">
        <v>684</v>
      </c>
      <c r="J158" s="41">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274</v>
      </c>
      <c r="AE158" s="30">
        <v>272</v>
      </c>
      <c r="AF158">
        <v>858</v>
      </c>
    </row>
    <row r="159" spans="1:32" hidden="1">
      <c r="A159" s="41" t="s">
        <v>907</v>
      </c>
      <c r="B159" s="41">
        <v>819</v>
      </c>
      <c r="C159" s="41">
        <v>1055</v>
      </c>
      <c r="D159" s="41">
        <v>723</v>
      </c>
      <c r="E159" s="41">
        <v>644</v>
      </c>
      <c r="F159" s="41">
        <v>477</v>
      </c>
      <c r="G159" s="41">
        <v>469</v>
      </c>
      <c r="H159" s="41">
        <v>483</v>
      </c>
      <c r="I159" s="41">
        <v>630</v>
      </c>
      <c r="J159" s="41">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272</v>
      </c>
      <c r="AE159" s="30">
        <v>8</v>
      </c>
      <c r="AF159">
        <v>68</v>
      </c>
    </row>
    <row r="160" spans="1:32" hidden="1">
      <c r="A160" s="41" t="s">
        <v>853</v>
      </c>
      <c r="B160" s="41">
        <v>2153</v>
      </c>
      <c r="C160" s="41">
        <v>2493</v>
      </c>
      <c r="D160" s="41">
        <v>2220</v>
      </c>
      <c r="E160" s="41">
        <v>2376</v>
      </c>
      <c r="F160" s="41">
        <v>1752</v>
      </c>
      <c r="G160" s="41">
        <v>1787</v>
      </c>
      <c r="H160" s="41">
        <v>1888</v>
      </c>
      <c r="I160" s="41">
        <v>2022</v>
      </c>
      <c r="J160" s="41">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390</v>
      </c>
      <c r="AE160" s="30">
        <v>460</v>
      </c>
      <c r="AF160">
        <v>2947</v>
      </c>
    </row>
    <row r="161" spans="1:32" hidden="1">
      <c r="A161" s="41" t="s">
        <v>977</v>
      </c>
      <c r="B161" s="41">
        <v>0</v>
      </c>
      <c r="C161" s="41">
        <v>0</v>
      </c>
      <c r="D161" s="41">
        <v>0</v>
      </c>
      <c r="E161" s="41">
        <v>36</v>
      </c>
      <c r="F161" s="41">
        <v>172</v>
      </c>
      <c r="G161" s="41">
        <v>179</v>
      </c>
      <c r="H161" s="41">
        <v>394</v>
      </c>
      <c r="I161" s="41">
        <v>608</v>
      </c>
      <c r="J161" s="41">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312</v>
      </c>
      <c r="AE161" s="30">
        <v>1605</v>
      </c>
      <c r="AF161">
        <v>4839</v>
      </c>
    </row>
    <row r="162" spans="1:32" hidden="1">
      <c r="A162" s="41" t="s">
        <v>527</v>
      </c>
      <c r="B162" s="41">
        <v>558</v>
      </c>
      <c r="C162" s="41">
        <v>624</v>
      </c>
      <c r="D162" s="41">
        <v>980</v>
      </c>
      <c r="E162" s="41">
        <v>460</v>
      </c>
      <c r="F162" s="41">
        <v>324</v>
      </c>
      <c r="G162" s="41">
        <v>407</v>
      </c>
      <c r="H162" s="41">
        <v>537</v>
      </c>
      <c r="I162" s="41">
        <v>403</v>
      </c>
      <c r="J162" s="41">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340</v>
      </c>
      <c r="AE162" s="30">
        <v>906</v>
      </c>
      <c r="AF162">
        <v>2927</v>
      </c>
    </row>
    <row r="163" spans="1:32" hidden="1">
      <c r="A163" s="41" t="s">
        <v>746</v>
      </c>
      <c r="B163" s="41">
        <v>424</v>
      </c>
      <c r="C163" s="41">
        <v>475</v>
      </c>
      <c r="D163" s="41">
        <v>420</v>
      </c>
      <c r="E163" s="41">
        <v>447</v>
      </c>
      <c r="F163" s="41">
        <v>461</v>
      </c>
      <c r="G163" s="41">
        <v>434</v>
      </c>
      <c r="H163" s="41">
        <v>476</v>
      </c>
      <c r="I163" s="41">
        <v>441</v>
      </c>
      <c r="J163" s="41">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294</v>
      </c>
      <c r="AE163" s="30">
        <v>2</v>
      </c>
      <c r="AF163">
        <v>10</v>
      </c>
    </row>
    <row r="164" spans="1:32" hidden="1">
      <c r="A164" s="41" t="s">
        <v>857</v>
      </c>
      <c r="B164" s="41">
        <v>3418</v>
      </c>
      <c r="C164" s="41">
        <v>372</v>
      </c>
      <c r="D164" s="41">
        <v>1874</v>
      </c>
      <c r="E164" s="41">
        <v>2165</v>
      </c>
      <c r="F164" s="41">
        <v>1222</v>
      </c>
      <c r="G164" s="41">
        <v>918</v>
      </c>
      <c r="H164" s="41">
        <v>2617</v>
      </c>
      <c r="I164" s="41">
        <v>1522</v>
      </c>
      <c r="J164" s="41">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232</v>
      </c>
      <c r="AE164" s="30">
        <v>910</v>
      </c>
      <c r="AF164">
        <v>2491</v>
      </c>
    </row>
    <row r="165" spans="1:32" hidden="1">
      <c r="A165" s="41" t="s">
        <v>959</v>
      </c>
      <c r="B165" s="41">
        <v>985</v>
      </c>
      <c r="C165" s="41">
        <v>847</v>
      </c>
      <c r="D165" s="41">
        <v>817</v>
      </c>
      <c r="E165" s="41">
        <v>688</v>
      </c>
      <c r="F165" s="41">
        <v>499</v>
      </c>
      <c r="G165" s="41">
        <v>442</v>
      </c>
      <c r="H165" s="41">
        <v>445</v>
      </c>
      <c r="I165" s="41">
        <v>515</v>
      </c>
      <c r="J165" s="41">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188</v>
      </c>
      <c r="AE165" s="30">
        <v>2224</v>
      </c>
      <c r="AF165">
        <v>6292</v>
      </c>
    </row>
    <row r="166" spans="1:32" hidden="1">
      <c r="A166" s="41" t="s">
        <v>559</v>
      </c>
      <c r="B166" s="41">
        <v>2497</v>
      </c>
      <c r="C166" s="41">
        <v>1850</v>
      </c>
      <c r="D166" s="41">
        <v>1991</v>
      </c>
      <c r="E166" s="41">
        <v>2772</v>
      </c>
      <c r="F166" s="41">
        <v>2176</v>
      </c>
      <c r="G166" s="41">
        <v>1501</v>
      </c>
      <c r="H166" s="41">
        <v>1366</v>
      </c>
      <c r="I166" s="41">
        <v>1596</v>
      </c>
      <c r="J166" s="41">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206</v>
      </c>
      <c r="AE166" s="30">
        <v>739</v>
      </c>
      <c r="AF166">
        <v>3285</v>
      </c>
    </row>
    <row r="167" spans="1:32" hidden="1">
      <c r="A167" s="41" t="s">
        <v>152</v>
      </c>
      <c r="B167" s="41">
        <v>1688</v>
      </c>
      <c r="C167" s="41">
        <v>1053</v>
      </c>
      <c r="D167" s="41">
        <v>946</v>
      </c>
      <c r="E167" s="41">
        <v>928</v>
      </c>
      <c r="F167" s="41">
        <v>934</v>
      </c>
      <c r="G167" s="41">
        <v>895</v>
      </c>
      <c r="H167" s="41">
        <v>975</v>
      </c>
      <c r="I167" s="41">
        <v>944</v>
      </c>
      <c r="J167" s="41">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392</v>
      </c>
      <c r="AE167" s="30">
        <v>189</v>
      </c>
      <c r="AF167">
        <v>685</v>
      </c>
    </row>
    <row r="168" spans="1:32" hidden="1">
      <c r="A168" s="41" t="s">
        <v>498</v>
      </c>
      <c r="B168" s="41">
        <v>7650</v>
      </c>
      <c r="C168" s="41">
        <v>13806</v>
      </c>
      <c r="D168" s="41">
        <v>6603</v>
      </c>
      <c r="E168" s="41">
        <v>5324</v>
      </c>
      <c r="F168" s="41">
        <v>5917</v>
      </c>
      <c r="G168" s="41">
        <v>5980</v>
      </c>
      <c r="H168" s="41">
        <v>3818</v>
      </c>
      <c r="I168" s="41">
        <v>7142</v>
      </c>
      <c r="J168" s="41">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400</v>
      </c>
      <c r="AE168" s="30">
        <v>131</v>
      </c>
      <c r="AF168">
        <v>710</v>
      </c>
    </row>
    <row r="169" spans="1:32" hidden="1">
      <c r="A169" s="41" t="s">
        <v>684</v>
      </c>
      <c r="B169" s="41">
        <v>670</v>
      </c>
      <c r="C169" s="41">
        <v>116</v>
      </c>
      <c r="D169" s="41">
        <v>398</v>
      </c>
      <c r="E169" s="41">
        <v>445</v>
      </c>
      <c r="F169" s="41">
        <v>359</v>
      </c>
      <c r="G169" s="41">
        <v>355</v>
      </c>
      <c r="H169" s="41">
        <v>239</v>
      </c>
      <c r="I169" s="41">
        <v>322</v>
      </c>
      <c r="J169" s="41">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268</v>
      </c>
      <c r="AE169" s="31">
        <v>241</v>
      </c>
      <c r="AF169">
        <v>1588</v>
      </c>
    </row>
    <row r="170" spans="1:32" hidden="1">
      <c r="A170" s="41" t="s">
        <v>214</v>
      </c>
      <c r="B170" s="41">
        <v>416</v>
      </c>
      <c r="C170" s="41">
        <v>1739</v>
      </c>
      <c r="D170" s="41">
        <v>1284</v>
      </c>
      <c r="E170" s="41">
        <v>1175</v>
      </c>
      <c r="F170" s="41">
        <v>1221</v>
      </c>
      <c r="G170" s="41">
        <v>1495</v>
      </c>
      <c r="H170" s="41">
        <v>657</v>
      </c>
      <c r="I170" s="41">
        <v>1287</v>
      </c>
      <c r="J170" s="41">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406</v>
      </c>
      <c r="AE170" s="30">
        <v>2823</v>
      </c>
      <c r="AF170">
        <v>12738</v>
      </c>
    </row>
    <row r="171" spans="1:32" hidden="1">
      <c r="A171" s="41" t="s">
        <v>1030</v>
      </c>
      <c r="B171" s="41">
        <v>0</v>
      </c>
      <c r="C171" s="41">
        <v>0</v>
      </c>
      <c r="D171" s="41">
        <v>0</v>
      </c>
      <c r="E171" s="41">
        <v>0</v>
      </c>
      <c r="F171" s="41">
        <v>0</v>
      </c>
      <c r="G171" s="41">
        <v>144</v>
      </c>
      <c r="H171" s="41">
        <v>2461</v>
      </c>
      <c r="I171" s="41">
        <v>2491</v>
      </c>
      <c r="J171" s="41">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324</v>
      </c>
      <c r="AE171" s="30">
        <v>1428</v>
      </c>
      <c r="AF171">
        <v>3763</v>
      </c>
    </row>
    <row r="172" spans="1:32" hidden="1">
      <c r="A172" s="41" t="s">
        <v>68</v>
      </c>
      <c r="B172" s="41">
        <v>4005</v>
      </c>
      <c r="C172" s="41">
        <v>3935</v>
      </c>
      <c r="D172" s="41">
        <v>4402</v>
      </c>
      <c r="E172" s="41">
        <v>4192</v>
      </c>
      <c r="F172" s="41">
        <v>3156</v>
      </c>
      <c r="G172" s="41">
        <v>3022</v>
      </c>
      <c r="H172" s="41">
        <v>3527</v>
      </c>
      <c r="I172" s="41">
        <v>3401</v>
      </c>
      <c r="J172" s="41">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210</v>
      </c>
      <c r="AE172" s="30">
        <v>623</v>
      </c>
      <c r="AF172">
        <v>2903</v>
      </c>
    </row>
    <row r="173" spans="1:32" hidden="1">
      <c r="A173" s="41" t="s">
        <v>985</v>
      </c>
      <c r="B173" s="41">
        <v>1177</v>
      </c>
      <c r="C173" s="41">
        <v>669</v>
      </c>
      <c r="D173" s="41">
        <v>478</v>
      </c>
      <c r="E173" s="41">
        <v>414</v>
      </c>
      <c r="F173" s="41">
        <v>676</v>
      </c>
      <c r="G173" s="41">
        <v>792</v>
      </c>
      <c r="H173" s="41">
        <v>567</v>
      </c>
      <c r="I173" s="41">
        <v>1795</v>
      </c>
      <c r="J173" s="41">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358</v>
      </c>
      <c r="AE173" s="30">
        <v>787</v>
      </c>
      <c r="AF173">
        <v>2041</v>
      </c>
    </row>
    <row r="174" spans="1:32" hidden="1">
      <c r="A174" s="41" t="s">
        <v>1003</v>
      </c>
      <c r="B174" s="41">
        <v>420</v>
      </c>
      <c r="C174" s="41">
        <v>905</v>
      </c>
      <c r="D174" s="41">
        <v>0</v>
      </c>
      <c r="E174" s="41">
        <v>0</v>
      </c>
      <c r="F174" s="41">
        <v>243</v>
      </c>
      <c r="G174" s="41">
        <v>230</v>
      </c>
      <c r="H174" s="41">
        <v>245</v>
      </c>
      <c r="I174" s="41">
        <v>313</v>
      </c>
      <c r="J174" s="41">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276</v>
      </c>
      <c r="AE174" s="30">
        <v>626</v>
      </c>
      <c r="AF174">
        <v>2805</v>
      </c>
    </row>
    <row r="175" spans="1:32" hidden="1">
      <c r="A175" s="41" t="s">
        <v>182</v>
      </c>
      <c r="B175" s="41">
        <v>1339</v>
      </c>
      <c r="C175" s="41">
        <v>1142</v>
      </c>
      <c r="D175" s="41">
        <v>1084</v>
      </c>
      <c r="E175" s="41">
        <v>933</v>
      </c>
      <c r="F175" s="41">
        <v>792</v>
      </c>
      <c r="G175" s="41">
        <v>1046</v>
      </c>
      <c r="H175" s="41">
        <v>1128</v>
      </c>
      <c r="I175" s="41">
        <v>1509</v>
      </c>
      <c r="J175" s="41">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418</v>
      </c>
      <c r="AE175" s="30">
        <v>685</v>
      </c>
      <c r="AF175">
        <v>3289</v>
      </c>
    </row>
    <row r="176" spans="1:32" hidden="1">
      <c r="A176" s="41" t="s">
        <v>708</v>
      </c>
      <c r="B176" s="41">
        <v>265</v>
      </c>
      <c r="C176" s="41">
        <v>246</v>
      </c>
      <c r="D176" s="41">
        <v>232</v>
      </c>
      <c r="E176" s="41">
        <v>236</v>
      </c>
      <c r="F176" s="41">
        <v>206</v>
      </c>
      <c r="G176" s="41">
        <v>182</v>
      </c>
      <c r="H176" s="41">
        <v>226</v>
      </c>
      <c r="I176" s="41">
        <v>213</v>
      </c>
      <c r="J176" s="41">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326</v>
      </c>
      <c r="AE176" s="30">
        <v>1328</v>
      </c>
      <c r="AF176">
        <v>4299</v>
      </c>
    </row>
    <row r="177" spans="1:32" hidden="1">
      <c r="A177" s="41" t="s">
        <v>755</v>
      </c>
      <c r="B177" s="41">
        <v>2923</v>
      </c>
      <c r="C177" s="41">
        <v>1362</v>
      </c>
      <c r="D177" s="41">
        <v>2460</v>
      </c>
      <c r="E177" s="41">
        <v>3056</v>
      </c>
      <c r="F177" s="41">
        <v>2721</v>
      </c>
      <c r="G177" s="41">
        <v>1512</v>
      </c>
      <c r="H177" s="41">
        <v>1170</v>
      </c>
      <c r="I177" s="41">
        <v>1378</v>
      </c>
      <c r="J177" s="41">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9" t="s">
        <v>402</v>
      </c>
      <c r="AE177" s="30">
        <v>668</v>
      </c>
      <c r="AF177">
        <v>7767</v>
      </c>
    </row>
    <row r="178" spans="1:32" hidden="1">
      <c r="A178" s="41" t="s">
        <v>70</v>
      </c>
      <c r="B178" s="41">
        <v>6001</v>
      </c>
      <c r="C178" s="41">
        <v>12082</v>
      </c>
      <c r="D178" s="41">
        <v>8755</v>
      </c>
      <c r="E178" s="41">
        <v>13184</v>
      </c>
      <c r="F178" s="41">
        <v>12988</v>
      </c>
      <c r="G178" s="41">
        <v>6562</v>
      </c>
      <c r="H178" s="41">
        <v>7094</v>
      </c>
      <c r="I178" s="41">
        <v>7373</v>
      </c>
      <c r="J178" s="41">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328</v>
      </c>
      <c r="AE178" s="30">
        <v>1208</v>
      </c>
      <c r="AF178">
        <v>4295</v>
      </c>
    </row>
    <row r="179" spans="1:32" hidden="1">
      <c r="A179" s="41" t="s">
        <v>454</v>
      </c>
      <c r="B179" s="41">
        <v>4791</v>
      </c>
      <c r="C179" s="41">
        <v>7626</v>
      </c>
      <c r="D179" s="41">
        <v>2539</v>
      </c>
      <c r="E179" s="41">
        <v>3770</v>
      </c>
      <c r="F179" s="41">
        <v>2839</v>
      </c>
      <c r="G179" s="41">
        <v>2086</v>
      </c>
      <c r="H179" s="41">
        <v>1005</v>
      </c>
      <c r="I179" s="41">
        <v>1990</v>
      </c>
      <c r="J179" s="41">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148</v>
      </c>
      <c r="AE179" s="30">
        <v>1509</v>
      </c>
      <c r="AF179">
        <v>9133</v>
      </c>
    </row>
    <row r="180" spans="1:32" hidden="1">
      <c r="A180" s="41" t="s">
        <v>999</v>
      </c>
      <c r="B180" s="41">
        <v>0</v>
      </c>
      <c r="C180" s="41">
        <v>0</v>
      </c>
      <c r="D180" s="41">
        <v>0</v>
      </c>
      <c r="E180" s="41">
        <v>0</v>
      </c>
      <c r="F180" s="41">
        <v>0</v>
      </c>
      <c r="G180" s="41">
        <v>15</v>
      </c>
      <c r="H180" s="41">
        <v>156</v>
      </c>
      <c r="I180" s="41">
        <v>386</v>
      </c>
      <c r="J180" s="41">
        <v>397</v>
      </c>
      <c r="K180">
        <v>168</v>
      </c>
      <c r="L180">
        <v>292</v>
      </c>
      <c r="M180">
        <v>335</v>
      </c>
      <c r="N180">
        <v>522</v>
      </c>
      <c r="O180">
        <v>0</v>
      </c>
      <c r="P180">
        <v>0</v>
      </c>
      <c r="Q180">
        <v>0</v>
      </c>
      <c r="R180">
        <v>0</v>
      </c>
      <c r="S180">
        <v>0</v>
      </c>
      <c r="T180">
        <v>0</v>
      </c>
      <c r="U180">
        <v>14</v>
      </c>
      <c r="V180">
        <v>3</v>
      </c>
      <c r="W180">
        <v>44</v>
      </c>
      <c r="X180">
        <v>18</v>
      </c>
      <c r="Y180">
        <v>37</v>
      </c>
      <c r="Z180">
        <v>29</v>
      </c>
      <c r="AA180">
        <v>77</v>
      </c>
      <c r="AD180" t="s">
        <v>60</v>
      </c>
      <c r="AE180" s="30">
        <v>3022</v>
      </c>
      <c r="AF180">
        <v>9157</v>
      </c>
    </row>
    <row r="181" spans="1:32" hidden="1">
      <c r="A181" s="41" t="s">
        <v>761</v>
      </c>
      <c r="B181" s="41">
        <v>2331</v>
      </c>
      <c r="C181" s="41">
        <v>2258</v>
      </c>
      <c r="D181" s="41">
        <v>2009</v>
      </c>
      <c r="E181" s="41">
        <v>1233</v>
      </c>
      <c r="F181" s="41">
        <v>987</v>
      </c>
      <c r="G181" s="41">
        <v>1447</v>
      </c>
      <c r="H181" s="41">
        <v>3227</v>
      </c>
      <c r="I181" s="41">
        <v>1849</v>
      </c>
      <c r="J181" s="41">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346</v>
      </c>
      <c r="AE181" s="30">
        <v>1145</v>
      </c>
      <c r="AF181">
        <v>4679</v>
      </c>
    </row>
    <row r="182" spans="1:32" hidden="1">
      <c r="A182" s="41" t="s">
        <v>30</v>
      </c>
      <c r="B182" s="41">
        <v>6166</v>
      </c>
      <c r="C182" s="41">
        <v>18443</v>
      </c>
      <c r="D182" s="41">
        <v>18111</v>
      </c>
      <c r="E182" s="41">
        <v>43927</v>
      </c>
      <c r="F182" s="41">
        <v>45214</v>
      </c>
      <c r="G182" s="41">
        <v>42221</v>
      </c>
      <c r="H182" s="41">
        <v>32418</v>
      </c>
      <c r="I182" s="41">
        <v>43067</v>
      </c>
      <c r="J182" s="41">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384</v>
      </c>
      <c r="AE182" s="30">
        <v>1394</v>
      </c>
      <c r="AF182">
        <v>5524</v>
      </c>
    </row>
    <row r="183" spans="1:32" hidden="1">
      <c r="A183" s="41" t="s">
        <v>531</v>
      </c>
      <c r="B183" s="41">
        <v>2775</v>
      </c>
      <c r="C183" s="41">
        <v>5453</v>
      </c>
      <c r="D183" s="41">
        <v>3575</v>
      </c>
      <c r="E183" s="41">
        <v>939</v>
      </c>
      <c r="F183" s="41">
        <v>1665</v>
      </c>
      <c r="G183" s="41">
        <v>1015</v>
      </c>
      <c r="H183" s="41">
        <v>1447</v>
      </c>
      <c r="I183" s="41">
        <v>1250</v>
      </c>
      <c r="J183" s="41">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484</v>
      </c>
      <c r="AE183" s="30">
        <v>33472</v>
      </c>
      <c r="AF183">
        <v>138011</v>
      </c>
    </row>
    <row r="184" spans="1:32" hidden="1">
      <c r="A184" s="41" t="s">
        <v>991</v>
      </c>
      <c r="B184" s="41">
        <v>772</v>
      </c>
      <c r="C184" s="41">
        <v>752</v>
      </c>
      <c r="D184" s="41">
        <v>882</v>
      </c>
      <c r="E184" s="41">
        <v>751</v>
      </c>
      <c r="F184" s="41">
        <v>516</v>
      </c>
      <c r="G184" s="41">
        <v>729</v>
      </c>
      <c r="H184" s="41">
        <v>560</v>
      </c>
      <c r="I184" s="41">
        <v>630</v>
      </c>
      <c r="J184" s="41">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410</v>
      </c>
      <c r="AE184" s="30">
        <v>1079</v>
      </c>
      <c r="AF184">
        <v>6617</v>
      </c>
    </row>
    <row r="185" spans="1:32" hidden="1">
      <c r="A185" s="41" t="s">
        <v>821</v>
      </c>
      <c r="B185" s="41">
        <v>3362</v>
      </c>
      <c r="C185" s="41">
        <v>5362</v>
      </c>
      <c r="D185" s="41">
        <v>4587</v>
      </c>
      <c r="E185" s="41">
        <v>3398</v>
      </c>
      <c r="F185" s="41">
        <v>2881</v>
      </c>
      <c r="G185" s="41">
        <v>3856</v>
      </c>
      <c r="H185" s="41">
        <v>4317</v>
      </c>
      <c r="I185" s="41">
        <v>3115</v>
      </c>
      <c r="J185" s="41">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9" t="s">
        <v>168</v>
      </c>
      <c r="AE185" s="31">
        <v>1417</v>
      </c>
      <c r="AF185">
        <v>8552</v>
      </c>
    </row>
    <row r="186" spans="1:32" hidden="1">
      <c r="A186" s="41" t="s">
        <v>876</v>
      </c>
      <c r="B186" s="41">
        <v>490</v>
      </c>
      <c r="C186" s="41">
        <v>818</v>
      </c>
      <c r="D186" s="41">
        <v>604</v>
      </c>
      <c r="E186" s="41">
        <v>782</v>
      </c>
      <c r="F186" s="41">
        <v>746</v>
      </c>
      <c r="G186" s="41">
        <v>684</v>
      </c>
      <c r="H186" s="41">
        <v>1002</v>
      </c>
      <c r="I186" s="41">
        <v>1213</v>
      </c>
      <c r="J186" s="41">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314</v>
      </c>
      <c r="AE186" s="30">
        <v>834</v>
      </c>
      <c r="AF186">
        <v>3151</v>
      </c>
    </row>
    <row r="187" spans="1:32" hidden="1">
      <c r="A187" s="41" t="s">
        <v>750</v>
      </c>
      <c r="B187" s="41">
        <v>0</v>
      </c>
      <c r="C187" s="41">
        <v>0</v>
      </c>
      <c r="D187" s="41">
        <v>0</v>
      </c>
      <c r="E187" s="41">
        <v>0</v>
      </c>
      <c r="F187" s="41">
        <v>0</v>
      </c>
      <c r="G187" s="41">
        <v>0</v>
      </c>
      <c r="H187" s="41">
        <v>0</v>
      </c>
      <c r="I187" s="41">
        <v>1279</v>
      </c>
      <c r="J187" s="41">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398</v>
      </c>
      <c r="AE187" s="30">
        <v>1625</v>
      </c>
      <c r="AF187">
        <v>5322</v>
      </c>
    </row>
    <row r="188" spans="1:32" hidden="1">
      <c r="A188" s="41" t="s">
        <v>536</v>
      </c>
      <c r="B188" s="41">
        <v>803</v>
      </c>
      <c r="C188" s="41">
        <v>744</v>
      </c>
      <c r="D188" s="41">
        <v>538</v>
      </c>
      <c r="E188" s="41">
        <v>968</v>
      </c>
      <c r="F188" s="41">
        <v>1086</v>
      </c>
      <c r="G188" s="41">
        <v>1251</v>
      </c>
      <c r="H188" s="41">
        <v>1003</v>
      </c>
      <c r="I188" s="41">
        <v>1410</v>
      </c>
      <c r="J188" s="41">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404</v>
      </c>
      <c r="AE188" s="30">
        <v>1102</v>
      </c>
      <c r="AF188">
        <v>5414</v>
      </c>
    </row>
    <row r="189" spans="1:32" hidden="1">
      <c r="A189" s="41" t="s">
        <v>834</v>
      </c>
      <c r="B189" s="41">
        <v>8044</v>
      </c>
      <c r="C189" s="41">
        <v>7125</v>
      </c>
      <c r="D189" s="41">
        <v>5755</v>
      </c>
      <c r="E189" s="41">
        <v>6160</v>
      </c>
      <c r="F189" s="41">
        <v>5552</v>
      </c>
      <c r="G189" s="41">
        <v>5251</v>
      </c>
      <c r="H189" s="41">
        <v>4817</v>
      </c>
      <c r="I189" s="41">
        <v>5169</v>
      </c>
      <c r="J189" s="41">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426</v>
      </c>
      <c r="AE189" s="30">
        <v>2369</v>
      </c>
      <c r="AF189">
        <v>7209</v>
      </c>
    </row>
    <row r="190" spans="1:32" hidden="1">
      <c r="A190" s="41" t="s">
        <v>1042</v>
      </c>
      <c r="B190" s="41">
        <v>1959</v>
      </c>
      <c r="C190" s="41">
        <v>1940</v>
      </c>
      <c r="D190" s="41">
        <v>1506</v>
      </c>
      <c r="E190" s="41">
        <v>1606</v>
      </c>
      <c r="F190" s="41">
        <v>1689</v>
      </c>
      <c r="G190" s="41">
        <v>1668</v>
      </c>
      <c r="H190" s="41">
        <v>1723</v>
      </c>
      <c r="I190" s="41">
        <v>3158</v>
      </c>
      <c r="J190" s="41">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394</v>
      </c>
      <c r="AE190" s="30">
        <v>399</v>
      </c>
      <c r="AF190">
        <v>1384</v>
      </c>
    </row>
    <row r="191" spans="1:32" hidden="1">
      <c r="A191" s="41" t="s">
        <v>874</v>
      </c>
      <c r="B191" s="41">
        <v>0</v>
      </c>
      <c r="C191" s="41">
        <v>0</v>
      </c>
      <c r="D191" s="41">
        <v>0</v>
      </c>
      <c r="E191" s="41">
        <v>0</v>
      </c>
      <c r="F191" s="41">
        <v>0</v>
      </c>
      <c r="G191" s="41">
        <v>0</v>
      </c>
      <c r="H191" s="41">
        <v>0</v>
      </c>
      <c r="I191" s="41">
        <v>0</v>
      </c>
      <c r="J191" s="41">
        <v>638</v>
      </c>
      <c r="K191">
        <v>1403</v>
      </c>
      <c r="L191">
        <v>422</v>
      </c>
      <c r="M191">
        <v>727</v>
      </c>
      <c r="N191">
        <v>698</v>
      </c>
      <c r="O191">
        <v>0</v>
      </c>
      <c r="P191">
        <v>0</v>
      </c>
      <c r="Q191">
        <v>0</v>
      </c>
      <c r="R191">
        <v>0</v>
      </c>
      <c r="S191">
        <v>0</v>
      </c>
      <c r="T191">
        <v>0</v>
      </c>
      <c r="U191">
        <v>0</v>
      </c>
      <c r="V191">
        <v>0</v>
      </c>
      <c r="W191">
        <v>237</v>
      </c>
      <c r="X191">
        <v>204</v>
      </c>
      <c r="Y191">
        <v>165</v>
      </c>
      <c r="Z191">
        <v>174</v>
      </c>
      <c r="AA191">
        <v>189</v>
      </c>
      <c r="AD191" s="39" t="s">
        <v>50</v>
      </c>
      <c r="AE191" s="30">
        <v>2274</v>
      </c>
      <c r="AF191">
        <v>14366</v>
      </c>
    </row>
    <row r="192" spans="1:32" hidden="1">
      <c r="A192" s="41" t="s">
        <v>955</v>
      </c>
      <c r="B192" s="41">
        <v>34</v>
      </c>
      <c r="C192" s="41">
        <v>25</v>
      </c>
      <c r="D192" s="41">
        <v>24</v>
      </c>
      <c r="E192" s="41">
        <v>24</v>
      </c>
      <c r="F192" s="41">
        <v>23</v>
      </c>
      <c r="G192" s="41">
        <v>17</v>
      </c>
      <c r="H192" s="41">
        <v>19</v>
      </c>
      <c r="I192" s="41">
        <v>20</v>
      </c>
      <c r="J192" s="41">
        <v>20</v>
      </c>
      <c r="K192">
        <v>22</v>
      </c>
      <c r="L192">
        <v>24</v>
      </c>
      <c r="M192">
        <v>19</v>
      </c>
      <c r="N192">
        <v>16</v>
      </c>
      <c r="O192">
        <v>2</v>
      </c>
      <c r="P192">
        <v>1</v>
      </c>
      <c r="Q192">
        <v>8</v>
      </c>
      <c r="R192">
        <v>4</v>
      </c>
      <c r="S192">
        <v>3</v>
      </c>
      <c r="T192">
        <v>4</v>
      </c>
      <c r="U192">
        <v>6</v>
      </c>
      <c r="V192">
        <v>9</v>
      </c>
      <c r="W192">
        <v>3</v>
      </c>
      <c r="X192">
        <v>4</v>
      </c>
      <c r="Y192">
        <v>8</v>
      </c>
      <c r="Z192">
        <v>8</v>
      </c>
      <c r="AA192">
        <v>4</v>
      </c>
      <c r="AD192" t="s">
        <v>386</v>
      </c>
      <c r="AE192" s="30">
        <v>15</v>
      </c>
      <c r="AF192">
        <v>246</v>
      </c>
    </row>
    <row r="193" spans="1:32" hidden="1">
      <c r="A193" s="41" t="s">
        <v>744</v>
      </c>
      <c r="B193" s="41">
        <v>243</v>
      </c>
      <c r="C193" s="41">
        <v>0</v>
      </c>
      <c r="D193" s="41">
        <v>379</v>
      </c>
      <c r="E193" s="41">
        <v>196</v>
      </c>
      <c r="F193" s="41">
        <v>201</v>
      </c>
      <c r="G193" s="41">
        <v>212</v>
      </c>
      <c r="H193" s="41">
        <v>110</v>
      </c>
      <c r="I193" s="41">
        <v>239</v>
      </c>
      <c r="J193" s="41">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220</v>
      </c>
      <c r="AE193" s="30">
        <v>1363</v>
      </c>
      <c r="AF193">
        <v>4949</v>
      </c>
    </row>
    <row r="194" spans="1:32" hidden="1">
      <c r="A194" s="41" t="s">
        <v>118</v>
      </c>
      <c r="B194" s="41">
        <v>2807</v>
      </c>
      <c r="C194" s="41">
        <v>3308</v>
      </c>
      <c r="D194" s="41">
        <v>2318</v>
      </c>
      <c r="E194" s="41">
        <v>1462</v>
      </c>
      <c r="F194" s="41">
        <v>1432</v>
      </c>
      <c r="G194" s="41">
        <v>1427</v>
      </c>
      <c r="H194" s="41">
        <v>1178</v>
      </c>
      <c r="I194" s="41">
        <v>1374</v>
      </c>
      <c r="J194" s="41">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446</v>
      </c>
      <c r="AE194" s="30">
        <v>3262</v>
      </c>
      <c r="AF194">
        <v>9770</v>
      </c>
    </row>
    <row r="195" spans="1:32" hidden="1">
      <c r="A195" s="41" t="s">
        <v>712</v>
      </c>
      <c r="B195" s="41">
        <v>1489</v>
      </c>
      <c r="C195" s="41">
        <v>1414</v>
      </c>
      <c r="D195" s="41">
        <v>1815</v>
      </c>
      <c r="E195" s="41">
        <v>1285</v>
      </c>
      <c r="F195" s="41">
        <v>1025</v>
      </c>
      <c r="G195" s="41">
        <v>1202</v>
      </c>
      <c r="H195" s="41">
        <v>1602</v>
      </c>
      <c r="I195" s="41">
        <v>1525</v>
      </c>
      <c r="J195" s="41">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334</v>
      </c>
      <c r="AE195" s="30">
        <v>1048</v>
      </c>
      <c r="AF195">
        <v>4779</v>
      </c>
    </row>
    <row r="196" spans="1:32" hidden="1">
      <c r="A196" s="41" t="s">
        <v>579</v>
      </c>
      <c r="B196" s="41">
        <v>944</v>
      </c>
      <c r="C196" s="41">
        <v>1028</v>
      </c>
      <c r="D196" s="41">
        <v>907</v>
      </c>
      <c r="E196" s="41">
        <v>912</v>
      </c>
      <c r="F196" s="41">
        <v>577</v>
      </c>
      <c r="G196" s="41">
        <v>850</v>
      </c>
      <c r="H196" s="41">
        <v>494</v>
      </c>
      <c r="I196" s="41">
        <v>552</v>
      </c>
      <c r="J196" s="41">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72</v>
      </c>
      <c r="AE196" s="30">
        <v>1647</v>
      </c>
      <c r="AF196">
        <v>5378</v>
      </c>
    </row>
    <row r="197" spans="1:32" hidden="1">
      <c r="A197" s="41" t="s">
        <v>732</v>
      </c>
      <c r="B197" s="41">
        <v>1615</v>
      </c>
      <c r="C197" s="41">
        <v>1381</v>
      </c>
      <c r="D197" s="41">
        <v>982</v>
      </c>
      <c r="E197" s="41">
        <v>920</v>
      </c>
      <c r="F197" s="41">
        <v>824</v>
      </c>
      <c r="G197" s="41">
        <v>771</v>
      </c>
      <c r="H197" s="41">
        <v>667</v>
      </c>
      <c r="I197" s="41">
        <v>757</v>
      </c>
      <c r="J197" s="41">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416</v>
      </c>
      <c r="AE197" s="30">
        <v>704</v>
      </c>
      <c r="AF197">
        <v>2761</v>
      </c>
    </row>
    <row r="198" spans="1:32" hidden="1">
      <c r="A198" s="41" t="s">
        <v>804</v>
      </c>
      <c r="B198" s="41">
        <v>2755</v>
      </c>
      <c r="C198" s="41">
        <v>2732</v>
      </c>
      <c r="D198" s="41">
        <v>3730</v>
      </c>
      <c r="E198" s="41">
        <v>2782</v>
      </c>
      <c r="F198" s="41">
        <v>2268</v>
      </c>
      <c r="G198" s="41">
        <v>2521</v>
      </c>
      <c r="H198" s="41">
        <v>2102</v>
      </c>
      <c r="I198" s="41">
        <v>2669</v>
      </c>
      <c r="J198" s="41">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9" t="s">
        <v>190</v>
      </c>
      <c r="AE198" s="30">
        <v>1322</v>
      </c>
      <c r="AF198">
        <v>6586</v>
      </c>
    </row>
    <row r="199" spans="1:32" hidden="1">
      <c r="A199" s="41" t="s">
        <v>779</v>
      </c>
      <c r="B199" s="41">
        <v>1109</v>
      </c>
      <c r="C199" s="41">
        <v>944</v>
      </c>
      <c r="D199" s="41">
        <v>927</v>
      </c>
      <c r="E199" s="41">
        <v>989</v>
      </c>
      <c r="F199" s="41">
        <v>1019</v>
      </c>
      <c r="G199" s="41">
        <v>945</v>
      </c>
      <c r="H199" s="41">
        <v>963</v>
      </c>
      <c r="I199" s="41">
        <v>934</v>
      </c>
      <c r="J199" s="41">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414</v>
      </c>
      <c r="AE199" s="30">
        <v>1858</v>
      </c>
      <c r="AF199">
        <v>4998</v>
      </c>
    </row>
    <row r="200" spans="1:32" hidden="1">
      <c r="A200" s="41" t="s">
        <v>716</v>
      </c>
      <c r="B200" s="41">
        <v>788</v>
      </c>
      <c r="C200" s="41">
        <v>1486</v>
      </c>
      <c r="D200" s="41">
        <v>760</v>
      </c>
      <c r="E200" s="41">
        <v>625</v>
      </c>
      <c r="F200" s="41">
        <v>615</v>
      </c>
      <c r="G200" s="41">
        <v>631</v>
      </c>
      <c r="H200" s="41">
        <v>485</v>
      </c>
      <c r="I200" s="41">
        <v>978</v>
      </c>
      <c r="J200" s="41">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332</v>
      </c>
      <c r="AE200" s="30">
        <v>1829</v>
      </c>
      <c r="AF200">
        <v>9027</v>
      </c>
    </row>
    <row r="201" spans="1:32" hidden="1">
      <c r="A201" s="41" t="s">
        <v>334</v>
      </c>
      <c r="B201" s="41">
        <v>1756</v>
      </c>
      <c r="C201" s="41">
        <v>2130</v>
      </c>
      <c r="D201" s="41">
        <v>4704</v>
      </c>
      <c r="E201" s="41">
        <v>2398</v>
      </c>
      <c r="F201" s="41">
        <v>2991</v>
      </c>
      <c r="G201" s="41">
        <v>1792</v>
      </c>
      <c r="H201" s="41">
        <v>1099</v>
      </c>
      <c r="I201" s="41">
        <v>4398</v>
      </c>
      <c r="J201" s="41">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412</v>
      </c>
      <c r="AE201" s="30">
        <v>1488</v>
      </c>
      <c r="AF201">
        <v>6357</v>
      </c>
    </row>
    <row r="202" spans="1:32" hidden="1">
      <c r="A202" s="41" t="s">
        <v>827</v>
      </c>
      <c r="B202" s="41">
        <v>1769</v>
      </c>
      <c r="C202" s="41">
        <v>891</v>
      </c>
      <c r="D202" s="41">
        <v>46</v>
      </c>
      <c r="E202" s="41">
        <v>1060</v>
      </c>
      <c r="F202" s="41">
        <v>1496</v>
      </c>
      <c r="G202" s="41">
        <v>1484</v>
      </c>
      <c r="H202" s="41">
        <v>1170</v>
      </c>
      <c r="I202" s="41">
        <v>1548</v>
      </c>
      <c r="J202" s="41">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454</v>
      </c>
      <c r="AE202" s="30">
        <v>4708</v>
      </c>
      <c r="AF202">
        <v>13533</v>
      </c>
    </row>
    <row r="203" spans="1:32" hidden="1">
      <c r="A203" s="41" t="s">
        <v>815</v>
      </c>
      <c r="B203" s="41">
        <v>1169</v>
      </c>
      <c r="C203" s="41">
        <v>1287</v>
      </c>
      <c r="D203" s="41">
        <v>1659</v>
      </c>
      <c r="E203" s="41">
        <v>1409</v>
      </c>
      <c r="F203" s="41">
        <v>1673</v>
      </c>
      <c r="G203" s="41">
        <v>1641</v>
      </c>
      <c r="H203" s="41">
        <v>1234</v>
      </c>
      <c r="I203" s="41">
        <v>1346</v>
      </c>
      <c r="J203" s="41">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432</v>
      </c>
      <c r="AE203" s="30">
        <v>1863</v>
      </c>
      <c r="AF203">
        <v>7779</v>
      </c>
    </row>
    <row r="204" spans="1:32" hidden="1">
      <c r="A204" s="41" t="s">
        <v>912</v>
      </c>
      <c r="B204" s="41">
        <v>2223</v>
      </c>
      <c r="C204" s="41">
        <v>2498</v>
      </c>
      <c r="D204" s="41">
        <v>2104</v>
      </c>
      <c r="E204" s="41">
        <v>2020</v>
      </c>
      <c r="F204" s="41">
        <v>1803</v>
      </c>
      <c r="G204" s="41">
        <v>1278</v>
      </c>
      <c r="H204" s="41">
        <v>1057</v>
      </c>
      <c r="I204" s="41">
        <v>1016</v>
      </c>
      <c r="J204" s="41">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350</v>
      </c>
      <c r="AE204" s="30">
        <v>872</v>
      </c>
      <c r="AF204">
        <v>2950</v>
      </c>
    </row>
    <row r="205" spans="1:32" hidden="1">
      <c r="A205" s="41" t="s">
        <v>837</v>
      </c>
      <c r="B205" s="41">
        <v>1237</v>
      </c>
      <c r="C205" s="41">
        <v>833</v>
      </c>
      <c r="D205" s="41">
        <v>804</v>
      </c>
      <c r="E205" s="41">
        <v>2592</v>
      </c>
      <c r="F205" s="41">
        <v>984</v>
      </c>
      <c r="G205" s="41">
        <v>1591</v>
      </c>
      <c r="H205" s="41">
        <v>966</v>
      </c>
      <c r="I205" s="41">
        <v>1220</v>
      </c>
      <c r="J205" s="41">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202</v>
      </c>
      <c r="AE205" s="30">
        <v>881</v>
      </c>
      <c r="AF205">
        <v>4215</v>
      </c>
    </row>
    <row r="206" spans="1:32" hidden="1">
      <c r="A206" s="41" t="s">
        <v>1009</v>
      </c>
      <c r="B206" s="41">
        <v>1768</v>
      </c>
      <c r="C206" s="41">
        <v>1586</v>
      </c>
      <c r="D206" s="41">
        <v>1711</v>
      </c>
      <c r="E206" s="41">
        <v>2105</v>
      </c>
      <c r="F206" s="41">
        <v>1778</v>
      </c>
      <c r="G206" s="41">
        <v>3232</v>
      </c>
      <c r="H206" s="41">
        <v>1148</v>
      </c>
      <c r="I206" s="41">
        <v>1287</v>
      </c>
      <c r="J206" s="41">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448</v>
      </c>
      <c r="AE206" s="30">
        <v>1829</v>
      </c>
      <c r="AF206">
        <v>5765</v>
      </c>
    </row>
    <row r="207" spans="1:32" hidden="1">
      <c r="A207" s="41" t="s">
        <v>1040</v>
      </c>
      <c r="B207" s="41">
        <v>1118</v>
      </c>
      <c r="C207" s="41">
        <v>1244</v>
      </c>
      <c r="D207" s="41">
        <v>1200</v>
      </c>
      <c r="E207" s="41">
        <v>1279</v>
      </c>
      <c r="F207" s="41">
        <v>1042</v>
      </c>
      <c r="G207" s="41">
        <v>1108</v>
      </c>
      <c r="H207" s="41">
        <v>981</v>
      </c>
      <c r="I207" s="41">
        <v>1299</v>
      </c>
      <c r="J207" s="41">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302</v>
      </c>
      <c r="AE207" s="30">
        <v>0</v>
      </c>
      <c r="AF207">
        <v>0</v>
      </c>
    </row>
    <row r="208" spans="1:32" hidden="1">
      <c r="A208" s="41" t="s">
        <v>899</v>
      </c>
      <c r="B208" s="41">
        <v>1120</v>
      </c>
      <c r="C208" s="41">
        <v>1188</v>
      </c>
      <c r="D208" s="41">
        <v>573</v>
      </c>
      <c r="E208" s="41">
        <v>556</v>
      </c>
      <c r="F208" s="41">
        <v>816</v>
      </c>
      <c r="G208" s="41">
        <v>832</v>
      </c>
      <c r="H208" s="41">
        <v>1186</v>
      </c>
      <c r="I208" s="41">
        <v>1343</v>
      </c>
      <c r="J208" s="41">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440</v>
      </c>
      <c r="AE208" s="30">
        <v>3661</v>
      </c>
      <c r="AF208">
        <v>22624</v>
      </c>
    </row>
    <row r="209" spans="1:32" hidden="1">
      <c r="A209" s="41" t="s">
        <v>897</v>
      </c>
      <c r="B209" s="41">
        <v>0</v>
      </c>
      <c r="C209" s="41">
        <v>0</v>
      </c>
      <c r="D209" s="41">
        <v>0</v>
      </c>
      <c r="E209" s="41">
        <v>1898</v>
      </c>
      <c r="F209" s="41">
        <v>1728</v>
      </c>
      <c r="G209" s="41">
        <v>1394</v>
      </c>
      <c r="H209" s="41">
        <v>1405</v>
      </c>
      <c r="I209" s="41">
        <v>934</v>
      </c>
      <c r="J209" s="41">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254</v>
      </c>
      <c r="AE209" s="30">
        <v>941</v>
      </c>
      <c r="AF209">
        <v>5236</v>
      </c>
    </row>
    <row r="210" spans="1:32" hidden="1">
      <c r="A210" s="41" t="s">
        <v>1113</v>
      </c>
      <c r="B210" s="41">
        <v>0</v>
      </c>
      <c r="C210" s="41">
        <v>5</v>
      </c>
      <c r="D210" s="41">
        <v>0</v>
      </c>
      <c r="E210" s="41">
        <v>0</v>
      </c>
      <c r="F210" s="41">
        <v>0</v>
      </c>
      <c r="G210" s="41">
        <v>0</v>
      </c>
      <c r="H210" s="41">
        <v>0</v>
      </c>
      <c r="I210" s="41">
        <v>0</v>
      </c>
      <c r="J210" s="41">
        <v>0</v>
      </c>
      <c r="K210">
        <v>154</v>
      </c>
      <c r="L210">
        <v>0</v>
      </c>
      <c r="M210">
        <v>0</v>
      </c>
      <c r="N210">
        <v>0</v>
      </c>
      <c r="O210">
        <v>0</v>
      </c>
      <c r="P210">
        <v>2</v>
      </c>
      <c r="Q210">
        <v>0</v>
      </c>
      <c r="R210">
        <v>0</v>
      </c>
      <c r="S210">
        <v>0</v>
      </c>
      <c r="T210">
        <v>0</v>
      </c>
      <c r="U210">
        <v>0</v>
      </c>
      <c r="V210">
        <v>0</v>
      </c>
      <c r="W210">
        <v>0</v>
      </c>
      <c r="X210">
        <v>15</v>
      </c>
      <c r="Y210">
        <v>0</v>
      </c>
      <c r="Z210">
        <v>0</v>
      </c>
      <c r="AA210">
        <v>0</v>
      </c>
      <c r="AD210" t="s">
        <v>474</v>
      </c>
      <c r="AE210" s="30">
        <v>1614</v>
      </c>
      <c r="AF210">
        <v>9176</v>
      </c>
    </row>
    <row r="211" spans="1:32" hidden="1">
      <c r="A211" s="41" t="s">
        <v>944</v>
      </c>
      <c r="B211" s="41">
        <v>1237</v>
      </c>
      <c r="C211" s="41">
        <v>2363</v>
      </c>
      <c r="D211" s="41">
        <v>1303</v>
      </c>
      <c r="E211" s="41">
        <v>1272</v>
      </c>
      <c r="F211" s="41">
        <v>966</v>
      </c>
      <c r="G211" s="41">
        <v>979</v>
      </c>
      <c r="H211" s="41">
        <v>1008</v>
      </c>
      <c r="I211" s="41">
        <v>952</v>
      </c>
      <c r="J211" s="41">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184</v>
      </c>
      <c r="AE211" s="30">
        <v>627</v>
      </c>
      <c r="AF211">
        <v>2213</v>
      </c>
    </row>
    <row r="212" spans="1:32" hidden="1">
      <c r="A212" s="41" t="s">
        <v>845</v>
      </c>
      <c r="B212" s="41">
        <v>635</v>
      </c>
      <c r="C212" s="41">
        <v>544</v>
      </c>
      <c r="D212" s="41">
        <v>394</v>
      </c>
      <c r="E212" s="41">
        <v>374</v>
      </c>
      <c r="F212" s="41">
        <v>247</v>
      </c>
      <c r="G212" s="41">
        <v>361</v>
      </c>
      <c r="H212" s="41">
        <v>1056</v>
      </c>
      <c r="I212" s="41">
        <v>749</v>
      </c>
      <c r="J212" s="41">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438</v>
      </c>
      <c r="AE212" s="30">
        <v>1753</v>
      </c>
      <c r="AF212">
        <v>6030</v>
      </c>
    </row>
    <row r="213" spans="1:32" hidden="1">
      <c r="A213" s="41" t="s">
        <v>238</v>
      </c>
      <c r="B213" s="41">
        <v>0</v>
      </c>
      <c r="C213" s="41">
        <v>639</v>
      </c>
      <c r="D213" s="41">
        <v>547</v>
      </c>
      <c r="E213" s="41">
        <v>724</v>
      </c>
      <c r="F213" s="41">
        <v>597</v>
      </c>
      <c r="G213" s="41">
        <v>623</v>
      </c>
      <c r="H213" s="41">
        <v>573</v>
      </c>
      <c r="I213" s="41">
        <v>591</v>
      </c>
      <c r="J213" s="41">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452</v>
      </c>
      <c r="AE213" s="30">
        <v>1376</v>
      </c>
      <c r="AF213">
        <v>6277</v>
      </c>
    </row>
    <row r="214" spans="1:32" hidden="1">
      <c r="A214" s="41" t="s">
        <v>356</v>
      </c>
      <c r="B214" s="41">
        <v>597</v>
      </c>
      <c r="C214" s="41">
        <v>557</v>
      </c>
      <c r="D214" s="41">
        <v>571</v>
      </c>
      <c r="E214" s="41">
        <v>571</v>
      </c>
      <c r="F214" s="41">
        <v>514</v>
      </c>
      <c r="G214" s="41">
        <v>590</v>
      </c>
      <c r="H214" s="41">
        <v>601</v>
      </c>
      <c r="I214" s="41">
        <v>587</v>
      </c>
      <c r="J214" s="41">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464</v>
      </c>
      <c r="AE214" s="30">
        <v>351</v>
      </c>
      <c r="AF214">
        <v>1660</v>
      </c>
    </row>
    <row r="215" spans="1:32" hidden="1">
      <c r="A215" s="41" t="s">
        <v>44</v>
      </c>
      <c r="B215" s="41">
        <v>1712</v>
      </c>
      <c r="C215" s="41">
        <v>1625</v>
      </c>
      <c r="D215" s="41">
        <v>1508</v>
      </c>
      <c r="E215" s="41">
        <v>2088</v>
      </c>
      <c r="F215" s="41">
        <v>2519</v>
      </c>
      <c r="G215" s="41">
        <v>1783</v>
      </c>
      <c r="H215" s="41">
        <v>1946</v>
      </c>
      <c r="I215" s="41">
        <v>1727</v>
      </c>
      <c r="J215" s="41">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42</v>
      </c>
      <c r="AE215" s="30">
        <v>4617</v>
      </c>
      <c r="AF215">
        <v>30049</v>
      </c>
    </row>
    <row r="216" spans="1:32" hidden="1">
      <c r="A216" s="41" t="s">
        <v>456</v>
      </c>
      <c r="B216" s="41">
        <v>779</v>
      </c>
      <c r="C216" s="41">
        <v>580</v>
      </c>
      <c r="D216" s="41">
        <v>444</v>
      </c>
      <c r="E216" s="41">
        <v>479</v>
      </c>
      <c r="F216" s="41">
        <v>360</v>
      </c>
      <c r="G216" s="41">
        <v>449</v>
      </c>
      <c r="H216" s="41">
        <v>378</v>
      </c>
      <c r="I216" s="41">
        <v>741</v>
      </c>
      <c r="J216" s="41">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380</v>
      </c>
      <c r="AE216" s="30">
        <v>3350</v>
      </c>
      <c r="AF216">
        <v>13606</v>
      </c>
    </row>
    <row r="217" spans="1:32" hidden="1">
      <c r="A217" s="41" t="s">
        <v>32</v>
      </c>
      <c r="B217" s="41">
        <v>2633</v>
      </c>
      <c r="C217" s="41">
        <v>3011</v>
      </c>
      <c r="D217" s="41">
        <v>2255</v>
      </c>
      <c r="E217" s="41">
        <v>2706</v>
      </c>
      <c r="F217" s="41">
        <v>2629</v>
      </c>
      <c r="G217" s="41">
        <v>2994</v>
      </c>
      <c r="H217" s="41">
        <v>2355</v>
      </c>
      <c r="I217" s="41">
        <v>2124</v>
      </c>
      <c r="J217" s="41">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228</v>
      </c>
      <c r="AE217" s="30">
        <v>1866</v>
      </c>
      <c r="AF217">
        <v>6089</v>
      </c>
    </row>
    <row r="218" spans="1:32" hidden="1">
      <c r="A218" s="41" t="s">
        <v>86</v>
      </c>
      <c r="B218" s="41">
        <v>4738</v>
      </c>
      <c r="C218" s="41">
        <v>4476</v>
      </c>
      <c r="D218" s="41">
        <v>4408</v>
      </c>
      <c r="E218" s="41">
        <v>4991</v>
      </c>
      <c r="F218" s="41">
        <v>0</v>
      </c>
      <c r="G218" s="41">
        <v>18476</v>
      </c>
      <c r="H218" s="41">
        <v>4034</v>
      </c>
      <c r="I218" s="41">
        <v>12946</v>
      </c>
      <c r="J218" s="41">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462</v>
      </c>
      <c r="AE218" s="30">
        <v>1077</v>
      </c>
      <c r="AF218">
        <v>6667</v>
      </c>
    </row>
    <row r="219" spans="1:32" hidden="1">
      <c r="A219" s="41" t="s">
        <v>654</v>
      </c>
      <c r="B219" s="41">
        <v>1830</v>
      </c>
      <c r="C219" s="41">
        <v>2841</v>
      </c>
      <c r="D219" s="41">
        <v>3914</v>
      </c>
      <c r="E219" s="41">
        <v>5183</v>
      </c>
      <c r="F219" s="41">
        <v>1988</v>
      </c>
      <c r="G219" s="41">
        <v>1740</v>
      </c>
      <c r="H219" s="41">
        <v>1307</v>
      </c>
      <c r="I219" s="41">
        <v>1032</v>
      </c>
      <c r="J219" s="41">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114</v>
      </c>
      <c r="AE219" s="30">
        <v>746</v>
      </c>
      <c r="AF219">
        <v>3743</v>
      </c>
    </row>
    <row r="220" spans="1:32" hidden="1">
      <c r="A220" s="41" t="s">
        <v>1023</v>
      </c>
      <c r="B220" s="41">
        <v>859</v>
      </c>
      <c r="C220" s="41">
        <v>993</v>
      </c>
      <c r="D220" s="41">
        <v>921</v>
      </c>
      <c r="E220" s="41">
        <v>1014</v>
      </c>
      <c r="F220" s="41">
        <v>985</v>
      </c>
      <c r="G220" s="41">
        <v>907</v>
      </c>
      <c r="H220" s="41">
        <v>1104</v>
      </c>
      <c r="I220" s="41">
        <v>1503</v>
      </c>
      <c r="J220" s="41">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318</v>
      </c>
      <c r="AE220" s="30">
        <v>1508</v>
      </c>
      <c r="AF220">
        <v>5344</v>
      </c>
    </row>
    <row r="221" spans="1:32" hidden="1">
      <c r="A221" s="41" t="s">
        <v>722</v>
      </c>
      <c r="B221" s="41">
        <v>0</v>
      </c>
      <c r="C221" s="41">
        <v>262</v>
      </c>
      <c r="D221" s="41">
        <v>1302</v>
      </c>
      <c r="E221" s="41">
        <v>1630</v>
      </c>
      <c r="F221" s="41">
        <v>1087</v>
      </c>
      <c r="G221" s="41">
        <v>967</v>
      </c>
      <c r="H221" s="41">
        <v>1199</v>
      </c>
      <c r="I221" s="41">
        <v>1971</v>
      </c>
      <c r="J221" s="41">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456</v>
      </c>
      <c r="AE221" s="30">
        <v>1031</v>
      </c>
      <c r="AF221">
        <v>2567</v>
      </c>
    </row>
    <row r="222" spans="1:32" hidden="1">
      <c r="A222" s="41" t="s">
        <v>510</v>
      </c>
      <c r="B222" s="41">
        <v>2136</v>
      </c>
      <c r="C222" s="41">
        <v>2353</v>
      </c>
      <c r="D222" s="41">
        <v>1497</v>
      </c>
      <c r="E222" s="41">
        <v>1319</v>
      </c>
      <c r="F222" s="41">
        <v>1243</v>
      </c>
      <c r="G222" s="41">
        <v>1281</v>
      </c>
      <c r="H222" s="41">
        <v>1054</v>
      </c>
      <c r="I222" s="41">
        <v>1336</v>
      </c>
      <c r="J222" s="41">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78</v>
      </c>
      <c r="AE222" s="30">
        <v>4286</v>
      </c>
      <c r="AF222">
        <v>16357</v>
      </c>
    </row>
    <row r="223" spans="1:32" hidden="1">
      <c r="A223" s="41" t="s">
        <v>521</v>
      </c>
      <c r="B223" s="41">
        <v>1728</v>
      </c>
      <c r="C223" s="41">
        <v>813</v>
      </c>
      <c r="D223" s="41">
        <v>816</v>
      </c>
      <c r="E223" s="41">
        <v>1103</v>
      </c>
      <c r="F223" s="41">
        <v>891</v>
      </c>
      <c r="G223" s="41">
        <v>694</v>
      </c>
      <c r="H223" s="41">
        <v>648</v>
      </c>
      <c r="I223" s="41">
        <v>694</v>
      </c>
      <c r="J223" s="41">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106</v>
      </c>
      <c r="AE223" s="30">
        <v>5987</v>
      </c>
      <c r="AF223">
        <v>17769</v>
      </c>
    </row>
    <row r="224" spans="1:32" hidden="1">
      <c r="A224" s="41" t="s">
        <v>1114</v>
      </c>
      <c r="B224" s="41">
        <v>0</v>
      </c>
      <c r="C224" s="41">
        <v>0</v>
      </c>
      <c r="D224" s="41">
        <v>0</v>
      </c>
      <c r="E224" s="41">
        <v>0</v>
      </c>
      <c r="F224" s="41">
        <v>0</v>
      </c>
      <c r="G224" s="41">
        <v>0</v>
      </c>
      <c r="H224" s="41">
        <v>0</v>
      </c>
      <c r="I224" s="41">
        <v>0</v>
      </c>
      <c r="J224" s="41">
        <v>320</v>
      </c>
      <c r="K224">
        <v>1016</v>
      </c>
      <c r="L224">
        <v>435</v>
      </c>
      <c r="M224">
        <v>670</v>
      </c>
      <c r="N224">
        <v>683</v>
      </c>
      <c r="O224">
        <v>0</v>
      </c>
      <c r="P224">
        <v>0</v>
      </c>
      <c r="Q224">
        <v>0</v>
      </c>
      <c r="R224">
        <v>0</v>
      </c>
      <c r="S224">
        <v>0</v>
      </c>
      <c r="T224">
        <v>0</v>
      </c>
      <c r="U224">
        <v>0</v>
      </c>
      <c r="V224">
        <v>0</v>
      </c>
      <c r="W224">
        <v>91</v>
      </c>
      <c r="X224">
        <v>283</v>
      </c>
      <c r="Y224">
        <v>119</v>
      </c>
      <c r="Z224">
        <v>141</v>
      </c>
      <c r="AA224">
        <v>167</v>
      </c>
      <c r="AD224" t="s">
        <v>138</v>
      </c>
      <c r="AE224" s="30">
        <v>2067</v>
      </c>
      <c r="AF224">
        <v>8979</v>
      </c>
    </row>
    <row r="225" spans="1:32" hidden="1">
      <c r="A225" s="41" t="s">
        <v>504</v>
      </c>
      <c r="B225" s="41">
        <v>6790</v>
      </c>
      <c r="C225" s="41">
        <v>6625</v>
      </c>
      <c r="D225" s="41">
        <v>4246</v>
      </c>
      <c r="E225" s="41">
        <v>3787</v>
      </c>
      <c r="F225" s="41">
        <v>4239</v>
      </c>
      <c r="G225" s="41">
        <v>3515</v>
      </c>
      <c r="H225" s="41">
        <v>3929</v>
      </c>
      <c r="I225" s="41">
        <v>3313</v>
      </c>
      <c r="J225" s="41">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434</v>
      </c>
      <c r="AE225" s="30">
        <v>3090</v>
      </c>
      <c r="AF225">
        <v>13684</v>
      </c>
    </row>
    <row r="226" spans="1:32" hidden="1">
      <c r="A226" s="41" t="s">
        <v>878</v>
      </c>
      <c r="B226" s="41">
        <v>1353</v>
      </c>
      <c r="C226" s="41">
        <v>1212</v>
      </c>
      <c r="D226" s="41">
        <v>1254</v>
      </c>
      <c r="E226" s="41">
        <v>1058</v>
      </c>
      <c r="F226" s="41">
        <v>1069</v>
      </c>
      <c r="G226" s="41">
        <v>992</v>
      </c>
      <c r="H226" s="41">
        <v>1002</v>
      </c>
      <c r="I226" s="41">
        <v>1015</v>
      </c>
      <c r="J226" s="41">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372</v>
      </c>
      <c r="AE226" s="30">
        <v>1664</v>
      </c>
      <c r="AF226">
        <v>9255</v>
      </c>
    </row>
    <row r="227" spans="1:32" hidden="1">
      <c r="A227" s="41" t="s">
        <v>556</v>
      </c>
      <c r="B227" s="41">
        <v>2428</v>
      </c>
      <c r="C227" s="41">
        <v>2992</v>
      </c>
      <c r="D227" s="41">
        <v>3055</v>
      </c>
      <c r="E227" s="41">
        <v>2948</v>
      </c>
      <c r="F227" s="41">
        <v>2517</v>
      </c>
      <c r="G227" s="41">
        <v>2548</v>
      </c>
      <c r="H227" s="41">
        <v>2539</v>
      </c>
      <c r="I227" s="41">
        <v>2879</v>
      </c>
      <c r="J227" s="41">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472</v>
      </c>
      <c r="AE227" s="30">
        <v>124</v>
      </c>
      <c r="AF227">
        <v>519</v>
      </c>
    </row>
    <row r="228" spans="1:32" hidden="1">
      <c r="A228" s="41" t="s">
        <v>872</v>
      </c>
      <c r="B228" s="41">
        <v>2330</v>
      </c>
      <c r="C228" s="41">
        <v>1555</v>
      </c>
      <c r="D228" s="41">
        <v>2367</v>
      </c>
      <c r="E228" s="41">
        <v>1074</v>
      </c>
      <c r="F228" s="41">
        <v>585</v>
      </c>
      <c r="G228" s="41">
        <v>770</v>
      </c>
      <c r="H228" s="41">
        <v>721</v>
      </c>
      <c r="I228" s="41">
        <v>685</v>
      </c>
      <c r="J228" s="41">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476</v>
      </c>
      <c r="AE228" s="30">
        <v>64</v>
      </c>
      <c r="AF228">
        <v>405</v>
      </c>
    </row>
    <row r="229" spans="1:32" hidden="1">
      <c r="A229" s="41" t="s">
        <v>975</v>
      </c>
      <c r="B229" s="41">
        <v>641</v>
      </c>
      <c r="C229" s="41">
        <v>615</v>
      </c>
      <c r="D229" s="41">
        <v>441</v>
      </c>
      <c r="E229" s="41">
        <v>252</v>
      </c>
      <c r="F229" s="41">
        <v>319</v>
      </c>
      <c r="G229" s="41">
        <v>283</v>
      </c>
      <c r="H229" s="41">
        <v>127</v>
      </c>
      <c r="I229" s="41">
        <v>344</v>
      </c>
      <c r="J229" s="41">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424</v>
      </c>
      <c r="AE229" s="30">
        <v>1664</v>
      </c>
      <c r="AF229">
        <v>6998</v>
      </c>
    </row>
    <row r="230" spans="1:32" hidden="1">
      <c r="A230" s="41" t="s">
        <v>903</v>
      </c>
      <c r="B230" s="41">
        <v>1539</v>
      </c>
      <c r="C230" s="41">
        <v>925</v>
      </c>
      <c r="D230" s="41">
        <v>921</v>
      </c>
      <c r="E230" s="41">
        <v>740</v>
      </c>
      <c r="F230" s="41">
        <v>659</v>
      </c>
      <c r="G230" s="41">
        <v>582</v>
      </c>
      <c r="H230" s="41">
        <v>467</v>
      </c>
      <c r="I230" s="41">
        <v>616</v>
      </c>
      <c r="J230" s="41">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436</v>
      </c>
      <c r="AE230" s="30">
        <v>1145</v>
      </c>
      <c r="AF230">
        <v>5474</v>
      </c>
    </row>
    <row r="231" spans="1:32" hidden="1">
      <c r="A231" s="41" t="s">
        <v>981</v>
      </c>
      <c r="B231" s="41">
        <v>2507</v>
      </c>
      <c r="C231" s="41">
        <v>2195</v>
      </c>
      <c r="D231" s="41">
        <v>5543</v>
      </c>
      <c r="E231" s="41">
        <v>2949</v>
      </c>
      <c r="F231" s="41">
        <v>4757</v>
      </c>
      <c r="G231" s="41">
        <v>2710</v>
      </c>
      <c r="H231" s="41">
        <v>2773</v>
      </c>
      <c r="I231" s="41">
        <v>2627</v>
      </c>
      <c r="J231" s="41">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468</v>
      </c>
      <c r="AE231" s="30">
        <v>1134</v>
      </c>
      <c r="AF231">
        <v>6878</v>
      </c>
    </row>
    <row r="232" spans="1:32" hidden="1">
      <c r="A232" s="41" t="s">
        <v>995</v>
      </c>
      <c r="B232" s="41">
        <v>1053</v>
      </c>
      <c r="C232" s="41">
        <v>1148</v>
      </c>
      <c r="D232" s="41">
        <v>826</v>
      </c>
      <c r="E232" s="41">
        <v>993</v>
      </c>
      <c r="F232" s="41">
        <v>685</v>
      </c>
      <c r="G232" s="41">
        <v>806</v>
      </c>
      <c r="H232" s="41">
        <v>602</v>
      </c>
      <c r="I232" s="41">
        <v>1053</v>
      </c>
      <c r="J232" s="41">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480</v>
      </c>
      <c r="AE232" s="30">
        <v>38</v>
      </c>
      <c r="AF232">
        <v>780</v>
      </c>
    </row>
    <row r="233" spans="1:32" hidden="1">
      <c r="A233" s="41" t="s">
        <v>831</v>
      </c>
      <c r="B233" s="41">
        <v>5762</v>
      </c>
      <c r="C233" s="41">
        <v>4959</v>
      </c>
      <c r="D233" s="41">
        <v>5692</v>
      </c>
      <c r="E233" s="41">
        <v>5409</v>
      </c>
      <c r="F233" s="41">
        <v>4892</v>
      </c>
      <c r="G233" s="41">
        <v>4067</v>
      </c>
      <c r="H233" s="41">
        <v>2818</v>
      </c>
      <c r="I233" s="41">
        <v>2952</v>
      </c>
      <c r="J233" s="41">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458</v>
      </c>
      <c r="AE233" s="30">
        <v>4242</v>
      </c>
      <c r="AF233">
        <v>16553</v>
      </c>
    </row>
    <row r="234" spans="1:32" hidden="1">
      <c r="A234" s="41" t="s">
        <v>925</v>
      </c>
      <c r="B234" s="41">
        <v>651</v>
      </c>
      <c r="C234" s="41">
        <v>722</v>
      </c>
      <c r="D234" s="41">
        <v>660</v>
      </c>
      <c r="E234" s="41">
        <v>708</v>
      </c>
      <c r="F234" s="41">
        <v>570</v>
      </c>
      <c r="G234" s="41">
        <v>553</v>
      </c>
      <c r="H234" s="41">
        <v>472</v>
      </c>
      <c r="I234" s="41">
        <v>615</v>
      </c>
      <c r="J234" s="41">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52</v>
      </c>
      <c r="AE234" s="30">
        <v>6399</v>
      </c>
      <c r="AF234">
        <v>28292</v>
      </c>
    </row>
    <row r="235" spans="1:32" hidden="1">
      <c r="A235" s="41" t="s">
        <v>861</v>
      </c>
      <c r="B235" s="41">
        <v>981</v>
      </c>
      <c r="C235" s="41">
        <v>927</v>
      </c>
      <c r="D235" s="41">
        <v>872</v>
      </c>
      <c r="E235" s="41">
        <v>773</v>
      </c>
      <c r="F235" s="41">
        <v>884</v>
      </c>
      <c r="G235" s="41">
        <v>1202</v>
      </c>
      <c r="H235" s="41">
        <v>852</v>
      </c>
      <c r="I235" s="41">
        <v>1061</v>
      </c>
      <c r="J235" s="41">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30</v>
      </c>
      <c r="AE235" s="30">
        <v>18410</v>
      </c>
      <c r="AF235">
        <v>95635</v>
      </c>
    </row>
    <row r="236" spans="1:32" hidden="1">
      <c r="A236" s="41" t="s">
        <v>918</v>
      </c>
      <c r="B236" s="41">
        <v>1446</v>
      </c>
      <c r="C236" s="41">
        <v>1145</v>
      </c>
      <c r="D236" s="41">
        <v>785</v>
      </c>
      <c r="E236" s="41">
        <v>592</v>
      </c>
      <c r="F236" s="41">
        <v>634</v>
      </c>
      <c r="G236" s="41">
        <v>737</v>
      </c>
      <c r="H236" s="41">
        <v>690</v>
      </c>
      <c r="I236" s="41">
        <v>906</v>
      </c>
      <c r="J236" s="41">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502</v>
      </c>
      <c r="AE236" s="19">
        <v>7632</v>
      </c>
      <c r="AF236">
        <v>7844</v>
      </c>
    </row>
    <row r="237" spans="1:32" hidden="1">
      <c r="A237" s="41" t="s">
        <v>868</v>
      </c>
      <c r="B237" s="41">
        <v>408</v>
      </c>
      <c r="C237" s="41">
        <v>0</v>
      </c>
      <c r="D237" s="41">
        <v>1257</v>
      </c>
      <c r="E237" s="41">
        <v>888</v>
      </c>
      <c r="F237" s="41">
        <v>826</v>
      </c>
      <c r="G237" s="41">
        <v>882</v>
      </c>
      <c r="H237" s="41">
        <v>725</v>
      </c>
      <c r="I237" s="41">
        <v>862</v>
      </c>
      <c r="J237" s="41">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504</v>
      </c>
      <c r="AE237" s="19">
        <v>3762</v>
      </c>
      <c r="AF237">
        <v>12737</v>
      </c>
    </row>
    <row r="238" spans="1:32" hidden="1">
      <c r="A238" s="41" t="s">
        <v>963</v>
      </c>
      <c r="B238" s="41">
        <v>1417</v>
      </c>
      <c r="C238" s="41">
        <v>1243</v>
      </c>
      <c r="D238" s="41">
        <v>1246</v>
      </c>
      <c r="E238" s="41">
        <v>1187</v>
      </c>
      <c r="F238" s="41">
        <v>654</v>
      </c>
      <c r="G238" s="41">
        <v>666</v>
      </c>
      <c r="H238" s="41">
        <v>596</v>
      </c>
      <c r="I238" s="41">
        <v>553</v>
      </c>
      <c r="J238" s="41">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516</v>
      </c>
      <c r="AE238" s="19">
        <v>3048</v>
      </c>
      <c r="AF238">
        <v>13735</v>
      </c>
    </row>
    <row r="239" spans="1:32" hidden="1">
      <c r="A239" s="41" t="s">
        <v>951</v>
      </c>
      <c r="B239" s="41">
        <v>0</v>
      </c>
      <c r="C239" s="41">
        <v>0</v>
      </c>
      <c r="D239" s="41">
        <v>0</v>
      </c>
      <c r="E239" s="41">
        <v>0</v>
      </c>
      <c r="F239" s="41">
        <v>0</v>
      </c>
      <c r="G239" s="41">
        <v>0</v>
      </c>
      <c r="H239" s="41">
        <v>0</v>
      </c>
      <c r="I239" s="41">
        <v>0</v>
      </c>
      <c r="J239" s="41">
        <v>96</v>
      </c>
      <c r="K239">
        <v>306</v>
      </c>
      <c r="L239">
        <v>290</v>
      </c>
      <c r="M239">
        <v>605</v>
      </c>
      <c r="N239">
        <v>930</v>
      </c>
      <c r="O239">
        <v>0</v>
      </c>
      <c r="P239">
        <v>0</v>
      </c>
      <c r="Q239">
        <v>0</v>
      </c>
      <c r="R239">
        <v>0</v>
      </c>
      <c r="S239">
        <v>0</v>
      </c>
      <c r="T239">
        <v>0</v>
      </c>
      <c r="U239">
        <v>0</v>
      </c>
      <c r="V239">
        <v>0</v>
      </c>
      <c r="W239">
        <v>33</v>
      </c>
      <c r="X239">
        <v>76</v>
      </c>
      <c r="Y239">
        <v>76</v>
      </c>
      <c r="Z239">
        <v>191</v>
      </c>
      <c r="AA239">
        <v>280</v>
      </c>
      <c r="AD239" t="s">
        <v>544</v>
      </c>
      <c r="AE239" s="19">
        <v>3637</v>
      </c>
      <c r="AF239">
        <v>12674</v>
      </c>
    </row>
    <row r="240" spans="1:32" hidden="1">
      <c r="A240" s="41" t="s">
        <v>829</v>
      </c>
      <c r="B240" s="41">
        <v>1361</v>
      </c>
      <c r="C240" s="41">
        <v>1065</v>
      </c>
      <c r="D240" s="41">
        <v>1044</v>
      </c>
      <c r="E240" s="41">
        <v>1095</v>
      </c>
      <c r="F240" s="41">
        <v>1296</v>
      </c>
      <c r="G240" s="41">
        <v>920</v>
      </c>
      <c r="H240" s="41">
        <v>616</v>
      </c>
      <c r="I240" s="41">
        <v>591</v>
      </c>
      <c r="J240" s="41">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4" t="s">
        <v>612</v>
      </c>
      <c r="AE240" s="19">
        <v>4317</v>
      </c>
      <c r="AF240">
        <v>25101</v>
      </c>
    </row>
    <row r="241" spans="1:32" hidden="1">
      <c r="A241" s="41" t="s">
        <v>547</v>
      </c>
      <c r="B241" s="41">
        <v>557</v>
      </c>
      <c r="C241" s="41">
        <v>580</v>
      </c>
      <c r="D241" s="41">
        <v>483</v>
      </c>
      <c r="E241" s="41">
        <v>472</v>
      </c>
      <c r="F241" s="41">
        <v>709</v>
      </c>
      <c r="G241" s="41">
        <v>656</v>
      </c>
      <c r="H241" s="41">
        <v>715</v>
      </c>
      <c r="I241" s="41">
        <v>797</v>
      </c>
      <c r="J241" s="41">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556</v>
      </c>
      <c r="AE241" s="19">
        <v>5550</v>
      </c>
      <c r="AF241">
        <v>12512</v>
      </c>
    </row>
    <row r="242" spans="1:32" hidden="1">
      <c r="A242" s="41" t="s">
        <v>120</v>
      </c>
      <c r="B242" s="41">
        <v>1577</v>
      </c>
      <c r="C242" s="41">
        <v>1264</v>
      </c>
      <c r="D242" s="41">
        <v>1436</v>
      </c>
      <c r="E242" s="41">
        <v>1633</v>
      </c>
      <c r="F242" s="41">
        <v>1407</v>
      </c>
      <c r="G242" s="41">
        <v>2169</v>
      </c>
      <c r="H242" s="41">
        <v>1557</v>
      </c>
      <c r="I242" s="41">
        <v>1783</v>
      </c>
      <c r="J242" s="41">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534</v>
      </c>
      <c r="AE242" s="19">
        <v>972</v>
      </c>
      <c r="AF242">
        <v>5298</v>
      </c>
    </row>
    <row r="243" spans="1:32" hidden="1">
      <c r="A243" s="41" t="s">
        <v>132</v>
      </c>
      <c r="B243" s="41">
        <v>3284</v>
      </c>
      <c r="C243" s="41">
        <v>4751</v>
      </c>
      <c r="D243" s="41">
        <v>2584</v>
      </c>
      <c r="E243" s="41">
        <v>1839</v>
      </c>
      <c r="F243" s="41">
        <v>1830</v>
      </c>
      <c r="G243" s="41">
        <v>1937</v>
      </c>
      <c r="H243" s="41">
        <v>1357</v>
      </c>
      <c r="I243" s="41">
        <v>1615</v>
      </c>
      <c r="J243" s="41">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536</v>
      </c>
      <c r="AE243" s="19">
        <v>1894</v>
      </c>
      <c r="AF243">
        <v>4996</v>
      </c>
    </row>
    <row r="244" spans="1:32" hidden="1">
      <c r="A244" s="41" t="s">
        <v>280</v>
      </c>
      <c r="B244" s="41">
        <v>1110</v>
      </c>
      <c r="C244" s="41">
        <v>1155</v>
      </c>
      <c r="D244" s="41">
        <v>999</v>
      </c>
      <c r="E244" s="41">
        <v>915</v>
      </c>
      <c r="F244" s="41">
        <v>1005</v>
      </c>
      <c r="G244" s="41">
        <v>1661</v>
      </c>
      <c r="H244" s="41">
        <v>989</v>
      </c>
      <c r="I244" s="41">
        <v>1000</v>
      </c>
      <c r="J244" s="41">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627</v>
      </c>
      <c r="AE244" s="19">
        <v>2</v>
      </c>
      <c r="AF244">
        <v>13</v>
      </c>
    </row>
    <row r="245" spans="1:32" hidden="1">
      <c r="A245" s="41" t="s">
        <v>94</v>
      </c>
      <c r="B245" s="41">
        <v>1780</v>
      </c>
      <c r="C245" s="41">
        <v>1869</v>
      </c>
      <c r="D245" s="41">
        <v>1656</v>
      </c>
      <c r="E245" s="41">
        <v>1440</v>
      </c>
      <c r="F245" s="41">
        <v>1081</v>
      </c>
      <c r="G245" s="41">
        <v>1009</v>
      </c>
      <c r="H245" s="41">
        <v>981</v>
      </c>
      <c r="I245" s="41">
        <v>1397</v>
      </c>
      <c r="J245" s="41">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559</v>
      </c>
      <c r="AE245" s="19">
        <v>3398</v>
      </c>
      <c r="AF245">
        <v>8739</v>
      </c>
    </row>
    <row r="246" spans="1:32" hidden="1">
      <c r="A246" s="41" t="s">
        <v>134</v>
      </c>
      <c r="B246" s="41">
        <v>3612</v>
      </c>
      <c r="C246" s="41">
        <v>3948</v>
      </c>
      <c r="D246" s="41">
        <v>3511</v>
      </c>
      <c r="E246" s="41">
        <v>61</v>
      </c>
      <c r="F246" s="41">
        <v>10706</v>
      </c>
      <c r="G246" s="41">
        <v>6300</v>
      </c>
      <c r="H246" s="41">
        <v>2733</v>
      </c>
      <c r="I246" s="41">
        <v>2931</v>
      </c>
      <c r="J246" s="41">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804</v>
      </c>
      <c r="AE246" s="19">
        <v>5137</v>
      </c>
      <c r="AF246">
        <v>8651</v>
      </c>
    </row>
    <row r="247" spans="1:32" hidden="1">
      <c r="A247" s="41" t="s">
        <v>426</v>
      </c>
      <c r="B247" s="41">
        <v>2451</v>
      </c>
      <c r="C247" s="41">
        <v>3313</v>
      </c>
      <c r="D247" s="41">
        <v>1362</v>
      </c>
      <c r="E247" s="41">
        <v>1958</v>
      </c>
      <c r="F247" s="41">
        <v>1726</v>
      </c>
      <c r="G247" s="41">
        <v>1144</v>
      </c>
      <c r="H247" s="41">
        <v>1378</v>
      </c>
      <c r="I247" s="41">
        <v>1174</v>
      </c>
      <c r="J247" s="41">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527</v>
      </c>
      <c r="AE247" s="19">
        <v>711</v>
      </c>
      <c r="AF247">
        <v>1902</v>
      </c>
    </row>
    <row r="248" spans="1:32" hidden="1">
      <c r="A248" s="41" t="s">
        <v>448</v>
      </c>
      <c r="B248" s="41">
        <v>1233</v>
      </c>
      <c r="C248" s="41">
        <v>1416</v>
      </c>
      <c r="D248" s="41">
        <v>1396</v>
      </c>
      <c r="E248" s="41">
        <v>1992</v>
      </c>
      <c r="F248" s="41">
        <v>1444</v>
      </c>
      <c r="G248" s="41">
        <v>1030</v>
      </c>
      <c r="H248" s="41">
        <v>1037</v>
      </c>
      <c r="I248" s="41">
        <v>1802</v>
      </c>
      <c r="J248" s="41">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759</v>
      </c>
      <c r="AE248" s="19">
        <v>2183</v>
      </c>
      <c r="AF248">
        <v>8750</v>
      </c>
    </row>
    <row r="249" spans="1:32" hidden="1">
      <c r="A249" s="41" t="s">
        <v>1036</v>
      </c>
      <c r="B249" s="41">
        <v>703</v>
      </c>
      <c r="C249" s="41">
        <v>542</v>
      </c>
      <c r="D249" s="41">
        <v>644</v>
      </c>
      <c r="E249" s="41">
        <v>682</v>
      </c>
      <c r="F249" s="41">
        <v>771</v>
      </c>
      <c r="G249" s="41">
        <v>775</v>
      </c>
      <c r="H249" s="41">
        <v>879</v>
      </c>
      <c r="I249" s="41">
        <v>731</v>
      </c>
      <c r="J249" s="41">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510</v>
      </c>
      <c r="AE249" s="19">
        <v>1995</v>
      </c>
      <c r="AF249">
        <v>6914</v>
      </c>
    </row>
    <row r="250" spans="1:32" hidden="1">
      <c r="A250" s="41" t="s">
        <v>587</v>
      </c>
      <c r="B250" s="41">
        <v>1663</v>
      </c>
      <c r="C250" s="41">
        <v>2104</v>
      </c>
      <c r="D250" s="41">
        <v>1680</v>
      </c>
      <c r="E250" s="41">
        <v>2200</v>
      </c>
      <c r="F250" s="41">
        <v>1696</v>
      </c>
      <c r="G250" s="41">
        <v>1276</v>
      </c>
      <c r="H250" s="41">
        <v>777</v>
      </c>
      <c r="I250" s="41">
        <v>609</v>
      </c>
      <c r="J250" s="41">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9" t="s">
        <v>550</v>
      </c>
      <c r="AE250" s="19">
        <v>1870</v>
      </c>
      <c r="AF250">
        <v>7749</v>
      </c>
    </row>
    <row r="251" spans="1:32" hidden="1">
      <c r="A251" s="41" t="s">
        <v>965</v>
      </c>
      <c r="B251" s="41">
        <v>230</v>
      </c>
      <c r="C251" s="41">
        <v>222</v>
      </c>
      <c r="D251" s="41">
        <v>763</v>
      </c>
      <c r="E251" s="41">
        <v>688</v>
      </c>
      <c r="F251" s="41">
        <v>494</v>
      </c>
      <c r="G251" s="41">
        <v>492</v>
      </c>
      <c r="H251" s="41">
        <v>526</v>
      </c>
      <c r="I251" s="41">
        <v>726</v>
      </c>
      <c r="J251" s="41">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682</v>
      </c>
      <c r="AE251" s="19">
        <v>1727</v>
      </c>
      <c r="AF251">
        <v>4094</v>
      </c>
    </row>
    <row r="252" spans="1:32" hidden="1">
      <c r="A252" s="41" t="s">
        <v>1115</v>
      </c>
      <c r="B252" s="41">
        <v>128</v>
      </c>
      <c r="C252" s="41">
        <v>78</v>
      </c>
      <c r="D252" s="41">
        <v>65</v>
      </c>
      <c r="E252" s="41">
        <v>130</v>
      </c>
      <c r="F252" s="41">
        <v>99</v>
      </c>
      <c r="G252" s="41">
        <v>115</v>
      </c>
      <c r="H252" s="41">
        <v>164</v>
      </c>
      <c r="I252" s="41">
        <v>153</v>
      </c>
      <c r="J252" s="41">
        <v>63</v>
      </c>
      <c r="K252">
        <v>69</v>
      </c>
      <c r="L252">
        <v>130</v>
      </c>
      <c r="M252">
        <v>60</v>
      </c>
      <c r="N252">
        <v>102</v>
      </c>
      <c r="O252">
        <v>0</v>
      </c>
      <c r="P252">
        <v>0</v>
      </c>
      <c r="Q252">
        <v>0</v>
      </c>
      <c r="R252">
        <v>0</v>
      </c>
      <c r="S252">
        <v>0</v>
      </c>
      <c r="T252">
        <v>0</v>
      </c>
      <c r="U252">
        <v>0</v>
      </c>
      <c r="V252">
        <v>0</v>
      </c>
      <c r="W252">
        <v>0</v>
      </c>
      <c r="X252">
        <v>0</v>
      </c>
      <c r="Y252">
        <v>0</v>
      </c>
      <c r="Z252">
        <v>0</v>
      </c>
      <c r="AA252">
        <v>0</v>
      </c>
      <c r="AD252" t="s">
        <v>614</v>
      </c>
      <c r="AE252" s="19">
        <v>40373</v>
      </c>
      <c r="AF252">
        <v>136848</v>
      </c>
    </row>
    <row r="253" spans="1:32" hidden="1">
      <c r="A253" s="41" t="s">
        <v>1116</v>
      </c>
      <c r="B253" s="41">
        <v>66</v>
      </c>
      <c r="C253" s="41">
        <v>96</v>
      </c>
      <c r="D253" s="41">
        <v>90</v>
      </c>
      <c r="E253" s="41">
        <v>104</v>
      </c>
      <c r="F253" s="41">
        <v>99</v>
      </c>
      <c r="G253" s="41">
        <v>183</v>
      </c>
      <c r="H253" s="41">
        <v>113</v>
      </c>
      <c r="I253" s="41">
        <v>91</v>
      </c>
      <c r="J253" s="41">
        <v>51</v>
      </c>
      <c r="K253">
        <v>76</v>
      </c>
      <c r="L253">
        <v>76</v>
      </c>
      <c r="M253">
        <v>60</v>
      </c>
      <c r="N253">
        <v>68</v>
      </c>
      <c r="O253">
        <v>0</v>
      </c>
      <c r="P253">
        <v>0</v>
      </c>
      <c r="Q253">
        <v>0</v>
      </c>
      <c r="R253">
        <v>0</v>
      </c>
      <c r="S253">
        <v>0</v>
      </c>
      <c r="T253">
        <v>0</v>
      </c>
      <c r="U253">
        <v>0</v>
      </c>
      <c r="V253">
        <v>0</v>
      </c>
      <c r="W253">
        <v>0</v>
      </c>
      <c r="X253">
        <v>0</v>
      </c>
      <c r="Y253">
        <v>0</v>
      </c>
      <c r="Z253">
        <v>0</v>
      </c>
      <c r="AA253">
        <v>0</v>
      </c>
      <c r="AD253" t="s">
        <v>722</v>
      </c>
      <c r="AE253" s="19">
        <v>1614</v>
      </c>
      <c r="AF253">
        <v>5004</v>
      </c>
    </row>
    <row r="254" spans="1:32" hidden="1">
      <c r="A254" s="41" t="s">
        <v>1117</v>
      </c>
      <c r="B254" s="41">
        <v>249</v>
      </c>
      <c r="C254" s="41">
        <v>289</v>
      </c>
      <c r="D254" s="41">
        <v>262</v>
      </c>
      <c r="E254" s="41">
        <v>251</v>
      </c>
      <c r="F254" s="41">
        <v>279</v>
      </c>
      <c r="G254" s="41">
        <v>166</v>
      </c>
      <c r="H254" s="41">
        <v>128</v>
      </c>
      <c r="I254" s="41">
        <v>144</v>
      </c>
      <c r="J254" s="41">
        <v>118</v>
      </c>
      <c r="K254">
        <v>52</v>
      </c>
      <c r="L254">
        <v>82</v>
      </c>
      <c r="M254">
        <v>55</v>
      </c>
      <c r="N254">
        <v>59</v>
      </c>
      <c r="O254">
        <v>0</v>
      </c>
      <c r="P254">
        <v>0</v>
      </c>
      <c r="Q254">
        <v>0</v>
      </c>
      <c r="R254">
        <v>0</v>
      </c>
      <c r="S254">
        <v>0</v>
      </c>
      <c r="T254">
        <v>0</v>
      </c>
      <c r="U254">
        <v>0</v>
      </c>
      <c r="V254">
        <v>0</v>
      </c>
      <c r="W254">
        <v>0</v>
      </c>
      <c r="X254">
        <v>0</v>
      </c>
      <c r="Y254">
        <v>0</v>
      </c>
      <c r="Z254">
        <v>0</v>
      </c>
      <c r="AA254">
        <v>0</v>
      </c>
      <c r="AD254" t="s">
        <v>796</v>
      </c>
      <c r="AE254" s="19">
        <v>2721</v>
      </c>
      <c r="AF254">
        <v>7438</v>
      </c>
    </row>
    <row r="255" spans="1:32" hidden="1">
      <c r="A255" s="41" t="s">
        <v>658</v>
      </c>
      <c r="B255" s="41">
        <v>757</v>
      </c>
      <c r="C255" s="41">
        <v>792</v>
      </c>
      <c r="D255" s="41">
        <v>718</v>
      </c>
      <c r="E255" s="41">
        <v>777</v>
      </c>
      <c r="F255" s="41">
        <v>818</v>
      </c>
      <c r="G255" s="41">
        <v>763</v>
      </c>
      <c r="H255" s="41">
        <v>939</v>
      </c>
      <c r="I255" s="41">
        <v>613</v>
      </c>
      <c r="J255" s="41">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652</v>
      </c>
      <c r="AE255" s="19">
        <v>1207</v>
      </c>
      <c r="AF255">
        <v>3445</v>
      </c>
    </row>
    <row r="256" spans="1:32" hidden="1">
      <c r="A256" s="41" t="s">
        <v>604</v>
      </c>
      <c r="B256" s="41">
        <v>0</v>
      </c>
      <c r="C256" s="41">
        <v>0</v>
      </c>
      <c r="D256" s="41">
        <v>0</v>
      </c>
      <c r="E256" s="41">
        <v>0</v>
      </c>
      <c r="F256" s="41">
        <v>0</v>
      </c>
      <c r="G256" s="41">
        <v>0</v>
      </c>
      <c r="H256" s="41">
        <v>0</v>
      </c>
      <c r="I256" s="41">
        <v>0</v>
      </c>
      <c r="J256" s="41">
        <v>18</v>
      </c>
      <c r="K256">
        <v>450</v>
      </c>
      <c r="L256">
        <v>539</v>
      </c>
      <c r="M256">
        <v>0</v>
      </c>
      <c r="N256">
        <v>630</v>
      </c>
      <c r="O256">
        <v>0</v>
      </c>
      <c r="P256">
        <v>0</v>
      </c>
      <c r="Q256">
        <v>0</v>
      </c>
      <c r="R256">
        <v>0</v>
      </c>
      <c r="S256">
        <v>0</v>
      </c>
      <c r="T256">
        <v>0</v>
      </c>
      <c r="U256">
        <v>0</v>
      </c>
      <c r="V256">
        <v>0</v>
      </c>
      <c r="W256">
        <v>0</v>
      </c>
      <c r="X256">
        <v>127</v>
      </c>
      <c r="Y256">
        <v>159</v>
      </c>
      <c r="Z256">
        <v>0</v>
      </c>
      <c r="AA256">
        <v>241</v>
      </c>
      <c r="AD256" s="39" t="s">
        <v>575</v>
      </c>
      <c r="AE256" s="19">
        <v>611</v>
      </c>
      <c r="AF256">
        <v>3692</v>
      </c>
    </row>
    <row r="257" spans="1:32" hidden="1">
      <c r="A257" s="41" t="s">
        <v>1118</v>
      </c>
      <c r="B257" s="41">
        <v>415</v>
      </c>
      <c r="C257" s="41">
        <v>390</v>
      </c>
      <c r="D257" s="41">
        <v>389</v>
      </c>
      <c r="E257" s="41">
        <v>386</v>
      </c>
      <c r="F257" s="41">
        <v>247</v>
      </c>
      <c r="G257" s="41">
        <v>283</v>
      </c>
      <c r="H257" s="41">
        <v>275</v>
      </c>
      <c r="I257" s="41">
        <v>240</v>
      </c>
      <c r="J257" s="41">
        <v>132</v>
      </c>
      <c r="K257">
        <v>129</v>
      </c>
      <c r="L257">
        <v>130</v>
      </c>
      <c r="M257">
        <v>96</v>
      </c>
      <c r="N257">
        <v>181</v>
      </c>
      <c r="O257">
        <v>0</v>
      </c>
      <c r="P257">
        <v>0</v>
      </c>
      <c r="Q257">
        <v>0</v>
      </c>
      <c r="R257">
        <v>0</v>
      </c>
      <c r="S257">
        <v>0</v>
      </c>
      <c r="T257">
        <v>0</v>
      </c>
      <c r="U257">
        <v>0</v>
      </c>
      <c r="V257">
        <v>0</v>
      </c>
      <c r="W257">
        <v>0</v>
      </c>
      <c r="X257">
        <v>0</v>
      </c>
      <c r="Y257">
        <v>0</v>
      </c>
      <c r="Z257">
        <v>0</v>
      </c>
      <c r="AA257">
        <v>0</v>
      </c>
      <c r="AD257" t="s">
        <v>794</v>
      </c>
      <c r="AE257" s="19">
        <v>2751</v>
      </c>
      <c r="AF257">
        <v>6496</v>
      </c>
    </row>
    <row r="258" spans="1:32" hidden="1">
      <c r="A258" s="41" t="s">
        <v>648</v>
      </c>
      <c r="B258" s="41">
        <v>2526</v>
      </c>
      <c r="C258" s="41">
        <v>2812</v>
      </c>
      <c r="D258" s="41">
        <v>1885</v>
      </c>
      <c r="E258" s="41">
        <v>1859</v>
      </c>
      <c r="F258" s="41">
        <v>1363</v>
      </c>
      <c r="G258" s="41">
        <v>1537</v>
      </c>
      <c r="H258" s="41">
        <v>1028</v>
      </c>
      <c r="I258" s="41">
        <v>990</v>
      </c>
      <c r="J258" s="41">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2" hidden="1">
      <c r="A259" s="41" t="s">
        <v>794</v>
      </c>
      <c r="B259" s="41">
        <v>6506</v>
      </c>
      <c r="C259" s="41">
        <v>1653</v>
      </c>
      <c r="D259" s="41">
        <v>1706</v>
      </c>
      <c r="E259" s="41">
        <v>3416</v>
      </c>
      <c r="F259" s="41">
        <v>2077</v>
      </c>
      <c r="G259" s="41">
        <v>1490</v>
      </c>
      <c r="H259" s="41">
        <v>1556</v>
      </c>
      <c r="I259" s="41">
        <v>1335</v>
      </c>
      <c r="J259" s="41">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508</v>
      </c>
      <c r="AE259" s="19">
        <v>1005</v>
      </c>
      <c r="AF259">
        <v>2708</v>
      </c>
    </row>
    <row r="260" spans="1:32" hidden="1">
      <c r="A260" s="41" t="s">
        <v>1119</v>
      </c>
      <c r="B260" s="41">
        <v>174</v>
      </c>
      <c r="C260" s="41">
        <v>135</v>
      </c>
      <c r="D260" s="41">
        <v>92</v>
      </c>
      <c r="E260" s="41">
        <v>87</v>
      </c>
      <c r="F260" s="41">
        <v>54</v>
      </c>
      <c r="G260" s="41">
        <v>58</v>
      </c>
      <c r="H260" s="41">
        <v>62</v>
      </c>
      <c r="I260" s="41">
        <v>54</v>
      </c>
      <c r="J260" s="41">
        <v>44</v>
      </c>
      <c r="K260">
        <v>42</v>
      </c>
      <c r="L260">
        <v>58</v>
      </c>
      <c r="M260">
        <v>59</v>
      </c>
      <c r="N260">
        <v>44</v>
      </c>
      <c r="O260">
        <v>0</v>
      </c>
      <c r="P260">
        <v>0</v>
      </c>
      <c r="Q260">
        <v>0</v>
      </c>
      <c r="R260">
        <v>0</v>
      </c>
      <c r="S260">
        <v>0</v>
      </c>
      <c r="T260">
        <v>0</v>
      </c>
      <c r="U260">
        <v>0</v>
      </c>
      <c r="V260">
        <v>0</v>
      </c>
      <c r="W260">
        <v>0</v>
      </c>
      <c r="X260">
        <v>0</v>
      </c>
      <c r="Y260">
        <v>0</v>
      </c>
      <c r="Z260">
        <v>0</v>
      </c>
      <c r="AA260">
        <v>0</v>
      </c>
      <c r="AD260" t="s">
        <v>598</v>
      </c>
      <c r="AE260" s="19">
        <v>1039</v>
      </c>
      <c r="AF260">
        <v>4619</v>
      </c>
    </row>
    <row r="261" spans="1:32" hidden="1">
      <c r="A261" s="41" t="s">
        <v>674</v>
      </c>
      <c r="B261" s="41">
        <v>469</v>
      </c>
      <c r="C261" s="41">
        <v>547</v>
      </c>
      <c r="D261" s="41">
        <v>493</v>
      </c>
      <c r="E261" s="41">
        <v>532</v>
      </c>
      <c r="F261" s="41">
        <v>375</v>
      </c>
      <c r="G261" s="41">
        <v>375</v>
      </c>
      <c r="H261" s="41">
        <v>334</v>
      </c>
      <c r="I261" s="41">
        <v>408</v>
      </c>
      <c r="J261" s="41">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587</v>
      </c>
      <c r="AE261" s="19">
        <v>1195</v>
      </c>
      <c r="AF261">
        <v>4657</v>
      </c>
    </row>
    <row r="262" spans="1:32" hidden="1">
      <c r="A262" s="41" t="s">
        <v>728</v>
      </c>
      <c r="B262" s="41">
        <v>1174</v>
      </c>
      <c r="C262" s="41">
        <v>1444</v>
      </c>
      <c r="D262" s="41">
        <v>894</v>
      </c>
      <c r="E262" s="41">
        <v>634</v>
      </c>
      <c r="F262" s="41">
        <v>688</v>
      </c>
      <c r="G262" s="41">
        <v>950</v>
      </c>
      <c r="H262" s="41">
        <v>795</v>
      </c>
      <c r="I262" s="41">
        <v>1036</v>
      </c>
      <c r="J262" s="41">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686</v>
      </c>
      <c r="AE262" s="19">
        <v>2263</v>
      </c>
      <c r="AF262">
        <v>9919</v>
      </c>
    </row>
    <row r="263" spans="1:32" hidden="1">
      <c r="A263" s="41" t="s">
        <v>796</v>
      </c>
      <c r="B263" s="41">
        <v>2377</v>
      </c>
      <c r="C263" s="41">
        <v>2724</v>
      </c>
      <c r="D263" s="41">
        <v>2647</v>
      </c>
      <c r="E263" s="41">
        <v>2129</v>
      </c>
      <c r="F263" s="41">
        <v>1557</v>
      </c>
      <c r="G263" s="41">
        <v>2007</v>
      </c>
      <c r="H263" s="41">
        <v>1624</v>
      </c>
      <c r="I263" s="41">
        <v>1818</v>
      </c>
      <c r="J263" s="41">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563</v>
      </c>
      <c r="AE263" s="19">
        <v>2201</v>
      </c>
      <c r="AF263">
        <v>4203</v>
      </c>
    </row>
    <row r="264" spans="1:32" hidden="1">
      <c r="A264" s="41" t="s">
        <v>813</v>
      </c>
      <c r="B264" s="41">
        <v>5506</v>
      </c>
      <c r="C264" s="41">
        <v>6106</v>
      </c>
      <c r="D264" s="41">
        <v>7999</v>
      </c>
      <c r="E264" s="41">
        <v>9107</v>
      </c>
      <c r="F264" s="41">
        <v>5073</v>
      </c>
      <c r="G264" s="41">
        <v>15811</v>
      </c>
      <c r="H264" s="41">
        <v>7910</v>
      </c>
      <c r="I264" s="41">
        <v>2182</v>
      </c>
      <c r="J264" s="41">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540</v>
      </c>
      <c r="AE264" s="19">
        <v>1667</v>
      </c>
      <c r="AF264">
        <v>5879</v>
      </c>
    </row>
    <row r="265" spans="1:32" hidden="1">
      <c r="A265" s="41" t="s">
        <v>882</v>
      </c>
      <c r="B265" s="41">
        <v>542</v>
      </c>
      <c r="C265" s="41">
        <v>447</v>
      </c>
      <c r="D265" s="41">
        <v>282</v>
      </c>
      <c r="E265" s="41">
        <v>395</v>
      </c>
      <c r="F265" s="41">
        <v>247</v>
      </c>
      <c r="G265" s="41">
        <v>312</v>
      </c>
      <c r="H265" s="41">
        <v>1053</v>
      </c>
      <c r="I265" s="41">
        <v>318</v>
      </c>
      <c r="J265" s="41">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512</v>
      </c>
      <c r="AE265" s="19">
        <v>4039</v>
      </c>
      <c r="AF265">
        <v>7601</v>
      </c>
    </row>
    <row r="266" spans="1:32" hidden="1">
      <c r="A266" s="41" t="s">
        <v>614</v>
      </c>
      <c r="B266" s="41">
        <v>10487</v>
      </c>
      <c r="C266" s="41">
        <v>11096</v>
      </c>
      <c r="D266" s="41">
        <v>9969</v>
      </c>
      <c r="E266" s="41">
        <v>12032</v>
      </c>
      <c r="F266" s="41">
        <v>10029</v>
      </c>
      <c r="G266" s="41">
        <v>8746</v>
      </c>
      <c r="H266" s="41">
        <v>7125</v>
      </c>
      <c r="I266" s="41">
        <v>8281</v>
      </c>
      <c r="J266" s="41">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583</v>
      </c>
      <c r="AE266" s="19">
        <v>1372</v>
      </c>
      <c r="AF266">
        <v>4022</v>
      </c>
    </row>
    <row r="267" spans="1:32" hidden="1">
      <c r="A267" s="41" t="s">
        <v>232</v>
      </c>
      <c r="B267" s="41">
        <v>386</v>
      </c>
      <c r="C267" s="41">
        <v>647</v>
      </c>
      <c r="D267" s="41">
        <v>473</v>
      </c>
      <c r="E267" s="41">
        <v>454</v>
      </c>
      <c r="F267" s="41">
        <v>433</v>
      </c>
      <c r="G267" s="41">
        <v>448</v>
      </c>
      <c r="H267" s="41">
        <v>460</v>
      </c>
      <c r="I267" s="41">
        <v>491</v>
      </c>
      <c r="J267" s="41">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769</v>
      </c>
      <c r="AE267" s="19">
        <v>1220</v>
      </c>
      <c r="AF267">
        <v>3596</v>
      </c>
    </row>
    <row r="268" spans="1:32" hidden="1">
      <c r="A268" s="41" t="s">
        <v>680</v>
      </c>
      <c r="B268" s="41">
        <v>445</v>
      </c>
      <c r="C268" s="41">
        <v>551</v>
      </c>
      <c r="D268" s="41">
        <v>534</v>
      </c>
      <c r="E268" s="41">
        <v>388</v>
      </c>
      <c r="F268" s="41">
        <v>262</v>
      </c>
      <c r="G268" s="41">
        <v>245</v>
      </c>
      <c r="H268" s="41">
        <v>228</v>
      </c>
      <c r="I268" s="41">
        <v>232</v>
      </c>
      <c r="J268" s="41">
        <v>134</v>
      </c>
      <c r="K268">
        <v>38</v>
      </c>
      <c r="L268">
        <v>0</v>
      </c>
      <c r="M268">
        <v>0</v>
      </c>
      <c r="N268">
        <v>0</v>
      </c>
      <c r="O268">
        <v>167</v>
      </c>
      <c r="P268">
        <v>239</v>
      </c>
      <c r="Q268">
        <v>240</v>
      </c>
      <c r="R268">
        <v>162</v>
      </c>
      <c r="S268">
        <v>123</v>
      </c>
      <c r="T268">
        <v>90</v>
      </c>
      <c r="U268">
        <v>96</v>
      </c>
      <c r="V268">
        <v>94</v>
      </c>
      <c r="W268">
        <v>50</v>
      </c>
      <c r="X268">
        <v>1</v>
      </c>
      <c r="Y268">
        <v>0</v>
      </c>
      <c r="Z268">
        <v>0</v>
      </c>
      <c r="AA268">
        <v>0</v>
      </c>
      <c r="AD268" t="s">
        <v>619</v>
      </c>
      <c r="AE268" s="19">
        <v>3</v>
      </c>
      <c r="AF268">
        <v>17</v>
      </c>
    </row>
    <row r="269" spans="1:32" hidden="1">
      <c r="A269" s="41" t="s">
        <v>885</v>
      </c>
      <c r="B269" s="41">
        <v>567</v>
      </c>
      <c r="C269" s="41">
        <v>717</v>
      </c>
      <c r="D269" s="41">
        <v>613</v>
      </c>
      <c r="E269" s="41">
        <v>721</v>
      </c>
      <c r="F269" s="41">
        <v>711</v>
      </c>
      <c r="G269" s="41">
        <v>650</v>
      </c>
      <c r="H269" s="41">
        <v>795</v>
      </c>
      <c r="I269" s="41">
        <v>643</v>
      </c>
      <c r="J269" s="41">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row>
    <row r="270" spans="1:32" hidden="1">
      <c r="A270" s="41" t="s">
        <v>997</v>
      </c>
      <c r="B270" s="41">
        <v>776</v>
      </c>
      <c r="C270" s="41">
        <v>961</v>
      </c>
      <c r="D270" s="41">
        <v>1120</v>
      </c>
      <c r="E270" s="41">
        <v>2090</v>
      </c>
      <c r="F270" s="41">
        <v>1559</v>
      </c>
      <c r="G270" s="41">
        <v>1571</v>
      </c>
      <c r="H270" s="41">
        <v>1068</v>
      </c>
      <c r="I270" s="41">
        <v>1080</v>
      </c>
      <c r="J270" s="41">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9" t="s">
        <v>525</v>
      </c>
      <c r="AE270" s="19">
        <v>934</v>
      </c>
      <c r="AF270">
        <v>3630</v>
      </c>
    </row>
    <row r="271" spans="1:32" hidden="1">
      <c r="A271" s="41" t="s">
        <v>929</v>
      </c>
      <c r="B271" s="41">
        <v>1071</v>
      </c>
      <c r="C271" s="41">
        <v>848</v>
      </c>
      <c r="D271" s="41">
        <v>759</v>
      </c>
      <c r="E271" s="41">
        <v>3829</v>
      </c>
      <c r="F271" s="41">
        <v>15</v>
      </c>
      <c r="G271" s="41">
        <v>466</v>
      </c>
      <c r="H271" s="41">
        <v>114</v>
      </c>
      <c r="I271" s="41">
        <v>1150</v>
      </c>
      <c r="J271" s="41">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767</v>
      </c>
      <c r="AE271" s="19">
        <v>1303</v>
      </c>
      <c r="AF271">
        <v>3252</v>
      </c>
    </row>
    <row r="272" spans="1:32" hidden="1">
      <c r="A272" s="41" t="s">
        <v>1120</v>
      </c>
      <c r="B272" s="41">
        <v>0</v>
      </c>
      <c r="C272" s="41">
        <v>0</v>
      </c>
      <c r="D272" s="41">
        <v>0</v>
      </c>
      <c r="E272" s="41">
        <v>7</v>
      </c>
      <c r="F272" s="41">
        <v>127</v>
      </c>
      <c r="G272" s="41">
        <v>250</v>
      </c>
      <c r="H272" s="41">
        <v>317</v>
      </c>
      <c r="I272" s="41">
        <v>232</v>
      </c>
      <c r="J272" s="41">
        <v>152</v>
      </c>
      <c r="K272">
        <v>247</v>
      </c>
      <c r="L272">
        <v>175</v>
      </c>
      <c r="M272">
        <v>191</v>
      </c>
      <c r="N272">
        <v>365</v>
      </c>
      <c r="O272">
        <v>0</v>
      </c>
      <c r="P272">
        <v>0</v>
      </c>
      <c r="Q272">
        <v>0</v>
      </c>
      <c r="R272">
        <v>0</v>
      </c>
      <c r="S272">
        <v>22</v>
      </c>
      <c r="T272">
        <v>60</v>
      </c>
      <c r="U272">
        <v>93</v>
      </c>
      <c r="V272">
        <v>62</v>
      </c>
      <c r="W272">
        <v>43</v>
      </c>
      <c r="X272">
        <v>86</v>
      </c>
      <c r="Y272">
        <v>81</v>
      </c>
      <c r="Z272">
        <v>36</v>
      </c>
      <c r="AA272">
        <v>127</v>
      </c>
      <c r="AE272" s="19"/>
    </row>
    <row r="273" spans="1:32" hidden="1">
      <c r="A273" s="41" t="s">
        <v>1121</v>
      </c>
      <c r="B273" s="41">
        <v>0</v>
      </c>
      <c r="C273" s="41">
        <v>0</v>
      </c>
      <c r="D273" s="41">
        <v>0</v>
      </c>
      <c r="E273" s="41">
        <v>7</v>
      </c>
      <c r="F273" s="41">
        <v>78</v>
      </c>
      <c r="G273" s="41">
        <v>758</v>
      </c>
      <c r="H273" s="41">
        <v>617</v>
      </c>
      <c r="I273" s="41">
        <v>591</v>
      </c>
      <c r="J273" s="41">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565</v>
      </c>
      <c r="AE273" s="19">
        <v>706</v>
      </c>
      <c r="AF273">
        <v>2196</v>
      </c>
    </row>
    <row r="274" spans="1:32" hidden="1">
      <c r="A274" s="41" t="s">
        <v>850</v>
      </c>
      <c r="B274" s="41">
        <v>1376</v>
      </c>
      <c r="C274" s="41">
        <v>1490</v>
      </c>
      <c r="D274" s="41">
        <v>1633</v>
      </c>
      <c r="E274" s="41">
        <v>2115</v>
      </c>
      <c r="F274" s="41">
        <v>2313</v>
      </c>
      <c r="G274" s="41">
        <v>2024</v>
      </c>
      <c r="H274" s="41">
        <v>1534</v>
      </c>
      <c r="I274" s="41">
        <v>1289</v>
      </c>
      <c r="J274" s="41">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700</v>
      </c>
      <c r="AE274" s="19">
        <v>995</v>
      </c>
      <c r="AF274">
        <v>2538</v>
      </c>
    </row>
    <row r="275" spans="1:32" hidden="1">
      <c r="A275" s="41" t="s">
        <v>989</v>
      </c>
      <c r="B275" s="41">
        <v>1494</v>
      </c>
      <c r="C275" s="41">
        <v>1532</v>
      </c>
      <c r="D275" s="41">
        <v>901</v>
      </c>
      <c r="E275" s="41">
        <v>903</v>
      </c>
      <c r="F275" s="41">
        <v>880</v>
      </c>
      <c r="G275" s="41">
        <v>537</v>
      </c>
      <c r="H275" s="41">
        <v>563</v>
      </c>
      <c r="I275" s="41">
        <v>485</v>
      </c>
      <c r="J275" s="41">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604</v>
      </c>
      <c r="AE275" s="19">
        <v>942</v>
      </c>
      <c r="AF275">
        <v>2473</v>
      </c>
    </row>
    <row r="276" spans="1:32" hidden="1">
      <c r="A276" s="41" t="s">
        <v>949</v>
      </c>
      <c r="B276" s="41">
        <v>1023</v>
      </c>
      <c r="C276" s="41">
        <v>1283</v>
      </c>
      <c r="D276" s="41">
        <v>920</v>
      </c>
      <c r="E276" s="41">
        <v>1123</v>
      </c>
      <c r="F276" s="41">
        <v>615</v>
      </c>
      <c r="G276" s="41">
        <v>941</v>
      </c>
      <c r="H276" s="41">
        <v>626</v>
      </c>
      <c r="I276" s="41">
        <v>624</v>
      </c>
      <c r="J276" s="41">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696</v>
      </c>
      <c r="AE276" s="19">
        <v>697</v>
      </c>
      <c r="AF276">
        <v>1674</v>
      </c>
    </row>
    <row r="277" spans="1:32" hidden="1">
      <c r="A277" s="41" t="s">
        <v>901</v>
      </c>
      <c r="B277" s="41">
        <v>377</v>
      </c>
      <c r="C277" s="41">
        <v>285</v>
      </c>
      <c r="D277" s="41">
        <v>264</v>
      </c>
      <c r="E277" s="41">
        <v>244</v>
      </c>
      <c r="F277" s="41">
        <v>128</v>
      </c>
      <c r="G277" s="41">
        <v>161</v>
      </c>
      <c r="H277" s="41">
        <v>152</v>
      </c>
      <c r="I277" s="41">
        <v>126</v>
      </c>
      <c r="J277" s="41">
        <v>96</v>
      </c>
      <c r="K277">
        <v>64</v>
      </c>
      <c r="L277">
        <v>65</v>
      </c>
      <c r="M277">
        <v>50</v>
      </c>
      <c r="N277">
        <v>0</v>
      </c>
      <c r="O277">
        <v>125</v>
      </c>
      <c r="P277">
        <v>93</v>
      </c>
      <c r="Q277">
        <v>57</v>
      </c>
      <c r="R277">
        <v>87</v>
      </c>
      <c r="S277">
        <v>53</v>
      </c>
      <c r="T277">
        <v>79</v>
      </c>
      <c r="U277">
        <v>81</v>
      </c>
      <c r="V277">
        <v>52</v>
      </c>
      <c r="W277">
        <v>43</v>
      </c>
      <c r="X277">
        <v>47</v>
      </c>
      <c r="Y277">
        <v>42</v>
      </c>
      <c r="Z277">
        <v>35</v>
      </c>
      <c r="AA277">
        <v>1</v>
      </c>
      <c r="AE277" s="19"/>
    </row>
    <row r="278" spans="1:32" hidden="1">
      <c r="A278" s="41" t="s">
        <v>841</v>
      </c>
      <c r="B278" s="41">
        <v>3171</v>
      </c>
      <c r="C278" s="41">
        <v>4127</v>
      </c>
      <c r="D278" s="41">
        <v>3524</v>
      </c>
      <c r="E278" s="41">
        <v>3184</v>
      </c>
      <c r="F278" s="41">
        <v>2090</v>
      </c>
      <c r="G278" s="41">
        <v>2207</v>
      </c>
      <c r="H278" s="41">
        <v>2204</v>
      </c>
      <c r="I278" s="41">
        <v>1840</v>
      </c>
      <c r="J278" s="41">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519</v>
      </c>
      <c r="AE278" s="19">
        <v>1841</v>
      </c>
      <c r="AF278">
        <v>5613</v>
      </c>
    </row>
    <row r="279" spans="1:32" hidden="1">
      <c r="A279" s="41" t="s">
        <v>983</v>
      </c>
      <c r="B279" s="41">
        <v>2072</v>
      </c>
      <c r="C279" s="41">
        <v>1791</v>
      </c>
      <c r="D279" s="41">
        <v>1421</v>
      </c>
      <c r="E279" s="41">
        <v>1912</v>
      </c>
      <c r="F279" s="41">
        <v>1584</v>
      </c>
      <c r="G279" s="41">
        <v>1583</v>
      </c>
      <c r="H279" s="41">
        <v>1623</v>
      </c>
      <c r="I279" s="41">
        <v>1306</v>
      </c>
      <c r="J279" s="41">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row>
    <row r="280" spans="1:32" hidden="1">
      <c r="A280" s="41" t="s">
        <v>1122</v>
      </c>
      <c r="B280" s="41">
        <v>187</v>
      </c>
      <c r="C280" s="41">
        <v>195</v>
      </c>
      <c r="D280" s="41">
        <v>162</v>
      </c>
      <c r="E280" s="41">
        <v>91</v>
      </c>
      <c r="F280" s="41">
        <v>296</v>
      </c>
      <c r="G280" s="41">
        <v>376</v>
      </c>
      <c r="H280" s="41">
        <v>287</v>
      </c>
      <c r="I280" s="41">
        <v>274</v>
      </c>
      <c r="J280" s="41">
        <v>175</v>
      </c>
      <c r="K280">
        <v>139</v>
      </c>
      <c r="L280">
        <v>142</v>
      </c>
      <c r="M280">
        <v>137</v>
      </c>
      <c r="N280">
        <v>269</v>
      </c>
      <c r="O280">
        <v>0</v>
      </c>
      <c r="P280">
        <v>0</v>
      </c>
      <c r="Q280">
        <v>0</v>
      </c>
      <c r="R280">
        <v>0</v>
      </c>
      <c r="S280">
        <v>0</v>
      </c>
      <c r="T280">
        <v>0</v>
      </c>
      <c r="U280">
        <v>0</v>
      </c>
      <c r="V280">
        <v>0</v>
      </c>
      <c r="W280">
        <v>0</v>
      </c>
      <c r="X280">
        <v>0</v>
      </c>
      <c r="Y280">
        <v>0</v>
      </c>
      <c r="Z280">
        <v>0</v>
      </c>
      <c r="AA280">
        <v>0</v>
      </c>
      <c r="AD280" t="s">
        <v>521</v>
      </c>
      <c r="AE280" s="19">
        <v>337</v>
      </c>
      <c r="AF280">
        <v>1555</v>
      </c>
    </row>
    <row r="281" spans="1:32" hidden="1">
      <c r="A281" s="41" t="s">
        <v>384</v>
      </c>
      <c r="B281" s="41">
        <v>3502</v>
      </c>
      <c r="C281" s="41">
        <v>2908</v>
      </c>
      <c r="D281" s="41">
        <v>1916</v>
      </c>
      <c r="E281" s="41">
        <v>1345</v>
      </c>
      <c r="F281" s="41">
        <v>1184</v>
      </c>
      <c r="G281" s="41">
        <v>1013</v>
      </c>
      <c r="H281" s="41">
        <v>922</v>
      </c>
      <c r="I281" s="41">
        <v>1373</v>
      </c>
      <c r="J281" s="41">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684</v>
      </c>
      <c r="AE281" s="19">
        <v>456</v>
      </c>
      <c r="AF281">
        <v>1042</v>
      </c>
    </row>
    <row r="282" spans="1:32" hidden="1">
      <c r="A282" s="41" t="s">
        <v>324</v>
      </c>
      <c r="B282" s="41">
        <v>955</v>
      </c>
      <c r="C282" s="41">
        <v>925</v>
      </c>
      <c r="D282" s="41">
        <v>790</v>
      </c>
      <c r="E282" s="41">
        <v>789</v>
      </c>
      <c r="F282" s="41">
        <v>679</v>
      </c>
      <c r="G282" s="41">
        <v>900</v>
      </c>
      <c r="H282" s="41">
        <v>740</v>
      </c>
      <c r="I282" s="41">
        <v>672</v>
      </c>
      <c r="J282" s="41">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732</v>
      </c>
      <c r="AE282" s="19">
        <v>1330</v>
      </c>
      <c r="AF282">
        <v>3293</v>
      </c>
    </row>
    <row r="283" spans="1:32" hidden="1">
      <c r="A283" s="41" t="s">
        <v>480</v>
      </c>
      <c r="B283" s="41">
        <v>926</v>
      </c>
      <c r="C283" s="41">
        <v>1037</v>
      </c>
      <c r="D283" s="41">
        <v>1105</v>
      </c>
      <c r="E283" s="41">
        <v>1299</v>
      </c>
      <c r="F283" s="41">
        <v>1069</v>
      </c>
      <c r="G283" s="41">
        <v>1267</v>
      </c>
      <c r="H283" s="41">
        <v>832</v>
      </c>
      <c r="I283" s="41">
        <v>1225</v>
      </c>
      <c r="J283" s="41">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734</v>
      </c>
      <c r="AE283" s="19">
        <v>736</v>
      </c>
      <c r="AF283">
        <v>3441</v>
      </c>
    </row>
    <row r="284" spans="1:32" hidden="1">
      <c r="A284" s="41" t="s">
        <v>228</v>
      </c>
      <c r="B284" s="41">
        <v>3641</v>
      </c>
      <c r="C284" s="41">
        <v>2735</v>
      </c>
      <c r="D284" s="41">
        <v>3567</v>
      </c>
      <c r="E284" s="41">
        <v>2779</v>
      </c>
      <c r="F284" s="41">
        <v>2881</v>
      </c>
      <c r="G284" s="41">
        <v>2559</v>
      </c>
      <c r="H284" s="41">
        <v>2501</v>
      </c>
      <c r="I284" s="41">
        <v>2075</v>
      </c>
      <c r="J284" s="41">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row>
    <row r="285" spans="1:32" hidden="1">
      <c r="A285" s="41" t="s">
        <v>90</v>
      </c>
      <c r="B285" s="41">
        <v>1513</v>
      </c>
      <c r="C285" s="41">
        <v>1383</v>
      </c>
      <c r="D285" s="41">
        <v>1814</v>
      </c>
      <c r="E285" s="41">
        <v>2238</v>
      </c>
      <c r="F285" s="41">
        <v>1732</v>
      </c>
      <c r="G285" s="41">
        <v>1325</v>
      </c>
      <c r="H285" s="41">
        <v>1186</v>
      </c>
      <c r="I285" s="41">
        <v>5017</v>
      </c>
      <c r="J285" s="41">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9" t="s">
        <v>757</v>
      </c>
      <c r="AE285" s="19">
        <v>1391</v>
      </c>
      <c r="AF285">
        <v>4065</v>
      </c>
    </row>
    <row r="286" spans="1:32" hidden="1">
      <c r="A286" s="41" t="s">
        <v>60</v>
      </c>
      <c r="B286" s="41">
        <v>3781</v>
      </c>
      <c r="C286" s="41">
        <v>2038</v>
      </c>
      <c r="D286" s="41">
        <v>5905</v>
      </c>
      <c r="E286" s="41">
        <v>1004</v>
      </c>
      <c r="F286" s="41">
        <v>817</v>
      </c>
      <c r="G286" s="41">
        <v>984</v>
      </c>
      <c r="H286" s="41">
        <v>795</v>
      </c>
      <c r="I286" s="41">
        <v>1122</v>
      </c>
      <c r="J286" s="41">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506</v>
      </c>
      <c r="AE286" s="19">
        <v>1388</v>
      </c>
      <c r="AF286">
        <v>3467</v>
      </c>
    </row>
    <row r="287" spans="1:32" hidden="1">
      <c r="A287" s="41" t="s">
        <v>254</v>
      </c>
      <c r="B287" s="41">
        <v>2591</v>
      </c>
      <c r="C287" s="41">
        <v>5074</v>
      </c>
      <c r="D287" s="41">
        <v>3286</v>
      </c>
      <c r="E287" s="41">
        <v>4622</v>
      </c>
      <c r="F287" s="41">
        <v>4504</v>
      </c>
      <c r="G287" s="41">
        <v>2900</v>
      </c>
      <c r="H287" s="41">
        <v>1937</v>
      </c>
      <c r="I287" s="41">
        <v>2049</v>
      </c>
      <c r="J287" s="41">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9" t="s">
        <v>702</v>
      </c>
      <c r="AE287" s="19">
        <v>2475</v>
      </c>
      <c r="AF287">
        <v>7874</v>
      </c>
    </row>
    <row r="288" spans="1:32" hidden="1">
      <c r="A288" s="41" t="s">
        <v>186</v>
      </c>
      <c r="B288" s="41">
        <v>0</v>
      </c>
      <c r="C288" s="41">
        <v>0</v>
      </c>
      <c r="D288" s="41">
        <v>0</v>
      </c>
      <c r="E288" s="41">
        <v>0</v>
      </c>
      <c r="F288" s="41">
        <v>0</v>
      </c>
      <c r="G288" s="41">
        <v>0</v>
      </c>
      <c r="H288" s="41">
        <v>44</v>
      </c>
      <c r="I288" s="41">
        <v>357</v>
      </c>
      <c r="J288" s="41">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row>
    <row r="289" spans="1:32" hidden="1">
      <c r="A289" s="41" t="s">
        <v>987</v>
      </c>
      <c r="B289" s="41">
        <v>0</v>
      </c>
      <c r="C289" s="41">
        <v>0</v>
      </c>
      <c r="D289" s="41">
        <v>0</v>
      </c>
      <c r="E289" s="41">
        <v>0</v>
      </c>
      <c r="F289" s="41">
        <v>0</v>
      </c>
      <c r="G289" s="41">
        <v>0</v>
      </c>
      <c r="H289" s="41">
        <v>0</v>
      </c>
      <c r="I289" s="41">
        <v>0</v>
      </c>
      <c r="J289" s="41">
        <v>2</v>
      </c>
      <c r="K289">
        <v>203</v>
      </c>
      <c r="L289">
        <v>248</v>
      </c>
      <c r="M289">
        <v>614</v>
      </c>
      <c r="N289">
        <v>482</v>
      </c>
      <c r="O289">
        <v>0</v>
      </c>
      <c r="P289">
        <v>0</v>
      </c>
      <c r="Q289">
        <v>0</v>
      </c>
      <c r="R289">
        <v>0</v>
      </c>
      <c r="S289">
        <v>0</v>
      </c>
      <c r="T289">
        <v>0</v>
      </c>
      <c r="U289">
        <v>0</v>
      </c>
      <c r="V289">
        <v>0</v>
      </c>
      <c r="W289">
        <v>0</v>
      </c>
      <c r="X289">
        <v>89</v>
      </c>
      <c r="Y289">
        <v>52</v>
      </c>
      <c r="Z289">
        <v>106</v>
      </c>
      <c r="AA289">
        <v>93</v>
      </c>
      <c r="AD289" t="s">
        <v>692</v>
      </c>
      <c r="AE289" s="19">
        <v>2459</v>
      </c>
      <c r="AF289">
        <v>6009</v>
      </c>
    </row>
    <row r="290" spans="1:32" hidden="1">
      <c r="A290" s="41" t="s">
        <v>848</v>
      </c>
      <c r="B290" s="41">
        <v>1239</v>
      </c>
      <c r="C290" s="41">
        <v>1186</v>
      </c>
      <c r="D290" s="41">
        <v>1067</v>
      </c>
      <c r="E290" s="41">
        <v>1047</v>
      </c>
      <c r="F290" s="41">
        <v>773</v>
      </c>
      <c r="G290" s="41">
        <v>930</v>
      </c>
      <c r="H290" s="41">
        <v>776</v>
      </c>
      <c r="I290" s="41">
        <v>897</v>
      </c>
      <c r="J290" s="41">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779</v>
      </c>
      <c r="AE290" s="19">
        <v>1983</v>
      </c>
      <c r="AF290">
        <v>4570</v>
      </c>
    </row>
    <row r="291" spans="1:32" hidden="1">
      <c r="A291" s="41" t="s">
        <v>855</v>
      </c>
      <c r="B291" s="41">
        <v>797</v>
      </c>
      <c r="C291" s="41">
        <v>765</v>
      </c>
      <c r="D291" s="41">
        <v>729</v>
      </c>
      <c r="E291" s="41">
        <v>1009</v>
      </c>
      <c r="F291" s="41">
        <v>1347</v>
      </c>
      <c r="G291" s="41">
        <v>818</v>
      </c>
      <c r="H291" s="41">
        <v>567</v>
      </c>
      <c r="I291" s="41">
        <v>633</v>
      </c>
      <c r="J291" s="41">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571</v>
      </c>
      <c r="AE291" s="19">
        <v>957</v>
      </c>
      <c r="AF291">
        <v>2138</v>
      </c>
    </row>
    <row r="292" spans="1:32" hidden="1">
      <c r="A292" s="41" t="s">
        <v>817</v>
      </c>
      <c r="B292" s="41">
        <v>0</v>
      </c>
      <c r="C292" s="41">
        <v>296</v>
      </c>
      <c r="D292" s="41">
        <v>624</v>
      </c>
      <c r="E292" s="41">
        <v>1056</v>
      </c>
      <c r="F292" s="41">
        <v>1062</v>
      </c>
      <c r="G292" s="41">
        <v>1368</v>
      </c>
      <c r="H292" s="41">
        <v>1293</v>
      </c>
      <c r="I292" s="41">
        <v>2189</v>
      </c>
      <c r="J292" s="41">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row>
    <row r="293" spans="1:32" hidden="1">
      <c r="A293" s="41" t="s">
        <v>839</v>
      </c>
      <c r="B293" s="41">
        <v>636</v>
      </c>
      <c r="C293" s="41">
        <v>662</v>
      </c>
      <c r="D293" s="41">
        <v>750</v>
      </c>
      <c r="E293" s="41">
        <v>974</v>
      </c>
      <c r="F293" s="41">
        <v>821</v>
      </c>
      <c r="G293" s="41">
        <v>70</v>
      </c>
      <c r="H293" s="41">
        <v>0</v>
      </c>
      <c r="I293" s="41">
        <v>755</v>
      </c>
      <c r="J293" s="41">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row>
    <row r="294" spans="1:32" hidden="1">
      <c r="A294" s="41" t="s">
        <v>1015</v>
      </c>
      <c r="B294" s="41">
        <v>0</v>
      </c>
      <c r="C294" s="41">
        <v>905</v>
      </c>
      <c r="D294" s="41">
        <v>885</v>
      </c>
      <c r="E294" s="41">
        <v>1682</v>
      </c>
      <c r="F294" s="41">
        <v>1578</v>
      </c>
      <c r="G294" s="41">
        <v>1430</v>
      </c>
      <c r="H294" s="41">
        <v>1500</v>
      </c>
      <c r="I294" s="41">
        <v>1252</v>
      </c>
      <c r="J294" s="41">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635</v>
      </c>
      <c r="AE294" s="19">
        <v>671</v>
      </c>
      <c r="AF294">
        <v>1371</v>
      </c>
    </row>
    <row r="295" spans="1:32" hidden="1">
      <c r="A295" s="41" t="s">
        <v>811</v>
      </c>
      <c r="B295" s="41">
        <v>606</v>
      </c>
      <c r="C295" s="41">
        <v>1263</v>
      </c>
      <c r="D295" s="41">
        <v>721</v>
      </c>
      <c r="E295" s="41">
        <v>712</v>
      </c>
      <c r="F295" s="41">
        <v>903</v>
      </c>
      <c r="G295" s="41">
        <v>1130</v>
      </c>
      <c r="H295" s="41">
        <v>605</v>
      </c>
      <c r="I295" s="41">
        <v>2738</v>
      </c>
      <c r="J295" s="41">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row>
    <row r="296" spans="1:32" hidden="1">
      <c r="A296" s="41" t="s">
        <v>927</v>
      </c>
      <c r="B296" s="41">
        <v>0</v>
      </c>
      <c r="C296" s="41">
        <v>181</v>
      </c>
      <c r="D296" s="41">
        <v>325</v>
      </c>
      <c r="E296" s="41">
        <v>325</v>
      </c>
      <c r="F296" s="41">
        <v>316</v>
      </c>
      <c r="G296" s="41">
        <v>407</v>
      </c>
      <c r="H296" s="41">
        <v>711</v>
      </c>
      <c r="I296" s="41">
        <v>844</v>
      </c>
      <c r="J296" s="41">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531</v>
      </c>
      <c r="AE296" s="19">
        <v>1810</v>
      </c>
      <c r="AF296">
        <v>6177</v>
      </c>
    </row>
    <row r="297" spans="1:32" hidden="1">
      <c r="A297" s="41" t="s">
        <v>923</v>
      </c>
      <c r="B297" s="41">
        <v>987</v>
      </c>
      <c r="C297" s="41">
        <v>1274</v>
      </c>
      <c r="D297" s="41">
        <v>947</v>
      </c>
      <c r="E297" s="41">
        <v>936</v>
      </c>
      <c r="F297" s="41">
        <v>1075</v>
      </c>
      <c r="G297" s="41">
        <v>1129</v>
      </c>
      <c r="H297" s="41">
        <v>872</v>
      </c>
      <c r="I297" s="41">
        <v>773</v>
      </c>
      <c r="J297" s="41">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629</v>
      </c>
      <c r="AE297" s="19">
        <v>130</v>
      </c>
      <c r="AF297">
        <v>303</v>
      </c>
    </row>
    <row r="298" spans="1:32" hidden="1">
      <c r="A298" s="41" t="s">
        <v>880</v>
      </c>
      <c r="B298" s="41">
        <v>2112</v>
      </c>
      <c r="C298" s="41">
        <v>2248</v>
      </c>
      <c r="D298" s="41">
        <v>1592</v>
      </c>
      <c r="E298" s="41">
        <v>1693</v>
      </c>
      <c r="F298" s="41">
        <v>1282</v>
      </c>
      <c r="G298" s="41">
        <v>1242</v>
      </c>
      <c r="H298" s="41">
        <v>1323</v>
      </c>
      <c r="I298" s="41">
        <v>1508</v>
      </c>
      <c r="J298" s="41">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648</v>
      </c>
      <c r="AE298" s="19">
        <v>1461</v>
      </c>
      <c r="AF298">
        <v>4166</v>
      </c>
    </row>
    <row r="299" spans="1:32" hidden="1">
      <c r="A299" s="41" t="s">
        <v>1021</v>
      </c>
      <c r="B299" s="41">
        <v>182</v>
      </c>
      <c r="C299" s="41">
        <v>217</v>
      </c>
      <c r="D299" s="41">
        <v>215</v>
      </c>
      <c r="E299" s="41">
        <v>257</v>
      </c>
      <c r="F299" s="41">
        <v>519</v>
      </c>
      <c r="G299" s="41">
        <v>624</v>
      </c>
      <c r="H299" s="41">
        <v>229</v>
      </c>
      <c r="I299" s="41">
        <v>642</v>
      </c>
      <c r="J299" s="41">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row>
    <row r="300" spans="1:32" hidden="1">
      <c r="A300" s="41" t="s">
        <v>542</v>
      </c>
      <c r="B300" s="41">
        <v>0</v>
      </c>
      <c r="C300" s="41">
        <v>0</v>
      </c>
      <c r="D300" s="41">
        <v>0</v>
      </c>
      <c r="E300" s="41">
        <v>0</v>
      </c>
      <c r="F300" s="41">
        <v>0</v>
      </c>
      <c r="G300" s="41">
        <v>0</v>
      </c>
      <c r="H300" s="41">
        <v>0</v>
      </c>
      <c r="I300" s="41">
        <v>0</v>
      </c>
      <c r="J300" s="41">
        <v>41</v>
      </c>
      <c r="K300">
        <v>448</v>
      </c>
      <c r="L300">
        <v>475</v>
      </c>
      <c r="M300">
        <v>503</v>
      </c>
      <c r="N300">
        <v>596</v>
      </c>
      <c r="O300">
        <v>0</v>
      </c>
      <c r="P300">
        <v>0</v>
      </c>
      <c r="Q300">
        <v>0</v>
      </c>
      <c r="R300">
        <v>0</v>
      </c>
      <c r="S300">
        <v>0</v>
      </c>
      <c r="T300">
        <v>0</v>
      </c>
      <c r="U300">
        <v>0</v>
      </c>
      <c r="V300">
        <v>0</v>
      </c>
      <c r="W300">
        <v>12</v>
      </c>
      <c r="X300">
        <v>152</v>
      </c>
      <c r="Y300">
        <v>148</v>
      </c>
      <c r="Z300">
        <v>180</v>
      </c>
      <c r="AA300">
        <v>205</v>
      </c>
      <c r="AD300" t="s">
        <v>708</v>
      </c>
      <c r="AE300" s="19">
        <v>767</v>
      </c>
      <c r="AF300">
        <v>1139</v>
      </c>
    </row>
    <row r="301" spans="1:32" hidden="1">
      <c r="A301" s="41" t="s">
        <v>608</v>
      </c>
      <c r="B301" s="41">
        <v>0</v>
      </c>
      <c r="C301" s="41">
        <v>0</v>
      </c>
      <c r="D301" s="41">
        <v>0</v>
      </c>
      <c r="E301" s="41">
        <v>0</v>
      </c>
      <c r="F301" s="41">
        <v>0</v>
      </c>
      <c r="G301" s="41">
        <v>0</v>
      </c>
      <c r="H301" s="41">
        <v>0</v>
      </c>
      <c r="I301" s="41">
        <v>0</v>
      </c>
      <c r="J301" s="41">
        <v>0</v>
      </c>
      <c r="K301">
        <v>136</v>
      </c>
      <c r="L301">
        <v>240</v>
      </c>
      <c r="M301">
        <v>635</v>
      </c>
      <c r="N301">
        <v>979</v>
      </c>
      <c r="O301">
        <v>0</v>
      </c>
      <c r="P301">
        <v>0</v>
      </c>
      <c r="Q301">
        <v>0</v>
      </c>
      <c r="R301">
        <v>0</v>
      </c>
      <c r="S301">
        <v>0</v>
      </c>
      <c r="T301">
        <v>0</v>
      </c>
      <c r="U301">
        <v>0</v>
      </c>
      <c r="V301">
        <v>0</v>
      </c>
      <c r="W301">
        <v>0</v>
      </c>
      <c r="X301">
        <v>39</v>
      </c>
      <c r="Y301">
        <v>90</v>
      </c>
      <c r="Z301">
        <v>230</v>
      </c>
      <c r="AA301">
        <v>343</v>
      </c>
      <c r="AD301" t="s">
        <v>746</v>
      </c>
      <c r="AE301" s="19">
        <v>1069</v>
      </c>
      <c r="AF301">
        <v>2732</v>
      </c>
    </row>
    <row r="302" spans="1:32" hidden="1">
      <c r="A302" s="41" t="s">
        <v>714</v>
      </c>
      <c r="B302" s="41">
        <v>2315</v>
      </c>
      <c r="C302" s="41">
        <v>2405</v>
      </c>
      <c r="D302" s="41">
        <v>2006</v>
      </c>
      <c r="E302" s="41">
        <v>1413</v>
      </c>
      <c r="F302" s="41">
        <v>1434</v>
      </c>
      <c r="G302" s="41">
        <v>1782</v>
      </c>
      <c r="H302" s="41">
        <v>1669</v>
      </c>
      <c r="I302" s="41">
        <v>2225</v>
      </c>
      <c r="J302" s="41">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547</v>
      </c>
      <c r="AE302" s="19">
        <v>1050</v>
      </c>
      <c r="AF302">
        <v>3373</v>
      </c>
    </row>
    <row r="303" spans="1:32" hidden="1">
      <c r="A303" s="41" t="s">
        <v>561</v>
      </c>
      <c r="B303" s="41">
        <v>980</v>
      </c>
      <c r="C303" s="41">
        <v>895</v>
      </c>
      <c r="D303" s="41">
        <v>759</v>
      </c>
      <c r="E303" s="41">
        <v>550</v>
      </c>
      <c r="F303" s="41">
        <v>545</v>
      </c>
      <c r="G303" s="41">
        <v>532</v>
      </c>
      <c r="H303" s="41">
        <v>726</v>
      </c>
      <c r="I303" s="41">
        <v>642</v>
      </c>
      <c r="J303" s="41">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750</v>
      </c>
      <c r="AE303" s="19">
        <v>1599</v>
      </c>
      <c r="AF303">
        <v>4378</v>
      </c>
    </row>
    <row r="304" spans="1:32" hidden="1">
      <c r="A304" s="41" t="s">
        <v>800</v>
      </c>
      <c r="B304" s="41">
        <v>1043</v>
      </c>
      <c r="C304" s="41">
        <v>1155</v>
      </c>
      <c r="D304" s="41">
        <v>1282</v>
      </c>
      <c r="E304" s="41">
        <v>1441</v>
      </c>
      <c r="F304" s="41">
        <v>883</v>
      </c>
      <c r="G304" s="41">
        <v>944</v>
      </c>
      <c r="H304" s="41">
        <v>800</v>
      </c>
      <c r="I304" s="41">
        <v>923</v>
      </c>
      <c r="J304" s="41">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738</v>
      </c>
      <c r="AE304" s="19">
        <v>986</v>
      </c>
      <c r="AF304">
        <v>3049</v>
      </c>
    </row>
    <row r="305" spans="1:32" hidden="1">
      <c r="A305" s="41" t="s">
        <v>583</v>
      </c>
      <c r="B305" s="41">
        <v>565</v>
      </c>
      <c r="C305" s="41">
        <v>576</v>
      </c>
      <c r="D305" s="41">
        <v>298</v>
      </c>
      <c r="E305" s="41">
        <v>435</v>
      </c>
      <c r="F305" s="41">
        <v>442</v>
      </c>
      <c r="G305" s="41">
        <v>682</v>
      </c>
      <c r="H305" s="41">
        <v>1040</v>
      </c>
      <c r="I305" s="41">
        <v>1030</v>
      </c>
      <c r="J305" s="41">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573</v>
      </c>
      <c r="AE305" s="19">
        <v>1097</v>
      </c>
      <c r="AF305">
        <v>3777</v>
      </c>
    </row>
    <row r="306" spans="1:32" hidden="1">
      <c r="A306" s="41" t="s">
        <v>781</v>
      </c>
      <c r="B306" s="41">
        <v>1662</v>
      </c>
      <c r="C306" s="41">
        <v>809</v>
      </c>
      <c r="D306" s="41">
        <v>1176</v>
      </c>
      <c r="E306" s="41">
        <v>2081</v>
      </c>
      <c r="F306" s="41">
        <v>901</v>
      </c>
      <c r="G306" s="41">
        <v>640</v>
      </c>
      <c r="H306" s="41">
        <v>90</v>
      </c>
      <c r="I306" s="41">
        <v>938</v>
      </c>
      <c r="J306" s="41">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781</v>
      </c>
      <c r="AE306" s="19">
        <v>4451</v>
      </c>
      <c r="AF306">
        <v>16591</v>
      </c>
    </row>
    <row r="307" spans="1:32" hidden="1">
      <c r="A307" s="41" t="s">
        <v>627</v>
      </c>
      <c r="B307" s="41">
        <v>859</v>
      </c>
      <c r="C307" s="41">
        <v>860</v>
      </c>
      <c r="D307" s="41">
        <v>1049</v>
      </c>
      <c r="E307" s="41">
        <v>459</v>
      </c>
      <c r="F307" s="41">
        <v>532</v>
      </c>
      <c r="G307" s="41">
        <v>1242</v>
      </c>
      <c r="H307" s="41">
        <v>1354</v>
      </c>
      <c r="I307" s="41">
        <v>1758</v>
      </c>
      <c r="J307" s="41">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664</v>
      </c>
      <c r="AE307" s="19">
        <v>1048</v>
      </c>
      <c r="AF307">
        <v>2416</v>
      </c>
    </row>
    <row r="308" spans="1:32" hidden="1">
      <c r="A308" s="41" t="s">
        <v>272</v>
      </c>
      <c r="B308" s="41">
        <v>537</v>
      </c>
      <c r="C308" s="41">
        <v>546</v>
      </c>
      <c r="D308" s="41">
        <v>627</v>
      </c>
      <c r="E308" s="41">
        <v>794</v>
      </c>
      <c r="F308" s="41">
        <v>558</v>
      </c>
      <c r="G308" s="41">
        <v>390</v>
      </c>
      <c r="H308" s="41">
        <v>351</v>
      </c>
      <c r="I308" s="41">
        <v>339</v>
      </c>
      <c r="J308" s="41">
        <v>251</v>
      </c>
      <c r="K308">
        <v>0</v>
      </c>
      <c r="L308">
        <v>0</v>
      </c>
      <c r="M308">
        <v>0</v>
      </c>
      <c r="N308">
        <v>0</v>
      </c>
      <c r="O308">
        <v>145</v>
      </c>
      <c r="P308">
        <v>168</v>
      </c>
      <c r="Q308">
        <v>292</v>
      </c>
      <c r="R308">
        <v>397</v>
      </c>
      <c r="S308">
        <v>264</v>
      </c>
      <c r="T308">
        <v>166</v>
      </c>
      <c r="U308">
        <v>121</v>
      </c>
      <c r="V308">
        <v>130</v>
      </c>
      <c r="W308">
        <v>79</v>
      </c>
      <c r="X308">
        <v>2</v>
      </c>
      <c r="Y308">
        <v>1</v>
      </c>
      <c r="Z308">
        <v>0</v>
      </c>
      <c r="AA308">
        <v>0</v>
      </c>
      <c r="AD308" t="s">
        <v>625</v>
      </c>
      <c r="AE308" s="19">
        <v>140</v>
      </c>
      <c r="AF308">
        <v>309</v>
      </c>
    </row>
    <row r="309" spans="1:32" hidden="1">
      <c r="A309" s="41" t="s">
        <v>122</v>
      </c>
      <c r="B309" s="41">
        <v>4641</v>
      </c>
      <c r="C309" s="41">
        <v>5402</v>
      </c>
      <c r="D309" s="41">
        <v>12968</v>
      </c>
      <c r="E309" s="41">
        <v>405</v>
      </c>
      <c r="F309" s="41">
        <v>4626</v>
      </c>
      <c r="G309" s="41">
        <v>14443</v>
      </c>
      <c r="H309" s="41">
        <v>9978</v>
      </c>
      <c r="I309" s="41">
        <v>9294</v>
      </c>
      <c r="J309" s="41">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579</v>
      </c>
      <c r="AE309" s="19">
        <v>931</v>
      </c>
      <c r="AF309">
        <v>1974</v>
      </c>
    </row>
    <row r="310" spans="1:32" hidden="1">
      <c r="A310" s="41" t="s">
        <v>156</v>
      </c>
      <c r="B310" s="41">
        <v>142</v>
      </c>
      <c r="C310" s="41">
        <v>784</v>
      </c>
      <c r="D310" s="41">
        <v>1453</v>
      </c>
      <c r="E310" s="41">
        <v>1497</v>
      </c>
      <c r="F310" s="41">
        <v>688</v>
      </c>
      <c r="G310" s="41">
        <v>965</v>
      </c>
      <c r="H310" s="41">
        <v>693</v>
      </c>
      <c r="I310" s="41">
        <v>706</v>
      </c>
      <c r="J310" s="41">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row>
    <row r="311" spans="1:32" hidden="1">
      <c r="A311" s="41" t="s">
        <v>440</v>
      </c>
      <c r="B311" s="41">
        <v>3132</v>
      </c>
      <c r="C311" s="41">
        <v>2039</v>
      </c>
      <c r="D311" s="41">
        <v>3023</v>
      </c>
      <c r="E311" s="41">
        <v>3663</v>
      </c>
      <c r="F311" s="41">
        <v>3838</v>
      </c>
      <c r="G311" s="41">
        <v>4391</v>
      </c>
      <c r="H311" s="41">
        <v>4888</v>
      </c>
      <c r="I311" s="41">
        <v>4759</v>
      </c>
      <c r="J311" s="41">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9" t="s">
        <v>763</v>
      </c>
      <c r="AE311" s="19">
        <v>1493</v>
      </c>
      <c r="AF311">
        <v>3832</v>
      </c>
    </row>
    <row r="312" spans="1:32" hidden="1">
      <c r="A312" s="41" t="s">
        <v>310</v>
      </c>
      <c r="B312" s="41">
        <v>1659</v>
      </c>
      <c r="C312" s="41">
        <v>1434</v>
      </c>
      <c r="D312" s="41">
        <v>1562</v>
      </c>
      <c r="E312" s="41">
        <v>1244</v>
      </c>
      <c r="F312" s="41">
        <v>1149</v>
      </c>
      <c r="G312" s="41">
        <v>1155</v>
      </c>
      <c r="H312" s="41">
        <v>1334</v>
      </c>
      <c r="I312" s="41">
        <v>1368</v>
      </c>
      <c r="J312" s="41">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698</v>
      </c>
      <c r="AE312" s="19">
        <v>1954</v>
      </c>
      <c r="AF312">
        <v>3897</v>
      </c>
    </row>
    <row r="313" spans="1:32" hidden="1">
      <c r="A313" s="41" t="s">
        <v>136</v>
      </c>
      <c r="B313" s="41">
        <v>876</v>
      </c>
      <c r="C313" s="41">
        <v>860</v>
      </c>
      <c r="D313" s="41">
        <v>1105</v>
      </c>
      <c r="E313" s="41">
        <v>1072</v>
      </c>
      <c r="F313" s="41">
        <v>983</v>
      </c>
      <c r="G313" s="41">
        <v>1089</v>
      </c>
      <c r="H313" s="41">
        <v>848</v>
      </c>
      <c r="I313" s="41">
        <v>1287</v>
      </c>
      <c r="J313" s="41">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row>
    <row r="314" spans="1:32" hidden="1">
      <c r="A314" s="41" t="s">
        <v>769</v>
      </c>
      <c r="B314" s="41">
        <v>997</v>
      </c>
      <c r="C314" s="41">
        <v>1850</v>
      </c>
      <c r="D314" s="41">
        <v>1025</v>
      </c>
      <c r="E314" s="41">
        <v>799</v>
      </c>
      <c r="F314" s="41">
        <v>710</v>
      </c>
      <c r="G314" s="41">
        <v>691</v>
      </c>
      <c r="H314" s="41">
        <v>660</v>
      </c>
      <c r="I314" s="41">
        <v>770</v>
      </c>
      <c r="J314" s="41">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585</v>
      </c>
      <c r="AE314" s="19">
        <v>1003</v>
      </c>
      <c r="AF314">
        <v>1589</v>
      </c>
    </row>
    <row r="315" spans="1:32" hidden="1">
      <c r="A315" s="41" t="s">
        <v>606</v>
      </c>
      <c r="B315" s="41">
        <v>2355</v>
      </c>
      <c r="C315" s="41">
        <v>1934</v>
      </c>
      <c r="D315" s="41">
        <v>2039</v>
      </c>
      <c r="E315" s="41">
        <v>1536</v>
      </c>
      <c r="F315" s="41">
        <v>1410</v>
      </c>
      <c r="G315" s="41">
        <v>1279</v>
      </c>
      <c r="H315" s="41">
        <v>1075</v>
      </c>
      <c r="I315" s="41">
        <v>1303</v>
      </c>
      <c r="J315" s="41">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row>
    <row r="316" spans="1:32" hidden="1">
      <c r="A316" s="41" t="s">
        <v>540</v>
      </c>
      <c r="B316" s="41">
        <v>2621</v>
      </c>
      <c r="C316" s="41">
        <v>2019</v>
      </c>
      <c r="D316" s="41">
        <v>2673</v>
      </c>
      <c r="E316" s="41">
        <v>2544</v>
      </c>
      <c r="F316" s="41">
        <v>1653</v>
      </c>
      <c r="G316" s="41">
        <v>1577</v>
      </c>
      <c r="H316" s="41">
        <v>1246</v>
      </c>
      <c r="I316" s="41">
        <v>1403</v>
      </c>
      <c r="J316" s="41">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623</v>
      </c>
      <c r="AE316" s="19">
        <v>567</v>
      </c>
      <c r="AF316">
        <v>1504</v>
      </c>
    </row>
    <row r="317" spans="1:32" hidden="1">
      <c r="A317" s="41" t="s">
        <v>506</v>
      </c>
      <c r="B317" s="41">
        <v>0</v>
      </c>
      <c r="C317" s="41">
        <v>0</v>
      </c>
      <c r="D317" s="41">
        <v>11</v>
      </c>
      <c r="E317" s="41">
        <v>1977</v>
      </c>
      <c r="F317" s="41">
        <v>2804</v>
      </c>
      <c r="G317" s="41">
        <v>1930</v>
      </c>
      <c r="H317" s="41">
        <v>863</v>
      </c>
      <c r="I317" s="41">
        <v>540</v>
      </c>
      <c r="J317" s="41">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642</v>
      </c>
      <c r="AE317" s="19">
        <v>1221</v>
      </c>
      <c r="AF317">
        <v>4464</v>
      </c>
    </row>
    <row r="318" spans="1:32" hidden="1">
      <c r="A318" s="41" t="s">
        <v>476</v>
      </c>
      <c r="B318" s="41">
        <v>0</v>
      </c>
      <c r="C318" s="41">
        <v>1336</v>
      </c>
      <c r="D318" s="41">
        <v>1505</v>
      </c>
      <c r="E318" s="41">
        <v>392</v>
      </c>
      <c r="F318" s="41">
        <v>847</v>
      </c>
      <c r="G318" s="41">
        <v>516</v>
      </c>
      <c r="H318" s="41">
        <v>980</v>
      </c>
      <c r="I318" s="41">
        <v>968</v>
      </c>
      <c r="J318" s="41">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row>
    <row r="319" spans="1:32" hidden="1">
      <c r="A319" s="41" t="s">
        <v>332</v>
      </c>
      <c r="B319" s="41">
        <v>1136</v>
      </c>
      <c r="C319" s="41">
        <v>1864</v>
      </c>
      <c r="D319" s="41">
        <v>4153</v>
      </c>
      <c r="E319" s="41">
        <v>4283</v>
      </c>
      <c r="F319" s="41">
        <v>4912</v>
      </c>
      <c r="G319" s="41">
        <v>2632</v>
      </c>
      <c r="H319" s="41">
        <v>1166</v>
      </c>
      <c r="I319" s="41">
        <v>4260</v>
      </c>
      <c r="J319" s="41">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662</v>
      </c>
      <c r="AE319" s="19">
        <v>1270</v>
      </c>
      <c r="AF319">
        <v>3786</v>
      </c>
    </row>
    <row r="320" spans="1:32" hidden="1">
      <c r="A320" s="41" t="s">
        <v>394</v>
      </c>
      <c r="B320" s="41">
        <v>0</v>
      </c>
      <c r="C320" s="41">
        <v>0</v>
      </c>
      <c r="D320" s="41">
        <v>0</v>
      </c>
      <c r="E320" s="41">
        <v>164</v>
      </c>
      <c r="F320" s="41">
        <v>53</v>
      </c>
      <c r="G320" s="41">
        <v>371</v>
      </c>
      <c r="H320" s="41">
        <v>517</v>
      </c>
      <c r="I320" s="41">
        <v>388</v>
      </c>
      <c r="J320" s="41">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765</v>
      </c>
      <c r="AE320" s="19">
        <v>3590</v>
      </c>
      <c r="AF320">
        <v>14550</v>
      </c>
    </row>
    <row r="321" spans="1:32" hidden="1">
      <c r="A321" s="41" t="s">
        <v>386</v>
      </c>
      <c r="B321" s="41">
        <v>0</v>
      </c>
      <c r="C321" s="41">
        <v>0</v>
      </c>
      <c r="D321" s="41">
        <v>0</v>
      </c>
      <c r="E321" s="41">
        <v>0</v>
      </c>
      <c r="F321" s="41">
        <v>0</v>
      </c>
      <c r="G321" s="41">
        <v>0</v>
      </c>
      <c r="H321" s="41">
        <v>1040</v>
      </c>
      <c r="I321" s="41">
        <v>0</v>
      </c>
      <c r="J321" s="41">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row>
    <row r="322" spans="1:32" hidden="1">
      <c r="A322" s="41" t="s">
        <v>346</v>
      </c>
      <c r="B322" s="41">
        <v>0</v>
      </c>
      <c r="C322" s="41">
        <v>435</v>
      </c>
      <c r="D322" s="41">
        <v>405</v>
      </c>
      <c r="E322" s="41">
        <v>972</v>
      </c>
      <c r="F322" s="41">
        <v>925</v>
      </c>
      <c r="G322" s="41">
        <v>761</v>
      </c>
      <c r="H322" s="41">
        <v>830</v>
      </c>
      <c r="I322" s="41">
        <v>1199</v>
      </c>
      <c r="J322" s="41">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800</v>
      </c>
      <c r="AE322" s="19">
        <v>1934</v>
      </c>
      <c r="AF322">
        <v>3707</v>
      </c>
    </row>
    <row r="323" spans="1:32" hidden="1">
      <c r="A323" s="41" t="s">
        <v>472</v>
      </c>
      <c r="B323" s="41">
        <v>0</v>
      </c>
      <c r="C323" s="41">
        <v>0</v>
      </c>
      <c r="D323" s="41">
        <v>356</v>
      </c>
      <c r="E323" s="41">
        <v>1037</v>
      </c>
      <c r="F323" s="41">
        <v>959</v>
      </c>
      <c r="G323" s="41">
        <v>880</v>
      </c>
      <c r="H323" s="41">
        <v>751</v>
      </c>
      <c r="I323" s="41">
        <v>1087</v>
      </c>
      <c r="J323" s="41">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9" t="s">
        <v>777</v>
      </c>
      <c r="AE323" s="19">
        <v>1019</v>
      </c>
      <c r="AF323">
        <v>4079</v>
      </c>
    </row>
    <row r="324" spans="1:32" hidden="1">
      <c r="A324" s="41" t="s">
        <v>458</v>
      </c>
      <c r="B324" s="41">
        <v>1577</v>
      </c>
      <c r="C324" s="41">
        <v>2979</v>
      </c>
      <c r="D324" s="41">
        <v>2259</v>
      </c>
      <c r="E324" s="41">
        <v>1840</v>
      </c>
      <c r="F324" s="41">
        <v>1839</v>
      </c>
      <c r="G324" s="41">
        <v>2765</v>
      </c>
      <c r="H324" s="41">
        <v>2954</v>
      </c>
      <c r="I324" s="41">
        <v>2655</v>
      </c>
      <c r="J324" s="41">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755</v>
      </c>
      <c r="AE324" s="19">
        <v>2100</v>
      </c>
      <c r="AF324">
        <v>5134</v>
      </c>
    </row>
    <row r="325" spans="1:32" hidden="1">
      <c r="A325" s="41" t="s">
        <v>184</v>
      </c>
      <c r="B325" s="41">
        <v>0</v>
      </c>
      <c r="C325" s="41">
        <v>0</v>
      </c>
      <c r="D325" s="41">
        <v>0</v>
      </c>
      <c r="E325" s="41">
        <v>104</v>
      </c>
      <c r="F325" s="41">
        <v>0</v>
      </c>
      <c r="G325" s="41">
        <v>815</v>
      </c>
      <c r="H325" s="41">
        <v>1012</v>
      </c>
      <c r="I325" s="41">
        <v>957</v>
      </c>
      <c r="J325" s="41">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714</v>
      </c>
      <c r="AE325" s="19">
        <v>2322</v>
      </c>
      <c r="AF325">
        <v>7537</v>
      </c>
    </row>
    <row r="326" spans="1:32" hidden="1">
      <c r="A326" s="41" t="s">
        <v>104</v>
      </c>
      <c r="B326" s="41">
        <v>0</v>
      </c>
      <c r="C326" s="41">
        <v>123</v>
      </c>
      <c r="D326" s="41">
        <v>330</v>
      </c>
      <c r="E326" s="41">
        <v>372</v>
      </c>
      <c r="F326" s="41">
        <v>240</v>
      </c>
      <c r="G326" s="41">
        <v>375</v>
      </c>
      <c r="H326" s="41">
        <v>438</v>
      </c>
      <c r="I326" s="41">
        <v>591</v>
      </c>
      <c r="J326" s="41">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621</v>
      </c>
      <c r="AE326" s="19">
        <v>485</v>
      </c>
      <c r="AF326">
        <v>854</v>
      </c>
    </row>
    <row r="327" spans="1:32" hidden="1">
      <c r="A327" s="41" t="s">
        <v>150</v>
      </c>
      <c r="B327" s="41">
        <v>0</v>
      </c>
      <c r="C327" s="41">
        <v>0</v>
      </c>
      <c r="D327" s="41">
        <v>0</v>
      </c>
      <c r="E327" s="41">
        <v>0</v>
      </c>
      <c r="F327" s="41">
        <v>0</v>
      </c>
      <c r="G327" s="41">
        <v>0</v>
      </c>
      <c r="H327" s="41">
        <v>3</v>
      </c>
      <c r="I327" s="41">
        <v>285</v>
      </c>
      <c r="J327" s="41">
        <v>734</v>
      </c>
      <c r="K327">
        <v>788</v>
      </c>
      <c r="L327">
        <v>450</v>
      </c>
      <c r="M327">
        <v>417</v>
      </c>
      <c r="N327">
        <v>668</v>
      </c>
      <c r="O327">
        <v>0</v>
      </c>
      <c r="P327">
        <v>0</v>
      </c>
      <c r="Q327">
        <v>0</v>
      </c>
      <c r="R327">
        <v>0</v>
      </c>
      <c r="S327">
        <v>0</v>
      </c>
      <c r="T327">
        <v>0</v>
      </c>
      <c r="U327">
        <v>0</v>
      </c>
      <c r="V327">
        <v>56</v>
      </c>
      <c r="W327">
        <v>184</v>
      </c>
      <c r="X327">
        <v>193</v>
      </c>
      <c r="Y327">
        <v>82</v>
      </c>
      <c r="Z327">
        <v>146</v>
      </c>
      <c r="AA327">
        <v>155</v>
      </c>
      <c r="AD327" t="s">
        <v>761</v>
      </c>
      <c r="AE327" s="19">
        <v>1498</v>
      </c>
      <c r="AF327">
        <v>5370</v>
      </c>
    </row>
    <row r="328" spans="1:32" hidden="1">
      <c r="A328" s="41" t="s">
        <v>686</v>
      </c>
      <c r="B328" s="41">
        <v>0</v>
      </c>
      <c r="C328" s="41">
        <v>0</v>
      </c>
      <c r="D328" s="41">
        <v>822</v>
      </c>
      <c r="E328" s="41">
        <v>1928</v>
      </c>
      <c r="F328" s="41">
        <v>1563</v>
      </c>
      <c r="G328" s="41">
        <v>2064</v>
      </c>
      <c r="H328" s="41">
        <v>2099</v>
      </c>
      <c r="I328" s="41">
        <v>2454</v>
      </c>
      <c r="J328" s="41">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498</v>
      </c>
      <c r="AE328" s="19">
        <v>10278</v>
      </c>
      <c r="AF328">
        <v>19771</v>
      </c>
    </row>
    <row r="329" spans="1:32" hidden="1">
      <c r="A329" s="41" t="s">
        <v>765</v>
      </c>
      <c r="B329" s="41">
        <v>1295</v>
      </c>
      <c r="C329" s="41">
        <v>3249</v>
      </c>
      <c r="D329" s="41">
        <v>2721</v>
      </c>
      <c r="E329" s="41">
        <v>2361</v>
      </c>
      <c r="F329" s="41">
        <v>2349</v>
      </c>
      <c r="G329" s="41">
        <v>1891</v>
      </c>
      <c r="H329" s="41">
        <v>2300</v>
      </c>
      <c r="I329" s="41">
        <v>1954</v>
      </c>
      <c r="J329" s="41">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690</v>
      </c>
      <c r="AE329" s="19">
        <v>1468</v>
      </c>
      <c r="AF329">
        <v>3867</v>
      </c>
    </row>
    <row r="330" spans="1:32" hidden="1">
      <c r="A330" s="41" t="s">
        <v>552</v>
      </c>
      <c r="B330" s="41">
        <v>0</v>
      </c>
      <c r="C330" s="41">
        <v>0</v>
      </c>
      <c r="D330" s="41">
        <v>41</v>
      </c>
      <c r="E330" s="41">
        <v>419</v>
      </c>
      <c r="F330" s="41">
        <v>509</v>
      </c>
      <c r="G330" s="41">
        <v>582</v>
      </c>
      <c r="H330" s="41">
        <v>1850</v>
      </c>
      <c r="I330" s="41">
        <v>1334</v>
      </c>
      <c r="J330" s="41">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728</v>
      </c>
      <c r="AE330" s="19">
        <v>1079</v>
      </c>
      <c r="AF330">
        <v>2673</v>
      </c>
    </row>
    <row r="331" spans="1:32" hidden="1">
      <c r="A331" s="41" t="s">
        <v>519</v>
      </c>
      <c r="B331" s="41">
        <v>0</v>
      </c>
      <c r="C331" s="41">
        <v>0</v>
      </c>
      <c r="D331" s="41">
        <v>136</v>
      </c>
      <c r="E331" s="41">
        <v>1743</v>
      </c>
      <c r="F331" s="41">
        <v>962</v>
      </c>
      <c r="G331" s="41">
        <v>672</v>
      </c>
      <c r="H331" s="41">
        <v>854</v>
      </c>
      <c r="I331" s="41">
        <v>999</v>
      </c>
      <c r="J331" s="41">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row>
    <row r="332" spans="1:32" hidden="1">
      <c r="A332" s="41" t="s">
        <v>573</v>
      </c>
      <c r="B332" s="41">
        <v>0</v>
      </c>
      <c r="C332" s="41">
        <v>0</v>
      </c>
      <c r="D332" s="41">
        <v>1136</v>
      </c>
      <c r="E332" s="41">
        <v>1169</v>
      </c>
      <c r="F332" s="41">
        <v>907</v>
      </c>
      <c r="G332" s="41">
        <v>861</v>
      </c>
      <c r="H332" s="41">
        <v>710</v>
      </c>
      <c r="I332" s="41">
        <v>602</v>
      </c>
      <c r="J332" s="41">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718</v>
      </c>
      <c r="AE332" s="19">
        <v>1132</v>
      </c>
      <c r="AF332">
        <v>2219</v>
      </c>
    </row>
    <row r="333" spans="1:32" hidden="1">
      <c r="A333" s="41" t="s">
        <v>652</v>
      </c>
      <c r="B333" s="41">
        <v>2010</v>
      </c>
      <c r="C333" s="41">
        <v>3174</v>
      </c>
      <c r="D333" s="41">
        <v>823</v>
      </c>
      <c r="E333" s="41">
        <v>3749</v>
      </c>
      <c r="F333" s="41">
        <v>2541</v>
      </c>
      <c r="G333" s="41">
        <v>2523</v>
      </c>
      <c r="H333" s="41">
        <v>1288</v>
      </c>
      <c r="I333" s="41">
        <v>3176</v>
      </c>
      <c r="J333" s="41">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9" t="s">
        <v>542</v>
      </c>
      <c r="AE333" s="19">
        <v>1142</v>
      </c>
      <c r="AF333">
        <v>2951</v>
      </c>
    </row>
    <row r="334" spans="1:32" hidden="1">
      <c r="A334" s="41" t="s">
        <v>88</v>
      </c>
      <c r="B334" s="41">
        <v>0</v>
      </c>
      <c r="C334" s="41">
        <v>0</v>
      </c>
      <c r="D334" s="41">
        <v>0</v>
      </c>
      <c r="E334" s="41">
        <v>0</v>
      </c>
      <c r="F334" s="41">
        <v>0</v>
      </c>
      <c r="G334" s="41">
        <v>0</v>
      </c>
      <c r="H334" s="41">
        <v>326</v>
      </c>
      <c r="I334" s="41">
        <v>736</v>
      </c>
      <c r="J334" s="41">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561</v>
      </c>
      <c r="AE334" s="19">
        <v>1001</v>
      </c>
      <c r="AF334">
        <v>1621</v>
      </c>
    </row>
    <row r="335" spans="1:32" hidden="1">
      <c r="A335" s="41" t="s">
        <v>404</v>
      </c>
      <c r="B335" s="41">
        <v>0</v>
      </c>
      <c r="C335" s="41">
        <v>0</v>
      </c>
      <c r="D335" s="41">
        <v>0</v>
      </c>
      <c r="E335" s="41">
        <v>0</v>
      </c>
      <c r="F335" s="41">
        <v>0</v>
      </c>
      <c r="G335" s="41">
        <v>495</v>
      </c>
      <c r="H335" s="41">
        <v>934</v>
      </c>
      <c r="I335" s="41">
        <v>2236</v>
      </c>
      <c r="J335" s="41">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9" t="s">
        <v>710</v>
      </c>
      <c r="AE335" s="19">
        <v>1255</v>
      </c>
      <c r="AF335">
        <v>2585</v>
      </c>
    </row>
    <row r="336" spans="1:32" hidden="1">
      <c r="A336" s="41" t="s">
        <v>474</v>
      </c>
      <c r="B336" s="41">
        <v>0</v>
      </c>
      <c r="C336" s="41">
        <v>0</v>
      </c>
      <c r="D336" s="41">
        <v>0</v>
      </c>
      <c r="E336" s="41">
        <v>0</v>
      </c>
      <c r="F336" s="41">
        <v>0</v>
      </c>
      <c r="G336" s="41">
        <v>145</v>
      </c>
      <c r="H336" s="41">
        <v>2954</v>
      </c>
      <c r="I336" s="41">
        <v>3011</v>
      </c>
      <c r="J336" s="41">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633</v>
      </c>
      <c r="AE336" s="19">
        <v>442</v>
      </c>
      <c r="AF336">
        <v>907</v>
      </c>
    </row>
    <row r="337" spans="1:32" hidden="1">
      <c r="A337" s="41" t="s">
        <v>42</v>
      </c>
      <c r="B337" s="41">
        <v>0</v>
      </c>
      <c r="C337" s="41">
        <v>0</v>
      </c>
      <c r="D337" s="41">
        <v>0</v>
      </c>
      <c r="E337" s="41">
        <v>0</v>
      </c>
      <c r="F337" s="41">
        <v>8530</v>
      </c>
      <c r="G337" s="41">
        <v>9175</v>
      </c>
      <c r="H337" s="41">
        <v>7003</v>
      </c>
      <c r="I337" s="41">
        <v>6856</v>
      </c>
      <c r="J337" s="41">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740</v>
      </c>
      <c r="AE337" s="19">
        <v>352</v>
      </c>
      <c r="AF337">
        <v>894</v>
      </c>
    </row>
    <row r="338" spans="1:32" hidden="1">
      <c r="A338" s="41" t="s">
        <v>210</v>
      </c>
      <c r="B338" s="41">
        <v>0</v>
      </c>
      <c r="C338" s="41">
        <v>0</v>
      </c>
      <c r="D338" s="41">
        <v>0</v>
      </c>
      <c r="E338" s="41">
        <v>0</v>
      </c>
      <c r="F338" s="41">
        <v>0</v>
      </c>
      <c r="G338" s="41">
        <v>334</v>
      </c>
      <c r="H338" s="41">
        <v>456</v>
      </c>
      <c r="I338" s="41">
        <v>562</v>
      </c>
      <c r="J338" s="41">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row>
    <row r="339" spans="1:32" hidden="1">
      <c r="A339" s="41" t="s">
        <v>212</v>
      </c>
      <c r="B339" s="41">
        <v>0</v>
      </c>
      <c r="C339" s="41">
        <v>0</v>
      </c>
      <c r="D339" s="41">
        <v>0</v>
      </c>
      <c r="E339" s="41">
        <v>0</v>
      </c>
      <c r="F339" s="41">
        <v>0</v>
      </c>
      <c r="G339" s="41">
        <v>212</v>
      </c>
      <c r="H339" s="41">
        <v>308</v>
      </c>
      <c r="I339" s="41">
        <v>326</v>
      </c>
      <c r="J339" s="41">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640</v>
      </c>
      <c r="AE339" s="19">
        <v>304</v>
      </c>
      <c r="AF339">
        <v>744</v>
      </c>
    </row>
    <row r="340" spans="1:32" hidden="1">
      <c r="A340" s="41" t="s">
        <v>1123</v>
      </c>
      <c r="B340" s="41">
        <v>0</v>
      </c>
      <c r="C340" s="41">
        <v>0</v>
      </c>
      <c r="D340" s="41">
        <v>0</v>
      </c>
      <c r="E340" s="41">
        <v>0</v>
      </c>
      <c r="F340" s="41">
        <v>0</v>
      </c>
      <c r="G340" s="41">
        <v>0</v>
      </c>
      <c r="H340" s="41">
        <v>3140</v>
      </c>
      <c r="I340" s="41">
        <v>1959</v>
      </c>
      <c r="J340" s="41">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654</v>
      </c>
      <c r="AE340" s="19">
        <v>1773</v>
      </c>
      <c r="AF340">
        <v>3891</v>
      </c>
    </row>
    <row r="341" spans="1:32" hidden="1">
      <c r="A341" s="41" t="s">
        <v>48</v>
      </c>
      <c r="B341" s="41">
        <v>0</v>
      </c>
      <c r="C341" s="41">
        <v>0</v>
      </c>
      <c r="D341" s="41">
        <v>0</v>
      </c>
      <c r="E341" s="41">
        <v>0</v>
      </c>
      <c r="F341" s="41">
        <v>10326</v>
      </c>
      <c r="G341" s="41">
        <v>8337</v>
      </c>
      <c r="H341" s="41">
        <v>7328</v>
      </c>
      <c r="I341" s="41">
        <v>8243</v>
      </c>
      <c r="J341" s="41">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688</v>
      </c>
      <c r="AE341" s="19">
        <v>4088</v>
      </c>
      <c r="AF341">
        <v>8958</v>
      </c>
    </row>
    <row r="342" spans="1:32" hidden="1">
      <c r="A342" s="41" t="s">
        <v>130</v>
      </c>
      <c r="B342" s="41">
        <v>0</v>
      </c>
      <c r="C342" s="41">
        <v>0</v>
      </c>
      <c r="D342" s="41">
        <v>0</v>
      </c>
      <c r="E342" s="41">
        <v>0</v>
      </c>
      <c r="F342" s="41">
        <v>0</v>
      </c>
      <c r="G342" s="41">
        <v>0</v>
      </c>
      <c r="H342" s="41">
        <v>172</v>
      </c>
      <c r="I342" s="41">
        <v>1743</v>
      </c>
      <c r="J342" s="41">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744</v>
      </c>
      <c r="AE342" s="19">
        <v>307</v>
      </c>
      <c r="AF342">
        <v>913</v>
      </c>
    </row>
    <row r="343" spans="1:32" hidden="1">
      <c r="A343" s="41" t="s">
        <v>462</v>
      </c>
      <c r="B343" s="41">
        <v>0</v>
      </c>
      <c r="C343" s="41">
        <v>0</v>
      </c>
      <c r="D343" s="41">
        <v>0</v>
      </c>
      <c r="E343" s="41">
        <v>0</v>
      </c>
      <c r="F343" s="41">
        <v>8752</v>
      </c>
      <c r="G343" s="41">
        <v>12087</v>
      </c>
      <c r="H343" s="41">
        <v>10201</v>
      </c>
      <c r="I343" s="41">
        <v>8685</v>
      </c>
      <c r="J343" s="41">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552</v>
      </c>
      <c r="AE343" s="19">
        <v>1359</v>
      </c>
      <c r="AF343">
        <v>3067</v>
      </c>
    </row>
    <row r="344" spans="1:32" hidden="1">
      <c r="A344" s="41" t="s">
        <v>124</v>
      </c>
      <c r="B344" s="41">
        <v>0</v>
      </c>
      <c r="C344" s="41">
        <v>0</v>
      </c>
      <c r="D344" s="41">
        <v>0</v>
      </c>
      <c r="E344" s="41">
        <v>0</v>
      </c>
      <c r="F344" s="41">
        <v>0</v>
      </c>
      <c r="G344" s="41">
        <v>436</v>
      </c>
      <c r="H344" s="41">
        <v>0</v>
      </c>
      <c r="I344" s="41">
        <v>0</v>
      </c>
      <c r="J344" s="41">
        <v>564</v>
      </c>
      <c r="K344">
        <v>852</v>
      </c>
      <c r="L344">
        <v>648</v>
      </c>
      <c r="M344">
        <v>473</v>
      </c>
      <c r="N344">
        <v>828</v>
      </c>
      <c r="O344">
        <v>0</v>
      </c>
      <c r="P344">
        <v>0</v>
      </c>
      <c r="Q344">
        <v>0</v>
      </c>
      <c r="R344">
        <v>0</v>
      </c>
      <c r="S344">
        <v>0</v>
      </c>
      <c r="T344">
        <v>94</v>
      </c>
      <c r="U344">
        <v>0</v>
      </c>
      <c r="V344">
        <v>0</v>
      </c>
      <c r="W344">
        <v>68</v>
      </c>
      <c r="X344">
        <v>121</v>
      </c>
      <c r="Y344">
        <v>117</v>
      </c>
      <c r="Z344">
        <v>70</v>
      </c>
      <c r="AA344">
        <v>153</v>
      </c>
      <c r="AD344" t="s">
        <v>600</v>
      </c>
      <c r="AE344" s="19">
        <v>4341</v>
      </c>
      <c r="AF344">
        <v>9371</v>
      </c>
    </row>
    <row r="345" spans="1:32" hidden="1">
      <c r="A345" s="41" t="s">
        <v>759</v>
      </c>
      <c r="B345" s="41">
        <v>0</v>
      </c>
      <c r="C345" s="41">
        <v>0</v>
      </c>
      <c r="D345" s="41">
        <v>0</v>
      </c>
      <c r="E345" s="41">
        <v>0</v>
      </c>
      <c r="F345" s="41">
        <v>0</v>
      </c>
      <c r="G345" s="41">
        <v>390</v>
      </c>
      <c r="H345" s="41">
        <v>691</v>
      </c>
      <c r="I345" s="41">
        <v>1148</v>
      </c>
      <c r="J345" s="41">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606</v>
      </c>
      <c r="AE345" s="19">
        <v>1730</v>
      </c>
      <c r="AF345">
        <v>5884</v>
      </c>
    </row>
    <row r="346" spans="1:32" hidden="1">
      <c r="A346" s="41" t="s">
        <v>662</v>
      </c>
      <c r="B346" s="41">
        <v>0</v>
      </c>
      <c r="C346" s="41">
        <v>0</v>
      </c>
      <c r="D346" s="41">
        <v>0</v>
      </c>
      <c r="E346" s="41">
        <v>0</v>
      </c>
      <c r="F346" s="41">
        <v>0</v>
      </c>
      <c r="G346" s="41">
        <v>739</v>
      </c>
      <c r="H346" s="41">
        <v>1555</v>
      </c>
      <c r="I346" s="41">
        <v>751</v>
      </c>
      <c r="J346" s="41">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554</v>
      </c>
      <c r="AE346" s="19">
        <v>2197</v>
      </c>
      <c r="AF346">
        <v>7621</v>
      </c>
    </row>
    <row r="347" spans="1:32" hidden="1">
      <c r="A347" s="41" t="s">
        <v>534</v>
      </c>
      <c r="B347" s="41">
        <v>0</v>
      </c>
      <c r="C347" s="41">
        <v>0</v>
      </c>
      <c r="D347" s="41">
        <v>0</v>
      </c>
      <c r="E347" s="41">
        <v>0</v>
      </c>
      <c r="F347" s="41">
        <v>98</v>
      </c>
      <c r="G347" s="41">
        <v>561</v>
      </c>
      <c r="H347" s="41">
        <v>584</v>
      </c>
      <c r="I347" s="41">
        <v>524</v>
      </c>
      <c r="J347" s="41">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742</v>
      </c>
      <c r="AE347" s="19">
        <v>680</v>
      </c>
      <c r="AF347">
        <v>1839</v>
      </c>
    </row>
    <row r="348" spans="1:32" hidden="1">
      <c r="A348" s="41" t="s">
        <v>554</v>
      </c>
      <c r="B348" s="41">
        <v>0</v>
      </c>
      <c r="C348" s="41">
        <v>0</v>
      </c>
      <c r="D348" s="41">
        <v>0</v>
      </c>
      <c r="E348" s="41">
        <v>0</v>
      </c>
      <c r="F348" s="41">
        <v>0</v>
      </c>
      <c r="G348" s="41">
        <v>0</v>
      </c>
      <c r="H348" s="41">
        <v>393</v>
      </c>
      <c r="I348" s="41">
        <v>2532</v>
      </c>
      <c r="J348" s="41">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724</v>
      </c>
      <c r="AE348" s="19">
        <v>556</v>
      </c>
      <c r="AF348">
        <v>3328</v>
      </c>
    </row>
    <row r="349" spans="1:32" hidden="1">
      <c r="A349" s="41" t="s">
        <v>168</v>
      </c>
      <c r="B349" s="41">
        <v>0</v>
      </c>
      <c r="C349" s="41">
        <v>0</v>
      </c>
      <c r="D349" s="41">
        <v>0</v>
      </c>
      <c r="E349" s="41">
        <v>0</v>
      </c>
      <c r="F349" s="41">
        <v>0</v>
      </c>
      <c r="G349" s="41">
        <v>0</v>
      </c>
      <c r="H349" s="41">
        <v>0</v>
      </c>
      <c r="I349" s="41">
        <v>0</v>
      </c>
      <c r="J349" s="41">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569</v>
      </c>
      <c r="AE349" s="19">
        <v>709</v>
      </c>
      <c r="AF349">
        <v>1617</v>
      </c>
    </row>
    <row r="350" spans="1:32" hidden="1">
      <c r="A350" s="41" t="s">
        <v>724</v>
      </c>
      <c r="B350" s="41">
        <v>0</v>
      </c>
      <c r="C350" s="41">
        <v>0</v>
      </c>
      <c r="D350" s="41">
        <v>0</v>
      </c>
      <c r="E350" s="41">
        <v>0</v>
      </c>
      <c r="F350" s="41">
        <v>0</v>
      </c>
      <c r="G350" s="41">
        <v>12</v>
      </c>
      <c r="H350" s="41">
        <v>279</v>
      </c>
      <c r="I350" s="41">
        <v>1318</v>
      </c>
      <c r="J350" s="41">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712</v>
      </c>
      <c r="AE350" s="19">
        <v>1391</v>
      </c>
      <c r="AF350">
        <v>6386</v>
      </c>
    </row>
    <row r="351" spans="1:32" hidden="1">
      <c r="A351" s="41" t="s">
        <v>798</v>
      </c>
      <c r="B351" s="41">
        <v>0</v>
      </c>
      <c r="C351" s="41">
        <v>0</v>
      </c>
      <c r="D351" s="41">
        <v>0</v>
      </c>
      <c r="E351" s="41">
        <v>0</v>
      </c>
      <c r="F351" s="41">
        <v>0</v>
      </c>
      <c r="G351" s="41">
        <v>0</v>
      </c>
      <c r="H351" s="41">
        <v>160</v>
      </c>
      <c r="I351" s="41">
        <v>1483</v>
      </c>
      <c r="J351" s="41">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658</v>
      </c>
      <c r="AE351" s="19">
        <v>1104</v>
      </c>
      <c r="AF351">
        <v>3041</v>
      </c>
    </row>
    <row r="352" spans="1:32" hidden="1">
      <c r="A352" s="41" t="s">
        <v>589</v>
      </c>
      <c r="B352" s="41">
        <v>0</v>
      </c>
      <c r="C352" s="41">
        <v>0</v>
      </c>
      <c r="D352" s="41">
        <v>0</v>
      </c>
      <c r="E352" s="41">
        <v>0</v>
      </c>
      <c r="F352" s="41">
        <v>0</v>
      </c>
      <c r="G352" s="41">
        <v>301</v>
      </c>
      <c r="H352" s="41">
        <v>600</v>
      </c>
      <c r="I352" s="41">
        <v>576</v>
      </c>
      <c r="J352" s="41">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9" t="s">
        <v>730</v>
      </c>
      <c r="AE352" s="19">
        <v>1012</v>
      </c>
      <c r="AF352">
        <v>4711</v>
      </c>
    </row>
    <row r="353" spans="1:32" hidden="1">
      <c r="A353" s="41" t="s">
        <v>1124</v>
      </c>
      <c r="B353" s="41">
        <v>0</v>
      </c>
      <c r="C353" s="41">
        <v>0</v>
      </c>
      <c r="D353" s="41">
        <v>0</v>
      </c>
      <c r="E353" s="41">
        <v>0</v>
      </c>
      <c r="F353" s="41">
        <v>0</v>
      </c>
      <c r="G353" s="41">
        <v>138</v>
      </c>
      <c r="H353" s="41">
        <v>416</v>
      </c>
      <c r="I353" s="41">
        <v>484</v>
      </c>
      <c r="J353" s="41">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726</v>
      </c>
      <c r="AE353" s="19">
        <v>563</v>
      </c>
      <c r="AF353">
        <v>1126</v>
      </c>
    </row>
    <row r="354" spans="1:32" hidden="1">
      <c r="A354" s="41" t="s">
        <v>1125</v>
      </c>
      <c r="B354" s="41">
        <v>0</v>
      </c>
      <c r="C354" s="41">
        <v>0</v>
      </c>
      <c r="D354" s="41">
        <v>0</v>
      </c>
      <c r="E354" s="41">
        <v>0</v>
      </c>
      <c r="F354" s="41">
        <v>0</v>
      </c>
      <c r="G354" s="41">
        <v>0</v>
      </c>
      <c r="H354" s="41">
        <v>0</v>
      </c>
      <c r="I354" s="41">
        <v>408</v>
      </c>
      <c r="J354" s="41">
        <v>599</v>
      </c>
      <c r="K354">
        <v>871</v>
      </c>
      <c r="L354">
        <v>557</v>
      </c>
      <c r="M354">
        <v>780</v>
      </c>
      <c r="N354">
        <v>550</v>
      </c>
      <c r="O354">
        <v>0</v>
      </c>
      <c r="P354">
        <v>0</v>
      </c>
      <c r="Q354">
        <v>0</v>
      </c>
      <c r="R354">
        <v>0</v>
      </c>
      <c r="S354">
        <v>0</v>
      </c>
      <c r="T354">
        <v>0</v>
      </c>
      <c r="U354">
        <v>0</v>
      </c>
      <c r="V354">
        <v>122</v>
      </c>
      <c r="W354">
        <v>234</v>
      </c>
      <c r="X354">
        <v>328</v>
      </c>
      <c r="Y354">
        <v>236</v>
      </c>
      <c r="Z354">
        <v>330</v>
      </c>
      <c r="AA354">
        <v>182</v>
      </c>
      <c r="AD354" s="39" t="s">
        <v>802</v>
      </c>
      <c r="AE354" s="19">
        <v>994</v>
      </c>
      <c r="AF354">
        <v>5341</v>
      </c>
    </row>
    <row r="355" spans="1:32" hidden="1">
      <c r="A355" s="41" t="s">
        <v>916</v>
      </c>
      <c r="B355" s="41">
        <v>0</v>
      </c>
      <c r="C355" s="41">
        <v>0</v>
      </c>
      <c r="D355" s="41">
        <v>0</v>
      </c>
      <c r="E355" s="41">
        <v>0</v>
      </c>
      <c r="F355" s="41">
        <v>0</v>
      </c>
      <c r="G355" s="41">
        <v>0</v>
      </c>
      <c r="H355" s="41">
        <v>6</v>
      </c>
      <c r="I355" s="41">
        <v>957</v>
      </c>
      <c r="J355" s="41">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787</v>
      </c>
      <c r="AE355" s="19">
        <v>2392</v>
      </c>
      <c r="AF355">
        <v>4813</v>
      </c>
    </row>
    <row r="356" spans="1:32" hidden="1">
      <c r="A356" s="41" t="s">
        <v>1044</v>
      </c>
      <c r="B356" s="41">
        <v>0</v>
      </c>
      <c r="C356" s="41">
        <v>0</v>
      </c>
      <c r="D356" s="41">
        <v>0</v>
      </c>
      <c r="E356" s="41">
        <v>0</v>
      </c>
      <c r="F356" s="41">
        <v>0</v>
      </c>
      <c r="G356" s="41">
        <v>773</v>
      </c>
      <c r="H356" s="41">
        <v>647</v>
      </c>
      <c r="I356" s="41">
        <v>608</v>
      </c>
      <c r="J356" s="41">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4" t="s">
        <v>589</v>
      </c>
      <c r="AE356" s="19">
        <v>968</v>
      </c>
      <c r="AF356">
        <v>2161</v>
      </c>
    </row>
    <row r="357" spans="1:32" hidden="1">
      <c r="A357" s="41" t="s">
        <v>1017</v>
      </c>
      <c r="B357" s="41">
        <v>0</v>
      </c>
      <c r="C357" s="41">
        <v>0</v>
      </c>
      <c r="D357" s="41">
        <v>0</v>
      </c>
      <c r="E357" s="41">
        <v>0</v>
      </c>
      <c r="F357" s="41">
        <v>0</v>
      </c>
      <c r="G357" s="41">
        <v>7</v>
      </c>
      <c r="H357" s="41">
        <v>2458</v>
      </c>
      <c r="I357" s="41">
        <v>1177</v>
      </c>
      <c r="J357" s="41">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716</v>
      </c>
      <c r="AE357" s="19">
        <v>1050</v>
      </c>
      <c r="AF357">
        <v>3313</v>
      </c>
    </row>
    <row r="358" spans="1:32" hidden="1">
      <c r="A358" s="41" t="s">
        <v>809</v>
      </c>
      <c r="B358" s="41">
        <v>0</v>
      </c>
      <c r="C358" s="41">
        <v>0</v>
      </c>
      <c r="D358" s="41">
        <v>0</v>
      </c>
      <c r="E358" s="41">
        <v>0</v>
      </c>
      <c r="F358" s="41">
        <v>0</v>
      </c>
      <c r="G358" s="41">
        <v>1446</v>
      </c>
      <c r="H358" s="41">
        <v>2491</v>
      </c>
      <c r="I358" s="41">
        <v>3474</v>
      </c>
      <c r="J358" s="41">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773</v>
      </c>
      <c r="AE358" s="19">
        <v>1164</v>
      </c>
      <c r="AF358">
        <v>2760</v>
      </c>
    </row>
    <row r="359" spans="1:32" hidden="1">
      <c r="A359" s="41" t="s">
        <v>953</v>
      </c>
      <c r="B359" s="41">
        <v>0</v>
      </c>
      <c r="C359" s="41">
        <v>0</v>
      </c>
      <c r="D359" s="41">
        <v>0</v>
      </c>
      <c r="E359" s="41">
        <v>0</v>
      </c>
      <c r="F359" s="41">
        <v>0</v>
      </c>
      <c r="G359" s="41">
        <v>1785</v>
      </c>
      <c r="H359" s="41">
        <v>1444</v>
      </c>
      <c r="I359" s="41">
        <v>1189</v>
      </c>
      <c r="J359" s="41">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9" t="s">
        <v>577</v>
      </c>
      <c r="AE359" s="19">
        <v>1206</v>
      </c>
      <c r="AF359">
        <v>5369</v>
      </c>
    </row>
    <row r="360" spans="1:32" hidden="1">
      <c r="A360" s="41" t="s">
        <v>22</v>
      </c>
      <c r="B360" s="41">
        <v>0</v>
      </c>
      <c r="C360" s="41">
        <v>0</v>
      </c>
      <c r="D360" s="41">
        <v>0</v>
      </c>
      <c r="E360" s="41">
        <v>0</v>
      </c>
      <c r="F360" s="41">
        <v>0</v>
      </c>
      <c r="G360" s="41">
        <v>0</v>
      </c>
      <c r="H360" s="41">
        <v>0</v>
      </c>
      <c r="I360" s="41">
        <v>762</v>
      </c>
      <c r="J360" s="41">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4" t="s">
        <v>798</v>
      </c>
      <c r="AE360" s="19">
        <v>2452</v>
      </c>
      <c r="AF360">
        <v>11987</v>
      </c>
    </row>
    <row r="361" spans="1:32" hidden="1">
      <c r="A361" s="41" t="s">
        <v>96</v>
      </c>
      <c r="B361" s="41">
        <v>0</v>
      </c>
      <c r="C361" s="41">
        <v>0</v>
      </c>
      <c r="D361" s="41">
        <v>0</v>
      </c>
      <c r="E361" s="41">
        <v>0</v>
      </c>
      <c r="F361" s="41">
        <v>0</v>
      </c>
      <c r="G361" s="41">
        <v>7630</v>
      </c>
      <c r="H361" s="41">
        <v>2562</v>
      </c>
      <c r="I361" s="41">
        <v>2152</v>
      </c>
      <c r="J361" s="41">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9" t="s">
        <v>608</v>
      </c>
      <c r="AE361" s="19">
        <v>1081</v>
      </c>
      <c r="AF361">
        <v>2997</v>
      </c>
    </row>
    <row r="362" spans="1:32" hidden="1">
      <c r="A362" s="41" t="s">
        <v>1126</v>
      </c>
      <c r="B362" s="41">
        <v>0</v>
      </c>
      <c r="C362" s="41">
        <v>0</v>
      </c>
      <c r="D362" s="41">
        <v>0</v>
      </c>
      <c r="E362" s="41">
        <v>0</v>
      </c>
      <c r="F362" s="41">
        <v>0</v>
      </c>
      <c r="G362" s="41">
        <v>260</v>
      </c>
      <c r="H362" s="41">
        <v>228</v>
      </c>
      <c r="I362" s="41">
        <v>499</v>
      </c>
      <c r="J362" s="41">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785</v>
      </c>
      <c r="AE362" s="19">
        <v>2435</v>
      </c>
      <c r="AF362">
        <v>9302</v>
      </c>
    </row>
    <row r="363" spans="1:32" hidden="1">
      <c r="A363" s="41" t="s">
        <v>1127</v>
      </c>
      <c r="B363" s="41">
        <v>0</v>
      </c>
      <c r="C363" s="41">
        <v>0</v>
      </c>
      <c r="D363" s="41">
        <v>0</v>
      </c>
      <c r="E363" s="41">
        <v>74</v>
      </c>
      <c r="F363" s="41">
        <v>732</v>
      </c>
      <c r="G363" s="41">
        <v>2355</v>
      </c>
      <c r="H363" s="41">
        <v>1554</v>
      </c>
      <c r="I363" s="41">
        <v>1083</v>
      </c>
      <c r="J363" s="41">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9" t="s">
        <v>704</v>
      </c>
      <c r="AE363" s="19">
        <v>932</v>
      </c>
      <c r="AF363">
        <v>2798</v>
      </c>
    </row>
    <row r="364" spans="1:32" hidden="1">
      <c r="A364" s="41" t="s">
        <v>1128</v>
      </c>
      <c r="B364" s="41">
        <v>0</v>
      </c>
      <c r="C364" s="41">
        <v>0</v>
      </c>
      <c r="D364" s="41">
        <v>0</v>
      </c>
      <c r="E364" s="41">
        <v>66</v>
      </c>
      <c r="F364" s="41">
        <v>40</v>
      </c>
      <c r="G364" s="41">
        <v>147</v>
      </c>
      <c r="H364" s="41">
        <v>138</v>
      </c>
      <c r="I364" s="41">
        <v>116</v>
      </c>
      <c r="J364" s="41">
        <v>178</v>
      </c>
      <c r="K364">
        <v>141</v>
      </c>
      <c r="L364">
        <v>183</v>
      </c>
      <c r="M364">
        <v>0</v>
      </c>
      <c r="N364">
        <v>61</v>
      </c>
      <c r="O364">
        <v>0</v>
      </c>
      <c r="P364">
        <v>0</v>
      </c>
      <c r="Q364">
        <v>0</v>
      </c>
      <c r="R364">
        <v>18</v>
      </c>
      <c r="S364">
        <v>12</v>
      </c>
      <c r="T364">
        <v>25</v>
      </c>
      <c r="U364">
        <v>31</v>
      </c>
      <c r="V364">
        <v>27</v>
      </c>
      <c r="W364">
        <v>45</v>
      </c>
      <c r="X364">
        <v>28</v>
      </c>
      <c r="Y364">
        <v>68</v>
      </c>
      <c r="Z364">
        <v>0</v>
      </c>
      <c r="AA364">
        <v>26</v>
      </c>
      <c r="AD364" s="39" t="s">
        <v>806</v>
      </c>
      <c r="AE364" s="19">
        <v>2202</v>
      </c>
      <c r="AF364">
        <v>6672</v>
      </c>
    </row>
    <row r="365" spans="1:32" hidden="1">
      <c r="A365" s="41" t="s">
        <v>276</v>
      </c>
      <c r="B365" s="41">
        <v>0</v>
      </c>
      <c r="C365" s="41">
        <v>0</v>
      </c>
      <c r="D365" s="41">
        <v>0</v>
      </c>
      <c r="E365" s="41">
        <v>216</v>
      </c>
      <c r="F365" s="41">
        <v>572</v>
      </c>
      <c r="G365" s="41">
        <v>531</v>
      </c>
      <c r="H365" s="41">
        <v>442</v>
      </c>
      <c r="I365" s="41">
        <v>923</v>
      </c>
      <c r="J365" s="41">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792</v>
      </c>
      <c r="AE365" s="19">
        <v>1002</v>
      </c>
      <c r="AF365">
        <v>3000</v>
      </c>
    </row>
    <row r="366" spans="1:32" hidden="1">
      <c r="A366" s="41" t="s">
        <v>514</v>
      </c>
      <c r="B366" s="41">
        <v>0</v>
      </c>
      <c r="C366" s="41">
        <v>0</v>
      </c>
      <c r="D366" s="41">
        <v>0</v>
      </c>
      <c r="E366" s="41">
        <v>0</v>
      </c>
      <c r="F366" s="41">
        <v>0</v>
      </c>
      <c r="G366" s="41">
        <v>0</v>
      </c>
      <c r="H366" s="41">
        <v>0</v>
      </c>
      <c r="I366" s="41">
        <v>0</v>
      </c>
      <c r="J366" s="41">
        <v>187</v>
      </c>
      <c r="K366">
        <v>988</v>
      </c>
      <c r="L366">
        <v>532</v>
      </c>
      <c r="M366">
        <v>680</v>
      </c>
      <c r="N366">
        <v>0</v>
      </c>
      <c r="O366">
        <v>0</v>
      </c>
      <c r="P366">
        <v>0</v>
      </c>
      <c r="Q366">
        <v>0</v>
      </c>
      <c r="R366">
        <v>0</v>
      </c>
      <c r="S366">
        <v>0</v>
      </c>
      <c r="T366">
        <v>0</v>
      </c>
      <c r="U366">
        <v>0</v>
      </c>
      <c r="V366">
        <v>0</v>
      </c>
      <c r="W366">
        <v>38</v>
      </c>
      <c r="X366">
        <v>121</v>
      </c>
      <c r="Y366">
        <v>86</v>
      </c>
      <c r="Z366">
        <v>89</v>
      </c>
      <c r="AA366">
        <v>0</v>
      </c>
      <c r="AD366" s="29" t="s">
        <v>567</v>
      </c>
      <c r="AE366" s="19">
        <v>871</v>
      </c>
      <c r="AF366">
        <v>3124</v>
      </c>
    </row>
    <row r="367" spans="1:32" hidden="1">
      <c r="A367" s="41" t="s">
        <v>268</v>
      </c>
      <c r="B367" s="41">
        <v>0</v>
      </c>
      <c r="C367" s="41">
        <v>0</v>
      </c>
      <c r="D367" s="41">
        <v>0</v>
      </c>
      <c r="E367" s="41">
        <v>0</v>
      </c>
      <c r="F367" s="41">
        <v>0</v>
      </c>
      <c r="G367" s="41">
        <v>0</v>
      </c>
      <c r="H367" s="41">
        <v>0</v>
      </c>
      <c r="I367" s="41">
        <v>15</v>
      </c>
      <c r="J367" s="41">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2" hidden="1">
      <c r="A368" s="41" t="s">
        <v>82</v>
      </c>
      <c r="B368" s="41">
        <v>0</v>
      </c>
      <c r="C368" s="41">
        <v>0</v>
      </c>
      <c r="D368" s="41">
        <v>0</v>
      </c>
      <c r="E368" s="41">
        <v>0</v>
      </c>
      <c r="F368" s="41">
        <v>0</v>
      </c>
      <c r="G368" s="41">
        <v>0</v>
      </c>
      <c r="H368" s="41">
        <v>0</v>
      </c>
      <c r="I368" s="41">
        <v>3</v>
      </c>
      <c r="J368" s="41">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2" hidden="1">
      <c r="A369" s="41" t="s">
        <v>26</v>
      </c>
      <c r="B369" s="41">
        <v>0</v>
      </c>
      <c r="C369" s="41">
        <v>0</v>
      </c>
      <c r="D369" s="41">
        <v>0</v>
      </c>
      <c r="E369" s="41">
        <v>0</v>
      </c>
      <c r="F369" s="41">
        <v>0</v>
      </c>
      <c r="G369" s="41">
        <v>0</v>
      </c>
      <c r="H369" s="41">
        <v>0</v>
      </c>
      <c r="I369" s="41">
        <v>0</v>
      </c>
      <c r="J369" s="41">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2" hidden="1">
      <c r="A370" s="41" t="s">
        <v>52</v>
      </c>
      <c r="B370" s="41">
        <v>0</v>
      </c>
      <c r="C370" s="41">
        <v>0</v>
      </c>
      <c r="D370" s="41">
        <v>0</v>
      </c>
      <c r="E370" s="41">
        <v>0</v>
      </c>
      <c r="F370" s="41">
        <v>0</v>
      </c>
      <c r="G370" s="41">
        <v>0</v>
      </c>
      <c r="H370" s="41">
        <v>0</v>
      </c>
      <c r="I370" s="41">
        <v>1854</v>
      </c>
      <c r="J370" s="41">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2" hidden="1">
      <c r="A371" s="41" t="s">
        <v>126</v>
      </c>
      <c r="B371" s="41">
        <v>0</v>
      </c>
      <c r="C371" s="41">
        <v>0</v>
      </c>
      <c r="D371" s="41">
        <v>0</v>
      </c>
      <c r="E371" s="41">
        <v>0</v>
      </c>
      <c r="F371" s="41">
        <v>0</v>
      </c>
      <c r="G371" s="41">
        <v>0</v>
      </c>
      <c r="H371" s="41">
        <v>18</v>
      </c>
      <c r="I371" s="41">
        <v>1584</v>
      </c>
      <c r="J371" s="41">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2" hidden="1">
      <c r="A372" s="41" t="s">
        <v>62</v>
      </c>
      <c r="B372" s="41">
        <v>0</v>
      </c>
      <c r="C372" s="41">
        <v>0</v>
      </c>
      <c r="D372" s="41">
        <v>0</v>
      </c>
      <c r="E372" s="41">
        <v>0</v>
      </c>
      <c r="F372" s="41">
        <v>0</v>
      </c>
      <c r="G372" s="41">
        <v>0</v>
      </c>
      <c r="H372" s="41">
        <v>0</v>
      </c>
      <c r="I372" s="41">
        <v>169</v>
      </c>
      <c r="J372" s="41">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2" hidden="1">
      <c r="A373" s="41" t="s">
        <v>72</v>
      </c>
      <c r="B373" s="41">
        <v>0</v>
      </c>
      <c r="C373" s="41">
        <v>0</v>
      </c>
      <c r="D373" s="41">
        <v>0</v>
      </c>
      <c r="E373" s="41">
        <v>0</v>
      </c>
      <c r="F373" s="41">
        <v>0</v>
      </c>
      <c r="G373" s="41">
        <v>0</v>
      </c>
      <c r="H373" s="41">
        <v>0</v>
      </c>
      <c r="I373" s="41">
        <v>0</v>
      </c>
      <c r="J373" s="41">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2" hidden="1">
      <c r="A374" s="41" t="s">
        <v>468</v>
      </c>
      <c r="B374" s="41">
        <v>0</v>
      </c>
      <c r="C374" s="41">
        <v>0</v>
      </c>
      <c r="D374" s="41">
        <v>0</v>
      </c>
      <c r="E374" s="41">
        <v>0</v>
      </c>
      <c r="F374" s="41">
        <v>0</v>
      </c>
      <c r="G374" s="41">
        <v>0</v>
      </c>
      <c r="H374" s="41">
        <v>0</v>
      </c>
      <c r="I374" s="41">
        <v>699</v>
      </c>
      <c r="J374" s="41">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2" hidden="1">
      <c r="A375" s="41" t="s">
        <v>460</v>
      </c>
      <c r="B375" s="41">
        <v>0</v>
      </c>
      <c r="C375" s="41">
        <v>0</v>
      </c>
      <c r="D375" s="41">
        <v>0</v>
      </c>
      <c r="E375" s="41">
        <v>0</v>
      </c>
      <c r="F375" s="41">
        <v>0</v>
      </c>
      <c r="G375" s="41">
        <v>0</v>
      </c>
      <c r="H375" s="41">
        <v>0</v>
      </c>
      <c r="I375" s="41">
        <v>0</v>
      </c>
      <c r="J375" s="41">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631</v>
      </c>
      <c r="AE375" s="19">
        <v>0</v>
      </c>
      <c r="AF375">
        <v>204</v>
      </c>
    </row>
    <row r="376" spans="1:32" hidden="1">
      <c r="A376" s="41" t="s">
        <v>450</v>
      </c>
      <c r="B376" s="41">
        <v>0</v>
      </c>
      <c r="C376" s="41">
        <v>0</v>
      </c>
      <c r="D376" s="41">
        <v>0</v>
      </c>
      <c r="E376" s="41">
        <v>0</v>
      </c>
      <c r="F376" s="41">
        <v>0</v>
      </c>
      <c r="G376" s="41">
        <v>0</v>
      </c>
      <c r="H376" s="41">
        <v>0</v>
      </c>
      <c r="I376" s="41">
        <v>0</v>
      </c>
      <c r="J376" s="41">
        <v>0</v>
      </c>
      <c r="K376">
        <v>199</v>
      </c>
      <c r="L376">
        <v>944</v>
      </c>
      <c r="M376">
        <v>1775</v>
      </c>
      <c r="N376">
        <v>2660</v>
      </c>
      <c r="O376">
        <v>0</v>
      </c>
      <c r="P376">
        <v>0</v>
      </c>
      <c r="Q376">
        <v>0</v>
      </c>
      <c r="R376">
        <v>0</v>
      </c>
      <c r="S376">
        <v>0</v>
      </c>
      <c r="T376">
        <v>0</v>
      </c>
      <c r="U376">
        <v>0</v>
      </c>
      <c r="V376">
        <v>0</v>
      </c>
      <c r="W376">
        <v>0</v>
      </c>
      <c r="X376">
        <v>36</v>
      </c>
      <c r="Y376">
        <v>154</v>
      </c>
      <c r="Z376">
        <v>291</v>
      </c>
      <c r="AA376">
        <v>400</v>
      </c>
      <c r="AD376" t="s">
        <v>809</v>
      </c>
      <c r="AE376" s="19">
        <v>3508</v>
      </c>
      <c r="AF376">
        <v>15392</v>
      </c>
    </row>
    <row r="377" spans="1:32" hidden="1">
      <c r="A377" s="41" t="s">
        <v>148</v>
      </c>
      <c r="B377" s="41">
        <v>0</v>
      </c>
      <c r="C377" s="41">
        <v>0</v>
      </c>
      <c r="D377" s="41">
        <v>0</v>
      </c>
      <c r="E377" s="41">
        <v>0</v>
      </c>
      <c r="F377" s="41">
        <v>0</v>
      </c>
      <c r="G377" s="41">
        <v>0</v>
      </c>
      <c r="H377" s="41">
        <v>0</v>
      </c>
      <c r="I377" s="41">
        <v>0</v>
      </c>
      <c r="J377" s="41">
        <v>8</v>
      </c>
      <c r="K377">
        <v>1041</v>
      </c>
      <c r="L377">
        <v>1036</v>
      </c>
      <c r="M377">
        <v>1029</v>
      </c>
      <c r="N377">
        <v>2453</v>
      </c>
      <c r="O377">
        <v>0</v>
      </c>
      <c r="P377">
        <v>0</v>
      </c>
      <c r="Q377">
        <v>0</v>
      </c>
      <c r="R377">
        <v>0</v>
      </c>
      <c r="S377">
        <v>0</v>
      </c>
      <c r="T377">
        <v>0</v>
      </c>
      <c r="U377">
        <v>0</v>
      </c>
      <c r="V377">
        <v>0</v>
      </c>
      <c r="W377">
        <v>0</v>
      </c>
      <c r="X377">
        <v>171</v>
      </c>
      <c r="Y377">
        <v>171</v>
      </c>
      <c r="Z377">
        <v>133</v>
      </c>
      <c r="AA377">
        <v>422</v>
      </c>
      <c r="AD377" t="s">
        <v>811</v>
      </c>
      <c r="AE377" s="19">
        <v>4183</v>
      </c>
      <c r="AF377">
        <v>8194</v>
      </c>
    </row>
    <row r="378" spans="1:32" hidden="1">
      <c r="A378" s="41" t="s">
        <v>436</v>
      </c>
      <c r="B378" s="41">
        <v>0</v>
      </c>
      <c r="C378" s="41">
        <v>0</v>
      </c>
      <c r="D378" s="41">
        <v>0</v>
      </c>
      <c r="E378" s="41">
        <v>0</v>
      </c>
      <c r="F378" s="41">
        <v>0</v>
      </c>
      <c r="G378" s="41">
        <v>0</v>
      </c>
      <c r="H378" s="41">
        <v>0</v>
      </c>
      <c r="I378" s="41">
        <v>0</v>
      </c>
      <c r="J378" s="41">
        <v>0</v>
      </c>
      <c r="K378">
        <v>365</v>
      </c>
      <c r="L378">
        <v>961</v>
      </c>
      <c r="M378">
        <v>851</v>
      </c>
      <c r="N378">
        <v>1606</v>
      </c>
      <c r="O378">
        <v>0</v>
      </c>
      <c r="P378">
        <v>0</v>
      </c>
      <c r="Q378">
        <v>0</v>
      </c>
      <c r="R378">
        <v>0</v>
      </c>
      <c r="S378">
        <v>0</v>
      </c>
      <c r="T378">
        <v>0</v>
      </c>
      <c r="U378">
        <v>0</v>
      </c>
      <c r="V378">
        <v>0</v>
      </c>
      <c r="W378">
        <v>0</v>
      </c>
      <c r="X378">
        <v>73</v>
      </c>
      <c r="Y378">
        <v>253</v>
      </c>
      <c r="Z378">
        <v>222</v>
      </c>
      <c r="AA378">
        <v>355</v>
      </c>
      <c r="AD378" t="s">
        <v>813</v>
      </c>
      <c r="AE378" s="19">
        <v>2357</v>
      </c>
      <c r="AF378">
        <v>9489</v>
      </c>
    </row>
    <row r="379" spans="1:32" hidden="1">
      <c r="A379" s="41" t="s">
        <v>1129</v>
      </c>
      <c r="B379" s="41">
        <v>0</v>
      </c>
      <c r="C379" s="41">
        <v>0</v>
      </c>
      <c r="D379" s="41">
        <v>0</v>
      </c>
      <c r="E379" s="41">
        <v>0</v>
      </c>
      <c r="F379" s="41">
        <v>0</v>
      </c>
      <c r="G379" s="41">
        <v>1321</v>
      </c>
      <c r="H379" s="41">
        <v>2615</v>
      </c>
      <c r="I379" s="41">
        <v>2472</v>
      </c>
      <c r="J379" s="41">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815</v>
      </c>
      <c r="AE379" s="19">
        <v>1605</v>
      </c>
      <c r="AF379">
        <v>3876</v>
      </c>
    </row>
    <row r="380" spans="1:32" hidden="1">
      <c r="A380" s="41" t="s">
        <v>730</v>
      </c>
      <c r="B380" s="41">
        <v>0</v>
      </c>
      <c r="C380" s="41">
        <v>0</v>
      </c>
      <c r="D380" s="41">
        <v>0</v>
      </c>
      <c r="E380" s="41">
        <v>0</v>
      </c>
      <c r="F380" s="41">
        <v>0</v>
      </c>
      <c r="G380" s="41">
        <v>0</v>
      </c>
      <c r="H380" s="41">
        <v>0</v>
      </c>
      <c r="I380" s="41">
        <v>0</v>
      </c>
      <c r="J380" s="41">
        <v>168</v>
      </c>
      <c r="K380">
        <v>609</v>
      </c>
      <c r="L380">
        <v>662</v>
      </c>
      <c r="M380">
        <v>945</v>
      </c>
      <c r="N380">
        <v>1137</v>
      </c>
      <c r="O380">
        <v>0</v>
      </c>
      <c r="P380">
        <v>0</v>
      </c>
      <c r="Q380">
        <v>0</v>
      </c>
      <c r="R380">
        <v>0</v>
      </c>
      <c r="S380">
        <v>0</v>
      </c>
      <c r="T380">
        <v>0</v>
      </c>
      <c r="U380">
        <v>0</v>
      </c>
      <c r="V380">
        <v>0</v>
      </c>
      <c r="W380">
        <v>34</v>
      </c>
      <c r="X380">
        <v>143</v>
      </c>
      <c r="Y380">
        <v>141</v>
      </c>
      <c r="Z380">
        <v>221</v>
      </c>
      <c r="AA380">
        <v>241</v>
      </c>
      <c r="AD380" t="s">
        <v>817</v>
      </c>
      <c r="AE380" s="19">
        <v>1961</v>
      </c>
      <c r="AF380">
        <v>6052</v>
      </c>
    </row>
    <row r="381" spans="1:32" hidden="1">
      <c r="A381" s="41" t="s">
        <v>612</v>
      </c>
      <c r="B381" s="41">
        <v>0</v>
      </c>
      <c r="C381" s="41">
        <v>0</v>
      </c>
      <c r="D381" s="41">
        <v>0</v>
      </c>
      <c r="E381" s="41">
        <v>0</v>
      </c>
      <c r="F381" s="41">
        <v>0</v>
      </c>
      <c r="G381" s="41">
        <v>0</v>
      </c>
      <c r="H381" s="41">
        <v>0</v>
      </c>
      <c r="I381" s="41">
        <v>0</v>
      </c>
      <c r="J381" s="41">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819</v>
      </c>
      <c r="AE381" s="19">
        <v>2820</v>
      </c>
      <c r="AF381">
        <v>8999</v>
      </c>
    </row>
    <row r="382" spans="1:32" hidden="1">
      <c r="A382" s="41" t="s">
        <v>525</v>
      </c>
      <c r="B382" s="41">
        <v>0</v>
      </c>
      <c r="C382" s="41">
        <v>0</v>
      </c>
      <c r="D382" s="41">
        <v>0</v>
      </c>
      <c r="E382" s="41">
        <v>0</v>
      </c>
      <c r="F382" s="41">
        <v>0</v>
      </c>
      <c r="G382" s="41">
        <v>0</v>
      </c>
      <c r="H382" s="41">
        <v>0</v>
      </c>
      <c r="I382" s="41">
        <v>0</v>
      </c>
      <c r="J382" s="41">
        <v>0</v>
      </c>
      <c r="K382">
        <v>75</v>
      </c>
      <c r="L382">
        <v>647</v>
      </c>
      <c r="M382">
        <v>1370</v>
      </c>
      <c r="N382">
        <v>949</v>
      </c>
      <c r="O382">
        <v>0</v>
      </c>
      <c r="P382">
        <v>0</v>
      </c>
      <c r="Q382">
        <v>0</v>
      </c>
      <c r="R382">
        <v>0</v>
      </c>
      <c r="S382">
        <v>0</v>
      </c>
      <c r="T382">
        <v>0</v>
      </c>
      <c r="U382">
        <v>0</v>
      </c>
      <c r="V382">
        <v>0</v>
      </c>
      <c r="W382">
        <v>0</v>
      </c>
      <c r="X382">
        <v>21</v>
      </c>
      <c r="Y382">
        <v>197</v>
      </c>
      <c r="Z382">
        <v>381</v>
      </c>
      <c r="AA382">
        <v>235</v>
      </c>
      <c r="AD382" t="s">
        <v>821</v>
      </c>
      <c r="AE382" s="19">
        <v>4202</v>
      </c>
      <c r="AF382">
        <v>11724</v>
      </c>
    </row>
    <row r="383" spans="1:32" hidden="1">
      <c r="A383" s="41" t="s">
        <v>692</v>
      </c>
      <c r="B383" s="41">
        <v>0</v>
      </c>
      <c r="C383" s="41">
        <v>0</v>
      </c>
      <c r="D383" s="41">
        <v>0</v>
      </c>
      <c r="E383" s="41">
        <v>0</v>
      </c>
      <c r="F383" s="41">
        <v>0</v>
      </c>
      <c r="G383" s="41">
        <v>0</v>
      </c>
      <c r="H383" s="41">
        <v>0</v>
      </c>
      <c r="I383" s="41">
        <v>0</v>
      </c>
      <c r="J383" s="41">
        <v>19</v>
      </c>
      <c r="K383">
        <v>317</v>
      </c>
      <c r="L383">
        <v>353</v>
      </c>
      <c r="M383">
        <v>423</v>
      </c>
      <c r="N383">
        <v>836</v>
      </c>
      <c r="O383">
        <v>0</v>
      </c>
      <c r="P383">
        <v>0</v>
      </c>
      <c r="Q383">
        <v>0</v>
      </c>
      <c r="R383">
        <v>0</v>
      </c>
      <c r="S383">
        <v>0</v>
      </c>
      <c r="T383">
        <v>0</v>
      </c>
      <c r="U383">
        <v>0</v>
      </c>
      <c r="V383">
        <v>0</v>
      </c>
      <c r="W383">
        <v>4</v>
      </c>
      <c r="X383">
        <v>83</v>
      </c>
      <c r="Y383">
        <v>89</v>
      </c>
      <c r="Z383">
        <v>101</v>
      </c>
      <c r="AA383">
        <v>231</v>
      </c>
      <c r="AD383" t="s">
        <v>824</v>
      </c>
      <c r="AE383" s="19">
        <v>706</v>
      </c>
      <c r="AF383">
        <v>2687</v>
      </c>
    </row>
    <row r="384" spans="1:32" hidden="1">
      <c r="A384" s="41" t="s">
        <v>1130</v>
      </c>
      <c r="B384" s="41">
        <v>0</v>
      </c>
      <c r="C384" s="41">
        <v>0</v>
      </c>
      <c r="D384" s="41">
        <v>0</v>
      </c>
      <c r="E384" s="41">
        <v>0</v>
      </c>
      <c r="F384" s="41">
        <v>0</v>
      </c>
      <c r="G384" s="41">
        <v>0</v>
      </c>
      <c r="H384" s="41">
        <v>0</v>
      </c>
      <c r="I384" s="41">
        <v>729</v>
      </c>
      <c r="J384" s="41">
        <v>77</v>
      </c>
      <c r="K384">
        <v>36</v>
      </c>
      <c r="L384">
        <v>48</v>
      </c>
      <c r="M384">
        <v>9</v>
      </c>
      <c r="N384">
        <v>13</v>
      </c>
      <c r="O384">
        <v>0</v>
      </c>
      <c r="P384">
        <v>0</v>
      </c>
      <c r="Q384">
        <v>0</v>
      </c>
      <c r="R384">
        <v>0</v>
      </c>
      <c r="S384">
        <v>0</v>
      </c>
      <c r="T384">
        <v>0</v>
      </c>
      <c r="U384">
        <v>0</v>
      </c>
      <c r="V384">
        <v>0</v>
      </c>
      <c r="W384">
        <v>0</v>
      </c>
      <c r="X384">
        <v>0</v>
      </c>
      <c r="Y384">
        <v>0</v>
      </c>
      <c r="Z384">
        <v>0</v>
      </c>
      <c r="AA384">
        <v>0</v>
      </c>
      <c r="AD384" t="s">
        <v>827</v>
      </c>
      <c r="AE384" s="19">
        <v>1460</v>
      </c>
      <c r="AF384">
        <v>5677</v>
      </c>
    </row>
    <row r="385" spans="1:32" hidden="1">
      <c r="A385" s="41" t="s">
        <v>1131</v>
      </c>
      <c r="B385" s="41">
        <v>0</v>
      </c>
      <c r="C385" s="41">
        <v>0</v>
      </c>
      <c r="D385" s="41">
        <v>0</v>
      </c>
      <c r="E385" s="41">
        <v>0</v>
      </c>
      <c r="F385" s="41">
        <v>0</v>
      </c>
      <c r="G385" s="41">
        <v>0</v>
      </c>
      <c r="H385" s="41">
        <v>0</v>
      </c>
      <c r="I385" s="41">
        <v>1351</v>
      </c>
      <c r="J385" s="41">
        <v>465</v>
      </c>
      <c r="K385">
        <v>306</v>
      </c>
      <c r="L385">
        <v>240</v>
      </c>
      <c r="M385">
        <v>151</v>
      </c>
      <c r="N385">
        <v>102</v>
      </c>
      <c r="O385">
        <v>0</v>
      </c>
      <c r="P385">
        <v>0</v>
      </c>
      <c r="Q385">
        <v>0</v>
      </c>
      <c r="R385">
        <v>0</v>
      </c>
      <c r="S385">
        <v>0</v>
      </c>
      <c r="T385">
        <v>0</v>
      </c>
      <c r="U385">
        <v>0</v>
      </c>
      <c r="V385">
        <v>0</v>
      </c>
      <c r="W385">
        <v>0</v>
      </c>
      <c r="X385">
        <v>0</v>
      </c>
      <c r="Y385">
        <v>0</v>
      </c>
      <c r="Z385">
        <v>0</v>
      </c>
      <c r="AA385">
        <v>0</v>
      </c>
      <c r="AD385" t="s">
        <v>829</v>
      </c>
      <c r="AE385" s="19">
        <v>871</v>
      </c>
      <c r="AF385">
        <v>2362</v>
      </c>
    </row>
    <row r="386" spans="1:32" hidden="1">
      <c r="A386" s="41" t="s">
        <v>935</v>
      </c>
      <c r="B386" s="41">
        <v>0</v>
      </c>
      <c r="C386" s="41">
        <v>0</v>
      </c>
      <c r="D386" s="41">
        <v>0</v>
      </c>
      <c r="E386" s="41">
        <v>0</v>
      </c>
      <c r="F386" s="41">
        <v>0</v>
      </c>
      <c r="G386" s="41">
        <v>0</v>
      </c>
      <c r="H386" s="41">
        <v>0</v>
      </c>
      <c r="I386" s="41">
        <v>0</v>
      </c>
      <c r="J386" s="41">
        <v>0</v>
      </c>
      <c r="K386">
        <v>574</v>
      </c>
      <c r="L386">
        <v>1481</v>
      </c>
      <c r="M386">
        <v>1922</v>
      </c>
      <c r="N386">
        <v>2377</v>
      </c>
      <c r="O386">
        <v>0</v>
      </c>
      <c r="P386">
        <v>0</v>
      </c>
      <c r="Q386">
        <v>0</v>
      </c>
      <c r="R386">
        <v>0</v>
      </c>
      <c r="S386">
        <v>0</v>
      </c>
      <c r="T386">
        <v>0</v>
      </c>
      <c r="U386">
        <v>0</v>
      </c>
      <c r="V386">
        <v>0</v>
      </c>
      <c r="W386">
        <v>0</v>
      </c>
      <c r="X386">
        <v>4</v>
      </c>
      <c r="Y386">
        <v>102</v>
      </c>
      <c r="Z386">
        <v>153</v>
      </c>
      <c r="AA386">
        <v>215</v>
      </c>
      <c r="AD386" t="s">
        <v>831</v>
      </c>
      <c r="AE386" s="19">
        <v>4871</v>
      </c>
      <c r="AF386">
        <v>10959</v>
      </c>
    </row>
    <row r="387" spans="1:32" hidden="1">
      <c r="A387" s="41" t="s">
        <v>933</v>
      </c>
      <c r="B387" s="41">
        <v>0</v>
      </c>
      <c r="C387" s="41">
        <v>0</v>
      </c>
      <c r="D387" s="41">
        <v>0</v>
      </c>
      <c r="E387" s="41">
        <v>0</v>
      </c>
      <c r="F387" s="41">
        <v>0</v>
      </c>
      <c r="G387" s="41">
        <v>0</v>
      </c>
      <c r="H387" s="41">
        <v>0</v>
      </c>
      <c r="I387" s="41">
        <v>0</v>
      </c>
      <c r="J387" s="41">
        <v>0</v>
      </c>
      <c r="K387">
        <v>8</v>
      </c>
      <c r="L387">
        <v>98</v>
      </c>
      <c r="M387">
        <v>578</v>
      </c>
      <c r="N387">
        <v>559</v>
      </c>
      <c r="O387">
        <v>0</v>
      </c>
      <c r="P387">
        <v>0</v>
      </c>
      <c r="Q387">
        <v>0</v>
      </c>
      <c r="R387">
        <v>0</v>
      </c>
      <c r="S387">
        <v>0</v>
      </c>
      <c r="T387">
        <v>0</v>
      </c>
      <c r="U387">
        <v>0</v>
      </c>
      <c r="V387">
        <v>0</v>
      </c>
      <c r="W387">
        <v>0</v>
      </c>
      <c r="X387">
        <v>0</v>
      </c>
      <c r="Y387">
        <v>15</v>
      </c>
      <c r="Z387">
        <v>78</v>
      </c>
      <c r="AA387">
        <v>75</v>
      </c>
      <c r="AD387" t="s">
        <v>834</v>
      </c>
      <c r="AE387" s="19">
        <v>10863</v>
      </c>
      <c r="AF387">
        <v>29065</v>
      </c>
    </row>
    <row r="388" spans="1:32" hidden="1">
      <c r="A388" s="41" t="s">
        <v>969</v>
      </c>
      <c r="B388" s="41">
        <v>0</v>
      </c>
      <c r="C388" s="41">
        <v>0</v>
      </c>
      <c r="D388" s="41">
        <v>0</v>
      </c>
      <c r="E388" s="41">
        <v>0</v>
      </c>
      <c r="F388" s="41">
        <v>0</v>
      </c>
      <c r="G388" s="41">
        <v>0</v>
      </c>
      <c r="H388" s="41">
        <v>0</v>
      </c>
      <c r="I388" s="41">
        <v>0</v>
      </c>
      <c r="J388" s="41">
        <v>0</v>
      </c>
      <c r="K388">
        <v>30</v>
      </c>
      <c r="L388">
        <v>119</v>
      </c>
      <c r="M388">
        <v>327</v>
      </c>
      <c r="N388">
        <v>295</v>
      </c>
      <c r="O388">
        <v>0</v>
      </c>
      <c r="P388">
        <v>0</v>
      </c>
      <c r="Q388">
        <v>0</v>
      </c>
      <c r="R388">
        <v>0</v>
      </c>
      <c r="S388">
        <v>0</v>
      </c>
      <c r="T388">
        <v>0</v>
      </c>
      <c r="U388">
        <v>0</v>
      </c>
      <c r="V388">
        <v>0</v>
      </c>
      <c r="W388">
        <v>0</v>
      </c>
      <c r="X388">
        <v>0</v>
      </c>
      <c r="Y388">
        <v>15</v>
      </c>
      <c r="Z388">
        <v>43</v>
      </c>
      <c r="AA388">
        <v>53</v>
      </c>
      <c r="AD388" t="s">
        <v>837</v>
      </c>
      <c r="AE388" s="19">
        <v>2105</v>
      </c>
      <c r="AF388">
        <v>8662</v>
      </c>
    </row>
    <row r="389" spans="1:32" hidden="1">
      <c r="A389" s="41" t="s">
        <v>1132</v>
      </c>
      <c r="B389" s="41">
        <v>0</v>
      </c>
      <c r="C389" s="41">
        <v>0</v>
      </c>
      <c r="D389" s="41">
        <v>0</v>
      </c>
      <c r="E389" s="41">
        <v>0</v>
      </c>
      <c r="F389" s="41">
        <v>0</v>
      </c>
      <c r="G389" s="41">
        <v>0</v>
      </c>
      <c r="H389" s="41">
        <v>0</v>
      </c>
      <c r="I389" s="41">
        <v>1661</v>
      </c>
      <c r="J389" s="41">
        <v>427</v>
      </c>
      <c r="K389">
        <v>205</v>
      </c>
      <c r="L389">
        <v>301</v>
      </c>
      <c r="M389">
        <v>64</v>
      </c>
      <c r="N389">
        <v>36</v>
      </c>
      <c r="O389">
        <v>0</v>
      </c>
      <c r="P389">
        <v>0</v>
      </c>
      <c r="Q389">
        <v>0</v>
      </c>
      <c r="R389">
        <v>0</v>
      </c>
      <c r="S389">
        <v>0</v>
      </c>
      <c r="T389">
        <v>0</v>
      </c>
      <c r="U389">
        <v>0</v>
      </c>
      <c r="V389">
        <v>0</v>
      </c>
      <c r="W389">
        <v>0</v>
      </c>
      <c r="X389">
        <v>0</v>
      </c>
      <c r="Y389">
        <v>0</v>
      </c>
      <c r="Z389">
        <v>0</v>
      </c>
      <c r="AA389">
        <v>0</v>
      </c>
      <c r="AD389" t="s">
        <v>839</v>
      </c>
      <c r="AE389" s="19">
        <v>1161</v>
      </c>
      <c r="AF389">
        <v>2977</v>
      </c>
    </row>
    <row r="390" spans="1:32" hidden="1">
      <c r="A390" s="41" t="s">
        <v>1133</v>
      </c>
      <c r="B390" s="41">
        <v>0</v>
      </c>
      <c r="C390" s="41">
        <v>0</v>
      </c>
      <c r="D390" s="41">
        <v>0</v>
      </c>
      <c r="E390" s="41">
        <v>0</v>
      </c>
      <c r="F390" s="41">
        <v>0</v>
      </c>
      <c r="G390" s="41">
        <v>0</v>
      </c>
      <c r="H390" s="41">
        <v>0</v>
      </c>
      <c r="I390" s="41">
        <v>1163</v>
      </c>
      <c r="J390" s="41">
        <v>215</v>
      </c>
      <c r="K390">
        <v>165</v>
      </c>
      <c r="L390">
        <v>57</v>
      </c>
      <c r="M390">
        <v>28</v>
      </c>
      <c r="N390">
        <v>50</v>
      </c>
      <c r="O390">
        <v>0</v>
      </c>
      <c r="P390">
        <v>0</v>
      </c>
      <c r="Q390">
        <v>0</v>
      </c>
      <c r="R390">
        <v>0</v>
      </c>
      <c r="S390">
        <v>0</v>
      </c>
      <c r="T390">
        <v>0</v>
      </c>
      <c r="U390">
        <v>0</v>
      </c>
      <c r="V390">
        <v>0</v>
      </c>
      <c r="W390">
        <v>0</v>
      </c>
      <c r="X390">
        <v>0</v>
      </c>
      <c r="Y390">
        <v>0</v>
      </c>
      <c r="Z390">
        <v>0</v>
      </c>
      <c r="AA390">
        <v>0</v>
      </c>
      <c r="AD390" t="s">
        <v>841</v>
      </c>
      <c r="AE390" s="19">
        <v>2704</v>
      </c>
      <c r="AF390">
        <v>8137</v>
      </c>
    </row>
    <row r="391" spans="1:32" hidden="1">
      <c r="A391" s="41" t="s">
        <v>757</v>
      </c>
      <c r="B391" s="41">
        <v>0</v>
      </c>
      <c r="C391" s="41">
        <v>0</v>
      </c>
      <c r="D391" s="41">
        <v>0</v>
      </c>
      <c r="E391" s="41">
        <v>0</v>
      </c>
      <c r="F391" s="41">
        <v>0</v>
      </c>
      <c r="G391" s="41">
        <v>0</v>
      </c>
      <c r="H391" s="41">
        <v>0</v>
      </c>
      <c r="I391" s="41">
        <v>0</v>
      </c>
      <c r="J391" s="41">
        <v>0</v>
      </c>
      <c r="K391">
        <v>866</v>
      </c>
      <c r="L391">
        <v>1026</v>
      </c>
      <c r="M391">
        <v>1378</v>
      </c>
      <c r="N391">
        <v>1195</v>
      </c>
      <c r="O391">
        <v>0</v>
      </c>
      <c r="P391">
        <v>0</v>
      </c>
      <c r="Q391">
        <v>0</v>
      </c>
      <c r="R391">
        <v>0</v>
      </c>
      <c r="S391">
        <v>0</v>
      </c>
      <c r="T391">
        <v>0</v>
      </c>
      <c r="U391">
        <v>0</v>
      </c>
      <c r="V391">
        <v>0</v>
      </c>
      <c r="W391">
        <v>0</v>
      </c>
      <c r="X391">
        <v>306</v>
      </c>
      <c r="Y391">
        <v>420</v>
      </c>
      <c r="Z391">
        <v>412</v>
      </c>
      <c r="AA391">
        <v>377</v>
      </c>
      <c r="AD391" t="s">
        <v>843</v>
      </c>
      <c r="AE391" s="19">
        <v>1464</v>
      </c>
      <c r="AF391">
        <v>2994</v>
      </c>
    </row>
    <row r="392" spans="1:32" hidden="1">
      <c r="A392" s="41" t="s">
        <v>1134</v>
      </c>
      <c r="B392" s="41">
        <v>0</v>
      </c>
      <c r="C392" s="41">
        <v>0</v>
      </c>
      <c r="D392" s="41">
        <v>0</v>
      </c>
      <c r="E392" s="41">
        <v>0</v>
      </c>
      <c r="F392" s="41">
        <v>0</v>
      </c>
      <c r="G392" s="41">
        <v>0</v>
      </c>
      <c r="H392" s="41">
        <v>0</v>
      </c>
      <c r="I392" s="41">
        <v>327</v>
      </c>
      <c r="J392" s="41">
        <v>298</v>
      </c>
      <c r="K392">
        <v>313</v>
      </c>
      <c r="L392">
        <v>379</v>
      </c>
      <c r="M392">
        <v>113</v>
      </c>
      <c r="N392">
        <v>209</v>
      </c>
      <c r="O392">
        <v>0</v>
      </c>
      <c r="P392">
        <v>0</v>
      </c>
      <c r="Q392">
        <v>0</v>
      </c>
      <c r="R392">
        <v>0</v>
      </c>
      <c r="S392">
        <v>0</v>
      </c>
      <c r="T392">
        <v>0</v>
      </c>
      <c r="U392">
        <v>0</v>
      </c>
      <c r="V392">
        <v>0</v>
      </c>
      <c r="W392">
        <v>0</v>
      </c>
      <c r="X392">
        <v>0</v>
      </c>
      <c r="Y392">
        <v>0</v>
      </c>
      <c r="Z392">
        <v>0</v>
      </c>
      <c r="AA392">
        <v>0</v>
      </c>
      <c r="AD392" t="s">
        <v>845</v>
      </c>
      <c r="AE392" s="19">
        <v>432</v>
      </c>
      <c r="AF392">
        <v>1316</v>
      </c>
    </row>
    <row r="393" spans="1:32" hidden="1">
      <c r="A393" s="41" t="s">
        <v>1135</v>
      </c>
      <c r="B393" s="41">
        <v>0</v>
      </c>
      <c r="C393" s="41">
        <v>0</v>
      </c>
      <c r="D393" s="41">
        <v>0</v>
      </c>
      <c r="E393" s="41">
        <v>0</v>
      </c>
      <c r="F393" s="41">
        <v>0</v>
      </c>
      <c r="G393" s="41">
        <v>0</v>
      </c>
      <c r="H393" s="41">
        <v>0</v>
      </c>
      <c r="I393" s="41">
        <v>184</v>
      </c>
      <c r="J393" s="41">
        <v>103</v>
      </c>
      <c r="K393">
        <v>76</v>
      </c>
      <c r="L393">
        <v>90</v>
      </c>
      <c r="M393">
        <v>44</v>
      </c>
      <c r="N393">
        <v>69</v>
      </c>
      <c r="O393">
        <v>0</v>
      </c>
      <c r="P393">
        <v>0</v>
      </c>
      <c r="Q393">
        <v>0</v>
      </c>
      <c r="R393">
        <v>0</v>
      </c>
      <c r="S393">
        <v>0</v>
      </c>
      <c r="T393">
        <v>0</v>
      </c>
      <c r="U393">
        <v>0</v>
      </c>
      <c r="V393">
        <v>0</v>
      </c>
      <c r="W393">
        <v>0</v>
      </c>
      <c r="X393">
        <v>0</v>
      </c>
      <c r="Y393">
        <v>0</v>
      </c>
      <c r="Z393">
        <v>0</v>
      </c>
      <c r="AA393">
        <v>0</v>
      </c>
      <c r="AD393" t="s">
        <v>848</v>
      </c>
      <c r="AE393" s="19">
        <v>1424</v>
      </c>
      <c r="AF393">
        <v>4497</v>
      </c>
    </row>
    <row r="394" spans="1:32" hidden="1">
      <c r="A394" s="41" t="s">
        <v>550</v>
      </c>
      <c r="B394" s="41">
        <v>0</v>
      </c>
      <c r="C394" s="41">
        <v>0</v>
      </c>
      <c r="D394" s="41">
        <v>0</v>
      </c>
      <c r="E394" s="41">
        <v>0</v>
      </c>
      <c r="F394" s="41">
        <v>0</v>
      </c>
      <c r="G394" s="41">
        <v>0</v>
      </c>
      <c r="H394" s="41">
        <v>0</v>
      </c>
      <c r="I394" s="41">
        <v>0</v>
      </c>
      <c r="J394" s="41">
        <v>0</v>
      </c>
      <c r="K394">
        <v>1005</v>
      </c>
      <c r="L394">
        <v>1751</v>
      </c>
      <c r="M394">
        <v>1776</v>
      </c>
      <c r="N394">
        <v>1642</v>
      </c>
      <c r="O394">
        <v>0</v>
      </c>
      <c r="P394">
        <v>0</v>
      </c>
      <c r="Q394">
        <v>0</v>
      </c>
      <c r="R394">
        <v>0</v>
      </c>
      <c r="S394">
        <v>0</v>
      </c>
      <c r="T394">
        <v>0</v>
      </c>
      <c r="U394">
        <v>0</v>
      </c>
      <c r="V394">
        <v>0</v>
      </c>
      <c r="W394">
        <v>0</v>
      </c>
      <c r="X394">
        <v>236</v>
      </c>
      <c r="Y394">
        <v>420</v>
      </c>
      <c r="Z394">
        <v>487</v>
      </c>
      <c r="AA394">
        <v>418</v>
      </c>
      <c r="AD394" t="s">
        <v>850</v>
      </c>
      <c r="AE394" s="19">
        <v>1014</v>
      </c>
      <c r="AF394">
        <v>3217</v>
      </c>
    </row>
    <row r="395" spans="1:32" hidden="1">
      <c r="A395" s="41" t="s">
        <v>112</v>
      </c>
      <c r="B395" s="41">
        <v>0</v>
      </c>
      <c r="C395" s="41">
        <v>0</v>
      </c>
      <c r="D395" s="41">
        <v>0</v>
      </c>
      <c r="E395" s="41">
        <v>0</v>
      </c>
      <c r="F395" s="41">
        <v>0</v>
      </c>
      <c r="G395" s="41">
        <v>0</v>
      </c>
      <c r="H395" s="41">
        <v>0</v>
      </c>
      <c r="I395" s="41">
        <v>0</v>
      </c>
      <c r="J395" s="41">
        <v>0</v>
      </c>
      <c r="K395">
        <v>2</v>
      </c>
      <c r="L395">
        <v>1208</v>
      </c>
      <c r="M395">
        <v>2572</v>
      </c>
      <c r="N395">
        <v>2779</v>
      </c>
      <c r="O395">
        <v>0</v>
      </c>
      <c r="P395">
        <v>0</v>
      </c>
      <c r="Q395">
        <v>0</v>
      </c>
      <c r="R395">
        <v>0</v>
      </c>
      <c r="S395">
        <v>0</v>
      </c>
      <c r="T395">
        <v>0</v>
      </c>
      <c r="U395">
        <v>0</v>
      </c>
      <c r="V395">
        <v>0</v>
      </c>
      <c r="W395">
        <v>0</v>
      </c>
      <c r="X395">
        <v>0</v>
      </c>
      <c r="Y395">
        <v>488</v>
      </c>
      <c r="Z395">
        <v>684</v>
      </c>
      <c r="AA395">
        <v>463</v>
      </c>
      <c r="AD395" t="s">
        <v>853</v>
      </c>
      <c r="AE395" s="19">
        <v>1525</v>
      </c>
      <c r="AF395">
        <v>6316</v>
      </c>
    </row>
    <row r="396" spans="1:32" hidden="1">
      <c r="A396" s="41" t="s">
        <v>1136</v>
      </c>
      <c r="B396" s="41">
        <v>0</v>
      </c>
      <c r="C396" s="41">
        <v>0</v>
      </c>
      <c r="D396" s="41">
        <v>0</v>
      </c>
      <c r="E396" s="41">
        <v>0</v>
      </c>
      <c r="F396" s="41">
        <v>0</v>
      </c>
      <c r="G396" s="41">
        <v>0</v>
      </c>
      <c r="H396" s="41">
        <v>0</v>
      </c>
      <c r="I396" s="41">
        <v>864</v>
      </c>
      <c r="J396" s="41">
        <v>253</v>
      </c>
      <c r="K396">
        <v>224</v>
      </c>
      <c r="L396">
        <v>389</v>
      </c>
      <c r="M396">
        <v>517</v>
      </c>
      <c r="N396">
        <v>415</v>
      </c>
      <c r="O396">
        <v>0</v>
      </c>
      <c r="P396">
        <v>0</v>
      </c>
      <c r="Q396">
        <v>0</v>
      </c>
      <c r="R396">
        <v>0</v>
      </c>
      <c r="S396">
        <v>0</v>
      </c>
      <c r="T396">
        <v>0</v>
      </c>
      <c r="U396">
        <v>0</v>
      </c>
      <c r="V396">
        <v>0</v>
      </c>
      <c r="W396">
        <v>0</v>
      </c>
      <c r="X396">
        <v>0</v>
      </c>
      <c r="Y396">
        <v>0</v>
      </c>
      <c r="Z396">
        <v>0</v>
      </c>
      <c r="AA396">
        <v>0</v>
      </c>
      <c r="AD396" t="s">
        <v>855</v>
      </c>
      <c r="AE396" s="19">
        <v>816</v>
      </c>
      <c r="AF396">
        <v>2696</v>
      </c>
    </row>
    <row r="397" spans="1:32" hidden="1">
      <c r="A397" s="41" t="s">
        <v>1137</v>
      </c>
      <c r="B397" s="41">
        <v>0</v>
      </c>
      <c r="C397" s="41">
        <v>0</v>
      </c>
      <c r="D397" s="41">
        <v>0</v>
      </c>
      <c r="E397" s="41">
        <v>0</v>
      </c>
      <c r="F397" s="41">
        <v>0</v>
      </c>
      <c r="G397" s="41">
        <v>0</v>
      </c>
      <c r="H397" s="41">
        <v>0</v>
      </c>
      <c r="I397" s="41">
        <v>1066</v>
      </c>
      <c r="J397" s="41">
        <v>373</v>
      </c>
      <c r="K397">
        <v>349</v>
      </c>
      <c r="L397">
        <v>534</v>
      </c>
      <c r="M397">
        <v>303</v>
      </c>
      <c r="N397">
        <v>554</v>
      </c>
      <c r="O397">
        <v>0</v>
      </c>
      <c r="P397">
        <v>0</v>
      </c>
      <c r="Q397">
        <v>0</v>
      </c>
      <c r="R397">
        <v>0</v>
      </c>
      <c r="S397">
        <v>0</v>
      </c>
      <c r="T397">
        <v>0</v>
      </c>
      <c r="U397">
        <v>0</v>
      </c>
      <c r="V397">
        <v>0</v>
      </c>
      <c r="W397">
        <v>0</v>
      </c>
      <c r="X397">
        <v>0</v>
      </c>
      <c r="Y397">
        <v>0</v>
      </c>
      <c r="Z397">
        <v>0</v>
      </c>
      <c r="AA397">
        <v>0</v>
      </c>
      <c r="AD397" t="s">
        <v>857</v>
      </c>
      <c r="AE397" s="19">
        <v>1682</v>
      </c>
      <c r="AF397">
        <v>4809</v>
      </c>
    </row>
    <row r="398" spans="1:32" hidden="1">
      <c r="A398" s="41" t="s">
        <v>1138</v>
      </c>
      <c r="B398" s="41">
        <v>0</v>
      </c>
      <c r="C398" s="41">
        <v>0</v>
      </c>
      <c r="D398" s="41">
        <v>0</v>
      </c>
      <c r="E398" s="41">
        <v>0</v>
      </c>
      <c r="F398" s="41">
        <v>0</v>
      </c>
      <c r="G398" s="41">
        <v>0</v>
      </c>
      <c r="H398" s="41">
        <v>0</v>
      </c>
      <c r="I398" s="41">
        <v>113</v>
      </c>
      <c r="J398" s="41">
        <v>126</v>
      </c>
      <c r="K398">
        <v>150</v>
      </c>
      <c r="L398">
        <v>242</v>
      </c>
      <c r="M398">
        <v>129</v>
      </c>
      <c r="N398">
        <v>109</v>
      </c>
      <c r="O398">
        <v>0</v>
      </c>
      <c r="P398">
        <v>0</v>
      </c>
      <c r="Q398">
        <v>0</v>
      </c>
      <c r="R398">
        <v>0</v>
      </c>
      <c r="S398">
        <v>0</v>
      </c>
      <c r="T398">
        <v>0</v>
      </c>
      <c r="U398">
        <v>0</v>
      </c>
      <c r="V398">
        <v>0</v>
      </c>
      <c r="W398">
        <v>0</v>
      </c>
      <c r="X398">
        <v>0</v>
      </c>
      <c r="Y398">
        <v>0</v>
      </c>
      <c r="Z398">
        <v>0</v>
      </c>
      <c r="AA398">
        <v>0</v>
      </c>
      <c r="AD398" s="39" t="s">
        <v>859</v>
      </c>
      <c r="AE398" s="166">
        <v>261</v>
      </c>
      <c r="AF398">
        <v>1911</v>
      </c>
    </row>
    <row r="399" spans="1:32" hidden="1">
      <c r="A399" s="41" t="s">
        <v>1139</v>
      </c>
      <c r="B399" s="41">
        <v>0</v>
      </c>
      <c r="C399" s="41">
        <v>0</v>
      </c>
      <c r="D399" s="41">
        <v>0</v>
      </c>
      <c r="E399" s="41">
        <v>0</v>
      </c>
      <c r="F399" s="41">
        <v>0</v>
      </c>
      <c r="G399" s="41">
        <v>0</v>
      </c>
      <c r="H399" s="41">
        <v>0</v>
      </c>
      <c r="I399" s="41">
        <v>132</v>
      </c>
      <c r="J399" s="41">
        <v>167</v>
      </c>
      <c r="K399">
        <v>161</v>
      </c>
      <c r="L399">
        <v>147</v>
      </c>
      <c r="M399">
        <v>86</v>
      </c>
      <c r="N399">
        <v>80</v>
      </c>
      <c r="O399">
        <v>0</v>
      </c>
      <c r="P399">
        <v>0</v>
      </c>
      <c r="Q399">
        <v>0</v>
      </c>
      <c r="R399">
        <v>0</v>
      </c>
      <c r="S399">
        <v>0</v>
      </c>
      <c r="T399">
        <v>0</v>
      </c>
      <c r="U399">
        <v>0</v>
      </c>
      <c r="V399">
        <v>0</v>
      </c>
      <c r="W399">
        <v>0</v>
      </c>
      <c r="X399">
        <v>0</v>
      </c>
      <c r="Y399">
        <v>0</v>
      </c>
      <c r="Z399">
        <v>0</v>
      </c>
      <c r="AA399">
        <v>0</v>
      </c>
      <c r="AD399" t="s">
        <v>861</v>
      </c>
      <c r="AE399" s="19">
        <v>1366</v>
      </c>
      <c r="AF399">
        <v>3989</v>
      </c>
    </row>
    <row r="400" spans="1:32" hidden="1">
      <c r="A400" s="41" t="s">
        <v>1140</v>
      </c>
      <c r="B400" s="41">
        <v>0</v>
      </c>
      <c r="C400" s="41">
        <v>0</v>
      </c>
      <c r="D400" s="41">
        <v>0</v>
      </c>
      <c r="E400" s="41">
        <v>0</v>
      </c>
      <c r="F400" s="41">
        <v>0</v>
      </c>
      <c r="G400" s="41">
        <v>0</v>
      </c>
      <c r="H400" s="41">
        <v>0</v>
      </c>
      <c r="I400" s="41">
        <v>23</v>
      </c>
      <c r="J400" s="41">
        <v>36</v>
      </c>
      <c r="K400">
        <v>45</v>
      </c>
      <c r="L400">
        <v>61</v>
      </c>
      <c r="M400">
        <v>8</v>
      </c>
      <c r="N400">
        <v>13</v>
      </c>
      <c r="O400">
        <v>0</v>
      </c>
      <c r="P400">
        <v>0</v>
      </c>
      <c r="Q400">
        <v>0</v>
      </c>
      <c r="R400">
        <v>0</v>
      </c>
      <c r="S400">
        <v>0</v>
      </c>
      <c r="T400">
        <v>0</v>
      </c>
      <c r="U400">
        <v>0</v>
      </c>
      <c r="V400">
        <v>0</v>
      </c>
      <c r="W400">
        <v>0</v>
      </c>
      <c r="X400">
        <v>0</v>
      </c>
      <c r="Y400">
        <v>0</v>
      </c>
      <c r="Z400">
        <v>0</v>
      </c>
      <c r="AA400">
        <v>0</v>
      </c>
      <c r="AD400" s="39" t="s">
        <v>863</v>
      </c>
      <c r="AE400" s="166">
        <v>1601</v>
      </c>
      <c r="AF400">
        <v>6395</v>
      </c>
    </row>
    <row r="401" spans="1:32" hidden="1">
      <c r="A401" s="41" t="s">
        <v>1141</v>
      </c>
      <c r="B401" s="41">
        <v>0</v>
      </c>
      <c r="C401" s="41">
        <v>0</v>
      </c>
      <c r="D401" s="41">
        <v>0</v>
      </c>
      <c r="E401" s="41">
        <v>0</v>
      </c>
      <c r="F401" s="41">
        <v>0</v>
      </c>
      <c r="G401" s="41">
        <v>0</v>
      </c>
      <c r="H401" s="41">
        <v>0</v>
      </c>
      <c r="I401" s="41">
        <v>355</v>
      </c>
      <c r="J401" s="41">
        <v>161</v>
      </c>
      <c r="K401">
        <v>106</v>
      </c>
      <c r="L401">
        <v>130</v>
      </c>
      <c r="M401">
        <v>46</v>
      </c>
      <c r="N401">
        <v>19</v>
      </c>
      <c r="O401">
        <v>0</v>
      </c>
      <c r="P401">
        <v>0</v>
      </c>
      <c r="Q401">
        <v>0</v>
      </c>
      <c r="R401">
        <v>0</v>
      </c>
      <c r="S401">
        <v>0</v>
      </c>
      <c r="T401">
        <v>0</v>
      </c>
      <c r="U401">
        <v>0</v>
      </c>
      <c r="V401">
        <v>0</v>
      </c>
      <c r="W401">
        <v>0</v>
      </c>
      <c r="X401">
        <v>0</v>
      </c>
      <c r="Y401">
        <v>0</v>
      </c>
      <c r="Z401">
        <v>0</v>
      </c>
      <c r="AA401">
        <v>0</v>
      </c>
      <c r="AD401" t="s">
        <v>865</v>
      </c>
      <c r="AE401" s="19">
        <v>7185</v>
      </c>
      <c r="AF401">
        <v>28733</v>
      </c>
    </row>
    <row r="402" spans="1:32" hidden="1">
      <c r="A402" s="41" t="s">
        <v>1142</v>
      </c>
      <c r="B402" s="41">
        <v>0</v>
      </c>
      <c r="C402" s="41">
        <v>0</v>
      </c>
      <c r="D402" s="41">
        <v>0</v>
      </c>
      <c r="E402" s="41">
        <v>0</v>
      </c>
      <c r="F402" s="41">
        <v>0</v>
      </c>
      <c r="G402" s="41">
        <v>0</v>
      </c>
      <c r="H402" s="41">
        <v>0</v>
      </c>
      <c r="I402" s="41">
        <v>23</v>
      </c>
      <c r="J402" s="41">
        <v>26</v>
      </c>
      <c r="K402">
        <v>35</v>
      </c>
      <c r="L402">
        <v>13</v>
      </c>
      <c r="M402">
        <v>19</v>
      </c>
      <c r="N402">
        <v>18</v>
      </c>
      <c r="O402">
        <v>0</v>
      </c>
      <c r="P402">
        <v>0</v>
      </c>
      <c r="Q402">
        <v>0</v>
      </c>
      <c r="R402">
        <v>0</v>
      </c>
      <c r="S402">
        <v>0</v>
      </c>
      <c r="T402">
        <v>0</v>
      </c>
      <c r="U402">
        <v>0</v>
      </c>
      <c r="V402">
        <v>0</v>
      </c>
      <c r="W402">
        <v>0</v>
      </c>
      <c r="X402">
        <v>0</v>
      </c>
      <c r="Y402">
        <v>0</v>
      </c>
      <c r="Z402">
        <v>0</v>
      </c>
      <c r="AA402">
        <v>0</v>
      </c>
      <c r="AD402" t="s">
        <v>868</v>
      </c>
      <c r="AE402" s="19">
        <v>1016</v>
      </c>
      <c r="AF402">
        <v>3413</v>
      </c>
    </row>
    <row r="403" spans="1:32" hidden="1">
      <c r="A403" s="41" t="s">
        <v>1143</v>
      </c>
      <c r="B403" s="41">
        <v>0</v>
      </c>
      <c r="C403" s="41">
        <v>0</v>
      </c>
      <c r="D403" s="41">
        <v>0</v>
      </c>
      <c r="E403" s="41">
        <v>0</v>
      </c>
      <c r="F403" s="41">
        <v>0</v>
      </c>
      <c r="G403" s="41">
        <v>0</v>
      </c>
      <c r="H403" s="41">
        <v>0</v>
      </c>
      <c r="I403" s="41">
        <v>211</v>
      </c>
      <c r="J403" s="41">
        <v>98</v>
      </c>
      <c r="K403">
        <v>82</v>
      </c>
      <c r="L403">
        <v>85</v>
      </c>
      <c r="M403">
        <v>7</v>
      </c>
      <c r="N403">
        <v>10</v>
      </c>
      <c r="O403">
        <v>0</v>
      </c>
      <c r="P403">
        <v>0</v>
      </c>
      <c r="Q403">
        <v>0</v>
      </c>
      <c r="R403">
        <v>0</v>
      </c>
      <c r="S403">
        <v>0</v>
      </c>
      <c r="T403">
        <v>0</v>
      </c>
      <c r="U403">
        <v>0</v>
      </c>
      <c r="V403">
        <v>0</v>
      </c>
      <c r="W403">
        <v>0</v>
      </c>
      <c r="X403">
        <v>0</v>
      </c>
      <c r="Y403">
        <v>0</v>
      </c>
      <c r="Z403">
        <v>0</v>
      </c>
      <c r="AA403">
        <v>0</v>
      </c>
      <c r="AD403" t="s">
        <v>870</v>
      </c>
      <c r="AE403" s="19">
        <v>1074</v>
      </c>
      <c r="AF403">
        <v>3459</v>
      </c>
    </row>
    <row r="404" spans="1:32" hidden="1">
      <c r="A404" s="41" t="s">
        <v>1144</v>
      </c>
      <c r="B404" s="41">
        <v>0</v>
      </c>
      <c r="C404" s="41">
        <v>0</v>
      </c>
      <c r="D404" s="41">
        <v>0</v>
      </c>
      <c r="E404" s="41">
        <v>0</v>
      </c>
      <c r="F404" s="41">
        <v>0</v>
      </c>
      <c r="G404" s="41">
        <v>0</v>
      </c>
      <c r="H404" s="41">
        <v>0</v>
      </c>
      <c r="I404" s="41">
        <v>367</v>
      </c>
      <c r="J404" s="41">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2" hidden="1">
      <c r="A405" s="41" t="s">
        <v>1145</v>
      </c>
      <c r="B405" s="41">
        <v>0</v>
      </c>
      <c r="C405" s="41">
        <v>0</v>
      </c>
      <c r="D405" s="41">
        <v>0</v>
      </c>
      <c r="E405" s="41">
        <v>0</v>
      </c>
      <c r="F405" s="41">
        <v>0</v>
      </c>
      <c r="G405" s="41">
        <v>0</v>
      </c>
      <c r="H405" s="41">
        <v>0</v>
      </c>
      <c r="I405" s="41">
        <v>68</v>
      </c>
      <c r="J405" s="41">
        <v>90</v>
      </c>
      <c r="K405">
        <v>50</v>
      </c>
      <c r="L405">
        <v>68</v>
      </c>
      <c r="M405">
        <v>13</v>
      </c>
      <c r="N405">
        <v>14</v>
      </c>
      <c r="O405">
        <v>0</v>
      </c>
      <c r="P405">
        <v>0</v>
      </c>
      <c r="Q405">
        <v>0</v>
      </c>
      <c r="R405">
        <v>0</v>
      </c>
      <c r="S405">
        <v>0</v>
      </c>
      <c r="T405">
        <v>0</v>
      </c>
      <c r="U405">
        <v>0</v>
      </c>
      <c r="V405">
        <v>0</v>
      </c>
      <c r="W405">
        <v>0</v>
      </c>
      <c r="X405">
        <v>0</v>
      </c>
      <c r="Y405">
        <v>0</v>
      </c>
      <c r="Z405">
        <v>0</v>
      </c>
      <c r="AA405">
        <v>0</v>
      </c>
      <c r="AD405" t="s">
        <v>874</v>
      </c>
      <c r="AE405" s="19">
        <v>539</v>
      </c>
      <c r="AF405">
        <v>1920</v>
      </c>
    </row>
    <row r="406" spans="1:32" hidden="1">
      <c r="A406" s="41" t="s">
        <v>1146</v>
      </c>
      <c r="B406" s="41">
        <v>0</v>
      </c>
      <c r="C406" s="41">
        <v>0</v>
      </c>
      <c r="D406" s="41">
        <v>0</v>
      </c>
      <c r="E406" s="41">
        <v>0</v>
      </c>
      <c r="F406" s="41">
        <v>0</v>
      </c>
      <c r="G406" s="41">
        <v>0</v>
      </c>
      <c r="H406" s="41">
        <v>0</v>
      </c>
      <c r="I406" s="41">
        <v>0</v>
      </c>
      <c r="J406" s="41">
        <v>156</v>
      </c>
      <c r="K406">
        <v>354</v>
      </c>
      <c r="L406">
        <v>834</v>
      </c>
      <c r="M406">
        <v>732</v>
      </c>
      <c r="N406">
        <v>654</v>
      </c>
      <c r="O406">
        <v>0</v>
      </c>
      <c r="P406">
        <v>0</v>
      </c>
      <c r="Q406">
        <v>0</v>
      </c>
      <c r="R406">
        <v>0</v>
      </c>
      <c r="S406">
        <v>0</v>
      </c>
      <c r="T406">
        <v>0</v>
      </c>
      <c r="U406">
        <v>0</v>
      </c>
      <c r="V406">
        <v>0</v>
      </c>
      <c r="W406">
        <v>34</v>
      </c>
      <c r="X406">
        <v>126</v>
      </c>
      <c r="Y406">
        <v>251</v>
      </c>
      <c r="Z406">
        <v>239</v>
      </c>
      <c r="AA406">
        <v>237</v>
      </c>
      <c r="AD406" t="s">
        <v>876</v>
      </c>
      <c r="AE406" s="19">
        <v>1075</v>
      </c>
      <c r="AF406">
        <v>2871</v>
      </c>
    </row>
    <row r="407" spans="1:32" hidden="1">
      <c r="A407" s="41" t="s">
        <v>1147</v>
      </c>
      <c r="B407" s="41">
        <v>0</v>
      </c>
      <c r="C407" s="41">
        <v>0</v>
      </c>
      <c r="D407" s="41">
        <v>0</v>
      </c>
      <c r="E407" s="41">
        <v>0</v>
      </c>
      <c r="F407" s="41">
        <v>0</v>
      </c>
      <c r="G407" s="41">
        <v>0</v>
      </c>
      <c r="H407" s="41">
        <v>0</v>
      </c>
      <c r="I407" s="41">
        <v>0</v>
      </c>
      <c r="J407" s="41">
        <v>112</v>
      </c>
      <c r="K407">
        <v>104</v>
      </c>
      <c r="L407">
        <v>156</v>
      </c>
      <c r="M407">
        <v>112</v>
      </c>
      <c r="N407">
        <v>151</v>
      </c>
      <c r="O407">
        <v>0</v>
      </c>
      <c r="P407">
        <v>0</v>
      </c>
      <c r="Q407">
        <v>0</v>
      </c>
      <c r="R407">
        <v>0</v>
      </c>
      <c r="S407">
        <v>0</v>
      </c>
      <c r="T407">
        <v>0</v>
      </c>
      <c r="U407">
        <v>0</v>
      </c>
      <c r="V407">
        <v>0</v>
      </c>
      <c r="W407">
        <v>0</v>
      </c>
      <c r="X407">
        <v>0</v>
      </c>
      <c r="Y407">
        <v>0</v>
      </c>
      <c r="Z407">
        <v>0</v>
      </c>
      <c r="AA407">
        <v>0</v>
      </c>
      <c r="AD407" t="s">
        <v>878</v>
      </c>
      <c r="AE407" s="19">
        <v>1470</v>
      </c>
      <c r="AF407">
        <v>2142</v>
      </c>
    </row>
    <row r="408" spans="1:32" hidden="1">
      <c r="A408" s="41" t="s">
        <v>1148</v>
      </c>
      <c r="B408" s="41">
        <v>0</v>
      </c>
      <c r="C408" s="41">
        <v>0</v>
      </c>
      <c r="D408" s="41">
        <v>0</v>
      </c>
      <c r="E408" s="41">
        <v>0</v>
      </c>
      <c r="F408" s="41">
        <v>0</v>
      </c>
      <c r="G408" s="41">
        <v>0</v>
      </c>
      <c r="H408" s="41">
        <v>0</v>
      </c>
      <c r="I408" s="41">
        <v>0</v>
      </c>
      <c r="J408" s="41">
        <v>104</v>
      </c>
      <c r="K408">
        <v>59</v>
      </c>
      <c r="L408">
        <v>26</v>
      </c>
      <c r="M408">
        <v>27</v>
      </c>
      <c r="N408">
        <v>23</v>
      </c>
      <c r="O408">
        <v>0</v>
      </c>
      <c r="P408">
        <v>0</v>
      </c>
      <c r="Q408">
        <v>0</v>
      </c>
      <c r="R408">
        <v>0</v>
      </c>
      <c r="S408">
        <v>0</v>
      </c>
      <c r="T408">
        <v>0</v>
      </c>
      <c r="U408">
        <v>0</v>
      </c>
      <c r="V408">
        <v>0</v>
      </c>
      <c r="W408">
        <v>0</v>
      </c>
      <c r="X408">
        <v>0</v>
      </c>
      <c r="Y408">
        <v>0</v>
      </c>
      <c r="Z408">
        <v>0</v>
      </c>
      <c r="AA408">
        <v>0</v>
      </c>
      <c r="AD408" t="s">
        <v>880</v>
      </c>
      <c r="AE408" s="19">
        <v>1676</v>
      </c>
      <c r="AF408">
        <v>4615</v>
      </c>
    </row>
    <row r="409" spans="1:32" hidden="1">
      <c r="A409" s="41" t="s">
        <v>1149</v>
      </c>
      <c r="B409" s="41">
        <v>0</v>
      </c>
      <c r="C409" s="41">
        <v>0</v>
      </c>
      <c r="D409" s="41">
        <v>0</v>
      </c>
      <c r="E409" s="41">
        <v>0</v>
      </c>
      <c r="F409" s="41">
        <v>0</v>
      </c>
      <c r="G409" s="41">
        <v>0</v>
      </c>
      <c r="H409" s="41">
        <v>0</v>
      </c>
      <c r="I409" s="41">
        <v>0</v>
      </c>
      <c r="J409" s="41">
        <v>59</v>
      </c>
      <c r="K409">
        <v>43</v>
      </c>
      <c r="L409">
        <v>94</v>
      </c>
      <c r="M409">
        <v>142</v>
      </c>
      <c r="N409">
        <v>122</v>
      </c>
      <c r="O409">
        <v>0</v>
      </c>
      <c r="P409">
        <v>0</v>
      </c>
      <c r="Q409">
        <v>0</v>
      </c>
      <c r="R409">
        <v>0</v>
      </c>
      <c r="S409">
        <v>0</v>
      </c>
      <c r="T409">
        <v>0</v>
      </c>
      <c r="U409">
        <v>0</v>
      </c>
      <c r="V409">
        <v>0</v>
      </c>
      <c r="W409">
        <v>0</v>
      </c>
      <c r="X409">
        <v>0</v>
      </c>
      <c r="Y409">
        <v>0</v>
      </c>
      <c r="Z409">
        <v>0</v>
      </c>
      <c r="AA409">
        <v>0</v>
      </c>
      <c r="AD409" t="s">
        <v>882</v>
      </c>
      <c r="AE409" s="19">
        <v>556</v>
      </c>
      <c r="AF409">
        <v>1914</v>
      </c>
    </row>
    <row r="410" spans="1:32" hidden="1">
      <c r="A410" s="41" t="s">
        <v>1150</v>
      </c>
      <c r="B410" s="41">
        <v>0</v>
      </c>
      <c r="C410" s="41">
        <v>0</v>
      </c>
      <c r="D410" s="41">
        <v>0</v>
      </c>
      <c r="E410" s="41">
        <v>0</v>
      </c>
      <c r="F410" s="41">
        <v>0</v>
      </c>
      <c r="G410" s="41">
        <v>0</v>
      </c>
      <c r="H410" s="41">
        <v>0</v>
      </c>
      <c r="I410" s="41">
        <v>0</v>
      </c>
      <c r="J410" s="41">
        <v>99</v>
      </c>
      <c r="K410">
        <v>45</v>
      </c>
      <c r="L410">
        <v>20</v>
      </c>
      <c r="M410">
        <v>5</v>
      </c>
      <c r="N410">
        <v>7</v>
      </c>
      <c r="O410">
        <v>0</v>
      </c>
      <c r="P410">
        <v>0</v>
      </c>
      <c r="Q410">
        <v>0</v>
      </c>
      <c r="R410">
        <v>0</v>
      </c>
      <c r="S410">
        <v>0</v>
      </c>
      <c r="T410">
        <v>0</v>
      </c>
      <c r="U410">
        <v>0</v>
      </c>
      <c r="V410">
        <v>0</v>
      </c>
      <c r="W410">
        <v>0</v>
      </c>
      <c r="X410">
        <v>0</v>
      </c>
      <c r="Y410">
        <v>0</v>
      </c>
      <c r="Z410">
        <v>0</v>
      </c>
      <c r="AA410">
        <v>0</v>
      </c>
      <c r="AD410" t="s">
        <v>885</v>
      </c>
      <c r="AE410" s="19">
        <v>1179</v>
      </c>
      <c r="AF410">
        <v>3377</v>
      </c>
    </row>
    <row r="411" spans="1:32" hidden="1">
      <c r="A411" s="41" t="s">
        <v>1151</v>
      </c>
      <c r="B411" s="41">
        <v>0</v>
      </c>
      <c r="C411" s="41">
        <v>0</v>
      </c>
      <c r="D411" s="41">
        <v>0</v>
      </c>
      <c r="E411" s="41">
        <v>0</v>
      </c>
      <c r="F411" s="41">
        <v>0</v>
      </c>
      <c r="G411" s="41">
        <v>0</v>
      </c>
      <c r="H411" s="41">
        <v>0</v>
      </c>
      <c r="I411" s="41">
        <v>0</v>
      </c>
      <c r="J411" s="41">
        <v>41</v>
      </c>
      <c r="K411">
        <v>37</v>
      </c>
      <c r="L411">
        <v>50</v>
      </c>
      <c r="M411">
        <v>32</v>
      </c>
      <c r="N411">
        <v>15</v>
      </c>
      <c r="O411">
        <v>0</v>
      </c>
      <c r="P411">
        <v>0</v>
      </c>
      <c r="Q411">
        <v>0</v>
      </c>
      <c r="R411">
        <v>0</v>
      </c>
      <c r="S411">
        <v>0</v>
      </c>
      <c r="T411">
        <v>0</v>
      </c>
      <c r="U411">
        <v>0</v>
      </c>
      <c r="V411">
        <v>0</v>
      </c>
      <c r="W411">
        <v>0</v>
      </c>
      <c r="X411">
        <v>0</v>
      </c>
      <c r="Y411">
        <v>0</v>
      </c>
      <c r="Z411">
        <v>0</v>
      </c>
      <c r="AA411">
        <v>0</v>
      </c>
      <c r="AD411" t="s">
        <v>888</v>
      </c>
      <c r="AE411" s="19">
        <v>1553</v>
      </c>
      <c r="AF411">
        <v>1555</v>
      </c>
    </row>
    <row r="412" spans="1:32" hidden="1">
      <c r="A412" s="41" t="s">
        <v>1152</v>
      </c>
      <c r="B412" s="41">
        <v>0</v>
      </c>
      <c r="C412" s="41">
        <v>0</v>
      </c>
      <c r="D412" s="41">
        <v>0</v>
      </c>
      <c r="E412" s="41">
        <v>0</v>
      </c>
      <c r="F412" s="41">
        <v>0</v>
      </c>
      <c r="G412" s="41">
        <v>0</v>
      </c>
      <c r="H412" s="41">
        <v>0</v>
      </c>
      <c r="I412" s="41">
        <v>0</v>
      </c>
      <c r="J412" s="41">
        <v>20</v>
      </c>
      <c r="K412">
        <v>30</v>
      </c>
      <c r="L412">
        <v>17</v>
      </c>
      <c r="M412">
        <v>14</v>
      </c>
      <c r="N412">
        <v>13</v>
      </c>
      <c r="O412">
        <v>0</v>
      </c>
      <c r="P412">
        <v>0</v>
      </c>
      <c r="Q412">
        <v>0</v>
      </c>
      <c r="R412">
        <v>0</v>
      </c>
      <c r="S412">
        <v>0</v>
      </c>
      <c r="T412">
        <v>0</v>
      </c>
      <c r="U412">
        <v>0</v>
      </c>
      <c r="V412">
        <v>0</v>
      </c>
      <c r="W412">
        <v>0</v>
      </c>
      <c r="X412">
        <v>0</v>
      </c>
      <c r="Y412">
        <v>0</v>
      </c>
      <c r="Z412">
        <v>0</v>
      </c>
      <c r="AA412">
        <v>0</v>
      </c>
      <c r="AD412" t="s">
        <v>890</v>
      </c>
      <c r="AE412" s="19">
        <v>1400</v>
      </c>
      <c r="AF412">
        <v>2776</v>
      </c>
    </row>
    <row r="413" spans="1:32" hidden="1">
      <c r="A413" s="41" t="s">
        <v>1153</v>
      </c>
      <c r="B413" s="41">
        <v>0</v>
      </c>
      <c r="C413" s="41">
        <v>0</v>
      </c>
      <c r="D413" s="41">
        <v>0</v>
      </c>
      <c r="E413" s="41">
        <v>0</v>
      </c>
      <c r="F413" s="41">
        <v>0</v>
      </c>
      <c r="G413" s="41">
        <v>0</v>
      </c>
      <c r="H413" s="41">
        <v>0</v>
      </c>
      <c r="I413" s="41">
        <v>0</v>
      </c>
      <c r="J413" s="41">
        <v>109</v>
      </c>
      <c r="K413">
        <v>153</v>
      </c>
      <c r="L413">
        <v>130</v>
      </c>
      <c r="M413">
        <v>43</v>
      </c>
      <c r="N413">
        <v>42</v>
      </c>
      <c r="O413">
        <v>0</v>
      </c>
      <c r="P413">
        <v>0</v>
      </c>
      <c r="Q413">
        <v>0</v>
      </c>
      <c r="R413">
        <v>0</v>
      </c>
      <c r="S413">
        <v>0</v>
      </c>
      <c r="T413">
        <v>0</v>
      </c>
      <c r="U413">
        <v>0</v>
      </c>
      <c r="V413">
        <v>0</v>
      </c>
      <c r="W413">
        <v>0</v>
      </c>
      <c r="X413">
        <v>0</v>
      </c>
      <c r="Y413">
        <v>0</v>
      </c>
      <c r="Z413">
        <v>0</v>
      </c>
      <c r="AA413">
        <v>0</v>
      </c>
      <c r="AD413" t="s">
        <v>892</v>
      </c>
      <c r="AE413" s="19">
        <v>1462</v>
      </c>
      <c r="AF413">
        <v>2606</v>
      </c>
    </row>
    <row r="414" spans="1:32" hidden="1">
      <c r="A414" s="41" t="s">
        <v>1154</v>
      </c>
      <c r="B414" s="41">
        <v>0</v>
      </c>
      <c r="C414" s="41">
        <v>0</v>
      </c>
      <c r="D414" s="41">
        <v>0</v>
      </c>
      <c r="E414" s="41">
        <v>0</v>
      </c>
      <c r="F414" s="41">
        <v>0</v>
      </c>
      <c r="G414" s="41">
        <v>0</v>
      </c>
      <c r="H414" s="41">
        <v>0</v>
      </c>
      <c r="I414" s="41">
        <v>0</v>
      </c>
      <c r="J414" s="41">
        <v>0</v>
      </c>
      <c r="K414">
        <v>18</v>
      </c>
      <c r="L414">
        <v>54</v>
      </c>
      <c r="M414">
        <v>9</v>
      </c>
      <c r="N414">
        <v>9</v>
      </c>
      <c r="O414">
        <v>0</v>
      </c>
      <c r="P414">
        <v>0</v>
      </c>
      <c r="Q414">
        <v>0</v>
      </c>
      <c r="R414">
        <v>0</v>
      </c>
      <c r="S414">
        <v>0</v>
      </c>
      <c r="T414">
        <v>0</v>
      </c>
      <c r="U414">
        <v>0</v>
      </c>
      <c r="V414">
        <v>0</v>
      </c>
      <c r="W414">
        <v>0</v>
      </c>
      <c r="X414">
        <v>0</v>
      </c>
      <c r="Y414">
        <v>0</v>
      </c>
      <c r="Z414">
        <v>0</v>
      </c>
      <c r="AA414">
        <v>0</v>
      </c>
      <c r="AD414" t="s">
        <v>895</v>
      </c>
      <c r="AE414" s="19">
        <v>7031</v>
      </c>
      <c r="AF414">
        <v>26136</v>
      </c>
    </row>
    <row r="415" spans="1:32" hidden="1">
      <c r="A415" s="41" t="s">
        <v>1155</v>
      </c>
      <c r="B415" s="41">
        <v>0</v>
      </c>
      <c r="C415" s="41">
        <v>0</v>
      </c>
      <c r="D415" s="41">
        <v>0</v>
      </c>
      <c r="E415" s="41">
        <v>0</v>
      </c>
      <c r="F415" s="41">
        <v>0</v>
      </c>
      <c r="G415" s="41">
        <v>0</v>
      </c>
      <c r="H415" s="41">
        <v>0</v>
      </c>
      <c r="I415" s="41">
        <v>0</v>
      </c>
      <c r="J415" s="41">
        <v>0</v>
      </c>
      <c r="K415">
        <v>7</v>
      </c>
      <c r="L415">
        <v>23</v>
      </c>
      <c r="M415">
        <v>12</v>
      </c>
      <c r="N415">
        <v>22</v>
      </c>
      <c r="O415">
        <v>0</v>
      </c>
      <c r="P415">
        <v>0</v>
      </c>
      <c r="Q415">
        <v>0</v>
      </c>
      <c r="R415">
        <v>0</v>
      </c>
      <c r="S415">
        <v>0</v>
      </c>
      <c r="T415">
        <v>0</v>
      </c>
      <c r="U415">
        <v>0</v>
      </c>
      <c r="V415">
        <v>0</v>
      </c>
      <c r="W415">
        <v>0</v>
      </c>
      <c r="X415">
        <v>0</v>
      </c>
      <c r="Y415">
        <v>0</v>
      </c>
      <c r="Z415">
        <v>0</v>
      </c>
      <c r="AA415">
        <v>0</v>
      </c>
      <c r="AD415" t="s">
        <v>897</v>
      </c>
      <c r="AE415" s="19">
        <v>1743</v>
      </c>
      <c r="AF415">
        <v>6270</v>
      </c>
    </row>
    <row r="416" spans="1:32" hidden="1">
      <c r="A416" s="41" t="s">
        <v>1156</v>
      </c>
      <c r="B416" s="41">
        <v>0</v>
      </c>
      <c r="C416" s="41">
        <v>0</v>
      </c>
      <c r="D416" s="41">
        <v>0</v>
      </c>
      <c r="E416" s="41">
        <v>0</v>
      </c>
      <c r="F416" s="41">
        <v>0</v>
      </c>
      <c r="G416" s="41">
        <v>0</v>
      </c>
      <c r="H416" s="41">
        <v>0</v>
      </c>
      <c r="I416" s="41">
        <v>0</v>
      </c>
      <c r="J416" s="41">
        <v>83</v>
      </c>
      <c r="K416">
        <v>80</v>
      </c>
      <c r="L416">
        <v>111</v>
      </c>
      <c r="M416">
        <v>53</v>
      </c>
      <c r="N416">
        <v>51</v>
      </c>
      <c r="O416">
        <v>0</v>
      </c>
      <c r="P416">
        <v>0</v>
      </c>
      <c r="Q416">
        <v>0</v>
      </c>
      <c r="R416">
        <v>0</v>
      </c>
      <c r="S416">
        <v>0</v>
      </c>
      <c r="T416">
        <v>0</v>
      </c>
      <c r="U416">
        <v>0</v>
      </c>
      <c r="V416">
        <v>0</v>
      </c>
      <c r="W416">
        <v>0</v>
      </c>
      <c r="X416">
        <v>0</v>
      </c>
      <c r="Y416">
        <v>0</v>
      </c>
      <c r="Z416">
        <v>0</v>
      </c>
      <c r="AA416">
        <v>0</v>
      </c>
      <c r="AD416" t="s">
        <v>899</v>
      </c>
      <c r="AE416" s="19">
        <v>1235</v>
      </c>
      <c r="AF416">
        <v>3687</v>
      </c>
    </row>
    <row r="417" spans="1:32" hidden="1">
      <c r="A417" s="41" t="s">
        <v>1157</v>
      </c>
      <c r="B417" s="41">
        <v>0</v>
      </c>
      <c r="C417" s="41">
        <v>0</v>
      </c>
      <c r="D417" s="41">
        <v>0</v>
      </c>
      <c r="E417" s="41">
        <v>0</v>
      </c>
      <c r="F417" s="41">
        <v>0</v>
      </c>
      <c r="G417" s="41">
        <v>0</v>
      </c>
      <c r="H417" s="41">
        <v>0</v>
      </c>
      <c r="I417" s="41">
        <v>0</v>
      </c>
      <c r="J417" s="41">
        <v>226</v>
      </c>
      <c r="K417">
        <v>171</v>
      </c>
      <c r="L417">
        <v>164</v>
      </c>
      <c r="M417">
        <v>93</v>
      </c>
      <c r="N417">
        <v>79</v>
      </c>
      <c r="O417">
        <v>0</v>
      </c>
      <c r="P417">
        <v>0</v>
      </c>
      <c r="Q417">
        <v>0</v>
      </c>
      <c r="R417">
        <v>0</v>
      </c>
      <c r="S417">
        <v>0</v>
      </c>
      <c r="T417">
        <v>0</v>
      </c>
      <c r="U417">
        <v>0</v>
      </c>
      <c r="V417">
        <v>0</v>
      </c>
      <c r="W417">
        <v>0</v>
      </c>
      <c r="X417">
        <v>0</v>
      </c>
      <c r="Y417">
        <v>0</v>
      </c>
      <c r="Z417">
        <v>0</v>
      </c>
      <c r="AA417">
        <v>0</v>
      </c>
      <c r="AD417" t="s">
        <v>901</v>
      </c>
      <c r="AE417" s="19">
        <v>1</v>
      </c>
      <c r="AF417">
        <v>0</v>
      </c>
    </row>
    <row r="418" spans="1:32" hidden="1">
      <c r="A418" s="41" t="s">
        <v>1158</v>
      </c>
      <c r="B418" s="41">
        <v>0</v>
      </c>
      <c r="C418" s="41">
        <v>0</v>
      </c>
      <c r="D418" s="41">
        <v>0</v>
      </c>
      <c r="E418" s="41">
        <v>0</v>
      </c>
      <c r="F418" s="41">
        <v>0</v>
      </c>
      <c r="G418" s="41">
        <v>0</v>
      </c>
      <c r="H418" s="41">
        <v>0</v>
      </c>
      <c r="I418" s="41">
        <v>0</v>
      </c>
      <c r="J418" s="41">
        <v>196</v>
      </c>
      <c r="K418">
        <v>206</v>
      </c>
      <c r="L418">
        <v>200</v>
      </c>
      <c r="M418">
        <v>150</v>
      </c>
      <c r="N418">
        <v>93</v>
      </c>
      <c r="O418">
        <v>0</v>
      </c>
      <c r="P418">
        <v>0</v>
      </c>
      <c r="Q418">
        <v>0</v>
      </c>
      <c r="R418">
        <v>0</v>
      </c>
      <c r="S418">
        <v>0</v>
      </c>
      <c r="T418">
        <v>0</v>
      </c>
      <c r="U418">
        <v>0</v>
      </c>
      <c r="V418">
        <v>0</v>
      </c>
      <c r="W418">
        <v>0</v>
      </c>
      <c r="X418">
        <v>0</v>
      </c>
      <c r="Y418">
        <v>0</v>
      </c>
      <c r="Z418">
        <v>0</v>
      </c>
      <c r="AA418">
        <v>0</v>
      </c>
      <c r="AD418" t="s">
        <v>903</v>
      </c>
      <c r="AE418" s="19">
        <v>1060</v>
      </c>
      <c r="AF418">
        <v>2714</v>
      </c>
    </row>
    <row r="419" spans="1:32" hidden="1">
      <c r="A419" s="41" t="s">
        <v>1159</v>
      </c>
      <c r="B419" s="41">
        <v>0</v>
      </c>
      <c r="C419" s="41">
        <v>0</v>
      </c>
      <c r="D419" s="41">
        <v>0</v>
      </c>
      <c r="E419" s="41">
        <v>0</v>
      </c>
      <c r="F419" s="41">
        <v>0</v>
      </c>
      <c r="G419" s="41">
        <v>0</v>
      </c>
      <c r="H419" s="41">
        <v>0</v>
      </c>
      <c r="I419" s="41">
        <v>0</v>
      </c>
      <c r="J419" s="41">
        <v>160</v>
      </c>
      <c r="K419">
        <v>212</v>
      </c>
      <c r="L419">
        <v>442</v>
      </c>
      <c r="M419">
        <v>140</v>
      </c>
      <c r="N419">
        <v>289</v>
      </c>
      <c r="O419">
        <v>0</v>
      </c>
      <c r="P419">
        <v>0</v>
      </c>
      <c r="Q419">
        <v>0</v>
      </c>
      <c r="R419">
        <v>0</v>
      </c>
      <c r="S419">
        <v>0</v>
      </c>
      <c r="T419">
        <v>0</v>
      </c>
      <c r="U419">
        <v>0</v>
      </c>
      <c r="V419">
        <v>0</v>
      </c>
      <c r="W419">
        <v>0</v>
      </c>
      <c r="X419">
        <v>0</v>
      </c>
      <c r="Y419">
        <v>0</v>
      </c>
      <c r="Z419">
        <v>0</v>
      </c>
      <c r="AA419">
        <v>0</v>
      </c>
      <c r="AD419" t="s">
        <v>905</v>
      </c>
      <c r="AE419" s="19">
        <v>810</v>
      </c>
      <c r="AF419">
        <v>2057</v>
      </c>
    </row>
    <row r="420" spans="1:32" hidden="1">
      <c r="A420" s="41" t="s">
        <v>1160</v>
      </c>
      <c r="B420" s="41">
        <v>0</v>
      </c>
      <c r="C420" s="41">
        <v>0</v>
      </c>
      <c r="D420" s="41">
        <v>0</v>
      </c>
      <c r="E420" s="41">
        <v>0</v>
      </c>
      <c r="F420" s="41">
        <v>0</v>
      </c>
      <c r="G420" s="41">
        <v>0</v>
      </c>
      <c r="H420" s="41">
        <v>0</v>
      </c>
      <c r="I420" s="41">
        <v>0</v>
      </c>
      <c r="J420" s="41">
        <v>56</v>
      </c>
      <c r="K420">
        <v>116</v>
      </c>
      <c r="L420">
        <v>143</v>
      </c>
      <c r="M420">
        <v>79</v>
      </c>
      <c r="N420">
        <v>74</v>
      </c>
      <c r="O420">
        <v>0</v>
      </c>
      <c r="P420">
        <v>0</v>
      </c>
      <c r="Q420">
        <v>0</v>
      </c>
      <c r="R420">
        <v>0</v>
      </c>
      <c r="S420">
        <v>0</v>
      </c>
      <c r="T420">
        <v>0</v>
      </c>
      <c r="U420">
        <v>0</v>
      </c>
      <c r="V420">
        <v>0</v>
      </c>
      <c r="W420">
        <v>0</v>
      </c>
      <c r="X420">
        <v>0</v>
      </c>
      <c r="Y420">
        <v>0</v>
      </c>
      <c r="Z420">
        <v>0</v>
      </c>
      <c r="AA420">
        <v>0</v>
      </c>
      <c r="AD420" t="s">
        <v>907</v>
      </c>
      <c r="AE420" s="19">
        <v>1161</v>
      </c>
      <c r="AF420">
        <v>3943</v>
      </c>
    </row>
    <row r="421" spans="1:32" hidden="1">
      <c r="A421" s="41" t="s">
        <v>1161</v>
      </c>
      <c r="B421" s="41">
        <v>0</v>
      </c>
      <c r="C421" s="41">
        <v>0</v>
      </c>
      <c r="D421" s="41">
        <v>0</v>
      </c>
      <c r="E421" s="41">
        <v>0</v>
      </c>
      <c r="F421" s="41">
        <v>0</v>
      </c>
      <c r="G421" s="41">
        <v>0</v>
      </c>
      <c r="H421" s="41">
        <v>0</v>
      </c>
      <c r="I421" s="41">
        <v>0</v>
      </c>
      <c r="J421" s="41">
        <v>0</v>
      </c>
      <c r="K421">
        <v>126</v>
      </c>
      <c r="L421">
        <v>181</v>
      </c>
      <c r="M421">
        <v>145</v>
      </c>
      <c r="N421">
        <v>91</v>
      </c>
      <c r="O421">
        <v>0</v>
      </c>
      <c r="P421">
        <v>0</v>
      </c>
      <c r="Q421">
        <v>0</v>
      </c>
      <c r="R421">
        <v>0</v>
      </c>
      <c r="S421">
        <v>0</v>
      </c>
      <c r="T421">
        <v>0</v>
      </c>
      <c r="U421">
        <v>0</v>
      </c>
      <c r="V421">
        <v>0</v>
      </c>
      <c r="W421">
        <v>0</v>
      </c>
      <c r="X421">
        <v>0</v>
      </c>
      <c r="Y421">
        <v>0</v>
      </c>
      <c r="Z421">
        <v>0</v>
      </c>
      <c r="AA421">
        <v>0</v>
      </c>
      <c r="AD421" t="s">
        <v>910</v>
      </c>
      <c r="AE421" s="19">
        <v>1609</v>
      </c>
      <c r="AF421">
        <v>2968</v>
      </c>
    </row>
    <row r="422" spans="1:32" hidden="1">
      <c r="A422" s="41" t="s">
        <v>1162</v>
      </c>
      <c r="B422" s="41">
        <v>0</v>
      </c>
      <c r="C422" s="41">
        <v>0</v>
      </c>
      <c r="D422" s="41">
        <v>0</v>
      </c>
      <c r="E422" s="41">
        <v>0</v>
      </c>
      <c r="F422" s="41">
        <v>0</v>
      </c>
      <c r="G422" s="41">
        <v>0</v>
      </c>
      <c r="H422" s="41">
        <v>0</v>
      </c>
      <c r="I422" s="41">
        <v>0</v>
      </c>
      <c r="J422" s="41">
        <v>0</v>
      </c>
      <c r="K422">
        <v>890</v>
      </c>
      <c r="L422">
        <v>860</v>
      </c>
      <c r="M422">
        <v>532</v>
      </c>
      <c r="N422">
        <v>667</v>
      </c>
      <c r="O422">
        <v>0</v>
      </c>
      <c r="P422">
        <v>0</v>
      </c>
      <c r="Q422">
        <v>0</v>
      </c>
      <c r="R422">
        <v>0</v>
      </c>
      <c r="S422">
        <v>0</v>
      </c>
      <c r="T422">
        <v>0</v>
      </c>
      <c r="U422">
        <v>0</v>
      </c>
      <c r="V422">
        <v>0</v>
      </c>
      <c r="W422">
        <v>0</v>
      </c>
      <c r="X422">
        <v>0</v>
      </c>
      <c r="Y422">
        <v>0</v>
      </c>
      <c r="Z422">
        <v>0</v>
      </c>
      <c r="AA422">
        <v>0</v>
      </c>
      <c r="AD422" t="s">
        <v>912</v>
      </c>
      <c r="AE422" s="19">
        <v>1107</v>
      </c>
      <c r="AF422">
        <v>3665</v>
      </c>
    </row>
    <row r="423" spans="1:32" hidden="1">
      <c r="A423" s="41" t="s">
        <v>1163</v>
      </c>
      <c r="B423" s="41">
        <v>0</v>
      </c>
      <c r="C423" s="41">
        <v>0</v>
      </c>
      <c r="D423" s="41">
        <v>0</v>
      </c>
      <c r="E423" s="41">
        <v>0</v>
      </c>
      <c r="F423" s="41">
        <v>0</v>
      </c>
      <c r="G423" s="41">
        <v>0</v>
      </c>
      <c r="H423" s="41">
        <v>0</v>
      </c>
      <c r="I423" s="41">
        <v>0</v>
      </c>
      <c r="J423" s="41">
        <v>0</v>
      </c>
      <c r="K423">
        <v>260</v>
      </c>
      <c r="L423">
        <v>409</v>
      </c>
      <c r="M423">
        <v>186</v>
      </c>
      <c r="N423">
        <v>459</v>
      </c>
      <c r="O423">
        <v>0</v>
      </c>
      <c r="P423">
        <v>0</v>
      </c>
      <c r="Q423">
        <v>0</v>
      </c>
      <c r="R423">
        <v>0</v>
      </c>
      <c r="S423">
        <v>0</v>
      </c>
      <c r="T423">
        <v>0</v>
      </c>
      <c r="U423">
        <v>0</v>
      </c>
      <c r="V423">
        <v>0</v>
      </c>
      <c r="W423">
        <v>0</v>
      </c>
      <c r="X423">
        <v>0</v>
      </c>
      <c r="Y423">
        <v>0</v>
      </c>
      <c r="Z423">
        <v>0</v>
      </c>
      <c r="AA423">
        <v>0</v>
      </c>
      <c r="AD423" t="s">
        <v>914</v>
      </c>
      <c r="AE423" s="19">
        <v>550</v>
      </c>
      <c r="AF423">
        <v>1773</v>
      </c>
    </row>
    <row r="424" spans="1:32" hidden="1">
      <c r="B424" s="41"/>
      <c r="C424" s="41"/>
      <c r="D424" s="41"/>
      <c r="E424" s="41"/>
      <c r="F424" s="41"/>
      <c r="G424" s="41"/>
      <c r="H424" s="41"/>
      <c r="I424" s="41"/>
      <c r="AD424" t="s">
        <v>916</v>
      </c>
      <c r="AE424" s="19">
        <v>925</v>
      </c>
      <c r="AF424">
        <v>8876</v>
      </c>
    </row>
    <row r="425" spans="1:32"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918</v>
      </c>
      <c r="AE425" s="19">
        <v>1375</v>
      </c>
      <c r="AF425">
        <v>3541</v>
      </c>
    </row>
    <row r="426" spans="1:32" hidden="1">
      <c r="B426" s="41"/>
      <c r="C426" s="41"/>
      <c r="D426" s="41"/>
      <c r="E426" s="41"/>
      <c r="F426" s="41"/>
      <c r="G426" s="41"/>
      <c r="H426" s="41"/>
      <c r="I426" s="41"/>
      <c r="AD426" t="s">
        <v>920</v>
      </c>
      <c r="AE426" s="19">
        <v>770</v>
      </c>
      <c r="AF426">
        <v>2206</v>
      </c>
    </row>
    <row r="427" spans="1:32" hidden="1">
      <c r="B427" s="41"/>
      <c r="C427" s="41"/>
      <c r="D427" s="41"/>
      <c r="E427" s="41"/>
      <c r="F427" s="41"/>
      <c r="G427" s="41"/>
      <c r="H427" s="41"/>
      <c r="I427" s="41"/>
      <c r="AD427" t="s">
        <v>923</v>
      </c>
      <c r="AE427" s="19">
        <v>1104</v>
      </c>
      <c r="AF427">
        <v>3593</v>
      </c>
    </row>
    <row r="428" spans="1:32" hidden="1">
      <c r="B428" s="41"/>
      <c r="C428" s="41"/>
      <c r="D428" s="41"/>
      <c r="E428" s="41"/>
      <c r="F428" s="41"/>
      <c r="G428" s="41"/>
      <c r="H428" s="41"/>
      <c r="J428" s="41"/>
      <c r="AD428" t="s">
        <v>925</v>
      </c>
      <c r="AE428" s="19">
        <v>1299</v>
      </c>
      <c r="AF428">
        <v>2917</v>
      </c>
    </row>
    <row r="429" spans="1:32">
      <c r="B429" s="41"/>
      <c r="C429" s="41"/>
      <c r="D429" s="41"/>
      <c r="E429" s="41"/>
      <c r="F429" s="41"/>
      <c r="G429" s="41"/>
      <c r="H429" s="41"/>
      <c r="I429" s="41"/>
      <c r="AD429" t="s">
        <v>927</v>
      </c>
      <c r="AE429" s="19">
        <v>930</v>
      </c>
      <c r="AF429">
        <v>3702</v>
      </c>
    </row>
    <row r="430" spans="1:32">
      <c r="B430" s="41"/>
      <c r="C430" s="41"/>
      <c r="D430" s="41"/>
      <c r="E430" s="41"/>
      <c r="F430" s="41"/>
      <c r="G430" s="41"/>
      <c r="H430" s="41"/>
      <c r="I430" s="41"/>
      <c r="AD430" t="s">
        <v>929</v>
      </c>
      <c r="AE430" s="19">
        <v>531</v>
      </c>
      <c r="AF430">
        <v>1889</v>
      </c>
    </row>
    <row r="431" spans="1:32">
      <c r="AD431" s="39" t="s">
        <v>931</v>
      </c>
      <c r="AE431" s="166">
        <v>1122</v>
      </c>
      <c r="AF431">
        <v>4381</v>
      </c>
    </row>
    <row r="432" spans="1:32">
      <c r="A432" s="42" t="s">
        <v>1164</v>
      </c>
      <c r="B432" s="43" t="s">
        <v>1165</v>
      </c>
      <c r="C432" s="44" t="s">
        <v>1166</v>
      </c>
      <c r="D432" s="42" t="s">
        <v>1167</v>
      </c>
      <c r="E432" s="43" t="s">
        <v>1168</v>
      </c>
      <c r="F432" s="44" t="s">
        <v>1169</v>
      </c>
      <c r="G432" s="45" t="s">
        <v>1170</v>
      </c>
      <c r="H432" s="46" t="s">
        <v>1171</v>
      </c>
      <c r="I432" s="47" t="s">
        <v>1172</v>
      </c>
      <c r="J432" s="44" t="s">
        <v>1173</v>
      </c>
      <c r="K432" s="54" t="s">
        <v>1174</v>
      </c>
      <c r="L432" s="47" t="s">
        <v>1175</v>
      </c>
      <c r="M432" s="54" t="s">
        <v>10</v>
      </c>
      <c r="N432" s="44" t="s">
        <v>11</v>
      </c>
      <c r="AD432" s="29" t="s">
        <v>933</v>
      </c>
      <c r="AE432" s="19">
        <v>325</v>
      </c>
      <c r="AF432">
        <v>3278</v>
      </c>
    </row>
    <row r="433" spans="1:32">
      <c r="A433" s="48">
        <f t="shared" ref="A433:N433" si="1">O425/B425</f>
        <v>0.23766867074810491</v>
      </c>
      <c r="B433" s="49">
        <f t="shared" si="1"/>
        <v>0.23512254466103483</v>
      </c>
      <c r="C433" s="50">
        <f t="shared" si="1"/>
        <v>0.22321587377192004</v>
      </c>
      <c r="D433" s="48">
        <f t="shared" si="1"/>
        <v>0.22286411108917126</v>
      </c>
      <c r="E433" s="49">
        <f t="shared" si="1"/>
        <v>0.23518985959503899</v>
      </c>
      <c r="F433" s="50">
        <f t="shared" si="1"/>
        <v>0.2284846065729291</v>
      </c>
      <c r="G433" s="51">
        <f t="shared" si="1"/>
        <v>0.25431799544130079</v>
      </c>
      <c r="H433" s="52">
        <f t="shared" si="1"/>
        <v>0.25263021906879796</v>
      </c>
      <c r="I433" s="53">
        <f t="shared" si="1"/>
        <v>0.27559785699320583</v>
      </c>
      <c r="J433" s="50">
        <f t="shared" si="1"/>
        <v>0.28248952000158589</v>
      </c>
      <c r="K433" s="55">
        <f t="shared" si="1"/>
        <v>0.28460757844528012</v>
      </c>
      <c r="L433" s="53">
        <f t="shared" si="1"/>
        <v>0.26761354721576774</v>
      </c>
      <c r="M433" s="55">
        <f>AA425/N425</f>
        <v>0.25655326446267845</v>
      </c>
      <c r="N433" s="50">
        <f>AE488/AF488</f>
        <v>0.26586442556975021</v>
      </c>
      <c r="AD433" s="29" t="s">
        <v>935</v>
      </c>
      <c r="AE433" s="19">
        <v>1173</v>
      </c>
      <c r="AF433">
        <v>13082</v>
      </c>
    </row>
    <row r="434" spans="1:32">
      <c r="A434" s="48"/>
      <c r="B434" s="49"/>
      <c r="C434" s="50"/>
      <c r="D434" s="48"/>
      <c r="E434" s="49"/>
      <c r="F434" s="50"/>
      <c r="G434" s="51"/>
      <c r="H434" s="52"/>
      <c r="I434" s="53"/>
      <c r="J434" s="50"/>
      <c r="K434" s="55"/>
      <c r="L434" s="53"/>
      <c r="M434" s="55"/>
      <c r="N434" s="50"/>
      <c r="AD434" t="s">
        <v>937</v>
      </c>
      <c r="AE434" s="19">
        <v>0</v>
      </c>
    </row>
    <row r="435" spans="1:32">
      <c r="AE435" s="19">
        <v>0</v>
      </c>
    </row>
    <row r="436" spans="1:32">
      <c r="AE436" s="19">
        <v>0</v>
      </c>
    </row>
    <row r="437" spans="1:32">
      <c r="AD437" t="s">
        <v>944</v>
      </c>
      <c r="AE437" s="19">
        <v>1253</v>
      </c>
      <c r="AF437">
        <v>3107</v>
      </c>
    </row>
    <row r="438" spans="1:32">
      <c r="AE438" s="19"/>
    </row>
    <row r="439" spans="1:32">
      <c r="AD439" t="s">
        <v>949</v>
      </c>
      <c r="AE439" s="19">
        <v>566</v>
      </c>
      <c r="AF439">
        <v>2475</v>
      </c>
    </row>
    <row r="440" spans="1:32">
      <c r="AD440" t="s">
        <v>951</v>
      </c>
      <c r="AE440" s="19">
        <v>601</v>
      </c>
      <c r="AF440">
        <v>2371</v>
      </c>
    </row>
    <row r="441" spans="1:32">
      <c r="AD441" t="s">
        <v>953</v>
      </c>
      <c r="AE441" s="19">
        <v>375</v>
      </c>
      <c r="AF441">
        <v>2654</v>
      </c>
    </row>
    <row r="442" spans="1:32">
      <c r="AD442" t="s">
        <v>955</v>
      </c>
      <c r="AE442" s="19">
        <v>17</v>
      </c>
      <c r="AF442">
        <v>75</v>
      </c>
    </row>
    <row r="443" spans="1:32">
      <c r="AD443" t="s">
        <v>957</v>
      </c>
      <c r="AE443" s="19">
        <v>0</v>
      </c>
      <c r="AF443">
        <v>656</v>
      </c>
    </row>
    <row r="444" spans="1:32">
      <c r="AD444" t="s">
        <v>959</v>
      </c>
      <c r="AE444" s="19">
        <v>966</v>
      </c>
      <c r="AF444">
        <v>1681</v>
      </c>
    </row>
    <row r="445" spans="1:32">
      <c r="AD445" t="s">
        <v>961</v>
      </c>
      <c r="AE445" s="19">
        <v>22</v>
      </c>
      <c r="AF445">
        <v>170</v>
      </c>
    </row>
    <row r="446" spans="1:32">
      <c r="AD446" t="s">
        <v>963</v>
      </c>
      <c r="AE446" s="19">
        <v>1292</v>
      </c>
      <c r="AF446">
        <v>3882</v>
      </c>
    </row>
    <row r="447" spans="1:32">
      <c r="AD447" t="s">
        <v>965</v>
      </c>
      <c r="AE447" s="19">
        <v>840</v>
      </c>
      <c r="AF447">
        <v>4795</v>
      </c>
    </row>
    <row r="448" spans="1:32">
      <c r="AD448" t="s">
        <v>967</v>
      </c>
      <c r="AE448" s="19">
        <v>142</v>
      </c>
      <c r="AF448">
        <v>864</v>
      </c>
    </row>
    <row r="449" spans="30:32">
      <c r="AD449" s="39" t="s">
        <v>969</v>
      </c>
      <c r="AE449" s="166">
        <v>131</v>
      </c>
      <c r="AF449">
        <v>712</v>
      </c>
    </row>
    <row r="450" spans="30:32">
      <c r="AD450" t="s">
        <v>971</v>
      </c>
      <c r="AE450" s="19">
        <v>0</v>
      </c>
      <c r="AF450">
        <v>97</v>
      </c>
    </row>
    <row r="451" spans="30:32">
      <c r="AD451" t="s">
        <v>973</v>
      </c>
      <c r="AE451" s="19">
        <v>683</v>
      </c>
      <c r="AF451">
        <v>1859</v>
      </c>
    </row>
    <row r="452" spans="30:32">
      <c r="AD452" t="s">
        <v>975</v>
      </c>
      <c r="AE452" s="19">
        <v>276</v>
      </c>
      <c r="AF452">
        <v>1244</v>
      </c>
    </row>
    <row r="453" spans="30:32">
      <c r="AD453" t="s">
        <v>977</v>
      </c>
      <c r="AE453" s="19">
        <v>295</v>
      </c>
      <c r="AF453">
        <v>1136</v>
      </c>
    </row>
    <row r="454" spans="30:32">
      <c r="AD454" t="s">
        <v>979</v>
      </c>
      <c r="AE454" s="19">
        <v>279</v>
      </c>
      <c r="AF454">
        <v>441</v>
      </c>
    </row>
    <row r="455" spans="30:32">
      <c r="AD455" t="s">
        <v>981</v>
      </c>
      <c r="AE455" s="19">
        <v>1946</v>
      </c>
      <c r="AF455">
        <v>7171</v>
      </c>
    </row>
    <row r="456" spans="30:32">
      <c r="AD456" t="s">
        <v>983</v>
      </c>
      <c r="AE456" s="19">
        <v>1462</v>
      </c>
      <c r="AF456">
        <v>5018</v>
      </c>
    </row>
    <row r="457" spans="30:32">
      <c r="AD457" t="s">
        <v>985</v>
      </c>
      <c r="AE457" s="19">
        <v>2083</v>
      </c>
      <c r="AF457">
        <v>5548</v>
      </c>
    </row>
    <row r="458" spans="30:32">
      <c r="AD458" s="29" t="s">
        <v>987</v>
      </c>
      <c r="AE458" s="19">
        <v>336</v>
      </c>
      <c r="AF458">
        <v>1519</v>
      </c>
    </row>
    <row r="459" spans="30:32">
      <c r="AD459" t="s">
        <v>989</v>
      </c>
      <c r="AE459" s="19">
        <v>1332</v>
      </c>
      <c r="AF459">
        <v>3144</v>
      </c>
    </row>
    <row r="460" spans="30:32">
      <c r="AD460" t="s">
        <v>991</v>
      </c>
      <c r="AE460" s="19">
        <v>796</v>
      </c>
      <c r="AF460">
        <v>2372</v>
      </c>
    </row>
    <row r="461" spans="30:32">
      <c r="AD461" t="s">
        <v>993</v>
      </c>
      <c r="AE461" s="19">
        <v>3891</v>
      </c>
      <c r="AF461">
        <v>11080</v>
      </c>
    </row>
    <row r="462" spans="30:32">
      <c r="AD462" t="s">
        <v>995</v>
      </c>
      <c r="AE462" s="19">
        <v>1452</v>
      </c>
      <c r="AF462">
        <v>4180</v>
      </c>
    </row>
    <row r="463" spans="30:32">
      <c r="AD463" t="s">
        <v>997</v>
      </c>
      <c r="AE463" s="19">
        <v>1547</v>
      </c>
      <c r="AF463">
        <v>8203</v>
      </c>
    </row>
    <row r="464" spans="30:32">
      <c r="AD464" t="s">
        <v>999</v>
      </c>
      <c r="AE464" s="19">
        <v>303</v>
      </c>
      <c r="AF464">
        <v>2468</v>
      </c>
    </row>
    <row r="465" spans="30:32">
      <c r="AD465" t="s">
        <v>1001</v>
      </c>
      <c r="AE465" s="19">
        <v>1797</v>
      </c>
      <c r="AF465">
        <v>3968</v>
      </c>
    </row>
    <row r="466" spans="30:32">
      <c r="AD466" t="s">
        <v>1003</v>
      </c>
      <c r="AE466" s="19">
        <v>313</v>
      </c>
      <c r="AF466">
        <v>1233</v>
      </c>
    </row>
    <row r="467" spans="30:32">
      <c r="AD467" t="s">
        <v>1005</v>
      </c>
      <c r="AE467" s="19">
        <v>742</v>
      </c>
      <c r="AF467">
        <v>2328</v>
      </c>
    </row>
    <row r="468" spans="30:32">
      <c r="AD468" t="s">
        <v>1007</v>
      </c>
      <c r="AE468" s="19">
        <v>356</v>
      </c>
      <c r="AF468">
        <v>678</v>
      </c>
    </row>
    <row r="469" spans="30:32">
      <c r="AD469" t="s">
        <v>1009</v>
      </c>
      <c r="AE469" s="19">
        <v>1874</v>
      </c>
      <c r="AF469">
        <v>7170</v>
      </c>
    </row>
    <row r="470" spans="30:32">
      <c r="AD470" t="s">
        <v>1011</v>
      </c>
      <c r="AE470" s="19">
        <v>434</v>
      </c>
      <c r="AF470">
        <v>1699</v>
      </c>
    </row>
    <row r="471" spans="30:32">
      <c r="AD471" t="s">
        <v>1013</v>
      </c>
      <c r="AE471" s="19">
        <v>922</v>
      </c>
      <c r="AF471">
        <v>2223</v>
      </c>
    </row>
    <row r="472" spans="30:32">
      <c r="AD472" t="s">
        <v>1015</v>
      </c>
      <c r="AE472" s="19">
        <v>1303</v>
      </c>
      <c r="AF472">
        <v>8739</v>
      </c>
    </row>
    <row r="473" spans="30:32">
      <c r="AD473" t="s">
        <v>1017</v>
      </c>
      <c r="AE473" s="19">
        <v>1967</v>
      </c>
      <c r="AF473">
        <v>6950</v>
      </c>
    </row>
    <row r="474" spans="30:32">
      <c r="AD474" t="s">
        <v>1019</v>
      </c>
      <c r="AE474" s="19">
        <v>2648</v>
      </c>
      <c r="AF474">
        <v>5829</v>
      </c>
    </row>
    <row r="475" spans="30:32">
      <c r="AD475" t="s">
        <v>1021</v>
      </c>
      <c r="AE475" s="19">
        <v>1099</v>
      </c>
      <c r="AF475">
        <v>3946</v>
      </c>
    </row>
    <row r="476" spans="30:32">
      <c r="AD476" t="s">
        <v>1023</v>
      </c>
      <c r="AE476" s="19">
        <v>3298</v>
      </c>
      <c r="AF476">
        <v>9439</v>
      </c>
    </row>
    <row r="477" spans="30:32">
      <c r="AD477" t="s">
        <v>1025</v>
      </c>
      <c r="AE477" s="19">
        <v>355</v>
      </c>
      <c r="AF477">
        <v>1594</v>
      </c>
    </row>
    <row r="478" spans="30:32">
      <c r="AD478" t="s">
        <v>1027</v>
      </c>
      <c r="AE478" s="19">
        <v>4192</v>
      </c>
      <c r="AF478">
        <v>14541</v>
      </c>
    </row>
    <row r="479" spans="30:32">
      <c r="AD479" t="s">
        <v>1030</v>
      </c>
      <c r="AE479" s="19">
        <v>5893</v>
      </c>
      <c r="AF479">
        <v>16635</v>
      </c>
    </row>
    <row r="480" spans="30:32">
      <c r="AD480" t="s">
        <v>1032</v>
      </c>
      <c r="AE480" s="19">
        <v>1168</v>
      </c>
      <c r="AF480">
        <v>6111</v>
      </c>
    </row>
    <row r="481" spans="30:32">
      <c r="AD481" t="s">
        <v>1034</v>
      </c>
      <c r="AE481" s="19">
        <v>660</v>
      </c>
      <c r="AF481">
        <v>2399</v>
      </c>
    </row>
    <row r="482" spans="30:32">
      <c r="AD482" t="s">
        <v>1036</v>
      </c>
      <c r="AE482" s="19">
        <v>1341</v>
      </c>
      <c r="AF482">
        <v>4218</v>
      </c>
    </row>
    <row r="483" spans="30:32">
      <c r="AD483" t="s">
        <v>1038</v>
      </c>
      <c r="AE483" s="19">
        <v>3129</v>
      </c>
      <c r="AF483">
        <v>9988</v>
      </c>
    </row>
    <row r="484" spans="30:32">
      <c r="AD484" t="s">
        <v>1040</v>
      </c>
      <c r="AE484" s="19">
        <v>3780</v>
      </c>
      <c r="AF484">
        <v>9966</v>
      </c>
    </row>
    <row r="485" spans="30:32">
      <c r="AD485" t="s">
        <v>1042</v>
      </c>
      <c r="AE485" s="19">
        <v>4424</v>
      </c>
      <c r="AF485">
        <v>19236</v>
      </c>
    </row>
    <row r="486" spans="30:32">
      <c r="AD486" t="s">
        <v>1044</v>
      </c>
      <c r="AE486" s="19">
        <v>910</v>
      </c>
      <c r="AF486">
        <v>2546</v>
      </c>
    </row>
    <row r="488" spans="30:32">
      <c r="AE488" s="27">
        <f>SUM(AE2:AE486)</f>
        <v>998117</v>
      </c>
      <c r="AF488" s="27">
        <f>SUM(AF2:AF486)</f>
        <v>3754233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1106</v>
      </c>
      <c r="B1" t="s">
        <v>1176</v>
      </c>
    </row>
    <row r="2" spans="1:2">
      <c r="A2" t="s">
        <v>40</v>
      </c>
      <c r="B2" t="s">
        <v>1072</v>
      </c>
    </row>
    <row r="3" spans="1:2">
      <c r="A3" t="s">
        <v>58</v>
      </c>
      <c r="B3" t="s">
        <v>1072</v>
      </c>
    </row>
    <row r="4" spans="1:2">
      <c r="A4" t="s">
        <v>1177</v>
      </c>
      <c r="B4" t="s">
        <v>1072</v>
      </c>
    </row>
    <row r="5" spans="1:2">
      <c r="A5" t="s">
        <v>442</v>
      </c>
      <c r="B5" t="s">
        <v>1072</v>
      </c>
    </row>
    <row r="6" spans="1:2">
      <c r="A6" t="s">
        <v>1178</v>
      </c>
      <c r="B6" t="s">
        <v>1072</v>
      </c>
    </row>
    <row r="7" spans="1:2">
      <c r="A7" t="s">
        <v>46</v>
      </c>
      <c r="B7" t="s">
        <v>1072</v>
      </c>
    </row>
    <row r="8" spans="1:2">
      <c r="A8" t="s">
        <v>466</v>
      </c>
      <c r="B8" t="s">
        <v>1072</v>
      </c>
    </row>
    <row r="9" spans="1:2">
      <c r="A9" t="s">
        <v>106</v>
      </c>
      <c r="B9" t="s">
        <v>1072</v>
      </c>
    </row>
    <row r="10" spans="1:2">
      <c r="A10" t="s">
        <v>272</v>
      </c>
      <c r="B10" t="s">
        <v>1072</v>
      </c>
    </row>
    <row r="11" spans="1:2">
      <c r="A11" t="s">
        <v>440</v>
      </c>
      <c r="B11" t="s">
        <v>1072</v>
      </c>
    </row>
    <row r="12" spans="1:2">
      <c r="A12" t="s">
        <v>86</v>
      </c>
      <c r="B12" t="s">
        <v>1072</v>
      </c>
    </row>
    <row r="13" spans="1:2">
      <c r="A13" t="s">
        <v>354</v>
      </c>
      <c r="B13" t="s">
        <v>1072</v>
      </c>
    </row>
    <row r="14" spans="1:2">
      <c r="A14" t="s">
        <v>120</v>
      </c>
      <c r="B14" t="s">
        <v>1072</v>
      </c>
    </row>
    <row r="15" spans="1:2">
      <c r="A15" t="s">
        <v>418</v>
      </c>
      <c r="B15" t="s">
        <v>1072</v>
      </c>
    </row>
    <row r="16" spans="1:2">
      <c r="A16" t="s">
        <v>1179</v>
      </c>
      <c r="B16" t="s">
        <v>1072</v>
      </c>
    </row>
    <row r="17" spans="1:2">
      <c r="A17" t="s">
        <v>382</v>
      </c>
      <c r="B17" t="s">
        <v>1072</v>
      </c>
    </row>
    <row r="18" spans="1:2">
      <c r="A18" t="s">
        <v>214</v>
      </c>
      <c r="B18" t="s">
        <v>1072</v>
      </c>
    </row>
    <row r="19" spans="1:2">
      <c r="A19" t="s">
        <v>422</v>
      </c>
      <c r="B19" t="s">
        <v>1072</v>
      </c>
    </row>
    <row r="20" spans="1:2">
      <c r="A20" t="s">
        <v>1180</v>
      </c>
      <c r="B20" t="s">
        <v>1072</v>
      </c>
    </row>
    <row r="21" spans="1:2">
      <c r="A21" t="s">
        <v>456</v>
      </c>
      <c r="B21" t="s">
        <v>1072</v>
      </c>
    </row>
    <row r="22" spans="1:2">
      <c r="A22" t="s">
        <v>324</v>
      </c>
      <c r="B22" t="s">
        <v>1072</v>
      </c>
    </row>
    <row r="23" spans="1:2">
      <c r="A23" t="s">
        <v>1181</v>
      </c>
      <c r="B23" t="s">
        <v>1072</v>
      </c>
    </row>
    <row r="24" spans="1:2">
      <c r="A24" t="s">
        <v>110</v>
      </c>
      <c r="B24" t="s">
        <v>1072</v>
      </c>
    </row>
    <row r="25" spans="1:2">
      <c r="A25" t="s">
        <v>358</v>
      </c>
      <c r="B25" t="s">
        <v>1072</v>
      </c>
    </row>
    <row r="26" spans="1:2">
      <c r="A26" t="s">
        <v>238</v>
      </c>
      <c r="B26" t="s">
        <v>1072</v>
      </c>
    </row>
    <row r="27" spans="1:2">
      <c r="A27" t="s">
        <v>310</v>
      </c>
      <c r="B27" t="s">
        <v>1072</v>
      </c>
    </row>
    <row r="28" spans="1:2">
      <c r="A28" t="s">
        <v>434</v>
      </c>
      <c r="B28" t="s">
        <v>1072</v>
      </c>
    </row>
    <row r="29" spans="1:2">
      <c r="A29" t="s">
        <v>102</v>
      </c>
      <c r="B29" t="s">
        <v>1072</v>
      </c>
    </row>
    <row r="30" spans="1:2">
      <c r="A30" t="s">
        <v>66</v>
      </c>
      <c r="B30" t="s">
        <v>1072</v>
      </c>
    </row>
    <row r="31" spans="1:2">
      <c r="A31" t="s">
        <v>1182</v>
      </c>
      <c r="B31" t="s">
        <v>1072</v>
      </c>
    </row>
    <row r="32" spans="1:2">
      <c r="A32" t="s">
        <v>446</v>
      </c>
      <c r="B32" t="s">
        <v>1072</v>
      </c>
    </row>
    <row r="33" spans="1:2">
      <c r="A33" t="s">
        <v>90</v>
      </c>
      <c r="B33" t="s">
        <v>1072</v>
      </c>
    </row>
    <row r="34" spans="1:2">
      <c r="A34" t="s">
        <v>68</v>
      </c>
      <c r="B34" t="s">
        <v>1072</v>
      </c>
    </row>
    <row r="35" spans="1:2">
      <c r="A35" t="s">
        <v>280</v>
      </c>
      <c r="B35" t="s">
        <v>1072</v>
      </c>
    </row>
    <row r="36" spans="1:2">
      <c r="A36" t="s">
        <v>314</v>
      </c>
      <c r="B36" t="s">
        <v>1072</v>
      </c>
    </row>
    <row r="37" spans="1:2">
      <c r="A37" t="s">
        <v>330</v>
      </c>
      <c r="B37" t="s">
        <v>1072</v>
      </c>
    </row>
    <row r="38" spans="1:2">
      <c r="A38" t="s">
        <v>76</v>
      </c>
      <c r="B38" t="s">
        <v>1072</v>
      </c>
    </row>
    <row r="39" spans="1:2">
      <c r="A39" t="s">
        <v>222</v>
      </c>
      <c r="B39" t="s">
        <v>1072</v>
      </c>
    </row>
    <row r="40" spans="1:2">
      <c r="A40" t="s">
        <v>44</v>
      </c>
      <c r="B40" t="s">
        <v>1072</v>
      </c>
    </row>
    <row r="41" spans="1:2">
      <c r="A41" t="s">
        <v>182</v>
      </c>
      <c r="B41" t="s">
        <v>1072</v>
      </c>
    </row>
    <row r="42" spans="1:2">
      <c r="A42" t="s">
        <v>360</v>
      </c>
      <c r="B42" t="s">
        <v>1072</v>
      </c>
    </row>
    <row r="43" spans="1:2">
      <c r="A43" t="s">
        <v>452</v>
      </c>
      <c r="B43" t="s">
        <v>1072</v>
      </c>
    </row>
    <row r="44" spans="1:2">
      <c r="A44" t="s">
        <v>248</v>
      </c>
      <c r="B44" t="s">
        <v>1072</v>
      </c>
    </row>
    <row r="45" spans="1:2">
      <c r="A45" t="s">
        <v>246</v>
      </c>
      <c r="B45" t="s">
        <v>1072</v>
      </c>
    </row>
    <row r="46" spans="1:2">
      <c r="A46" t="s">
        <v>432</v>
      </c>
      <c r="B46" t="s">
        <v>1072</v>
      </c>
    </row>
    <row r="47" spans="1:2">
      <c r="A47" t="s">
        <v>1183</v>
      </c>
      <c r="B47" t="s">
        <v>1072</v>
      </c>
    </row>
    <row r="48" spans="1:2">
      <c r="A48" t="s">
        <v>322</v>
      </c>
      <c r="B48" t="s">
        <v>1072</v>
      </c>
    </row>
    <row r="49" spans="1:2">
      <c r="A49" t="s">
        <v>290</v>
      </c>
      <c r="B49" t="s">
        <v>1072</v>
      </c>
    </row>
    <row r="50" spans="1:2">
      <c r="A50" t="s">
        <v>362</v>
      </c>
      <c r="B50" t="s">
        <v>1072</v>
      </c>
    </row>
    <row r="51" spans="1:2">
      <c r="A51" t="s">
        <v>270</v>
      </c>
      <c r="B51" t="s">
        <v>1072</v>
      </c>
    </row>
    <row r="52" spans="1:2">
      <c r="A52" t="s">
        <v>398</v>
      </c>
      <c r="B52" t="s">
        <v>1072</v>
      </c>
    </row>
    <row r="53" spans="1:2">
      <c r="A53" t="s">
        <v>188</v>
      </c>
      <c r="B53" t="s">
        <v>1072</v>
      </c>
    </row>
    <row r="54" spans="1:2">
      <c r="A54" t="s">
        <v>480</v>
      </c>
      <c r="B54" t="s">
        <v>1072</v>
      </c>
    </row>
    <row r="55" spans="1:2">
      <c r="A55" t="s">
        <v>264</v>
      </c>
      <c r="B55" t="s">
        <v>1072</v>
      </c>
    </row>
    <row r="56" spans="1:2">
      <c r="A56" t="s">
        <v>154</v>
      </c>
      <c r="B56" t="s">
        <v>1072</v>
      </c>
    </row>
    <row r="57" spans="1:2">
      <c r="A57" t="s">
        <v>304</v>
      </c>
      <c r="B57" t="s">
        <v>1072</v>
      </c>
    </row>
    <row r="58" spans="1:2">
      <c r="A58" t="s">
        <v>376</v>
      </c>
      <c r="B58" t="s">
        <v>1072</v>
      </c>
    </row>
    <row r="59" spans="1:2">
      <c r="A59" t="s">
        <v>274</v>
      </c>
      <c r="B59" t="s">
        <v>1072</v>
      </c>
    </row>
    <row r="60" spans="1:2">
      <c r="A60" t="s">
        <v>430</v>
      </c>
      <c r="B60" t="s">
        <v>1072</v>
      </c>
    </row>
    <row r="61" spans="1:2">
      <c r="A61" t="s">
        <v>1184</v>
      </c>
      <c r="B61" t="s">
        <v>1072</v>
      </c>
    </row>
    <row r="62" spans="1:2">
      <c r="A62" t="s">
        <v>24</v>
      </c>
      <c r="B62" t="s">
        <v>1072</v>
      </c>
    </row>
    <row r="63" spans="1:2">
      <c r="A63" t="s">
        <v>296</v>
      </c>
      <c r="B63" t="s">
        <v>1072</v>
      </c>
    </row>
    <row r="64" spans="1:2">
      <c r="A64" t="s">
        <v>1185</v>
      </c>
      <c r="B64" t="s">
        <v>1072</v>
      </c>
    </row>
    <row r="65" spans="1:2">
      <c r="A65" t="s">
        <v>370</v>
      </c>
      <c r="B65" t="s">
        <v>1072</v>
      </c>
    </row>
    <row r="66" spans="1:2">
      <c r="A66" t="s">
        <v>78</v>
      </c>
      <c r="B66" t="s">
        <v>1072</v>
      </c>
    </row>
    <row r="67" spans="1:2">
      <c r="A67" t="s">
        <v>334</v>
      </c>
      <c r="B67" t="s">
        <v>1072</v>
      </c>
    </row>
    <row r="68" spans="1:2">
      <c r="A68" t="s">
        <v>1186</v>
      </c>
      <c r="B68" t="s">
        <v>1072</v>
      </c>
    </row>
    <row r="69" spans="1:2">
      <c r="A69" t="s">
        <v>232</v>
      </c>
      <c r="B69" t="s">
        <v>1072</v>
      </c>
    </row>
    <row r="70" spans="1:2">
      <c r="A70" t="s">
        <v>216</v>
      </c>
      <c r="B70" t="s">
        <v>1072</v>
      </c>
    </row>
    <row r="71" spans="1:2">
      <c r="A71" t="s">
        <v>114</v>
      </c>
      <c r="B71" t="s">
        <v>1072</v>
      </c>
    </row>
    <row r="72" spans="1:2">
      <c r="A72" t="s">
        <v>36</v>
      </c>
      <c r="B72" t="s">
        <v>1072</v>
      </c>
    </row>
    <row r="73" spans="1:2">
      <c r="A73" t="s">
        <v>170</v>
      </c>
      <c r="B73" t="s">
        <v>1072</v>
      </c>
    </row>
    <row r="74" spans="1:2">
      <c r="A74" t="s">
        <v>350</v>
      </c>
      <c r="B74" t="s">
        <v>1072</v>
      </c>
    </row>
    <row r="75" spans="1:2">
      <c r="A75" t="s">
        <v>194</v>
      </c>
      <c r="B75" t="s">
        <v>1072</v>
      </c>
    </row>
    <row r="76" spans="1:2">
      <c r="A76" t="s">
        <v>286</v>
      </c>
      <c r="B76" t="s">
        <v>1072</v>
      </c>
    </row>
    <row r="77" spans="1:2">
      <c r="A77" t="s">
        <v>308</v>
      </c>
      <c r="B77" t="s">
        <v>1072</v>
      </c>
    </row>
    <row r="78" spans="1:2">
      <c r="A78" t="s">
        <v>392</v>
      </c>
      <c r="B78" t="s">
        <v>1072</v>
      </c>
    </row>
    <row r="79" spans="1:2">
      <c r="A79" t="s">
        <v>356</v>
      </c>
      <c r="B79" t="s">
        <v>1072</v>
      </c>
    </row>
    <row r="80" spans="1:2">
      <c r="A80" t="s">
        <v>294</v>
      </c>
      <c r="B80" t="s">
        <v>1072</v>
      </c>
    </row>
    <row r="81" spans="1:2">
      <c r="A81" t="s">
        <v>312</v>
      </c>
      <c r="B81" t="s">
        <v>1072</v>
      </c>
    </row>
    <row r="82" spans="1:2">
      <c r="A82" t="s">
        <v>1187</v>
      </c>
      <c r="B82" t="s">
        <v>1072</v>
      </c>
    </row>
    <row r="83" spans="1:2">
      <c r="A83" t="s">
        <v>204</v>
      </c>
      <c r="B83" t="s">
        <v>1072</v>
      </c>
    </row>
    <row r="84" spans="1:2">
      <c r="A84" t="s">
        <v>338</v>
      </c>
      <c r="B84" t="s">
        <v>1072</v>
      </c>
    </row>
    <row r="85" spans="1:2">
      <c r="A85" t="s">
        <v>292</v>
      </c>
      <c r="B85" t="s">
        <v>1072</v>
      </c>
    </row>
    <row r="86" spans="1:2">
      <c r="A86" t="s">
        <v>258</v>
      </c>
      <c r="B86" t="s">
        <v>1072</v>
      </c>
    </row>
    <row r="87" spans="1:2">
      <c r="A87" t="s">
        <v>18</v>
      </c>
      <c r="B87" t="s">
        <v>1072</v>
      </c>
    </row>
    <row r="88" spans="1:2">
      <c r="A88" t="s">
        <v>400</v>
      </c>
      <c r="B88" t="s">
        <v>1072</v>
      </c>
    </row>
    <row r="89" spans="1:2">
      <c r="A89" t="s">
        <v>178</v>
      </c>
      <c r="B89" t="s">
        <v>1072</v>
      </c>
    </row>
    <row r="90" spans="1:2">
      <c r="A90" t="s">
        <v>262</v>
      </c>
      <c r="B90" t="s">
        <v>1072</v>
      </c>
    </row>
    <row r="91" spans="1:2">
      <c r="A91" t="s">
        <v>266</v>
      </c>
      <c r="B91" t="s">
        <v>1072</v>
      </c>
    </row>
    <row r="92" spans="1:2">
      <c r="A92" t="s">
        <v>164</v>
      </c>
      <c r="B92" t="s">
        <v>1072</v>
      </c>
    </row>
    <row r="93" spans="1:2">
      <c r="A93" t="s">
        <v>416</v>
      </c>
      <c r="B93" t="s">
        <v>1072</v>
      </c>
    </row>
    <row r="94" spans="1:2">
      <c r="A94" t="s">
        <v>284</v>
      </c>
      <c r="B94" t="s">
        <v>1072</v>
      </c>
    </row>
    <row r="95" spans="1:2">
      <c r="A95" t="s">
        <v>230</v>
      </c>
      <c r="B95" t="s">
        <v>1072</v>
      </c>
    </row>
    <row r="96" spans="1:2">
      <c r="A96" t="s">
        <v>318</v>
      </c>
      <c r="B96" t="s">
        <v>1072</v>
      </c>
    </row>
    <row r="97" spans="1:2">
      <c r="A97" t="s">
        <v>378</v>
      </c>
      <c r="B97" t="s">
        <v>1072</v>
      </c>
    </row>
    <row r="98" spans="1:2">
      <c r="A98" t="s">
        <v>180</v>
      </c>
      <c r="B98" t="s">
        <v>1072</v>
      </c>
    </row>
    <row r="99" spans="1:2">
      <c r="A99" t="s">
        <v>240</v>
      </c>
      <c r="B99" t="s">
        <v>1072</v>
      </c>
    </row>
    <row r="100" spans="1:2">
      <c r="A100" t="s">
        <v>448</v>
      </c>
      <c r="B100" t="s">
        <v>1072</v>
      </c>
    </row>
    <row r="101" spans="1:2">
      <c r="A101" t="s">
        <v>320</v>
      </c>
      <c r="B101" t="s">
        <v>1072</v>
      </c>
    </row>
    <row r="102" spans="1:2">
      <c r="A102" t="s">
        <v>152</v>
      </c>
      <c r="B102" t="s">
        <v>1072</v>
      </c>
    </row>
    <row r="103" spans="1:2">
      <c r="A103" t="s">
        <v>306</v>
      </c>
      <c r="B103" t="s">
        <v>1072</v>
      </c>
    </row>
    <row r="104" spans="1:2">
      <c r="A104" t="s">
        <v>158</v>
      </c>
      <c r="B104" t="s">
        <v>1072</v>
      </c>
    </row>
    <row r="105" spans="1:2">
      <c r="A105" t="s">
        <v>390</v>
      </c>
      <c r="B105" t="s">
        <v>1072</v>
      </c>
    </row>
    <row r="106" spans="1:2">
      <c r="A106" t="s">
        <v>388</v>
      </c>
      <c r="B106" t="s">
        <v>1072</v>
      </c>
    </row>
    <row r="107" spans="1:2">
      <c r="A107" t="s">
        <v>236</v>
      </c>
      <c r="B107" t="s">
        <v>1072</v>
      </c>
    </row>
    <row r="108" spans="1:2">
      <c r="A108" t="s">
        <v>244</v>
      </c>
      <c r="B108" t="s">
        <v>1072</v>
      </c>
    </row>
    <row r="109" spans="1:2">
      <c r="A109" t="s">
        <v>344</v>
      </c>
      <c r="B109" t="s">
        <v>1072</v>
      </c>
    </row>
    <row r="110" spans="1:2">
      <c r="A110" t="s">
        <v>1188</v>
      </c>
      <c r="B110" t="s">
        <v>1072</v>
      </c>
    </row>
    <row r="111" spans="1:2">
      <c r="A111" t="s">
        <v>368</v>
      </c>
      <c r="B111" t="s">
        <v>1072</v>
      </c>
    </row>
    <row r="112" spans="1:2">
      <c r="A112" t="s">
        <v>260</v>
      </c>
      <c r="B112" t="s">
        <v>1072</v>
      </c>
    </row>
    <row r="113" spans="1:2">
      <c r="A113" t="s">
        <v>478</v>
      </c>
      <c r="B113" t="s">
        <v>1072</v>
      </c>
    </row>
    <row r="114" spans="1:2">
      <c r="A114" t="s">
        <v>84</v>
      </c>
      <c r="B114" t="s">
        <v>1072</v>
      </c>
    </row>
    <row r="115" spans="1:2">
      <c r="A115" t="s">
        <v>396</v>
      </c>
      <c r="B115" t="s">
        <v>1072</v>
      </c>
    </row>
    <row r="116" spans="1:2">
      <c r="A116" t="s">
        <v>374</v>
      </c>
      <c r="B116" t="s">
        <v>1072</v>
      </c>
    </row>
    <row r="117" spans="1:2">
      <c r="A117" t="s">
        <v>198</v>
      </c>
      <c r="B117" t="s">
        <v>1072</v>
      </c>
    </row>
    <row r="118" spans="1:2">
      <c r="A118" t="s">
        <v>196</v>
      </c>
      <c r="B118" t="s">
        <v>1072</v>
      </c>
    </row>
    <row r="119" spans="1:2">
      <c r="A119" t="s">
        <v>1189</v>
      </c>
      <c r="B119" t="s">
        <v>1072</v>
      </c>
    </row>
    <row r="120" spans="1:2">
      <c r="A120" t="s">
        <v>414</v>
      </c>
      <c r="B120" t="s">
        <v>1072</v>
      </c>
    </row>
    <row r="121" spans="1:2">
      <c r="A121" t="s">
        <v>250</v>
      </c>
      <c r="B121" t="s">
        <v>1072</v>
      </c>
    </row>
    <row r="122" spans="1:2">
      <c r="A122" t="s">
        <v>206</v>
      </c>
      <c r="B122" t="s">
        <v>1072</v>
      </c>
    </row>
    <row r="123" spans="1:2">
      <c r="A123" t="s">
        <v>1190</v>
      </c>
      <c r="B123" t="s">
        <v>1072</v>
      </c>
    </row>
    <row r="124" spans="1:2">
      <c r="A124" t="s">
        <v>128</v>
      </c>
      <c r="B124" t="s">
        <v>1072</v>
      </c>
    </row>
    <row r="125" spans="1:2">
      <c r="A125" t="s">
        <v>278</v>
      </c>
      <c r="B125" t="s">
        <v>1072</v>
      </c>
    </row>
    <row r="126" spans="1:2">
      <c r="A126" t="s">
        <v>116</v>
      </c>
      <c r="B126" t="s">
        <v>1072</v>
      </c>
    </row>
    <row r="127" spans="1:2">
      <c r="A127" t="s">
        <v>144</v>
      </c>
      <c r="B127" t="s">
        <v>1072</v>
      </c>
    </row>
    <row r="128" spans="1:2">
      <c r="A128" t="s">
        <v>316</v>
      </c>
      <c r="B128" t="s">
        <v>1072</v>
      </c>
    </row>
    <row r="129" spans="1:2">
      <c r="A129" t="s">
        <v>146</v>
      </c>
      <c r="B129" t="s">
        <v>1072</v>
      </c>
    </row>
    <row r="130" spans="1:2">
      <c r="A130" t="s">
        <v>288</v>
      </c>
      <c r="B130" t="s">
        <v>1072</v>
      </c>
    </row>
    <row r="131" spans="1:2">
      <c r="A131" t="s">
        <v>302</v>
      </c>
      <c r="B131" t="s">
        <v>1072</v>
      </c>
    </row>
    <row r="132" spans="1:2">
      <c r="A132" t="s">
        <v>256</v>
      </c>
      <c r="B132" t="s">
        <v>1072</v>
      </c>
    </row>
    <row r="133" spans="1:2">
      <c r="A133" t="s">
        <v>200</v>
      </c>
      <c r="B133" t="s">
        <v>1072</v>
      </c>
    </row>
    <row r="134" spans="1:2">
      <c r="A134" t="s">
        <v>242</v>
      </c>
      <c r="B134" t="s">
        <v>1072</v>
      </c>
    </row>
    <row r="135" spans="1:2">
      <c r="A135" t="s">
        <v>108</v>
      </c>
      <c r="B135" t="s">
        <v>1072</v>
      </c>
    </row>
    <row r="136" spans="1:2">
      <c r="A136" t="s">
        <v>100</v>
      </c>
      <c r="B136" t="s">
        <v>1072</v>
      </c>
    </row>
    <row r="137" spans="1:2">
      <c r="A137" t="s">
        <v>408</v>
      </c>
      <c r="B137" t="s">
        <v>1072</v>
      </c>
    </row>
    <row r="138" spans="1:2">
      <c r="A138" t="s">
        <v>348</v>
      </c>
      <c r="B138" t="s">
        <v>1072</v>
      </c>
    </row>
    <row r="139" spans="1:2">
      <c r="A139" t="s">
        <v>300</v>
      </c>
      <c r="B139" t="s">
        <v>1072</v>
      </c>
    </row>
    <row r="140" spans="1:2">
      <c r="A140" t="s">
        <v>470</v>
      </c>
      <c r="B140" t="s">
        <v>1072</v>
      </c>
    </row>
    <row r="141" spans="1:2">
      <c r="A141" t="s">
        <v>352</v>
      </c>
      <c r="B141" t="s">
        <v>1072</v>
      </c>
    </row>
    <row r="142" spans="1:2">
      <c r="A142" t="s">
        <v>140</v>
      </c>
      <c r="B142" t="s">
        <v>1072</v>
      </c>
    </row>
    <row r="143" spans="1:2">
      <c r="A143" t="s">
        <v>1191</v>
      </c>
      <c r="B143" t="s">
        <v>1072</v>
      </c>
    </row>
    <row r="144" spans="1:2">
      <c r="A144" t="s">
        <v>218</v>
      </c>
      <c r="B144" t="s">
        <v>1072</v>
      </c>
    </row>
    <row r="145" spans="1:2">
      <c r="A145" t="s">
        <v>136</v>
      </c>
      <c r="B145" t="s">
        <v>1072</v>
      </c>
    </row>
    <row r="146" spans="1:2">
      <c r="A146" t="s">
        <v>342</v>
      </c>
      <c r="B146" t="s">
        <v>1072</v>
      </c>
    </row>
    <row r="147" spans="1:2">
      <c r="A147" t="s">
        <v>410</v>
      </c>
      <c r="B147" t="s">
        <v>1072</v>
      </c>
    </row>
    <row r="148" spans="1:2">
      <c r="A148" t="s">
        <v>94</v>
      </c>
      <c r="B148" t="s">
        <v>1072</v>
      </c>
    </row>
    <row r="149" spans="1:2">
      <c r="A149" t="s">
        <v>340</v>
      </c>
      <c r="B149" t="s">
        <v>1072</v>
      </c>
    </row>
    <row r="150" spans="1:2">
      <c r="A150" t="s">
        <v>192</v>
      </c>
      <c r="B150" t="s">
        <v>1072</v>
      </c>
    </row>
    <row r="151" spans="1:2">
      <c r="A151" t="s">
        <v>162</v>
      </c>
      <c r="B151" t="s">
        <v>1072</v>
      </c>
    </row>
    <row r="152" spans="1:2">
      <c r="A152" t="s">
        <v>424</v>
      </c>
      <c r="B152" t="s">
        <v>1072</v>
      </c>
    </row>
    <row r="153" spans="1:2">
      <c r="A153" t="s">
        <v>438</v>
      </c>
      <c r="B153" t="s">
        <v>1072</v>
      </c>
    </row>
    <row r="154" spans="1:2">
      <c r="A154" t="s">
        <v>464</v>
      </c>
      <c r="B154" t="s">
        <v>1072</v>
      </c>
    </row>
    <row r="155" spans="1:2">
      <c r="A155" t="s">
        <v>224</v>
      </c>
      <c r="B155" t="s">
        <v>1072</v>
      </c>
    </row>
    <row r="156" spans="1:2">
      <c r="A156" t="s">
        <v>234</v>
      </c>
      <c r="B156" t="s">
        <v>1072</v>
      </c>
    </row>
    <row r="157" spans="1:2">
      <c r="A157" t="s">
        <v>1192</v>
      </c>
      <c r="B157" t="s">
        <v>1072</v>
      </c>
    </row>
    <row r="158" spans="1:2">
      <c r="A158" t="s">
        <v>208</v>
      </c>
      <c r="B158" t="s">
        <v>1072</v>
      </c>
    </row>
    <row r="159" spans="1:2">
      <c r="A159" t="s">
        <v>20</v>
      </c>
      <c r="B159" t="s">
        <v>1072</v>
      </c>
    </row>
    <row r="160" spans="1:2">
      <c r="A160" t="s">
        <v>220</v>
      </c>
      <c r="B160" t="s">
        <v>1072</v>
      </c>
    </row>
    <row r="161" spans="1:2">
      <c r="A161" t="s">
        <v>332</v>
      </c>
      <c r="B161" t="s">
        <v>1072</v>
      </c>
    </row>
    <row r="162" spans="1:2">
      <c r="A162" t="s">
        <v>420</v>
      </c>
      <c r="B162" t="s">
        <v>1072</v>
      </c>
    </row>
    <row r="163" spans="1:2">
      <c r="A163" t="s">
        <v>32</v>
      </c>
      <c r="B163" t="s">
        <v>1072</v>
      </c>
    </row>
    <row r="164" spans="1:2">
      <c r="A164" t="s">
        <v>226</v>
      </c>
      <c r="B164" t="s">
        <v>1072</v>
      </c>
    </row>
    <row r="165" spans="1:2">
      <c r="A165" t="s">
        <v>366</v>
      </c>
      <c r="B165" t="s">
        <v>1072</v>
      </c>
    </row>
    <row r="166" spans="1:2">
      <c r="A166" t="s">
        <v>364</v>
      </c>
      <c r="B166" t="s">
        <v>1072</v>
      </c>
    </row>
    <row r="167" spans="1:2">
      <c r="A167" t="s">
        <v>372</v>
      </c>
      <c r="B167" t="s">
        <v>1072</v>
      </c>
    </row>
    <row r="168" spans="1:2">
      <c r="A168" t="s">
        <v>336</v>
      </c>
      <c r="B168" t="s">
        <v>1072</v>
      </c>
    </row>
    <row r="169" spans="1:2">
      <c r="A169" t="s">
        <v>174</v>
      </c>
      <c r="B169" t="s">
        <v>1072</v>
      </c>
    </row>
    <row r="170" spans="1:2">
      <c r="A170" t="s">
        <v>60</v>
      </c>
      <c r="B170" t="s">
        <v>1072</v>
      </c>
    </row>
    <row r="171" spans="1:2">
      <c r="A171" t="s">
        <v>444</v>
      </c>
      <c r="B171" t="s">
        <v>1072</v>
      </c>
    </row>
    <row r="172" spans="1:2">
      <c r="A172" t="s">
        <v>482</v>
      </c>
      <c r="B172" t="s">
        <v>1072</v>
      </c>
    </row>
    <row r="173" spans="1:2">
      <c r="A173" t="s">
        <v>160</v>
      </c>
      <c r="B173" t="s">
        <v>1072</v>
      </c>
    </row>
    <row r="174" spans="1:2">
      <c r="A174" t="s">
        <v>132</v>
      </c>
      <c r="B174" t="s">
        <v>1072</v>
      </c>
    </row>
    <row r="175" spans="1:2">
      <c r="A175" t="s">
        <v>254</v>
      </c>
      <c r="B175" t="s">
        <v>1072</v>
      </c>
    </row>
    <row r="176" spans="1:2">
      <c r="A176" t="s">
        <v>428</v>
      </c>
      <c r="B176" t="s">
        <v>1072</v>
      </c>
    </row>
    <row r="177" spans="1:2">
      <c r="A177" t="s">
        <v>406</v>
      </c>
      <c r="B177" t="s">
        <v>1072</v>
      </c>
    </row>
    <row r="178" spans="1:2">
      <c r="A178" t="s">
        <v>252</v>
      </c>
      <c r="B178" t="s">
        <v>1072</v>
      </c>
    </row>
    <row r="179" spans="1:2">
      <c r="A179" t="s">
        <v>384</v>
      </c>
      <c r="B179" t="s">
        <v>1072</v>
      </c>
    </row>
    <row r="180" spans="1:2">
      <c r="A180" t="s">
        <v>328</v>
      </c>
      <c r="B180" t="s">
        <v>1072</v>
      </c>
    </row>
    <row r="181" spans="1:2">
      <c r="A181" t="s">
        <v>56</v>
      </c>
      <c r="B181" t="s">
        <v>1072</v>
      </c>
    </row>
    <row r="182" spans="1:2">
      <c r="A182" t="s">
        <v>176</v>
      </c>
      <c r="B182" t="s">
        <v>1072</v>
      </c>
    </row>
    <row r="183" spans="1:2">
      <c r="A183" t="s">
        <v>380</v>
      </c>
      <c r="B183" t="s">
        <v>1072</v>
      </c>
    </row>
    <row r="184" spans="1:2">
      <c r="A184" t="s">
        <v>142</v>
      </c>
      <c r="B184" t="s">
        <v>1072</v>
      </c>
    </row>
    <row r="185" spans="1:2">
      <c r="A185" t="s">
        <v>326</v>
      </c>
      <c r="B185" t="s">
        <v>1072</v>
      </c>
    </row>
    <row r="186" spans="1:2">
      <c r="A186" t="s">
        <v>34</v>
      </c>
      <c r="B186" t="s">
        <v>1072</v>
      </c>
    </row>
    <row r="187" spans="1:2">
      <c r="A187" t="s">
        <v>454</v>
      </c>
      <c r="B187" t="s">
        <v>1072</v>
      </c>
    </row>
    <row r="188" spans="1:2">
      <c r="A188" t="s">
        <v>426</v>
      </c>
      <c r="B188" t="s">
        <v>1072</v>
      </c>
    </row>
    <row r="189" spans="1:2">
      <c r="A189" t="s">
        <v>118</v>
      </c>
      <c r="B189" t="s">
        <v>1072</v>
      </c>
    </row>
    <row r="190" spans="1:2">
      <c r="A190" t="s">
        <v>134</v>
      </c>
      <c r="B190" t="s">
        <v>1072</v>
      </c>
    </row>
    <row r="191" spans="1:2">
      <c r="A191" t="s">
        <v>282</v>
      </c>
      <c r="B191" t="s">
        <v>1072</v>
      </c>
    </row>
    <row r="192" spans="1:2">
      <c r="A192" t="s">
        <v>202</v>
      </c>
      <c r="B192" t="s">
        <v>1072</v>
      </c>
    </row>
    <row r="193" spans="1:2">
      <c r="A193" t="s">
        <v>172</v>
      </c>
      <c r="B193" t="s">
        <v>1072</v>
      </c>
    </row>
    <row r="194" spans="1:2">
      <c r="A194" t="s">
        <v>70</v>
      </c>
      <c r="B194" t="s">
        <v>1072</v>
      </c>
    </row>
    <row r="195" spans="1:2">
      <c r="A195" t="s">
        <v>30</v>
      </c>
      <c r="B195" t="s">
        <v>1072</v>
      </c>
    </row>
    <row r="196" spans="1:2">
      <c r="A196" t="s">
        <v>122</v>
      </c>
      <c r="B196" t="s">
        <v>1072</v>
      </c>
    </row>
    <row r="197" spans="1:2">
      <c r="A197" t="s">
        <v>412</v>
      </c>
      <c r="B197" t="s">
        <v>1072</v>
      </c>
    </row>
    <row r="198" spans="1:2">
      <c r="A198" t="s">
        <v>458</v>
      </c>
      <c r="B198" t="s">
        <v>1072</v>
      </c>
    </row>
    <row r="199" spans="1:2">
      <c r="A199" t="s">
        <v>228</v>
      </c>
      <c r="B199" t="s">
        <v>1072</v>
      </c>
    </row>
    <row r="200" spans="1:2">
      <c r="A200" t="s">
        <v>138</v>
      </c>
      <c r="B200" t="s">
        <v>1072</v>
      </c>
    </row>
    <row r="201" spans="1:2">
      <c r="A201" t="s">
        <v>484</v>
      </c>
      <c r="B201" t="s">
        <v>1072</v>
      </c>
    </row>
    <row r="202" spans="1:2">
      <c r="A202" t="s">
        <v>28</v>
      </c>
      <c r="B202" t="s">
        <v>1072</v>
      </c>
    </row>
    <row r="203" spans="1:2">
      <c r="A203" t="s">
        <v>104</v>
      </c>
      <c r="B203" t="s">
        <v>1072</v>
      </c>
    </row>
    <row r="204" spans="1:2">
      <c r="A204" t="s">
        <v>1193</v>
      </c>
      <c r="B204" t="s">
        <v>1072</v>
      </c>
    </row>
    <row r="205" spans="1:2">
      <c r="A205" t="s">
        <v>156</v>
      </c>
      <c r="B205" t="s">
        <v>1072</v>
      </c>
    </row>
    <row r="206" spans="1:2">
      <c r="A206" t="s">
        <v>476</v>
      </c>
      <c r="B206" t="s">
        <v>1072</v>
      </c>
    </row>
    <row r="207" spans="1:2">
      <c r="A207" t="s">
        <v>614</v>
      </c>
      <c r="B207" t="s">
        <v>1073</v>
      </c>
    </row>
    <row r="208" spans="1:2">
      <c r="A208" t="s">
        <v>755</v>
      </c>
      <c r="B208" t="s">
        <v>1073</v>
      </c>
    </row>
    <row r="209" spans="1:2">
      <c r="A209" t="s">
        <v>531</v>
      </c>
      <c r="B209" t="s">
        <v>1073</v>
      </c>
    </row>
    <row r="210" spans="1:2">
      <c r="A210" t="s">
        <v>761</v>
      </c>
      <c r="B210" t="s">
        <v>1073</v>
      </c>
    </row>
    <row r="211" spans="1:2">
      <c r="A211" s="5" t="s">
        <v>540</v>
      </c>
      <c r="B211" t="s">
        <v>1073</v>
      </c>
    </row>
    <row r="212" spans="1:2">
      <c r="A212" t="s">
        <v>544</v>
      </c>
      <c r="B212" t="s">
        <v>1073</v>
      </c>
    </row>
    <row r="213" spans="1:2">
      <c r="A213" t="s">
        <v>504</v>
      </c>
      <c r="B213" t="s">
        <v>1073</v>
      </c>
    </row>
    <row r="214" spans="1:2">
      <c r="A214" t="s">
        <v>516</v>
      </c>
      <c r="B214" t="s">
        <v>1073</v>
      </c>
    </row>
    <row r="215" spans="1:2">
      <c r="A215" t="s">
        <v>800</v>
      </c>
      <c r="B215" t="s">
        <v>1073</v>
      </c>
    </row>
    <row r="216" spans="1:2">
      <c r="A216" t="s">
        <v>559</v>
      </c>
      <c r="B216" t="s">
        <v>1073</v>
      </c>
    </row>
    <row r="217" spans="1:2">
      <c r="A217" t="s">
        <v>690</v>
      </c>
      <c r="B217" t="s">
        <v>1073</v>
      </c>
    </row>
    <row r="218" spans="1:2">
      <c r="A218" t="s">
        <v>804</v>
      </c>
      <c r="B218" t="s">
        <v>1073</v>
      </c>
    </row>
    <row r="219" spans="1:2">
      <c r="A219" t="s">
        <v>579</v>
      </c>
      <c r="B219" t="s">
        <v>1073</v>
      </c>
    </row>
    <row r="220" spans="1:2">
      <c r="A220" t="s">
        <v>600</v>
      </c>
      <c r="B220" t="s">
        <v>1073</v>
      </c>
    </row>
    <row r="221" spans="1:2">
      <c r="A221" t="s">
        <v>682</v>
      </c>
      <c r="B221" t="s">
        <v>1073</v>
      </c>
    </row>
    <row r="222" spans="1:2">
      <c r="A222" t="s">
        <v>536</v>
      </c>
      <c r="B222" t="s">
        <v>1073</v>
      </c>
    </row>
    <row r="223" spans="1:2">
      <c r="A223" t="s">
        <v>779</v>
      </c>
      <c r="B223" t="s">
        <v>1073</v>
      </c>
    </row>
    <row r="224" spans="1:2">
      <c r="A224" t="s">
        <v>1194</v>
      </c>
      <c r="B224" t="s">
        <v>1073</v>
      </c>
    </row>
    <row r="225" spans="1:2">
      <c r="A225" t="s">
        <v>1195</v>
      </c>
      <c r="B225" t="s">
        <v>1073</v>
      </c>
    </row>
    <row r="226" spans="1:2">
      <c r="A226" t="s">
        <v>563</v>
      </c>
      <c r="B226" t="s">
        <v>1073</v>
      </c>
    </row>
    <row r="227" spans="1:2">
      <c r="A227" t="s">
        <v>684</v>
      </c>
      <c r="B227" t="s">
        <v>1073</v>
      </c>
    </row>
    <row r="228" spans="1:2">
      <c r="A228" t="s">
        <v>498</v>
      </c>
      <c r="B228" t="s">
        <v>1073</v>
      </c>
    </row>
    <row r="229" spans="1:2">
      <c r="A229" t="s">
        <v>698</v>
      </c>
      <c r="B229" t="s">
        <v>1073</v>
      </c>
    </row>
    <row r="230" spans="1:2">
      <c r="A230" t="s">
        <v>781</v>
      </c>
      <c r="B230" t="s">
        <v>1073</v>
      </c>
    </row>
    <row r="231" spans="1:2">
      <c r="A231" t="s">
        <v>773</v>
      </c>
      <c r="B231" t="s">
        <v>1073</v>
      </c>
    </row>
    <row r="232" spans="1:2">
      <c r="A232" t="s">
        <v>591</v>
      </c>
      <c r="B232" t="s">
        <v>1073</v>
      </c>
    </row>
    <row r="233" spans="1:2">
      <c r="A233" t="s">
        <v>718</v>
      </c>
      <c r="B233" t="s">
        <v>1073</v>
      </c>
    </row>
    <row r="234" spans="1:2">
      <c r="A234" t="s">
        <v>512</v>
      </c>
      <c r="B234" t="s">
        <v>1073</v>
      </c>
    </row>
    <row r="235" spans="1:2">
      <c r="A235" t="s">
        <v>734</v>
      </c>
      <c r="B235" t="s">
        <v>1073</v>
      </c>
    </row>
    <row r="236" spans="1:2">
      <c r="A236" t="s">
        <v>796</v>
      </c>
      <c r="B236" t="s">
        <v>1073</v>
      </c>
    </row>
    <row r="237" spans="1:2">
      <c r="A237" t="s">
        <v>712</v>
      </c>
      <c r="B237" t="s">
        <v>1073</v>
      </c>
    </row>
    <row r="238" spans="1:2">
      <c r="A238" t="s">
        <v>775</v>
      </c>
      <c r="B238" t="s">
        <v>1073</v>
      </c>
    </row>
    <row r="239" spans="1:2">
      <c r="A239" t="s">
        <v>1196</v>
      </c>
      <c r="B239" t="s">
        <v>1073</v>
      </c>
    </row>
    <row r="240" spans="1:2">
      <c r="A240" t="s">
        <v>696</v>
      </c>
      <c r="B240" t="s">
        <v>1073</v>
      </c>
    </row>
    <row r="241" spans="1:2">
      <c r="A241" t="s">
        <v>617</v>
      </c>
      <c r="B241" t="s">
        <v>1073</v>
      </c>
    </row>
    <row r="242" spans="1:2">
      <c r="A242" t="s">
        <v>585</v>
      </c>
      <c r="B242" t="s">
        <v>1073</v>
      </c>
    </row>
    <row r="243" spans="1:2">
      <c r="A243" t="s">
        <v>706</v>
      </c>
      <c r="B243" t="s">
        <v>1073</v>
      </c>
    </row>
    <row r="244" spans="1:2">
      <c r="A244" t="s">
        <v>744</v>
      </c>
      <c r="B244" t="s">
        <v>1073</v>
      </c>
    </row>
    <row r="245" spans="1:2">
      <c r="A245" t="s">
        <v>1197</v>
      </c>
      <c r="B245" t="s">
        <v>1073</v>
      </c>
    </row>
    <row r="246" spans="1:2">
      <c r="A246" t="s">
        <v>664</v>
      </c>
      <c r="B246" t="s">
        <v>1073</v>
      </c>
    </row>
    <row r="247" spans="1:2">
      <c r="A247" t="s">
        <v>732</v>
      </c>
      <c r="B247" t="s">
        <v>1073</v>
      </c>
    </row>
    <row r="248" spans="1:2">
      <c r="A248" t="s">
        <v>680</v>
      </c>
      <c r="B248" t="s">
        <v>1073</v>
      </c>
    </row>
    <row r="249" spans="1:2">
      <c r="A249" t="s">
        <v>596</v>
      </c>
      <c r="B249" t="s">
        <v>1073</v>
      </c>
    </row>
    <row r="250" spans="1:2">
      <c r="A250" t="s">
        <v>708</v>
      </c>
      <c r="B250" t="s">
        <v>1073</v>
      </c>
    </row>
    <row r="251" spans="1:2">
      <c r="A251" t="s">
        <v>521</v>
      </c>
      <c r="B251" t="s">
        <v>1073</v>
      </c>
    </row>
    <row r="252" spans="1:2">
      <c r="A252" t="s">
        <v>602</v>
      </c>
      <c r="B252" t="s">
        <v>1073</v>
      </c>
    </row>
    <row r="253" spans="1:2">
      <c r="A253" t="s">
        <v>1198</v>
      </c>
      <c r="B253" t="s">
        <v>1073</v>
      </c>
    </row>
    <row r="254" spans="1:2">
      <c r="A254" t="s">
        <v>670</v>
      </c>
      <c r="B254" t="s">
        <v>1073</v>
      </c>
    </row>
    <row r="255" spans="1:2">
      <c r="A255" t="s">
        <v>506</v>
      </c>
      <c r="B255" t="s">
        <v>1073</v>
      </c>
    </row>
    <row r="256" spans="1:2">
      <c r="A256" t="s">
        <v>794</v>
      </c>
      <c r="B256" t="s">
        <v>1073</v>
      </c>
    </row>
    <row r="257" spans="1:2">
      <c r="A257" t="s">
        <v>746</v>
      </c>
      <c r="B257" t="s">
        <v>1073</v>
      </c>
    </row>
    <row r="258" spans="1:2">
      <c r="A258" t="s">
        <v>1199</v>
      </c>
      <c r="B258" t="s">
        <v>1073</v>
      </c>
    </row>
    <row r="259" spans="1:2">
      <c r="A259" t="s">
        <v>740</v>
      </c>
      <c r="B259" t="s">
        <v>1073</v>
      </c>
    </row>
    <row r="260" spans="1:2">
      <c r="A260" t="s">
        <v>621</v>
      </c>
      <c r="B260" t="s">
        <v>1073</v>
      </c>
    </row>
    <row r="261" spans="1:2">
      <c r="A261" t="s">
        <v>668</v>
      </c>
      <c r="B261" t="s">
        <v>1073</v>
      </c>
    </row>
    <row r="262" spans="1:2">
      <c r="A262" t="s">
        <v>1200</v>
      </c>
      <c r="B262" t="s">
        <v>1073</v>
      </c>
    </row>
    <row r="263" spans="1:2">
      <c r="A263" t="s">
        <v>787</v>
      </c>
      <c r="B263" t="s">
        <v>1073</v>
      </c>
    </row>
    <row r="264" spans="1:2">
      <c r="A264" t="s">
        <v>640</v>
      </c>
      <c r="B264" t="s">
        <v>1073</v>
      </c>
    </row>
    <row r="265" spans="1:2">
      <c r="A265" t="s">
        <v>750</v>
      </c>
      <c r="B265" t="s">
        <v>1073</v>
      </c>
    </row>
    <row r="266" spans="1:2">
      <c r="A266" t="s">
        <v>1201</v>
      </c>
      <c r="B266" t="s">
        <v>1073</v>
      </c>
    </row>
    <row r="267" spans="1:2">
      <c r="A267" t="s">
        <v>633</v>
      </c>
      <c r="B267" t="s">
        <v>1073</v>
      </c>
    </row>
    <row r="268" spans="1:2">
      <c r="A268" t="s">
        <v>627</v>
      </c>
      <c r="B268" t="s">
        <v>1073</v>
      </c>
    </row>
    <row r="269" spans="1:2">
      <c r="A269" t="s">
        <v>646</v>
      </c>
      <c r="B269" t="s">
        <v>1073</v>
      </c>
    </row>
    <row r="270" spans="1:2">
      <c r="A270" t="s">
        <v>660</v>
      </c>
      <c r="B270" t="s">
        <v>1073</v>
      </c>
    </row>
    <row r="271" spans="1:2">
      <c r="A271" t="s">
        <v>629</v>
      </c>
      <c r="B271" t="s">
        <v>1073</v>
      </c>
    </row>
    <row r="272" spans="1:2">
      <c r="A272" t="s">
        <v>619</v>
      </c>
      <c r="B272" t="s">
        <v>1073</v>
      </c>
    </row>
    <row r="273" spans="1:2">
      <c r="A273" t="s">
        <v>625</v>
      </c>
      <c r="B273" t="s">
        <v>1073</v>
      </c>
    </row>
    <row r="274" spans="1:2">
      <c r="A274" t="s">
        <v>700</v>
      </c>
      <c r="B274" t="s">
        <v>1073</v>
      </c>
    </row>
    <row r="275" spans="1:2">
      <c r="A275" t="s">
        <v>644</v>
      </c>
      <c r="B275" t="s">
        <v>1073</v>
      </c>
    </row>
    <row r="276" spans="1:2">
      <c r="A276" s="5" t="s">
        <v>606</v>
      </c>
      <c r="B276" t="s">
        <v>1073</v>
      </c>
    </row>
    <row r="277" spans="1:2">
      <c r="A277" t="s">
        <v>672</v>
      </c>
      <c r="B277" t="s">
        <v>1073</v>
      </c>
    </row>
    <row r="278" spans="1:2">
      <c r="A278" t="s">
        <v>726</v>
      </c>
      <c r="B278" t="s">
        <v>1073</v>
      </c>
    </row>
    <row r="279" spans="1:2">
      <c r="A279" t="s">
        <v>631</v>
      </c>
      <c r="B279" t="s">
        <v>1073</v>
      </c>
    </row>
    <row r="280" spans="1:2">
      <c r="A280" t="s">
        <v>771</v>
      </c>
      <c r="B280" t="s">
        <v>1073</v>
      </c>
    </row>
    <row r="281" spans="1:2">
      <c r="A281" t="s">
        <v>1202</v>
      </c>
      <c r="B281" t="s">
        <v>1073</v>
      </c>
    </row>
    <row r="282" spans="1:2">
      <c r="A282" t="s">
        <v>1203</v>
      </c>
      <c r="B282" t="s">
        <v>1073</v>
      </c>
    </row>
    <row r="283" spans="1:2">
      <c r="A283" t="s">
        <v>1204</v>
      </c>
      <c r="B283" t="s">
        <v>1073</v>
      </c>
    </row>
    <row r="284" spans="1:2">
      <c r="A284" t="s">
        <v>658</v>
      </c>
      <c r="B284" t="s">
        <v>1073</v>
      </c>
    </row>
    <row r="285" spans="1:2">
      <c r="A285" t="s">
        <v>678</v>
      </c>
      <c r="B285" t="s">
        <v>1073</v>
      </c>
    </row>
    <row r="286" spans="1:2">
      <c r="A286" t="s">
        <v>581</v>
      </c>
      <c r="B286" t="s">
        <v>1073</v>
      </c>
    </row>
    <row r="287" spans="1:2">
      <c r="A287" t="s">
        <v>792</v>
      </c>
      <c r="B287" t="s">
        <v>1073</v>
      </c>
    </row>
    <row r="288" spans="1:2">
      <c r="A288" t="s">
        <v>785</v>
      </c>
      <c r="B288" t="s">
        <v>1073</v>
      </c>
    </row>
    <row r="289" spans="1:2">
      <c r="A289" t="s">
        <v>593</v>
      </c>
      <c r="B289" t="s">
        <v>1073</v>
      </c>
    </row>
    <row r="290" spans="1:2">
      <c r="A290" t="s">
        <v>565</v>
      </c>
      <c r="B290" t="s">
        <v>1073</v>
      </c>
    </row>
    <row r="291" spans="1:2">
      <c r="A291" t="s">
        <v>694</v>
      </c>
      <c r="B291" t="s">
        <v>1073</v>
      </c>
    </row>
    <row r="292" spans="1:2">
      <c r="A292" t="s">
        <v>728</v>
      </c>
      <c r="B292" t="s">
        <v>1073</v>
      </c>
    </row>
    <row r="293" spans="1:2">
      <c r="A293" t="s">
        <v>674</v>
      </c>
      <c r="B293" t="s">
        <v>1073</v>
      </c>
    </row>
    <row r="294" spans="1:2">
      <c r="A294" t="s">
        <v>1205</v>
      </c>
      <c r="B294" t="s">
        <v>1073</v>
      </c>
    </row>
    <row r="295" spans="1:2">
      <c r="A295" t="s">
        <v>623</v>
      </c>
      <c r="B295" t="s">
        <v>1073</v>
      </c>
    </row>
    <row r="296" spans="1:2">
      <c r="A296" t="s">
        <v>1206</v>
      </c>
      <c r="B296" t="s">
        <v>1073</v>
      </c>
    </row>
    <row r="297" spans="1:2">
      <c r="A297" t="s">
        <v>635</v>
      </c>
      <c r="B297" t="s">
        <v>1073</v>
      </c>
    </row>
    <row r="298" spans="1:2">
      <c r="A298" t="s">
        <v>598</v>
      </c>
      <c r="B298" t="s">
        <v>1073</v>
      </c>
    </row>
    <row r="299" spans="1:2">
      <c r="A299" t="s">
        <v>738</v>
      </c>
      <c r="B299" t="s">
        <v>1073</v>
      </c>
    </row>
    <row r="300" spans="1:2">
      <c r="A300" t="s">
        <v>561</v>
      </c>
      <c r="B300" t="s">
        <v>1073</v>
      </c>
    </row>
    <row r="301" spans="1:2">
      <c r="A301" t="s">
        <v>610</v>
      </c>
      <c r="B301" t="s">
        <v>1073</v>
      </c>
    </row>
    <row r="302" spans="1:2">
      <c r="A302" t="s">
        <v>742</v>
      </c>
      <c r="B302" t="s">
        <v>1073</v>
      </c>
    </row>
    <row r="303" spans="1:2">
      <c r="A303" t="s">
        <v>767</v>
      </c>
      <c r="B303" t="s">
        <v>1073</v>
      </c>
    </row>
    <row r="304" spans="1:2">
      <c r="A304" t="s">
        <v>569</v>
      </c>
      <c r="B304" t="s">
        <v>1073</v>
      </c>
    </row>
    <row r="305" spans="1:2">
      <c r="A305" t="s">
        <v>1207</v>
      </c>
      <c r="B305" t="s">
        <v>1073</v>
      </c>
    </row>
    <row r="306" spans="1:2">
      <c r="A306" t="s">
        <v>547</v>
      </c>
      <c r="B306" t="s">
        <v>1073</v>
      </c>
    </row>
    <row r="307" spans="1:2">
      <c r="A307" s="5" t="s">
        <v>769</v>
      </c>
      <c r="B307" t="s">
        <v>1073</v>
      </c>
    </row>
    <row r="308" spans="1:2">
      <c r="A308" t="s">
        <v>720</v>
      </c>
      <c r="B308" t="s">
        <v>1073</v>
      </c>
    </row>
    <row r="309" spans="1:2">
      <c r="A309" t="s">
        <v>527</v>
      </c>
      <c r="B309" t="s">
        <v>1073</v>
      </c>
    </row>
    <row r="310" spans="1:2">
      <c r="A310" t="s">
        <v>688</v>
      </c>
      <c r="B310" t="s">
        <v>1073</v>
      </c>
    </row>
    <row r="311" spans="1:2">
      <c r="A311" t="s">
        <v>666</v>
      </c>
      <c r="B311" t="s">
        <v>1073</v>
      </c>
    </row>
    <row r="312" spans="1:2">
      <c r="A312" t="s">
        <v>583</v>
      </c>
      <c r="B312" t="s">
        <v>1073</v>
      </c>
    </row>
    <row r="313" spans="1:2">
      <c r="A313" t="s">
        <v>502</v>
      </c>
      <c r="B313" t="s">
        <v>1073</v>
      </c>
    </row>
    <row r="314" spans="1:2">
      <c r="A314" t="s">
        <v>508</v>
      </c>
      <c r="B314" t="s">
        <v>1073</v>
      </c>
    </row>
    <row r="315" spans="1:2">
      <c r="A315" t="s">
        <v>642</v>
      </c>
      <c r="B315" t="s">
        <v>1073</v>
      </c>
    </row>
    <row r="316" spans="1:2">
      <c r="A316" t="s">
        <v>654</v>
      </c>
      <c r="B316" t="s">
        <v>1073</v>
      </c>
    </row>
    <row r="317" spans="1:2">
      <c r="A317" t="s">
        <v>648</v>
      </c>
      <c r="B317" t="s">
        <v>1073</v>
      </c>
    </row>
    <row r="318" spans="1:2">
      <c r="A318" t="s">
        <v>716</v>
      </c>
      <c r="B318" t="s">
        <v>1073</v>
      </c>
    </row>
    <row r="319" spans="1:2">
      <c r="A319" t="s">
        <v>783</v>
      </c>
      <c r="B319" t="s">
        <v>1073</v>
      </c>
    </row>
    <row r="320" spans="1:2">
      <c r="A320" t="s">
        <v>556</v>
      </c>
      <c r="B320" t="s">
        <v>1073</v>
      </c>
    </row>
    <row r="321" spans="1:2">
      <c r="A321" t="s">
        <v>571</v>
      </c>
      <c r="B321" t="s">
        <v>1073</v>
      </c>
    </row>
    <row r="322" spans="1:2">
      <c r="A322" t="s">
        <v>714</v>
      </c>
      <c r="B322" t="s">
        <v>1073</v>
      </c>
    </row>
    <row r="323" spans="1:2">
      <c r="A323" t="s">
        <v>510</v>
      </c>
      <c r="B323" t="s">
        <v>1073</v>
      </c>
    </row>
    <row r="324" spans="1:2">
      <c r="A324" t="s">
        <v>652</v>
      </c>
      <c r="B324" t="s">
        <v>1073</v>
      </c>
    </row>
    <row r="325" spans="1:2">
      <c r="A325" t="s">
        <v>748</v>
      </c>
      <c r="B325" t="s">
        <v>1073</v>
      </c>
    </row>
    <row r="326" spans="1:2">
      <c r="A326" t="s">
        <v>587</v>
      </c>
      <c r="B326" t="s">
        <v>1073</v>
      </c>
    </row>
    <row r="327" spans="1:2">
      <c r="A327" t="s">
        <v>722</v>
      </c>
      <c r="B327" t="s">
        <v>1073</v>
      </c>
    </row>
    <row r="328" spans="1:2">
      <c r="A328" t="s">
        <v>765</v>
      </c>
      <c r="B328" t="s">
        <v>1073</v>
      </c>
    </row>
    <row r="329" spans="1:2">
      <c r="A329" t="s">
        <v>1208</v>
      </c>
      <c r="B329" t="s">
        <v>1073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S485"/>
  <sheetViews>
    <sheetView tabSelected="1" workbookViewId="0">
      <selection activeCell="C385" sqref="C385"/>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customWidth="1"/>
    <col min="7" max="8" width="1.7109375" customWidth="1"/>
    <col min="9" max="9" width="19" style="158" customWidth="1"/>
    <col min="10" max="10" width="9.7109375" customWidth="1"/>
    <col min="11" max="11" width="8.42578125" customWidth="1"/>
    <col min="12" max="12" width="13.85546875" customWidth="1"/>
    <col min="13" max="13" width="13.85546875" style="159" customWidth="1"/>
    <col min="14" max="14" width="13.85546875" customWidth="1"/>
    <col min="15" max="15" width="13.85546875" style="160" customWidth="1"/>
    <col min="17" max="19" width="0" hidden="1" customWidth="1"/>
  </cols>
  <sheetData>
    <row r="1" spans="1:19" s="2" customFormat="1" ht="10.5" customHeight="1">
      <c r="A1" s="22" t="s">
        <v>1176</v>
      </c>
      <c r="B1" s="22" t="s">
        <v>1209</v>
      </c>
      <c r="C1" s="22" t="s">
        <v>1209</v>
      </c>
      <c r="D1" s="22" t="s">
        <v>1210</v>
      </c>
      <c r="E1" s="23" t="s">
        <v>1211</v>
      </c>
      <c r="F1" s="22" t="s">
        <v>1212</v>
      </c>
      <c r="G1" s="22"/>
      <c r="H1" s="22"/>
      <c r="I1" s="156" t="s">
        <v>1213</v>
      </c>
      <c r="J1" s="22" t="s">
        <v>1214</v>
      </c>
      <c r="K1" s="22"/>
      <c r="L1" s="22" t="s">
        <v>1215</v>
      </c>
      <c r="M1" s="22" t="s">
        <v>1216</v>
      </c>
      <c r="N1" s="161" t="s">
        <v>1217</v>
      </c>
      <c r="Q1" s="2" t="s">
        <v>86</v>
      </c>
      <c r="R1" s="2">
        <v>67399</v>
      </c>
      <c r="S1" s="2">
        <v>74374.570000000007</v>
      </c>
    </row>
    <row r="2" spans="1:19" hidden="1">
      <c r="A2" t="s">
        <v>1218</v>
      </c>
      <c r="B2" t="s">
        <v>39</v>
      </c>
      <c r="C2" t="s">
        <v>40</v>
      </c>
      <c r="D2" s="19">
        <f>_xlfn.XLOOKUP(C:C,Q:Q,R:R)</f>
        <v>20605</v>
      </c>
      <c r="E2" s="19">
        <f>D2/28</f>
        <v>735.89285714285711</v>
      </c>
      <c r="F2">
        <f>_xlfn.XLOOKUP(C:C,Q:Q,S:S)</f>
        <v>19405.060000000001</v>
      </c>
      <c r="I2" s="19">
        <f>IF((D2/28)&gt;100,D2*2,D2*2)</f>
        <v>41210</v>
      </c>
      <c r="J2" t="b">
        <f>IF(F2&gt;1.2*I2,FALSE,TRUE)</f>
        <v>1</v>
      </c>
      <c r="K2" s="4">
        <f t="shared" ref="K2:K64" si="0">F2/I2-1</f>
        <v>-0.52911768988109675</v>
      </c>
      <c r="M2"/>
      <c r="O2"/>
      <c r="Q2" t="s">
        <v>76</v>
      </c>
      <c r="R2">
        <v>4822</v>
      </c>
      <c r="S2">
        <v>9600.5</v>
      </c>
    </row>
    <row r="3" spans="1:19" hidden="1">
      <c r="A3" t="s">
        <v>1218</v>
      </c>
      <c r="B3" t="s">
        <v>27</v>
      </c>
      <c r="C3" t="s">
        <v>28</v>
      </c>
      <c r="D3" s="19">
        <f>_xlfn.XLOOKUP(C:C,Q:Q,R:R)</f>
        <v>25786</v>
      </c>
      <c r="E3" s="19">
        <f t="shared" ref="E3:E64" si="1">D3/28</f>
        <v>920.92857142857144</v>
      </c>
      <c r="F3">
        <f>_xlfn.XLOOKUP(C:C,Q:Q,S:S)</f>
        <v>18542.5</v>
      </c>
      <c r="I3" s="19">
        <f>IF((D3/28)&gt;100,D3*2,D3*2)</f>
        <v>51572</v>
      </c>
      <c r="J3" t="b">
        <f>IF(F3&gt;1.2*I3,FALSE,TRUE)</f>
        <v>1</v>
      </c>
      <c r="K3" s="4">
        <f t="shared" si="0"/>
        <v>-0.64045412239199573</v>
      </c>
      <c r="M3"/>
      <c r="O3"/>
      <c r="Q3" t="s">
        <v>46</v>
      </c>
      <c r="R3">
        <v>10249</v>
      </c>
      <c r="S3">
        <v>16634</v>
      </c>
    </row>
    <row r="4" spans="1:19" hidden="1">
      <c r="A4" t="s">
        <v>1218</v>
      </c>
      <c r="B4" t="s">
        <v>483</v>
      </c>
      <c r="C4" t="s">
        <v>484</v>
      </c>
      <c r="D4" s="19">
        <f>_xlfn.XLOOKUP(C:C,Q:Q,R:R)</f>
        <v>33472</v>
      </c>
      <c r="E4" s="19">
        <f t="shared" si="1"/>
        <v>1195.4285714285713</v>
      </c>
      <c r="F4">
        <f>_xlfn.XLOOKUP(C:C,Q:Q,S:S)</f>
        <v>35816.089999999997</v>
      </c>
      <c r="I4" s="19">
        <f t="shared" ref="I4:I64" si="2">IF((D4/28)&gt;100,D4*2,D4*2)</f>
        <v>66944</v>
      </c>
      <c r="J4" t="b">
        <f t="shared" ref="J4:J64" si="3">IF(F4&gt;1.2*I4,FALSE,TRUE)</f>
        <v>1</v>
      </c>
      <c r="K4" s="4">
        <f t="shared" si="0"/>
        <v>-0.46498431524856598</v>
      </c>
      <c r="M4"/>
      <c r="O4"/>
      <c r="Q4" t="s">
        <v>22</v>
      </c>
      <c r="R4">
        <v>26241</v>
      </c>
      <c r="S4">
        <v>30072.34</v>
      </c>
    </row>
    <row r="5" spans="1:19" hidden="1">
      <c r="A5" t="s">
        <v>1219</v>
      </c>
      <c r="B5" t="s">
        <v>613</v>
      </c>
      <c r="C5" t="s">
        <v>614</v>
      </c>
      <c r="D5" s="19">
        <f>_xlfn.XLOOKUP(C:C,Q:Q,R:R)</f>
        <v>40373</v>
      </c>
      <c r="E5" s="19">
        <f t="shared" si="1"/>
        <v>1441.8928571428571</v>
      </c>
      <c r="F5">
        <f>_xlfn.XLOOKUP(C:C,Q:Q,S:S)</f>
        <v>31043.68</v>
      </c>
      <c r="I5" s="19">
        <f t="shared" si="2"/>
        <v>80746</v>
      </c>
      <c r="J5" t="b">
        <f t="shared" si="3"/>
        <v>1</v>
      </c>
      <c r="K5" s="4">
        <f t="shared" si="0"/>
        <v>-0.61553909791197081</v>
      </c>
      <c r="M5"/>
      <c r="O5"/>
      <c r="Q5" t="s">
        <v>40</v>
      </c>
      <c r="R5">
        <v>20605</v>
      </c>
      <c r="S5">
        <v>19405.060000000001</v>
      </c>
    </row>
    <row r="6" spans="1:19" hidden="1">
      <c r="A6" t="s">
        <v>1218</v>
      </c>
      <c r="B6" t="s">
        <v>29</v>
      </c>
      <c r="C6" t="s">
        <v>30</v>
      </c>
      <c r="D6" s="19">
        <f>_xlfn.XLOOKUP(C:C,Q:Q,R:R)</f>
        <v>18410</v>
      </c>
      <c r="E6" s="19">
        <f t="shared" si="1"/>
        <v>657.5</v>
      </c>
      <c r="F6">
        <f>_xlfn.XLOOKUP(C:C,Q:Q,S:S)</f>
        <v>21794.33</v>
      </c>
      <c r="I6" s="19">
        <f t="shared" si="2"/>
        <v>36820</v>
      </c>
      <c r="J6" t="b">
        <f t="shared" si="3"/>
        <v>1</v>
      </c>
      <c r="K6" s="4">
        <f t="shared" si="0"/>
        <v>-0.40808446496469308</v>
      </c>
      <c r="M6"/>
      <c r="O6"/>
      <c r="Q6" t="s">
        <v>32</v>
      </c>
      <c r="R6">
        <v>6929</v>
      </c>
      <c r="S6">
        <v>10453.85</v>
      </c>
    </row>
    <row r="7" spans="1:19" hidden="1">
      <c r="A7" t="s">
        <v>1220</v>
      </c>
      <c r="B7" t="s">
        <v>894</v>
      </c>
      <c r="C7" t="s">
        <v>895</v>
      </c>
      <c r="D7" s="19">
        <f>_xlfn.XLOOKUP(C:C,Q:Q,R:R)</f>
        <v>7031</v>
      </c>
      <c r="E7" s="19">
        <f t="shared" si="1"/>
        <v>251.10714285714286</v>
      </c>
      <c r="F7">
        <f>_xlfn.XLOOKUP(C:C,Q:Q,S:S)</f>
        <v>6062.04</v>
      </c>
      <c r="I7" s="19">
        <f t="shared" si="2"/>
        <v>14062</v>
      </c>
      <c r="J7" t="b">
        <f t="shared" si="3"/>
        <v>1</v>
      </c>
      <c r="K7" s="4">
        <f t="shared" si="0"/>
        <v>-0.56890627222301238</v>
      </c>
      <c r="M7"/>
      <c r="O7"/>
      <c r="Q7" t="s">
        <v>26</v>
      </c>
      <c r="R7">
        <v>2129</v>
      </c>
      <c r="S7">
        <v>3078.97</v>
      </c>
    </row>
    <row r="8" spans="1:19" hidden="1">
      <c r="A8" t="s">
        <v>1219</v>
      </c>
      <c r="B8" t="s">
        <v>497</v>
      </c>
      <c r="C8" t="s">
        <v>498</v>
      </c>
      <c r="D8" s="19">
        <f>_xlfn.XLOOKUP(C:C,Q:Q,R:R)</f>
        <v>10278</v>
      </c>
      <c r="E8" s="19">
        <f t="shared" si="1"/>
        <v>367.07142857142856</v>
      </c>
      <c r="F8">
        <f>_xlfn.XLOOKUP(C:C,Q:Q,S:S)</f>
        <v>8437.92</v>
      </c>
      <c r="I8" s="19">
        <f t="shared" si="2"/>
        <v>20556</v>
      </c>
      <c r="J8" t="b">
        <f t="shared" si="3"/>
        <v>1</v>
      </c>
      <c r="K8" s="4">
        <f t="shared" si="0"/>
        <v>-0.58951546993578519</v>
      </c>
      <c r="M8"/>
      <c r="O8"/>
      <c r="Q8" t="s">
        <v>36</v>
      </c>
      <c r="R8">
        <v>11862</v>
      </c>
      <c r="S8">
        <v>7272.85</v>
      </c>
    </row>
    <row r="9" spans="1:19" hidden="1">
      <c r="A9" t="s">
        <v>1220</v>
      </c>
      <c r="B9" t="s">
        <v>833</v>
      </c>
      <c r="C9" t="s">
        <v>834</v>
      </c>
      <c r="D9" s="19">
        <f>_xlfn.XLOOKUP(C:C,Q:Q,R:R)</f>
        <v>10863</v>
      </c>
      <c r="E9" s="19">
        <f t="shared" si="1"/>
        <v>387.96428571428572</v>
      </c>
      <c r="F9">
        <f>_xlfn.XLOOKUP(C:C,Q:Q,S:S)</f>
        <v>10572.08</v>
      </c>
      <c r="I9" s="19">
        <f t="shared" si="2"/>
        <v>21726</v>
      </c>
      <c r="J9" t="b">
        <f t="shared" si="3"/>
        <v>1</v>
      </c>
      <c r="K9" s="4">
        <f t="shared" si="0"/>
        <v>-0.51339040780631495</v>
      </c>
      <c r="M9"/>
      <c r="O9"/>
      <c r="Q9" t="s">
        <v>58</v>
      </c>
      <c r="R9">
        <v>4129</v>
      </c>
      <c r="S9">
        <v>7431.5</v>
      </c>
    </row>
    <row r="10" spans="1:19" hidden="1">
      <c r="A10" t="s">
        <v>1218</v>
      </c>
      <c r="B10" t="s">
        <v>45</v>
      </c>
      <c r="C10" t="s">
        <v>46</v>
      </c>
      <c r="D10" s="19">
        <f>_xlfn.XLOOKUP(C:C,Q:Q,R:R)</f>
        <v>10249</v>
      </c>
      <c r="E10" s="19">
        <f t="shared" si="1"/>
        <v>366.03571428571428</v>
      </c>
      <c r="F10">
        <f>_xlfn.XLOOKUP(C:C,Q:Q,S:S)</f>
        <v>16634</v>
      </c>
      <c r="I10" s="19">
        <f t="shared" si="2"/>
        <v>20498</v>
      </c>
      <c r="J10" t="b">
        <f t="shared" si="3"/>
        <v>1</v>
      </c>
      <c r="K10" s="4">
        <f t="shared" si="0"/>
        <v>-0.18850619572641236</v>
      </c>
      <c r="M10"/>
      <c r="O10"/>
      <c r="Q10" t="s">
        <v>28</v>
      </c>
      <c r="R10">
        <v>25786</v>
      </c>
      <c r="S10">
        <v>18542.5</v>
      </c>
    </row>
    <row r="11" spans="1:19" hidden="1">
      <c r="A11" t="s">
        <v>1218</v>
      </c>
      <c r="B11" t="s">
        <v>137</v>
      </c>
      <c r="C11" t="s">
        <v>138</v>
      </c>
      <c r="D11" s="19">
        <f>_xlfn.XLOOKUP(C:C,Q:Q,R:R)</f>
        <v>2067</v>
      </c>
      <c r="E11" s="19">
        <f t="shared" si="1"/>
        <v>73.821428571428569</v>
      </c>
      <c r="F11">
        <f>_xlfn.XLOOKUP(C:C,Q:Q,S:S)</f>
        <v>1152.29</v>
      </c>
      <c r="I11" s="19">
        <f t="shared" si="2"/>
        <v>4134</v>
      </c>
      <c r="J11" t="b">
        <f t="shared" si="3"/>
        <v>1</v>
      </c>
      <c r="K11" s="4">
        <f t="shared" si="0"/>
        <v>-0.72126511852926956</v>
      </c>
      <c r="M11"/>
      <c r="O11"/>
      <c r="Q11" t="s">
        <v>44</v>
      </c>
      <c r="R11">
        <v>4818</v>
      </c>
      <c r="S11">
        <v>8527.9500000000007</v>
      </c>
    </row>
    <row r="12" spans="1:19" hidden="1">
      <c r="A12" t="s">
        <v>1220</v>
      </c>
      <c r="B12" t="s">
        <v>830</v>
      </c>
      <c r="C12" t="s">
        <v>831</v>
      </c>
      <c r="D12" s="19">
        <f>_xlfn.XLOOKUP(C:C,Q:Q,R:R)</f>
        <v>4871</v>
      </c>
      <c r="E12" s="19">
        <f t="shared" si="1"/>
        <v>173.96428571428572</v>
      </c>
      <c r="F12">
        <f>_xlfn.XLOOKUP(C:C,Q:Q,S:S)</f>
        <v>8603.15</v>
      </c>
      <c r="I12" s="19">
        <f t="shared" si="2"/>
        <v>9742</v>
      </c>
      <c r="J12" t="b">
        <f t="shared" si="3"/>
        <v>1</v>
      </c>
      <c r="K12" s="4">
        <f t="shared" si="0"/>
        <v>-0.11690104701293369</v>
      </c>
      <c r="M12"/>
      <c r="O12"/>
      <c r="Q12" t="s">
        <v>160</v>
      </c>
      <c r="R12">
        <v>3732</v>
      </c>
      <c r="S12">
        <v>7397.98</v>
      </c>
    </row>
    <row r="13" spans="1:19" hidden="1">
      <c r="A13" t="s">
        <v>1218</v>
      </c>
      <c r="B13" t="s">
        <v>35</v>
      </c>
      <c r="C13" t="s">
        <v>36</v>
      </c>
      <c r="D13" s="19">
        <f>_xlfn.XLOOKUP(C:C,Q:Q,R:R)</f>
        <v>11862</v>
      </c>
      <c r="E13" s="19">
        <f t="shared" si="1"/>
        <v>423.64285714285717</v>
      </c>
      <c r="F13">
        <f>_xlfn.XLOOKUP(C:C,Q:Q,S:S)</f>
        <v>7272.85</v>
      </c>
      <c r="I13" s="19">
        <f t="shared" si="2"/>
        <v>23724</v>
      </c>
      <c r="J13" t="b">
        <f t="shared" si="3"/>
        <v>1</v>
      </c>
      <c r="K13" s="4">
        <f t="shared" si="0"/>
        <v>-0.69343913336705443</v>
      </c>
      <c r="M13"/>
      <c r="O13"/>
      <c r="Q13" t="s">
        <v>24</v>
      </c>
      <c r="R13">
        <v>11641</v>
      </c>
      <c r="S13">
        <v>10505.25</v>
      </c>
    </row>
    <row r="14" spans="1:19" hidden="1">
      <c r="A14" t="s">
        <v>1218</v>
      </c>
      <c r="B14" t="s">
        <v>121</v>
      </c>
      <c r="C14" t="s">
        <v>122</v>
      </c>
      <c r="D14" s="19">
        <f>_xlfn.XLOOKUP(C:C,Q:Q,R:R)</f>
        <v>5633</v>
      </c>
      <c r="E14" s="19">
        <f t="shared" si="1"/>
        <v>201.17857142857142</v>
      </c>
      <c r="F14">
        <f>_xlfn.XLOOKUP(C:C,Q:Q,S:S)</f>
        <v>3251.64</v>
      </c>
      <c r="I14" s="19">
        <f t="shared" si="2"/>
        <v>11266</v>
      </c>
      <c r="J14" t="b">
        <f t="shared" si="3"/>
        <v>1</v>
      </c>
      <c r="K14" s="4">
        <f t="shared" si="0"/>
        <v>-0.71137582105450026</v>
      </c>
      <c r="M14"/>
      <c r="O14"/>
      <c r="Q14" t="s">
        <v>20</v>
      </c>
      <c r="R14">
        <v>7271</v>
      </c>
      <c r="S14">
        <v>8084.91</v>
      </c>
    </row>
    <row r="15" spans="1:19" hidden="1">
      <c r="A15" t="s">
        <v>1220</v>
      </c>
      <c r="B15" t="s">
        <v>980</v>
      </c>
      <c r="C15" t="s">
        <v>981</v>
      </c>
      <c r="D15" s="19">
        <f>_xlfn.XLOOKUP(C:C,Q:Q,R:R)</f>
        <v>1946</v>
      </c>
      <c r="E15" s="19">
        <f t="shared" si="1"/>
        <v>69.5</v>
      </c>
      <c r="F15">
        <f>_xlfn.XLOOKUP(C:C,Q:Q,S:S)</f>
        <v>2591</v>
      </c>
      <c r="I15" s="19">
        <f t="shared" si="2"/>
        <v>3892</v>
      </c>
      <c r="J15" t="b">
        <f t="shared" si="3"/>
        <v>1</v>
      </c>
      <c r="K15" s="4">
        <f t="shared" si="0"/>
        <v>-0.33427543679342242</v>
      </c>
      <c r="M15"/>
      <c r="O15"/>
      <c r="Q15" t="s">
        <v>56</v>
      </c>
      <c r="R15">
        <v>4069</v>
      </c>
      <c r="S15">
        <v>7312.03</v>
      </c>
    </row>
    <row r="16" spans="1:19" hidden="1">
      <c r="A16" t="s">
        <v>1218</v>
      </c>
      <c r="B16" t="s">
        <v>69</v>
      </c>
      <c r="C16" t="s">
        <v>70</v>
      </c>
      <c r="D16" s="19">
        <f>_xlfn.XLOOKUP(C:C,Q:Q,R:R)</f>
        <v>5377</v>
      </c>
      <c r="E16" s="19">
        <f t="shared" si="1"/>
        <v>192.03571428571428</v>
      </c>
      <c r="F16">
        <f>_xlfn.XLOOKUP(C:C,Q:Q,S:S)</f>
        <v>8788.83</v>
      </c>
      <c r="I16" s="19">
        <f t="shared" si="2"/>
        <v>10754</v>
      </c>
      <c r="J16" t="b">
        <f t="shared" si="3"/>
        <v>1</v>
      </c>
      <c r="K16" s="4">
        <f t="shared" si="0"/>
        <v>-0.18273851590106005</v>
      </c>
      <c r="M16"/>
      <c r="O16"/>
      <c r="Q16" t="s">
        <v>34</v>
      </c>
      <c r="R16">
        <v>3689</v>
      </c>
      <c r="S16">
        <v>5998.01</v>
      </c>
    </row>
    <row r="17" spans="1:19" hidden="1">
      <c r="A17" t="s">
        <v>1219</v>
      </c>
      <c r="B17" t="s">
        <v>599</v>
      </c>
      <c r="C17" t="s">
        <v>600</v>
      </c>
      <c r="D17" s="19">
        <f>_xlfn.XLOOKUP(C:C,Q:Q,R:R)</f>
        <v>4341</v>
      </c>
      <c r="E17" s="19">
        <f t="shared" si="1"/>
        <v>155.03571428571428</v>
      </c>
      <c r="F17">
        <f>_xlfn.XLOOKUP(C:C,Q:Q,S:S)</f>
        <v>5128.26</v>
      </c>
      <c r="I17" s="19">
        <f t="shared" si="2"/>
        <v>8682</v>
      </c>
      <c r="J17" t="b">
        <f t="shared" si="3"/>
        <v>1</v>
      </c>
      <c r="K17" s="4">
        <f t="shared" si="0"/>
        <v>-0.40932273669661368</v>
      </c>
      <c r="M17"/>
      <c r="O17"/>
      <c r="Q17" t="s">
        <v>140</v>
      </c>
      <c r="R17">
        <v>1500</v>
      </c>
      <c r="S17">
        <v>3242.85</v>
      </c>
    </row>
    <row r="18" spans="1:19" hidden="1">
      <c r="A18" t="s">
        <v>1219</v>
      </c>
      <c r="B18" t="s">
        <v>653</v>
      </c>
      <c r="C18" t="s">
        <v>654</v>
      </c>
      <c r="D18" s="19">
        <f>_xlfn.XLOOKUP(C:C,Q:Q,R:R)</f>
        <v>1773</v>
      </c>
      <c r="E18" s="19">
        <f t="shared" si="1"/>
        <v>63.321428571428569</v>
      </c>
      <c r="F18">
        <f>_xlfn.XLOOKUP(C:C,Q:Q,S:S)</f>
        <v>658.97</v>
      </c>
      <c r="I18" s="19">
        <f t="shared" si="2"/>
        <v>3546</v>
      </c>
      <c r="J18" t="b">
        <f t="shared" si="3"/>
        <v>1</v>
      </c>
      <c r="K18" s="4">
        <f t="shared" si="0"/>
        <v>-0.81416525662718553</v>
      </c>
      <c r="M18"/>
      <c r="O18"/>
      <c r="Q18" t="s">
        <v>110</v>
      </c>
      <c r="R18">
        <v>2196</v>
      </c>
      <c r="S18">
        <v>4307.3100000000004</v>
      </c>
    </row>
    <row r="19" spans="1:19" hidden="1">
      <c r="A19" t="s">
        <v>1218</v>
      </c>
      <c r="B19" t="s">
        <v>105</v>
      </c>
      <c r="C19" t="s">
        <v>106</v>
      </c>
      <c r="D19" s="19">
        <f>_xlfn.XLOOKUP(C:C,Q:Q,R:R)</f>
        <v>5987</v>
      </c>
      <c r="E19" s="19">
        <f t="shared" si="1"/>
        <v>213.82142857142858</v>
      </c>
      <c r="F19">
        <f>_xlfn.XLOOKUP(C:C,Q:Q,S:S)</f>
        <v>6518.57</v>
      </c>
      <c r="I19" s="19">
        <f t="shared" si="2"/>
        <v>11974</v>
      </c>
      <c r="J19" t="b">
        <f t="shared" si="3"/>
        <v>1</v>
      </c>
      <c r="K19" s="4">
        <f t="shared" si="0"/>
        <v>-0.45560631367963922</v>
      </c>
      <c r="M19"/>
      <c r="O19"/>
      <c r="Q19" t="s">
        <v>128</v>
      </c>
      <c r="R19">
        <v>1326</v>
      </c>
      <c r="S19">
        <v>2816.7</v>
      </c>
    </row>
    <row r="20" spans="1:19" hidden="1">
      <c r="A20" t="s">
        <v>1220</v>
      </c>
      <c r="B20" t="s">
        <v>864</v>
      </c>
      <c r="C20" t="s">
        <v>865</v>
      </c>
      <c r="D20" s="19">
        <f>_xlfn.XLOOKUP(C:C,Q:Q,R:R)</f>
        <v>7185</v>
      </c>
      <c r="E20" s="19">
        <f t="shared" si="1"/>
        <v>256.60714285714283</v>
      </c>
      <c r="F20">
        <f>_xlfn.XLOOKUP(C:C,Q:Q,S:S)</f>
        <v>9078.4500000000007</v>
      </c>
      <c r="I20" s="19">
        <f t="shared" si="2"/>
        <v>14370</v>
      </c>
      <c r="J20" t="b">
        <f t="shared" si="3"/>
        <v>1</v>
      </c>
      <c r="K20" s="4">
        <f t="shared" si="0"/>
        <v>-0.36823590814196239</v>
      </c>
      <c r="M20"/>
      <c r="O20"/>
      <c r="Q20" t="s">
        <v>156</v>
      </c>
      <c r="R20">
        <v>1109</v>
      </c>
      <c r="S20">
        <v>2476.85</v>
      </c>
    </row>
    <row r="21" spans="1:19" hidden="1">
      <c r="A21" t="s">
        <v>1218</v>
      </c>
      <c r="B21" t="s">
        <v>77</v>
      </c>
      <c r="C21" t="s">
        <v>78</v>
      </c>
      <c r="D21" s="19">
        <f>_xlfn.XLOOKUP(C:C,Q:Q,R:R)</f>
        <v>4286</v>
      </c>
      <c r="E21" s="19">
        <f t="shared" si="1"/>
        <v>153.07142857142858</v>
      </c>
      <c r="F21">
        <f>_xlfn.XLOOKUP(C:C,Q:Q,S:S)</f>
        <v>4897.3</v>
      </c>
      <c r="I21" s="19">
        <f t="shared" si="2"/>
        <v>8572</v>
      </c>
      <c r="J21" t="b">
        <f t="shared" si="3"/>
        <v>1</v>
      </c>
      <c r="K21" s="4">
        <f t="shared" si="0"/>
        <v>-0.42868642090527298</v>
      </c>
      <c r="M21"/>
      <c r="O21"/>
      <c r="Q21" t="s">
        <v>62</v>
      </c>
      <c r="R21">
        <v>4052</v>
      </c>
      <c r="S21">
        <v>6748.08</v>
      </c>
    </row>
    <row r="22" spans="1:19" hidden="1">
      <c r="A22" t="s">
        <v>1218</v>
      </c>
      <c r="B22" t="s">
        <v>469</v>
      </c>
      <c r="C22" t="s">
        <v>470</v>
      </c>
      <c r="D22" s="19">
        <f>_xlfn.XLOOKUP(C:C,Q:Q,R:R)</f>
        <v>6857</v>
      </c>
      <c r="E22" s="19">
        <f t="shared" si="1"/>
        <v>244.89285714285714</v>
      </c>
      <c r="F22">
        <f>_xlfn.XLOOKUP(C:C,Q:Q,S:S)</f>
        <v>7319.16</v>
      </c>
      <c r="I22" s="19">
        <f t="shared" si="2"/>
        <v>13714</v>
      </c>
      <c r="J22" t="b">
        <f t="shared" si="3"/>
        <v>1</v>
      </c>
      <c r="K22" s="4">
        <f t="shared" si="0"/>
        <v>-0.4663001312527344</v>
      </c>
      <c r="M22"/>
      <c r="O22"/>
      <c r="Q22" t="s">
        <v>176</v>
      </c>
      <c r="R22">
        <v>1476</v>
      </c>
      <c r="S22">
        <v>2358.27</v>
      </c>
    </row>
    <row r="23" spans="1:19" hidden="1">
      <c r="A23" t="s">
        <v>1220</v>
      </c>
      <c r="B23" t="s">
        <v>812</v>
      </c>
      <c r="C23" t="s">
        <v>813</v>
      </c>
      <c r="D23" s="19">
        <f>_xlfn.XLOOKUP(C:C,Q:Q,R:R)</f>
        <v>2357</v>
      </c>
      <c r="E23" s="19">
        <f t="shared" si="1"/>
        <v>84.178571428571431</v>
      </c>
      <c r="F23">
        <f>_xlfn.XLOOKUP(C:C,Q:Q,S:S)</f>
        <v>4551.13</v>
      </c>
      <c r="I23" s="157">
        <f t="shared" si="2"/>
        <v>4714</v>
      </c>
      <c r="J23" t="b">
        <f t="shared" si="3"/>
        <v>1</v>
      </c>
      <c r="K23" s="4">
        <f t="shared" si="0"/>
        <v>-3.4550275774289374E-2</v>
      </c>
      <c r="Q23" t="s">
        <v>18</v>
      </c>
      <c r="R23">
        <v>14987</v>
      </c>
      <c r="S23">
        <v>5594.85</v>
      </c>
    </row>
    <row r="24" spans="1:19" hidden="1">
      <c r="A24" t="s">
        <v>1219</v>
      </c>
      <c r="B24" t="s">
        <v>803</v>
      </c>
      <c r="C24" t="s">
        <v>804</v>
      </c>
      <c r="D24" s="19">
        <f>_xlfn.XLOOKUP(C:C,Q:Q,R:R)</f>
        <v>5137</v>
      </c>
      <c r="E24" s="19">
        <f t="shared" si="1"/>
        <v>183.46428571428572</v>
      </c>
      <c r="F24">
        <f>_xlfn.XLOOKUP(C:C,Q:Q,S:S)</f>
        <v>8701.9699999999993</v>
      </c>
      <c r="I24" s="19">
        <f t="shared" si="2"/>
        <v>10274</v>
      </c>
      <c r="J24" t="b">
        <f t="shared" si="3"/>
        <v>1</v>
      </c>
      <c r="K24" s="4">
        <f t="shared" si="0"/>
        <v>-0.15301051197196813</v>
      </c>
      <c r="M24"/>
      <c r="O24"/>
      <c r="Q24" t="s">
        <v>370</v>
      </c>
      <c r="R24">
        <v>652</v>
      </c>
      <c r="S24">
        <v>1070.94</v>
      </c>
    </row>
    <row r="25" spans="1:19" hidden="1">
      <c r="A25" t="s">
        <v>1218</v>
      </c>
      <c r="B25" t="s">
        <v>433</v>
      </c>
      <c r="C25" t="s">
        <v>434</v>
      </c>
      <c r="D25" s="19">
        <f>_xlfn.XLOOKUP(C:C,Q:Q,R:R)</f>
        <v>3090</v>
      </c>
      <c r="E25" s="19">
        <f t="shared" si="1"/>
        <v>110.35714285714286</v>
      </c>
      <c r="F25">
        <f>_xlfn.XLOOKUP(C:C,Q:Q,S:S)</f>
        <v>3298.37</v>
      </c>
      <c r="I25" s="19">
        <f t="shared" si="2"/>
        <v>6180</v>
      </c>
      <c r="J25" t="b">
        <f t="shared" si="3"/>
        <v>1</v>
      </c>
      <c r="K25" s="4">
        <f t="shared" si="0"/>
        <v>-0.4662831715210356</v>
      </c>
      <c r="M25"/>
      <c r="O25"/>
      <c r="Q25" t="s">
        <v>74</v>
      </c>
      <c r="R25">
        <v>1671</v>
      </c>
      <c r="S25">
        <v>2325.75</v>
      </c>
    </row>
    <row r="26" spans="1:19" hidden="1">
      <c r="A26" t="s">
        <v>1218</v>
      </c>
      <c r="B26" t="s">
        <v>233</v>
      </c>
      <c r="C26" t="s">
        <v>234</v>
      </c>
      <c r="D26" s="19">
        <f>_xlfn.XLOOKUP(C:C,Q:Q,R:R)</f>
        <v>2428</v>
      </c>
      <c r="E26" s="19">
        <f t="shared" si="1"/>
        <v>86.714285714285708</v>
      </c>
      <c r="F26">
        <f>_xlfn.XLOOKUP(C:C,Q:Q,S:S)</f>
        <v>2821.81</v>
      </c>
      <c r="I26" s="19">
        <f t="shared" si="2"/>
        <v>4856</v>
      </c>
      <c r="J26" t="b">
        <f t="shared" si="3"/>
        <v>1</v>
      </c>
      <c r="K26" s="4">
        <f t="shared" si="0"/>
        <v>-0.41890238879736408</v>
      </c>
      <c r="M26"/>
      <c r="O26"/>
      <c r="Q26" t="s">
        <v>112</v>
      </c>
      <c r="R26">
        <v>2656</v>
      </c>
      <c r="S26">
        <v>5003.68</v>
      </c>
    </row>
    <row r="27" spans="1:19" hidden="1">
      <c r="A27" t="s">
        <v>1218</v>
      </c>
      <c r="B27" t="s">
        <v>465</v>
      </c>
      <c r="C27" t="s">
        <v>466</v>
      </c>
      <c r="D27" s="19">
        <f>_xlfn.XLOOKUP(C:C,Q:Q,R:R)</f>
        <v>7423</v>
      </c>
      <c r="E27" s="19">
        <f t="shared" si="1"/>
        <v>265.10714285714283</v>
      </c>
      <c r="F27">
        <f>_xlfn.XLOOKUP(C:C,Q:Q,S:S)</f>
        <v>11232.22</v>
      </c>
      <c r="I27" s="19">
        <f t="shared" si="2"/>
        <v>14846</v>
      </c>
      <c r="J27" t="b">
        <f t="shared" si="3"/>
        <v>1</v>
      </c>
      <c r="K27" s="4">
        <f t="shared" si="0"/>
        <v>-0.2434177556244107</v>
      </c>
      <c r="M27"/>
      <c r="O27"/>
      <c r="Q27" t="s">
        <v>178</v>
      </c>
      <c r="R27">
        <v>596</v>
      </c>
      <c r="S27">
        <v>1267.94</v>
      </c>
    </row>
    <row r="28" spans="1:19" hidden="1">
      <c r="A28" t="s">
        <v>1219</v>
      </c>
      <c r="B28" t="s">
        <v>503</v>
      </c>
      <c r="C28" t="s">
        <v>504</v>
      </c>
      <c r="D28" s="19">
        <f>_xlfn.XLOOKUP(C:C,Q:Q,R:R)</f>
        <v>3762</v>
      </c>
      <c r="E28" s="19">
        <f t="shared" si="1"/>
        <v>134.35714285714286</v>
      </c>
      <c r="F28">
        <f>_xlfn.XLOOKUP(C:C,Q:Q,S:S)</f>
        <v>6511.64</v>
      </c>
      <c r="I28" s="19">
        <f t="shared" si="2"/>
        <v>7524</v>
      </c>
      <c r="J28" t="b">
        <f t="shared" si="3"/>
        <v>1</v>
      </c>
      <c r="K28" s="4">
        <f t="shared" si="0"/>
        <v>-0.13455077086656031</v>
      </c>
      <c r="M28"/>
      <c r="O28"/>
      <c r="Q28" t="s">
        <v>118</v>
      </c>
      <c r="R28">
        <v>1681</v>
      </c>
      <c r="S28">
        <v>3245.25</v>
      </c>
    </row>
    <row r="29" spans="1:19" hidden="1">
      <c r="A29" t="s">
        <v>1219</v>
      </c>
      <c r="B29" t="s">
        <v>511</v>
      </c>
      <c r="C29" t="s">
        <v>512</v>
      </c>
      <c r="D29" s="19">
        <f>_xlfn.XLOOKUP(C:C,Q:Q,R:R)</f>
        <v>4039</v>
      </c>
      <c r="E29" s="19">
        <f t="shared" si="1"/>
        <v>144.25</v>
      </c>
      <c r="F29">
        <f>_xlfn.XLOOKUP(C:C,Q:Q,S:S)</f>
        <v>5176.58</v>
      </c>
      <c r="I29" s="19">
        <f t="shared" si="2"/>
        <v>8078</v>
      </c>
      <c r="J29" t="b">
        <f t="shared" si="3"/>
        <v>1</v>
      </c>
      <c r="K29" s="4">
        <f t="shared" si="0"/>
        <v>-0.35917553849962858</v>
      </c>
      <c r="M29"/>
      <c r="O29"/>
      <c r="Q29" t="s">
        <v>38</v>
      </c>
      <c r="R29">
        <v>1969</v>
      </c>
      <c r="S29">
        <v>2178.64</v>
      </c>
    </row>
    <row r="30" spans="1:19" hidden="1">
      <c r="A30" t="s">
        <v>1219</v>
      </c>
      <c r="B30" t="s">
        <v>555</v>
      </c>
      <c r="C30" t="s">
        <v>556</v>
      </c>
      <c r="D30" s="19">
        <f>_xlfn.XLOOKUP(C:C,Q:Q,R:R)</f>
        <v>5550</v>
      </c>
      <c r="E30" s="19">
        <f t="shared" si="1"/>
        <v>198.21428571428572</v>
      </c>
      <c r="F30">
        <f>_xlfn.XLOOKUP(C:C,Q:Q,S:S)</f>
        <v>9885.65</v>
      </c>
      <c r="I30" s="19">
        <f t="shared" si="2"/>
        <v>11100</v>
      </c>
      <c r="J30" t="b">
        <f t="shared" si="3"/>
        <v>1</v>
      </c>
      <c r="K30" s="4">
        <f t="shared" si="0"/>
        <v>-0.10940090090090093</v>
      </c>
      <c r="M30"/>
      <c r="O30"/>
      <c r="Q30" t="s">
        <v>80</v>
      </c>
      <c r="R30">
        <v>1923</v>
      </c>
      <c r="S30">
        <v>3253.75</v>
      </c>
    </row>
    <row r="31" spans="1:19" hidden="1">
      <c r="A31" t="s">
        <v>1218</v>
      </c>
      <c r="B31" t="s">
        <v>481</v>
      </c>
      <c r="C31" t="s">
        <v>482</v>
      </c>
      <c r="D31" s="19">
        <f>_xlfn.XLOOKUP(C:C,Q:Q,R:R)</f>
        <v>3488</v>
      </c>
      <c r="E31" s="19">
        <f t="shared" si="1"/>
        <v>124.57142857142857</v>
      </c>
      <c r="F31">
        <f>_xlfn.XLOOKUP(C:C,Q:Q,S:S)</f>
        <v>6528.03</v>
      </c>
      <c r="I31" s="19">
        <f t="shared" si="2"/>
        <v>6976</v>
      </c>
      <c r="J31" t="b">
        <f t="shared" si="3"/>
        <v>1</v>
      </c>
      <c r="K31" s="4">
        <f t="shared" si="0"/>
        <v>-6.4215883027523013E-2</v>
      </c>
      <c r="M31"/>
      <c r="O31"/>
      <c r="Q31" t="s">
        <v>94</v>
      </c>
      <c r="R31">
        <v>1541</v>
      </c>
      <c r="S31">
        <v>3749.62</v>
      </c>
    </row>
    <row r="32" spans="1:19" hidden="1">
      <c r="A32" t="s">
        <v>1218</v>
      </c>
      <c r="B32" t="s">
        <v>453</v>
      </c>
      <c r="C32" t="s">
        <v>454</v>
      </c>
      <c r="D32" s="19">
        <f>_xlfn.XLOOKUP(C:C,Q:Q,R:R)</f>
        <v>4708</v>
      </c>
      <c r="E32" s="19">
        <f t="shared" si="1"/>
        <v>168.14285714285714</v>
      </c>
      <c r="F32">
        <f>_xlfn.XLOOKUP(C:C,Q:Q,S:S)</f>
        <v>8799.1</v>
      </c>
      <c r="I32" s="19">
        <f t="shared" si="2"/>
        <v>9416</v>
      </c>
      <c r="J32" t="b">
        <f t="shared" si="3"/>
        <v>1</v>
      </c>
      <c r="K32" s="4">
        <f t="shared" si="0"/>
        <v>-6.551614273576889E-2</v>
      </c>
      <c r="M32"/>
      <c r="O32"/>
      <c r="Q32" t="s">
        <v>108</v>
      </c>
      <c r="R32">
        <v>2159</v>
      </c>
      <c r="S32">
        <v>4083.97</v>
      </c>
    </row>
    <row r="33" spans="1:19" hidden="1">
      <c r="A33" t="s">
        <v>1218</v>
      </c>
      <c r="B33" t="s">
        <v>227</v>
      </c>
      <c r="C33" t="s">
        <v>228</v>
      </c>
      <c r="D33" s="19">
        <f>_xlfn.XLOOKUP(C:C,Q:Q,R:R)</f>
        <v>1866</v>
      </c>
      <c r="E33" s="19">
        <f t="shared" si="1"/>
        <v>66.642857142857139</v>
      </c>
      <c r="F33">
        <f>_xlfn.XLOOKUP(C:C,Q:Q,S:S)</f>
        <v>3855.15</v>
      </c>
      <c r="I33" s="157">
        <f t="shared" si="2"/>
        <v>3732</v>
      </c>
      <c r="J33" t="b">
        <f t="shared" si="3"/>
        <v>1</v>
      </c>
      <c r="K33" s="4">
        <f t="shared" si="0"/>
        <v>3.29983922829582E-2</v>
      </c>
      <c r="O33" s="162"/>
      <c r="Q33" t="s">
        <v>136</v>
      </c>
      <c r="R33">
        <v>1658</v>
      </c>
      <c r="S33">
        <v>4124.5</v>
      </c>
    </row>
    <row r="34" spans="1:19" hidden="1">
      <c r="A34" t="s">
        <v>1219</v>
      </c>
      <c r="B34" t="s">
        <v>515</v>
      </c>
      <c r="C34" t="s">
        <v>516</v>
      </c>
      <c r="D34" s="19">
        <f>_xlfn.XLOOKUP(C:C,Q:Q,R:R)</f>
        <v>3048</v>
      </c>
      <c r="E34" s="19">
        <f t="shared" si="1"/>
        <v>108.85714285714286</v>
      </c>
      <c r="F34">
        <f>_xlfn.XLOOKUP(C:C,Q:Q,S:S)</f>
        <v>4722.41</v>
      </c>
      <c r="I34" s="19">
        <f t="shared" si="2"/>
        <v>6096</v>
      </c>
      <c r="J34" t="b">
        <f t="shared" si="3"/>
        <v>1</v>
      </c>
      <c r="K34" s="4">
        <f t="shared" si="0"/>
        <v>-0.22532644356955378</v>
      </c>
      <c r="M34"/>
      <c r="O34"/>
      <c r="Q34" t="s">
        <v>478</v>
      </c>
      <c r="R34">
        <v>1546</v>
      </c>
      <c r="S34">
        <v>1959.09</v>
      </c>
    </row>
    <row r="35" spans="1:19" hidden="1">
      <c r="A35" t="s">
        <v>1219</v>
      </c>
      <c r="B35" t="s">
        <v>562</v>
      </c>
      <c r="C35" t="s">
        <v>563</v>
      </c>
      <c r="D35" s="19">
        <f>_xlfn.XLOOKUP(C:C,Q:Q,R:R)</f>
        <v>2201</v>
      </c>
      <c r="E35" s="19">
        <f t="shared" si="1"/>
        <v>78.607142857142861</v>
      </c>
      <c r="F35">
        <f>_xlfn.XLOOKUP(C:C,Q:Q,S:S)</f>
        <v>2780.43</v>
      </c>
      <c r="I35" s="19">
        <f t="shared" si="2"/>
        <v>4402</v>
      </c>
      <c r="J35" t="b">
        <f t="shared" si="3"/>
        <v>1</v>
      </c>
      <c r="K35" s="4">
        <f t="shared" si="0"/>
        <v>-0.36837119491140391</v>
      </c>
      <c r="M35"/>
      <c r="O35"/>
      <c r="Q35" t="s">
        <v>192</v>
      </c>
      <c r="R35">
        <v>2684</v>
      </c>
      <c r="S35">
        <v>4208.54</v>
      </c>
    </row>
    <row r="36" spans="1:19" hidden="1">
      <c r="A36" t="s">
        <v>1218</v>
      </c>
      <c r="B36" t="s">
        <v>55</v>
      </c>
      <c r="C36" t="s">
        <v>56</v>
      </c>
      <c r="D36" s="19">
        <f>_xlfn.XLOOKUP(C:C,Q:Q,R:R)</f>
        <v>4069</v>
      </c>
      <c r="E36" s="19">
        <f t="shared" si="1"/>
        <v>145.32142857142858</v>
      </c>
      <c r="F36">
        <f>_xlfn.XLOOKUP(C:C,Q:Q,S:S)</f>
        <v>7312.03</v>
      </c>
      <c r="I36" s="19">
        <f t="shared" si="2"/>
        <v>8138</v>
      </c>
      <c r="J36" t="b">
        <f t="shared" si="3"/>
        <v>1</v>
      </c>
      <c r="K36" s="4">
        <f t="shared" si="0"/>
        <v>-0.10149545342836086</v>
      </c>
      <c r="M36"/>
      <c r="O36"/>
      <c r="Q36" t="s">
        <v>420</v>
      </c>
      <c r="R36">
        <v>4901</v>
      </c>
      <c r="S36">
        <v>9133.83</v>
      </c>
    </row>
    <row r="37" spans="1:19" hidden="1">
      <c r="A37" t="s">
        <v>1218</v>
      </c>
      <c r="B37" t="s">
        <v>57</v>
      </c>
      <c r="C37" t="s">
        <v>58</v>
      </c>
      <c r="D37" s="19">
        <f>_xlfn.XLOOKUP(C:C,Q:Q,R:R)</f>
        <v>4129</v>
      </c>
      <c r="E37" s="19">
        <f t="shared" si="1"/>
        <v>147.46428571428572</v>
      </c>
      <c r="F37">
        <f>_xlfn.XLOOKUP(C:C,Q:Q,S:S)</f>
        <v>7431.5</v>
      </c>
      <c r="I37" s="19">
        <f t="shared" si="2"/>
        <v>8258</v>
      </c>
      <c r="J37" t="b">
        <f t="shared" si="3"/>
        <v>1</v>
      </c>
      <c r="K37" s="4">
        <f t="shared" si="0"/>
        <v>-0.10008476628723662</v>
      </c>
      <c r="M37"/>
      <c r="O37"/>
      <c r="Q37" t="s">
        <v>144</v>
      </c>
      <c r="R37">
        <v>1150</v>
      </c>
      <c r="S37">
        <v>1379.51</v>
      </c>
    </row>
    <row r="38" spans="1:19" hidden="1">
      <c r="A38" t="s">
        <v>1218</v>
      </c>
      <c r="B38" t="s">
        <v>23</v>
      </c>
      <c r="C38" t="s">
        <v>24</v>
      </c>
      <c r="D38" s="19">
        <f>_xlfn.XLOOKUP(C:C,Q:Q,R:R)</f>
        <v>11641</v>
      </c>
      <c r="E38" s="19">
        <f t="shared" si="1"/>
        <v>415.75</v>
      </c>
      <c r="F38">
        <f>_xlfn.XLOOKUP(C:C,Q:Q,S:S)</f>
        <v>10505.25</v>
      </c>
      <c r="I38" s="19">
        <f t="shared" si="2"/>
        <v>23282</v>
      </c>
      <c r="J38" t="b">
        <f t="shared" si="3"/>
        <v>1</v>
      </c>
      <c r="K38" s="4">
        <f t="shared" si="0"/>
        <v>-0.54878232110643421</v>
      </c>
      <c r="M38"/>
      <c r="O38"/>
      <c r="Q38" t="s">
        <v>68</v>
      </c>
      <c r="R38">
        <v>3490</v>
      </c>
      <c r="S38">
        <v>6233.8</v>
      </c>
    </row>
    <row r="39" spans="1:19" hidden="1">
      <c r="A39" t="s">
        <v>1220</v>
      </c>
      <c r="B39" t="s">
        <v>1026</v>
      </c>
      <c r="C39" t="s">
        <v>1027</v>
      </c>
      <c r="D39" s="19">
        <f>_xlfn.XLOOKUP(C:C,Q:Q,R:R)</f>
        <v>4192</v>
      </c>
      <c r="E39" s="19">
        <f t="shared" si="1"/>
        <v>149.71428571428572</v>
      </c>
      <c r="F39">
        <f>_xlfn.XLOOKUP(C:C,Q:Q,S:S)</f>
        <v>3703.72</v>
      </c>
      <c r="I39" s="19">
        <f t="shared" si="2"/>
        <v>8384</v>
      </c>
      <c r="J39" t="b">
        <f t="shared" si="3"/>
        <v>1</v>
      </c>
      <c r="K39" s="4">
        <f t="shared" si="0"/>
        <v>-0.55823950381679399</v>
      </c>
      <c r="M39"/>
      <c r="O39"/>
      <c r="Q39" t="s">
        <v>362</v>
      </c>
      <c r="R39">
        <v>973</v>
      </c>
      <c r="S39">
        <v>1765</v>
      </c>
    </row>
    <row r="40" spans="1:19" hidden="1">
      <c r="A40" t="s">
        <v>1218</v>
      </c>
      <c r="B40" t="s">
        <v>409</v>
      </c>
      <c r="C40" t="s">
        <v>410</v>
      </c>
      <c r="D40" s="19">
        <f>_xlfn.XLOOKUP(C:C,Q:Q,R:R)</f>
        <v>1079</v>
      </c>
      <c r="E40" s="19">
        <f t="shared" si="1"/>
        <v>38.535714285714285</v>
      </c>
      <c r="F40">
        <f>_xlfn.XLOOKUP(C:C,Q:Q,S:S)</f>
        <v>1820.14</v>
      </c>
      <c r="I40" s="19">
        <f t="shared" si="2"/>
        <v>2158</v>
      </c>
      <c r="J40" t="b">
        <f t="shared" si="3"/>
        <v>1</v>
      </c>
      <c r="K40" s="4">
        <f t="shared" si="0"/>
        <v>-0.15656163113994437</v>
      </c>
      <c r="M40"/>
      <c r="O40"/>
      <c r="Q40" t="s">
        <v>252</v>
      </c>
      <c r="R40">
        <v>1611</v>
      </c>
      <c r="S40">
        <v>2692.2</v>
      </c>
    </row>
    <row r="41" spans="1:19" hidden="1">
      <c r="A41" t="s">
        <v>1220</v>
      </c>
      <c r="B41" t="s">
        <v>820</v>
      </c>
      <c r="C41" t="s">
        <v>821</v>
      </c>
      <c r="D41" s="19">
        <f>_xlfn.XLOOKUP(C:C,Q:Q,R:R)</f>
        <v>4202</v>
      </c>
      <c r="E41" s="19">
        <f t="shared" si="1"/>
        <v>150.07142857142858</v>
      </c>
      <c r="F41">
        <f>_xlfn.XLOOKUP(C:C,Q:Q,S:S)</f>
        <v>3829.56</v>
      </c>
      <c r="I41" s="19">
        <f t="shared" si="2"/>
        <v>8404</v>
      </c>
      <c r="J41" t="b">
        <f t="shared" si="3"/>
        <v>1</v>
      </c>
      <c r="K41" s="4">
        <f t="shared" si="0"/>
        <v>-0.54431699190861493</v>
      </c>
      <c r="M41"/>
      <c r="O41"/>
      <c r="Q41" t="s">
        <v>98</v>
      </c>
      <c r="R41">
        <v>2321</v>
      </c>
      <c r="S41">
        <v>4250.3999999999996</v>
      </c>
    </row>
    <row r="42" spans="1:19" hidden="1">
      <c r="A42" t="s">
        <v>1220</v>
      </c>
      <c r="B42" t="s">
        <v>840</v>
      </c>
      <c r="C42" t="s">
        <v>841</v>
      </c>
      <c r="D42" s="19">
        <f>_xlfn.XLOOKUP(C:C,Q:Q,R:R)</f>
        <v>2704</v>
      </c>
      <c r="E42" s="19">
        <f t="shared" si="1"/>
        <v>96.571428571428569</v>
      </c>
      <c r="F42">
        <f>_xlfn.XLOOKUP(C:C,Q:Q,S:S)</f>
        <v>3791.04</v>
      </c>
      <c r="I42" s="19">
        <f t="shared" si="2"/>
        <v>5408</v>
      </c>
      <c r="J42" t="b">
        <f t="shared" si="3"/>
        <v>1</v>
      </c>
      <c r="K42" s="4">
        <f t="shared" si="0"/>
        <v>-0.29899408284023665</v>
      </c>
      <c r="M42"/>
      <c r="O42"/>
      <c r="Q42" t="s">
        <v>54</v>
      </c>
      <c r="R42">
        <v>2223</v>
      </c>
      <c r="S42">
        <v>4480.07</v>
      </c>
    </row>
    <row r="43" spans="1:19" hidden="1">
      <c r="A43" t="s">
        <v>1220</v>
      </c>
      <c r="B43" t="s">
        <v>992</v>
      </c>
      <c r="C43" t="s">
        <v>993</v>
      </c>
      <c r="D43" s="19">
        <f>_xlfn.XLOOKUP(C:C,Q:Q,R:R)</f>
        <v>3891</v>
      </c>
      <c r="E43" s="19">
        <f t="shared" si="1"/>
        <v>138.96428571428572</v>
      </c>
      <c r="F43">
        <f>_xlfn.XLOOKUP(C:C,Q:Q,S:S)</f>
        <v>3675.14</v>
      </c>
      <c r="I43" s="19">
        <f t="shared" si="2"/>
        <v>7782</v>
      </c>
      <c r="J43" t="b">
        <f t="shared" si="3"/>
        <v>1</v>
      </c>
      <c r="K43" s="4">
        <f t="shared" si="0"/>
        <v>-0.52773837059881779</v>
      </c>
      <c r="M43"/>
      <c r="O43"/>
      <c r="Q43" t="s">
        <v>104</v>
      </c>
      <c r="R43">
        <v>741</v>
      </c>
      <c r="S43">
        <v>1596.79</v>
      </c>
    </row>
    <row r="44" spans="1:19" hidden="1">
      <c r="A44" t="s">
        <v>1218</v>
      </c>
      <c r="B44" t="s">
        <v>419</v>
      </c>
      <c r="C44" t="s">
        <v>420</v>
      </c>
      <c r="D44" s="19">
        <f>_xlfn.XLOOKUP(C:C,Q:Q,R:R)</f>
        <v>4901</v>
      </c>
      <c r="E44" s="19">
        <f t="shared" si="1"/>
        <v>175.03571428571428</v>
      </c>
      <c r="F44">
        <f>_xlfn.XLOOKUP(C:C,Q:Q,S:S)</f>
        <v>9133.83</v>
      </c>
      <c r="I44" s="19">
        <f t="shared" si="2"/>
        <v>9802</v>
      </c>
      <c r="J44" t="b">
        <f t="shared" si="3"/>
        <v>1</v>
      </c>
      <c r="K44" s="4">
        <f t="shared" si="0"/>
        <v>-6.816670067333197E-2</v>
      </c>
      <c r="M44"/>
      <c r="O44"/>
      <c r="Q44" t="s">
        <v>214</v>
      </c>
      <c r="R44">
        <v>1931</v>
      </c>
      <c r="S44">
        <v>4461.28</v>
      </c>
    </row>
    <row r="45" spans="1:19" hidden="1">
      <c r="A45" t="s">
        <v>1219</v>
      </c>
      <c r="B45" t="s">
        <v>747</v>
      </c>
      <c r="C45" t="s">
        <v>748</v>
      </c>
      <c r="D45" s="19">
        <f>_xlfn.XLOOKUP(C:C,Q:Q,R:R)</f>
        <v>1585</v>
      </c>
      <c r="E45" s="19">
        <f t="shared" si="1"/>
        <v>56.607142857142854</v>
      </c>
      <c r="F45">
        <f>_xlfn.XLOOKUP(C:C,Q:Q,S:S)</f>
        <v>1853.67</v>
      </c>
      <c r="I45" s="19">
        <f t="shared" si="2"/>
        <v>3170</v>
      </c>
      <c r="J45" t="b">
        <f t="shared" si="3"/>
        <v>1</v>
      </c>
      <c r="K45" s="4">
        <f t="shared" si="0"/>
        <v>-0.41524605678233439</v>
      </c>
      <c r="M45"/>
      <c r="O45"/>
      <c r="Q45" t="s">
        <v>442</v>
      </c>
      <c r="R45">
        <v>1390</v>
      </c>
      <c r="S45">
        <v>1789.01</v>
      </c>
    </row>
    <row r="46" spans="1:19" hidden="1">
      <c r="A46" t="s">
        <v>1219</v>
      </c>
      <c r="B46" t="s">
        <v>539</v>
      </c>
      <c r="C46" t="s">
        <v>540</v>
      </c>
      <c r="D46" s="19">
        <f>_xlfn.XLOOKUP(C:C,Q:Q,R:R)</f>
        <v>1667</v>
      </c>
      <c r="E46" s="19">
        <f t="shared" si="1"/>
        <v>59.535714285714285</v>
      </c>
      <c r="F46">
        <f>_xlfn.XLOOKUP(C:C,Q:Q,S:S)</f>
        <v>2965.44</v>
      </c>
      <c r="I46" s="19">
        <f t="shared" si="2"/>
        <v>3334</v>
      </c>
      <c r="J46" t="b">
        <f t="shared" si="3"/>
        <v>1</v>
      </c>
      <c r="K46" s="4">
        <f t="shared" si="0"/>
        <v>-0.11054589082183564</v>
      </c>
      <c r="M46"/>
      <c r="O46"/>
      <c r="Q46" t="s">
        <v>64</v>
      </c>
      <c r="R46">
        <v>940</v>
      </c>
      <c r="S46">
        <v>1618.45</v>
      </c>
    </row>
    <row r="47" spans="1:19" hidden="1">
      <c r="A47" t="s">
        <v>1218</v>
      </c>
      <c r="B47" t="s">
        <v>171</v>
      </c>
      <c r="C47" t="s">
        <v>172</v>
      </c>
      <c r="D47" s="19">
        <f>_xlfn.XLOOKUP(C:C,Q:Q,R:R)</f>
        <v>3925</v>
      </c>
      <c r="E47" s="19">
        <f t="shared" si="1"/>
        <v>140.17857142857142</v>
      </c>
      <c r="F47">
        <f>_xlfn.XLOOKUP(C:C,Q:Q,S:S)</f>
        <v>5623.45</v>
      </c>
      <c r="I47" s="19">
        <f t="shared" si="2"/>
        <v>7850</v>
      </c>
      <c r="J47" t="b">
        <f t="shared" si="3"/>
        <v>1</v>
      </c>
      <c r="K47" s="4">
        <f t="shared" si="0"/>
        <v>-0.28363694267515926</v>
      </c>
      <c r="M47"/>
      <c r="O47"/>
      <c r="Q47" t="s">
        <v>482</v>
      </c>
      <c r="R47">
        <v>3488</v>
      </c>
      <c r="S47">
        <v>6528.03</v>
      </c>
    </row>
    <row r="48" spans="1:19" hidden="1">
      <c r="A48" t="s">
        <v>1218</v>
      </c>
      <c r="B48" t="s">
        <v>159</v>
      </c>
      <c r="C48" t="s">
        <v>160</v>
      </c>
      <c r="D48" s="19">
        <f>_xlfn.XLOOKUP(C:C,Q:Q,R:R)</f>
        <v>3732</v>
      </c>
      <c r="E48" s="19">
        <f t="shared" si="1"/>
        <v>133.28571428571428</v>
      </c>
      <c r="F48">
        <f>_xlfn.XLOOKUP(C:C,Q:Q,S:S)</f>
        <v>7397.98</v>
      </c>
      <c r="I48" s="19">
        <f t="shared" si="2"/>
        <v>7464</v>
      </c>
      <c r="J48" t="b">
        <f t="shared" si="3"/>
        <v>1</v>
      </c>
      <c r="K48" s="4">
        <f t="shared" si="0"/>
        <v>-8.8451232583065531E-3</v>
      </c>
      <c r="M48"/>
      <c r="O48"/>
      <c r="Q48" t="s">
        <v>70</v>
      </c>
      <c r="R48">
        <v>5377</v>
      </c>
      <c r="S48">
        <v>8788.83</v>
      </c>
    </row>
    <row r="49" spans="1:19" hidden="1">
      <c r="A49" t="s">
        <v>1218</v>
      </c>
      <c r="B49" t="s">
        <v>31</v>
      </c>
      <c r="C49" t="s">
        <v>32</v>
      </c>
      <c r="D49" s="19">
        <f>_xlfn.XLOOKUP(C:C,Q:Q,R:R)</f>
        <v>6929</v>
      </c>
      <c r="E49" s="19">
        <f t="shared" si="1"/>
        <v>247.46428571428572</v>
      </c>
      <c r="F49">
        <f>_xlfn.XLOOKUP(C:C,Q:Q,S:S)</f>
        <v>10453.85</v>
      </c>
      <c r="I49" s="19">
        <f t="shared" si="2"/>
        <v>13858</v>
      </c>
      <c r="J49" t="b">
        <f t="shared" si="3"/>
        <v>1</v>
      </c>
      <c r="K49" s="4">
        <f t="shared" si="0"/>
        <v>-0.24564511473517103</v>
      </c>
      <c r="M49"/>
      <c r="O49"/>
      <c r="Q49" t="s">
        <v>198</v>
      </c>
      <c r="R49">
        <v>633</v>
      </c>
      <c r="S49">
        <v>1173.22</v>
      </c>
    </row>
    <row r="50" spans="1:19" hidden="1">
      <c r="A50" t="s">
        <v>1218</v>
      </c>
      <c r="B50" t="s">
        <v>65</v>
      </c>
      <c r="C50" t="s">
        <v>66</v>
      </c>
      <c r="D50" s="19">
        <f>_xlfn.XLOOKUP(C:C,Q:Q,R:R)</f>
        <v>1594</v>
      </c>
      <c r="E50" s="19">
        <f t="shared" si="1"/>
        <v>56.928571428571431</v>
      </c>
      <c r="F50">
        <f>_xlfn.XLOOKUP(C:C,Q:Q,S:S)</f>
        <v>209.91</v>
      </c>
      <c r="I50" s="19">
        <f t="shared" si="2"/>
        <v>3188</v>
      </c>
      <c r="J50" t="b">
        <f t="shared" si="3"/>
        <v>1</v>
      </c>
      <c r="K50" s="4">
        <f t="shared" si="0"/>
        <v>-0.93415621079046418</v>
      </c>
      <c r="M50"/>
      <c r="O50"/>
      <c r="Q50" t="s">
        <v>162</v>
      </c>
      <c r="R50">
        <v>1412</v>
      </c>
      <c r="S50">
        <v>2519.35</v>
      </c>
    </row>
    <row r="51" spans="1:19" hidden="1">
      <c r="A51" t="s">
        <v>1219</v>
      </c>
      <c r="B51" t="s">
        <v>501</v>
      </c>
      <c r="C51" t="s">
        <v>502</v>
      </c>
      <c r="D51" s="19">
        <f>_xlfn.XLOOKUP(C:C,Q:Q,R:R)</f>
        <v>7632</v>
      </c>
      <c r="E51" s="19">
        <f t="shared" si="1"/>
        <v>272.57142857142856</v>
      </c>
      <c r="F51">
        <f>_xlfn.XLOOKUP(C:C,Q:Q,S:S)</f>
        <v>11858.24</v>
      </c>
      <c r="I51" s="19">
        <f t="shared" si="2"/>
        <v>15264</v>
      </c>
      <c r="J51" t="b">
        <f t="shared" si="3"/>
        <v>1</v>
      </c>
      <c r="K51" s="4">
        <f t="shared" si="0"/>
        <v>-0.22312368972746333</v>
      </c>
      <c r="M51"/>
      <c r="O51"/>
      <c r="Q51" t="s">
        <v>260</v>
      </c>
      <c r="R51">
        <v>829</v>
      </c>
      <c r="S51">
        <v>1139.6600000000001</v>
      </c>
    </row>
    <row r="52" spans="1:19" hidden="1">
      <c r="A52" t="s">
        <v>1219</v>
      </c>
      <c r="B52" t="s">
        <v>799</v>
      </c>
      <c r="C52" t="s">
        <v>800</v>
      </c>
      <c r="D52" s="19">
        <f>_xlfn.XLOOKUP(C:C,Q:Q,R:R)</f>
        <v>1934</v>
      </c>
      <c r="E52" s="19">
        <f t="shared" si="1"/>
        <v>69.071428571428569</v>
      </c>
      <c r="F52">
        <f>_xlfn.XLOOKUP(C:C,Q:Q,S:S)</f>
        <v>3360.25</v>
      </c>
      <c r="I52" s="19">
        <f t="shared" si="2"/>
        <v>3868</v>
      </c>
      <c r="J52" t="b">
        <f t="shared" si="3"/>
        <v>1</v>
      </c>
      <c r="K52" s="4">
        <f t="shared" si="0"/>
        <v>-0.13126938986556358</v>
      </c>
      <c r="M52"/>
      <c r="O52"/>
      <c r="Q52" t="s">
        <v>48</v>
      </c>
      <c r="R52">
        <v>3176</v>
      </c>
      <c r="S52">
        <v>4296.8900000000003</v>
      </c>
    </row>
    <row r="53" spans="1:19" hidden="1">
      <c r="A53" t="s">
        <v>1219</v>
      </c>
      <c r="B53" t="s">
        <v>721</v>
      </c>
      <c r="C53" t="s">
        <v>722</v>
      </c>
      <c r="D53" s="19">
        <f>_xlfn.XLOOKUP(C:C,Q:Q,R:R)</f>
        <v>1614</v>
      </c>
      <c r="E53" s="19">
        <f t="shared" si="1"/>
        <v>57.642857142857146</v>
      </c>
      <c r="F53">
        <f>_xlfn.XLOOKUP(C:C,Q:Q,S:S)</f>
        <v>3358.06</v>
      </c>
      <c r="I53" s="157">
        <f t="shared" si="2"/>
        <v>3228</v>
      </c>
      <c r="J53" t="b">
        <f t="shared" si="3"/>
        <v>1</v>
      </c>
      <c r="K53" s="4">
        <f t="shared" si="0"/>
        <v>4.0291201982651792E-2</v>
      </c>
      <c r="Q53" t="s">
        <v>204</v>
      </c>
      <c r="R53">
        <v>775</v>
      </c>
      <c r="S53">
        <v>1364.36</v>
      </c>
    </row>
    <row r="54" spans="1:19" hidden="1">
      <c r="A54" t="s">
        <v>1218</v>
      </c>
      <c r="B54" t="s">
        <v>85</v>
      </c>
      <c r="C54" t="s">
        <v>86</v>
      </c>
      <c r="D54" s="19">
        <f>_xlfn.XLOOKUP(C:C,Q:Q,R:R)</f>
        <v>67399</v>
      </c>
      <c r="E54" s="19">
        <f t="shared" si="1"/>
        <v>2407.1071428571427</v>
      </c>
      <c r="F54">
        <f>_xlfn.XLOOKUP(C:C,Q:Q,S:S)</f>
        <v>74374.570000000007</v>
      </c>
      <c r="I54" s="19">
        <f t="shared" si="2"/>
        <v>134798</v>
      </c>
      <c r="J54" t="b">
        <f t="shared" si="3"/>
        <v>1</v>
      </c>
      <c r="K54" s="4">
        <f t="shared" si="0"/>
        <v>-0.44825168029199236</v>
      </c>
      <c r="M54"/>
      <c r="O54"/>
      <c r="Q54" t="s">
        <v>124</v>
      </c>
      <c r="R54">
        <v>652</v>
      </c>
      <c r="S54">
        <v>1543.21</v>
      </c>
    </row>
    <row r="55" spans="1:19" hidden="1">
      <c r="A55" t="s">
        <v>1219</v>
      </c>
      <c r="B55" t="s">
        <v>558</v>
      </c>
      <c r="C55" t="s">
        <v>559</v>
      </c>
      <c r="D55" s="19">
        <f>_xlfn.XLOOKUP(C:C,Q:Q,R:R)</f>
        <v>3398</v>
      </c>
      <c r="E55" s="19">
        <f t="shared" si="1"/>
        <v>121.35714285714286</v>
      </c>
      <c r="F55">
        <f>_xlfn.XLOOKUP(C:C,Q:Q,S:S)</f>
        <v>4409.53</v>
      </c>
      <c r="I55" s="19">
        <f t="shared" si="2"/>
        <v>6796</v>
      </c>
      <c r="J55" t="b">
        <f t="shared" si="3"/>
        <v>1</v>
      </c>
      <c r="K55" s="4">
        <f t="shared" si="0"/>
        <v>-0.35115803413772806</v>
      </c>
      <c r="M55"/>
      <c r="O55"/>
      <c r="Q55" t="s">
        <v>466</v>
      </c>
      <c r="R55">
        <v>7423</v>
      </c>
      <c r="S55">
        <v>11232.22</v>
      </c>
    </row>
    <row r="56" spans="1:19" hidden="1">
      <c r="A56" t="s">
        <v>1218</v>
      </c>
      <c r="B56" t="s">
        <v>191</v>
      </c>
      <c r="C56" t="s">
        <v>192</v>
      </c>
      <c r="D56" s="19">
        <f>_xlfn.XLOOKUP(C:C,Q:Q,R:R)</f>
        <v>2684</v>
      </c>
      <c r="E56" s="19">
        <f t="shared" si="1"/>
        <v>95.857142857142861</v>
      </c>
      <c r="F56">
        <f>_xlfn.XLOOKUP(C:C,Q:Q,S:S)</f>
        <v>4208.54</v>
      </c>
      <c r="I56" s="19">
        <f t="shared" si="2"/>
        <v>5368</v>
      </c>
      <c r="J56" t="b">
        <f t="shared" si="3"/>
        <v>1</v>
      </c>
      <c r="K56" s="4">
        <f t="shared" si="0"/>
        <v>-0.21599478390462001</v>
      </c>
      <c r="M56"/>
      <c r="O56"/>
      <c r="Q56" t="s">
        <v>450</v>
      </c>
      <c r="R56">
        <v>1327</v>
      </c>
      <c r="S56">
        <v>3076.45</v>
      </c>
    </row>
    <row r="57" spans="1:19" hidden="1">
      <c r="A57" t="s">
        <v>1219</v>
      </c>
      <c r="B57" t="s">
        <v>687</v>
      </c>
      <c r="C57" t="s">
        <v>688</v>
      </c>
      <c r="D57" s="19">
        <f>_xlfn.XLOOKUP(C:C,Q:Q,R:R)</f>
        <v>4088</v>
      </c>
      <c r="E57" s="19">
        <f t="shared" si="1"/>
        <v>146</v>
      </c>
      <c r="F57">
        <f>_xlfn.XLOOKUP(C:C,Q:Q,S:S)</f>
        <v>1357.7</v>
      </c>
      <c r="I57" s="19">
        <f t="shared" si="2"/>
        <v>8176</v>
      </c>
      <c r="J57" t="b">
        <f t="shared" si="3"/>
        <v>1</v>
      </c>
      <c r="K57" s="4">
        <f t="shared" si="0"/>
        <v>-0.83394080234833656</v>
      </c>
      <c r="M57"/>
      <c r="O57"/>
      <c r="Q57" t="s">
        <v>146</v>
      </c>
      <c r="R57">
        <v>932</v>
      </c>
      <c r="S57">
        <v>1032.94</v>
      </c>
    </row>
    <row r="58" spans="1:19" hidden="1">
      <c r="A58" t="s">
        <v>1218</v>
      </c>
      <c r="B58" t="s">
        <v>423</v>
      </c>
      <c r="C58" t="s">
        <v>424</v>
      </c>
      <c r="D58" s="19">
        <f>_xlfn.XLOOKUP(C:C,Q:Q,R:R)</f>
        <v>1664</v>
      </c>
      <c r="E58" s="19">
        <f t="shared" si="1"/>
        <v>59.428571428571431</v>
      </c>
      <c r="F58">
        <f>_xlfn.XLOOKUP(C:C,Q:Q,S:S)</f>
        <v>1764.37</v>
      </c>
      <c r="I58" s="19">
        <f t="shared" si="2"/>
        <v>3328</v>
      </c>
      <c r="J58" t="b">
        <f t="shared" si="3"/>
        <v>1</v>
      </c>
      <c r="K58" s="4">
        <f t="shared" si="0"/>
        <v>-0.46984074519230767</v>
      </c>
      <c r="M58"/>
      <c r="O58"/>
      <c r="Q58" t="s">
        <v>236</v>
      </c>
      <c r="R58">
        <v>1214</v>
      </c>
      <c r="S58">
        <v>1000.47</v>
      </c>
    </row>
    <row r="59" spans="1:19" hidden="1">
      <c r="A59" t="s">
        <v>1218</v>
      </c>
      <c r="B59" t="s">
        <v>427</v>
      </c>
      <c r="C59" t="s">
        <v>428</v>
      </c>
      <c r="D59" s="19">
        <f>_xlfn.XLOOKUP(C:C,Q:Q,R:R)</f>
        <v>3162</v>
      </c>
      <c r="E59" s="19">
        <f t="shared" si="1"/>
        <v>112.92857142857143</v>
      </c>
      <c r="F59">
        <f>_xlfn.XLOOKUP(C:C,Q:Q,S:S)</f>
        <v>3743.79</v>
      </c>
      <c r="I59" s="19">
        <f t="shared" si="2"/>
        <v>6324</v>
      </c>
      <c r="J59" t="b">
        <f t="shared" si="3"/>
        <v>1</v>
      </c>
      <c r="K59" s="4">
        <f t="shared" si="0"/>
        <v>-0.40800284629981021</v>
      </c>
      <c r="M59"/>
      <c r="O59"/>
      <c r="Q59" t="s">
        <v>102</v>
      </c>
      <c r="R59">
        <v>1982</v>
      </c>
      <c r="S59">
        <v>1597.03</v>
      </c>
    </row>
    <row r="60" spans="1:19" hidden="1">
      <c r="A60" t="s">
        <v>1218</v>
      </c>
      <c r="B60" t="s">
        <v>67</v>
      </c>
      <c r="C60" t="s">
        <v>68</v>
      </c>
      <c r="D60" s="19">
        <f>_xlfn.XLOOKUP(C:C,Q:Q,R:R)</f>
        <v>3490</v>
      </c>
      <c r="E60" s="19">
        <f t="shared" si="1"/>
        <v>124.64285714285714</v>
      </c>
      <c r="F60">
        <f>_xlfn.XLOOKUP(C:C,Q:Q,S:S)</f>
        <v>6233.8</v>
      </c>
      <c r="I60" s="19">
        <f t="shared" si="2"/>
        <v>6980</v>
      </c>
      <c r="J60" t="b">
        <f t="shared" si="3"/>
        <v>1</v>
      </c>
      <c r="K60" s="4">
        <f t="shared" si="0"/>
        <v>-0.1069054441260745</v>
      </c>
      <c r="M60"/>
      <c r="O60"/>
      <c r="Q60" t="s">
        <v>460</v>
      </c>
      <c r="R60">
        <v>1254</v>
      </c>
      <c r="S60">
        <v>3319.52</v>
      </c>
    </row>
    <row r="61" spans="1:19" hidden="1">
      <c r="A61" t="s">
        <v>1218</v>
      </c>
      <c r="B61" t="s">
        <v>447</v>
      </c>
      <c r="C61" t="s">
        <v>448</v>
      </c>
      <c r="D61" s="19">
        <f>_xlfn.XLOOKUP(C:C,Q:Q,R:R)</f>
        <v>1829</v>
      </c>
      <c r="E61" s="19">
        <f t="shared" si="1"/>
        <v>65.321428571428569</v>
      </c>
      <c r="F61">
        <f>_xlfn.XLOOKUP(C:C,Q:Q,S:S)</f>
        <v>4095.28</v>
      </c>
      <c r="I61" s="19">
        <f t="shared" si="2"/>
        <v>3658</v>
      </c>
      <c r="J61" t="b">
        <f t="shared" si="3"/>
        <v>1</v>
      </c>
      <c r="K61" s="4">
        <f t="shared" si="0"/>
        <v>0.11954073264078735</v>
      </c>
      <c r="M61"/>
      <c r="O61"/>
      <c r="Q61" t="s">
        <v>170</v>
      </c>
      <c r="R61">
        <v>971</v>
      </c>
      <c r="S61">
        <v>1914.05</v>
      </c>
    </row>
    <row r="62" spans="1:19" hidden="1">
      <c r="A62" t="s">
        <v>1218</v>
      </c>
      <c r="B62" t="s">
        <v>33</v>
      </c>
      <c r="C62" t="s">
        <v>34</v>
      </c>
      <c r="D62" s="19">
        <f>_xlfn.XLOOKUP(C:C,Q:Q,R:R)</f>
        <v>3689</v>
      </c>
      <c r="E62" s="19">
        <f t="shared" si="1"/>
        <v>131.75</v>
      </c>
      <c r="F62">
        <f>_xlfn.XLOOKUP(C:C,Q:Q,S:S)</f>
        <v>5998.01</v>
      </c>
      <c r="I62" s="19">
        <f t="shared" si="2"/>
        <v>7378</v>
      </c>
      <c r="J62" t="b">
        <f t="shared" si="3"/>
        <v>1</v>
      </c>
      <c r="K62" s="4">
        <f t="shared" si="0"/>
        <v>-0.18704120357820542</v>
      </c>
      <c r="M62"/>
      <c r="O62"/>
      <c r="Q62" t="s">
        <v>172</v>
      </c>
      <c r="R62">
        <v>3925</v>
      </c>
      <c r="S62">
        <v>5623.45</v>
      </c>
    </row>
    <row r="63" spans="1:19" hidden="1">
      <c r="A63" t="s">
        <v>1218</v>
      </c>
      <c r="B63" t="s">
        <v>19</v>
      </c>
      <c r="C63" t="s">
        <v>20</v>
      </c>
      <c r="D63" s="19">
        <f>_xlfn.XLOOKUP(C:C,Q:Q,R:R)</f>
        <v>7271</v>
      </c>
      <c r="E63" s="19">
        <f t="shared" si="1"/>
        <v>259.67857142857144</v>
      </c>
      <c r="F63">
        <f>_xlfn.XLOOKUP(C:C,Q:Q,S:S)</f>
        <v>8084.91</v>
      </c>
      <c r="I63" s="19">
        <f t="shared" si="2"/>
        <v>14542</v>
      </c>
      <c r="J63" t="b">
        <f t="shared" si="3"/>
        <v>1</v>
      </c>
      <c r="K63" s="4">
        <f t="shared" si="0"/>
        <v>-0.44403039471874572</v>
      </c>
      <c r="M63"/>
      <c r="O63"/>
      <c r="Q63" t="s">
        <v>304</v>
      </c>
      <c r="R63">
        <v>470</v>
      </c>
      <c r="S63">
        <v>1363.19</v>
      </c>
    </row>
    <row r="64" spans="1:19" hidden="1">
      <c r="A64" t="s">
        <v>1218</v>
      </c>
      <c r="B64" t="s">
        <v>443</v>
      </c>
      <c r="C64" t="s">
        <v>444</v>
      </c>
      <c r="D64" s="19">
        <f>_xlfn.XLOOKUP(C:C,Q:Q,R:R)</f>
        <v>4667</v>
      </c>
      <c r="E64" s="19">
        <f t="shared" si="1"/>
        <v>166.67857142857142</v>
      </c>
      <c r="F64">
        <f>_xlfn.XLOOKUP(C:C,Q:Q,S:S)</f>
        <v>10317.379999999999</v>
      </c>
      <c r="I64" s="19">
        <f t="shared" si="2"/>
        <v>9334</v>
      </c>
      <c r="J64" t="b">
        <f t="shared" si="3"/>
        <v>1</v>
      </c>
      <c r="K64" s="4">
        <f t="shared" si="0"/>
        <v>0.10535461752731945</v>
      </c>
      <c r="M64"/>
      <c r="O64"/>
      <c r="Q64" t="s">
        <v>224</v>
      </c>
      <c r="R64">
        <v>2026</v>
      </c>
      <c r="S64">
        <v>2164.4299999999998</v>
      </c>
    </row>
    <row r="65" spans="1:19" hidden="1">
      <c r="A65" t="s">
        <v>1219</v>
      </c>
      <c r="B65" t="s">
        <v>754</v>
      </c>
      <c r="C65" t="s">
        <v>755</v>
      </c>
      <c r="D65" s="19">
        <f>_xlfn.XLOOKUP(C:C,Q:Q,R:R)</f>
        <v>2100</v>
      </c>
      <c r="E65" s="19">
        <f t="shared" ref="E65:E128" si="4">D65/28</f>
        <v>75</v>
      </c>
      <c r="F65">
        <f>_xlfn.XLOOKUP(C:C,Q:Q,S:S)</f>
        <v>2900.04</v>
      </c>
      <c r="I65" s="19">
        <f t="shared" ref="I65:I128" si="5">IF((D65/28)&gt;100,D65*2,D65*2)</f>
        <v>4200</v>
      </c>
      <c r="J65" t="b">
        <f t="shared" ref="J65:J128" si="6">IF(F65&gt;1.2*I65,FALSE,TRUE)</f>
        <v>1</v>
      </c>
      <c r="K65" s="4">
        <f t="shared" ref="K65:K128" si="7">F65/I65-1</f>
        <v>-0.30951428571428574</v>
      </c>
      <c r="M65"/>
      <c r="O65"/>
      <c r="Q65" t="s">
        <v>84</v>
      </c>
      <c r="R65">
        <v>2247</v>
      </c>
      <c r="S65">
        <v>4321.58</v>
      </c>
    </row>
    <row r="66" spans="1:19" hidden="1">
      <c r="A66" t="s">
        <v>1220</v>
      </c>
      <c r="B66" t="s">
        <v>818</v>
      </c>
      <c r="C66" t="s">
        <v>819</v>
      </c>
      <c r="D66" s="19">
        <f>_xlfn.XLOOKUP(C:C,Q:Q,R:R)</f>
        <v>2820</v>
      </c>
      <c r="E66" s="19">
        <f t="shared" si="4"/>
        <v>100.71428571428571</v>
      </c>
      <c r="F66">
        <f>_xlfn.XLOOKUP(C:C,Q:Q,S:S)</f>
        <v>5352.41</v>
      </c>
      <c r="I66" s="19">
        <f t="shared" si="5"/>
        <v>5640</v>
      </c>
      <c r="J66" t="b">
        <f t="shared" si="6"/>
        <v>1</v>
      </c>
      <c r="K66" s="4">
        <f t="shared" si="7"/>
        <v>-5.0991134751773082E-2</v>
      </c>
      <c r="M66"/>
      <c r="O66"/>
      <c r="Q66" t="s">
        <v>130</v>
      </c>
      <c r="R66">
        <v>2514</v>
      </c>
      <c r="S66">
        <v>2598.67</v>
      </c>
    </row>
    <row r="67" spans="1:19" hidden="1">
      <c r="A67" t="s">
        <v>1219</v>
      </c>
      <c r="B67" t="s">
        <v>647</v>
      </c>
      <c r="C67" t="s">
        <v>648</v>
      </c>
      <c r="D67" s="19">
        <f>_xlfn.XLOOKUP(C:C,Q:Q,R:R)</f>
        <v>1461</v>
      </c>
      <c r="E67" s="19">
        <f t="shared" si="4"/>
        <v>52.178571428571431</v>
      </c>
      <c r="F67">
        <f>_xlfn.XLOOKUP(C:C,Q:Q,S:S)</f>
        <v>3193.14</v>
      </c>
      <c r="I67" s="19">
        <f t="shared" si="5"/>
        <v>2922</v>
      </c>
      <c r="J67" t="b">
        <f t="shared" si="6"/>
        <v>1</v>
      </c>
      <c r="K67" s="4">
        <f t="shared" si="7"/>
        <v>9.2792607802874683E-2</v>
      </c>
      <c r="M67"/>
      <c r="O67"/>
      <c r="Q67" t="s">
        <v>180</v>
      </c>
      <c r="R67">
        <v>666</v>
      </c>
      <c r="S67">
        <v>974.04</v>
      </c>
    </row>
    <row r="68" spans="1:19" hidden="1">
      <c r="A68" t="s">
        <v>1219</v>
      </c>
      <c r="B68" t="s">
        <v>795</v>
      </c>
      <c r="C68" t="s">
        <v>796</v>
      </c>
      <c r="D68" s="19">
        <f>_xlfn.XLOOKUP(C:C,Q:Q,R:R)</f>
        <v>2721</v>
      </c>
      <c r="E68" s="19">
        <f t="shared" si="4"/>
        <v>97.178571428571431</v>
      </c>
      <c r="F68">
        <f>_xlfn.XLOOKUP(C:C,Q:Q,S:S)</f>
        <v>5511.35</v>
      </c>
      <c r="I68" s="19">
        <f t="shared" si="5"/>
        <v>5442</v>
      </c>
      <c r="J68" t="b">
        <f t="shared" si="6"/>
        <v>1</v>
      </c>
      <c r="K68" s="4">
        <f t="shared" si="7"/>
        <v>1.2743476662991693E-2</v>
      </c>
      <c r="M68"/>
      <c r="O68"/>
      <c r="Q68" t="s">
        <v>132</v>
      </c>
      <c r="R68">
        <v>2677</v>
      </c>
      <c r="S68">
        <v>4678.3900000000003</v>
      </c>
    </row>
    <row r="69" spans="1:19" hidden="1">
      <c r="A69" t="s">
        <v>1218</v>
      </c>
      <c r="B69" t="s">
        <v>421</v>
      </c>
      <c r="C69" t="s">
        <v>422</v>
      </c>
      <c r="D69" s="19">
        <f>_xlfn.XLOOKUP(C:C,Q:Q,R:R)</f>
        <v>1992</v>
      </c>
      <c r="E69" s="19">
        <f t="shared" si="4"/>
        <v>71.142857142857139</v>
      </c>
      <c r="F69">
        <f>_xlfn.XLOOKUP(C:C,Q:Q,S:S)</f>
        <v>2894.27</v>
      </c>
      <c r="I69" s="19">
        <f t="shared" si="5"/>
        <v>3984</v>
      </c>
      <c r="J69" t="b">
        <f t="shared" si="6"/>
        <v>1</v>
      </c>
      <c r="K69" s="4">
        <f t="shared" si="7"/>
        <v>-0.27352660642570281</v>
      </c>
      <c r="M69"/>
      <c r="O69"/>
      <c r="Q69" t="s">
        <v>182</v>
      </c>
      <c r="R69">
        <v>1267</v>
      </c>
      <c r="S69">
        <v>2666.4</v>
      </c>
    </row>
    <row r="70" spans="1:19" hidden="1">
      <c r="A70" t="s">
        <v>1218</v>
      </c>
      <c r="B70" t="s">
        <v>43</v>
      </c>
      <c r="C70" t="s">
        <v>44</v>
      </c>
      <c r="D70" s="19">
        <f>_xlfn.XLOOKUP(C:C,Q:Q,R:R)</f>
        <v>4818</v>
      </c>
      <c r="E70" s="19">
        <f t="shared" si="4"/>
        <v>172.07142857142858</v>
      </c>
      <c r="F70">
        <f>_xlfn.XLOOKUP(C:C,Q:Q,S:S)</f>
        <v>8527.9500000000007</v>
      </c>
      <c r="I70" s="19">
        <f t="shared" si="5"/>
        <v>9636</v>
      </c>
      <c r="J70" t="b">
        <f t="shared" si="6"/>
        <v>1</v>
      </c>
      <c r="K70" s="4">
        <f t="shared" si="7"/>
        <v>-0.11499066002490654</v>
      </c>
      <c r="M70"/>
      <c r="O70"/>
      <c r="Q70" t="s">
        <v>396</v>
      </c>
      <c r="R70">
        <v>1937</v>
      </c>
      <c r="S70">
        <v>3822.55</v>
      </c>
    </row>
    <row r="71" spans="1:19" hidden="1">
      <c r="A71" t="s">
        <v>1220</v>
      </c>
      <c r="B71" t="s">
        <v>814</v>
      </c>
      <c r="C71" t="s">
        <v>815</v>
      </c>
      <c r="D71" s="19">
        <f>_xlfn.XLOOKUP(C:C,Q:Q,R:R)</f>
        <v>1605</v>
      </c>
      <c r="E71" s="19">
        <f t="shared" si="4"/>
        <v>57.321428571428569</v>
      </c>
      <c r="F71">
        <f>_xlfn.XLOOKUP(C:C,Q:Q,S:S)</f>
        <v>1997.57</v>
      </c>
      <c r="I71" s="19">
        <f t="shared" si="5"/>
        <v>3210</v>
      </c>
      <c r="J71" t="b">
        <f t="shared" si="6"/>
        <v>1</v>
      </c>
      <c r="K71" s="4">
        <f t="shared" si="7"/>
        <v>-0.37770404984423678</v>
      </c>
      <c r="M71"/>
      <c r="O71"/>
      <c r="Q71" t="s">
        <v>360</v>
      </c>
      <c r="R71">
        <v>898</v>
      </c>
      <c r="S71">
        <v>1192.75</v>
      </c>
    </row>
    <row r="72" spans="1:19" hidden="1">
      <c r="A72" t="s">
        <v>1218</v>
      </c>
      <c r="B72" t="s">
        <v>89</v>
      </c>
      <c r="C72" t="s">
        <v>90</v>
      </c>
      <c r="D72" s="19">
        <f>_xlfn.XLOOKUP(C:C,Q:Q,R:R)</f>
        <v>1603</v>
      </c>
      <c r="E72" s="19">
        <f t="shared" si="4"/>
        <v>57.25</v>
      </c>
      <c r="F72">
        <f>_xlfn.XLOOKUP(C:C,Q:Q,S:S)</f>
        <v>2952.38</v>
      </c>
      <c r="I72" s="19">
        <f t="shared" si="5"/>
        <v>3206</v>
      </c>
      <c r="J72" t="b">
        <f t="shared" si="6"/>
        <v>1</v>
      </c>
      <c r="K72" s="4">
        <f t="shared" si="7"/>
        <v>-7.9107922645040518E-2</v>
      </c>
      <c r="M72"/>
      <c r="O72"/>
      <c r="Q72" t="s">
        <v>352</v>
      </c>
      <c r="R72">
        <v>866</v>
      </c>
      <c r="S72">
        <v>951.69</v>
      </c>
    </row>
    <row r="73" spans="1:19" hidden="1">
      <c r="A73" t="s">
        <v>1219</v>
      </c>
      <c r="B73" t="s">
        <v>764</v>
      </c>
      <c r="C73" t="s">
        <v>765</v>
      </c>
      <c r="D73" s="19">
        <f>_xlfn.XLOOKUP(C:C,Q:Q,R:R)</f>
        <v>3590</v>
      </c>
      <c r="E73" s="19">
        <f t="shared" si="4"/>
        <v>128.21428571428572</v>
      </c>
      <c r="F73">
        <f>_xlfn.XLOOKUP(C:C,Q:Q,S:S)</f>
        <v>3329.15</v>
      </c>
      <c r="I73" s="19">
        <f t="shared" si="5"/>
        <v>7180</v>
      </c>
      <c r="J73" t="b">
        <f t="shared" si="6"/>
        <v>1</v>
      </c>
      <c r="K73" s="4">
        <f t="shared" si="7"/>
        <v>-0.53633008356545964</v>
      </c>
      <c r="M73"/>
      <c r="O73"/>
      <c r="Q73" t="s">
        <v>82</v>
      </c>
      <c r="R73">
        <v>1675</v>
      </c>
      <c r="S73">
        <v>3354.17</v>
      </c>
    </row>
    <row r="74" spans="1:19" hidden="1">
      <c r="A74" t="s">
        <v>1220</v>
      </c>
      <c r="B74" t="s">
        <v>1018</v>
      </c>
      <c r="C74" t="s">
        <v>1019</v>
      </c>
      <c r="D74" s="19">
        <f>_xlfn.XLOOKUP(C:C,Q:Q,R:R)</f>
        <v>2648</v>
      </c>
      <c r="E74" s="19">
        <f t="shared" si="4"/>
        <v>94.571428571428569</v>
      </c>
      <c r="F74">
        <f>_xlfn.XLOOKUP(C:C,Q:Q,S:S)</f>
        <v>1533.95</v>
      </c>
      <c r="I74" s="19">
        <f t="shared" si="5"/>
        <v>5296</v>
      </c>
      <c r="J74" t="b">
        <f t="shared" si="6"/>
        <v>1</v>
      </c>
      <c r="K74" s="4">
        <f t="shared" si="7"/>
        <v>-0.71035687311178242</v>
      </c>
      <c r="M74"/>
      <c r="O74"/>
      <c r="Q74" t="s">
        <v>270</v>
      </c>
      <c r="R74">
        <v>821</v>
      </c>
      <c r="S74">
        <v>1269.99</v>
      </c>
    </row>
    <row r="75" spans="1:19" hidden="1">
      <c r="A75" t="s">
        <v>1218</v>
      </c>
      <c r="B75" t="s">
        <v>439</v>
      </c>
      <c r="C75" t="s">
        <v>440</v>
      </c>
      <c r="D75" s="19">
        <f>_xlfn.XLOOKUP(C:C,Q:Q,R:R)</f>
        <v>3661</v>
      </c>
      <c r="E75" s="19">
        <f t="shared" si="4"/>
        <v>130.75</v>
      </c>
      <c r="F75">
        <f>_xlfn.XLOOKUP(C:C,Q:Q,S:S)</f>
        <v>7728.05</v>
      </c>
      <c r="I75" s="19">
        <f t="shared" si="5"/>
        <v>7322</v>
      </c>
      <c r="J75" t="b">
        <f t="shared" si="6"/>
        <v>1</v>
      </c>
      <c r="K75" s="4">
        <f t="shared" si="7"/>
        <v>5.5456159519257087E-2</v>
      </c>
      <c r="M75"/>
      <c r="O75"/>
      <c r="Q75" t="s">
        <v>222</v>
      </c>
      <c r="R75">
        <v>472</v>
      </c>
      <c r="S75">
        <v>962.02</v>
      </c>
    </row>
    <row r="76" spans="1:19" hidden="1">
      <c r="A76" t="s">
        <v>1219</v>
      </c>
      <c r="B76" t="s">
        <v>793</v>
      </c>
      <c r="C76" t="s">
        <v>794</v>
      </c>
      <c r="D76" s="19">
        <f>_xlfn.XLOOKUP(C:C,Q:Q,R:R)</f>
        <v>2751</v>
      </c>
      <c r="E76" s="19">
        <f t="shared" si="4"/>
        <v>98.25</v>
      </c>
      <c r="F76">
        <f>_xlfn.XLOOKUP(C:C,Q:Q,S:S)</f>
        <v>3498.09</v>
      </c>
      <c r="I76" s="19">
        <f t="shared" si="5"/>
        <v>5502</v>
      </c>
      <c r="J76" t="b">
        <f t="shared" si="6"/>
        <v>1</v>
      </c>
      <c r="K76" s="4">
        <f t="shared" si="7"/>
        <v>-0.36421483097055618</v>
      </c>
      <c r="M76"/>
      <c r="O76"/>
      <c r="Q76" t="s">
        <v>244</v>
      </c>
      <c r="R76">
        <v>525</v>
      </c>
      <c r="S76">
        <v>774.67</v>
      </c>
    </row>
    <row r="77" spans="1:19" hidden="1">
      <c r="A77" t="s">
        <v>1219</v>
      </c>
      <c r="B77" t="s">
        <v>786</v>
      </c>
      <c r="C77" t="s">
        <v>787</v>
      </c>
      <c r="D77" s="19">
        <f>_xlfn.XLOOKUP(C:C,Q:Q,R:R)</f>
        <v>2392</v>
      </c>
      <c r="E77" s="19">
        <f t="shared" si="4"/>
        <v>85.428571428571431</v>
      </c>
      <c r="F77">
        <f>_xlfn.XLOOKUP(C:C,Q:Q,S:S)</f>
        <v>3804.61</v>
      </c>
      <c r="I77" s="19">
        <f t="shared" si="5"/>
        <v>4784</v>
      </c>
      <c r="J77" t="b">
        <f t="shared" si="6"/>
        <v>1</v>
      </c>
      <c r="K77" s="4">
        <f t="shared" si="7"/>
        <v>-0.20472198996655511</v>
      </c>
      <c r="M77"/>
      <c r="O77"/>
      <c r="Q77" t="s">
        <v>364</v>
      </c>
      <c r="R77">
        <v>901</v>
      </c>
      <c r="S77">
        <v>1451.22</v>
      </c>
    </row>
    <row r="78" spans="1:19" hidden="1">
      <c r="A78" t="s">
        <v>1220</v>
      </c>
      <c r="B78" t="s">
        <v>852</v>
      </c>
      <c r="C78" t="s">
        <v>853</v>
      </c>
      <c r="D78" s="19">
        <f>_xlfn.XLOOKUP(C:C,Q:Q,R:R)</f>
        <v>1525</v>
      </c>
      <c r="E78" s="19">
        <f t="shared" si="4"/>
        <v>54.464285714285715</v>
      </c>
      <c r="F78">
        <f>_xlfn.XLOOKUP(C:C,Q:Q,S:S)</f>
        <v>2359.86</v>
      </c>
      <c r="I78" s="19">
        <f t="shared" si="5"/>
        <v>3050</v>
      </c>
      <c r="J78" t="b">
        <f t="shared" si="6"/>
        <v>1</v>
      </c>
      <c r="K78" s="4">
        <f t="shared" si="7"/>
        <v>-0.22627540983606553</v>
      </c>
      <c r="M78"/>
      <c r="O78"/>
      <c r="Q78" t="s">
        <v>234</v>
      </c>
      <c r="R78">
        <v>2428</v>
      </c>
      <c r="S78">
        <v>2821.81</v>
      </c>
    </row>
    <row r="79" spans="1:19" hidden="1">
      <c r="A79" t="s">
        <v>1219</v>
      </c>
      <c r="B79" t="s">
        <v>505</v>
      </c>
      <c r="C79" t="s">
        <v>506</v>
      </c>
      <c r="D79" s="19">
        <f>_xlfn.XLOOKUP(C:C,Q:Q,R:R)</f>
        <v>1388</v>
      </c>
      <c r="E79" s="19">
        <f t="shared" si="4"/>
        <v>49.571428571428569</v>
      </c>
      <c r="F79">
        <f>_xlfn.XLOOKUP(C:C,Q:Q,S:S)</f>
        <v>939.57</v>
      </c>
      <c r="I79" s="19">
        <f t="shared" si="5"/>
        <v>2776</v>
      </c>
      <c r="J79" t="b">
        <f t="shared" si="6"/>
        <v>1</v>
      </c>
      <c r="K79" s="4">
        <f t="shared" si="7"/>
        <v>-0.66153818443804036</v>
      </c>
      <c r="M79"/>
      <c r="O79"/>
      <c r="Q79" t="s">
        <v>218</v>
      </c>
      <c r="R79">
        <v>1476</v>
      </c>
      <c r="S79">
        <v>1165.81</v>
      </c>
    </row>
    <row r="80" spans="1:19" hidden="1">
      <c r="A80" t="s">
        <v>1218</v>
      </c>
      <c r="B80" t="s">
        <v>253</v>
      </c>
      <c r="C80" t="s">
        <v>254</v>
      </c>
      <c r="D80" s="19">
        <f>_xlfn.XLOOKUP(C:C,Q:Q,R:R)</f>
        <v>941</v>
      </c>
      <c r="E80" s="19">
        <f>D80/28</f>
        <v>33.607142857142854</v>
      </c>
      <c r="F80">
        <f>_xlfn.XLOOKUP(C:C,Q:Q,S:S)</f>
        <v>2119.17</v>
      </c>
      <c r="I80" s="157">
        <f>IF((D80/28)&gt;100,D80*2,D80*2)</f>
        <v>1882</v>
      </c>
      <c r="J80" t="b">
        <f t="shared" si="6"/>
        <v>1</v>
      </c>
      <c r="K80" s="4">
        <f>F80/I80-1</f>
        <v>0.12602019128586606</v>
      </c>
      <c r="O80" s="165"/>
      <c r="Q80" t="s">
        <v>430</v>
      </c>
      <c r="R80">
        <v>978</v>
      </c>
      <c r="S80">
        <v>871.95</v>
      </c>
    </row>
    <row r="81" spans="1:19" hidden="1">
      <c r="A81" t="s">
        <v>1218</v>
      </c>
      <c r="B81" t="s">
        <v>75</v>
      </c>
      <c r="C81" t="s">
        <v>76</v>
      </c>
      <c r="D81" s="19">
        <f>_xlfn.XLOOKUP(C:C,Q:Q,R:R)</f>
        <v>4822</v>
      </c>
      <c r="E81" s="19">
        <f t="shared" si="4"/>
        <v>172.21428571428572</v>
      </c>
      <c r="F81">
        <f>_xlfn.XLOOKUP(C:C,Q:Q,S:S)</f>
        <v>9600.5</v>
      </c>
      <c r="I81" s="19">
        <f t="shared" si="5"/>
        <v>9644</v>
      </c>
      <c r="J81" t="b">
        <f t="shared" si="6"/>
        <v>1</v>
      </c>
      <c r="K81" s="4">
        <f t="shared" si="7"/>
        <v>-4.5105765242637874E-3</v>
      </c>
      <c r="M81"/>
      <c r="O81"/>
      <c r="Q81" t="s">
        <v>158</v>
      </c>
      <c r="R81">
        <v>952</v>
      </c>
      <c r="S81">
        <v>1464.03</v>
      </c>
    </row>
    <row r="82" spans="1:19" hidden="1">
      <c r="A82" t="s">
        <v>1218</v>
      </c>
      <c r="B82" t="s">
        <v>131</v>
      </c>
      <c r="C82" t="s">
        <v>132</v>
      </c>
      <c r="D82" s="19">
        <f>_xlfn.XLOOKUP(C:C,Q:Q,R:R)</f>
        <v>2677</v>
      </c>
      <c r="E82" s="19">
        <f t="shared" si="4"/>
        <v>95.607142857142861</v>
      </c>
      <c r="F82">
        <f>_xlfn.XLOOKUP(C:C,Q:Q,S:S)</f>
        <v>4678.3900000000003</v>
      </c>
      <c r="I82" s="19">
        <f t="shared" si="5"/>
        <v>5354</v>
      </c>
      <c r="J82" t="b">
        <f t="shared" si="6"/>
        <v>1</v>
      </c>
      <c r="K82" s="4">
        <f t="shared" si="7"/>
        <v>-0.12618789689951437</v>
      </c>
      <c r="M82"/>
      <c r="O82"/>
      <c r="Q82" t="s">
        <v>174</v>
      </c>
      <c r="R82">
        <v>1631</v>
      </c>
      <c r="S82">
        <v>994.98</v>
      </c>
    </row>
    <row r="83" spans="1:19" hidden="1">
      <c r="A83" t="s">
        <v>1219</v>
      </c>
      <c r="B83" t="s">
        <v>605</v>
      </c>
      <c r="C83" t="s">
        <v>606</v>
      </c>
      <c r="D83" s="19">
        <f>_xlfn.XLOOKUP(C:C,Q:Q,R:R)</f>
        <v>1730</v>
      </c>
      <c r="E83" s="19">
        <f t="shared" si="4"/>
        <v>61.785714285714285</v>
      </c>
      <c r="F83">
        <f>_xlfn.XLOOKUP(C:C,Q:Q,S:S)</f>
        <v>2680.43</v>
      </c>
      <c r="I83" s="19">
        <f t="shared" si="5"/>
        <v>3460</v>
      </c>
      <c r="J83" t="b">
        <f t="shared" si="6"/>
        <v>1</v>
      </c>
      <c r="K83" s="4">
        <f t="shared" si="7"/>
        <v>-0.2253092485549133</v>
      </c>
      <c r="M83"/>
      <c r="O83"/>
      <c r="Q83" t="s">
        <v>226</v>
      </c>
      <c r="R83">
        <v>602</v>
      </c>
      <c r="S83">
        <v>654.19000000000005</v>
      </c>
    </row>
    <row r="84" spans="1:19" hidden="1">
      <c r="A84" t="s">
        <v>1219</v>
      </c>
      <c r="B84" t="s">
        <v>543</v>
      </c>
      <c r="C84" t="s">
        <v>544</v>
      </c>
      <c r="D84" s="19">
        <f>_xlfn.XLOOKUP(C:C,Q:Q,R:R)</f>
        <v>3637</v>
      </c>
      <c r="E84" s="19">
        <f t="shared" si="4"/>
        <v>129.89285714285714</v>
      </c>
      <c r="F84">
        <f>_xlfn.XLOOKUP(C:C,Q:Q,S:S)</f>
        <v>7335.47</v>
      </c>
      <c r="I84" s="19">
        <f t="shared" si="5"/>
        <v>7274</v>
      </c>
      <c r="J84" t="b">
        <f t="shared" si="6"/>
        <v>1</v>
      </c>
      <c r="K84" s="4">
        <f t="shared" si="7"/>
        <v>8.4506461369260322E-3</v>
      </c>
      <c r="M84"/>
      <c r="O84"/>
      <c r="Q84" t="s">
        <v>310</v>
      </c>
      <c r="R84">
        <v>1231</v>
      </c>
      <c r="S84">
        <v>2064.81</v>
      </c>
    </row>
    <row r="85" spans="1:19" hidden="1">
      <c r="A85" t="s">
        <v>1218</v>
      </c>
      <c r="B85" t="s">
        <v>141</v>
      </c>
      <c r="C85" t="s">
        <v>142</v>
      </c>
      <c r="D85" s="19">
        <f>_xlfn.XLOOKUP(C:C,Q:Q,R:R)</f>
        <v>1249</v>
      </c>
      <c r="E85" s="19">
        <f t="shared" si="4"/>
        <v>44.607142857142854</v>
      </c>
      <c r="F85">
        <f>_xlfn.XLOOKUP(C:C,Q:Q,S:S)</f>
        <v>1523.67</v>
      </c>
      <c r="I85" s="19">
        <f t="shared" si="5"/>
        <v>2498</v>
      </c>
      <c r="J85" t="b">
        <f t="shared" si="6"/>
        <v>1</v>
      </c>
      <c r="K85" s="4">
        <f t="shared" si="7"/>
        <v>-0.39004403522818254</v>
      </c>
      <c r="M85"/>
      <c r="O85"/>
      <c r="Q85" t="s">
        <v>88</v>
      </c>
      <c r="R85">
        <v>1672</v>
      </c>
      <c r="S85">
        <v>3182.12</v>
      </c>
    </row>
    <row r="86" spans="1:19" hidden="1">
      <c r="A86" t="s">
        <v>1218</v>
      </c>
      <c r="B86" t="s">
        <v>395</v>
      </c>
      <c r="C86" t="s">
        <v>396</v>
      </c>
      <c r="D86" s="19">
        <f>_xlfn.XLOOKUP(C:C,Q:Q,R:R)</f>
        <v>1937</v>
      </c>
      <c r="E86" s="19">
        <f t="shared" si="4"/>
        <v>69.178571428571431</v>
      </c>
      <c r="F86">
        <f>_xlfn.XLOOKUP(C:C,Q:Q,S:S)</f>
        <v>3822.55</v>
      </c>
      <c r="I86" s="19">
        <f t="shared" si="5"/>
        <v>3874</v>
      </c>
      <c r="J86" t="b">
        <f t="shared" si="6"/>
        <v>1</v>
      </c>
      <c r="K86" s="4">
        <f t="shared" si="7"/>
        <v>-1.3280846670108315E-2</v>
      </c>
      <c r="M86"/>
      <c r="O86"/>
      <c r="Q86" t="s">
        <v>194</v>
      </c>
      <c r="R86">
        <v>662</v>
      </c>
      <c r="S86">
        <v>310.57</v>
      </c>
    </row>
    <row r="87" spans="1:19" hidden="1">
      <c r="A87" t="s">
        <v>1219</v>
      </c>
      <c r="B87" t="s">
        <v>780</v>
      </c>
      <c r="C87" t="s">
        <v>781</v>
      </c>
      <c r="D87" s="19">
        <f>_xlfn.XLOOKUP(C:C,Q:Q,R:R)</f>
        <v>4451</v>
      </c>
      <c r="E87" s="19">
        <f t="shared" si="4"/>
        <v>158.96428571428572</v>
      </c>
      <c r="F87">
        <f>_xlfn.XLOOKUP(C:C,Q:Q,S:S)</f>
        <v>6429.45</v>
      </c>
      <c r="I87" s="19">
        <f t="shared" si="5"/>
        <v>8902</v>
      </c>
      <c r="J87" t="b">
        <f t="shared" si="6"/>
        <v>1</v>
      </c>
      <c r="K87" s="4">
        <f t="shared" si="7"/>
        <v>-0.27775219051898448</v>
      </c>
      <c r="M87"/>
      <c r="O87"/>
      <c r="Q87" t="s">
        <v>186</v>
      </c>
      <c r="R87">
        <v>423</v>
      </c>
      <c r="S87">
        <v>765.94</v>
      </c>
    </row>
    <row r="88" spans="1:19" hidden="1">
      <c r="A88" t="s">
        <v>1220</v>
      </c>
      <c r="B88" t="s">
        <v>877</v>
      </c>
      <c r="C88" t="s">
        <v>878</v>
      </c>
      <c r="D88" s="19">
        <f>_xlfn.XLOOKUP(C:C,Q:Q,R:R)</f>
        <v>1470</v>
      </c>
      <c r="E88" s="19">
        <f t="shared" si="4"/>
        <v>52.5</v>
      </c>
      <c r="F88">
        <f>_xlfn.XLOOKUP(C:C,Q:Q,S:S)</f>
        <v>2032.1</v>
      </c>
      <c r="I88" s="19">
        <f t="shared" si="5"/>
        <v>2940</v>
      </c>
      <c r="J88" t="b">
        <f t="shared" si="6"/>
        <v>1</v>
      </c>
      <c r="K88" s="4">
        <f t="shared" si="7"/>
        <v>-0.30880952380952387</v>
      </c>
      <c r="M88"/>
      <c r="O88"/>
      <c r="Q88" t="s">
        <v>246</v>
      </c>
      <c r="R88">
        <v>431</v>
      </c>
      <c r="S88">
        <v>742.51</v>
      </c>
    </row>
    <row r="89" spans="1:19" hidden="1">
      <c r="A89" t="s">
        <v>1218</v>
      </c>
      <c r="B89" t="s">
        <v>161</v>
      </c>
      <c r="C89" t="s">
        <v>162</v>
      </c>
      <c r="D89" s="19">
        <f>_xlfn.XLOOKUP(C:C,Q:Q,R:R)</f>
        <v>1412</v>
      </c>
      <c r="E89" s="19">
        <f t="shared" si="4"/>
        <v>50.428571428571431</v>
      </c>
      <c r="F89">
        <f>_xlfn.XLOOKUP(C:C,Q:Q,S:S)</f>
        <v>2519.35</v>
      </c>
      <c r="I89" s="19">
        <f t="shared" si="5"/>
        <v>2824</v>
      </c>
      <c r="J89" t="b">
        <f t="shared" si="6"/>
        <v>1</v>
      </c>
      <c r="K89" s="4">
        <f t="shared" si="7"/>
        <v>-0.10787889518413596</v>
      </c>
      <c r="M89"/>
      <c r="O89"/>
      <c r="Q89" t="s">
        <v>240</v>
      </c>
      <c r="R89">
        <v>208</v>
      </c>
      <c r="S89">
        <v>461.06</v>
      </c>
    </row>
    <row r="90" spans="1:19" hidden="1">
      <c r="A90" t="s">
        <v>1218</v>
      </c>
      <c r="B90" t="s">
        <v>379</v>
      </c>
      <c r="C90" t="s">
        <v>380</v>
      </c>
      <c r="D90" s="19">
        <f>_xlfn.XLOOKUP(C:C,Q:Q,R:R)</f>
        <v>3350</v>
      </c>
      <c r="E90" s="19">
        <f t="shared" si="4"/>
        <v>119.64285714285714</v>
      </c>
      <c r="F90">
        <f>_xlfn.XLOOKUP(C:C,Q:Q,S:S)</f>
        <v>6045.53</v>
      </c>
      <c r="I90" s="19">
        <f t="shared" si="5"/>
        <v>6700</v>
      </c>
      <c r="J90" t="b">
        <f t="shared" si="6"/>
        <v>1</v>
      </c>
      <c r="K90" s="4">
        <f t="shared" si="7"/>
        <v>-9.7682089552238893E-2</v>
      </c>
      <c r="M90"/>
      <c r="O90"/>
      <c r="Q90" t="s">
        <v>264</v>
      </c>
      <c r="R90">
        <v>427</v>
      </c>
      <c r="S90">
        <v>594.62</v>
      </c>
    </row>
    <row r="91" spans="1:19" hidden="1">
      <c r="A91" t="s">
        <v>1218</v>
      </c>
      <c r="B91" t="s">
        <v>325</v>
      </c>
      <c r="C91" t="s">
        <v>326</v>
      </c>
      <c r="D91" s="19">
        <f>_xlfn.XLOOKUP(C:C,Q:Q,R:R)</f>
        <v>1328</v>
      </c>
      <c r="E91" s="19">
        <f t="shared" si="4"/>
        <v>47.428571428571431</v>
      </c>
      <c r="F91">
        <f>_xlfn.XLOOKUP(C:C,Q:Q,S:S)</f>
        <v>1448.98</v>
      </c>
      <c r="I91" s="19">
        <f t="shared" si="5"/>
        <v>2656</v>
      </c>
      <c r="J91" t="b">
        <f t="shared" si="6"/>
        <v>1</v>
      </c>
      <c r="K91" s="4">
        <f t="shared" si="7"/>
        <v>-0.45445030120481922</v>
      </c>
      <c r="M91"/>
      <c r="O91"/>
      <c r="Q91" t="s">
        <v>470</v>
      </c>
      <c r="R91">
        <v>6857</v>
      </c>
      <c r="S91">
        <v>7319.16</v>
      </c>
    </row>
    <row r="92" spans="1:19" hidden="1">
      <c r="A92" t="s">
        <v>1219</v>
      </c>
      <c r="B92" t="s">
        <v>681</v>
      </c>
      <c r="C92" t="s">
        <v>682</v>
      </c>
      <c r="D92" s="19">
        <f>_xlfn.XLOOKUP(C:C,Q:Q,R:R)</f>
        <v>1727</v>
      </c>
      <c r="E92" s="19">
        <f t="shared" si="4"/>
        <v>61.678571428571431</v>
      </c>
      <c r="F92">
        <f>_xlfn.XLOOKUP(C:C,Q:Q,S:S)</f>
        <v>3534.84</v>
      </c>
      <c r="I92" s="19">
        <f t="shared" si="5"/>
        <v>3454</v>
      </c>
      <c r="J92" t="b">
        <f t="shared" si="6"/>
        <v>1</v>
      </c>
      <c r="K92" s="4">
        <f t="shared" si="7"/>
        <v>2.3404748118123875E-2</v>
      </c>
      <c r="M92"/>
      <c r="O92"/>
      <c r="Q92" t="s">
        <v>248</v>
      </c>
      <c r="R92">
        <v>1277</v>
      </c>
      <c r="S92">
        <v>2567.0300000000002</v>
      </c>
    </row>
    <row r="93" spans="1:19" hidden="1">
      <c r="A93" t="s">
        <v>1218</v>
      </c>
      <c r="B93" t="s">
        <v>445</v>
      </c>
      <c r="C93" t="s">
        <v>446</v>
      </c>
      <c r="D93" s="19">
        <f>_xlfn.XLOOKUP(C:C,Q:Q,R:R)</f>
        <v>3262</v>
      </c>
      <c r="E93" s="19">
        <f t="shared" si="4"/>
        <v>116.5</v>
      </c>
      <c r="F93">
        <f>_xlfn.XLOOKUP(C:C,Q:Q,S:S)</f>
        <v>5310.92</v>
      </c>
      <c r="I93" s="19">
        <f t="shared" si="5"/>
        <v>6524</v>
      </c>
      <c r="J93" t="b">
        <f t="shared" si="6"/>
        <v>1</v>
      </c>
      <c r="K93" s="4">
        <f t="shared" si="7"/>
        <v>-0.1859411404046597</v>
      </c>
      <c r="M93"/>
      <c r="O93"/>
      <c r="Q93" t="s">
        <v>344</v>
      </c>
      <c r="R93">
        <v>1046</v>
      </c>
      <c r="S93">
        <v>905.93</v>
      </c>
    </row>
    <row r="94" spans="1:19" hidden="1">
      <c r="A94" t="s">
        <v>1220</v>
      </c>
      <c r="B94" t="s">
        <v>911</v>
      </c>
      <c r="C94" t="s">
        <v>912</v>
      </c>
      <c r="D94" s="19">
        <f>_xlfn.XLOOKUP(C:C,Q:Q,R:R)</f>
        <v>1107</v>
      </c>
      <c r="E94" s="19">
        <f t="shared" si="4"/>
        <v>39.535714285714285</v>
      </c>
      <c r="F94">
        <f>_xlfn.XLOOKUP(C:C,Q:Q,S:S)</f>
        <v>1110.52</v>
      </c>
      <c r="I94" s="19">
        <f t="shared" si="5"/>
        <v>2214</v>
      </c>
      <c r="J94" t="b">
        <f t="shared" si="6"/>
        <v>1</v>
      </c>
      <c r="K94" s="4">
        <f t="shared" si="7"/>
        <v>-0.49841011743450769</v>
      </c>
      <c r="M94"/>
      <c r="O94"/>
      <c r="Q94" t="s">
        <v>278</v>
      </c>
      <c r="R94">
        <v>577</v>
      </c>
      <c r="S94">
        <v>720.77</v>
      </c>
    </row>
    <row r="95" spans="1:19" hidden="1">
      <c r="A95" t="s">
        <v>1218</v>
      </c>
      <c r="B95" t="s">
        <v>413</v>
      </c>
      <c r="C95" t="s">
        <v>414</v>
      </c>
      <c r="D95" s="19">
        <f>_xlfn.XLOOKUP(C:C,Q:Q,R:R)</f>
        <v>1858</v>
      </c>
      <c r="E95" s="19">
        <f t="shared" si="4"/>
        <v>66.357142857142861</v>
      </c>
      <c r="F95">
        <f>_xlfn.XLOOKUP(C:C,Q:Q,S:S)</f>
        <v>2426.17</v>
      </c>
      <c r="I95" s="19">
        <f t="shared" si="5"/>
        <v>3716</v>
      </c>
      <c r="J95" t="b">
        <f t="shared" si="6"/>
        <v>1</v>
      </c>
      <c r="K95" s="4">
        <f t="shared" si="7"/>
        <v>-0.34710172228202363</v>
      </c>
      <c r="M95"/>
      <c r="O95"/>
      <c r="Q95" t="s">
        <v>316</v>
      </c>
      <c r="R95">
        <v>576</v>
      </c>
      <c r="S95">
        <v>686.87</v>
      </c>
    </row>
    <row r="96" spans="1:19" hidden="1">
      <c r="A96" t="s">
        <v>1220</v>
      </c>
      <c r="B96" t="s">
        <v>856</v>
      </c>
      <c r="C96" t="s">
        <v>857</v>
      </c>
      <c r="D96" s="19">
        <f>_xlfn.XLOOKUP(C:C,Q:Q,R:R)</f>
        <v>1682</v>
      </c>
      <c r="E96" s="19">
        <f t="shared" si="4"/>
        <v>60.071428571428569</v>
      </c>
      <c r="F96">
        <f>_xlfn.XLOOKUP(C:C,Q:Q,S:S)</f>
        <v>580.09</v>
      </c>
      <c r="I96" s="19">
        <f t="shared" si="5"/>
        <v>3364</v>
      </c>
      <c r="J96" t="b">
        <f t="shared" si="6"/>
        <v>1</v>
      </c>
      <c r="K96" s="4">
        <f t="shared" si="7"/>
        <v>-0.82755945303210465</v>
      </c>
      <c r="M96"/>
      <c r="O96"/>
      <c r="Q96" t="s">
        <v>164</v>
      </c>
      <c r="R96">
        <v>752</v>
      </c>
      <c r="S96">
        <v>616.62</v>
      </c>
    </row>
    <row r="97" spans="1:19" hidden="1">
      <c r="A97" t="s">
        <v>1218</v>
      </c>
      <c r="B97" t="s">
        <v>381</v>
      </c>
      <c r="C97" t="s">
        <v>382</v>
      </c>
      <c r="D97" s="19">
        <f>_xlfn.XLOOKUP(C:C,Q:Q,R:R)</f>
        <v>2165</v>
      </c>
      <c r="E97" s="19">
        <f t="shared" si="4"/>
        <v>77.321428571428569</v>
      </c>
      <c r="F97">
        <f>_xlfn.XLOOKUP(C:C,Q:Q,S:S)</f>
        <v>3961.47</v>
      </c>
      <c r="I97" s="19">
        <f t="shared" si="5"/>
        <v>4330</v>
      </c>
      <c r="J97" t="b">
        <f t="shared" si="6"/>
        <v>1</v>
      </c>
      <c r="K97" s="4">
        <f t="shared" si="7"/>
        <v>-8.5110854503464228E-2</v>
      </c>
      <c r="M97"/>
      <c r="O97"/>
      <c r="Q97" t="s">
        <v>126</v>
      </c>
      <c r="R97">
        <v>613</v>
      </c>
      <c r="S97">
        <v>1513.71</v>
      </c>
    </row>
    <row r="98" spans="1:19" hidden="1">
      <c r="A98" t="s">
        <v>1218</v>
      </c>
      <c r="B98" t="s">
        <v>425</v>
      </c>
      <c r="C98" t="s">
        <v>426</v>
      </c>
      <c r="D98" s="19">
        <f>_xlfn.XLOOKUP(C:C,Q:Q,R:R)</f>
        <v>2369</v>
      </c>
      <c r="E98" s="19">
        <f t="shared" si="4"/>
        <v>84.607142857142861</v>
      </c>
      <c r="F98">
        <f>_xlfn.XLOOKUP(C:C,Q:Q,S:S)</f>
        <v>4283</v>
      </c>
      <c r="I98" s="19">
        <f t="shared" si="5"/>
        <v>4738</v>
      </c>
      <c r="J98" t="b">
        <f t="shared" si="6"/>
        <v>1</v>
      </c>
      <c r="K98" s="4">
        <f t="shared" si="7"/>
        <v>-9.6032081046855233E-2</v>
      </c>
      <c r="M98"/>
      <c r="O98"/>
      <c r="Q98" t="s">
        <v>96</v>
      </c>
      <c r="R98">
        <v>1880</v>
      </c>
      <c r="S98">
        <v>3516.22</v>
      </c>
    </row>
    <row r="99" spans="1:19">
      <c r="A99" t="s">
        <v>1218</v>
      </c>
      <c r="B99" t="s">
        <v>347</v>
      </c>
      <c r="C99" t="s">
        <v>348</v>
      </c>
      <c r="D99" s="19">
        <f>_xlfn.XLOOKUP(C:C,Q:Q,R:R)</f>
        <v>2024</v>
      </c>
      <c r="E99" s="19">
        <f t="shared" si="4"/>
        <v>72.285714285714292</v>
      </c>
      <c r="F99">
        <f>_xlfn.XLOOKUP(C:C,Q:Q,S:S)</f>
        <v>4886.3999999999996</v>
      </c>
      <c r="I99" s="19">
        <f t="shared" si="5"/>
        <v>4048</v>
      </c>
      <c r="J99" t="b">
        <f t="shared" si="6"/>
        <v>0</v>
      </c>
      <c r="K99" s="4">
        <f t="shared" si="7"/>
        <v>0.20711462450592877</v>
      </c>
      <c r="L99" t="s">
        <v>494</v>
      </c>
      <c r="M99" t="s">
        <v>1221</v>
      </c>
      <c r="O99"/>
      <c r="Q99" t="s">
        <v>208</v>
      </c>
      <c r="R99">
        <v>513</v>
      </c>
      <c r="S99">
        <v>883.21</v>
      </c>
    </row>
    <row r="100" spans="1:19" hidden="1">
      <c r="A100" t="s">
        <v>1219</v>
      </c>
      <c r="B100" t="s">
        <v>760</v>
      </c>
      <c r="C100" t="s">
        <v>761</v>
      </c>
      <c r="D100" s="19">
        <f>_xlfn.XLOOKUP(C:C,Q:Q,R:R)</f>
        <v>1498</v>
      </c>
      <c r="E100" s="19">
        <f t="shared" si="4"/>
        <v>53.5</v>
      </c>
      <c r="F100">
        <f>_xlfn.XLOOKUP(C:C,Q:Q,S:S)</f>
        <v>723.63</v>
      </c>
      <c r="I100" s="19">
        <f t="shared" si="5"/>
        <v>2996</v>
      </c>
      <c r="J100" t="b">
        <f t="shared" si="6"/>
        <v>1</v>
      </c>
      <c r="K100" s="4">
        <f t="shared" si="7"/>
        <v>-0.75846795727636851</v>
      </c>
      <c r="M100"/>
      <c r="O100"/>
      <c r="Q100" t="s">
        <v>266</v>
      </c>
      <c r="R100">
        <v>196</v>
      </c>
      <c r="S100">
        <v>537.36</v>
      </c>
    </row>
    <row r="101" spans="1:19" hidden="1">
      <c r="A101" t="s">
        <v>1218</v>
      </c>
      <c r="B101" t="s">
        <v>405</v>
      </c>
      <c r="C101" t="s">
        <v>406</v>
      </c>
      <c r="D101" s="19">
        <f>_xlfn.XLOOKUP(C:C,Q:Q,R:R)</f>
        <v>2823</v>
      </c>
      <c r="E101" s="19">
        <f t="shared" si="4"/>
        <v>100.82142857142857</v>
      </c>
      <c r="F101">
        <f>_xlfn.XLOOKUP(C:C,Q:Q,S:S)</f>
        <v>3165.3</v>
      </c>
      <c r="I101" s="19">
        <f t="shared" si="5"/>
        <v>5646</v>
      </c>
      <c r="J101" t="b">
        <f t="shared" si="6"/>
        <v>1</v>
      </c>
      <c r="K101" s="4">
        <f t="shared" si="7"/>
        <v>-0.43937300743889474</v>
      </c>
      <c r="M101"/>
      <c r="O101"/>
      <c r="Q101" t="s">
        <v>374</v>
      </c>
      <c r="R101">
        <v>707</v>
      </c>
      <c r="S101">
        <v>1007.87</v>
      </c>
    </row>
    <row r="102" spans="1:19" hidden="1">
      <c r="A102" t="s">
        <v>1220</v>
      </c>
      <c r="B102" t="s">
        <v>1008</v>
      </c>
      <c r="C102" t="s">
        <v>1009</v>
      </c>
      <c r="D102" s="19">
        <f>_xlfn.XLOOKUP(C:C,Q:Q,R:R)</f>
        <v>1874</v>
      </c>
      <c r="E102" s="19">
        <f t="shared" si="4"/>
        <v>66.928571428571431</v>
      </c>
      <c r="F102">
        <f>_xlfn.XLOOKUP(C:C,Q:Q,S:S)</f>
        <v>3772.22</v>
      </c>
      <c r="I102" s="19">
        <f t="shared" si="5"/>
        <v>3748</v>
      </c>
      <c r="J102" t="b">
        <f t="shared" si="6"/>
        <v>1</v>
      </c>
      <c r="K102" s="4">
        <f t="shared" si="7"/>
        <v>6.4621131270010679E-3</v>
      </c>
      <c r="M102"/>
      <c r="O102"/>
      <c r="Q102" t="s">
        <v>66</v>
      </c>
      <c r="R102">
        <v>1594</v>
      </c>
      <c r="S102">
        <v>209.91</v>
      </c>
    </row>
    <row r="103" spans="1:19" hidden="1">
      <c r="A103" t="s">
        <v>1220</v>
      </c>
      <c r="B103" t="s">
        <v>1041</v>
      </c>
      <c r="C103" t="s">
        <v>1042</v>
      </c>
      <c r="D103" s="19">
        <f>_xlfn.XLOOKUP(C:C,Q:Q,R:R)</f>
        <v>4424</v>
      </c>
      <c r="E103" s="19">
        <f t="shared" si="4"/>
        <v>158</v>
      </c>
      <c r="F103">
        <f>_xlfn.XLOOKUP(C:C,Q:Q,S:S)</f>
        <v>4518.8</v>
      </c>
      <c r="I103" s="19">
        <f t="shared" si="5"/>
        <v>8848</v>
      </c>
      <c r="J103" t="b">
        <f t="shared" si="6"/>
        <v>1</v>
      </c>
      <c r="K103" s="4">
        <f t="shared" si="7"/>
        <v>-0.48928571428571421</v>
      </c>
      <c r="M103"/>
      <c r="O103"/>
      <c r="Q103" t="s">
        <v>134</v>
      </c>
      <c r="R103">
        <v>2511</v>
      </c>
      <c r="S103">
        <v>2473.92</v>
      </c>
    </row>
    <row r="104" spans="1:19" hidden="1">
      <c r="A104" t="s">
        <v>1219</v>
      </c>
      <c r="B104" s="21" t="s">
        <v>518</v>
      </c>
      <c r="C104" t="s">
        <v>519</v>
      </c>
      <c r="D104" s="19">
        <f>_xlfn.XLOOKUP(C:C,Q:Q,R:R)</f>
        <v>1841</v>
      </c>
      <c r="E104" s="19">
        <f t="shared" si="4"/>
        <v>65.75</v>
      </c>
      <c r="F104">
        <f>_xlfn.XLOOKUP(C:C,Q:Q,S:S)</f>
        <v>2630.37</v>
      </c>
      <c r="I104" s="19">
        <f t="shared" si="5"/>
        <v>3682</v>
      </c>
      <c r="J104" t="b">
        <f t="shared" si="6"/>
        <v>1</v>
      </c>
      <c r="K104" s="4">
        <f t="shared" si="7"/>
        <v>-0.28561379684953836</v>
      </c>
      <c r="M104"/>
      <c r="O104"/>
      <c r="Q104" t="s">
        <v>242</v>
      </c>
      <c r="R104">
        <v>1114</v>
      </c>
      <c r="S104">
        <v>1550.98</v>
      </c>
    </row>
    <row r="105" spans="1:19" hidden="1">
      <c r="A105" t="s">
        <v>1218</v>
      </c>
      <c r="B105" t="s">
        <v>235</v>
      </c>
      <c r="C105" t="s">
        <v>236</v>
      </c>
      <c r="D105" s="19">
        <f>_xlfn.XLOOKUP(C:C,Q:Q,R:R)</f>
        <v>1214</v>
      </c>
      <c r="E105" s="19">
        <f t="shared" si="4"/>
        <v>43.357142857142854</v>
      </c>
      <c r="F105">
        <f>_xlfn.XLOOKUP(C:C,Q:Q,S:S)</f>
        <v>1000.47</v>
      </c>
      <c r="I105" s="19">
        <f t="shared" si="5"/>
        <v>2428</v>
      </c>
      <c r="J105" t="b">
        <f t="shared" si="6"/>
        <v>1</v>
      </c>
      <c r="K105" s="4">
        <f t="shared" si="7"/>
        <v>-0.58794481054365733</v>
      </c>
      <c r="M105"/>
      <c r="O105"/>
      <c r="Q105" t="s">
        <v>354</v>
      </c>
      <c r="R105">
        <v>950</v>
      </c>
      <c r="S105">
        <v>648.47</v>
      </c>
    </row>
    <row r="106" spans="1:19" hidden="1">
      <c r="A106" t="s">
        <v>1218</v>
      </c>
      <c r="B106" t="s">
        <v>109</v>
      </c>
      <c r="C106" t="s">
        <v>110</v>
      </c>
      <c r="D106" s="19">
        <f>_xlfn.XLOOKUP(C:C,Q:Q,R:R)</f>
        <v>2196</v>
      </c>
      <c r="E106" s="19">
        <f t="shared" si="4"/>
        <v>78.428571428571431</v>
      </c>
      <c r="F106">
        <f>_xlfn.XLOOKUP(C:C,Q:Q,S:S)</f>
        <v>4307.3100000000004</v>
      </c>
      <c r="I106" s="19">
        <f t="shared" si="5"/>
        <v>4392</v>
      </c>
      <c r="J106" t="b">
        <f t="shared" si="6"/>
        <v>1</v>
      </c>
      <c r="K106" s="4">
        <f t="shared" si="7"/>
        <v>-1.9282786885245762E-2</v>
      </c>
      <c r="M106"/>
      <c r="O106"/>
      <c r="Q106" t="s">
        <v>366</v>
      </c>
      <c r="R106">
        <v>756</v>
      </c>
      <c r="S106">
        <v>555.17999999999995</v>
      </c>
    </row>
    <row r="107" spans="1:19" hidden="1">
      <c r="A107" t="s">
        <v>1218</v>
      </c>
      <c r="B107" t="s">
        <v>107</v>
      </c>
      <c r="C107" t="s">
        <v>108</v>
      </c>
      <c r="D107" s="19">
        <f>_xlfn.XLOOKUP(C:C,Q:Q,R:R)</f>
        <v>2159</v>
      </c>
      <c r="E107" s="19">
        <f t="shared" si="4"/>
        <v>77.107142857142861</v>
      </c>
      <c r="F107">
        <f>_xlfn.XLOOKUP(C:C,Q:Q,S:S)</f>
        <v>4083.97</v>
      </c>
      <c r="I107" s="19">
        <f t="shared" si="5"/>
        <v>4318</v>
      </c>
      <c r="J107" t="b">
        <f t="shared" si="6"/>
        <v>1</v>
      </c>
      <c r="K107" s="4">
        <f t="shared" si="7"/>
        <v>-5.4198703103288559E-2</v>
      </c>
      <c r="M107"/>
      <c r="O107"/>
      <c r="Q107" t="s">
        <v>256</v>
      </c>
      <c r="R107">
        <v>535</v>
      </c>
      <c r="S107">
        <v>654.45000000000005</v>
      </c>
    </row>
    <row r="108" spans="1:19" hidden="1">
      <c r="A108" t="s">
        <v>1218</v>
      </c>
      <c r="B108" t="s">
        <v>213</v>
      </c>
      <c r="C108" t="s">
        <v>214</v>
      </c>
      <c r="D108" s="19">
        <f>_xlfn.XLOOKUP(C:C,Q:Q,R:R)</f>
        <v>1931</v>
      </c>
      <c r="E108" s="19">
        <f t="shared" si="4"/>
        <v>68.964285714285708</v>
      </c>
      <c r="F108">
        <f>_xlfn.XLOOKUP(C:C,Q:Q,S:S)</f>
        <v>4461.28</v>
      </c>
      <c r="I108" s="19">
        <f t="shared" si="5"/>
        <v>3862</v>
      </c>
      <c r="J108" t="b">
        <f t="shared" si="6"/>
        <v>1</v>
      </c>
      <c r="K108" s="4">
        <f t="shared" si="7"/>
        <v>0.15517348524080776</v>
      </c>
      <c r="M108"/>
      <c r="O108"/>
      <c r="Q108" t="s">
        <v>422</v>
      </c>
      <c r="R108">
        <v>1992</v>
      </c>
      <c r="S108">
        <v>2894.27</v>
      </c>
    </row>
    <row r="109" spans="1:19" hidden="1">
      <c r="A109" t="s">
        <v>1218</v>
      </c>
      <c r="B109" t="s">
        <v>201</v>
      </c>
      <c r="C109" t="s">
        <v>202</v>
      </c>
      <c r="D109" s="19">
        <f>_xlfn.XLOOKUP(C:C,Q:Q,R:R)</f>
        <v>881</v>
      </c>
      <c r="E109" s="19">
        <f t="shared" si="4"/>
        <v>31.464285714285715</v>
      </c>
      <c r="F109">
        <f>_xlfn.XLOOKUP(C:C,Q:Q,S:S)</f>
        <v>1652.3</v>
      </c>
      <c r="I109" s="157">
        <f t="shared" si="5"/>
        <v>1762</v>
      </c>
      <c r="J109" t="b">
        <f t="shared" si="6"/>
        <v>1</v>
      </c>
      <c r="K109" s="4">
        <f t="shared" si="7"/>
        <v>-6.2258796821793472E-2</v>
      </c>
      <c r="O109" s="165"/>
      <c r="Q109" t="s">
        <v>298</v>
      </c>
      <c r="R109">
        <v>910</v>
      </c>
      <c r="S109">
        <v>725.37</v>
      </c>
    </row>
    <row r="110" spans="1:19" hidden="1">
      <c r="A110" t="s">
        <v>1218</v>
      </c>
      <c r="B110" t="s">
        <v>187</v>
      </c>
      <c r="C110" t="s">
        <v>188</v>
      </c>
      <c r="D110" s="19">
        <f>_xlfn.XLOOKUP(C:C,Q:Q,R:R)</f>
        <v>2224</v>
      </c>
      <c r="E110" s="19">
        <f t="shared" si="4"/>
        <v>79.428571428571431</v>
      </c>
      <c r="F110">
        <f>_xlfn.XLOOKUP(C:C,Q:Q,S:S)</f>
        <v>3393.97</v>
      </c>
      <c r="I110" s="19">
        <f t="shared" si="5"/>
        <v>4448</v>
      </c>
      <c r="J110" t="b">
        <f t="shared" si="6"/>
        <v>1</v>
      </c>
      <c r="K110" s="4">
        <f t="shared" si="7"/>
        <v>-0.23696717625899288</v>
      </c>
      <c r="M110"/>
      <c r="O110"/>
      <c r="Q110" t="s">
        <v>376</v>
      </c>
      <c r="R110">
        <v>991</v>
      </c>
      <c r="S110">
        <v>1487.32</v>
      </c>
    </row>
    <row r="111" spans="1:19" hidden="1">
      <c r="A111" t="s">
        <v>1218</v>
      </c>
      <c r="B111" t="s">
        <v>397</v>
      </c>
      <c r="C111" t="s">
        <v>398</v>
      </c>
      <c r="D111" s="19">
        <f>_xlfn.XLOOKUP(C:C,Q:Q,R:R)</f>
        <v>1625</v>
      </c>
      <c r="E111" s="19">
        <f t="shared" si="4"/>
        <v>58.035714285714285</v>
      </c>
      <c r="F111">
        <f>_xlfn.XLOOKUP(C:C,Q:Q,S:S)</f>
        <v>2545.71</v>
      </c>
      <c r="I111" s="19">
        <f t="shared" si="5"/>
        <v>3250</v>
      </c>
      <c r="J111" t="b">
        <f t="shared" si="6"/>
        <v>1</v>
      </c>
      <c r="K111" s="4">
        <f t="shared" si="7"/>
        <v>-0.21670461538461538</v>
      </c>
      <c r="M111"/>
      <c r="O111"/>
      <c r="Q111" t="s">
        <v>154</v>
      </c>
      <c r="R111">
        <v>1070</v>
      </c>
      <c r="S111">
        <v>1533.49</v>
      </c>
    </row>
    <row r="112" spans="1:19" hidden="1">
      <c r="A112" t="s">
        <v>1220</v>
      </c>
      <c r="B112" t="s">
        <v>982</v>
      </c>
      <c r="C112" t="s">
        <v>983</v>
      </c>
      <c r="D112" s="19">
        <f>_xlfn.XLOOKUP(C:C,Q:Q,R:R)</f>
        <v>1462</v>
      </c>
      <c r="E112" s="19">
        <f t="shared" si="4"/>
        <v>52.214285714285715</v>
      </c>
      <c r="F112">
        <f>_xlfn.XLOOKUP(C:C,Q:Q,S:S)</f>
        <v>2207.94</v>
      </c>
      <c r="I112" s="19">
        <f t="shared" si="5"/>
        <v>2924</v>
      </c>
      <c r="J112" t="b">
        <f t="shared" si="6"/>
        <v>1</v>
      </c>
      <c r="K112" s="4">
        <f t="shared" si="7"/>
        <v>-0.24489056087551297</v>
      </c>
      <c r="M112"/>
      <c r="O112"/>
      <c r="Q112" t="s">
        <v>306</v>
      </c>
      <c r="R112">
        <v>269</v>
      </c>
      <c r="S112">
        <v>387.38</v>
      </c>
    </row>
    <row r="113" spans="1:19" hidden="1">
      <c r="A113" t="s">
        <v>1219</v>
      </c>
      <c r="B113" t="s">
        <v>778</v>
      </c>
      <c r="C113" t="s">
        <v>779</v>
      </c>
      <c r="D113" s="19">
        <f>_xlfn.XLOOKUP(C:C,Q:Q,R:R)</f>
        <v>1983</v>
      </c>
      <c r="E113" s="19">
        <f t="shared" si="4"/>
        <v>70.821428571428569</v>
      </c>
      <c r="F113">
        <f>_xlfn.XLOOKUP(C:C,Q:Q,S:S)</f>
        <v>2421.4300000000003</v>
      </c>
      <c r="I113" s="19">
        <f t="shared" si="5"/>
        <v>3966</v>
      </c>
      <c r="J113" t="b">
        <f t="shared" si="6"/>
        <v>1</v>
      </c>
      <c r="K113" s="4">
        <f t="shared" si="7"/>
        <v>-0.38945284921835599</v>
      </c>
      <c r="M113"/>
      <c r="O113"/>
      <c r="Q113" t="s">
        <v>262</v>
      </c>
      <c r="R113">
        <v>366</v>
      </c>
      <c r="S113">
        <v>652.61</v>
      </c>
    </row>
    <row r="114" spans="1:19">
      <c r="A114" t="s">
        <v>1218</v>
      </c>
      <c r="B114" t="s">
        <v>93</v>
      </c>
      <c r="C114" t="s">
        <v>94</v>
      </c>
      <c r="D114" s="19">
        <f>_xlfn.XLOOKUP(C:C,Q:Q,R:R)</f>
        <v>1541</v>
      </c>
      <c r="E114" s="19">
        <f t="shared" si="4"/>
        <v>55.035714285714285</v>
      </c>
      <c r="F114">
        <f>_xlfn.XLOOKUP(C:C,Q:Q,S:S)</f>
        <v>3749.62</v>
      </c>
      <c r="I114" s="19">
        <f t="shared" si="5"/>
        <v>3082</v>
      </c>
      <c r="J114" t="b">
        <f t="shared" si="6"/>
        <v>0</v>
      </c>
      <c r="K114" s="4">
        <f t="shared" si="7"/>
        <v>0.21661907852044116</v>
      </c>
      <c r="L114" t="s">
        <v>494</v>
      </c>
      <c r="M114" t="s">
        <v>1222</v>
      </c>
      <c r="O114"/>
      <c r="Q114" t="s">
        <v>100</v>
      </c>
      <c r="R114">
        <v>2113</v>
      </c>
      <c r="S114">
        <v>2307.63</v>
      </c>
    </row>
    <row r="115" spans="1:19" hidden="1">
      <c r="A115" t="s">
        <v>1218</v>
      </c>
      <c r="B115" t="s">
        <v>59</v>
      </c>
      <c r="C115" t="s">
        <v>60</v>
      </c>
      <c r="D115" s="19">
        <f>_xlfn.XLOOKUP(C:C,Q:Q,R:R)</f>
        <v>3022</v>
      </c>
      <c r="E115" s="19">
        <f t="shared" si="4"/>
        <v>107.92857142857143</v>
      </c>
      <c r="F115">
        <f>_xlfn.XLOOKUP(C:C,Q:Q,S:S)</f>
        <v>5124.5200000000004</v>
      </c>
      <c r="I115" s="19">
        <f t="shared" si="5"/>
        <v>6044</v>
      </c>
      <c r="J115" t="b">
        <f t="shared" si="6"/>
        <v>1</v>
      </c>
      <c r="K115" s="4">
        <f t="shared" si="7"/>
        <v>-0.15213103904698866</v>
      </c>
      <c r="M115"/>
      <c r="O115"/>
      <c r="Q115" t="s">
        <v>152</v>
      </c>
      <c r="R115">
        <v>1161</v>
      </c>
      <c r="S115">
        <v>883.15</v>
      </c>
    </row>
    <row r="116" spans="1:19" hidden="1">
      <c r="A116" t="s">
        <v>1219</v>
      </c>
      <c r="B116" t="s">
        <v>685</v>
      </c>
      <c r="C116" t="s">
        <v>686</v>
      </c>
      <c r="D116" s="19">
        <f>_xlfn.XLOOKUP(C:C,Q:Q,R:R)</f>
        <v>2263</v>
      </c>
      <c r="E116" s="19">
        <f t="shared" si="4"/>
        <v>80.821428571428569</v>
      </c>
      <c r="F116">
        <f>_xlfn.XLOOKUP(C:C,Q:Q,S:S)</f>
        <v>5130.78</v>
      </c>
      <c r="I116" s="19">
        <f t="shared" si="5"/>
        <v>4526</v>
      </c>
      <c r="J116" t="b">
        <f t="shared" si="6"/>
        <v>1</v>
      </c>
      <c r="K116" s="4">
        <f t="shared" si="7"/>
        <v>0.13362350861688022</v>
      </c>
      <c r="M116"/>
      <c r="O116"/>
      <c r="Q116" t="s">
        <v>216</v>
      </c>
      <c r="R116">
        <v>690</v>
      </c>
      <c r="S116">
        <v>545.20000000000005</v>
      </c>
    </row>
    <row r="117" spans="1:19" hidden="1">
      <c r="A117" t="s">
        <v>1220</v>
      </c>
      <c r="B117" t="s">
        <v>849</v>
      </c>
      <c r="C117" t="s">
        <v>850</v>
      </c>
      <c r="D117" s="19">
        <f>_xlfn.XLOOKUP(C:C,Q:Q,R:R)</f>
        <v>1014</v>
      </c>
      <c r="E117" s="19">
        <f t="shared" si="4"/>
        <v>36.214285714285715</v>
      </c>
      <c r="F117">
        <f>_xlfn.XLOOKUP(C:C,Q:Q,S:S)</f>
        <v>1354.39</v>
      </c>
      <c r="I117" s="19">
        <f t="shared" si="5"/>
        <v>2028</v>
      </c>
      <c r="J117" t="b">
        <f t="shared" si="6"/>
        <v>1</v>
      </c>
      <c r="K117" s="4">
        <f t="shared" si="7"/>
        <v>-0.33215483234713994</v>
      </c>
      <c r="M117"/>
      <c r="O117"/>
      <c r="Q117" t="s">
        <v>280</v>
      </c>
      <c r="R117">
        <v>1115</v>
      </c>
      <c r="S117">
        <v>2200.4899999999998</v>
      </c>
    </row>
    <row r="118" spans="1:19" hidden="1">
      <c r="A118" t="s">
        <v>1218</v>
      </c>
      <c r="B118" t="s">
        <v>331</v>
      </c>
      <c r="C118" t="s">
        <v>332</v>
      </c>
      <c r="D118" s="19">
        <f>_xlfn.XLOOKUP(C:C,Q:Q,R:R)</f>
        <v>1829</v>
      </c>
      <c r="E118" s="19">
        <f t="shared" si="4"/>
        <v>65.321428571428569</v>
      </c>
      <c r="F118">
        <f>_xlfn.XLOOKUP(C:C,Q:Q,S:S)</f>
        <v>3966.6</v>
      </c>
      <c r="I118" s="19">
        <f t="shared" si="5"/>
        <v>3658</v>
      </c>
      <c r="J118" t="b">
        <f t="shared" si="6"/>
        <v>1</v>
      </c>
      <c r="K118" s="4">
        <f t="shared" si="7"/>
        <v>8.4363039912520588E-2</v>
      </c>
      <c r="M118"/>
      <c r="O118"/>
      <c r="Q118" t="s">
        <v>196</v>
      </c>
      <c r="R118">
        <v>1273</v>
      </c>
      <c r="S118">
        <v>1409.27</v>
      </c>
    </row>
    <row r="119" spans="1:19" hidden="1">
      <c r="A119" t="s">
        <v>1219</v>
      </c>
      <c r="B119" t="s">
        <v>530</v>
      </c>
      <c r="C119" t="s">
        <v>531</v>
      </c>
      <c r="D119" s="19">
        <f>_xlfn.XLOOKUP(C:C,Q:Q,R:R)</f>
        <v>1810</v>
      </c>
      <c r="E119" s="19">
        <f t="shared" si="4"/>
        <v>64.642857142857139</v>
      </c>
      <c r="F119">
        <f>_xlfn.XLOOKUP(C:C,Q:Q,S:S)</f>
        <v>2248.7199999999998</v>
      </c>
      <c r="I119" s="19">
        <f t="shared" si="5"/>
        <v>3620</v>
      </c>
      <c r="J119" t="b">
        <f t="shared" si="6"/>
        <v>1</v>
      </c>
      <c r="K119" s="4">
        <f t="shared" si="7"/>
        <v>-0.37880662983425417</v>
      </c>
      <c r="M119"/>
      <c r="O119"/>
      <c r="Q119" t="s">
        <v>330</v>
      </c>
      <c r="R119">
        <v>1003</v>
      </c>
      <c r="S119">
        <v>2186.44</v>
      </c>
    </row>
    <row r="120" spans="1:19" hidden="1">
      <c r="A120" t="s">
        <v>1218</v>
      </c>
      <c r="B120" t="s">
        <v>451</v>
      </c>
      <c r="C120" t="s">
        <v>452</v>
      </c>
      <c r="D120" s="19">
        <f>_xlfn.XLOOKUP(C:C,Q:Q,R:R)</f>
        <v>1376</v>
      </c>
      <c r="E120" s="19">
        <f t="shared" si="4"/>
        <v>49.142857142857146</v>
      </c>
      <c r="F120">
        <f>_xlfn.XLOOKUP(C:C,Q:Q,S:S)</f>
        <v>2237.9499999999998</v>
      </c>
      <c r="I120" s="19">
        <f t="shared" si="5"/>
        <v>2752</v>
      </c>
      <c r="J120" t="b">
        <f t="shared" si="6"/>
        <v>1</v>
      </c>
      <c r="K120" s="4">
        <f t="shared" si="7"/>
        <v>-0.18679142441860475</v>
      </c>
      <c r="M120"/>
      <c r="O120"/>
      <c r="Q120" t="s">
        <v>258</v>
      </c>
      <c r="R120">
        <v>425</v>
      </c>
      <c r="S120">
        <v>530.95000000000005</v>
      </c>
    </row>
    <row r="121" spans="1:19" hidden="1">
      <c r="A121" t="s">
        <v>1220</v>
      </c>
      <c r="B121" t="s">
        <v>879</v>
      </c>
      <c r="C121" t="s">
        <v>880</v>
      </c>
      <c r="D121" s="19">
        <f>_xlfn.XLOOKUP(C:C,Q:Q,R:R)</f>
        <v>1676</v>
      </c>
      <c r="E121" s="19">
        <f t="shared" si="4"/>
        <v>59.857142857142854</v>
      </c>
      <c r="F121">
        <f>_xlfn.XLOOKUP(C:C,Q:Q,S:S)</f>
        <v>2748.23</v>
      </c>
      <c r="I121" s="19">
        <f t="shared" si="5"/>
        <v>3352</v>
      </c>
      <c r="J121" t="b">
        <f t="shared" si="6"/>
        <v>1</v>
      </c>
      <c r="K121" s="4">
        <f t="shared" si="7"/>
        <v>-0.18012231503579956</v>
      </c>
      <c r="M121"/>
      <c r="O121"/>
      <c r="Q121" t="s">
        <v>342</v>
      </c>
      <c r="R121">
        <v>457</v>
      </c>
      <c r="S121">
        <v>280.43</v>
      </c>
    </row>
    <row r="122" spans="1:19" hidden="1">
      <c r="A122" t="s">
        <v>1220</v>
      </c>
      <c r="B122" t="s">
        <v>909</v>
      </c>
      <c r="C122" t="s">
        <v>910</v>
      </c>
      <c r="D122" s="19">
        <f>_xlfn.XLOOKUP(C:C,Q:Q,R:R)</f>
        <v>1609</v>
      </c>
      <c r="E122" s="19">
        <f t="shared" si="4"/>
        <v>57.464285714285715</v>
      </c>
      <c r="F122">
        <f>_xlfn.XLOOKUP(C:C,Q:Q,S:S)</f>
        <v>1661.07</v>
      </c>
      <c r="I122" s="19">
        <f t="shared" si="5"/>
        <v>3218</v>
      </c>
      <c r="J122" t="b">
        <f t="shared" si="6"/>
        <v>1</v>
      </c>
      <c r="K122" s="4">
        <f t="shared" si="7"/>
        <v>-0.48381914232442513</v>
      </c>
      <c r="M122"/>
      <c r="O122"/>
      <c r="Q122" t="s">
        <v>320</v>
      </c>
      <c r="R122">
        <v>396</v>
      </c>
      <c r="S122">
        <v>403.81</v>
      </c>
    </row>
    <row r="123" spans="1:19" hidden="1">
      <c r="A123" t="s">
        <v>1218</v>
      </c>
      <c r="B123" t="s">
        <v>311</v>
      </c>
      <c r="C123" t="s">
        <v>312</v>
      </c>
      <c r="D123" s="19">
        <f>_xlfn.XLOOKUP(C:C,Q:Q,R:R)</f>
        <v>1605</v>
      </c>
      <c r="E123" s="19">
        <f t="shared" si="4"/>
        <v>57.321428571428569</v>
      </c>
      <c r="F123">
        <f>_xlfn.XLOOKUP(C:C,Q:Q,S:S)</f>
        <v>3252.58</v>
      </c>
      <c r="I123" s="19">
        <f t="shared" si="5"/>
        <v>3210</v>
      </c>
      <c r="J123" t="b">
        <f t="shared" si="6"/>
        <v>1</v>
      </c>
      <c r="K123" s="4">
        <f t="shared" si="7"/>
        <v>1.3264797507788195E-2</v>
      </c>
      <c r="M123"/>
      <c r="O123"/>
      <c r="Q123" t="s">
        <v>378</v>
      </c>
      <c r="R123">
        <v>374</v>
      </c>
      <c r="S123">
        <v>329.94</v>
      </c>
    </row>
    <row r="124" spans="1:19" hidden="1">
      <c r="A124" t="s">
        <v>1218</v>
      </c>
      <c r="B124" t="s">
        <v>321</v>
      </c>
      <c r="C124" t="s">
        <v>322</v>
      </c>
      <c r="D124" s="19">
        <f>_xlfn.XLOOKUP(C:C,Q:Q,R:R)</f>
        <v>2302</v>
      </c>
      <c r="E124" s="19">
        <f t="shared" si="4"/>
        <v>82.214285714285708</v>
      </c>
      <c r="F124">
        <f>_xlfn.XLOOKUP(C:C,Q:Q,S:S)</f>
        <v>4803.66</v>
      </c>
      <c r="I124" s="19">
        <f t="shared" si="5"/>
        <v>4604</v>
      </c>
      <c r="J124" t="b">
        <f t="shared" si="6"/>
        <v>1</v>
      </c>
      <c r="K124" s="4">
        <f t="shared" si="7"/>
        <v>4.3366637706342193E-2</v>
      </c>
      <c r="M124"/>
      <c r="O124"/>
      <c r="Q124" t="s">
        <v>348</v>
      </c>
      <c r="R124">
        <v>2024</v>
      </c>
      <c r="S124">
        <v>4886.3999999999996</v>
      </c>
    </row>
    <row r="125" spans="1:19" hidden="1">
      <c r="A125" t="s">
        <v>1218</v>
      </c>
      <c r="B125" t="s">
        <v>437</v>
      </c>
      <c r="C125" t="s">
        <v>438</v>
      </c>
      <c r="D125" s="19">
        <f>_xlfn.XLOOKUP(C:C,Q:Q,R:R)</f>
        <v>1753</v>
      </c>
      <c r="E125" s="19">
        <f t="shared" si="4"/>
        <v>62.607142857142854</v>
      </c>
      <c r="F125">
        <f>_xlfn.XLOOKUP(C:C,Q:Q,S:S)</f>
        <v>1596.89</v>
      </c>
      <c r="I125" s="19">
        <f t="shared" si="5"/>
        <v>3506</v>
      </c>
      <c r="J125" t="b">
        <f t="shared" si="6"/>
        <v>1</v>
      </c>
      <c r="K125" s="4">
        <f t="shared" si="7"/>
        <v>-0.54452652595550477</v>
      </c>
      <c r="M125"/>
      <c r="O125"/>
      <c r="Q125" t="s">
        <v>116</v>
      </c>
      <c r="R125">
        <v>444</v>
      </c>
      <c r="S125">
        <v>278.83</v>
      </c>
    </row>
    <row r="126" spans="1:19" hidden="1">
      <c r="A126" t="s">
        <v>1218</v>
      </c>
      <c r="B126" t="s">
        <v>17</v>
      </c>
      <c r="C126" t="s">
        <v>18</v>
      </c>
      <c r="D126" s="19">
        <f>_xlfn.XLOOKUP(C:C,Q:Q,R:R)</f>
        <v>14987</v>
      </c>
      <c r="E126" s="19">
        <f t="shared" si="4"/>
        <v>535.25</v>
      </c>
      <c r="F126">
        <f>_xlfn.XLOOKUP(C:C,Q:Q,S:S)</f>
        <v>5594.85</v>
      </c>
      <c r="I126" s="19">
        <f t="shared" si="5"/>
        <v>29974</v>
      </c>
      <c r="J126" t="b">
        <f t="shared" si="6"/>
        <v>1</v>
      </c>
      <c r="K126" s="4">
        <f t="shared" si="7"/>
        <v>-0.81334323080002668</v>
      </c>
      <c r="M126"/>
      <c r="O126"/>
      <c r="Q126" t="s">
        <v>230</v>
      </c>
      <c r="R126">
        <v>384</v>
      </c>
      <c r="S126">
        <v>284.83</v>
      </c>
    </row>
    <row r="127" spans="1:19" hidden="1">
      <c r="A127" t="s">
        <v>1220</v>
      </c>
      <c r="B127" t="s">
        <v>928</v>
      </c>
      <c r="C127" t="s">
        <v>929</v>
      </c>
      <c r="D127" s="19">
        <f>_xlfn.XLOOKUP(C:C,Q:Q,R:R)</f>
        <v>531</v>
      </c>
      <c r="E127" s="19">
        <f t="shared" si="4"/>
        <v>18.964285714285715</v>
      </c>
      <c r="F127">
        <f>_xlfn.XLOOKUP(C:C,Q:Q,S:S)</f>
        <v>251.56</v>
      </c>
      <c r="I127" s="19">
        <f t="shared" si="5"/>
        <v>1062</v>
      </c>
      <c r="J127" t="b">
        <f t="shared" si="6"/>
        <v>1</v>
      </c>
      <c r="K127" s="4">
        <f>F127/I127-1</f>
        <v>-0.76312617702448216</v>
      </c>
      <c r="M127"/>
      <c r="O127"/>
      <c r="Q127" t="s">
        <v>444</v>
      </c>
      <c r="R127">
        <v>4667</v>
      </c>
      <c r="S127">
        <v>10317.379999999999</v>
      </c>
    </row>
    <row r="128" spans="1:19" hidden="1">
      <c r="A128" t="s">
        <v>1218</v>
      </c>
      <c r="B128" t="s">
        <v>247</v>
      </c>
      <c r="C128" t="s">
        <v>248</v>
      </c>
      <c r="D128" s="19">
        <f>_xlfn.XLOOKUP(C:C,Q:Q,R:R)</f>
        <v>1277</v>
      </c>
      <c r="E128" s="19">
        <f t="shared" si="4"/>
        <v>45.607142857142854</v>
      </c>
      <c r="F128">
        <f>_xlfn.XLOOKUP(C:C,Q:Q,S:S)</f>
        <v>2567.0300000000002</v>
      </c>
      <c r="I128" s="19">
        <f t="shared" si="5"/>
        <v>2554</v>
      </c>
      <c r="J128" t="b">
        <f t="shared" si="6"/>
        <v>1</v>
      </c>
      <c r="K128" s="4">
        <f t="shared" si="7"/>
        <v>5.1018010963195248E-3</v>
      </c>
      <c r="M128"/>
      <c r="O128"/>
      <c r="Q128" t="s">
        <v>120</v>
      </c>
      <c r="R128">
        <v>2577</v>
      </c>
      <c r="S128">
        <v>5023.1499999999996</v>
      </c>
    </row>
    <row r="129" spans="1:19" hidden="1">
      <c r="A129" t="s">
        <v>1218</v>
      </c>
      <c r="B129" t="s">
        <v>371</v>
      </c>
      <c r="C129" t="s">
        <v>372</v>
      </c>
      <c r="D129" s="19">
        <f>_xlfn.XLOOKUP(C:C,Q:Q,R:R)</f>
        <v>1664</v>
      </c>
      <c r="E129" s="19">
        <f t="shared" ref="E129:E191" si="8">D129/28</f>
        <v>59.428571428571431</v>
      </c>
      <c r="F129">
        <f>_xlfn.XLOOKUP(C:C,Q:Q,S:S)</f>
        <v>2049.73</v>
      </c>
      <c r="I129" s="19">
        <f t="shared" ref="I129:I191" si="9">IF((D129/28)&gt;100,D129*2,D129*2)</f>
        <v>3328</v>
      </c>
      <c r="J129" t="b">
        <f t="shared" ref="J129:J191" si="10">IF(F129&gt;1.2*I129,FALSE,TRUE)</f>
        <v>1</v>
      </c>
      <c r="K129" s="4">
        <f t="shared" ref="K129:K191" si="11">F129/I129-1</f>
        <v>-0.38409555288461539</v>
      </c>
      <c r="M129"/>
      <c r="O129"/>
      <c r="Q129" t="s">
        <v>382</v>
      </c>
      <c r="R129">
        <v>2165</v>
      </c>
      <c r="S129">
        <v>3961.47</v>
      </c>
    </row>
    <row r="130" spans="1:19" hidden="1">
      <c r="A130" t="s">
        <v>1219</v>
      </c>
      <c r="B130" t="s">
        <v>689</v>
      </c>
      <c r="C130" t="s">
        <v>690</v>
      </c>
      <c r="D130" s="19">
        <f>_xlfn.XLOOKUP(C:C,Q:Q,R:R)</f>
        <v>1468</v>
      </c>
      <c r="E130" s="19">
        <f t="shared" si="8"/>
        <v>52.428571428571431</v>
      </c>
      <c r="F130">
        <f>_xlfn.XLOOKUP(C:C,Q:Q,S:S)</f>
        <v>459.8</v>
      </c>
      <c r="I130" s="19">
        <f t="shared" si="9"/>
        <v>2936</v>
      </c>
      <c r="J130" t="b">
        <f t="shared" si="10"/>
        <v>1</v>
      </c>
      <c r="K130" s="4">
        <f t="shared" si="11"/>
        <v>-0.84339237057220706</v>
      </c>
      <c r="M130"/>
      <c r="O130"/>
      <c r="Q130" t="s">
        <v>250</v>
      </c>
      <c r="R130">
        <v>1108</v>
      </c>
      <c r="S130">
        <v>2267.13</v>
      </c>
    </row>
    <row r="131" spans="1:19" hidden="1">
      <c r="A131" t="s">
        <v>1219</v>
      </c>
      <c r="B131" t="s">
        <v>509</v>
      </c>
      <c r="C131" t="s">
        <v>510</v>
      </c>
      <c r="D131" s="19">
        <f>_xlfn.XLOOKUP(C:C,Q:Q,R:R)</f>
        <v>1995</v>
      </c>
      <c r="E131" s="19">
        <f t="shared" si="8"/>
        <v>71.25</v>
      </c>
      <c r="F131">
        <f>_xlfn.XLOOKUP(C:C,Q:Q,S:S)</f>
        <v>4535.91</v>
      </c>
      <c r="I131" s="19">
        <f t="shared" si="9"/>
        <v>3990</v>
      </c>
      <c r="J131" t="b">
        <f t="shared" si="10"/>
        <v>1</v>
      </c>
      <c r="K131" s="4">
        <f t="shared" si="11"/>
        <v>0.1368195488721804</v>
      </c>
      <c r="M131"/>
      <c r="O131"/>
      <c r="Q131" t="s">
        <v>322</v>
      </c>
      <c r="R131">
        <v>2302</v>
      </c>
      <c r="S131">
        <v>4803.66</v>
      </c>
    </row>
    <row r="132" spans="1:19" hidden="1">
      <c r="A132" t="s">
        <v>1218</v>
      </c>
      <c r="B132" t="s">
        <v>271</v>
      </c>
      <c r="C132" t="s">
        <v>272</v>
      </c>
      <c r="D132" s="19">
        <f>_xlfn.XLOOKUP(C:C,Q:Q,R:R)</f>
        <v>8</v>
      </c>
      <c r="E132" s="19">
        <f t="shared" si="8"/>
        <v>0.2857142857142857</v>
      </c>
      <c r="F132">
        <f>_xlfn.XLOOKUP(C:C,Q:Q,S:S)</f>
        <v>0</v>
      </c>
      <c r="I132" s="19">
        <f t="shared" si="9"/>
        <v>16</v>
      </c>
      <c r="J132" t="b">
        <f t="shared" si="10"/>
        <v>1</v>
      </c>
      <c r="K132" s="4">
        <f t="shared" si="11"/>
        <v>-1</v>
      </c>
      <c r="M132"/>
      <c r="O132"/>
      <c r="Q132" t="s">
        <v>408</v>
      </c>
      <c r="R132">
        <v>2047</v>
      </c>
      <c r="S132">
        <v>3002.72</v>
      </c>
    </row>
    <row r="133" spans="1:19" hidden="1">
      <c r="A133" t="s">
        <v>1220</v>
      </c>
      <c r="B133" t="s">
        <v>1037</v>
      </c>
      <c r="C133" t="s">
        <v>1038</v>
      </c>
      <c r="D133" s="19">
        <f>_xlfn.XLOOKUP(C:C,Q:Q,R:R)</f>
        <v>3129</v>
      </c>
      <c r="E133" s="19">
        <f t="shared" si="8"/>
        <v>111.75</v>
      </c>
      <c r="F133">
        <f>_xlfn.XLOOKUP(C:C,Q:Q,S:S)</f>
        <v>2951.94</v>
      </c>
      <c r="I133" s="19">
        <f t="shared" si="9"/>
        <v>6258</v>
      </c>
      <c r="J133" t="b">
        <f t="shared" si="10"/>
        <v>1</v>
      </c>
      <c r="K133" s="4">
        <f t="shared" si="11"/>
        <v>-0.5282933844678811</v>
      </c>
      <c r="M133"/>
      <c r="O133"/>
      <c r="Q133" t="s">
        <v>212</v>
      </c>
      <c r="R133">
        <v>760</v>
      </c>
      <c r="S133">
        <v>1679.4</v>
      </c>
    </row>
    <row r="134" spans="1:19" hidden="1">
      <c r="A134" t="s">
        <v>1218</v>
      </c>
      <c r="B134" t="s">
        <v>251</v>
      </c>
      <c r="C134" t="s">
        <v>252</v>
      </c>
      <c r="D134" s="19">
        <f>_xlfn.XLOOKUP(C:C,Q:Q,R:R)</f>
        <v>1611</v>
      </c>
      <c r="E134" s="19">
        <f t="shared" si="8"/>
        <v>57.535714285714285</v>
      </c>
      <c r="F134">
        <f>_xlfn.XLOOKUP(C:C,Q:Q,S:S)</f>
        <v>2692.2</v>
      </c>
      <c r="I134" s="19">
        <f t="shared" si="9"/>
        <v>3222</v>
      </c>
      <c r="J134" t="b">
        <f t="shared" si="10"/>
        <v>1</v>
      </c>
      <c r="K134" s="4">
        <f t="shared" si="11"/>
        <v>-0.16443202979515836</v>
      </c>
      <c r="M134"/>
      <c r="O134"/>
      <c r="Q134" t="s">
        <v>142</v>
      </c>
      <c r="R134">
        <v>1249</v>
      </c>
      <c r="S134">
        <v>1523.67</v>
      </c>
    </row>
    <row r="135" spans="1:19" hidden="1">
      <c r="A135" t="s">
        <v>1220</v>
      </c>
      <c r="B135" t="s">
        <v>962</v>
      </c>
      <c r="C135" t="s">
        <v>963</v>
      </c>
      <c r="D135" s="19">
        <f>_xlfn.XLOOKUP(C:C,Q:Q,R:R)</f>
        <v>1292</v>
      </c>
      <c r="E135" s="19">
        <f t="shared" si="8"/>
        <v>46.142857142857146</v>
      </c>
      <c r="F135">
        <f>_xlfn.XLOOKUP(C:C,Q:Q,S:S)</f>
        <v>1954.98</v>
      </c>
      <c r="I135" s="19">
        <f t="shared" si="9"/>
        <v>2584</v>
      </c>
      <c r="J135" t="b">
        <f t="shared" si="10"/>
        <v>1</v>
      </c>
      <c r="K135" s="4">
        <f t="shared" si="11"/>
        <v>-0.24342879256965944</v>
      </c>
      <c r="M135"/>
      <c r="O135"/>
      <c r="R135">
        <v>0</v>
      </c>
      <c r="S135">
        <v>0</v>
      </c>
    </row>
    <row r="136" spans="1:19" hidden="1">
      <c r="A136" t="s">
        <v>1220</v>
      </c>
      <c r="B136" t="s">
        <v>891</v>
      </c>
      <c r="C136" t="s">
        <v>892</v>
      </c>
      <c r="D136" s="19">
        <f>_xlfn.XLOOKUP(C:C,Q:Q,R:R)</f>
        <v>1462</v>
      </c>
      <c r="E136" s="19">
        <f t="shared" si="8"/>
        <v>52.214285714285715</v>
      </c>
      <c r="F136">
        <f>_xlfn.XLOOKUP(C:C,Q:Q,S:S)</f>
        <v>1070.9000000000001</v>
      </c>
      <c r="I136" s="19">
        <f t="shared" si="9"/>
        <v>2924</v>
      </c>
      <c r="J136" t="b">
        <f t="shared" si="10"/>
        <v>1</v>
      </c>
      <c r="K136" s="4">
        <f t="shared" si="11"/>
        <v>-0.63375512995896033</v>
      </c>
      <c r="M136"/>
      <c r="O136"/>
      <c r="R136">
        <v>0</v>
      </c>
      <c r="S136">
        <v>0</v>
      </c>
    </row>
    <row r="137" spans="1:19" hidden="1">
      <c r="A137" t="s">
        <v>1218</v>
      </c>
      <c r="B137" t="s">
        <v>117</v>
      </c>
      <c r="C137" t="s">
        <v>118</v>
      </c>
      <c r="D137" s="19">
        <f>_xlfn.XLOOKUP(C:C,Q:Q,R:R)</f>
        <v>1681</v>
      </c>
      <c r="E137" s="19">
        <f t="shared" si="8"/>
        <v>60.035714285714285</v>
      </c>
      <c r="F137">
        <f>_xlfn.XLOOKUP(C:C,Q:Q,S:S)</f>
        <v>3245.25</v>
      </c>
      <c r="I137" s="19">
        <f t="shared" si="9"/>
        <v>3362</v>
      </c>
      <c r="J137" t="b">
        <f t="shared" si="10"/>
        <v>1</v>
      </c>
      <c r="K137" s="4">
        <f t="shared" si="11"/>
        <v>-3.4726353361094642E-2</v>
      </c>
      <c r="M137"/>
      <c r="O137"/>
      <c r="R137">
        <v>0</v>
      </c>
      <c r="S137">
        <v>0</v>
      </c>
    </row>
    <row r="138" spans="1:19" hidden="1">
      <c r="A138" t="s">
        <v>1218</v>
      </c>
      <c r="B138" t="s">
        <v>83</v>
      </c>
      <c r="C138" t="s">
        <v>84</v>
      </c>
      <c r="D138" s="19">
        <f>_xlfn.XLOOKUP(C:C,Q:Q,R:R)</f>
        <v>2247</v>
      </c>
      <c r="E138" s="19">
        <f t="shared" si="8"/>
        <v>80.25</v>
      </c>
      <c r="F138">
        <f>_xlfn.XLOOKUP(C:C,Q:Q,S:S)</f>
        <v>4321.58</v>
      </c>
      <c r="I138" s="19">
        <f t="shared" si="9"/>
        <v>4494</v>
      </c>
      <c r="J138" t="b">
        <f t="shared" si="10"/>
        <v>1</v>
      </c>
      <c r="K138" s="4">
        <f t="shared" si="11"/>
        <v>-3.8366711170449541E-2</v>
      </c>
      <c r="M138"/>
      <c r="O138"/>
      <c r="R138">
        <v>0</v>
      </c>
      <c r="S138">
        <v>0</v>
      </c>
    </row>
    <row r="139" spans="1:19" hidden="1">
      <c r="A139" t="s">
        <v>1220</v>
      </c>
      <c r="B139" t="s">
        <v>842</v>
      </c>
      <c r="C139" t="s">
        <v>843</v>
      </c>
      <c r="D139" s="19">
        <f>_xlfn.XLOOKUP(C:C,Q:Q,R:R)</f>
        <v>1464</v>
      </c>
      <c r="E139" s="19">
        <f t="shared" si="8"/>
        <v>52.285714285714285</v>
      </c>
      <c r="F139">
        <f>_xlfn.XLOOKUP(C:C,Q:Q,S:S)</f>
        <v>1310.06</v>
      </c>
      <c r="I139" s="19">
        <f t="shared" si="9"/>
        <v>2928</v>
      </c>
      <c r="J139" t="b">
        <f t="shared" si="10"/>
        <v>1</v>
      </c>
      <c r="K139" s="4">
        <f t="shared" si="11"/>
        <v>-0.55257513661202196</v>
      </c>
      <c r="M139"/>
      <c r="O139"/>
      <c r="R139">
        <v>0</v>
      </c>
      <c r="S139">
        <v>0</v>
      </c>
    </row>
    <row r="140" spans="1:19" hidden="1">
      <c r="A140" t="s">
        <v>1218</v>
      </c>
      <c r="B140" t="s">
        <v>309</v>
      </c>
      <c r="C140" t="s">
        <v>310</v>
      </c>
      <c r="D140" s="19">
        <f>_xlfn.XLOOKUP(C:C,Q:Q,R:R)</f>
        <v>1231</v>
      </c>
      <c r="E140" s="19">
        <f t="shared" si="8"/>
        <v>43.964285714285715</v>
      </c>
      <c r="F140">
        <f>_xlfn.XLOOKUP(C:C,Q:Q,S:S)</f>
        <v>2064.81</v>
      </c>
      <c r="I140" s="19">
        <f t="shared" si="9"/>
        <v>2462</v>
      </c>
      <c r="J140" t="b">
        <f t="shared" si="10"/>
        <v>1</v>
      </c>
      <c r="K140" s="4">
        <f t="shared" si="11"/>
        <v>-0.1613281884646629</v>
      </c>
      <c r="M140"/>
      <c r="O140"/>
      <c r="R140">
        <v>0</v>
      </c>
      <c r="S140">
        <v>0</v>
      </c>
    </row>
    <row r="141" spans="1:19" hidden="1">
      <c r="A141" t="s">
        <v>1218</v>
      </c>
      <c r="B141" t="s">
        <v>223</v>
      </c>
      <c r="C141" t="s">
        <v>224</v>
      </c>
      <c r="D141" s="19">
        <f>_xlfn.XLOOKUP(C:C,Q:Q,R:R)</f>
        <v>2026</v>
      </c>
      <c r="E141" s="19">
        <f t="shared" si="8"/>
        <v>72.357142857142861</v>
      </c>
      <c r="F141">
        <f>_xlfn.XLOOKUP(C:C,Q:Q,S:S)</f>
        <v>2164.4299999999998</v>
      </c>
      <c r="I141" s="19">
        <f t="shared" si="9"/>
        <v>4052</v>
      </c>
      <c r="J141" t="b">
        <f t="shared" si="10"/>
        <v>1</v>
      </c>
      <c r="K141" s="4">
        <f t="shared" si="11"/>
        <v>-0.46583662388943736</v>
      </c>
      <c r="M141"/>
      <c r="O141"/>
      <c r="Q141" t="s">
        <v>338</v>
      </c>
      <c r="R141">
        <v>477</v>
      </c>
      <c r="S141">
        <v>944.89</v>
      </c>
    </row>
    <row r="142" spans="1:19" hidden="1">
      <c r="A142" t="s">
        <v>1220</v>
      </c>
      <c r="B142" t="s">
        <v>889</v>
      </c>
      <c r="C142" t="s">
        <v>890</v>
      </c>
      <c r="D142" s="19">
        <f>_xlfn.XLOOKUP(C:C,Q:Q,R:R)</f>
        <v>1400</v>
      </c>
      <c r="E142" s="19">
        <f t="shared" si="8"/>
        <v>50</v>
      </c>
      <c r="F142">
        <f>_xlfn.XLOOKUP(C:C,Q:Q,S:S)</f>
        <v>1440.96</v>
      </c>
      <c r="I142" s="19">
        <f t="shared" si="9"/>
        <v>2800</v>
      </c>
      <c r="J142" t="b">
        <f t="shared" si="10"/>
        <v>1</v>
      </c>
      <c r="K142" s="4">
        <f t="shared" si="11"/>
        <v>-0.48537142857142856</v>
      </c>
      <c r="M142"/>
      <c r="O142"/>
      <c r="Q142" t="s">
        <v>166</v>
      </c>
      <c r="R142">
        <v>732</v>
      </c>
      <c r="S142">
        <v>2164.04</v>
      </c>
    </row>
    <row r="143" spans="1:19" hidden="1">
      <c r="A143" t="s">
        <v>1219</v>
      </c>
      <c r="B143" t="s">
        <v>774</v>
      </c>
      <c r="C143" t="s">
        <v>775</v>
      </c>
      <c r="D143" s="19">
        <f>_xlfn.XLOOKUP(C:C,Q:Q,R:R)</f>
        <v>2185</v>
      </c>
      <c r="E143" s="19">
        <f t="shared" si="8"/>
        <v>78.035714285714292</v>
      </c>
      <c r="F143">
        <f>_xlfn.XLOOKUP(C:C,Q:Q,S:S)</f>
        <v>3732.5</v>
      </c>
      <c r="I143" s="19">
        <f t="shared" si="9"/>
        <v>4370</v>
      </c>
      <c r="J143" t="b">
        <f t="shared" si="10"/>
        <v>1</v>
      </c>
      <c r="K143" s="4">
        <f t="shared" si="11"/>
        <v>-0.14588100686498851</v>
      </c>
      <c r="M143"/>
      <c r="O143"/>
      <c r="Q143" t="s">
        <v>200</v>
      </c>
      <c r="R143">
        <v>807</v>
      </c>
      <c r="S143">
        <v>1003.12</v>
      </c>
    </row>
    <row r="144" spans="1:19" hidden="1">
      <c r="A144" t="s">
        <v>1219</v>
      </c>
      <c r="B144" t="s">
        <v>713</v>
      </c>
      <c r="C144" t="s">
        <v>714</v>
      </c>
      <c r="D144" s="19">
        <f>_xlfn.XLOOKUP(C:C,Q:Q,R:R)</f>
        <v>2322</v>
      </c>
      <c r="E144" s="19">
        <f t="shared" si="8"/>
        <v>82.928571428571431</v>
      </c>
      <c r="F144">
        <f>_xlfn.XLOOKUP(C:C,Q:Q,S:S)</f>
        <v>2781.16</v>
      </c>
      <c r="I144" s="19">
        <f t="shared" si="9"/>
        <v>4644</v>
      </c>
      <c r="J144" t="b">
        <f t="shared" si="10"/>
        <v>1</v>
      </c>
      <c r="K144" s="4">
        <f t="shared" si="11"/>
        <v>-0.40112833763996558</v>
      </c>
      <c r="M144"/>
      <c r="O144"/>
      <c r="Q144" t="s">
        <v>336</v>
      </c>
      <c r="R144">
        <v>1176</v>
      </c>
      <c r="S144">
        <v>1389.04</v>
      </c>
    </row>
    <row r="145" spans="1:19">
      <c r="A145" t="s">
        <v>1218</v>
      </c>
      <c r="B145" t="s">
        <v>479</v>
      </c>
      <c r="C145" t="s">
        <v>480</v>
      </c>
      <c r="D145" s="19">
        <f>_xlfn.XLOOKUP(C:C,Q:Q,R:R)</f>
        <v>38</v>
      </c>
      <c r="E145" s="19">
        <f t="shared" si="8"/>
        <v>1.3571428571428572</v>
      </c>
      <c r="F145">
        <f>_xlfn.XLOOKUP(C:C,Q:Q,S:S)</f>
        <v>156.91</v>
      </c>
      <c r="I145" s="19">
        <f t="shared" si="9"/>
        <v>76</v>
      </c>
      <c r="J145" t="b">
        <f t="shared" si="10"/>
        <v>0</v>
      </c>
      <c r="K145" s="4">
        <f t="shared" si="11"/>
        <v>1.0646052631578948</v>
      </c>
      <c r="L145" t="s">
        <v>494</v>
      </c>
      <c r="M145" t="s">
        <v>1223</v>
      </c>
      <c r="O145"/>
      <c r="Q145" t="s">
        <v>300</v>
      </c>
      <c r="R145">
        <v>485</v>
      </c>
      <c r="S145">
        <v>1024.1400000000001</v>
      </c>
    </row>
    <row r="146" spans="1:19" hidden="1">
      <c r="A146" t="s">
        <v>1218</v>
      </c>
      <c r="B146" t="s">
        <v>457</v>
      </c>
      <c r="C146" t="s">
        <v>458</v>
      </c>
      <c r="D146" s="19">
        <f>_xlfn.XLOOKUP(C:C,Q:Q,R:R)</f>
        <v>4242</v>
      </c>
      <c r="E146" s="19">
        <f t="shared" si="8"/>
        <v>151.5</v>
      </c>
      <c r="F146">
        <f>_xlfn.XLOOKUP(C:C,Q:Q,S:S)</f>
        <v>7415.45</v>
      </c>
      <c r="I146" s="19">
        <f t="shared" si="9"/>
        <v>8484</v>
      </c>
      <c r="J146" t="b">
        <f t="shared" si="10"/>
        <v>1</v>
      </c>
      <c r="K146" s="4">
        <f t="shared" si="11"/>
        <v>-0.12594884488448843</v>
      </c>
      <c r="M146"/>
      <c r="O146"/>
      <c r="Q146" t="s">
        <v>90</v>
      </c>
      <c r="R146">
        <v>1603</v>
      </c>
      <c r="S146">
        <v>2952.38</v>
      </c>
    </row>
    <row r="147" spans="1:19" hidden="1">
      <c r="A147" t="s">
        <v>1219</v>
      </c>
      <c r="B147" t="s">
        <v>535</v>
      </c>
      <c r="C147" t="s">
        <v>536</v>
      </c>
      <c r="D147" s="19">
        <f>_xlfn.XLOOKUP(C:C,Q:Q,R:R)</f>
        <v>1894</v>
      </c>
      <c r="E147" s="19">
        <f t="shared" si="8"/>
        <v>67.642857142857139</v>
      </c>
      <c r="F147">
        <f>_xlfn.XLOOKUP(C:C,Q:Q,S:S)</f>
        <v>3441.08</v>
      </c>
      <c r="I147" s="19">
        <f t="shared" si="9"/>
        <v>3788</v>
      </c>
      <c r="J147" t="b">
        <f t="shared" si="10"/>
        <v>1</v>
      </c>
      <c r="K147" s="4">
        <f t="shared" si="11"/>
        <v>-9.1583949313622015E-2</v>
      </c>
      <c r="M147"/>
      <c r="O147"/>
      <c r="Q147" t="s">
        <v>122</v>
      </c>
      <c r="R147">
        <v>5633</v>
      </c>
      <c r="S147">
        <v>3251.64</v>
      </c>
    </row>
    <row r="148" spans="1:19" hidden="1">
      <c r="A148" t="s">
        <v>1220</v>
      </c>
      <c r="B148" t="s">
        <v>887</v>
      </c>
      <c r="C148" t="s">
        <v>888</v>
      </c>
      <c r="D148" s="19">
        <f>_xlfn.XLOOKUP(C:C,Q:Q,R:R)</f>
        <v>1553</v>
      </c>
      <c r="E148" s="19">
        <f t="shared" si="8"/>
        <v>55.464285714285715</v>
      </c>
      <c r="F148">
        <f>_xlfn.XLOOKUP(C:C,Q:Q,S:S)</f>
        <v>1075</v>
      </c>
      <c r="I148" s="19">
        <f t="shared" si="9"/>
        <v>3106</v>
      </c>
      <c r="J148" t="b">
        <f t="shared" si="10"/>
        <v>1</v>
      </c>
      <c r="K148" s="4">
        <f t="shared" si="11"/>
        <v>-0.65389568576947843</v>
      </c>
      <c r="M148"/>
      <c r="O148"/>
      <c r="Q148" t="s">
        <v>428</v>
      </c>
      <c r="R148">
        <v>3162</v>
      </c>
      <c r="S148">
        <v>3743.79</v>
      </c>
    </row>
    <row r="149" spans="1:19" hidden="1">
      <c r="A149" t="s">
        <v>1218</v>
      </c>
      <c r="B149" t="s">
        <v>219</v>
      </c>
      <c r="C149" t="s">
        <v>220</v>
      </c>
      <c r="D149" s="19">
        <f>_xlfn.XLOOKUP(C:C,Q:Q,R:R)</f>
        <v>1363</v>
      </c>
      <c r="E149" s="19">
        <f t="shared" si="8"/>
        <v>48.678571428571431</v>
      </c>
      <c r="F149">
        <f>_xlfn.XLOOKUP(C:C,Q:Q,S:S)</f>
        <v>2351.85</v>
      </c>
      <c r="I149" s="19">
        <f t="shared" si="9"/>
        <v>2726</v>
      </c>
      <c r="J149" t="b">
        <f t="shared" si="10"/>
        <v>1</v>
      </c>
      <c r="K149" s="4">
        <f t="shared" si="11"/>
        <v>-0.1372523844460749</v>
      </c>
      <c r="M149"/>
      <c r="O149"/>
      <c r="Q149" t="s">
        <v>388</v>
      </c>
      <c r="R149">
        <v>401</v>
      </c>
      <c r="S149">
        <v>371.16</v>
      </c>
    </row>
    <row r="150" spans="1:19" hidden="1">
      <c r="A150" t="s">
        <v>1218</v>
      </c>
      <c r="B150" t="s">
        <v>463</v>
      </c>
      <c r="C150" t="s">
        <v>464</v>
      </c>
      <c r="D150" s="19">
        <f>_xlfn.XLOOKUP(C:C,Q:Q,R:R)</f>
        <v>351</v>
      </c>
      <c r="E150" s="19">
        <f t="shared" si="8"/>
        <v>12.535714285714286</v>
      </c>
      <c r="F150">
        <f>_xlfn.XLOOKUP(C:C,Q:Q,S:S)</f>
        <v>625.14</v>
      </c>
      <c r="I150" s="19">
        <f t="shared" si="9"/>
        <v>702</v>
      </c>
      <c r="J150" t="b">
        <f t="shared" si="10"/>
        <v>1</v>
      </c>
      <c r="K150" s="4">
        <f t="shared" si="11"/>
        <v>-0.10948717948717945</v>
      </c>
      <c r="M150"/>
      <c r="O150"/>
      <c r="Q150" t="s">
        <v>238</v>
      </c>
      <c r="R150">
        <v>1430</v>
      </c>
      <c r="S150">
        <v>2394.31</v>
      </c>
    </row>
    <row r="151" spans="1:19" hidden="1">
      <c r="A151" t="s">
        <v>1218</v>
      </c>
      <c r="B151" t="s">
        <v>327</v>
      </c>
      <c r="C151" t="s">
        <v>328</v>
      </c>
      <c r="D151" s="19">
        <f>_xlfn.XLOOKUP(C:C,Q:Q,R:R)</f>
        <v>1208</v>
      </c>
      <c r="E151" s="19">
        <f t="shared" si="8"/>
        <v>43.142857142857146</v>
      </c>
      <c r="F151">
        <f>_xlfn.XLOOKUP(C:C,Q:Q,S:S)</f>
        <v>1927.06</v>
      </c>
      <c r="I151" s="19">
        <f t="shared" si="9"/>
        <v>2416</v>
      </c>
      <c r="J151" t="b">
        <f t="shared" si="10"/>
        <v>1</v>
      </c>
      <c r="K151" s="4">
        <f t="shared" si="11"/>
        <v>-0.20237582781456953</v>
      </c>
      <c r="M151"/>
      <c r="O151"/>
      <c r="Q151" t="s">
        <v>368</v>
      </c>
      <c r="R151">
        <v>751</v>
      </c>
      <c r="S151">
        <v>53.21</v>
      </c>
    </row>
    <row r="152" spans="1:19" hidden="1">
      <c r="A152" t="s">
        <v>1218</v>
      </c>
      <c r="B152" t="s">
        <v>175</v>
      </c>
      <c r="C152" t="s">
        <v>176</v>
      </c>
      <c r="D152" s="19">
        <f>_xlfn.XLOOKUP(C:C,Q:Q,R:R)</f>
        <v>1476</v>
      </c>
      <c r="E152" s="19">
        <f t="shared" si="8"/>
        <v>52.714285714285715</v>
      </c>
      <c r="F152">
        <f>_xlfn.XLOOKUP(C:C,Q:Q,S:S)</f>
        <v>2358.27</v>
      </c>
      <c r="I152" s="19">
        <f t="shared" si="9"/>
        <v>2952</v>
      </c>
      <c r="J152" t="b">
        <f t="shared" si="10"/>
        <v>1</v>
      </c>
      <c r="K152" s="4">
        <f t="shared" si="11"/>
        <v>-0.20112804878048784</v>
      </c>
      <c r="M152"/>
      <c r="O152"/>
      <c r="Q152" t="s">
        <v>308</v>
      </c>
      <c r="R152">
        <v>696</v>
      </c>
      <c r="S152">
        <v>966.85</v>
      </c>
    </row>
    <row r="153" spans="1:19" hidden="1">
      <c r="A153" t="s">
        <v>1219</v>
      </c>
      <c r="B153" t="s">
        <v>597</v>
      </c>
      <c r="C153" t="s">
        <v>598</v>
      </c>
      <c r="D153" s="19">
        <f>_xlfn.XLOOKUP(C:C,Q:Q,R:R)</f>
        <v>1039</v>
      </c>
      <c r="E153" s="19">
        <f t="shared" si="8"/>
        <v>37.107142857142854</v>
      </c>
      <c r="F153">
        <f>_xlfn.XLOOKUP(C:C,Q:Q,S:S)</f>
        <v>1446.12</v>
      </c>
      <c r="I153" s="19">
        <f t="shared" si="9"/>
        <v>2078</v>
      </c>
      <c r="J153" t="b">
        <f t="shared" si="10"/>
        <v>1</v>
      </c>
      <c r="K153" s="4">
        <f t="shared" si="11"/>
        <v>-0.30408084696823878</v>
      </c>
      <c r="M153"/>
      <c r="O153"/>
      <c r="Q153" t="s">
        <v>356</v>
      </c>
      <c r="R153">
        <v>1272</v>
      </c>
      <c r="S153">
        <v>2336.77</v>
      </c>
    </row>
    <row r="154" spans="1:19">
      <c r="A154" t="s">
        <v>1220</v>
      </c>
      <c r="B154" t="s">
        <v>836</v>
      </c>
      <c r="C154" t="s">
        <v>837</v>
      </c>
      <c r="D154" s="19">
        <f>_xlfn.XLOOKUP(C:C,Q:Q,R:R)</f>
        <v>2105</v>
      </c>
      <c r="E154" s="19">
        <f t="shared" si="8"/>
        <v>75.178571428571431</v>
      </c>
      <c r="F154">
        <f>_xlfn.XLOOKUP(C:C,Q:Q,S:S)</f>
        <v>5222.25</v>
      </c>
      <c r="I154" s="19">
        <f t="shared" si="9"/>
        <v>4210</v>
      </c>
      <c r="J154" t="b">
        <f t="shared" si="10"/>
        <v>0</v>
      </c>
      <c r="K154" s="4">
        <f t="shared" si="11"/>
        <v>0.24043942992874112</v>
      </c>
      <c r="L154" t="s">
        <v>494</v>
      </c>
      <c r="M154" t="s">
        <v>1224</v>
      </c>
      <c r="O154"/>
      <c r="Q154" t="s">
        <v>92</v>
      </c>
      <c r="R154">
        <v>924</v>
      </c>
      <c r="S154">
        <v>1371.73</v>
      </c>
    </row>
    <row r="155" spans="1:19" hidden="1">
      <c r="A155" t="s">
        <v>1218</v>
      </c>
      <c r="B155" t="s">
        <v>139</v>
      </c>
      <c r="C155" t="s">
        <v>140</v>
      </c>
      <c r="D155" s="19">
        <f>_xlfn.XLOOKUP(C:C,Q:Q,R:R)</f>
        <v>1500</v>
      </c>
      <c r="E155" s="19">
        <f t="shared" si="8"/>
        <v>53.571428571428569</v>
      </c>
      <c r="F155">
        <f>_xlfn.XLOOKUP(C:C,Q:Q,S:S)</f>
        <v>3242.85</v>
      </c>
      <c r="I155" s="19">
        <f t="shared" si="9"/>
        <v>3000</v>
      </c>
      <c r="J155" t="b">
        <f t="shared" si="10"/>
        <v>1</v>
      </c>
      <c r="K155" s="4">
        <f t="shared" si="11"/>
        <v>8.0950000000000077E-2</v>
      </c>
      <c r="M155"/>
      <c r="O155"/>
      <c r="Q155" t="s">
        <v>282</v>
      </c>
      <c r="R155">
        <v>3</v>
      </c>
      <c r="S155">
        <v>4.76</v>
      </c>
    </row>
    <row r="156" spans="1:19" hidden="1">
      <c r="A156" t="s">
        <v>1220</v>
      </c>
      <c r="B156" t="s">
        <v>1039</v>
      </c>
      <c r="C156" t="s">
        <v>1040</v>
      </c>
      <c r="D156" s="19">
        <f>_xlfn.XLOOKUP(C:C,Q:Q,R:R)</f>
        <v>3780</v>
      </c>
      <c r="E156" s="19">
        <f t="shared" si="8"/>
        <v>135</v>
      </c>
      <c r="F156">
        <f>_xlfn.XLOOKUP(C:C,Q:Q,S:S)</f>
        <v>6358.12</v>
      </c>
      <c r="I156" s="19">
        <f t="shared" si="9"/>
        <v>7560</v>
      </c>
      <c r="J156" t="b">
        <f t="shared" si="10"/>
        <v>1</v>
      </c>
      <c r="K156" s="4">
        <f t="shared" si="11"/>
        <v>-0.158978835978836</v>
      </c>
      <c r="M156"/>
      <c r="O156"/>
      <c r="Q156" t="s">
        <v>150</v>
      </c>
      <c r="R156">
        <v>654</v>
      </c>
      <c r="S156">
        <v>1923.98</v>
      </c>
    </row>
    <row r="157" spans="1:19" hidden="1">
      <c r="A157" t="s">
        <v>1218</v>
      </c>
      <c r="B157" t="s">
        <v>431</v>
      </c>
      <c r="C157" t="s">
        <v>432</v>
      </c>
      <c r="D157" s="19">
        <f>_xlfn.XLOOKUP(C:C,Q:Q,R:R)</f>
        <v>1863</v>
      </c>
      <c r="E157" s="19">
        <f t="shared" si="8"/>
        <v>66.535714285714292</v>
      </c>
      <c r="F157">
        <f>_xlfn.XLOOKUP(C:C,Q:Q,S:S)</f>
        <v>2162.81</v>
      </c>
      <c r="I157" s="19">
        <f t="shared" si="9"/>
        <v>3726</v>
      </c>
      <c r="J157" t="b">
        <f t="shared" si="10"/>
        <v>1</v>
      </c>
      <c r="K157" s="4">
        <f t="shared" si="11"/>
        <v>-0.41953569511540523</v>
      </c>
      <c r="M157"/>
      <c r="O157"/>
      <c r="Q157" t="s">
        <v>274</v>
      </c>
      <c r="R157">
        <v>272</v>
      </c>
      <c r="S157">
        <v>150.43</v>
      </c>
    </row>
    <row r="158" spans="1:19" hidden="1">
      <c r="A158" t="s">
        <v>1219</v>
      </c>
      <c r="B158" t="s">
        <v>568</v>
      </c>
      <c r="C158" t="s">
        <v>569</v>
      </c>
      <c r="D158" s="19">
        <f>_xlfn.XLOOKUP(C:C,Q:Q,R:R)</f>
        <v>709</v>
      </c>
      <c r="E158" s="19">
        <f t="shared" si="8"/>
        <v>25.321428571428573</v>
      </c>
      <c r="F158">
        <f>_xlfn.XLOOKUP(C:C,Q:Q,S:S)</f>
        <v>343.68</v>
      </c>
      <c r="I158" s="19">
        <f t="shared" si="9"/>
        <v>1418</v>
      </c>
      <c r="J158" t="b">
        <f t="shared" si="10"/>
        <v>1</v>
      </c>
      <c r="K158" s="4">
        <f t="shared" si="11"/>
        <v>-0.75763046544428769</v>
      </c>
      <c r="M158"/>
      <c r="O158"/>
      <c r="Q158" t="s">
        <v>272</v>
      </c>
      <c r="R158">
        <v>8</v>
      </c>
      <c r="S158">
        <v>0</v>
      </c>
    </row>
    <row r="159" spans="1:19" hidden="1">
      <c r="A159" t="s">
        <v>1219</v>
      </c>
      <c r="B159" t="s">
        <v>586</v>
      </c>
      <c r="C159" t="s">
        <v>587</v>
      </c>
      <c r="D159" s="19">
        <f>_xlfn.XLOOKUP(C:C,Q:Q,R:R)</f>
        <v>1195</v>
      </c>
      <c r="E159" s="19">
        <f t="shared" si="8"/>
        <v>42.678571428571431</v>
      </c>
      <c r="F159">
        <f>_xlfn.XLOOKUP(C:C,Q:Q,S:S)</f>
        <v>2255.9299999999998</v>
      </c>
      <c r="I159" s="157">
        <f t="shared" si="9"/>
        <v>2390</v>
      </c>
      <c r="J159" t="b">
        <f t="shared" si="10"/>
        <v>1</v>
      </c>
      <c r="K159" s="4">
        <f t="shared" si="11"/>
        <v>-5.6096234309623516E-2</v>
      </c>
      <c r="Q159" t="s">
        <v>390</v>
      </c>
      <c r="R159">
        <v>460</v>
      </c>
      <c r="S159">
        <v>0</v>
      </c>
    </row>
    <row r="160" spans="1:19" hidden="1">
      <c r="A160" t="s">
        <v>1220</v>
      </c>
      <c r="B160" t="s">
        <v>816</v>
      </c>
      <c r="C160" t="s">
        <v>817</v>
      </c>
      <c r="D160" s="19">
        <f>_xlfn.XLOOKUP(C:C,Q:Q,R:R)</f>
        <v>1961</v>
      </c>
      <c r="E160" s="19">
        <f t="shared" si="8"/>
        <v>70.035714285714292</v>
      </c>
      <c r="F160">
        <f>_xlfn.XLOOKUP(C:C,Q:Q,S:S)</f>
        <v>3430.93</v>
      </c>
      <c r="I160" s="19">
        <f t="shared" si="9"/>
        <v>3922</v>
      </c>
      <c r="J160" t="b">
        <f t="shared" si="10"/>
        <v>1</v>
      </c>
      <c r="K160" s="4">
        <f t="shared" si="11"/>
        <v>-0.12520907700152983</v>
      </c>
      <c r="M160"/>
      <c r="O160"/>
      <c r="Q160" t="s">
        <v>312</v>
      </c>
      <c r="R160">
        <v>1605</v>
      </c>
      <c r="S160">
        <v>3252.58</v>
      </c>
    </row>
    <row r="161" spans="1:19" hidden="1">
      <c r="A161" t="s">
        <v>1220</v>
      </c>
      <c r="B161" t="s">
        <v>958</v>
      </c>
      <c r="C161" t="s">
        <v>959</v>
      </c>
      <c r="D161" s="19">
        <f>_xlfn.XLOOKUP(C:C,Q:Q,R:R)</f>
        <v>966</v>
      </c>
      <c r="E161" s="19">
        <f t="shared" si="8"/>
        <v>34.5</v>
      </c>
      <c r="F161">
        <f>_xlfn.XLOOKUP(C:C,Q:Q,S:S)</f>
        <v>591.04999999999995</v>
      </c>
      <c r="I161" s="19">
        <f t="shared" si="9"/>
        <v>1932</v>
      </c>
      <c r="J161" t="b">
        <f t="shared" si="10"/>
        <v>1</v>
      </c>
      <c r="K161" s="4">
        <f t="shared" si="11"/>
        <v>-0.69407349896480341</v>
      </c>
      <c r="M161"/>
      <c r="O161"/>
      <c r="Q161" t="s">
        <v>340</v>
      </c>
      <c r="R161">
        <v>906</v>
      </c>
      <c r="S161">
        <v>870.89</v>
      </c>
    </row>
    <row r="162" spans="1:19" hidden="1">
      <c r="A162" t="s">
        <v>1218</v>
      </c>
      <c r="B162" t="s">
        <v>323</v>
      </c>
      <c r="C162" t="s">
        <v>324</v>
      </c>
      <c r="D162" s="19">
        <f>_xlfn.XLOOKUP(C:C,Q:Q,R:R)</f>
        <v>1428</v>
      </c>
      <c r="E162" s="19">
        <f t="shared" si="8"/>
        <v>51</v>
      </c>
      <c r="F162">
        <f>_xlfn.XLOOKUP(C:C,Q:Q,S:S)</f>
        <v>2934.62</v>
      </c>
      <c r="I162" s="19">
        <f t="shared" si="9"/>
        <v>2856</v>
      </c>
      <c r="J162" t="b">
        <f t="shared" si="10"/>
        <v>1</v>
      </c>
      <c r="K162" s="4">
        <f t="shared" si="11"/>
        <v>2.7528011204481784E-2</v>
      </c>
      <c r="M162"/>
      <c r="O162"/>
      <c r="Q162" t="s">
        <v>294</v>
      </c>
      <c r="R162">
        <v>2</v>
      </c>
      <c r="S162">
        <v>5.22</v>
      </c>
    </row>
    <row r="163" spans="1:19" hidden="1">
      <c r="A163" t="s">
        <v>1219</v>
      </c>
      <c r="B163" s="21" t="s">
        <v>572</v>
      </c>
      <c r="C163" t="s">
        <v>573</v>
      </c>
      <c r="D163" s="19">
        <f>_xlfn.XLOOKUP(C:C,Q:Q,R:R)</f>
        <v>1097</v>
      </c>
      <c r="E163" s="19">
        <f t="shared" si="8"/>
        <v>39.178571428571431</v>
      </c>
      <c r="F163">
        <f>_xlfn.XLOOKUP(C:C,Q:Q,S:S)</f>
        <v>2322.02</v>
      </c>
      <c r="I163" s="157">
        <f t="shared" si="9"/>
        <v>2194</v>
      </c>
      <c r="J163" t="b">
        <f t="shared" si="10"/>
        <v>1</v>
      </c>
      <c r="K163" s="4">
        <f t="shared" si="11"/>
        <v>5.8350045578851484E-2</v>
      </c>
      <c r="Q163" t="s">
        <v>232</v>
      </c>
      <c r="R163">
        <v>910</v>
      </c>
      <c r="S163">
        <v>1227.83</v>
      </c>
    </row>
    <row r="164" spans="1:19" hidden="1">
      <c r="A164" t="s">
        <v>1219</v>
      </c>
      <c r="B164" t="s">
        <v>731</v>
      </c>
      <c r="C164" t="s">
        <v>732</v>
      </c>
      <c r="D164" s="19">
        <f>_xlfn.XLOOKUP(C:C,Q:Q,R:R)</f>
        <v>1330</v>
      </c>
      <c r="E164" s="19">
        <f t="shared" si="8"/>
        <v>47.5</v>
      </c>
      <c r="F164">
        <f>_xlfn.XLOOKUP(C:C,Q:Q,S:S)</f>
        <v>1531.91</v>
      </c>
      <c r="I164" s="19">
        <f t="shared" si="9"/>
        <v>2660</v>
      </c>
      <c r="J164" t="b">
        <f t="shared" si="10"/>
        <v>1</v>
      </c>
      <c r="K164" s="4">
        <f t="shared" si="11"/>
        <v>-0.42409398496240602</v>
      </c>
      <c r="M164"/>
      <c r="O164"/>
      <c r="Q164" t="s">
        <v>188</v>
      </c>
      <c r="R164">
        <v>2224</v>
      </c>
      <c r="S164">
        <v>3393.97</v>
      </c>
    </row>
    <row r="165" spans="1:19" hidden="1">
      <c r="A165" t="s">
        <v>1220</v>
      </c>
      <c r="B165" t="s">
        <v>828</v>
      </c>
      <c r="C165" t="s">
        <v>829</v>
      </c>
      <c r="D165" s="19">
        <f>_xlfn.XLOOKUP(C:C,Q:Q,R:R)</f>
        <v>871</v>
      </c>
      <c r="E165" s="19">
        <f t="shared" si="8"/>
        <v>31.107142857142858</v>
      </c>
      <c r="F165">
        <f>_xlfn.XLOOKUP(C:C,Q:Q,S:S)</f>
        <v>1459.05</v>
      </c>
      <c r="I165" s="157">
        <f t="shared" si="9"/>
        <v>1742</v>
      </c>
      <c r="J165" t="b">
        <f t="shared" si="10"/>
        <v>1</v>
      </c>
      <c r="K165" s="4">
        <f t="shared" si="11"/>
        <v>-0.16242824339839268</v>
      </c>
      <c r="Q165" t="s">
        <v>206</v>
      </c>
      <c r="R165">
        <v>739</v>
      </c>
      <c r="S165">
        <v>1714.51</v>
      </c>
    </row>
    <row r="166" spans="1:19">
      <c r="A166" t="s">
        <v>1218</v>
      </c>
      <c r="B166" t="s">
        <v>293</v>
      </c>
      <c r="C166" t="s">
        <v>294</v>
      </c>
      <c r="D166" s="19">
        <f>_xlfn.XLOOKUP(C:C,Q:Q,R:R)</f>
        <v>2</v>
      </c>
      <c r="E166" s="19">
        <f t="shared" si="8"/>
        <v>7.1428571428571425E-2</v>
      </c>
      <c r="F166">
        <f>_xlfn.XLOOKUP(C:C,Q:Q,S:S)</f>
        <v>5.22</v>
      </c>
      <c r="I166" s="157">
        <f t="shared" si="9"/>
        <v>4</v>
      </c>
      <c r="J166" t="b">
        <f t="shared" si="10"/>
        <v>0</v>
      </c>
      <c r="K166" s="4">
        <f t="shared" si="11"/>
        <v>0.30499999999999994</v>
      </c>
      <c r="L166" t="s">
        <v>494</v>
      </c>
      <c r="M166" s="159" t="s">
        <v>1225</v>
      </c>
      <c r="Q166" t="s">
        <v>392</v>
      </c>
      <c r="R166">
        <v>189</v>
      </c>
      <c r="S166">
        <v>341.49</v>
      </c>
    </row>
    <row r="167" spans="1:19" hidden="1">
      <c r="A167" t="s">
        <v>1218</v>
      </c>
      <c r="B167" t="s">
        <v>99</v>
      </c>
      <c r="C167" t="s">
        <v>100</v>
      </c>
      <c r="D167" s="19">
        <f>_xlfn.XLOOKUP(C:C,Q:Q,R:R)</f>
        <v>2113</v>
      </c>
      <c r="E167" s="19">
        <f>D167/28</f>
        <v>75.464285714285708</v>
      </c>
      <c r="F167">
        <f>_xlfn.XLOOKUP(C:C,Q:Q,S:S)</f>
        <v>2307.63</v>
      </c>
      <c r="I167" s="19">
        <f t="shared" si="9"/>
        <v>4226</v>
      </c>
      <c r="J167" t="b">
        <f t="shared" si="10"/>
        <v>1</v>
      </c>
      <c r="K167" s="4">
        <f t="shared" si="11"/>
        <v>-0.45394462849029815</v>
      </c>
      <c r="M167"/>
      <c r="O167"/>
      <c r="Q167" t="s">
        <v>400</v>
      </c>
      <c r="R167">
        <v>131</v>
      </c>
      <c r="S167">
        <v>91.13</v>
      </c>
    </row>
    <row r="168" spans="1:19" hidden="1">
      <c r="A168" t="s">
        <v>1220</v>
      </c>
      <c r="B168" t="s">
        <v>994</v>
      </c>
      <c r="C168" t="s">
        <v>995</v>
      </c>
      <c r="D168" s="19">
        <f>_xlfn.XLOOKUP(C:C,Q:Q,R:R)</f>
        <v>1452</v>
      </c>
      <c r="E168" s="19">
        <f t="shared" si="8"/>
        <v>51.857142857142854</v>
      </c>
      <c r="F168">
        <f>_xlfn.XLOOKUP(C:C,Q:Q,S:S)</f>
        <v>3178.29</v>
      </c>
      <c r="I168" s="19">
        <f t="shared" si="9"/>
        <v>2904</v>
      </c>
      <c r="J168" t="b">
        <f t="shared" si="10"/>
        <v>1</v>
      </c>
      <c r="K168" s="4">
        <f t="shared" si="11"/>
        <v>9.4452479338843043E-2</v>
      </c>
      <c r="M168"/>
      <c r="O168"/>
      <c r="Q168" t="s">
        <v>268</v>
      </c>
      <c r="R168">
        <v>241</v>
      </c>
      <c r="S168">
        <v>1011.31</v>
      </c>
    </row>
    <row r="169" spans="1:19" hidden="1">
      <c r="A169" t="s">
        <v>1220</v>
      </c>
      <c r="B169" t="s">
        <v>1000</v>
      </c>
      <c r="C169" t="s">
        <v>1001</v>
      </c>
      <c r="D169" s="19">
        <f>_xlfn.XLOOKUP(C:C,Q:Q,R:R)</f>
        <v>1797</v>
      </c>
      <c r="E169" s="19">
        <f t="shared" si="8"/>
        <v>64.178571428571431</v>
      </c>
      <c r="F169">
        <f>_xlfn.XLOOKUP(C:C,Q:Q,S:S)</f>
        <v>1445.79</v>
      </c>
      <c r="I169" s="19">
        <f t="shared" si="9"/>
        <v>3594</v>
      </c>
      <c r="J169" t="b">
        <f t="shared" si="10"/>
        <v>1</v>
      </c>
      <c r="K169" s="4">
        <f t="shared" si="11"/>
        <v>-0.59772120200333889</v>
      </c>
      <c r="M169"/>
      <c r="O169"/>
      <c r="Q169" t="s">
        <v>406</v>
      </c>
      <c r="R169">
        <v>2823</v>
      </c>
      <c r="S169">
        <v>3165.3</v>
      </c>
    </row>
    <row r="170" spans="1:19">
      <c r="A170" t="s">
        <v>1220</v>
      </c>
      <c r="B170" t="s">
        <v>854</v>
      </c>
      <c r="C170" t="s">
        <v>855</v>
      </c>
      <c r="D170" s="19">
        <f>_xlfn.XLOOKUP(C:C,Q:Q,R:R)</f>
        <v>816</v>
      </c>
      <c r="E170" s="19">
        <f t="shared" si="8"/>
        <v>29.142857142857142</v>
      </c>
      <c r="F170">
        <f>_xlfn.XLOOKUP(C:C,Q:Q,S:S)</f>
        <v>2073.8200000000002</v>
      </c>
      <c r="I170" s="157">
        <f t="shared" si="9"/>
        <v>1632</v>
      </c>
      <c r="J170" t="b">
        <f t="shared" si="10"/>
        <v>0</v>
      </c>
      <c r="K170" s="4">
        <f t="shared" si="11"/>
        <v>0.2707230392156863</v>
      </c>
      <c r="L170" t="s">
        <v>494</v>
      </c>
      <c r="M170" s="159" t="s">
        <v>1226</v>
      </c>
      <c r="O170" s="162"/>
      <c r="Q170" t="s">
        <v>324</v>
      </c>
      <c r="R170">
        <v>1428</v>
      </c>
      <c r="S170">
        <v>2934.62</v>
      </c>
    </row>
    <row r="171" spans="1:19" hidden="1">
      <c r="A171" t="s">
        <v>1218</v>
      </c>
      <c r="B171" t="s">
        <v>417</v>
      </c>
      <c r="C171" t="s">
        <v>418</v>
      </c>
      <c r="D171" s="19">
        <f>_xlfn.XLOOKUP(C:C,Q:Q,R:R)</f>
        <v>685</v>
      </c>
      <c r="E171" s="19">
        <f t="shared" si="8"/>
        <v>24.464285714285715</v>
      </c>
      <c r="F171">
        <f>_xlfn.XLOOKUP(C:C,Q:Q,S:S)</f>
        <v>641.12</v>
      </c>
      <c r="I171" s="19">
        <f t="shared" si="9"/>
        <v>1370</v>
      </c>
      <c r="J171" t="b">
        <f t="shared" si="10"/>
        <v>1</v>
      </c>
      <c r="K171" s="4">
        <f t="shared" si="11"/>
        <v>-0.53202919708029195</v>
      </c>
      <c r="M171"/>
      <c r="O171"/>
      <c r="Q171" t="s">
        <v>210</v>
      </c>
      <c r="R171">
        <v>623</v>
      </c>
      <c r="S171">
        <v>1035.93</v>
      </c>
    </row>
    <row r="172" spans="1:19" hidden="1">
      <c r="A172" t="s">
        <v>1220</v>
      </c>
      <c r="B172" t="s">
        <v>943</v>
      </c>
      <c r="C172" t="s">
        <v>944</v>
      </c>
      <c r="D172" s="19">
        <f>_xlfn.XLOOKUP(C:C,Q:Q,R:R)</f>
        <v>1253</v>
      </c>
      <c r="E172" s="19">
        <f t="shared" si="8"/>
        <v>44.75</v>
      </c>
      <c r="F172">
        <f>_xlfn.XLOOKUP(C:C,Q:Q,S:S)</f>
        <v>1938.81</v>
      </c>
      <c r="I172" s="19">
        <f t="shared" si="9"/>
        <v>2506</v>
      </c>
      <c r="J172" t="b">
        <f t="shared" si="10"/>
        <v>1</v>
      </c>
      <c r="K172" s="4">
        <f t="shared" si="11"/>
        <v>-0.22633280127693534</v>
      </c>
      <c r="M172"/>
      <c r="O172"/>
      <c r="Q172" t="s">
        <v>358</v>
      </c>
      <c r="R172">
        <v>787</v>
      </c>
      <c r="S172">
        <v>1703.07</v>
      </c>
    </row>
    <row r="173" spans="1:19" hidden="1">
      <c r="A173" t="s">
        <v>1220</v>
      </c>
      <c r="B173" t="s">
        <v>988</v>
      </c>
      <c r="C173" t="s">
        <v>989</v>
      </c>
      <c r="D173" s="19">
        <f>_xlfn.XLOOKUP(C:C,Q:Q,R:R)</f>
        <v>1332</v>
      </c>
      <c r="E173" s="19">
        <f t="shared" si="8"/>
        <v>47.571428571428569</v>
      </c>
      <c r="F173">
        <f>_xlfn.XLOOKUP(C:C,Q:Q,S:S)</f>
        <v>1485.85</v>
      </c>
      <c r="I173" s="19">
        <f t="shared" si="9"/>
        <v>2664</v>
      </c>
      <c r="J173" t="b">
        <f t="shared" si="10"/>
        <v>1</v>
      </c>
      <c r="K173" s="4">
        <f t="shared" si="11"/>
        <v>-0.44224849849849857</v>
      </c>
      <c r="M173"/>
      <c r="O173"/>
      <c r="Q173" t="s">
        <v>276</v>
      </c>
      <c r="R173">
        <v>626</v>
      </c>
      <c r="S173">
        <v>1564.77</v>
      </c>
    </row>
    <row r="174" spans="1:19" hidden="1">
      <c r="A174" t="s">
        <v>1220</v>
      </c>
      <c r="B174" t="s">
        <v>996</v>
      </c>
      <c r="C174" t="s">
        <v>997</v>
      </c>
      <c r="D174" s="19">
        <f>_xlfn.XLOOKUP(C:C,Q:Q,R:R)</f>
        <v>1547</v>
      </c>
      <c r="E174" s="19">
        <f t="shared" si="8"/>
        <v>55.25</v>
      </c>
      <c r="F174">
        <f>_xlfn.XLOOKUP(C:C,Q:Q,S:S)</f>
        <v>2379.5700000000002</v>
      </c>
      <c r="I174" s="19">
        <f t="shared" si="9"/>
        <v>3094</v>
      </c>
      <c r="J174" t="b">
        <f t="shared" si="10"/>
        <v>1</v>
      </c>
      <c r="K174" s="4">
        <f t="shared" si="11"/>
        <v>-0.23090820943762114</v>
      </c>
      <c r="M174"/>
      <c r="O174"/>
      <c r="Q174" t="s">
        <v>418</v>
      </c>
      <c r="R174">
        <v>685</v>
      </c>
      <c r="S174">
        <v>641.12</v>
      </c>
    </row>
    <row r="175" spans="1:19" hidden="1">
      <c r="A175" t="s">
        <v>1218</v>
      </c>
      <c r="B175" t="s">
        <v>335</v>
      </c>
      <c r="C175" t="s">
        <v>336</v>
      </c>
      <c r="D175" s="19">
        <f>_xlfn.XLOOKUP(C:C,Q:Q,R:R)</f>
        <v>1176</v>
      </c>
      <c r="E175" s="19">
        <f t="shared" si="8"/>
        <v>42</v>
      </c>
      <c r="F175">
        <f>_xlfn.XLOOKUP(C:C,Q:Q,S:S)</f>
        <v>1389.04</v>
      </c>
      <c r="I175" s="19">
        <f t="shared" si="9"/>
        <v>2352</v>
      </c>
      <c r="J175" t="b">
        <f t="shared" si="10"/>
        <v>1</v>
      </c>
      <c r="K175" s="4">
        <f t="shared" si="11"/>
        <v>-0.40942176870748304</v>
      </c>
      <c r="M175"/>
      <c r="O175"/>
      <c r="Q175" t="s">
        <v>326</v>
      </c>
      <c r="R175">
        <v>1328</v>
      </c>
      <c r="S175">
        <v>1448.98</v>
      </c>
    </row>
    <row r="176" spans="1:19" hidden="1">
      <c r="A176" t="s">
        <v>1218</v>
      </c>
      <c r="B176" t="s">
        <v>237</v>
      </c>
      <c r="C176" t="s">
        <v>238</v>
      </c>
      <c r="D176" s="19">
        <f>_xlfn.XLOOKUP(C:C,Q:Q,R:R)</f>
        <v>1430</v>
      </c>
      <c r="E176" s="19">
        <f t="shared" si="8"/>
        <v>51.071428571428569</v>
      </c>
      <c r="F176">
        <f>_xlfn.XLOOKUP(C:C,Q:Q,S:S)</f>
        <v>2394.31</v>
      </c>
      <c r="I176" s="19">
        <f t="shared" si="9"/>
        <v>2860</v>
      </c>
      <c r="J176" t="b">
        <f t="shared" si="10"/>
        <v>1</v>
      </c>
      <c r="K176" s="4">
        <f t="shared" si="11"/>
        <v>-0.16282867132867129</v>
      </c>
      <c r="M176"/>
      <c r="O176"/>
      <c r="Q176" t="s">
        <v>402</v>
      </c>
      <c r="R176">
        <v>668</v>
      </c>
      <c r="S176">
        <v>1066.51</v>
      </c>
    </row>
    <row r="177" spans="1:19" hidden="1">
      <c r="A177" t="s">
        <v>1218</v>
      </c>
      <c r="B177" t="s">
        <v>281</v>
      </c>
      <c r="C177" t="s">
        <v>282</v>
      </c>
      <c r="D177" s="19">
        <f>_xlfn.XLOOKUP(C:C,Q:Q,R:R)</f>
        <v>3</v>
      </c>
      <c r="E177" s="19">
        <f t="shared" si="8"/>
        <v>0.10714285714285714</v>
      </c>
      <c r="F177">
        <f>_xlfn.XLOOKUP(C:C,Q:Q,S:S)</f>
        <v>4.76</v>
      </c>
      <c r="I177" s="19">
        <f t="shared" si="9"/>
        <v>6</v>
      </c>
      <c r="J177" t="b">
        <f t="shared" si="10"/>
        <v>1</v>
      </c>
      <c r="K177" s="4">
        <f t="shared" si="11"/>
        <v>-0.20666666666666667</v>
      </c>
      <c r="M177"/>
      <c r="O177"/>
      <c r="Q177" t="s">
        <v>328</v>
      </c>
      <c r="R177">
        <v>1208</v>
      </c>
      <c r="S177">
        <v>1927.06</v>
      </c>
    </row>
    <row r="178" spans="1:19" hidden="1">
      <c r="A178" t="s">
        <v>1218</v>
      </c>
      <c r="B178" t="s">
        <v>249</v>
      </c>
      <c r="C178" t="s">
        <v>250</v>
      </c>
      <c r="D178" s="19">
        <f>_xlfn.XLOOKUP(C:C,Q:Q,R:R)</f>
        <v>1108</v>
      </c>
      <c r="E178" s="19">
        <f t="shared" si="8"/>
        <v>39.571428571428569</v>
      </c>
      <c r="F178">
        <f>_xlfn.XLOOKUP(C:C,Q:Q,S:S)</f>
        <v>2267.13</v>
      </c>
      <c r="I178" s="19">
        <f t="shared" si="9"/>
        <v>2216</v>
      </c>
      <c r="J178" t="b">
        <f t="shared" si="10"/>
        <v>1</v>
      </c>
      <c r="K178" s="4">
        <f t="shared" si="11"/>
        <v>2.3073104693140944E-2</v>
      </c>
      <c r="M178"/>
      <c r="O178"/>
      <c r="Q178" t="s">
        <v>148</v>
      </c>
      <c r="R178">
        <v>1509</v>
      </c>
      <c r="S178">
        <v>1951.13</v>
      </c>
    </row>
    <row r="179" spans="1:19" hidden="1">
      <c r="A179" t="s">
        <v>1219</v>
      </c>
      <c r="B179" t="s">
        <v>711</v>
      </c>
      <c r="C179" t="s">
        <v>712</v>
      </c>
      <c r="D179" s="19">
        <f>_xlfn.XLOOKUP(C:C,Q:Q,R:R)</f>
        <v>1391</v>
      </c>
      <c r="E179" s="19">
        <f t="shared" si="8"/>
        <v>49.678571428571431</v>
      </c>
      <c r="F179">
        <f>_xlfn.XLOOKUP(C:C,Q:Q,S:S)</f>
        <v>753.72</v>
      </c>
      <c r="I179" s="19">
        <f t="shared" si="9"/>
        <v>2782</v>
      </c>
      <c r="J179" t="b">
        <f t="shared" si="10"/>
        <v>1</v>
      </c>
      <c r="K179" s="4">
        <f t="shared" si="11"/>
        <v>-0.72907260963335729</v>
      </c>
      <c r="M179"/>
      <c r="O179"/>
      <c r="Q179" t="s">
        <v>60</v>
      </c>
      <c r="R179">
        <v>3022</v>
      </c>
      <c r="S179">
        <v>5124.5200000000004</v>
      </c>
    </row>
    <row r="180" spans="1:19" hidden="1">
      <c r="A180" t="s">
        <v>1219</v>
      </c>
      <c r="B180" t="s">
        <v>697</v>
      </c>
      <c r="C180" t="s">
        <v>698</v>
      </c>
      <c r="D180" s="19">
        <f>_xlfn.XLOOKUP(C:C,Q:Q,R:R)</f>
        <v>1954</v>
      </c>
      <c r="E180" s="19">
        <f t="shared" si="8"/>
        <v>69.785714285714292</v>
      </c>
      <c r="F180">
        <f>_xlfn.XLOOKUP(C:C,Q:Q,S:S)</f>
        <v>2412.92</v>
      </c>
      <c r="I180" s="19">
        <f t="shared" si="9"/>
        <v>3908</v>
      </c>
      <c r="J180" t="b">
        <f t="shared" si="10"/>
        <v>1</v>
      </c>
      <c r="K180" s="4">
        <f t="shared" si="11"/>
        <v>-0.38256908904810638</v>
      </c>
      <c r="M180"/>
      <c r="O180"/>
      <c r="Q180" t="s">
        <v>346</v>
      </c>
      <c r="R180">
        <v>1145</v>
      </c>
      <c r="S180">
        <v>1818.18</v>
      </c>
    </row>
    <row r="181" spans="1:19" hidden="1">
      <c r="A181" t="s">
        <v>1219</v>
      </c>
      <c r="B181" t="s">
        <v>749</v>
      </c>
      <c r="C181" t="s">
        <v>750</v>
      </c>
      <c r="D181" s="19">
        <f>_xlfn.XLOOKUP(C:C,Q:Q,R:R)</f>
        <v>1599</v>
      </c>
      <c r="E181" s="19">
        <f t="shared" si="8"/>
        <v>57.107142857142854</v>
      </c>
      <c r="F181">
        <f>_xlfn.XLOOKUP(C:C,Q:Q,S:S)</f>
        <v>2462.29</v>
      </c>
      <c r="I181" s="19">
        <f t="shared" si="9"/>
        <v>3198</v>
      </c>
      <c r="J181" t="b">
        <f t="shared" si="10"/>
        <v>1</v>
      </c>
      <c r="K181" s="4">
        <f t="shared" si="11"/>
        <v>-0.23005315822388994</v>
      </c>
      <c r="M181"/>
      <c r="O181"/>
      <c r="Q181" t="s">
        <v>384</v>
      </c>
      <c r="R181">
        <v>1394</v>
      </c>
      <c r="S181">
        <v>1861.92</v>
      </c>
    </row>
    <row r="182" spans="1:19" hidden="1">
      <c r="A182" t="s">
        <v>1220</v>
      </c>
      <c r="B182" t="s">
        <v>810</v>
      </c>
      <c r="C182" t="s">
        <v>811</v>
      </c>
      <c r="D182" s="19">
        <f>_xlfn.XLOOKUP(C:C,Q:Q,R:R)</f>
        <v>4183</v>
      </c>
      <c r="E182" s="19">
        <f t="shared" si="8"/>
        <v>149.39285714285714</v>
      </c>
      <c r="F182">
        <f>_xlfn.XLOOKUP(C:C,Q:Q,S:S)</f>
        <v>5646.1</v>
      </c>
      <c r="I182" s="19">
        <f t="shared" si="9"/>
        <v>8366</v>
      </c>
      <c r="J182" t="b">
        <f t="shared" si="10"/>
        <v>1</v>
      </c>
      <c r="K182" s="4">
        <f t="shared" si="11"/>
        <v>-0.32511355486492943</v>
      </c>
      <c r="M182"/>
      <c r="O182"/>
      <c r="Q182" t="s">
        <v>484</v>
      </c>
      <c r="R182">
        <v>33472</v>
      </c>
      <c r="S182">
        <v>35816.089999999997</v>
      </c>
    </row>
    <row r="183" spans="1:19" hidden="1">
      <c r="A183" t="s">
        <v>1218</v>
      </c>
      <c r="B183" t="s">
        <v>313</v>
      </c>
      <c r="C183" t="s">
        <v>314</v>
      </c>
      <c r="D183" s="19">
        <f>_xlfn.XLOOKUP(C:C,Q:Q,R:R)</f>
        <v>834</v>
      </c>
      <c r="E183" s="19">
        <f t="shared" si="8"/>
        <v>29.785714285714285</v>
      </c>
      <c r="F183">
        <f>_xlfn.XLOOKUP(C:C,Q:Q,S:S)</f>
        <v>558.63</v>
      </c>
      <c r="I183" s="19">
        <f t="shared" si="9"/>
        <v>1668</v>
      </c>
      <c r="J183" t="b">
        <f t="shared" si="10"/>
        <v>1</v>
      </c>
      <c r="K183" s="4">
        <f t="shared" si="11"/>
        <v>-0.66508992805755396</v>
      </c>
      <c r="M183"/>
      <c r="O183"/>
      <c r="Q183" t="s">
        <v>410</v>
      </c>
      <c r="R183">
        <v>1079</v>
      </c>
      <c r="S183">
        <v>1820.14</v>
      </c>
    </row>
    <row r="184" spans="1:19" hidden="1">
      <c r="A184" t="s">
        <v>1220</v>
      </c>
      <c r="B184" t="s">
        <v>970</v>
      </c>
      <c r="C184" t="s">
        <v>971</v>
      </c>
      <c r="D184" s="19">
        <f>_xlfn.XLOOKUP(C:C,Q:Q,R:R)</f>
        <v>0</v>
      </c>
      <c r="E184" s="19">
        <f t="shared" si="8"/>
        <v>0</v>
      </c>
      <c r="F184">
        <f>_xlfn.XLOOKUP(C:C,Q:Q,S:S)</f>
        <v>0</v>
      </c>
      <c r="I184" s="19">
        <f t="shared" si="9"/>
        <v>0</v>
      </c>
      <c r="J184" t="b">
        <f t="shared" si="10"/>
        <v>1</v>
      </c>
      <c r="K184" s="4" t="e">
        <f>F184/I184-1</f>
        <v>#DIV/0!</v>
      </c>
      <c r="M184"/>
      <c r="O184"/>
      <c r="Q184" t="s">
        <v>168</v>
      </c>
      <c r="R184">
        <v>1417</v>
      </c>
      <c r="S184">
        <v>2743.68</v>
      </c>
    </row>
    <row r="185" spans="1:19" hidden="1">
      <c r="A185" t="s">
        <v>1219</v>
      </c>
      <c r="B185" t="s">
        <v>592</v>
      </c>
      <c r="C185" t="s">
        <v>593</v>
      </c>
      <c r="D185" s="19">
        <f>_xlfn.XLOOKUP(C:C,Q:Q,R:R)</f>
        <v>722</v>
      </c>
      <c r="E185" s="19">
        <f t="shared" si="8"/>
        <v>25.785714285714285</v>
      </c>
      <c r="F185">
        <f>_xlfn.XLOOKUP(C:C,Q:Q,S:S)</f>
        <v>486.87</v>
      </c>
      <c r="I185" s="19">
        <f t="shared" si="9"/>
        <v>1444</v>
      </c>
      <c r="J185" t="b">
        <f t="shared" si="10"/>
        <v>1</v>
      </c>
      <c r="K185" s="4">
        <f t="shared" si="11"/>
        <v>-0.66283240997229909</v>
      </c>
      <c r="M185"/>
      <c r="O185"/>
      <c r="Q185" t="s">
        <v>314</v>
      </c>
      <c r="R185">
        <v>834</v>
      </c>
      <c r="S185">
        <v>558.63</v>
      </c>
    </row>
    <row r="186" spans="1:19" hidden="1">
      <c r="A186" t="s">
        <v>1219</v>
      </c>
      <c r="B186" t="s">
        <v>526</v>
      </c>
      <c r="C186" t="s">
        <v>527</v>
      </c>
      <c r="D186" s="19">
        <f>_xlfn.XLOOKUP(C:C,Q:Q,R:R)</f>
        <v>711</v>
      </c>
      <c r="E186" s="19">
        <f t="shared" si="8"/>
        <v>25.392857142857142</v>
      </c>
      <c r="F186">
        <f>_xlfn.XLOOKUP(C:C,Q:Q,S:S)</f>
        <v>1448.65</v>
      </c>
      <c r="I186" s="157">
        <f t="shared" si="9"/>
        <v>1422</v>
      </c>
      <c r="J186" t="b">
        <f t="shared" si="10"/>
        <v>1</v>
      </c>
      <c r="K186" s="4">
        <f t="shared" si="11"/>
        <v>1.8741209563994499E-2</v>
      </c>
      <c r="Q186" t="s">
        <v>398</v>
      </c>
      <c r="R186">
        <v>1625</v>
      </c>
      <c r="S186">
        <v>2545.71</v>
      </c>
    </row>
    <row r="187" spans="1:19" hidden="1">
      <c r="A187" t="s">
        <v>1219</v>
      </c>
      <c r="B187" t="s">
        <v>651</v>
      </c>
      <c r="C187" t="s">
        <v>652</v>
      </c>
      <c r="D187" s="19">
        <f>_xlfn.XLOOKUP(C:C,Q:Q,R:R)</f>
        <v>1207</v>
      </c>
      <c r="E187" s="19">
        <f t="shared" si="8"/>
        <v>43.107142857142854</v>
      </c>
      <c r="F187">
        <f>_xlfn.XLOOKUP(C:C,Q:Q,S:S)</f>
        <v>2348.6</v>
      </c>
      <c r="I187" s="19">
        <f t="shared" si="9"/>
        <v>2414</v>
      </c>
      <c r="J187" t="b">
        <f t="shared" si="10"/>
        <v>1</v>
      </c>
      <c r="K187" s="4">
        <f t="shared" si="11"/>
        <v>-2.7091963545981756E-2</v>
      </c>
      <c r="M187"/>
      <c r="O187"/>
      <c r="Q187" t="s">
        <v>404</v>
      </c>
      <c r="R187">
        <v>1102</v>
      </c>
      <c r="S187">
        <v>2842.03</v>
      </c>
    </row>
    <row r="188" spans="1:19" hidden="1">
      <c r="A188" t="s">
        <v>1219</v>
      </c>
      <c r="B188" t="s">
        <v>578</v>
      </c>
      <c r="C188" t="s">
        <v>579</v>
      </c>
      <c r="D188" s="19">
        <f>_xlfn.XLOOKUP(C:C,Q:Q,R:R)</f>
        <v>931</v>
      </c>
      <c r="E188" s="19">
        <f t="shared" si="8"/>
        <v>33.25</v>
      </c>
      <c r="F188">
        <f>_xlfn.XLOOKUP(C:C,Q:Q,S:S)</f>
        <v>1583.03</v>
      </c>
      <c r="I188" s="19">
        <f t="shared" si="9"/>
        <v>1862</v>
      </c>
      <c r="J188" t="b">
        <f t="shared" si="10"/>
        <v>1</v>
      </c>
      <c r="K188" s="4">
        <f t="shared" si="11"/>
        <v>-0.14982277121374865</v>
      </c>
      <c r="M188"/>
      <c r="O188"/>
      <c r="Q188" t="s">
        <v>426</v>
      </c>
      <c r="R188">
        <v>2369</v>
      </c>
      <c r="S188">
        <v>4283</v>
      </c>
    </row>
    <row r="189" spans="1:19" hidden="1">
      <c r="A189" t="s">
        <v>1218</v>
      </c>
      <c r="B189" t="s">
        <v>333</v>
      </c>
      <c r="C189" t="s">
        <v>334</v>
      </c>
      <c r="D189" s="19">
        <f>_xlfn.XLOOKUP(C:C,Q:Q,R:R)</f>
        <v>1048</v>
      </c>
      <c r="E189" s="19">
        <f t="shared" si="8"/>
        <v>37.428571428571431</v>
      </c>
      <c r="F189">
        <f>_xlfn.XLOOKUP(C:C,Q:Q,S:S)</f>
        <v>1891.9</v>
      </c>
      <c r="I189" s="19">
        <f t="shared" si="9"/>
        <v>2096</v>
      </c>
      <c r="J189" t="b">
        <f t="shared" si="10"/>
        <v>1</v>
      </c>
      <c r="K189" s="4">
        <f t="shared" si="11"/>
        <v>-9.7375954198473225E-2</v>
      </c>
      <c r="M189"/>
      <c r="O189"/>
      <c r="Q189" t="s">
        <v>394</v>
      </c>
      <c r="R189">
        <v>399</v>
      </c>
      <c r="S189">
        <v>1084.67</v>
      </c>
    </row>
    <row r="190" spans="1:19" hidden="1">
      <c r="A190" t="s">
        <v>1218</v>
      </c>
      <c r="B190" t="s">
        <v>101</v>
      </c>
      <c r="C190" t="s">
        <v>102</v>
      </c>
      <c r="D190" s="19">
        <f>_xlfn.XLOOKUP(C:C,Q:Q,R:R)</f>
        <v>1982</v>
      </c>
      <c r="E190" s="19">
        <f t="shared" si="8"/>
        <v>70.785714285714292</v>
      </c>
      <c r="F190">
        <f>_xlfn.XLOOKUP(C:C,Q:Q,S:S)</f>
        <v>1597.03</v>
      </c>
      <c r="I190" s="19">
        <f t="shared" si="9"/>
        <v>3964</v>
      </c>
      <c r="J190" t="b">
        <f t="shared" si="10"/>
        <v>1</v>
      </c>
      <c r="K190" s="4">
        <f t="shared" si="11"/>
        <v>-0.59711654894046418</v>
      </c>
      <c r="M190"/>
      <c r="O190"/>
      <c r="Q190" t="s">
        <v>50</v>
      </c>
      <c r="R190">
        <v>2274</v>
      </c>
      <c r="S190">
        <v>2660.71</v>
      </c>
    </row>
    <row r="191" spans="1:19" hidden="1">
      <c r="A191" t="s">
        <v>1220</v>
      </c>
      <c r="B191" t="s">
        <v>1022</v>
      </c>
      <c r="C191" t="s">
        <v>1023</v>
      </c>
      <c r="D191" s="19">
        <f>_xlfn.XLOOKUP(C:C,Q:Q,R:R)</f>
        <v>3298</v>
      </c>
      <c r="E191" s="19">
        <f t="shared" si="8"/>
        <v>117.78571428571429</v>
      </c>
      <c r="F191">
        <f>_xlfn.XLOOKUP(C:C,Q:Q,S:S)</f>
        <v>6920.57</v>
      </c>
      <c r="I191" s="19">
        <f t="shared" si="9"/>
        <v>6596</v>
      </c>
      <c r="J191" t="b">
        <f t="shared" si="10"/>
        <v>1</v>
      </c>
      <c r="K191" s="4">
        <f t="shared" si="11"/>
        <v>4.9207095209217622E-2</v>
      </c>
      <c r="M191"/>
      <c r="O191"/>
      <c r="Q191" t="s">
        <v>386</v>
      </c>
      <c r="R191">
        <v>15</v>
      </c>
      <c r="S191">
        <v>6.29</v>
      </c>
    </row>
    <row r="192" spans="1:19" hidden="1">
      <c r="A192" t="s">
        <v>1219</v>
      </c>
      <c r="B192" t="s">
        <v>772</v>
      </c>
      <c r="C192" t="s">
        <v>773</v>
      </c>
      <c r="D192" s="19">
        <f>_xlfn.XLOOKUP(C:C,Q:Q,R:R)</f>
        <v>1164</v>
      </c>
      <c r="E192" s="19">
        <f t="shared" ref="E192:E251" si="12">D192/28</f>
        <v>41.571428571428569</v>
      </c>
      <c r="F192">
        <f>_xlfn.XLOOKUP(C:C,Q:Q,S:S)</f>
        <v>700.98</v>
      </c>
      <c r="I192" s="19">
        <f t="shared" ref="I192:I251" si="13">IF((D192/28)&gt;100,D192*2,D192*2)</f>
        <v>2328</v>
      </c>
      <c r="J192" t="b">
        <f t="shared" ref="J192:J251" si="14">IF(F192&gt;1.2*I192,FALSE,TRUE)</f>
        <v>1</v>
      </c>
      <c r="K192" s="4">
        <f t="shared" ref="K192:K251" si="15">F192/I192-1</f>
        <v>-0.6988917525773195</v>
      </c>
      <c r="M192"/>
      <c r="O192"/>
      <c r="Q192" t="s">
        <v>220</v>
      </c>
      <c r="R192">
        <v>1363</v>
      </c>
      <c r="S192">
        <v>2351.85</v>
      </c>
    </row>
    <row r="193" spans="1:19" hidden="1">
      <c r="A193" t="s">
        <v>1218</v>
      </c>
      <c r="B193" t="s">
        <v>217</v>
      </c>
      <c r="C193" t="s">
        <v>218</v>
      </c>
      <c r="D193" s="19">
        <f>_xlfn.XLOOKUP(C:C,Q:Q,R:R)</f>
        <v>1476</v>
      </c>
      <c r="E193" s="19">
        <f t="shared" si="12"/>
        <v>52.714285714285715</v>
      </c>
      <c r="F193">
        <f>_xlfn.XLOOKUP(C:C,Q:Q,S:S)</f>
        <v>1165.81</v>
      </c>
      <c r="I193" s="19">
        <f t="shared" si="13"/>
        <v>2952</v>
      </c>
      <c r="J193" t="b">
        <f t="shared" si="14"/>
        <v>1</v>
      </c>
      <c r="K193" s="4">
        <f t="shared" si="15"/>
        <v>-0.60507791327913285</v>
      </c>
      <c r="M193"/>
      <c r="O193"/>
      <c r="Q193" t="s">
        <v>446</v>
      </c>
      <c r="R193">
        <v>3262</v>
      </c>
      <c r="S193">
        <v>5310.92</v>
      </c>
    </row>
    <row r="194" spans="1:19" hidden="1">
      <c r="A194" t="s">
        <v>1218</v>
      </c>
      <c r="B194" t="s">
        <v>119</v>
      </c>
      <c r="C194" t="s">
        <v>120</v>
      </c>
      <c r="D194" s="19">
        <f>_xlfn.XLOOKUP(C:C,Q:Q,R:R)</f>
        <v>2577</v>
      </c>
      <c r="E194" s="19">
        <f t="shared" si="12"/>
        <v>92.035714285714292</v>
      </c>
      <c r="F194">
        <f>_xlfn.XLOOKUP(C:C,Q:Q,S:S)</f>
        <v>5023.1499999999996</v>
      </c>
      <c r="I194" s="19">
        <f t="shared" si="13"/>
        <v>5154</v>
      </c>
      <c r="J194" t="b">
        <f t="shared" si="14"/>
        <v>1</v>
      </c>
      <c r="K194" s="4">
        <f t="shared" si="15"/>
        <v>-2.5388048117966688E-2</v>
      </c>
      <c r="M194"/>
      <c r="O194"/>
      <c r="Q194" t="s">
        <v>334</v>
      </c>
      <c r="R194">
        <v>1048</v>
      </c>
      <c r="S194">
        <v>1891.9</v>
      </c>
    </row>
    <row r="195" spans="1:19" hidden="1">
      <c r="A195" t="s">
        <v>1218</v>
      </c>
      <c r="B195" t="s">
        <v>359</v>
      </c>
      <c r="C195" t="s">
        <v>360</v>
      </c>
      <c r="D195" s="19">
        <f>_xlfn.XLOOKUP(C:C,Q:Q,R:R)</f>
        <v>898</v>
      </c>
      <c r="E195" s="19">
        <f t="shared" si="12"/>
        <v>32.071428571428569</v>
      </c>
      <c r="F195">
        <f>_xlfn.XLOOKUP(C:C,Q:Q,S:S)</f>
        <v>1192.75</v>
      </c>
      <c r="I195" s="19">
        <f t="shared" si="13"/>
        <v>1796</v>
      </c>
      <c r="J195" t="b">
        <f t="shared" si="14"/>
        <v>1</v>
      </c>
      <c r="K195" s="4">
        <f t="shared" si="15"/>
        <v>-0.33588530066815148</v>
      </c>
      <c r="M195"/>
      <c r="O195"/>
      <c r="Q195" t="s">
        <v>72</v>
      </c>
      <c r="R195">
        <v>1647</v>
      </c>
      <c r="S195">
        <v>2183.27</v>
      </c>
    </row>
    <row r="196" spans="1:19" hidden="1">
      <c r="A196" t="s">
        <v>1220</v>
      </c>
      <c r="B196" t="s">
        <v>896</v>
      </c>
      <c r="C196" t="s">
        <v>897</v>
      </c>
      <c r="D196" s="19">
        <f>_xlfn.XLOOKUP(C:C,Q:Q,R:R)</f>
        <v>1743</v>
      </c>
      <c r="E196" s="19">
        <f t="shared" si="12"/>
        <v>62.25</v>
      </c>
      <c r="F196">
        <f>_xlfn.XLOOKUP(C:C,Q:Q,S:S)</f>
        <v>2986.39</v>
      </c>
      <c r="I196" s="19">
        <f t="shared" si="13"/>
        <v>3486</v>
      </c>
      <c r="J196" t="b">
        <f t="shared" si="14"/>
        <v>1</v>
      </c>
      <c r="K196" s="4">
        <f t="shared" si="15"/>
        <v>-0.14331899024670114</v>
      </c>
      <c r="M196"/>
      <c r="O196"/>
      <c r="Q196" t="s">
        <v>416</v>
      </c>
      <c r="R196">
        <v>704</v>
      </c>
      <c r="S196">
        <v>1247.75</v>
      </c>
    </row>
    <row r="197" spans="1:19" hidden="1">
      <c r="A197" t="s">
        <v>1218</v>
      </c>
      <c r="B197" t="s">
        <v>155</v>
      </c>
      <c r="C197" t="s">
        <v>156</v>
      </c>
      <c r="D197" s="19">
        <f>_xlfn.XLOOKUP(C:C,Q:Q,R:R)</f>
        <v>1109</v>
      </c>
      <c r="E197" s="19">
        <f>D197/28</f>
        <v>39.607142857142854</v>
      </c>
      <c r="F197">
        <f>_xlfn.XLOOKUP(C:C,Q:Q,S:S)</f>
        <v>2476.85</v>
      </c>
      <c r="I197" s="19">
        <f t="shared" si="13"/>
        <v>2218</v>
      </c>
      <c r="J197" t="b">
        <f t="shared" si="14"/>
        <v>1</v>
      </c>
      <c r="K197" s="4">
        <f t="shared" si="15"/>
        <v>0.11670423805229935</v>
      </c>
      <c r="M197"/>
      <c r="O197"/>
      <c r="Q197" t="s">
        <v>190</v>
      </c>
      <c r="R197">
        <v>1322</v>
      </c>
      <c r="S197">
        <v>3434.74</v>
      </c>
    </row>
    <row r="198" spans="1:19" hidden="1">
      <c r="A198" t="s">
        <v>1218</v>
      </c>
      <c r="B198" t="s">
        <v>383</v>
      </c>
      <c r="C198" t="s">
        <v>384</v>
      </c>
      <c r="D198" s="19">
        <f>_xlfn.XLOOKUP(C:C,Q:Q,R:R)</f>
        <v>1394</v>
      </c>
      <c r="E198" s="19">
        <f t="shared" si="12"/>
        <v>49.785714285714285</v>
      </c>
      <c r="F198">
        <f>_xlfn.XLOOKUP(C:C,Q:Q,S:S)</f>
        <v>1861.92</v>
      </c>
      <c r="I198" s="19">
        <f t="shared" si="13"/>
        <v>2788</v>
      </c>
      <c r="J198" t="b">
        <f t="shared" si="14"/>
        <v>1</v>
      </c>
      <c r="K198" s="4">
        <f t="shared" si="15"/>
        <v>-0.3321664275466284</v>
      </c>
      <c r="M198"/>
      <c r="O198"/>
      <c r="Q198" t="s">
        <v>414</v>
      </c>
      <c r="R198">
        <v>1858</v>
      </c>
      <c r="S198">
        <v>2426.17</v>
      </c>
    </row>
    <row r="199" spans="1:19">
      <c r="A199" t="s">
        <v>1218</v>
      </c>
      <c r="B199" t="s">
        <v>135</v>
      </c>
      <c r="C199" t="s">
        <v>136</v>
      </c>
      <c r="D199" s="19">
        <f>_xlfn.XLOOKUP(C:C,Q:Q,R:R)</f>
        <v>1658</v>
      </c>
      <c r="E199" s="19">
        <f t="shared" si="12"/>
        <v>59.214285714285715</v>
      </c>
      <c r="F199">
        <f>_xlfn.XLOOKUP(C:C,Q:Q,S:S)</f>
        <v>4124.5</v>
      </c>
      <c r="I199" s="19">
        <f t="shared" si="13"/>
        <v>3316</v>
      </c>
      <c r="J199" t="b">
        <f t="shared" si="14"/>
        <v>0</v>
      </c>
      <c r="K199" s="4">
        <f t="shared" si="15"/>
        <v>0.24381785283474056</v>
      </c>
      <c r="L199" t="s">
        <v>494</v>
      </c>
      <c r="M199" t="s">
        <v>1227</v>
      </c>
      <c r="O199"/>
      <c r="Q199" t="s">
        <v>332</v>
      </c>
      <c r="R199">
        <v>1829</v>
      </c>
      <c r="S199">
        <v>3966.6</v>
      </c>
    </row>
    <row r="200" spans="1:19" hidden="1">
      <c r="A200" t="s">
        <v>1220</v>
      </c>
      <c r="B200" t="s">
        <v>867</v>
      </c>
      <c r="C200" t="s">
        <v>868</v>
      </c>
      <c r="D200" s="19">
        <f>_xlfn.XLOOKUP(C:C,Q:Q,R:R)</f>
        <v>1016</v>
      </c>
      <c r="E200" s="19">
        <f t="shared" si="12"/>
        <v>36.285714285714285</v>
      </c>
      <c r="F200">
        <f>_xlfn.XLOOKUP(C:C,Q:Q,S:S)</f>
        <v>2364.4699999999998</v>
      </c>
      <c r="I200" s="157">
        <f t="shared" si="13"/>
        <v>2032</v>
      </c>
      <c r="J200" t="b">
        <f t="shared" si="14"/>
        <v>1</v>
      </c>
      <c r="K200" s="4">
        <f t="shared" si="15"/>
        <v>0.16361712598425182</v>
      </c>
      <c r="Q200" t="s">
        <v>412</v>
      </c>
      <c r="R200">
        <v>1488</v>
      </c>
      <c r="S200">
        <v>1258.69</v>
      </c>
    </row>
    <row r="201" spans="1:19" hidden="1">
      <c r="A201" t="s">
        <v>1219</v>
      </c>
      <c r="B201" t="s">
        <v>768</v>
      </c>
      <c r="C201" t="s">
        <v>769</v>
      </c>
      <c r="D201" s="19">
        <f>_xlfn.XLOOKUP(C:C,Q:Q,R:R)</f>
        <v>1220</v>
      </c>
      <c r="E201" s="19">
        <f t="shared" si="12"/>
        <v>43.571428571428569</v>
      </c>
      <c r="F201">
        <f>_xlfn.XLOOKUP(C:C,Q:Q,S:S)</f>
        <v>2543.9699999999998</v>
      </c>
      <c r="I201" s="19">
        <f t="shared" si="13"/>
        <v>2440</v>
      </c>
      <c r="J201" t="b">
        <f t="shared" si="14"/>
        <v>1</v>
      </c>
      <c r="K201" s="4">
        <f t="shared" si="15"/>
        <v>4.2610655737704839E-2</v>
      </c>
      <c r="M201"/>
      <c r="O201"/>
      <c r="Q201" t="s">
        <v>454</v>
      </c>
      <c r="R201">
        <v>4708</v>
      </c>
      <c r="S201">
        <v>8799.1</v>
      </c>
    </row>
    <row r="202" spans="1:19" hidden="1">
      <c r="A202" t="s">
        <v>1219</v>
      </c>
      <c r="B202" t="s">
        <v>719</v>
      </c>
      <c r="C202" t="s">
        <v>720</v>
      </c>
      <c r="D202" s="19">
        <f>_xlfn.XLOOKUP(C:C,Q:Q,R:R)</f>
        <v>1017</v>
      </c>
      <c r="E202" s="19">
        <f t="shared" si="12"/>
        <v>36.321428571428569</v>
      </c>
      <c r="F202">
        <f>_xlfn.XLOOKUP(C:C,Q:Q,S:S)</f>
        <v>1281.21</v>
      </c>
      <c r="I202" s="19">
        <f t="shared" si="13"/>
        <v>2034</v>
      </c>
      <c r="J202" t="b">
        <f t="shared" si="14"/>
        <v>1</v>
      </c>
      <c r="K202" s="4">
        <f t="shared" si="15"/>
        <v>-0.37010324483775814</v>
      </c>
      <c r="M202"/>
      <c r="O202"/>
      <c r="Q202" t="s">
        <v>432</v>
      </c>
      <c r="R202">
        <v>1863</v>
      </c>
      <c r="S202">
        <v>2162.81</v>
      </c>
    </row>
    <row r="203" spans="1:19" hidden="1">
      <c r="A203" t="s">
        <v>1218</v>
      </c>
      <c r="B203" t="s">
        <v>363</v>
      </c>
      <c r="C203" t="s">
        <v>364</v>
      </c>
      <c r="D203" s="19">
        <f>_xlfn.XLOOKUP(C:C,Q:Q,R:R)</f>
        <v>901</v>
      </c>
      <c r="E203" s="19">
        <f t="shared" si="12"/>
        <v>32.178571428571431</v>
      </c>
      <c r="F203">
        <f>_xlfn.XLOOKUP(C:C,Q:Q,S:S)</f>
        <v>1451.22</v>
      </c>
      <c r="I203" s="19">
        <f t="shared" si="13"/>
        <v>1802</v>
      </c>
      <c r="J203" t="b">
        <f t="shared" si="14"/>
        <v>1</v>
      </c>
      <c r="K203" s="4">
        <f t="shared" si="15"/>
        <v>-0.19466148723640397</v>
      </c>
      <c r="M203"/>
      <c r="O203"/>
      <c r="Q203" t="s">
        <v>350</v>
      </c>
      <c r="R203">
        <v>872</v>
      </c>
      <c r="S203">
        <v>1214.8699999999999</v>
      </c>
    </row>
    <row r="204" spans="1:19" hidden="1">
      <c r="A204" t="s">
        <v>1220</v>
      </c>
      <c r="B204" t="s">
        <v>919</v>
      </c>
      <c r="C204" t="s">
        <v>920</v>
      </c>
      <c r="D204" s="19">
        <f>_xlfn.XLOOKUP(C:C,Q:Q,R:R)</f>
        <v>770</v>
      </c>
      <c r="E204" s="19">
        <f t="shared" si="12"/>
        <v>27.5</v>
      </c>
      <c r="F204">
        <f>_xlfn.XLOOKUP(C:C,Q:Q,S:S)</f>
        <v>85.89</v>
      </c>
      <c r="I204" s="19">
        <f t="shared" si="13"/>
        <v>1540</v>
      </c>
      <c r="J204" t="b">
        <f t="shared" si="14"/>
        <v>1</v>
      </c>
      <c r="K204" s="4">
        <f t="shared" si="15"/>
        <v>-0.94422727272727269</v>
      </c>
      <c r="M204"/>
      <c r="O204"/>
      <c r="Q204" t="s">
        <v>202</v>
      </c>
      <c r="R204">
        <v>881</v>
      </c>
      <c r="S204">
        <v>1652.3</v>
      </c>
    </row>
    <row r="205" spans="1:19" ht="14.25" hidden="1" customHeight="1">
      <c r="A205" t="s">
        <v>1218</v>
      </c>
      <c r="B205" t="s">
        <v>411</v>
      </c>
      <c r="C205" t="s">
        <v>412</v>
      </c>
      <c r="D205" s="19">
        <f>_xlfn.XLOOKUP(C:C,Q:Q,R:R)</f>
        <v>1488</v>
      </c>
      <c r="E205" s="19">
        <f t="shared" si="12"/>
        <v>53.142857142857146</v>
      </c>
      <c r="F205">
        <f>_xlfn.XLOOKUP(C:C,Q:Q,S:S)</f>
        <v>1258.69</v>
      </c>
      <c r="I205" s="19">
        <f t="shared" si="13"/>
        <v>2976</v>
      </c>
      <c r="J205" t="b">
        <f t="shared" si="14"/>
        <v>1</v>
      </c>
      <c r="K205" s="4">
        <f t="shared" si="15"/>
        <v>-0.57705309139784944</v>
      </c>
      <c r="M205"/>
      <c r="O205"/>
      <c r="Q205" t="s">
        <v>448</v>
      </c>
      <c r="R205">
        <v>1829</v>
      </c>
      <c r="S205">
        <v>4095.28</v>
      </c>
    </row>
    <row r="206" spans="1:19" hidden="1">
      <c r="A206" t="s">
        <v>1218</v>
      </c>
      <c r="B206" t="s">
        <v>471</v>
      </c>
      <c r="C206" t="s">
        <v>472</v>
      </c>
      <c r="D206" s="19">
        <f>_xlfn.XLOOKUP(C:C,Q:Q,R:R)</f>
        <v>124</v>
      </c>
      <c r="E206" s="19">
        <f t="shared" si="12"/>
        <v>4.4285714285714288</v>
      </c>
      <c r="F206">
        <f>_xlfn.XLOOKUP(C:C,Q:Q,S:S)</f>
        <v>275.04000000000002</v>
      </c>
      <c r="I206" s="19">
        <f t="shared" si="13"/>
        <v>248</v>
      </c>
      <c r="J206" t="b">
        <f t="shared" si="14"/>
        <v>1</v>
      </c>
      <c r="K206" s="4">
        <f t="shared" si="15"/>
        <v>0.10903225806451622</v>
      </c>
      <c r="M206"/>
      <c r="O206"/>
      <c r="Q206" t="s">
        <v>302</v>
      </c>
      <c r="R206">
        <v>0</v>
      </c>
      <c r="S206">
        <v>0</v>
      </c>
    </row>
    <row r="207" spans="1:19" hidden="1">
      <c r="A207" t="s">
        <v>1218</v>
      </c>
      <c r="B207" t="s">
        <v>343</v>
      </c>
      <c r="C207" t="s">
        <v>344</v>
      </c>
      <c r="D207" s="19">
        <f>_xlfn.XLOOKUP(C:C,Q:Q,R:R)</f>
        <v>1046</v>
      </c>
      <c r="E207" s="19">
        <f t="shared" si="12"/>
        <v>37.357142857142854</v>
      </c>
      <c r="F207">
        <f>_xlfn.XLOOKUP(C:C,Q:Q,S:S)</f>
        <v>905.93</v>
      </c>
      <c r="I207" s="19">
        <f t="shared" si="13"/>
        <v>2092</v>
      </c>
      <c r="J207" t="b">
        <f t="shared" si="14"/>
        <v>1</v>
      </c>
      <c r="K207" s="4">
        <f t="shared" si="15"/>
        <v>-0.56695506692160613</v>
      </c>
      <c r="M207"/>
      <c r="O207"/>
      <c r="Q207" t="s">
        <v>440</v>
      </c>
      <c r="R207">
        <v>3661</v>
      </c>
      <c r="S207">
        <v>7728.05</v>
      </c>
    </row>
    <row r="208" spans="1:19" hidden="1">
      <c r="A208" t="s">
        <v>1220</v>
      </c>
      <c r="B208" t="s">
        <v>869</v>
      </c>
      <c r="C208" t="s">
        <v>870</v>
      </c>
      <c r="D208" s="19">
        <f>_xlfn.XLOOKUP(C:C,Q:Q,R:R)</f>
        <v>1074</v>
      </c>
      <c r="E208" s="19">
        <f t="shared" si="12"/>
        <v>38.357142857142854</v>
      </c>
      <c r="F208">
        <f>_xlfn.XLOOKUP(C:C,Q:Q,S:S)</f>
        <v>1191.3399999999999</v>
      </c>
      <c r="I208" s="19">
        <f t="shared" si="13"/>
        <v>2148</v>
      </c>
      <c r="J208" t="b">
        <f t="shared" si="14"/>
        <v>1</v>
      </c>
      <c r="K208" s="4">
        <f t="shared" si="15"/>
        <v>-0.44537243947858474</v>
      </c>
      <c r="M208"/>
      <c r="O208"/>
      <c r="Q208" t="s">
        <v>254</v>
      </c>
      <c r="R208">
        <v>941</v>
      </c>
      <c r="S208">
        <v>2119.17</v>
      </c>
    </row>
    <row r="209" spans="1:19" hidden="1">
      <c r="A209" t="s">
        <v>1219</v>
      </c>
      <c r="B209" t="s">
        <v>634</v>
      </c>
      <c r="C209" t="s">
        <v>635</v>
      </c>
      <c r="D209" s="19">
        <f>_xlfn.XLOOKUP(C:C,Q:Q,R:R)</f>
        <v>671</v>
      </c>
      <c r="E209" s="19">
        <f t="shared" si="12"/>
        <v>23.964285714285715</v>
      </c>
      <c r="F209">
        <f>_xlfn.XLOOKUP(C:C,Q:Q,S:S)</f>
        <v>0</v>
      </c>
      <c r="I209" s="19">
        <f t="shared" si="13"/>
        <v>1342</v>
      </c>
      <c r="J209" t="b">
        <f t="shared" si="14"/>
        <v>1</v>
      </c>
      <c r="K209" s="4">
        <f t="shared" si="15"/>
        <v>-1</v>
      </c>
      <c r="M209"/>
      <c r="O209"/>
      <c r="Q209" t="s">
        <v>474</v>
      </c>
      <c r="R209">
        <v>1614</v>
      </c>
      <c r="S209">
        <v>3807.06</v>
      </c>
    </row>
    <row r="210" spans="1:19" hidden="1">
      <c r="A210" t="s">
        <v>1218</v>
      </c>
      <c r="B210" t="s">
        <v>259</v>
      </c>
      <c r="C210" t="s">
        <v>260</v>
      </c>
      <c r="D210" s="19">
        <f>_xlfn.XLOOKUP(C:C,Q:Q,R:R)</f>
        <v>829</v>
      </c>
      <c r="E210" s="19">
        <f t="shared" si="12"/>
        <v>29.607142857142858</v>
      </c>
      <c r="F210">
        <f>_xlfn.XLOOKUP(C:C,Q:Q,S:S)</f>
        <v>1139.6600000000001</v>
      </c>
      <c r="I210" s="19">
        <f t="shared" si="13"/>
        <v>1658</v>
      </c>
      <c r="J210" t="b">
        <f t="shared" si="14"/>
        <v>1</v>
      </c>
      <c r="K210" s="4">
        <f t="shared" si="15"/>
        <v>-0.31262967430639321</v>
      </c>
      <c r="M210"/>
      <c r="O210"/>
      <c r="Q210" t="s">
        <v>184</v>
      </c>
      <c r="R210">
        <v>627</v>
      </c>
      <c r="S210">
        <v>626.16</v>
      </c>
    </row>
    <row r="211" spans="1:19" hidden="1">
      <c r="A211" t="s">
        <v>1219</v>
      </c>
      <c r="B211" t="s">
        <v>560</v>
      </c>
      <c r="C211" t="s">
        <v>561</v>
      </c>
      <c r="D211" s="19">
        <f>_xlfn.XLOOKUP(C:C,Q:Q,R:R)</f>
        <v>1001</v>
      </c>
      <c r="E211" s="19">
        <f t="shared" si="12"/>
        <v>35.75</v>
      </c>
      <c r="F211">
        <f>_xlfn.XLOOKUP(C:C,Q:Q,S:S)</f>
        <v>1293.8800000000001</v>
      </c>
      <c r="I211" s="19">
        <f t="shared" si="13"/>
        <v>2002</v>
      </c>
      <c r="J211" t="b">
        <f t="shared" si="14"/>
        <v>1</v>
      </c>
      <c r="K211" s="4">
        <f t="shared" si="15"/>
        <v>-0.3537062937062937</v>
      </c>
      <c r="M211"/>
      <c r="O211"/>
      <c r="Q211" t="s">
        <v>438</v>
      </c>
      <c r="R211">
        <v>1753</v>
      </c>
      <c r="S211">
        <v>1596.89</v>
      </c>
    </row>
    <row r="212" spans="1:19" hidden="1">
      <c r="A212" t="s">
        <v>1220</v>
      </c>
      <c r="B212" t="s">
        <v>884</v>
      </c>
      <c r="C212" t="s">
        <v>885</v>
      </c>
      <c r="D212" s="19">
        <f>_xlfn.XLOOKUP(C:C,Q:Q,R:R)</f>
        <v>1179</v>
      </c>
      <c r="E212" s="19">
        <f t="shared" si="12"/>
        <v>42.107142857142854</v>
      </c>
      <c r="F212">
        <f>_xlfn.XLOOKUP(C:C,Q:Q,S:S)</f>
        <v>2708.58</v>
      </c>
      <c r="I212" s="19">
        <f t="shared" si="13"/>
        <v>2358</v>
      </c>
      <c r="J212" t="b">
        <f t="shared" si="14"/>
        <v>1</v>
      </c>
      <c r="K212" s="4">
        <f t="shared" si="15"/>
        <v>0.14867684478371501</v>
      </c>
      <c r="M212"/>
      <c r="O212"/>
      <c r="Q212" t="s">
        <v>452</v>
      </c>
      <c r="R212">
        <v>1376</v>
      </c>
      <c r="S212">
        <v>2237.9499999999998</v>
      </c>
    </row>
    <row r="213" spans="1:19" hidden="1">
      <c r="A213" t="s">
        <v>1218</v>
      </c>
      <c r="B213" t="s">
        <v>151</v>
      </c>
      <c r="C213" t="s">
        <v>152</v>
      </c>
      <c r="D213" s="19">
        <f>_xlfn.XLOOKUP(C:C,Q:Q,R:R)</f>
        <v>1161</v>
      </c>
      <c r="E213" s="19">
        <f t="shared" si="12"/>
        <v>41.464285714285715</v>
      </c>
      <c r="F213">
        <f>_xlfn.XLOOKUP(C:C,Q:Q,S:S)</f>
        <v>883.15</v>
      </c>
      <c r="I213" s="19">
        <f t="shared" si="13"/>
        <v>2322</v>
      </c>
      <c r="J213" t="b">
        <f t="shared" si="14"/>
        <v>1</v>
      </c>
      <c r="K213" s="4">
        <f t="shared" si="15"/>
        <v>-0.6196597760551249</v>
      </c>
      <c r="M213"/>
      <c r="O213"/>
      <c r="Q213" t="s">
        <v>464</v>
      </c>
      <c r="R213">
        <v>351</v>
      </c>
      <c r="S213">
        <v>625.14</v>
      </c>
    </row>
    <row r="214" spans="1:19" hidden="1">
      <c r="A214" t="s">
        <v>1218</v>
      </c>
      <c r="B214" t="s">
        <v>157</v>
      </c>
      <c r="C214" t="s">
        <v>158</v>
      </c>
      <c r="D214" s="19">
        <f>_xlfn.XLOOKUP(C:C,Q:Q,R:R)</f>
        <v>952</v>
      </c>
      <c r="E214" s="19">
        <f t="shared" si="12"/>
        <v>34</v>
      </c>
      <c r="F214">
        <f>_xlfn.XLOOKUP(C:C,Q:Q,S:S)</f>
        <v>1464.03</v>
      </c>
      <c r="I214" s="19">
        <f t="shared" si="13"/>
        <v>1904</v>
      </c>
      <c r="J214" t="b">
        <f t="shared" si="14"/>
        <v>1</v>
      </c>
      <c r="K214" s="4">
        <f t="shared" si="15"/>
        <v>-0.23107668067226894</v>
      </c>
      <c r="M214"/>
      <c r="O214"/>
      <c r="Q214" t="s">
        <v>42</v>
      </c>
      <c r="R214">
        <v>4617</v>
      </c>
      <c r="S214">
        <v>5247.92</v>
      </c>
    </row>
    <row r="215" spans="1:19" hidden="1">
      <c r="A215" t="s">
        <v>1219</v>
      </c>
      <c r="B215" t="s">
        <v>741</v>
      </c>
      <c r="C215" t="s">
        <v>742</v>
      </c>
      <c r="D215" s="19">
        <f>_xlfn.XLOOKUP(C:C,Q:Q,R:R)</f>
        <v>680</v>
      </c>
      <c r="E215" s="19">
        <f t="shared" si="12"/>
        <v>24.285714285714285</v>
      </c>
      <c r="F215">
        <f>_xlfn.XLOOKUP(C:C,Q:Q,S:S)</f>
        <v>313.06</v>
      </c>
      <c r="I215" s="19">
        <f t="shared" si="13"/>
        <v>1360</v>
      </c>
      <c r="J215" t="b">
        <f t="shared" si="14"/>
        <v>1</v>
      </c>
      <c r="K215" s="4">
        <f t="shared" si="15"/>
        <v>-0.76980882352941182</v>
      </c>
      <c r="M215"/>
      <c r="O215"/>
      <c r="Q215" t="s">
        <v>380</v>
      </c>
      <c r="R215">
        <v>3350</v>
      </c>
      <c r="S215">
        <v>6045.53</v>
      </c>
    </row>
    <row r="216" spans="1:19" hidden="1">
      <c r="A216" t="s">
        <v>1219</v>
      </c>
      <c r="B216" t="s">
        <v>657</v>
      </c>
      <c r="C216" t="s">
        <v>658</v>
      </c>
      <c r="D216" s="19">
        <f>_xlfn.XLOOKUP(C:C,Q:Q,R:R)</f>
        <v>1104</v>
      </c>
      <c r="E216" s="19">
        <f t="shared" si="12"/>
        <v>39.428571428571431</v>
      </c>
      <c r="F216">
        <f>_xlfn.XLOOKUP(C:C,Q:Q,S:S)</f>
        <v>2208.2800000000002</v>
      </c>
      <c r="I216" s="19">
        <f t="shared" si="13"/>
        <v>2208</v>
      </c>
      <c r="J216" t="b">
        <f t="shared" si="14"/>
        <v>1</v>
      </c>
      <c r="K216" s="4">
        <f t="shared" si="15"/>
        <v>1.2681159420302457E-4</v>
      </c>
      <c r="M216"/>
      <c r="O216"/>
      <c r="Q216" t="s">
        <v>228</v>
      </c>
      <c r="R216">
        <v>1866</v>
      </c>
      <c r="S216">
        <v>3855.15</v>
      </c>
    </row>
    <row r="217" spans="1:19" hidden="1">
      <c r="A217" t="s">
        <v>1218</v>
      </c>
      <c r="B217" t="s">
        <v>375</v>
      </c>
      <c r="C217" t="s">
        <v>376</v>
      </c>
      <c r="D217" s="19">
        <f>_xlfn.XLOOKUP(C:C,Q:Q,R:R)</f>
        <v>991</v>
      </c>
      <c r="E217" s="19">
        <f t="shared" si="12"/>
        <v>35.392857142857146</v>
      </c>
      <c r="F217">
        <f>_xlfn.XLOOKUP(C:C,Q:Q,S:S)</f>
        <v>1487.32</v>
      </c>
      <c r="I217" s="19">
        <f t="shared" si="13"/>
        <v>1982</v>
      </c>
      <c r="J217" t="b">
        <f t="shared" si="14"/>
        <v>1</v>
      </c>
      <c r="K217" s="4">
        <f t="shared" si="15"/>
        <v>-0.2495862764883956</v>
      </c>
      <c r="M217"/>
      <c r="O217"/>
      <c r="Q217" t="s">
        <v>462</v>
      </c>
      <c r="R217">
        <v>1077</v>
      </c>
      <c r="S217">
        <v>3291.87</v>
      </c>
    </row>
    <row r="218" spans="1:19" hidden="1">
      <c r="A218" t="s">
        <v>1219</v>
      </c>
      <c r="B218" t="s">
        <v>693</v>
      </c>
      <c r="C218" t="s">
        <v>694</v>
      </c>
      <c r="D218" s="19">
        <f>_xlfn.XLOOKUP(C:C,Q:Q,R:R)</f>
        <v>1758</v>
      </c>
      <c r="E218" s="19">
        <f t="shared" si="12"/>
        <v>62.785714285714285</v>
      </c>
      <c r="F218">
        <f>_xlfn.XLOOKUP(C:C,Q:Q,S:S)</f>
        <v>3478.4</v>
      </c>
      <c r="I218" s="19">
        <f t="shared" si="13"/>
        <v>3516</v>
      </c>
      <c r="J218" t="b">
        <f t="shared" si="14"/>
        <v>1</v>
      </c>
      <c r="K218" s="4">
        <f t="shared" si="15"/>
        <v>-1.0693970420932897E-2</v>
      </c>
      <c r="M218"/>
      <c r="O218"/>
      <c r="Q218" t="s">
        <v>114</v>
      </c>
      <c r="R218">
        <v>746</v>
      </c>
      <c r="S218">
        <v>1167.75</v>
      </c>
    </row>
    <row r="219" spans="1:19" hidden="1">
      <c r="A219" t="s">
        <v>1218</v>
      </c>
      <c r="B219" t="s">
        <v>241</v>
      </c>
      <c r="C219" t="s">
        <v>242</v>
      </c>
      <c r="D219" s="19">
        <f>_xlfn.XLOOKUP(C:C,Q:Q,R:R)</f>
        <v>1114</v>
      </c>
      <c r="E219" s="19">
        <f t="shared" si="12"/>
        <v>39.785714285714285</v>
      </c>
      <c r="F219">
        <f>_xlfn.XLOOKUP(C:C,Q:Q,S:S)</f>
        <v>1550.98</v>
      </c>
      <c r="I219" s="19">
        <f t="shared" si="13"/>
        <v>2228</v>
      </c>
      <c r="J219" t="b">
        <f t="shared" si="14"/>
        <v>1</v>
      </c>
      <c r="K219" s="4">
        <f t="shared" si="15"/>
        <v>-0.30386894075403947</v>
      </c>
      <c r="M219"/>
      <c r="O219"/>
      <c r="Q219" t="s">
        <v>318</v>
      </c>
      <c r="R219">
        <v>1508</v>
      </c>
      <c r="S219">
        <v>26.36</v>
      </c>
    </row>
    <row r="220" spans="1:19" hidden="1">
      <c r="A220" t="s">
        <v>1219</v>
      </c>
      <c r="B220" t="s">
        <v>717</v>
      </c>
      <c r="C220" t="s">
        <v>718</v>
      </c>
      <c r="D220" s="19">
        <f>_xlfn.XLOOKUP(C:C,Q:Q,R:R)</f>
        <v>1132</v>
      </c>
      <c r="E220" s="19">
        <f t="shared" si="12"/>
        <v>40.428571428571431</v>
      </c>
      <c r="F220">
        <f>_xlfn.XLOOKUP(C:C,Q:Q,S:S)</f>
        <v>960.15</v>
      </c>
      <c r="I220" s="19">
        <f t="shared" si="13"/>
        <v>2264</v>
      </c>
      <c r="J220" t="b">
        <f t="shared" si="14"/>
        <v>1</v>
      </c>
      <c r="K220" s="4">
        <f t="shared" si="15"/>
        <v>-0.57590547703180217</v>
      </c>
      <c r="M220"/>
      <c r="O220"/>
      <c r="Q220" t="s">
        <v>456</v>
      </c>
      <c r="R220">
        <v>1031</v>
      </c>
      <c r="S220">
        <v>2527.0700000000002</v>
      </c>
    </row>
    <row r="221" spans="1:19" hidden="1">
      <c r="A221" t="s">
        <v>1220</v>
      </c>
      <c r="B221" t="s">
        <v>838</v>
      </c>
      <c r="C221" t="s">
        <v>839</v>
      </c>
      <c r="D221" s="19">
        <f>_xlfn.XLOOKUP(C:C,Q:Q,R:R)</f>
        <v>1161</v>
      </c>
      <c r="E221" s="19">
        <f t="shared" si="12"/>
        <v>41.464285714285715</v>
      </c>
      <c r="F221">
        <f>_xlfn.XLOOKUP(C:C,Q:Q,S:S)</f>
        <v>1374.2</v>
      </c>
      <c r="I221" s="157">
        <f t="shared" si="13"/>
        <v>2322</v>
      </c>
      <c r="J221" t="b">
        <f t="shared" si="14"/>
        <v>1</v>
      </c>
      <c r="K221" s="4">
        <f t="shared" si="15"/>
        <v>-0.40818260120585703</v>
      </c>
      <c r="Q221" t="s">
        <v>78</v>
      </c>
      <c r="R221">
        <v>4286</v>
      </c>
      <c r="S221">
        <v>4897.3</v>
      </c>
    </row>
    <row r="222" spans="1:19" hidden="1">
      <c r="A222" t="s">
        <v>1218</v>
      </c>
      <c r="B222" t="s">
        <v>441</v>
      </c>
      <c r="C222" t="s">
        <v>442</v>
      </c>
      <c r="D222" s="19">
        <f>_xlfn.XLOOKUP(C:C,Q:Q,R:R)</f>
        <v>1390</v>
      </c>
      <c r="E222" s="19">
        <f t="shared" si="12"/>
        <v>49.642857142857146</v>
      </c>
      <c r="F222">
        <f>_xlfn.XLOOKUP(C:C,Q:Q,S:S)</f>
        <v>1789.01</v>
      </c>
      <c r="I222" s="19">
        <f t="shared" si="13"/>
        <v>2780</v>
      </c>
      <c r="J222" t="b">
        <f t="shared" si="14"/>
        <v>1</v>
      </c>
      <c r="K222" s="4">
        <f t="shared" si="15"/>
        <v>-0.35647122302158274</v>
      </c>
      <c r="M222"/>
      <c r="O222"/>
      <c r="Q222" t="s">
        <v>106</v>
      </c>
      <c r="R222">
        <v>5987</v>
      </c>
      <c r="S222">
        <v>6518.57</v>
      </c>
    </row>
    <row r="223" spans="1:19" hidden="1">
      <c r="A223" t="s">
        <v>1220</v>
      </c>
      <c r="B223" t="s">
        <v>924</v>
      </c>
      <c r="C223" t="s">
        <v>925</v>
      </c>
      <c r="D223" s="19">
        <f>_xlfn.XLOOKUP(C:C,Q:Q,R:R)</f>
        <v>1299</v>
      </c>
      <c r="E223" s="19">
        <f t="shared" si="12"/>
        <v>46.392857142857146</v>
      </c>
      <c r="F223">
        <f>_xlfn.XLOOKUP(C:C,Q:Q,S:S)</f>
        <v>2181.89</v>
      </c>
      <c r="I223" s="19">
        <f t="shared" si="13"/>
        <v>2598</v>
      </c>
      <c r="J223" t="b">
        <f t="shared" si="14"/>
        <v>1</v>
      </c>
      <c r="K223" s="4">
        <f t="shared" si="15"/>
        <v>-0.16016551193225559</v>
      </c>
      <c r="M223"/>
      <c r="O223"/>
      <c r="Q223" t="s">
        <v>138</v>
      </c>
      <c r="R223">
        <v>2067</v>
      </c>
      <c r="S223">
        <v>1152.29</v>
      </c>
    </row>
    <row r="224" spans="1:19" hidden="1">
      <c r="A224" t="s">
        <v>1218</v>
      </c>
      <c r="B224" t="s">
        <v>317</v>
      </c>
      <c r="C224" t="s">
        <v>318</v>
      </c>
      <c r="D224" s="19">
        <f>_xlfn.XLOOKUP(C:C,Q:Q,R:R)</f>
        <v>1508</v>
      </c>
      <c r="E224" s="19">
        <f t="shared" si="12"/>
        <v>53.857142857142854</v>
      </c>
      <c r="F224">
        <f>_xlfn.XLOOKUP(C:C,Q:Q,S:S)</f>
        <v>26.36</v>
      </c>
      <c r="I224" s="19">
        <f t="shared" si="13"/>
        <v>3016</v>
      </c>
      <c r="J224" t="b">
        <f t="shared" si="14"/>
        <v>1</v>
      </c>
      <c r="K224" s="4">
        <f t="shared" si="15"/>
        <v>-0.99125994694960218</v>
      </c>
      <c r="M224"/>
      <c r="O224"/>
      <c r="Q224" t="s">
        <v>434</v>
      </c>
      <c r="R224">
        <v>3090</v>
      </c>
      <c r="S224">
        <v>3298.37</v>
      </c>
    </row>
    <row r="225" spans="1:19" hidden="1">
      <c r="A225" t="s">
        <v>1219</v>
      </c>
      <c r="B225" t="s">
        <v>641</v>
      </c>
      <c r="C225" t="s">
        <v>642</v>
      </c>
      <c r="D225" s="19">
        <f>_xlfn.XLOOKUP(C:C,Q:Q,R:R)</f>
        <v>1221</v>
      </c>
      <c r="E225" s="19">
        <f t="shared" si="12"/>
        <v>43.607142857142854</v>
      </c>
      <c r="F225">
        <f>_xlfn.XLOOKUP(C:C,Q:Q,S:S)</f>
        <v>0</v>
      </c>
      <c r="I225" s="19">
        <f t="shared" si="13"/>
        <v>2442</v>
      </c>
      <c r="J225" t="b">
        <f t="shared" si="14"/>
        <v>1</v>
      </c>
      <c r="K225" s="4">
        <f t="shared" si="15"/>
        <v>-1</v>
      </c>
      <c r="M225"/>
      <c r="O225"/>
      <c r="Q225" t="s">
        <v>372</v>
      </c>
      <c r="R225">
        <v>1664</v>
      </c>
      <c r="S225">
        <v>2049.73</v>
      </c>
    </row>
    <row r="226" spans="1:19" hidden="1">
      <c r="A226" t="s">
        <v>1220</v>
      </c>
      <c r="B226" t="s">
        <v>847</v>
      </c>
      <c r="C226" t="s">
        <v>848</v>
      </c>
      <c r="D226" s="19">
        <f>_xlfn.XLOOKUP(C:C,Q:Q,R:R)</f>
        <v>1424</v>
      </c>
      <c r="E226" s="19">
        <f t="shared" si="12"/>
        <v>50.857142857142854</v>
      </c>
      <c r="F226">
        <f>_xlfn.XLOOKUP(C:C,Q:Q,S:S)</f>
        <v>3264.21</v>
      </c>
      <c r="I226" s="157">
        <f t="shared" si="13"/>
        <v>2848</v>
      </c>
      <c r="J226" t="b">
        <f t="shared" si="14"/>
        <v>1</v>
      </c>
      <c r="K226" s="4">
        <f t="shared" si="15"/>
        <v>0.14614115168539321</v>
      </c>
      <c r="Q226" t="s">
        <v>472</v>
      </c>
      <c r="R226">
        <v>124</v>
      </c>
      <c r="S226">
        <v>275.04000000000002</v>
      </c>
    </row>
    <row r="227" spans="1:19" hidden="1">
      <c r="A227" t="s">
        <v>1218</v>
      </c>
      <c r="B227" t="s">
        <v>365</v>
      </c>
      <c r="C227" t="s">
        <v>366</v>
      </c>
      <c r="D227" s="19">
        <f>_xlfn.XLOOKUP(C:C,Q:Q,R:R)</f>
        <v>756</v>
      </c>
      <c r="E227" s="19">
        <f t="shared" si="12"/>
        <v>27</v>
      </c>
      <c r="F227">
        <f>_xlfn.XLOOKUP(C:C,Q:Q,S:S)</f>
        <v>555.17999999999995</v>
      </c>
      <c r="I227" s="19">
        <f t="shared" si="13"/>
        <v>1512</v>
      </c>
      <c r="J227" t="b">
        <f t="shared" si="14"/>
        <v>1</v>
      </c>
      <c r="K227" s="4">
        <f t="shared" si="15"/>
        <v>-0.63281746031746033</v>
      </c>
      <c r="M227"/>
      <c r="O227"/>
      <c r="Q227" t="s">
        <v>476</v>
      </c>
      <c r="R227">
        <v>64</v>
      </c>
      <c r="S227">
        <v>178.31</v>
      </c>
    </row>
    <row r="228" spans="1:19" hidden="1">
      <c r="A228" t="s">
        <v>1218</v>
      </c>
      <c r="B228" t="s">
        <v>351</v>
      </c>
      <c r="C228" t="s">
        <v>352</v>
      </c>
      <c r="D228" s="19">
        <f>_xlfn.XLOOKUP(C:C,Q:Q,R:R)</f>
        <v>866</v>
      </c>
      <c r="E228" s="19">
        <f t="shared" si="12"/>
        <v>30.928571428571427</v>
      </c>
      <c r="F228">
        <f>_xlfn.XLOOKUP(C:C,Q:Q,S:S)</f>
        <v>951.69</v>
      </c>
      <c r="I228" s="19">
        <f t="shared" si="13"/>
        <v>1732</v>
      </c>
      <c r="J228" t="b">
        <f t="shared" si="14"/>
        <v>1</v>
      </c>
      <c r="K228" s="4">
        <f t="shared" si="15"/>
        <v>-0.4505254041570439</v>
      </c>
      <c r="M228"/>
      <c r="O228"/>
      <c r="Q228" t="s">
        <v>424</v>
      </c>
      <c r="R228">
        <v>1664</v>
      </c>
      <c r="S228">
        <v>1764.37</v>
      </c>
    </row>
    <row r="229" spans="1:19" hidden="1">
      <c r="A229" t="s">
        <v>1220</v>
      </c>
      <c r="B229" t="s">
        <v>984</v>
      </c>
      <c r="C229" t="s">
        <v>985</v>
      </c>
      <c r="D229" s="19">
        <f>_xlfn.XLOOKUP(C:C,Q:Q,R:R)</f>
        <v>2083</v>
      </c>
      <c r="E229" s="19">
        <f t="shared" si="12"/>
        <v>74.392857142857139</v>
      </c>
      <c r="F229">
        <f>_xlfn.XLOOKUP(C:C,Q:Q,S:S)</f>
        <v>2456.46</v>
      </c>
      <c r="I229" s="19">
        <f t="shared" si="13"/>
        <v>4166</v>
      </c>
      <c r="J229" t="b">
        <f t="shared" si="14"/>
        <v>1</v>
      </c>
      <c r="K229" s="4">
        <f t="shared" si="15"/>
        <v>-0.41035525684109453</v>
      </c>
      <c r="M229"/>
      <c r="O229"/>
      <c r="Q229" t="s">
        <v>436</v>
      </c>
      <c r="R229">
        <v>1145</v>
      </c>
      <c r="S229">
        <v>1234.98</v>
      </c>
    </row>
    <row r="230" spans="1:19" hidden="1">
      <c r="A230" t="s">
        <v>1218</v>
      </c>
      <c r="B230" t="s">
        <v>299</v>
      </c>
      <c r="C230" t="s">
        <v>300</v>
      </c>
      <c r="D230" s="19">
        <f>_xlfn.XLOOKUP(C:C,Q:Q,R:R)</f>
        <v>485</v>
      </c>
      <c r="E230" s="19">
        <f t="shared" si="12"/>
        <v>17.321428571428573</v>
      </c>
      <c r="F230">
        <f>_xlfn.XLOOKUP(C:C,Q:Q,S:S)</f>
        <v>1024.1400000000001</v>
      </c>
      <c r="I230" s="19">
        <f t="shared" si="13"/>
        <v>970</v>
      </c>
      <c r="J230" t="b">
        <f t="shared" si="14"/>
        <v>1</v>
      </c>
      <c r="K230" s="4">
        <f t="shared" si="15"/>
        <v>5.5814432989690799E-2</v>
      </c>
      <c r="M230"/>
      <c r="O230"/>
      <c r="Q230" t="s">
        <v>468</v>
      </c>
      <c r="R230">
        <v>1134</v>
      </c>
      <c r="S230">
        <v>2253.0500000000002</v>
      </c>
    </row>
    <row r="231" spans="1:19" hidden="1">
      <c r="A231" t="s">
        <v>1218</v>
      </c>
      <c r="B231" t="s">
        <v>279</v>
      </c>
      <c r="C231" t="s">
        <v>280</v>
      </c>
      <c r="D231" s="19">
        <f>_xlfn.XLOOKUP(C:C,Q:Q,R:R)</f>
        <v>1115</v>
      </c>
      <c r="E231" s="19">
        <f t="shared" si="12"/>
        <v>39.821428571428569</v>
      </c>
      <c r="F231">
        <f>_xlfn.XLOOKUP(C:C,Q:Q,S:S)</f>
        <v>2200.4899999999998</v>
      </c>
      <c r="I231" s="19">
        <f t="shared" si="13"/>
        <v>2230</v>
      </c>
      <c r="J231" t="b">
        <f t="shared" si="14"/>
        <v>1</v>
      </c>
      <c r="K231" s="4">
        <f t="shared" si="15"/>
        <v>-1.3233183856502295E-2</v>
      </c>
      <c r="M231"/>
      <c r="O231"/>
      <c r="Q231" t="s">
        <v>480</v>
      </c>
      <c r="R231">
        <v>38</v>
      </c>
      <c r="S231">
        <v>156.91</v>
      </c>
    </row>
    <row r="232" spans="1:19" hidden="1">
      <c r="A232" t="s">
        <v>1219</v>
      </c>
      <c r="B232" t="s">
        <v>737</v>
      </c>
      <c r="C232" t="s">
        <v>738</v>
      </c>
      <c r="D232" s="19">
        <f>_xlfn.XLOOKUP(C:C,Q:Q,R:R)</f>
        <v>986</v>
      </c>
      <c r="E232" s="19">
        <f t="shared" si="12"/>
        <v>35.214285714285715</v>
      </c>
      <c r="F232">
        <f>_xlfn.XLOOKUP(C:C,Q:Q,S:S)</f>
        <v>1511.76</v>
      </c>
      <c r="I232" s="19">
        <f t="shared" si="13"/>
        <v>1972</v>
      </c>
      <c r="J232" t="b">
        <f t="shared" si="14"/>
        <v>1</v>
      </c>
      <c r="K232" s="4">
        <f t="shared" si="15"/>
        <v>-0.23338742393509126</v>
      </c>
      <c r="M232"/>
      <c r="O232"/>
      <c r="Q232" t="s">
        <v>458</v>
      </c>
      <c r="R232">
        <v>4242</v>
      </c>
      <c r="S232">
        <v>7415.45</v>
      </c>
    </row>
    <row r="233" spans="1:19" hidden="1">
      <c r="A233" t="s">
        <v>1218</v>
      </c>
      <c r="B233" t="s">
        <v>353</v>
      </c>
      <c r="C233" t="s">
        <v>354</v>
      </c>
      <c r="D233" s="19">
        <f>_xlfn.XLOOKUP(C:C,Q:Q,R:R)</f>
        <v>950</v>
      </c>
      <c r="E233" s="19">
        <f t="shared" si="12"/>
        <v>33.928571428571431</v>
      </c>
      <c r="F233">
        <f>_xlfn.XLOOKUP(C:C,Q:Q,S:S)</f>
        <v>648.47</v>
      </c>
      <c r="I233" s="19">
        <f t="shared" si="13"/>
        <v>1900</v>
      </c>
      <c r="J233" t="b">
        <f t="shared" si="14"/>
        <v>1</v>
      </c>
      <c r="K233" s="4">
        <f t="shared" si="15"/>
        <v>-0.65870000000000006</v>
      </c>
      <c r="M233"/>
      <c r="O233"/>
      <c r="Q233" t="s">
        <v>52</v>
      </c>
      <c r="R233">
        <v>6399</v>
      </c>
      <c r="S233">
        <v>1838.47</v>
      </c>
    </row>
    <row r="234" spans="1:19" hidden="1">
      <c r="A234" t="s">
        <v>1220</v>
      </c>
      <c r="B234" t="s">
        <v>871</v>
      </c>
      <c r="C234" t="s">
        <v>872</v>
      </c>
      <c r="D234" s="19" t="e">
        <v>#N/A</v>
      </c>
      <c r="E234" s="19" t="e">
        <f t="shared" si="12"/>
        <v>#N/A</v>
      </c>
      <c r="F234" t="e">
        <v>#N/A</v>
      </c>
      <c r="I234" s="19" t="e">
        <f t="shared" si="13"/>
        <v>#N/A</v>
      </c>
      <c r="J234" t="e">
        <f t="shared" si="14"/>
        <v>#N/A</v>
      </c>
      <c r="K234" s="4" t="e">
        <f t="shared" si="15"/>
        <v>#N/A</v>
      </c>
      <c r="M234"/>
      <c r="O234"/>
      <c r="Q234" t="s">
        <v>30</v>
      </c>
      <c r="R234">
        <v>18410</v>
      </c>
      <c r="S234">
        <v>21794.33</v>
      </c>
    </row>
    <row r="235" spans="1:19" hidden="1">
      <c r="A235" t="s">
        <v>1220</v>
      </c>
      <c r="B235" t="s">
        <v>1014</v>
      </c>
      <c r="C235" t="s">
        <v>1015</v>
      </c>
      <c r="D235" s="19">
        <f>_xlfn.XLOOKUP(C:C,Q:Q,R:R)</f>
        <v>1303</v>
      </c>
      <c r="E235" s="19">
        <f t="shared" si="12"/>
        <v>46.535714285714285</v>
      </c>
      <c r="F235">
        <f>_xlfn.XLOOKUP(C:C,Q:Q,S:S)</f>
        <v>976.48</v>
      </c>
      <c r="I235" s="19">
        <f t="shared" si="13"/>
        <v>2606</v>
      </c>
      <c r="J235" t="b">
        <f t="shared" si="14"/>
        <v>1</v>
      </c>
      <c r="K235" s="4">
        <f t="shared" si="15"/>
        <v>-0.62529547198772062</v>
      </c>
      <c r="M235"/>
      <c r="O235"/>
      <c r="Q235" t="s">
        <v>502</v>
      </c>
      <c r="R235">
        <v>7632</v>
      </c>
      <c r="S235">
        <v>11858.24</v>
      </c>
    </row>
    <row r="236" spans="1:19" hidden="1">
      <c r="A236" t="s">
        <v>1218</v>
      </c>
      <c r="B236" t="s">
        <v>407</v>
      </c>
      <c r="C236" t="s">
        <v>408</v>
      </c>
      <c r="D236" s="19">
        <f>_xlfn.XLOOKUP(C:C,Q:Q,R:R)</f>
        <v>2047</v>
      </c>
      <c r="E236" s="19">
        <f t="shared" si="12"/>
        <v>73.107142857142861</v>
      </c>
      <c r="F236">
        <f>_xlfn.XLOOKUP(C:C,Q:Q,S:S)</f>
        <v>3002.72</v>
      </c>
      <c r="I236" s="19">
        <f t="shared" si="13"/>
        <v>4094</v>
      </c>
      <c r="J236" t="b">
        <f t="shared" si="14"/>
        <v>1</v>
      </c>
      <c r="K236" s="4">
        <f t="shared" si="15"/>
        <v>-0.26655593551538848</v>
      </c>
      <c r="M236"/>
      <c r="O236"/>
      <c r="Q236" t="s">
        <v>504</v>
      </c>
      <c r="R236">
        <v>3762</v>
      </c>
      <c r="S236">
        <v>6511.64</v>
      </c>
    </row>
    <row r="237" spans="1:19" hidden="1">
      <c r="A237" t="s">
        <v>1219</v>
      </c>
      <c r="B237" t="s">
        <v>727</v>
      </c>
      <c r="C237" t="s">
        <v>728</v>
      </c>
      <c r="D237" s="19">
        <f>_xlfn.XLOOKUP(C:C,Q:Q,R:R)</f>
        <v>1079</v>
      </c>
      <c r="E237" s="19">
        <f t="shared" si="12"/>
        <v>38.535714285714285</v>
      </c>
      <c r="F237">
        <f>_xlfn.XLOOKUP(C:C,Q:Q,S:S)</f>
        <v>2197.5700000000002</v>
      </c>
      <c r="I237" s="19">
        <f t="shared" si="13"/>
        <v>2158</v>
      </c>
      <c r="J237" t="b">
        <f t="shared" si="14"/>
        <v>1</v>
      </c>
      <c r="K237" s="4">
        <f t="shared" si="15"/>
        <v>1.8336422613531189E-2</v>
      </c>
      <c r="M237"/>
      <c r="O237"/>
      <c r="Q237" t="s">
        <v>516</v>
      </c>
      <c r="R237">
        <v>3048</v>
      </c>
      <c r="S237">
        <v>4722.41</v>
      </c>
    </row>
    <row r="238" spans="1:19" hidden="1">
      <c r="A238" t="s">
        <v>1218</v>
      </c>
      <c r="B238" t="s">
        <v>181</v>
      </c>
      <c r="C238" t="s">
        <v>182</v>
      </c>
      <c r="D238" s="19">
        <f>_xlfn.XLOOKUP(C:C,Q:Q,R:R)</f>
        <v>1267</v>
      </c>
      <c r="E238" s="19">
        <f t="shared" si="12"/>
        <v>45.25</v>
      </c>
      <c r="F238">
        <f>_xlfn.XLOOKUP(C:C,Q:Q,S:S)</f>
        <v>2666.4</v>
      </c>
      <c r="I238" s="19">
        <f t="shared" si="13"/>
        <v>2534</v>
      </c>
      <c r="J238" t="b">
        <f t="shared" si="14"/>
        <v>1</v>
      </c>
      <c r="K238" s="4">
        <f t="shared" si="15"/>
        <v>5.2249408050513146E-2</v>
      </c>
      <c r="M238"/>
      <c r="O238"/>
      <c r="Q238" t="s">
        <v>544</v>
      </c>
      <c r="R238">
        <v>3637</v>
      </c>
      <c r="S238">
        <v>7335.47</v>
      </c>
    </row>
    <row r="239" spans="1:19" hidden="1">
      <c r="A239" t="s">
        <v>1220</v>
      </c>
      <c r="B239" t="s">
        <v>875</v>
      </c>
      <c r="C239" t="s">
        <v>876</v>
      </c>
      <c r="D239" s="19">
        <f>_xlfn.XLOOKUP(C:C,Q:Q,R:R)</f>
        <v>1075</v>
      </c>
      <c r="E239" s="19">
        <f t="shared" si="12"/>
        <v>38.392857142857146</v>
      </c>
      <c r="F239">
        <f>_xlfn.XLOOKUP(C:C,Q:Q,S:S)</f>
        <v>1761.57</v>
      </c>
      <c r="I239" s="19">
        <f t="shared" si="13"/>
        <v>2150</v>
      </c>
      <c r="J239" t="b">
        <f t="shared" si="14"/>
        <v>1</v>
      </c>
      <c r="K239" s="4">
        <f t="shared" si="15"/>
        <v>-0.18066511627906978</v>
      </c>
      <c r="M239"/>
      <c r="O239"/>
      <c r="Q239" t="s">
        <v>612</v>
      </c>
      <c r="R239">
        <v>4317</v>
      </c>
      <c r="S239">
        <v>6897.7699999999995</v>
      </c>
    </row>
    <row r="240" spans="1:19" hidden="1">
      <c r="A240" t="s">
        <v>1218</v>
      </c>
      <c r="B240" t="s">
        <v>127</v>
      </c>
      <c r="C240" t="s">
        <v>128</v>
      </c>
      <c r="D240" s="19">
        <f>_xlfn.XLOOKUP(C:C,Q:Q,R:R)</f>
        <v>1326</v>
      </c>
      <c r="E240" s="19">
        <f t="shared" si="12"/>
        <v>47.357142857142854</v>
      </c>
      <c r="F240">
        <f>_xlfn.XLOOKUP(C:C,Q:Q,S:S)</f>
        <v>2816.7</v>
      </c>
      <c r="I240" s="19">
        <f t="shared" si="13"/>
        <v>2652</v>
      </c>
      <c r="J240" t="b">
        <f t="shared" si="14"/>
        <v>1</v>
      </c>
      <c r="K240" s="4">
        <f t="shared" si="15"/>
        <v>6.2104072398190047E-2</v>
      </c>
      <c r="M240"/>
      <c r="O240"/>
      <c r="Q240" t="s">
        <v>556</v>
      </c>
      <c r="R240">
        <v>5550</v>
      </c>
      <c r="S240">
        <v>9885.65</v>
      </c>
    </row>
    <row r="241" spans="1:19" hidden="1">
      <c r="A241" t="s">
        <v>1219</v>
      </c>
      <c r="B241" t="s">
        <v>673</v>
      </c>
      <c r="C241" t="s">
        <v>674</v>
      </c>
      <c r="D241" s="19" t="e">
        <v>#N/A</v>
      </c>
      <c r="E241" s="19" t="e">
        <f t="shared" si="12"/>
        <v>#N/A</v>
      </c>
      <c r="F241" t="e">
        <v>#N/A</v>
      </c>
      <c r="I241" s="19" t="e">
        <f t="shared" si="13"/>
        <v>#N/A</v>
      </c>
      <c r="J241" t="e">
        <f t="shared" si="14"/>
        <v>#N/A</v>
      </c>
      <c r="K241" s="4" t="e">
        <f t="shared" si="15"/>
        <v>#N/A</v>
      </c>
      <c r="M241"/>
      <c r="O241"/>
      <c r="Q241" t="s">
        <v>534</v>
      </c>
      <c r="R241">
        <v>972</v>
      </c>
      <c r="S241">
        <v>1832.04</v>
      </c>
    </row>
    <row r="242" spans="1:19" hidden="1">
      <c r="A242" t="s">
        <v>1220</v>
      </c>
      <c r="B242" t="s">
        <v>972</v>
      </c>
      <c r="C242" t="s">
        <v>973</v>
      </c>
      <c r="D242" s="19">
        <f>_xlfn.XLOOKUP(C:C,Q:Q,R:R)</f>
        <v>683</v>
      </c>
      <c r="E242" s="19">
        <f t="shared" si="12"/>
        <v>24.392857142857142</v>
      </c>
      <c r="F242">
        <f>_xlfn.XLOOKUP(C:C,Q:Q,S:S)</f>
        <v>642.48</v>
      </c>
      <c r="I242" s="19">
        <f t="shared" si="13"/>
        <v>1366</v>
      </c>
      <c r="J242" t="b">
        <f t="shared" si="14"/>
        <v>1</v>
      </c>
      <c r="K242" s="4">
        <f t="shared" si="15"/>
        <v>-0.52966325036603212</v>
      </c>
      <c r="M242"/>
      <c r="O242"/>
      <c r="Q242" t="s">
        <v>536</v>
      </c>
      <c r="R242">
        <v>1894</v>
      </c>
      <c r="S242">
        <v>3441.08</v>
      </c>
    </row>
    <row r="243" spans="1:19" hidden="1">
      <c r="A243" t="s">
        <v>1218</v>
      </c>
      <c r="B243" t="s">
        <v>143</v>
      </c>
      <c r="C243" t="s">
        <v>144</v>
      </c>
      <c r="D243" s="19">
        <f>_xlfn.XLOOKUP(C:C,Q:Q,R:R)</f>
        <v>1150</v>
      </c>
      <c r="E243" s="19">
        <f t="shared" si="12"/>
        <v>41.071428571428569</v>
      </c>
      <c r="F243">
        <f>_xlfn.XLOOKUP(C:C,Q:Q,S:S)</f>
        <v>1379.51</v>
      </c>
      <c r="I243" s="19">
        <f t="shared" si="13"/>
        <v>2300</v>
      </c>
      <c r="J243" t="b">
        <f t="shared" si="14"/>
        <v>1</v>
      </c>
      <c r="K243" s="4">
        <f t="shared" si="15"/>
        <v>-0.40021304347826092</v>
      </c>
      <c r="M243"/>
      <c r="O243"/>
      <c r="Q243" t="s">
        <v>627</v>
      </c>
      <c r="R243">
        <v>2</v>
      </c>
      <c r="S243">
        <v>0</v>
      </c>
    </row>
    <row r="244" spans="1:19" hidden="1">
      <c r="A244" t="s">
        <v>1219</v>
      </c>
      <c r="B244" t="s">
        <v>663</v>
      </c>
      <c r="C244" t="s">
        <v>664</v>
      </c>
      <c r="D244" s="19">
        <f>_xlfn.XLOOKUP(C:C,Q:Q,R:R)</f>
        <v>1048</v>
      </c>
      <c r="E244" s="19">
        <f t="shared" si="12"/>
        <v>37.428571428571431</v>
      </c>
      <c r="F244">
        <f>_xlfn.XLOOKUP(C:C,Q:Q,S:S)</f>
        <v>1274.44</v>
      </c>
      <c r="I244" s="19">
        <f t="shared" si="13"/>
        <v>2096</v>
      </c>
      <c r="J244" t="b">
        <f t="shared" si="14"/>
        <v>1</v>
      </c>
      <c r="K244" s="4">
        <f t="shared" si="15"/>
        <v>-0.39196564885496177</v>
      </c>
      <c r="M244"/>
      <c r="O244"/>
      <c r="Q244" t="s">
        <v>559</v>
      </c>
      <c r="R244">
        <v>3398</v>
      </c>
      <c r="S244">
        <v>4409.53</v>
      </c>
    </row>
    <row r="245" spans="1:19" hidden="1">
      <c r="A245" t="s">
        <v>1218</v>
      </c>
      <c r="B245" t="s">
        <v>357</v>
      </c>
      <c r="C245" t="s">
        <v>358</v>
      </c>
      <c r="D245" s="19">
        <f>_xlfn.XLOOKUP(C:C,Q:Q,R:R)</f>
        <v>787</v>
      </c>
      <c r="E245" s="19">
        <f t="shared" si="12"/>
        <v>28.107142857142858</v>
      </c>
      <c r="F245">
        <f>_xlfn.XLOOKUP(C:C,Q:Q,S:S)</f>
        <v>1703.07</v>
      </c>
      <c r="I245" s="19">
        <f t="shared" si="13"/>
        <v>1574</v>
      </c>
      <c r="J245" t="b">
        <f t="shared" si="14"/>
        <v>1</v>
      </c>
      <c r="K245" s="4">
        <f t="shared" si="15"/>
        <v>8.2001270648030422E-2</v>
      </c>
      <c r="M245"/>
      <c r="O245"/>
      <c r="Q245" t="s">
        <v>804</v>
      </c>
      <c r="R245">
        <v>5137</v>
      </c>
      <c r="S245">
        <v>8701.9699999999993</v>
      </c>
    </row>
    <row r="246" spans="1:19" hidden="1">
      <c r="A246" t="s">
        <v>1219</v>
      </c>
      <c r="B246" t="s">
        <v>782</v>
      </c>
      <c r="C246" t="s">
        <v>783</v>
      </c>
      <c r="D246" s="19">
        <f>_xlfn.XLOOKUP(C:C,Q:Q,R:R)</f>
        <v>1079</v>
      </c>
      <c r="E246" s="19">
        <f t="shared" si="12"/>
        <v>38.535714285714285</v>
      </c>
      <c r="F246">
        <f>_xlfn.XLOOKUP(C:C,Q:Q,S:S)</f>
        <v>2122.04</v>
      </c>
      <c r="I246" s="19">
        <f t="shared" si="13"/>
        <v>2158</v>
      </c>
      <c r="J246" t="b">
        <f t="shared" si="14"/>
        <v>1</v>
      </c>
      <c r="K246" s="4">
        <f t="shared" si="15"/>
        <v>-1.6663577386468953E-2</v>
      </c>
      <c r="M246"/>
      <c r="O246"/>
      <c r="Q246" t="s">
        <v>527</v>
      </c>
      <c r="R246">
        <v>711</v>
      </c>
      <c r="S246">
        <v>1448.65</v>
      </c>
    </row>
    <row r="247" spans="1:19" hidden="1">
      <c r="A247" t="s">
        <v>1220</v>
      </c>
      <c r="B247" t="s">
        <v>922</v>
      </c>
      <c r="C247" t="s">
        <v>923</v>
      </c>
      <c r="D247" s="19">
        <f>_xlfn.XLOOKUP(C:C,Q:Q,R:R)</f>
        <v>1104</v>
      </c>
      <c r="E247" s="19">
        <f t="shared" si="12"/>
        <v>39.428571428571431</v>
      </c>
      <c r="F247">
        <f>_xlfn.XLOOKUP(C:C,Q:Q,S:S)</f>
        <v>2117</v>
      </c>
      <c r="I247" s="19">
        <f t="shared" si="13"/>
        <v>2208</v>
      </c>
      <c r="J247" t="b">
        <f t="shared" si="14"/>
        <v>1</v>
      </c>
      <c r="K247" s="4">
        <f t="shared" si="15"/>
        <v>-4.1213768115942018E-2</v>
      </c>
      <c r="M247"/>
      <c r="O247"/>
      <c r="Q247" t="s">
        <v>759</v>
      </c>
      <c r="R247">
        <v>2183</v>
      </c>
      <c r="S247">
        <v>3642.64</v>
      </c>
    </row>
    <row r="248" spans="1:19" hidden="1">
      <c r="A248" t="s">
        <v>1218</v>
      </c>
      <c r="B248" t="s">
        <v>329</v>
      </c>
      <c r="C248" t="s">
        <v>330</v>
      </c>
      <c r="D248" s="19">
        <f>_xlfn.XLOOKUP(C:C,Q:Q,R:R)</f>
        <v>1003</v>
      </c>
      <c r="E248" s="19">
        <f t="shared" si="12"/>
        <v>35.821428571428569</v>
      </c>
      <c r="F248">
        <f>_xlfn.XLOOKUP(C:C,Q:Q,S:S)</f>
        <v>2186.44</v>
      </c>
      <c r="I248" s="19">
        <f t="shared" si="13"/>
        <v>2006</v>
      </c>
      <c r="J248" t="b">
        <f t="shared" si="14"/>
        <v>1</v>
      </c>
      <c r="K248" s="4">
        <f t="shared" si="15"/>
        <v>8.9950149551345948E-2</v>
      </c>
      <c r="M248"/>
      <c r="O248"/>
      <c r="Q248" t="s">
        <v>510</v>
      </c>
      <c r="R248">
        <v>1995</v>
      </c>
      <c r="S248">
        <v>4535.91</v>
      </c>
    </row>
    <row r="249" spans="1:19" hidden="1">
      <c r="A249" t="s">
        <v>1219</v>
      </c>
      <c r="B249" t="s">
        <v>590</v>
      </c>
      <c r="C249" t="s">
        <v>591</v>
      </c>
      <c r="D249" s="19">
        <f>_xlfn.XLOOKUP(C:C,Q:Q,R:R)</f>
        <v>595</v>
      </c>
      <c r="E249" s="19">
        <f t="shared" si="12"/>
        <v>21.25</v>
      </c>
      <c r="F249">
        <f>_xlfn.XLOOKUP(C:C,Q:Q,S:S)</f>
        <v>486.99</v>
      </c>
      <c r="I249" s="19">
        <f t="shared" si="13"/>
        <v>1190</v>
      </c>
      <c r="J249" t="b">
        <f t="shared" si="14"/>
        <v>1</v>
      </c>
      <c r="K249" s="4">
        <f t="shared" si="15"/>
        <v>-0.59076470588235286</v>
      </c>
      <c r="M249"/>
      <c r="O249"/>
      <c r="Q249" t="s">
        <v>550</v>
      </c>
      <c r="R249">
        <v>1870</v>
      </c>
      <c r="S249">
        <v>3839.5</v>
      </c>
    </row>
    <row r="250" spans="1:19" hidden="1">
      <c r="A250" t="s">
        <v>1219</v>
      </c>
      <c r="B250" t="s">
        <v>584</v>
      </c>
      <c r="C250" t="s">
        <v>585</v>
      </c>
      <c r="D250" s="19">
        <f>_xlfn.XLOOKUP(C:C,Q:Q,R:R)</f>
        <v>1003</v>
      </c>
      <c r="E250" s="19">
        <f t="shared" si="12"/>
        <v>35.821428571428569</v>
      </c>
      <c r="F250">
        <f>_xlfn.XLOOKUP(C:C,Q:Q,S:S)</f>
        <v>879.2</v>
      </c>
      <c r="I250" s="19">
        <f t="shared" si="13"/>
        <v>2006</v>
      </c>
      <c r="J250" t="b">
        <f t="shared" si="14"/>
        <v>1</v>
      </c>
      <c r="K250" s="4">
        <f t="shared" si="15"/>
        <v>-0.56171485543369881</v>
      </c>
      <c r="M250"/>
      <c r="O250"/>
      <c r="Q250" t="s">
        <v>682</v>
      </c>
      <c r="R250">
        <v>1727</v>
      </c>
      <c r="S250">
        <v>3534.84</v>
      </c>
    </row>
    <row r="251" spans="1:19" hidden="1">
      <c r="A251" t="s">
        <v>1218</v>
      </c>
      <c r="B251" t="s">
        <v>269</v>
      </c>
      <c r="C251" t="s">
        <v>270</v>
      </c>
      <c r="D251" s="19">
        <f>_xlfn.XLOOKUP(C:C,Q:Q,R:R)</f>
        <v>821</v>
      </c>
      <c r="E251" s="19">
        <f t="shared" si="12"/>
        <v>29.321428571428573</v>
      </c>
      <c r="F251">
        <f>_xlfn.XLOOKUP(C:C,Q:Q,S:S)</f>
        <v>1269.99</v>
      </c>
      <c r="I251" s="19">
        <f t="shared" si="13"/>
        <v>1642</v>
      </c>
      <c r="J251" t="b">
        <f t="shared" si="14"/>
        <v>1</v>
      </c>
      <c r="K251" s="4">
        <f t="shared" si="15"/>
        <v>-0.22655907429963462</v>
      </c>
      <c r="M251"/>
      <c r="O251"/>
      <c r="Q251" t="s">
        <v>614</v>
      </c>
      <c r="R251">
        <v>40373</v>
      </c>
      <c r="S251">
        <v>31043.68</v>
      </c>
    </row>
    <row r="252" spans="1:19" hidden="1">
      <c r="A252" t="s">
        <v>1220</v>
      </c>
      <c r="B252" t="s">
        <v>990</v>
      </c>
      <c r="C252" t="s">
        <v>991</v>
      </c>
      <c r="D252" s="19">
        <f>_xlfn.XLOOKUP(C:C,Q:Q,R:R)</f>
        <v>796</v>
      </c>
      <c r="E252" s="19">
        <f t="shared" ref="E252:E305" si="16">D252/28</f>
        <v>28.428571428571427</v>
      </c>
      <c r="F252">
        <f>_xlfn.XLOOKUP(C:C,Q:Q,S:S)</f>
        <v>1368.16</v>
      </c>
      <c r="I252" s="19">
        <f t="shared" ref="I252:I305" si="17">IF((D252/28)&gt;100,D252*2,D252*2)</f>
        <v>1592</v>
      </c>
      <c r="J252" t="b">
        <f t="shared" ref="J252:J305" si="18">IF(F252&gt;1.2*I252,FALSE,TRUE)</f>
        <v>1</v>
      </c>
      <c r="K252" s="4">
        <f t="shared" ref="K252:K305" si="19">F252/I252-1</f>
        <v>-0.14060301507537687</v>
      </c>
      <c r="M252"/>
      <c r="O252"/>
      <c r="Q252" t="s">
        <v>722</v>
      </c>
      <c r="R252">
        <v>1614</v>
      </c>
      <c r="S252">
        <v>3358.06</v>
      </c>
    </row>
    <row r="253" spans="1:19" hidden="1">
      <c r="A253" t="s">
        <v>1218</v>
      </c>
      <c r="B253" t="s">
        <v>173</v>
      </c>
      <c r="C253" t="s">
        <v>174</v>
      </c>
      <c r="D253" s="19">
        <f>_xlfn.XLOOKUP(C:C,Q:Q,R:R)</f>
        <v>1631</v>
      </c>
      <c r="E253" s="19">
        <f t="shared" si="16"/>
        <v>58.25</v>
      </c>
      <c r="F253">
        <f>_xlfn.XLOOKUP(C:C,Q:Q,S:S)</f>
        <v>994.98</v>
      </c>
      <c r="I253" s="19">
        <f t="shared" si="17"/>
        <v>3262</v>
      </c>
      <c r="J253" t="b">
        <f t="shared" si="18"/>
        <v>1</v>
      </c>
      <c r="K253" s="4">
        <f t="shared" si="19"/>
        <v>-0.69497854077253218</v>
      </c>
      <c r="M253"/>
      <c r="O253"/>
      <c r="Q253" t="s">
        <v>796</v>
      </c>
      <c r="R253">
        <v>2721</v>
      </c>
      <c r="S253">
        <v>5511.35</v>
      </c>
    </row>
    <row r="254" spans="1:19" hidden="1">
      <c r="A254" t="s">
        <v>1220</v>
      </c>
      <c r="B254" t="s">
        <v>1031</v>
      </c>
      <c r="C254" t="s">
        <v>1032</v>
      </c>
      <c r="D254" s="19">
        <f>_xlfn.XLOOKUP(C:C,Q:Q,R:R)</f>
        <v>1168</v>
      </c>
      <c r="E254" s="19">
        <f t="shared" si="16"/>
        <v>41.714285714285715</v>
      </c>
      <c r="F254">
        <f>_xlfn.XLOOKUP(C:C,Q:Q,S:S)</f>
        <v>1022.36</v>
      </c>
      <c r="I254" s="19">
        <f t="shared" si="17"/>
        <v>2336</v>
      </c>
      <c r="J254" t="b">
        <f t="shared" si="18"/>
        <v>1</v>
      </c>
      <c r="K254" s="4">
        <f t="shared" si="19"/>
        <v>-0.56234589041095884</v>
      </c>
      <c r="M254"/>
      <c r="O254"/>
      <c r="Q254" t="s">
        <v>652</v>
      </c>
      <c r="R254">
        <v>1207</v>
      </c>
      <c r="S254">
        <v>2348.6</v>
      </c>
    </row>
    <row r="255" spans="1:19" hidden="1">
      <c r="A255" t="s">
        <v>1219</v>
      </c>
      <c r="B255" t="s">
        <v>791</v>
      </c>
      <c r="C255" t="s">
        <v>792</v>
      </c>
      <c r="D255" s="19">
        <f>_xlfn.XLOOKUP(C:C,Q:Q,R:R)</f>
        <v>1002</v>
      </c>
      <c r="E255" s="19">
        <f t="shared" si="16"/>
        <v>35.785714285714285</v>
      </c>
      <c r="F255">
        <f>_xlfn.XLOOKUP(C:C,Q:Q,S:S)</f>
        <v>1222.03</v>
      </c>
      <c r="I255" s="19">
        <f t="shared" si="17"/>
        <v>2004</v>
      </c>
      <c r="J255" t="b">
        <f t="shared" si="18"/>
        <v>1</v>
      </c>
      <c r="K255" s="4">
        <f t="shared" si="19"/>
        <v>-0.39020459081836334</v>
      </c>
      <c r="M255"/>
      <c r="O255"/>
      <c r="Q255" t="s">
        <v>575</v>
      </c>
      <c r="R255">
        <v>611</v>
      </c>
      <c r="S255">
        <v>1458.74</v>
      </c>
    </row>
    <row r="256" spans="1:19" hidden="1">
      <c r="A256" t="s">
        <v>1218</v>
      </c>
      <c r="B256" t="s">
        <v>307</v>
      </c>
      <c r="C256" t="s">
        <v>308</v>
      </c>
      <c r="D256" s="19">
        <f>_xlfn.XLOOKUP(C:C,Q:Q,R:R)</f>
        <v>696</v>
      </c>
      <c r="E256" s="19">
        <f t="shared" si="16"/>
        <v>24.857142857142858</v>
      </c>
      <c r="F256">
        <f>_xlfn.XLOOKUP(C:C,Q:Q,S:S)</f>
        <v>966.85</v>
      </c>
      <c r="I256" s="19">
        <f t="shared" si="17"/>
        <v>1392</v>
      </c>
      <c r="J256" t="b">
        <f t="shared" si="18"/>
        <v>1</v>
      </c>
      <c r="K256" s="4">
        <f t="shared" si="19"/>
        <v>-0.30542385057471266</v>
      </c>
      <c r="M256"/>
      <c r="O256"/>
      <c r="Q256" t="s">
        <v>794</v>
      </c>
      <c r="R256">
        <v>2751</v>
      </c>
      <c r="S256">
        <v>3498.09</v>
      </c>
    </row>
    <row r="257" spans="1:19" hidden="1">
      <c r="A257" t="s">
        <v>1219</v>
      </c>
      <c r="B257" t="s">
        <v>745</v>
      </c>
      <c r="C257" t="s">
        <v>746</v>
      </c>
      <c r="D257" s="19">
        <f>_xlfn.XLOOKUP(C:C,Q:Q,R:R)</f>
        <v>1069</v>
      </c>
      <c r="E257" s="19">
        <f t="shared" si="16"/>
        <v>38.178571428571431</v>
      </c>
      <c r="F257">
        <f>_xlfn.XLOOKUP(C:C,Q:Q,S:S)</f>
        <v>1609.44</v>
      </c>
      <c r="I257" s="19">
        <f t="shared" si="17"/>
        <v>2138</v>
      </c>
      <c r="J257" t="b">
        <f t="shared" si="18"/>
        <v>1</v>
      </c>
      <c r="K257" s="4">
        <f t="shared" si="19"/>
        <v>-0.24722170252572495</v>
      </c>
      <c r="M257"/>
      <c r="O257"/>
      <c r="Q257" t="s">
        <v>775</v>
      </c>
      <c r="R257">
        <v>2185</v>
      </c>
      <c r="S257">
        <v>3732.5</v>
      </c>
    </row>
    <row r="258" spans="1:19" hidden="1">
      <c r="A258" t="s">
        <v>1219</v>
      </c>
      <c r="B258" t="s">
        <v>667</v>
      </c>
      <c r="C258" t="s">
        <v>668</v>
      </c>
      <c r="D258" s="19" t="e">
        <v>#N/A</v>
      </c>
      <c r="E258" s="19" t="e">
        <f t="shared" si="16"/>
        <v>#N/A</v>
      </c>
      <c r="F258" t="e">
        <v>#N/A</v>
      </c>
      <c r="I258" s="19" t="e">
        <f t="shared" si="17"/>
        <v>#N/A</v>
      </c>
      <c r="J258" t="e">
        <f t="shared" si="18"/>
        <v>#N/A</v>
      </c>
      <c r="K258" s="4" t="e">
        <f t="shared" si="19"/>
        <v>#N/A</v>
      </c>
      <c r="M258"/>
      <c r="O258"/>
      <c r="Q258" t="s">
        <v>508</v>
      </c>
      <c r="R258">
        <v>1005</v>
      </c>
      <c r="S258">
        <v>1621.33</v>
      </c>
    </row>
    <row r="259" spans="1:19" hidden="1">
      <c r="A259" t="s">
        <v>1219</v>
      </c>
      <c r="B259" t="s">
        <v>570</v>
      </c>
      <c r="C259" t="s">
        <v>571</v>
      </c>
      <c r="D259" s="19">
        <f>_xlfn.XLOOKUP(C:C,Q:Q,R:R)</f>
        <v>957</v>
      </c>
      <c r="E259" s="19">
        <f t="shared" si="16"/>
        <v>34.178571428571431</v>
      </c>
      <c r="F259">
        <f>_xlfn.XLOOKUP(C:C,Q:Q,S:S)</f>
        <v>952.57</v>
      </c>
      <c r="I259" s="19">
        <f t="shared" si="17"/>
        <v>1914</v>
      </c>
      <c r="J259" t="b">
        <f t="shared" si="18"/>
        <v>1</v>
      </c>
      <c r="K259" s="4">
        <f t="shared" si="19"/>
        <v>-0.50231452455590386</v>
      </c>
      <c r="M259"/>
      <c r="O259"/>
      <c r="Q259" t="s">
        <v>598</v>
      </c>
      <c r="R259">
        <v>1039</v>
      </c>
      <c r="S259">
        <v>1446.12</v>
      </c>
    </row>
    <row r="260" spans="1:19" hidden="1">
      <c r="A260" t="s">
        <v>1218</v>
      </c>
      <c r="B260" t="s">
        <v>349</v>
      </c>
      <c r="C260" t="s">
        <v>350</v>
      </c>
      <c r="D260" s="19">
        <f>_xlfn.XLOOKUP(C:C,Q:Q,R:R)</f>
        <v>872</v>
      </c>
      <c r="E260" s="19">
        <f t="shared" si="16"/>
        <v>31.142857142857142</v>
      </c>
      <c r="F260">
        <f>_xlfn.XLOOKUP(C:C,Q:Q,S:S)</f>
        <v>1214.8699999999999</v>
      </c>
      <c r="I260" s="19">
        <f t="shared" si="17"/>
        <v>1744</v>
      </c>
      <c r="J260" t="b">
        <f t="shared" si="18"/>
        <v>1</v>
      </c>
      <c r="K260" s="4">
        <f t="shared" si="19"/>
        <v>-0.3034002293577982</v>
      </c>
      <c r="M260"/>
      <c r="O260"/>
      <c r="Q260" t="s">
        <v>587</v>
      </c>
      <c r="R260">
        <v>1195</v>
      </c>
      <c r="S260">
        <v>2255.9299999999998</v>
      </c>
    </row>
    <row r="261" spans="1:19" hidden="1">
      <c r="A261" t="s">
        <v>1220</v>
      </c>
      <c r="B261" t="s">
        <v>1035</v>
      </c>
      <c r="C261" t="s">
        <v>1036</v>
      </c>
      <c r="D261" s="19">
        <f>_xlfn.XLOOKUP(C:C,Q:Q,R:R)</f>
        <v>1341</v>
      </c>
      <c r="E261" s="19">
        <f t="shared" si="16"/>
        <v>47.892857142857146</v>
      </c>
      <c r="F261">
        <f>_xlfn.XLOOKUP(C:C,Q:Q,S:S)</f>
        <v>2691.33</v>
      </c>
      <c r="I261" s="19">
        <f t="shared" si="17"/>
        <v>2682</v>
      </c>
      <c r="J261" t="b">
        <f t="shared" si="18"/>
        <v>1</v>
      </c>
      <c r="K261" s="4">
        <f t="shared" si="19"/>
        <v>3.4787472035793243E-3</v>
      </c>
      <c r="M261"/>
      <c r="O261"/>
      <c r="Q261" t="s">
        <v>686</v>
      </c>
      <c r="R261">
        <v>2263</v>
      </c>
      <c r="S261">
        <v>5130.78</v>
      </c>
    </row>
    <row r="262" spans="1:19" hidden="1">
      <c r="A262" t="s">
        <v>1220</v>
      </c>
      <c r="B262" t="s">
        <v>860</v>
      </c>
      <c r="C262" t="s">
        <v>861</v>
      </c>
      <c r="D262" s="19">
        <f>_xlfn.XLOOKUP(C:C,Q:Q,R:R)</f>
        <v>1366</v>
      </c>
      <c r="E262" s="19">
        <f t="shared" si="16"/>
        <v>48.785714285714285</v>
      </c>
      <c r="F262">
        <f>_xlfn.XLOOKUP(C:C,Q:Q,S:S)</f>
        <v>3088.32</v>
      </c>
      <c r="I262" s="157">
        <f t="shared" si="17"/>
        <v>2732</v>
      </c>
      <c r="J262" t="b">
        <f t="shared" si="18"/>
        <v>1</v>
      </c>
      <c r="K262" s="4">
        <f t="shared" si="19"/>
        <v>0.13042459736456813</v>
      </c>
      <c r="Q262" t="s">
        <v>563</v>
      </c>
      <c r="R262">
        <v>2201</v>
      </c>
      <c r="S262">
        <v>2780.43</v>
      </c>
    </row>
    <row r="263" spans="1:19" hidden="1">
      <c r="A263" t="s">
        <v>1219</v>
      </c>
      <c r="B263" t="s">
        <v>715</v>
      </c>
      <c r="C263" t="s">
        <v>716</v>
      </c>
      <c r="D263" s="19">
        <f>_xlfn.XLOOKUP(C:C,Q:Q,R:R)</f>
        <v>1050</v>
      </c>
      <c r="E263" s="19">
        <f t="shared" si="16"/>
        <v>37.5</v>
      </c>
      <c r="F263">
        <f>_xlfn.XLOOKUP(C:C,Q:Q,S:S)</f>
        <v>214.39</v>
      </c>
      <c r="I263" s="19">
        <f t="shared" si="17"/>
        <v>2100</v>
      </c>
      <c r="J263" t="b">
        <f t="shared" si="18"/>
        <v>1</v>
      </c>
      <c r="K263" s="4">
        <f t="shared" si="19"/>
        <v>-0.89790952380952382</v>
      </c>
      <c r="M263"/>
      <c r="O263"/>
      <c r="Q263" t="s">
        <v>540</v>
      </c>
      <c r="R263">
        <v>1667</v>
      </c>
      <c r="S263">
        <v>2965.44</v>
      </c>
    </row>
    <row r="264" spans="1:19" hidden="1">
      <c r="A264" t="s">
        <v>1220</v>
      </c>
      <c r="B264" t="s">
        <v>917</v>
      </c>
      <c r="C264" t="s">
        <v>918</v>
      </c>
      <c r="D264" s="19">
        <f>_xlfn.XLOOKUP(C:C,Q:Q,R:R)</f>
        <v>1375</v>
      </c>
      <c r="E264" s="19">
        <f t="shared" si="16"/>
        <v>49.107142857142854</v>
      </c>
      <c r="F264">
        <f>_xlfn.XLOOKUP(C:C,Q:Q,S:S)</f>
        <v>2480.4</v>
      </c>
      <c r="I264" s="19">
        <f t="shared" si="17"/>
        <v>2750</v>
      </c>
      <c r="J264" t="b">
        <f t="shared" si="18"/>
        <v>1</v>
      </c>
      <c r="K264" s="4">
        <f t="shared" si="19"/>
        <v>-9.8036363636363588E-2</v>
      </c>
      <c r="M264"/>
      <c r="O264"/>
      <c r="Q264" t="s">
        <v>512</v>
      </c>
      <c r="R264">
        <v>4039</v>
      </c>
      <c r="S264">
        <v>5176.58</v>
      </c>
    </row>
    <row r="265" spans="1:19" hidden="1">
      <c r="A265" t="s">
        <v>1220</v>
      </c>
      <c r="B265" t="s">
        <v>906</v>
      </c>
      <c r="C265" t="s">
        <v>907</v>
      </c>
      <c r="D265" s="19">
        <f>_xlfn.XLOOKUP(C:C,Q:Q,R:R)</f>
        <v>1161</v>
      </c>
      <c r="E265" s="19">
        <f t="shared" si="16"/>
        <v>41.464285714285715</v>
      </c>
      <c r="F265">
        <f>_xlfn.XLOOKUP(C:C,Q:Q,S:S)</f>
        <v>2264.92</v>
      </c>
      <c r="I265" s="19">
        <f t="shared" si="17"/>
        <v>2322</v>
      </c>
      <c r="J265" t="b">
        <f t="shared" si="18"/>
        <v>1</v>
      </c>
      <c r="K265" s="4">
        <f t="shared" si="19"/>
        <v>-2.4582256675279912E-2</v>
      </c>
      <c r="M265"/>
      <c r="O265"/>
      <c r="Q265" t="s">
        <v>583</v>
      </c>
      <c r="R265">
        <v>1372</v>
      </c>
      <c r="S265">
        <v>3179.39</v>
      </c>
    </row>
    <row r="266" spans="1:19" hidden="1">
      <c r="A266" t="s">
        <v>1219</v>
      </c>
      <c r="B266" t="s">
        <v>679</v>
      </c>
      <c r="C266" t="s">
        <v>680</v>
      </c>
      <c r="D266" s="19" t="e">
        <f>_xlfn.XLOOKUP(C:C,Q:Q,R:R)</f>
        <v>#N/A</v>
      </c>
      <c r="E266" s="19" t="e">
        <f t="shared" si="16"/>
        <v>#N/A</v>
      </c>
      <c r="F266" t="e">
        <f>_xlfn.XLOOKUP(C:C,Q:Q,S:S)</f>
        <v>#N/A</v>
      </c>
      <c r="I266" s="19" t="e">
        <f t="shared" si="17"/>
        <v>#N/A</v>
      </c>
      <c r="J266" t="e">
        <f t="shared" si="18"/>
        <v>#N/A</v>
      </c>
      <c r="K266" s="4" t="e">
        <f t="shared" si="19"/>
        <v>#N/A</v>
      </c>
      <c r="M266"/>
      <c r="O266"/>
      <c r="Q266" t="s">
        <v>769</v>
      </c>
      <c r="R266">
        <v>1220</v>
      </c>
      <c r="S266">
        <v>2543.9699999999998</v>
      </c>
    </row>
    <row r="267" spans="1:19" hidden="1">
      <c r="A267" t="s">
        <v>1218</v>
      </c>
      <c r="B267" t="s">
        <v>205</v>
      </c>
      <c r="C267" t="s">
        <v>206</v>
      </c>
      <c r="D267" s="19">
        <f>_xlfn.XLOOKUP(C:C,Q:Q,R:R)</f>
        <v>739</v>
      </c>
      <c r="E267" s="19">
        <f t="shared" si="16"/>
        <v>26.392857142857142</v>
      </c>
      <c r="F267">
        <f>_xlfn.XLOOKUP(C:C,Q:Q,S:S)</f>
        <v>1714.51</v>
      </c>
      <c r="I267" s="157">
        <f t="shared" si="17"/>
        <v>1478</v>
      </c>
      <c r="J267" t="b">
        <f t="shared" si="18"/>
        <v>1</v>
      </c>
      <c r="K267" s="4">
        <f t="shared" si="19"/>
        <v>0.16002029769959414</v>
      </c>
      <c r="O267" s="165"/>
      <c r="Q267" t="s">
        <v>619</v>
      </c>
      <c r="R267">
        <v>3</v>
      </c>
      <c r="S267">
        <v>0</v>
      </c>
    </row>
    <row r="268" spans="1:19" hidden="1">
      <c r="A268" t="s">
        <v>1219</v>
      </c>
      <c r="B268" t="s">
        <v>520</v>
      </c>
      <c r="C268" t="s">
        <v>521</v>
      </c>
      <c r="D268" s="19">
        <f>_xlfn.XLOOKUP(C:C,Q:Q,R:R)</f>
        <v>337</v>
      </c>
      <c r="E268" s="19">
        <f t="shared" si="16"/>
        <v>12.035714285714286</v>
      </c>
      <c r="F268">
        <f>_xlfn.XLOOKUP(C:C,Q:Q,S:S)</f>
        <v>529.88</v>
      </c>
      <c r="I268" s="19">
        <f t="shared" si="17"/>
        <v>674</v>
      </c>
      <c r="J268" t="b">
        <f t="shared" si="18"/>
        <v>1</v>
      </c>
      <c r="K268" s="4">
        <f t="shared" si="19"/>
        <v>-0.21382789317507422</v>
      </c>
      <c r="M268"/>
      <c r="O268"/>
      <c r="Q268" t="s">
        <v>660</v>
      </c>
      <c r="R268">
        <v>740</v>
      </c>
      <c r="S268">
        <v>1692.16</v>
      </c>
    </row>
    <row r="269" spans="1:19" hidden="1">
      <c r="A269" t="s">
        <v>1218</v>
      </c>
      <c r="B269" t="s">
        <v>355</v>
      </c>
      <c r="C269" t="s">
        <v>356</v>
      </c>
      <c r="D269" s="19">
        <f>_xlfn.XLOOKUP(C:C,Q:Q,R:R)</f>
        <v>1272</v>
      </c>
      <c r="E269" s="19">
        <f t="shared" si="16"/>
        <v>45.428571428571431</v>
      </c>
      <c r="F269">
        <f>_xlfn.XLOOKUP(C:C,Q:Q,S:S)</f>
        <v>2336.77</v>
      </c>
      <c r="I269" s="19">
        <f t="shared" si="17"/>
        <v>2544</v>
      </c>
      <c r="J269" t="b">
        <f t="shared" si="18"/>
        <v>1</v>
      </c>
      <c r="K269" s="4">
        <f t="shared" si="19"/>
        <v>-8.1458333333333299E-2</v>
      </c>
      <c r="M269"/>
      <c r="O269"/>
      <c r="Q269" t="s">
        <v>525</v>
      </c>
      <c r="R269">
        <v>934</v>
      </c>
      <c r="S269">
        <v>1679.4</v>
      </c>
    </row>
    <row r="270" spans="1:19" hidden="1">
      <c r="A270" t="s">
        <v>1218</v>
      </c>
      <c r="B270" t="s">
        <v>289</v>
      </c>
      <c r="C270" t="s">
        <v>290</v>
      </c>
      <c r="D270" s="19" t="e">
        <f>_xlfn.XLOOKUP(C:C,Q:Q,R:R)</f>
        <v>#N/A</v>
      </c>
      <c r="E270" s="19" t="e">
        <f t="shared" si="16"/>
        <v>#N/A</v>
      </c>
      <c r="F270" t="e">
        <f>_xlfn.XLOOKUP(C:C,Q:Q,S:S)</f>
        <v>#N/A</v>
      </c>
      <c r="I270" s="19" t="e">
        <f t="shared" si="17"/>
        <v>#N/A</v>
      </c>
      <c r="J270" t="e">
        <f t="shared" si="18"/>
        <v>#N/A</v>
      </c>
      <c r="K270" s="4" t="e">
        <f t="shared" si="19"/>
        <v>#N/A</v>
      </c>
      <c r="M270"/>
      <c r="O270"/>
      <c r="Q270" t="s">
        <v>767</v>
      </c>
      <c r="R270">
        <v>1303</v>
      </c>
      <c r="S270">
        <v>2502.1999999999998</v>
      </c>
    </row>
    <row r="271" spans="1:19" hidden="1">
      <c r="A271" t="s">
        <v>1219</v>
      </c>
      <c r="B271" t="s">
        <v>564</v>
      </c>
      <c r="C271" t="s">
        <v>565</v>
      </c>
      <c r="D271" s="19">
        <f>_xlfn.XLOOKUP(C:C,Q:Q,R:R)</f>
        <v>706</v>
      </c>
      <c r="E271" s="19">
        <f t="shared" si="16"/>
        <v>25.214285714285715</v>
      </c>
      <c r="F271">
        <f>_xlfn.XLOOKUP(C:C,Q:Q,S:S)</f>
        <v>887.74</v>
      </c>
      <c r="I271" s="19">
        <f t="shared" si="17"/>
        <v>1412</v>
      </c>
      <c r="J271" t="b">
        <f t="shared" si="18"/>
        <v>1</v>
      </c>
      <c r="K271" s="4">
        <f t="shared" si="19"/>
        <v>-0.37128895184135979</v>
      </c>
      <c r="M271"/>
      <c r="O271"/>
      <c r="Q271" t="s">
        <v>596</v>
      </c>
      <c r="R271">
        <v>1221</v>
      </c>
      <c r="S271">
        <v>1238.4000000000001</v>
      </c>
    </row>
    <row r="272" spans="1:19" hidden="1">
      <c r="A272" t="s">
        <v>1218</v>
      </c>
      <c r="B272" t="s">
        <v>315</v>
      </c>
      <c r="C272" t="s">
        <v>316</v>
      </c>
      <c r="D272" s="19">
        <f>_xlfn.XLOOKUP(C:C,Q:Q,R:R)</f>
        <v>576</v>
      </c>
      <c r="E272" s="19">
        <f t="shared" si="16"/>
        <v>20.571428571428573</v>
      </c>
      <c r="F272">
        <f>_xlfn.XLOOKUP(C:C,Q:Q,S:S)</f>
        <v>686.87</v>
      </c>
      <c r="I272" s="19">
        <f t="shared" si="17"/>
        <v>1152</v>
      </c>
      <c r="J272" t="b">
        <f t="shared" si="18"/>
        <v>1</v>
      </c>
      <c r="K272" s="4">
        <f t="shared" si="19"/>
        <v>-0.40375868055555553</v>
      </c>
      <c r="M272"/>
      <c r="O272"/>
      <c r="Q272" t="s">
        <v>565</v>
      </c>
      <c r="R272">
        <v>706</v>
      </c>
      <c r="S272">
        <v>887.74</v>
      </c>
    </row>
    <row r="273" spans="1:19" hidden="1">
      <c r="A273" t="s">
        <v>1218</v>
      </c>
      <c r="B273" t="s">
        <v>153</v>
      </c>
      <c r="C273" t="s">
        <v>154</v>
      </c>
      <c r="D273" s="19">
        <f>_xlfn.XLOOKUP(C:C,Q:Q,R:R)</f>
        <v>1070</v>
      </c>
      <c r="E273" s="19">
        <f t="shared" si="16"/>
        <v>38.214285714285715</v>
      </c>
      <c r="F273">
        <f>_xlfn.XLOOKUP(C:C,Q:Q,S:S)</f>
        <v>1533.49</v>
      </c>
      <c r="I273" s="19">
        <f t="shared" si="17"/>
        <v>2140</v>
      </c>
      <c r="J273" t="b">
        <f t="shared" si="18"/>
        <v>1</v>
      </c>
      <c r="K273" s="4">
        <f t="shared" si="19"/>
        <v>-0.28341588785046734</v>
      </c>
      <c r="M273"/>
      <c r="O273"/>
      <c r="Q273" t="s">
        <v>700</v>
      </c>
      <c r="R273">
        <v>995</v>
      </c>
      <c r="S273">
        <v>1253.03</v>
      </c>
    </row>
    <row r="274" spans="1:19" hidden="1">
      <c r="A274" t="s">
        <v>1218</v>
      </c>
      <c r="B274" t="s">
        <v>277</v>
      </c>
      <c r="C274" t="s">
        <v>278</v>
      </c>
      <c r="D274" s="19">
        <f>_xlfn.XLOOKUP(C:C,Q:Q,R:R)</f>
        <v>577</v>
      </c>
      <c r="E274" s="19">
        <f t="shared" si="16"/>
        <v>20.607142857142858</v>
      </c>
      <c r="F274">
        <f>_xlfn.XLOOKUP(C:C,Q:Q,S:S)</f>
        <v>720.77</v>
      </c>
      <c r="I274" s="19">
        <f t="shared" si="17"/>
        <v>1154</v>
      </c>
      <c r="J274" t="b">
        <f t="shared" si="18"/>
        <v>1</v>
      </c>
      <c r="K274" s="4">
        <f t="shared" si="19"/>
        <v>-0.37541594454072791</v>
      </c>
      <c r="M274"/>
      <c r="O274"/>
      <c r="Q274" t="s">
        <v>604</v>
      </c>
      <c r="R274">
        <v>942</v>
      </c>
      <c r="S274">
        <v>1905.07</v>
      </c>
    </row>
    <row r="275" spans="1:19" hidden="1">
      <c r="A275" t="s">
        <v>1218</v>
      </c>
      <c r="B275" t="s">
        <v>169</v>
      </c>
      <c r="C275" t="s">
        <v>170</v>
      </c>
      <c r="D275" s="19">
        <f>_xlfn.XLOOKUP(C:C,Q:Q,R:R)</f>
        <v>971</v>
      </c>
      <c r="E275" s="19">
        <f t="shared" si="16"/>
        <v>34.678571428571431</v>
      </c>
      <c r="F275">
        <f>_xlfn.XLOOKUP(C:C,Q:Q,S:S)</f>
        <v>1914.05</v>
      </c>
      <c r="I275" s="19">
        <f t="shared" si="17"/>
        <v>1942</v>
      </c>
      <c r="J275" t="b">
        <f t="shared" si="18"/>
        <v>1</v>
      </c>
      <c r="K275" s="4">
        <f t="shared" si="19"/>
        <v>-1.4392378990731203E-2</v>
      </c>
      <c r="M275"/>
      <c r="O275"/>
      <c r="Q275" t="s">
        <v>696</v>
      </c>
      <c r="R275">
        <v>697</v>
      </c>
      <c r="S275">
        <v>933.22</v>
      </c>
    </row>
    <row r="276" spans="1:19" hidden="1">
      <c r="A276" t="s">
        <v>1220</v>
      </c>
      <c r="B276" t="s">
        <v>913</v>
      </c>
      <c r="C276" t="s">
        <v>914</v>
      </c>
      <c r="D276" s="19">
        <f>_xlfn.XLOOKUP(C:C,Q:Q,R:R)</f>
        <v>550</v>
      </c>
      <c r="E276" s="19">
        <f t="shared" si="16"/>
        <v>19.642857142857142</v>
      </c>
      <c r="F276">
        <f>_xlfn.XLOOKUP(C:C,Q:Q,S:S)</f>
        <v>515.15</v>
      </c>
      <c r="I276" s="19">
        <f t="shared" si="17"/>
        <v>1100</v>
      </c>
      <c r="J276" t="b">
        <f t="shared" si="18"/>
        <v>1</v>
      </c>
      <c r="K276" s="4">
        <f t="shared" si="19"/>
        <v>-0.53168181818181814</v>
      </c>
      <c r="M276"/>
      <c r="O276"/>
      <c r="Q276" t="s">
        <v>748</v>
      </c>
      <c r="R276">
        <v>1585</v>
      </c>
      <c r="S276">
        <v>1853.67</v>
      </c>
    </row>
    <row r="277" spans="1:19" hidden="1">
      <c r="A277" t="s">
        <v>1218</v>
      </c>
      <c r="B277" t="s">
        <v>369</v>
      </c>
      <c r="C277" t="s">
        <v>370</v>
      </c>
      <c r="D277" s="19">
        <f>_xlfn.XLOOKUP(C:C,Q:Q,R:R)</f>
        <v>652</v>
      </c>
      <c r="E277" s="19">
        <f t="shared" si="16"/>
        <v>23.285714285714285</v>
      </c>
      <c r="F277">
        <f>_xlfn.XLOOKUP(C:C,Q:Q,S:S)</f>
        <v>1070.94</v>
      </c>
      <c r="I277" s="19">
        <f t="shared" si="17"/>
        <v>1304</v>
      </c>
      <c r="J277" t="b">
        <f t="shared" si="18"/>
        <v>1</v>
      </c>
      <c r="K277" s="4">
        <f t="shared" si="19"/>
        <v>-0.17872699386503066</v>
      </c>
      <c r="M277"/>
      <c r="O277"/>
      <c r="Q277" t="s">
        <v>519</v>
      </c>
      <c r="R277">
        <v>1841</v>
      </c>
      <c r="S277">
        <v>2630.37</v>
      </c>
    </row>
    <row r="278" spans="1:19" hidden="1">
      <c r="A278" t="s">
        <v>1219</v>
      </c>
      <c r="B278" t="s">
        <v>784</v>
      </c>
      <c r="C278" t="s">
        <v>785</v>
      </c>
      <c r="D278" s="19">
        <f>_xlfn.XLOOKUP(C:C,Q:Q,R:R)</f>
        <v>2435</v>
      </c>
      <c r="E278" s="19">
        <f t="shared" si="16"/>
        <v>86.964285714285708</v>
      </c>
      <c r="F278">
        <f>_xlfn.XLOOKUP(C:C,Q:Q,S:S)</f>
        <v>4841.3100000000004</v>
      </c>
      <c r="I278" s="19">
        <f t="shared" si="17"/>
        <v>4870</v>
      </c>
      <c r="J278" t="b">
        <f t="shared" si="18"/>
        <v>1</v>
      </c>
      <c r="K278" s="4">
        <f t="shared" si="19"/>
        <v>-5.8911704312114566E-3</v>
      </c>
      <c r="M278"/>
      <c r="O278"/>
      <c r="Q278" t="s">
        <v>783</v>
      </c>
      <c r="R278">
        <v>1079</v>
      </c>
      <c r="S278">
        <v>2122.04</v>
      </c>
    </row>
    <row r="279" spans="1:19" hidden="1">
      <c r="A279" t="s">
        <v>1220</v>
      </c>
      <c r="B279" t="s">
        <v>1010</v>
      </c>
      <c r="C279" t="s">
        <v>1011</v>
      </c>
      <c r="D279" s="19">
        <f>_xlfn.XLOOKUP(C:C,Q:Q,R:R)</f>
        <v>434</v>
      </c>
      <c r="E279" s="19">
        <f t="shared" si="16"/>
        <v>15.5</v>
      </c>
      <c r="F279">
        <f>_xlfn.XLOOKUP(C:C,Q:Q,S:S)</f>
        <v>676.99</v>
      </c>
      <c r="I279" s="19">
        <f t="shared" si="17"/>
        <v>868</v>
      </c>
      <c r="J279" t="b">
        <f t="shared" si="18"/>
        <v>1</v>
      </c>
      <c r="K279" s="4">
        <f t="shared" si="19"/>
        <v>-0.22005760368663596</v>
      </c>
      <c r="M279"/>
      <c r="O279"/>
      <c r="Q279" t="s">
        <v>521</v>
      </c>
      <c r="R279">
        <v>337</v>
      </c>
      <c r="S279">
        <v>529.88</v>
      </c>
    </row>
    <row r="280" spans="1:19" hidden="1">
      <c r="A280" t="s">
        <v>1218</v>
      </c>
      <c r="B280" t="s">
        <v>429</v>
      </c>
      <c r="C280" t="s">
        <v>430</v>
      </c>
      <c r="D280" s="19">
        <f>_xlfn.XLOOKUP(C:C,Q:Q,R:R)</f>
        <v>978</v>
      </c>
      <c r="E280" s="19">
        <f t="shared" si="16"/>
        <v>34.928571428571431</v>
      </c>
      <c r="F280">
        <f>_xlfn.XLOOKUP(C:C,Q:Q,S:S)</f>
        <v>871.95</v>
      </c>
      <c r="I280" s="19">
        <f t="shared" si="17"/>
        <v>1956</v>
      </c>
      <c r="J280" t="b">
        <f t="shared" si="18"/>
        <v>1</v>
      </c>
      <c r="K280" s="4">
        <f t="shared" si="19"/>
        <v>-0.55421779141104288</v>
      </c>
      <c r="M280"/>
      <c r="O280"/>
      <c r="Q280" t="s">
        <v>684</v>
      </c>
      <c r="R280">
        <v>456</v>
      </c>
      <c r="S280">
        <v>569.27</v>
      </c>
    </row>
    <row r="281" spans="1:19" hidden="1">
      <c r="A281" t="s">
        <v>1219</v>
      </c>
      <c r="B281" t="s">
        <v>699</v>
      </c>
      <c r="C281" t="s">
        <v>700</v>
      </c>
      <c r="D281" s="19">
        <f>_xlfn.XLOOKUP(C:C,Q:Q,R:R)</f>
        <v>995</v>
      </c>
      <c r="E281" s="19">
        <f t="shared" si="16"/>
        <v>35.535714285714285</v>
      </c>
      <c r="F281">
        <f>_xlfn.XLOOKUP(C:C,Q:Q,S:S)</f>
        <v>1253.03</v>
      </c>
      <c r="I281" s="19">
        <f t="shared" si="17"/>
        <v>1990</v>
      </c>
      <c r="J281" t="b">
        <f t="shared" si="18"/>
        <v>1</v>
      </c>
      <c r="K281" s="4">
        <f t="shared" si="19"/>
        <v>-0.37033668341708548</v>
      </c>
      <c r="M281"/>
      <c r="O281"/>
      <c r="Q281" t="s">
        <v>732</v>
      </c>
      <c r="R281">
        <v>1330</v>
      </c>
      <c r="S281">
        <v>1531.91</v>
      </c>
    </row>
    <row r="282" spans="1:19" hidden="1">
      <c r="A282" t="s">
        <v>1218</v>
      </c>
      <c r="B282" t="s">
        <v>231</v>
      </c>
      <c r="C282" t="s">
        <v>232</v>
      </c>
      <c r="D282" s="19">
        <f>_xlfn.XLOOKUP(C:C,Q:Q,R:R)</f>
        <v>910</v>
      </c>
      <c r="E282" s="19">
        <f t="shared" si="16"/>
        <v>32.5</v>
      </c>
      <c r="F282">
        <f>_xlfn.XLOOKUP(C:C,Q:Q,S:S)</f>
        <v>1227.83</v>
      </c>
      <c r="I282" s="19">
        <f t="shared" si="17"/>
        <v>1820</v>
      </c>
      <c r="J282" t="b">
        <f t="shared" si="18"/>
        <v>1</v>
      </c>
      <c r="K282" s="4">
        <f t="shared" si="19"/>
        <v>-0.32536813186813196</v>
      </c>
      <c r="M282"/>
      <c r="O282"/>
      <c r="Q282" t="s">
        <v>734</v>
      </c>
      <c r="R282">
        <v>736</v>
      </c>
      <c r="S282">
        <v>930.48</v>
      </c>
    </row>
    <row r="283" spans="1:19" hidden="1">
      <c r="A283" t="s">
        <v>1219</v>
      </c>
      <c r="B283" t="s">
        <v>683</v>
      </c>
      <c r="C283" t="s">
        <v>684</v>
      </c>
      <c r="D283" s="19">
        <f>_xlfn.XLOOKUP(C:C,Q:Q,R:R)</f>
        <v>456</v>
      </c>
      <c r="E283" s="19">
        <f t="shared" si="16"/>
        <v>16.285714285714285</v>
      </c>
      <c r="F283">
        <f>_xlfn.XLOOKUP(C:C,Q:Q,S:S)</f>
        <v>569.27</v>
      </c>
      <c r="I283" s="19">
        <f t="shared" si="17"/>
        <v>912</v>
      </c>
      <c r="J283" t="b">
        <f t="shared" si="18"/>
        <v>1</v>
      </c>
      <c r="K283" s="4">
        <f t="shared" si="19"/>
        <v>-0.37580043859649126</v>
      </c>
      <c r="M283"/>
      <c r="O283"/>
      <c r="Q283" t="s">
        <v>602</v>
      </c>
      <c r="R283">
        <v>468</v>
      </c>
      <c r="S283">
        <v>604.41</v>
      </c>
    </row>
    <row r="284" spans="1:19" hidden="1">
      <c r="A284" t="s">
        <v>1219</v>
      </c>
      <c r="B284" t="s">
        <v>643</v>
      </c>
      <c r="C284" t="s">
        <v>644</v>
      </c>
      <c r="D284" s="19">
        <f>_xlfn.XLOOKUP(C:C,Q:Q,R:R)</f>
        <v>1071</v>
      </c>
      <c r="E284" s="19">
        <f t="shared" si="16"/>
        <v>38.25</v>
      </c>
      <c r="F284">
        <f>_xlfn.XLOOKUP(C:C,Q:Q,S:S)</f>
        <v>1111.29</v>
      </c>
      <c r="I284" s="19">
        <f t="shared" si="17"/>
        <v>2142</v>
      </c>
      <c r="J284" t="b">
        <f t="shared" si="18"/>
        <v>1</v>
      </c>
      <c r="K284" s="4">
        <f t="shared" si="19"/>
        <v>-0.48119047619047617</v>
      </c>
      <c r="M284"/>
      <c r="O284"/>
      <c r="Q284" t="s">
        <v>757</v>
      </c>
      <c r="R284">
        <v>1391</v>
      </c>
      <c r="S284">
        <v>3435.81</v>
      </c>
    </row>
    <row r="285" spans="1:19" hidden="1">
      <c r="A285" t="s">
        <v>1219</v>
      </c>
      <c r="B285" t="s">
        <v>507</v>
      </c>
      <c r="C285" t="s">
        <v>508</v>
      </c>
      <c r="D285" s="19">
        <f>_xlfn.XLOOKUP(C:C,Q:Q,R:R)</f>
        <v>1005</v>
      </c>
      <c r="E285" s="19">
        <f t="shared" si="16"/>
        <v>35.892857142857146</v>
      </c>
      <c r="F285">
        <f>_xlfn.XLOOKUP(C:C,Q:Q,S:S)</f>
        <v>1621.33</v>
      </c>
      <c r="I285" s="19">
        <f t="shared" si="17"/>
        <v>2010</v>
      </c>
      <c r="J285" t="b">
        <f t="shared" si="18"/>
        <v>1</v>
      </c>
      <c r="K285" s="4">
        <f t="shared" si="19"/>
        <v>-0.19336815920398009</v>
      </c>
      <c r="M285"/>
      <c r="O285"/>
      <c r="Q285" t="s">
        <v>506</v>
      </c>
      <c r="R285">
        <v>1388</v>
      </c>
      <c r="S285">
        <v>939.57</v>
      </c>
    </row>
    <row r="286" spans="1:19" hidden="1">
      <c r="A286" t="s">
        <v>1218</v>
      </c>
      <c r="B286" t="s">
        <v>373</v>
      </c>
      <c r="C286" t="s">
        <v>374</v>
      </c>
      <c r="D286" s="19">
        <f>_xlfn.XLOOKUP(C:C,Q:Q,R:R)</f>
        <v>707</v>
      </c>
      <c r="E286" s="19">
        <f t="shared" si="16"/>
        <v>25.25</v>
      </c>
      <c r="F286">
        <f>_xlfn.XLOOKUP(C:C,Q:Q,S:S)</f>
        <v>1007.87</v>
      </c>
      <c r="I286" s="19">
        <f t="shared" si="17"/>
        <v>1414</v>
      </c>
      <c r="J286" t="b">
        <f t="shared" si="18"/>
        <v>1</v>
      </c>
      <c r="K286" s="4">
        <f t="shared" si="19"/>
        <v>-0.28722065063649227</v>
      </c>
      <c r="M286"/>
      <c r="O286"/>
      <c r="Q286" t="s">
        <v>702</v>
      </c>
      <c r="R286">
        <v>2475</v>
      </c>
      <c r="S286">
        <v>4662.12</v>
      </c>
    </row>
    <row r="287" spans="1:19">
      <c r="A287" t="s">
        <v>1218</v>
      </c>
      <c r="B287" t="s">
        <v>455</v>
      </c>
      <c r="C287" t="s">
        <v>456</v>
      </c>
      <c r="D287" s="19">
        <f>_xlfn.XLOOKUP(C:C,Q:Q,R:R)</f>
        <v>1031</v>
      </c>
      <c r="E287" s="19">
        <f t="shared" si="16"/>
        <v>36.821428571428569</v>
      </c>
      <c r="F287">
        <f>_xlfn.XLOOKUP(C:C,Q:Q,S:S)</f>
        <v>2527.0700000000002</v>
      </c>
      <c r="I287" s="19">
        <f t="shared" si="17"/>
        <v>2062</v>
      </c>
      <c r="J287" t="b">
        <f t="shared" si="18"/>
        <v>0</v>
      </c>
      <c r="K287" s="4">
        <f t="shared" si="19"/>
        <v>0.22554316197866164</v>
      </c>
      <c r="L287" t="s">
        <v>494</v>
      </c>
      <c r="M287" t="s">
        <v>1228</v>
      </c>
      <c r="O287"/>
      <c r="Q287" t="s">
        <v>771</v>
      </c>
      <c r="R287">
        <v>480</v>
      </c>
      <c r="S287">
        <v>1367.15</v>
      </c>
    </row>
    <row r="288" spans="1:19" hidden="1">
      <c r="A288" t="s">
        <v>1220</v>
      </c>
      <c r="B288" t="s">
        <v>1033</v>
      </c>
      <c r="C288" t="s">
        <v>1034</v>
      </c>
      <c r="D288" s="19">
        <f>_xlfn.XLOOKUP(C:C,Q:Q,R:R)</f>
        <v>660</v>
      </c>
      <c r="E288" s="19">
        <f t="shared" si="16"/>
        <v>23.571428571428573</v>
      </c>
      <c r="F288">
        <f>_xlfn.XLOOKUP(C:C,Q:Q,S:S)</f>
        <v>1099.67</v>
      </c>
      <c r="I288" s="19">
        <f t="shared" si="17"/>
        <v>1320</v>
      </c>
      <c r="J288" t="b">
        <f t="shared" si="18"/>
        <v>1</v>
      </c>
      <c r="K288" s="4">
        <f t="shared" si="19"/>
        <v>-0.1669166666666666</v>
      </c>
      <c r="M288"/>
      <c r="O288"/>
      <c r="Q288" t="s">
        <v>692</v>
      </c>
      <c r="R288">
        <v>2459</v>
      </c>
      <c r="S288">
        <v>2134.25</v>
      </c>
    </row>
    <row r="289" spans="1:19">
      <c r="A289" t="s">
        <v>1218</v>
      </c>
      <c r="B289" t="s">
        <v>475</v>
      </c>
      <c r="C289" t="s">
        <v>476</v>
      </c>
      <c r="D289" s="19">
        <f>_xlfn.XLOOKUP(C:C,Q:Q,R:R)</f>
        <v>64</v>
      </c>
      <c r="E289" s="19">
        <f t="shared" si="16"/>
        <v>2.2857142857142856</v>
      </c>
      <c r="F289">
        <f>_xlfn.XLOOKUP(C:C,Q:Q,S:S)</f>
        <v>178.31</v>
      </c>
      <c r="I289" s="19">
        <f t="shared" si="17"/>
        <v>128</v>
      </c>
      <c r="J289" t="b">
        <f t="shared" si="18"/>
        <v>0</v>
      </c>
      <c r="K289" s="4">
        <f t="shared" si="19"/>
        <v>0.39304687500000002</v>
      </c>
      <c r="L289" t="s">
        <v>494</v>
      </c>
      <c r="M289" t="s">
        <v>1229</v>
      </c>
      <c r="O289"/>
      <c r="Q289" t="s">
        <v>779</v>
      </c>
      <c r="R289">
        <v>1983</v>
      </c>
      <c r="S289">
        <v>2421.4300000000003</v>
      </c>
    </row>
    <row r="290" spans="1:19" hidden="1">
      <c r="A290" t="s">
        <v>1219</v>
      </c>
      <c r="B290" t="s">
        <v>620</v>
      </c>
      <c r="C290" t="s">
        <v>621</v>
      </c>
      <c r="D290" s="19">
        <f>_xlfn.XLOOKUP(C:C,Q:Q,R:R)</f>
        <v>485</v>
      </c>
      <c r="E290" s="19">
        <f t="shared" si="16"/>
        <v>17.321428571428573</v>
      </c>
      <c r="F290">
        <f>_xlfn.XLOOKUP(C:C,Q:Q,S:S)</f>
        <v>329.07</v>
      </c>
      <c r="I290" s="19">
        <f t="shared" si="17"/>
        <v>970</v>
      </c>
      <c r="J290" t="b">
        <f t="shared" si="18"/>
        <v>1</v>
      </c>
      <c r="K290" s="4">
        <f t="shared" si="19"/>
        <v>-0.6607525773195877</v>
      </c>
      <c r="M290"/>
      <c r="O290"/>
      <c r="Q290" t="s">
        <v>571</v>
      </c>
      <c r="R290">
        <v>957</v>
      </c>
      <c r="S290">
        <v>952.57</v>
      </c>
    </row>
    <row r="291" spans="1:19" hidden="1">
      <c r="A291" t="s">
        <v>1220</v>
      </c>
      <c r="B291" t="s">
        <v>844</v>
      </c>
      <c r="C291" t="s">
        <v>845</v>
      </c>
      <c r="D291" s="19">
        <f>_xlfn.XLOOKUP(C:C,Q:Q,R:R)</f>
        <v>432</v>
      </c>
      <c r="E291" s="19">
        <f t="shared" si="16"/>
        <v>15.428571428571429</v>
      </c>
      <c r="F291">
        <f>_xlfn.XLOOKUP(C:C,Q:Q,S:S)</f>
        <v>657.51</v>
      </c>
      <c r="I291" s="19">
        <f t="shared" si="17"/>
        <v>864</v>
      </c>
      <c r="J291" t="b">
        <f t="shared" si="18"/>
        <v>1</v>
      </c>
      <c r="K291" s="4">
        <f t="shared" si="19"/>
        <v>-0.23899305555555561</v>
      </c>
      <c r="M291"/>
      <c r="O291"/>
      <c r="Q291" t="s">
        <v>617</v>
      </c>
      <c r="R291">
        <v>171</v>
      </c>
      <c r="S291">
        <v>98.72</v>
      </c>
    </row>
    <row r="292" spans="1:19" hidden="1">
      <c r="A292" t="s">
        <v>1218</v>
      </c>
      <c r="B292" t="s">
        <v>197</v>
      </c>
      <c r="C292" t="s">
        <v>198</v>
      </c>
      <c r="D292" s="19">
        <f>_xlfn.XLOOKUP(C:C,Q:Q,R:R)</f>
        <v>633</v>
      </c>
      <c r="E292" s="19">
        <f t="shared" si="16"/>
        <v>22.607142857142858</v>
      </c>
      <c r="F292">
        <f>_xlfn.XLOOKUP(C:C,Q:Q,S:S)</f>
        <v>1173.22</v>
      </c>
      <c r="I292" s="19">
        <f t="shared" si="17"/>
        <v>1266</v>
      </c>
      <c r="J292" t="b">
        <f t="shared" si="18"/>
        <v>1</v>
      </c>
      <c r="K292" s="4">
        <f t="shared" si="19"/>
        <v>-7.3285939968404379E-2</v>
      </c>
      <c r="M292"/>
      <c r="O292"/>
      <c r="Q292" t="s">
        <v>514</v>
      </c>
      <c r="R292">
        <v>0</v>
      </c>
      <c r="S292">
        <v>0</v>
      </c>
    </row>
    <row r="293" spans="1:19" hidden="1">
      <c r="A293" t="s">
        <v>1218</v>
      </c>
      <c r="B293" t="s">
        <v>341</v>
      </c>
      <c r="C293" t="s">
        <v>342</v>
      </c>
      <c r="D293" s="19">
        <f>_xlfn.XLOOKUP(C:C,Q:Q,R:R)</f>
        <v>457</v>
      </c>
      <c r="E293" s="19">
        <f t="shared" si="16"/>
        <v>16.321428571428573</v>
      </c>
      <c r="F293">
        <f>_xlfn.XLOOKUP(C:C,Q:Q,S:S)</f>
        <v>280.43</v>
      </c>
      <c r="I293" s="19">
        <f t="shared" si="17"/>
        <v>914</v>
      </c>
      <c r="J293" t="b">
        <f t="shared" si="18"/>
        <v>1</v>
      </c>
      <c r="K293" s="4">
        <f t="shared" si="19"/>
        <v>-0.69318380743982488</v>
      </c>
      <c r="M293"/>
      <c r="O293"/>
      <c r="Q293" t="s">
        <v>635</v>
      </c>
      <c r="R293">
        <v>671</v>
      </c>
      <c r="S293">
        <v>0</v>
      </c>
    </row>
    <row r="294" spans="1:19" hidden="1">
      <c r="A294" t="s">
        <v>1219</v>
      </c>
      <c r="B294" t="s">
        <v>766</v>
      </c>
      <c r="C294" t="s">
        <v>767</v>
      </c>
      <c r="D294" s="19">
        <f>_xlfn.XLOOKUP(C:C,Q:Q,R:R)</f>
        <v>1303</v>
      </c>
      <c r="E294" s="19">
        <f t="shared" si="16"/>
        <v>46.535714285714285</v>
      </c>
      <c r="F294">
        <f>_xlfn.XLOOKUP(C:C,Q:Q,S:S)</f>
        <v>2502.1999999999998</v>
      </c>
      <c r="I294" s="19">
        <f t="shared" si="17"/>
        <v>2606</v>
      </c>
      <c r="J294" t="b">
        <f t="shared" si="18"/>
        <v>1</v>
      </c>
      <c r="K294" s="4">
        <f t="shared" si="19"/>
        <v>-3.9831158864159666E-2</v>
      </c>
      <c r="M294"/>
      <c r="O294"/>
      <c r="Q294" t="s">
        <v>694</v>
      </c>
      <c r="R294">
        <v>1758</v>
      </c>
      <c r="S294">
        <v>3478.4</v>
      </c>
    </row>
    <row r="295" spans="1:19" hidden="1">
      <c r="A295" t="s">
        <v>1218</v>
      </c>
      <c r="B295" t="s">
        <v>215</v>
      </c>
      <c r="C295" t="s">
        <v>216</v>
      </c>
      <c r="D295" s="19">
        <f>_xlfn.XLOOKUP(C:C,Q:Q,R:R)</f>
        <v>690</v>
      </c>
      <c r="E295" s="19">
        <f t="shared" si="16"/>
        <v>24.642857142857142</v>
      </c>
      <c r="F295">
        <f>_xlfn.XLOOKUP(C:C,Q:Q,S:S)</f>
        <v>545.20000000000005</v>
      </c>
      <c r="I295" s="19">
        <f t="shared" si="17"/>
        <v>1380</v>
      </c>
      <c r="J295" t="b">
        <f t="shared" si="18"/>
        <v>1</v>
      </c>
      <c r="K295" s="4">
        <f t="shared" si="19"/>
        <v>-0.604927536231884</v>
      </c>
      <c r="M295"/>
      <c r="O295"/>
      <c r="Q295" t="s">
        <v>531</v>
      </c>
      <c r="R295">
        <v>1810</v>
      </c>
      <c r="S295">
        <v>2248.7199999999998</v>
      </c>
    </row>
    <row r="296" spans="1:19" hidden="1">
      <c r="A296" t="s">
        <v>1219</v>
      </c>
      <c r="B296" t="s">
        <v>630</v>
      </c>
      <c r="C296" t="s">
        <v>631</v>
      </c>
      <c r="D296" s="19">
        <f>_xlfn.XLOOKUP(C:C,Q:Q,R:R)</f>
        <v>0</v>
      </c>
      <c r="E296" s="19">
        <f t="shared" si="16"/>
        <v>0</v>
      </c>
      <c r="F296">
        <f>_xlfn.XLOOKUP(C:C,Q:Q,S:S)</f>
        <v>0</v>
      </c>
      <c r="I296" s="19">
        <f t="shared" si="17"/>
        <v>0</v>
      </c>
      <c r="J296" t="b">
        <f t="shared" si="18"/>
        <v>1</v>
      </c>
      <c r="K296" s="4" t="e">
        <f t="shared" si="19"/>
        <v>#DIV/0!</v>
      </c>
      <c r="M296"/>
      <c r="O296"/>
      <c r="Q296" t="s">
        <v>629</v>
      </c>
      <c r="R296">
        <v>130</v>
      </c>
      <c r="S296">
        <v>0</v>
      </c>
    </row>
    <row r="297" spans="1:19" hidden="1">
      <c r="A297" t="s">
        <v>1220</v>
      </c>
      <c r="B297" t="s">
        <v>823</v>
      </c>
      <c r="C297" t="s">
        <v>824</v>
      </c>
      <c r="D297" s="19">
        <f>_xlfn.XLOOKUP(C:C,Q:Q,R:R)</f>
        <v>706</v>
      </c>
      <c r="E297" s="19">
        <f t="shared" si="16"/>
        <v>25.214285714285715</v>
      </c>
      <c r="F297">
        <f>_xlfn.XLOOKUP(C:C,Q:Q,S:S)</f>
        <v>930.18</v>
      </c>
      <c r="I297" s="19">
        <f t="shared" si="17"/>
        <v>1412</v>
      </c>
      <c r="J297" t="b">
        <f t="shared" si="18"/>
        <v>1</v>
      </c>
      <c r="K297" s="4">
        <f t="shared" si="19"/>
        <v>-0.34123229461756377</v>
      </c>
      <c r="M297"/>
      <c r="O297"/>
      <c r="Q297" t="s">
        <v>648</v>
      </c>
      <c r="R297">
        <v>1461</v>
      </c>
      <c r="S297">
        <v>3193.14</v>
      </c>
    </row>
    <row r="298" spans="1:19" hidden="1">
      <c r="A298" t="s">
        <v>1220</v>
      </c>
      <c r="B298" t="s">
        <v>948</v>
      </c>
      <c r="C298" t="s">
        <v>949</v>
      </c>
      <c r="D298" s="19">
        <f>_xlfn.XLOOKUP(C:C,Q:Q,R:R)</f>
        <v>566</v>
      </c>
      <c r="E298" s="19">
        <f t="shared" si="16"/>
        <v>20.214285714285715</v>
      </c>
      <c r="F298">
        <f>_xlfn.XLOOKUP(C:C,Q:Q,S:S)</f>
        <v>1224.96</v>
      </c>
      <c r="I298" s="157">
        <f t="shared" si="17"/>
        <v>1132</v>
      </c>
      <c r="J298" t="b">
        <f t="shared" si="18"/>
        <v>1</v>
      </c>
      <c r="K298" s="4">
        <f t="shared" si="19"/>
        <v>8.2120141342756137E-2</v>
      </c>
      <c r="O298" s="165"/>
      <c r="Q298" t="s">
        <v>706</v>
      </c>
      <c r="R298">
        <v>898</v>
      </c>
      <c r="S298">
        <v>1140.48</v>
      </c>
    </row>
    <row r="299" spans="1:19" hidden="1">
      <c r="A299" t="s">
        <v>1218</v>
      </c>
      <c r="B299" t="s">
        <v>203</v>
      </c>
      <c r="C299" t="s">
        <v>204</v>
      </c>
      <c r="D299" s="19">
        <f>_xlfn.XLOOKUP(C:C,Q:Q,R:R)</f>
        <v>775</v>
      </c>
      <c r="E299" s="19">
        <f t="shared" si="16"/>
        <v>27.678571428571427</v>
      </c>
      <c r="F299">
        <f>_xlfn.XLOOKUP(C:C,Q:Q,S:S)</f>
        <v>1364.36</v>
      </c>
      <c r="I299" s="19">
        <f t="shared" si="17"/>
        <v>1550</v>
      </c>
      <c r="J299" t="b">
        <f t="shared" si="18"/>
        <v>1</v>
      </c>
      <c r="K299" s="4">
        <f t="shared" si="19"/>
        <v>-0.1197677419354839</v>
      </c>
      <c r="M299"/>
      <c r="O299"/>
      <c r="Q299" t="s">
        <v>708</v>
      </c>
      <c r="R299">
        <v>767</v>
      </c>
      <c r="S299">
        <v>780.51</v>
      </c>
    </row>
    <row r="300" spans="1:19" hidden="1">
      <c r="A300" t="s">
        <v>1218</v>
      </c>
      <c r="B300" t="s">
        <v>477</v>
      </c>
      <c r="C300" t="s">
        <v>478</v>
      </c>
      <c r="D300" s="19">
        <f>_xlfn.XLOOKUP(C:C,Q:Q,R:R)</f>
        <v>1546</v>
      </c>
      <c r="E300" s="19">
        <f t="shared" si="16"/>
        <v>55.214285714285715</v>
      </c>
      <c r="F300">
        <f>_xlfn.XLOOKUP(C:C,Q:Q,S:S)</f>
        <v>1959.09</v>
      </c>
      <c r="I300" s="19">
        <f t="shared" si="17"/>
        <v>3092</v>
      </c>
      <c r="J300" t="b">
        <f t="shared" si="18"/>
        <v>1</v>
      </c>
      <c r="K300" s="4">
        <f t="shared" si="19"/>
        <v>-0.36640038809831832</v>
      </c>
      <c r="M300"/>
      <c r="O300"/>
      <c r="Q300" t="s">
        <v>746</v>
      </c>
      <c r="R300">
        <v>1069</v>
      </c>
      <c r="S300">
        <v>1609.44</v>
      </c>
    </row>
    <row r="301" spans="1:19" hidden="1">
      <c r="A301" t="s">
        <v>1219</v>
      </c>
      <c r="B301" t="s">
        <v>695</v>
      </c>
      <c r="C301" t="s">
        <v>696</v>
      </c>
      <c r="D301" s="19">
        <f>_xlfn.XLOOKUP(C:C,Q:Q,R:R)</f>
        <v>697</v>
      </c>
      <c r="E301" s="19">
        <f t="shared" si="16"/>
        <v>24.892857142857142</v>
      </c>
      <c r="F301">
        <f>_xlfn.XLOOKUP(C:C,Q:Q,S:S)</f>
        <v>933.22</v>
      </c>
      <c r="I301" s="19">
        <f t="shared" si="17"/>
        <v>1394</v>
      </c>
      <c r="J301" t="b">
        <f t="shared" si="18"/>
        <v>1</v>
      </c>
      <c r="K301" s="4">
        <f t="shared" si="19"/>
        <v>-0.33054519368723101</v>
      </c>
      <c r="M301"/>
      <c r="O301"/>
      <c r="Q301" t="s">
        <v>547</v>
      </c>
      <c r="R301">
        <v>1050</v>
      </c>
      <c r="S301">
        <v>2642.42</v>
      </c>
    </row>
    <row r="302" spans="1:19" hidden="1">
      <c r="A302" t="s">
        <v>1218</v>
      </c>
      <c r="B302" t="s">
        <v>103</v>
      </c>
      <c r="C302" t="s">
        <v>104</v>
      </c>
      <c r="D302" s="19">
        <f>_xlfn.XLOOKUP(C:C,Q:Q,R:R)</f>
        <v>741</v>
      </c>
      <c r="E302" s="19">
        <f t="shared" si="16"/>
        <v>26.464285714285715</v>
      </c>
      <c r="F302">
        <f>_xlfn.XLOOKUP(C:C,Q:Q,S:S)</f>
        <v>1596.79</v>
      </c>
      <c r="I302" s="19">
        <f t="shared" si="17"/>
        <v>1482</v>
      </c>
      <c r="J302" t="b">
        <f t="shared" si="18"/>
        <v>1</v>
      </c>
      <c r="K302" s="4">
        <f t="shared" si="19"/>
        <v>7.7456140350877112E-2</v>
      </c>
      <c r="M302"/>
      <c r="O302"/>
      <c r="Q302" t="s">
        <v>750</v>
      </c>
      <c r="R302">
        <v>1599</v>
      </c>
      <c r="S302">
        <v>2462.29</v>
      </c>
    </row>
    <row r="303" spans="1:19" hidden="1">
      <c r="A303" t="s">
        <v>1219</v>
      </c>
      <c r="B303" t="s">
        <v>707</v>
      </c>
      <c r="C303" t="s">
        <v>708</v>
      </c>
      <c r="D303" s="19">
        <f>_xlfn.XLOOKUP(C:C,Q:Q,R:R)</f>
        <v>767</v>
      </c>
      <c r="E303" s="19">
        <f t="shared" si="16"/>
        <v>27.392857142857142</v>
      </c>
      <c r="F303">
        <f>_xlfn.XLOOKUP(C:C,Q:Q,S:S)</f>
        <v>780.51</v>
      </c>
      <c r="I303" s="19">
        <f t="shared" si="17"/>
        <v>1534</v>
      </c>
      <c r="J303" t="b">
        <f t="shared" si="18"/>
        <v>1</v>
      </c>
      <c r="K303" s="4">
        <f t="shared" si="19"/>
        <v>-0.49119295958279008</v>
      </c>
      <c r="M303"/>
      <c r="O303"/>
      <c r="Q303" t="s">
        <v>738</v>
      </c>
      <c r="R303">
        <v>986</v>
      </c>
      <c r="S303">
        <v>1511.76</v>
      </c>
    </row>
    <row r="304" spans="1:19" hidden="1">
      <c r="A304" t="s">
        <v>1218</v>
      </c>
      <c r="B304" t="s">
        <v>339</v>
      </c>
      <c r="C304" t="s">
        <v>340</v>
      </c>
      <c r="D304" s="19">
        <f>_xlfn.XLOOKUP(C:C,Q:Q,R:R)</f>
        <v>906</v>
      </c>
      <c r="E304" s="19">
        <f t="shared" si="16"/>
        <v>32.357142857142854</v>
      </c>
      <c r="F304">
        <f>_xlfn.XLOOKUP(C:C,Q:Q,S:S)</f>
        <v>870.89</v>
      </c>
      <c r="I304" s="19">
        <f t="shared" si="17"/>
        <v>1812</v>
      </c>
      <c r="J304" t="b">
        <f t="shared" si="18"/>
        <v>1</v>
      </c>
      <c r="K304" s="4">
        <f t="shared" si="19"/>
        <v>-0.51937637969094919</v>
      </c>
      <c r="M304"/>
      <c r="O304"/>
      <c r="Q304" t="s">
        <v>573</v>
      </c>
      <c r="R304">
        <v>1097</v>
      </c>
      <c r="S304">
        <v>2322.02</v>
      </c>
    </row>
    <row r="305" spans="1:19" hidden="1">
      <c r="A305" t="s">
        <v>1218</v>
      </c>
      <c r="B305" t="s">
        <v>345</v>
      </c>
      <c r="C305" t="s">
        <v>346</v>
      </c>
      <c r="D305" s="19">
        <f>_xlfn.XLOOKUP(C:C,Q:Q,R:R)</f>
        <v>1145</v>
      </c>
      <c r="E305" s="19">
        <f t="shared" si="16"/>
        <v>40.892857142857146</v>
      </c>
      <c r="F305">
        <f>_xlfn.XLOOKUP(C:C,Q:Q,S:S)</f>
        <v>1818.18</v>
      </c>
      <c r="I305" s="19">
        <f t="shared" si="17"/>
        <v>2290</v>
      </c>
      <c r="J305" t="b">
        <f t="shared" si="18"/>
        <v>1</v>
      </c>
      <c r="K305" s="4">
        <f t="shared" si="19"/>
        <v>-0.20603493449781651</v>
      </c>
      <c r="M305"/>
      <c r="O305"/>
      <c r="Q305" t="s">
        <v>781</v>
      </c>
      <c r="R305">
        <v>4451</v>
      </c>
      <c r="S305">
        <v>6429.45</v>
      </c>
    </row>
    <row r="306" spans="1:19" hidden="1">
      <c r="A306" t="s">
        <v>1219</v>
      </c>
      <c r="B306" t="s">
        <v>609</v>
      </c>
      <c r="C306" t="s">
        <v>610</v>
      </c>
      <c r="D306" s="19">
        <f>_xlfn.XLOOKUP(C:C,Q:Q,R:R)</f>
        <v>721</v>
      </c>
      <c r="E306" s="19">
        <f t="shared" ref="E306:E355" si="20">D306/28</f>
        <v>25.75</v>
      </c>
      <c r="F306">
        <f>_xlfn.XLOOKUP(C:C,Q:Q,S:S)</f>
        <v>855.88</v>
      </c>
      <c r="I306" s="19">
        <f t="shared" ref="I306:I355" si="21">IF((D306/28)&gt;100,D306*2,D306*2)</f>
        <v>1442</v>
      </c>
      <c r="J306" t="b">
        <f t="shared" ref="J306:J355" si="22">IF(F306&gt;1.2*I306,FALSE,TRUE)</f>
        <v>1</v>
      </c>
      <c r="K306" s="4">
        <f t="shared" ref="K306:K355" si="23">F306/I306-1</f>
        <v>-0.40646324549237167</v>
      </c>
      <c r="M306"/>
      <c r="O306"/>
      <c r="Q306" t="s">
        <v>664</v>
      </c>
      <c r="R306">
        <v>1048</v>
      </c>
      <c r="S306">
        <v>1274.44</v>
      </c>
    </row>
    <row r="307" spans="1:19">
      <c r="A307" t="s">
        <v>1219</v>
      </c>
      <c r="B307" t="s">
        <v>546</v>
      </c>
      <c r="C307" t="s">
        <v>547</v>
      </c>
      <c r="D307" s="19">
        <f>_xlfn.XLOOKUP(C:C,Q:Q,R:R)</f>
        <v>1050</v>
      </c>
      <c r="E307" s="19">
        <f t="shared" si="20"/>
        <v>37.5</v>
      </c>
      <c r="F307">
        <f>_xlfn.XLOOKUP(C:C,Q:Q,S:S)</f>
        <v>2642.42</v>
      </c>
      <c r="I307" s="157">
        <f t="shared" si="21"/>
        <v>2100</v>
      </c>
      <c r="J307" t="b">
        <f t="shared" si="22"/>
        <v>0</v>
      </c>
      <c r="K307" s="4">
        <f t="shared" si="23"/>
        <v>0.25829523809523813</v>
      </c>
      <c r="L307" t="s">
        <v>494</v>
      </c>
      <c r="M307" s="159" t="s">
        <v>1230</v>
      </c>
      <c r="Q307" t="s">
        <v>625</v>
      </c>
      <c r="R307">
        <v>140</v>
      </c>
      <c r="S307">
        <v>0</v>
      </c>
    </row>
    <row r="308" spans="1:19" hidden="1">
      <c r="A308" t="s">
        <v>1218</v>
      </c>
      <c r="B308" t="s">
        <v>255</v>
      </c>
      <c r="C308" t="s">
        <v>256</v>
      </c>
      <c r="D308" s="19">
        <f>_xlfn.XLOOKUP(C:C,Q:Q,R:R)</f>
        <v>535</v>
      </c>
      <c r="E308" s="19">
        <f t="shared" si="20"/>
        <v>19.107142857142858</v>
      </c>
      <c r="F308">
        <f>_xlfn.XLOOKUP(C:C,Q:Q,S:S)</f>
        <v>654.45000000000005</v>
      </c>
      <c r="I308" s="19">
        <f t="shared" si="21"/>
        <v>1070</v>
      </c>
      <c r="J308" t="b">
        <f t="shared" si="22"/>
        <v>1</v>
      </c>
      <c r="K308" s="4">
        <f t="shared" si="23"/>
        <v>-0.38836448598130835</v>
      </c>
      <c r="M308"/>
      <c r="O308"/>
      <c r="Q308" t="s">
        <v>579</v>
      </c>
      <c r="R308">
        <v>931</v>
      </c>
      <c r="S308">
        <v>1583.03</v>
      </c>
    </row>
    <row r="309" spans="1:19" hidden="1">
      <c r="A309" t="s">
        <v>1220</v>
      </c>
      <c r="B309" t="s">
        <v>964</v>
      </c>
      <c r="C309" t="s">
        <v>965</v>
      </c>
      <c r="D309" s="19">
        <f>_xlfn.XLOOKUP(C:C,Q:Q,R:R)</f>
        <v>840</v>
      </c>
      <c r="E309" s="19">
        <f t="shared" si="20"/>
        <v>30</v>
      </c>
      <c r="F309">
        <f>_xlfn.XLOOKUP(C:C,Q:Q,S:S)</f>
        <v>462.91</v>
      </c>
      <c r="I309" s="19">
        <f t="shared" si="21"/>
        <v>1680</v>
      </c>
      <c r="J309" t="b">
        <f t="shared" si="22"/>
        <v>1</v>
      </c>
      <c r="K309" s="4">
        <f t="shared" si="23"/>
        <v>-0.72445833333333332</v>
      </c>
      <c r="M309"/>
      <c r="O309"/>
      <c r="Q309" t="s">
        <v>646</v>
      </c>
      <c r="R309">
        <v>348</v>
      </c>
      <c r="S309">
        <v>233.13</v>
      </c>
    </row>
    <row r="310" spans="1:19" hidden="1">
      <c r="A310" t="s">
        <v>1218</v>
      </c>
      <c r="B310" t="s">
        <v>367</v>
      </c>
      <c r="C310" t="s">
        <v>368</v>
      </c>
      <c r="D310" s="19">
        <f>_xlfn.XLOOKUP(C:C,Q:Q,R:R)</f>
        <v>751</v>
      </c>
      <c r="E310" s="19">
        <f t="shared" si="20"/>
        <v>26.821428571428573</v>
      </c>
      <c r="F310">
        <f>_xlfn.XLOOKUP(C:C,Q:Q,S:S)</f>
        <v>53.21</v>
      </c>
      <c r="I310" s="19">
        <f t="shared" si="21"/>
        <v>1502</v>
      </c>
      <c r="J310" t="b">
        <f t="shared" si="22"/>
        <v>1</v>
      </c>
      <c r="K310" s="4">
        <f t="shared" si="23"/>
        <v>-0.96457390146471367</v>
      </c>
      <c r="M310"/>
      <c r="O310"/>
      <c r="Q310" t="s">
        <v>763</v>
      </c>
      <c r="R310">
        <v>1493</v>
      </c>
      <c r="S310">
        <v>2515.94</v>
      </c>
    </row>
    <row r="311" spans="1:19" hidden="1">
      <c r="A311" t="s">
        <v>1218</v>
      </c>
      <c r="B311" t="s">
        <v>195</v>
      </c>
      <c r="C311" t="s">
        <v>196</v>
      </c>
      <c r="D311" s="19">
        <f>_xlfn.XLOOKUP(C:C,Q:Q,R:R)</f>
        <v>1273</v>
      </c>
      <c r="E311" s="19">
        <f t="shared" si="20"/>
        <v>45.464285714285715</v>
      </c>
      <c r="F311">
        <f>_xlfn.XLOOKUP(C:C,Q:Q,S:S)</f>
        <v>1409.27</v>
      </c>
      <c r="I311" s="19">
        <f t="shared" si="21"/>
        <v>2546</v>
      </c>
      <c r="J311" t="b">
        <f t="shared" si="22"/>
        <v>1</v>
      </c>
      <c r="K311" s="4">
        <f t="shared" si="23"/>
        <v>-0.44647682639434405</v>
      </c>
      <c r="M311"/>
      <c r="O311"/>
      <c r="Q311" t="s">
        <v>698</v>
      </c>
      <c r="R311">
        <v>1954</v>
      </c>
      <c r="S311">
        <v>2412.92</v>
      </c>
    </row>
    <row r="312" spans="1:19" hidden="1">
      <c r="A312" t="s">
        <v>1219</v>
      </c>
      <c r="B312" t="s">
        <v>622</v>
      </c>
      <c r="C312" t="s">
        <v>623</v>
      </c>
      <c r="D312" s="19">
        <f>_xlfn.XLOOKUP(C:C,Q:Q,R:R)</f>
        <v>567</v>
      </c>
      <c r="E312" s="19">
        <f t="shared" si="20"/>
        <v>20.25</v>
      </c>
      <c r="F312">
        <f>_xlfn.XLOOKUP(C:C,Q:Q,S:S)</f>
        <v>473.66</v>
      </c>
      <c r="I312" s="19">
        <f t="shared" si="21"/>
        <v>1134</v>
      </c>
      <c r="J312" t="b">
        <f t="shared" si="22"/>
        <v>1</v>
      </c>
      <c r="K312" s="4">
        <f t="shared" si="23"/>
        <v>-0.58231040564373893</v>
      </c>
      <c r="M312"/>
      <c r="O312"/>
      <c r="Q312" t="s">
        <v>591</v>
      </c>
      <c r="R312">
        <v>595</v>
      </c>
      <c r="S312">
        <v>486.99</v>
      </c>
    </row>
    <row r="313" spans="1:19" hidden="1">
      <c r="A313" t="s">
        <v>1220</v>
      </c>
      <c r="B313" t="s">
        <v>1012</v>
      </c>
      <c r="C313" t="s">
        <v>1013</v>
      </c>
      <c r="D313" s="19">
        <f>_xlfn.XLOOKUP(C:C,Q:Q,R:R)</f>
        <v>922</v>
      </c>
      <c r="E313" s="19">
        <f t="shared" si="20"/>
        <v>32.928571428571431</v>
      </c>
      <c r="F313">
        <f>_xlfn.XLOOKUP(C:C,Q:Q,S:S)</f>
        <v>615.99</v>
      </c>
      <c r="I313" s="19">
        <f t="shared" si="21"/>
        <v>1844</v>
      </c>
      <c r="J313" t="b">
        <f t="shared" si="22"/>
        <v>1</v>
      </c>
      <c r="K313" s="4">
        <f t="shared" si="23"/>
        <v>-0.66594902386117139</v>
      </c>
      <c r="M313"/>
      <c r="O313"/>
      <c r="Q313" t="s">
        <v>585</v>
      </c>
      <c r="R313">
        <v>1003</v>
      </c>
      <c r="S313">
        <v>879.2</v>
      </c>
    </row>
    <row r="314" spans="1:19" hidden="1">
      <c r="A314" t="s">
        <v>1218</v>
      </c>
      <c r="B314" t="s">
        <v>207</v>
      </c>
      <c r="C314" t="s">
        <v>208</v>
      </c>
      <c r="D314" s="19">
        <f>_xlfn.XLOOKUP(C:C,Q:Q,R:R)</f>
        <v>513</v>
      </c>
      <c r="E314" s="19">
        <f t="shared" si="20"/>
        <v>18.321428571428573</v>
      </c>
      <c r="F314">
        <f>_xlfn.XLOOKUP(C:C,Q:Q,S:S)</f>
        <v>883.21</v>
      </c>
      <c r="I314" s="19">
        <f t="shared" si="21"/>
        <v>1026</v>
      </c>
      <c r="J314" t="b">
        <f t="shared" si="22"/>
        <v>1</v>
      </c>
      <c r="K314" s="4">
        <f t="shared" si="23"/>
        <v>-0.13917153996101361</v>
      </c>
      <c r="M314"/>
      <c r="O314"/>
      <c r="Q314" t="s">
        <v>610</v>
      </c>
      <c r="R314">
        <v>721</v>
      </c>
      <c r="S314">
        <v>855.88</v>
      </c>
    </row>
    <row r="315" spans="1:19" hidden="1">
      <c r="A315" t="s">
        <v>1220</v>
      </c>
      <c r="B315" t="s">
        <v>945</v>
      </c>
      <c r="C315" t="s">
        <v>946</v>
      </c>
      <c r="D315" s="19" t="e">
        <v>#N/A</v>
      </c>
      <c r="E315" s="19" t="e">
        <f t="shared" si="20"/>
        <v>#N/A</v>
      </c>
      <c r="F315" t="e">
        <v>#N/A</v>
      </c>
      <c r="I315" s="19" t="e">
        <f t="shared" si="21"/>
        <v>#N/A</v>
      </c>
      <c r="J315" t="e">
        <f t="shared" si="22"/>
        <v>#N/A</v>
      </c>
      <c r="K315" s="4" t="e">
        <f t="shared" si="23"/>
        <v>#N/A</v>
      </c>
      <c r="M315"/>
      <c r="O315"/>
      <c r="Q315" t="s">
        <v>623</v>
      </c>
      <c r="R315">
        <v>567</v>
      </c>
      <c r="S315">
        <v>473.66</v>
      </c>
    </row>
    <row r="316" spans="1:19" hidden="1">
      <c r="A316" t="s">
        <v>1218</v>
      </c>
      <c r="B316" t="s">
        <v>163</v>
      </c>
      <c r="C316" t="s">
        <v>164</v>
      </c>
      <c r="D316" s="19">
        <f>_xlfn.XLOOKUP(C:C,Q:Q,R:R)</f>
        <v>752</v>
      </c>
      <c r="E316" s="19">
        <f t="shared" si="20"/>
        <v>26.857142857142858</v>
      </c>
      <c r="F316">
        <f>_xlfn.XLOOKUP(C:C,Q:Q,S:S)</f>
        <v>616.62</v>
      </c>
      <c r="I316" s="19">
        <f t="shared" si="21"/>
        <v>1504</v>
      </c>
      <c r="J316" t="b">
        <f t="shared" si="22"/>
        <v>1</v>
      </c>
      <c r="K316" s="4">
        <f t="shared" si="23"/>
        <v>-0.59001329787234047</v>
      </c>
      <c r="M316"/>
      <c r="O316"/>
      <c r="Q316" t="s">
        <v>642</v>
      </c>
      <c r="R316">
        <v>1221</v>
      </c>
      <c r="S316">
        <v>0</v>
      </c>
    </row>
    <row r="317" spans="1:19" hidden="1">
      <c r="A317" t="s">
        <v>1219</v>
      </c>
      <c r="B317" t="s">
        <v>659</v>
      </c>
      <c r="C317" t="s">
        <v>660</v>
      </c>
      <c r="D317" s="19">
        <f>_xlfn.XLOOKUP(C:C,Q:Q,R:R)</f>
        <v>740</v>
      </c>
      <c r="E317" s="19">
        <f t="shared" si="20"/>
        <v>26.428571428571427</v>
      </c>
      <c r="F317">
        <f>_xlfn.XLOOKUP(C:C,Q:Q,S:S)</f>
        <v>1692.16</v>
      </c>
      <c r="I317" s="19">
        <f t="shared" si="21"/>
        <v>1480</v>
      </c>
      <c r="J317" t="b">
        <f t="shared" si="22"/>
        <v>1</v>
      </c>
      <c r="K317" s="4">
        <f t="shared" si="23"/>
        <v>0.14335135135135135</v>
      </c>
      <c r="M317"/>
      <c r="O317"/>
      <c r="Q317" t="s">
        <v>593</v>
      </c>
      <c r="R317">
        <v>722</v>
      </c>
      <c r="S317">
        <v>486.87</v>
      </c>
    </row>
    <row r="318" spans="1:19" hidden="1">
      <c r="A318" t="s">
        <v>1220</v>
      </c>
      <c r="B318" t="s">
        <v>898</v>
      </c>
      <c r="C318" t="s">
        <v>899</v>
      </c>
      <c r="D318" s="19">
        <f>_xlfn.XLOOKUP(C:C,Q:Q,R:R)</f>
        <v>1235</v>
      </c>
      <c r="E318" s="19">
        <f t="shared" si="20"/>
        <v>44.107142857142854</v>
      </c>
      <c r="F318">
        <f>_xlfn.XLOOKUP(C:C,Q:Q,S:S)</f>
        <v>2031.46</v>
      </c>
      <c r="I318" s="19">
        <f t="shared" si="21"/>
        <v>2470</v>
      </c>
      <c r="J318" t="b">
        <f t="shared" si="22"/>
        <v>1</v>
      </c>
      <c r="K318" s="4">
        <f t="shared" si="23"/>
        <v>-0.17754655870445346</v>
      </c>
      <c r="M318"/>
      <c r="O318"/>
      <c r="Q318" t="s">
        <v>662</v>
      </c>
      <c r="R318">
        <v>1270</v>
      </c>
      <c r="S318">
        <v>2839.08</v>
      </c>
    </row>
    <row r="319" spans="1:19" hidden="1">
      <c r="A319" t="s">
        <v>1218</v>
      </c>
      <c r="B319" t="s">
        <v>113</v>
      </c>
      <c r="C319" t="s">
        <v>114</v>
      </c>
      <c r="D319" s="19">
        <f>_xlfn.XLOOKUP(C:C,Q:Q,R:R)</f>
        <v>746</v>
      </c>
      <c r="E319" s="19">
        <f t="shared" si="20"/>
        <v>26.642857142857142</v>
      </c>
      <c r="F319">
        <f>_xlfn.XLOOKUP(C:C,Q:Q,S:S)</f>
        <v>1167.75</v>
      </c>
      <c r="I319" s="157">
        <f t="shared" si="21"/>
        <v>1492</v>
      </c>
      <c r="J319" t="b">
        <f t="shared" si="22"/>
        <v>1</v>
      </c>
      <c r="K319" s="4">
        <f t="shared" si="23"/>
        <v>-0.2173257372654156</v>
      </c>
      <c r="Q319" t="s">
        <v>765</v>
      </c>
      <c r="R319">
        <v>3590</v>
      </c>
      <c r="S319">
        <v>3329.15</v>
      </c>
    </row>
    <row r="320" spans="1:19" hidden="1">
      <c r="A320" t="s">
        <v>1219</v>
      </c>
      <c r="B320" t="s">
        <v>601</v>
      </c>
      <c r="C320" t="s">
        <v>602</v>
      </c>
      <c r="D320" s="19">
        <f>_xlfn.XLOOKUP(C:C,Q:Q,R:R)</f>
        <v>468</v>
      </c>
      <c r="E320" s="19">
        <f t="shared" si="20"/>
        <v>16.714285714285715</v>
      </c>
      <c r="F320">
        <f>_xlfn.XLOOKUP(C:C,Q:Q,S:S)</f>
        <v>604.41</v>
      </c>
      <c r="I320" s="19">
        <f t="shared" si="21"/>
        <v>936</v>
      </c>
      <c r="J320" t="b">
        <f t="shared" si="22"/>
        <v>1</v>
      </c>
      <c r="K320" s="4">
        <f t="shared" si="23"/>
        <v>-0.35426282051282054</v>
      </c>
      <c r="M320"/>
      <c r="O320"/>
      <c r="Q320" t="s">
        <v>644</v>
      </c>
      <c r="R320">
        <v>1071</v>
      </c>
      <c r="S320">
        <v>1111.29</v>
      </c>
    </row>
    <row r="321" spans="1:19" hidden="1">
      <c r="A321" t="s">
        <v>1219</v>
      </c>
      <c r="B321" t="s">
        <v>671</v>
      </c>
      <c r="C321" t="s">
        <v>672</v>
      </c>
      <c r="D321" s="19" t="e">
        <v>#N/A</v>
      </c>
      <c r="E321" s="19" t="e">
        <f t="shared" si="20"/>
        <v>#N/A</v>
      </c>
      <c r="F321" t="e">
        <v>#N/A</v>
      </c>
      <c r="I321" s="19" t="e">
        <f t="shared" si="21"/>
        <v>#N/A</v>
      </c>
      <c r="J321" t="e">
        <f t="shared" si="22"/>
        <v>#N/A</v>
      </c>
      <c r="K321" s="4" t="e">
        <f t="shared" si="23"/>
        <v>#N/A</v>
      </c>
      <c r="M321"/>
      <c r="O321"/>
      <c r="Q321" t="s">
        <v>800</v>
      </c>
      <c r="R321">
        <v>1934</v>
      </c>
      <c r="S321">
        <v>3360.25</v>
      </c>
    </row>
    <row r="322" spans="1:19" hidden="1">
      <c r="A322" t="s">
        <v>1220</v>
      </c>
      <c r="B322" t="s">
        <v>902</v>
      </c>
      <c r="C322" t="s">
        <v>903</v>
      </c>
      <c r="D322" s="19">
        <f>_xlfn.XLOOKUP(C:C,Q:Q,R:R)</f>
        <v>1060</v>
      </c>
      <c r="E322" s="19">
        <f t="shared" si="20"/>
        <v>37.857142857142854</v>
      </c>
      <c r="F322">
        <f>_xlfn.XLOOKUP(C:C,Q:Q,S:S)</f>
        <v>1987.32</v>
      </c>
      <c r="I322" s="19">
        <f t="shared" si="21"/>
        <v>2120</v>
      </c>
      <c r="J322" t="b">
        <f t="shared" si="22"/>
        <v>1</v>
      </c>
      <c r="K322" s="4">
        <f t="shared" si="23"/>
        <v>-6.2584905660377443E-2</v>
      </c>
      <c r="M322"/>
      <c r="O322"/>
      <c r="Q322" t="s">
        <v>777</v>
      </c>
      <c r="R322">
        <v>1019</v>
      </c>
      <c r="S322">
        <v>2154.46</v>
      </c>
    </row>
    <row r="323" spans="1:19" hidden="1">
      <c r="A323" t="s">
        <v>1219</v>
      </c>
      <c r="B323" t="s">
        <v>626</v>
      </c>
      <c r="C323" t="s">
        <v>627</v>
      </c>
      <c r="D323" s="19">
        <f>_xlfn.XLOOKUP(C:C,Q:Q,R:R)</f>
        <v>2</v>
      </c>
      <c r="E323" s="19">
        <f t="shared" si="20"/>
        <v>7.1428571428571425E-2</v>
      </c>
      <c r="F323">
        <f>_xlfn.XLOOKUP(C:C,Q:Q,S:S)</f>
        <v>0</v>
      </c>
      <c r="I323" s="19">
        <f t="shared" si="21"/>
        <v>4</v>
      </c>
      <c r="J323" t="b">
        <f t="shared" si="22"/>
        <v>1</v>
      </c>
      <c r="K323" s="4">
        <f t="shared" si="23"/>
        <v>-1</v>
      </c>
      <c r="M323"/>
      <c r="O323"/>
      <c r="Q323" t="s">
        <v>755</v>
      </c>
      <c r="R323">
        <v>2100</v>
      </c>
      <c r="S323">
        <v>2900.04</v>
      </c>
    </row>
    <row r="324" spans="1:19" hidden="1">
      <c r="A324" t="s">
        <v>1220</v>
      </c>
      <c r="B324" t="s">
        <v>1029</v>
      </c>
      <c r="C324" t="s">
        <v>1030</v>
      </c>
      <c r="D324" s="19">
        <f>_xlfn.XLOOKUP(C:C,Q:Q,R:R)</f>
        <v>5893</v>
      </c>
      <c r="E324" s="19">
        <f t="shared" si="20"/>
        <v>210.46428571428572</v>
      </c>
      <c r="F324">
        <f>_xlfn.XLOOKUP(C:C,Q:Q,S:S)</f>
        <v>4482.1899999999996</v>
      </c>
      <c r="I324" s="19">
        <f t="shared" si="21"/>
        <v>11786</v>
      </c>
      <c r="J324" t="b">
        <f t="shared" si="22"/>
        <v>1</v>
      </c>
      <c r="K324" s="4">
        <f t="shared" si="23"/>
        <v>-0.61970218903784158</v>
      </c>
      <c r="M324"/>
      <c r="O324"/>
      <c r="Q324" t="s">
        <v>714</v>
      </c>
      <c r="R324">
        <v>2322</v>
      </c>
      <c r="S324">
        <v>2781.16</v>
      </c>
    </row>
    <row r="325" spans="1:19" hidden="1">
      <c r="A325" t="s">
        <v>1218</v>
      </c>
      <c r="B325" t="s">
        <v>225</v>
      </c>
      <c r="C325" t="s">
        <v>226</v>
      </c>
      <c r="D325" s="19">
        <f>_xlfn.XLOOKUP(C:C,Q:Q,R:R)</f>
        <v>602</v>
      </c>
      <c r="E325" s="19">
        <f t="shared" si="20"/>
        <v>21.5</v>
      </c>
      <c r="F325">
        <f>_xlfn.XLOOKUP(C:C,Q:Q,S:S)</f>
        <v>654.19000000000005</v>
      </c>
      <c r="I325" s="19">
        <f t="shared" si="21"/>
        <v>1204</v>
      </c>
      <c r="J325" t="b">
        <f t="shared" si="22"/>
        <v>1</v>
      </c>
      <c r="K325" s="4">
        <f t="shared" si="23"/>
        <v>-0.45665282392026574</v>
      </c>
      <c r="M325"/>
      <c r="O325"/>
      <c r="Q325" t="s">
        <v>621</v>
      </c>
      <c r="R325">
        <v>485</v>
      </c>
      <c r="S325">
        <v>329.07</v>
      </c>
    </row>
    <row r="326" spans="1:19" hidden="1">
      <c r="A326" t="s">
        <v>1220</v>
      </c>
      <c r="B326" t="s">
        <v>1004</v>
      </c>
      <c r="C326" t="s">
        <v>1005</v>
      </c>
      <c r="D326" s="19">
        <f>_xlfn.XLOOKUP(C:C,Q:Q,R:R)</f>
        <v>742</v>
      </c>
      <c r="E326" s="19">
        <f t="shared" si="20"/>
        <v>26.5</v>
      </c>
      <c r="F326">
        <f>_xlfn.XLOOKUP(C:C,Q:Q,S:S)</f>
        <v>704.89</v>
      </c>
      <c r="I326" s="19">
        <f t="shared" si="21"/>
        <v>1484</v>
      </c>
      <c r="J326" t="b">
        <f t="shared" si="22"/>
        <v>1</v>
      </c>
      <c r="K326" s="4">
        <f t="shared" si="23"/>
        <v>-0.52500673854447433</v>
      </c>
      <c r="M326"/>
      <c r="O326"/>
      <c r="Q326" t="s">
        <v>761</v>
      </c>
      <c r="R326">
        <v>1498</v>
      </c>
      <c r="S326">
        <v>723.63</v>
      </c>
    </row>
    <row r="327" spans="1:19" hidden="1">
      <c r="A327" t="s">
        <v>1218</v>
      </c>
      <c r="B327" t="s">
        <v>243</v>
      </c>
      <c r="C327" t="s">
        <v>244</v>
      </c>
      <c r="D327" s="19">
        <f>_xlfn.XLOOKUP(C:C,Q:Q,R:R)</f>
        <v>525</v>
      </c>
      <c r="E327" s="19">
        <f t="shared" si="20"/>
        <v>18.75</v>
      </c>
      <c r="F327">
        <f>_xlfn.XLOOKUP(C:C,Q:Q,S:S)</f>
        <v>774.67</v>
      </c>
      <c r="I327" s="19">
        <f t="shared" si="21"/>
        <v>1050</v>
      </c>
      <c r="J327" t="b">
        <f t="shared" si="22"/>
        <v>1</v>
      </c>
      <c r="K327" s="4">
        <f t="shared" si="23"/>
        <v>-0.26221904761904768</v>
      </c>
      <c r="M327"/>
      <c r="O327"/>
      <c r="Q327" t="s">
        <v>498</v>
      </c>
      <c r="R327">
        <v>10278</v>
      </c>
      <c r="S327">
        <v>8437.92</v>
      </c>
    </row>
    <row r="328" spans="1:19" hidden="1">
      <c r="A328" t="s">
        <v>1218</v>
      </c>
      <c r="B328" t="s">
        <v>377</v>
      </c>
      <c r="C328" t="s">
        <v>378</v>
      </c>
      <c r="D328" s="19">
        <f>_xlfn.XLOOKUP(C:C,Q:Q,R:R)</f>
        <v>374</v>
      </c>
      <c r="E328" s="19">
        <f t="shared" si="20"/>
        <v>13.357142857142858</v>
      </c>
      <c r="F328">
        <f>_xlfn.XLOOKUP(C:C,Q:Q,S:S)</f>
        <v>329.94</v>
      </c>
      <c r="I328" s="19">
        <f t="shared" si="21"/>
        <v>748</v>
      </c>
      <c r="J328" t="b">
        <f t="shared" si="22"/>
        <v>1</v>
      </c>
      <c r="K328" s="4">
        <f t="shared" si="23"/>
        <v>-0.55890374331550796</v>
      </c>
      <c r="M328"/>
      <c r="O328"/>
      <c r="Q328" t="s">
        <v>690</v>
      </c>
      <c r="R328">
        <v>1468</v>
      </c>
      <c r="S328">
        <v>459.8</v>
      </c>
    </row>
    <row r="329" spans="1:19" hidden="1">
      <c r="A329" t="s">
        <v>1218</v>
      </c>
      <c r="B329" t="s">
        <v>245</v>
      </c>
      <c r="C329" t="s">
        <v>246</v>
      </c>
      <c r="D329" s="19">
        <f>_xlfn.XLOOKUP(C:C,Q:Q,R:R)</f>
        <v>431</v>
      </c>
      <c r="E329" s="19">
        <f t="shared" si="20"/>
        <v>15.392857142857142</v>
      </c>
      <c r="F329">
        <f>_xlfn.XLOOKUP(C:C,Q:Q,S:S)</f>
        <v>742.51</v>
      </c>
      <c r="I329" s="19">
        <f t="shared" si="21"/>
        <v>862</v>
      </c>
      <c r="J329" t="b">
        <f t="shared" si="22"/>
        <v>1</v>
      </c>
      <c r="K329" s="4">
        <f t="shared" si="23"/>
        <v>-0.1386194895591647</v>
      </c>
      <c r="M329"/>
      <c r="O329"/>
      <c r="Q329" t="s">
        <v>728</v>
      </c>
      <c r="R329">
        <v>1079</v>
      </c>
      <c r="S329">
        <v>2197.5700000000002</v>
      </c>
    </row>
    <row r="330" spans="1:19" hidden="1">
      <c r="A330" t="s">
        <v>1218</v>
      </c>
      <c r="B330" t="s">
        <v>361</v>
      </c>
      <c r="C330" t="s">
        <v>362</v>
      </c>
      <c r="D330" s="19">
        <f>_xlfn.XLOOKUP(C:C,Q:Q,R:R)</f>
        <v>973</v>
      </c>
      <c r="E330" s="19">
        <f t="shared" si="20"/>
        <v>34.75</v>
      </c>
      <c r="F330">
        <f>_xlfn.XLOOKUP(C:C,Q:Q,S:S)</f>
        <v>1765</v>
      </c>
      <c r="I330" s="19">
        <f t="shared" si="21"/>
        <v>1946</v>
      </c>
      <c r="J330" t="b">
        <f t="shared" si="22"/>
        <v>1</v>
      </c>
      <c r="K330" s="4">
        <f t="shared" si="23"/>
        <v>-9.3011305241521014E-2</v>
      </c>
      <c r="M330"/>
      <c r="O330"/>
      <c r="Q330" t="s">
        <v>720</v>
      </c>
      <c r="R330">
        <v>1017</v>
      </c>
      <c r="S330">
        <v>1281.21</v>
      </c>
    </row>
    <row r="331" spans="1:19" hidden="1">
      <c r="A331" t="s">
        <v>1219</v>
      </c>
      <c r="B331" t="s">
        <v>705</v>
      </c>
      <c r="C331" t="s">
        <v>706</v>
      </c>
      <c r="D331" s="19">
        <f>_xlfn.XLOOKUP(C:C,Q:Q,R:R)</f>
        <v>898</v>
      </c>
      <c r="E331" s="19">
        <f t="shared" si="20"/>
        <v>32.071428571428569</v>
      </c>
      <c r="F331">
        <f>_xlfn.XLOOKUP(C:C,Q:Q,S:S)</f>
        <v>1140.48</v>
      </c>
      <c r="I331" s="19">
        <f t="shared" si="21"/>
        <v>1796</v>
      </c>
      <c r="J331" t="b">
        <f t="shared" si="22"/>
        <v>1</v>
      </c>
      <c r="K331" s="4">
        <f t="shared" si="23"/>
        <v>-0.36498886414253895</v>
      </c>
      <c r="M331"/>
      <c r="O331"/>
      <c r="Q331" t="s">
        <v>718</v>
      </c>
      <c r="R331">
        <v>1132</v>
      </c>
      <c r="S331">
        <v>960.15</v>
      </c>
    </row>
    <row r="332" spans="1:19" hidden="1">
      <c r="A332" t="s">
        <v>1220</v>
      </c>
      <c r="B332" t="s">
        <v>976</v>
      </c>
      <c r="C332" t="s">
        <v>977</v>
      </c>
      <c r="D332" s="19">
        <f>_xlfn.XLOOKUP(C:C,Q:Q,R:R)</f>
        <v>295</v>
      </c>
      <c r="E332" s="19">
        <f t="shared" si="20"/>
        <v>10.535714285714286</v>
      </c>
      <c r="F332">
        <f>_xlfn.XLOOKUP(C:C,Q:Q,S:S)</f>
        <v>114.7</v>
      </c>
      <c r="I332" s="19">
        <f t="shared" si="21"/>
        <v>590</v>
      </c>
      <c r="J332" t="b">
        <f t="shared" si="22"/>
        <v>1</v>
      </c>
      <c r="K332" s="4">
        <f t="shared" si="23"/>
        <v>-0.80559322033898306</v>
      </c>
      <c r="M332"/>
      <c r="O332"/>
      <c r="Q332" t="s">
        <v>542</v>
      </c>
      <c r="R332">
        <v>1142</v>
      </c>
      <c r="S332">
        <v>598.61</v>
      </c>
    </row>
    <row r="333" spans="1:19" hidden="1">
      <c r="A333" t="s">
        <v>1218</v>
      </c>
      <c r="B333" t="s">
        <v>179</v>
      </c>
      <c r="C333" t="s">
        <v>180</v>
      </c>
      <c r="D333" s="19">
        <f>_xlfn.XLOOKUP(C:C,Q:Q,R:R)</f>
        <v>666</v>
      </c>
      <c r="E333" s="19">
        <f t="shared" si="20"/>
        <v>23.785714285714285</v>
      </c>
      <c r="F333">
        <f>_xlfn.XLOOKUP(C:C,Q:Q,S:S)</f>
        <v>974.04</v>
      </c>
      <c r="I333" s="19">
        <f t="shared" si="21"/>
        <v>1332</v>
      </c>
      <c r="J333" t="b">
        <f t="shared" si="22"/>
        <v>1</v>
      </c>
      <c r="K333" s="4">
        <f t="shared" si="23"/>
        <v>-0.26873873873873877</v>
      </c>
      <c r="M333"/>
      <c r="O333"/>
      <c r="Q333" t="s">
        <v>561</v>
      </c>
      <c r="R333">
        <v>1001</v>
      </c>
      <c r="S333">
        <v>1293.8800000000001</v>
      </c>
    </row>
    <row r="334" spans="1:19" hidden="1">
      <c r="A334" t="s">
        <v>1220</v>
      </c>
      <c r="B334" t="s">
        <v>978</v>
      </c>
      <c r="C334" t="s">
        <v>979</v>
      </c>
      <c r="D334" s="19">
        <f>_xlfn.XLOOKUP(C:C,Q:Q,R:R)</f>
        <v>279</v>
      </c>
      <c r="E334" s="19">
        <f t="shared" si="20"/>
        <v>9.9642857142857135</v>
      </c>
      <c r="F334">
        <f>_xlfn.XLOOKUP(C:C,Q:Q,S:S)</f>
        <v>0</v>
      </c>
      <c r="I334" s="19">
        <f t="shared" si="21"/>
        <v>558</v>
      </c>
      <c r="J334" t="b">
        <f t="shared" si="22"/>
        <v>1</v>
      </c>
      <c r="K334" s="4">
        <f t="shared" si="23"/>
        <v>-1</v>
      </c>
      <c r="M334"/>
      <c r="O334"/>
      <c r="Q334" t="s">
        <v>710</v>
      </c>
      <c r="R334">
        <v>1255</v>
      </c>
      <c r="S334">
        <v>1935.82</v>
      </c>
    </row>
    <row r="335" spans="1:19" hidden="1">
      <c r="A335" t="s">
        <v>1219</v>
      </c>
      <c r="B335" t="s">
        <v>595</v>
      </c>
      <c r="C335" t="s">
        <v>596</v>
      </c>
      <c r="D335" s="19">
        <f>_xlfn.XLOOKUP(C:C,Q:Q,R:R)</f>
        <v>1221</v>
      </c>
      <c r="E335" s="19">
        <f t="shared" si="20"/>
        <v>43.607142857142854</v>
      </c>
      <c r="F335">
        <f>_xlfn.XLOOKUP(C:C,Q:Q,S:S)</f>
        <v>1238.4000000000001</v>
      </c>
      <c r="I335" s="19">
        <f t="shared" si="21"/>
        <v>2442</v>
      </c>
      <c r="J335" t="b">
        <f t="shared" si="22"/>
        <v>1</v>
      </c>
      <c r="K335" s="4">
        <f t="shared" si="23"/>
        <v>-0.49287469287469288</v>
      </c>
      <c r="M335"/>
      <c r="O335"/>
      <c r="Q335" t="s">
        <v>633</v>
      </c>
      <c r="R335">
        <v>442</v>
      </c>
      <c r="S335">
        <v>0</v>
      </c>
    </row>
    <row r="336" spans="1:19" hidden="1">
      <c r="A336" t="s">
        <v>1218</v>
      </c>
      <c r="B336" t="s">
        <v>257</v>
      </c>
      <c r="C336" t="s">
        <v>258</v>
      </c>
      <c r="D336" s="19">
        <f>_xlfn.XLOOKUP(C:C,Q:Q,R:R)</f>
        <v>425</v>
      </c>
      <c r="E336" s="19">
        <f t="shared" si="20"/>
        <v>15.178571428571429</v>
      </c>
      <c r="F336">
        <f>_xlfn.XLOOKUP(C:C,Q:Q,S:S)</f>
        <v>530.95000000000005</v>
      </c>
      <c r="I336" s="19">
        <f t="shared" si="21"/>
        <v>850</v>
      </c>
      <c r="J336" t="b">
        <f t="shared" si="22"/>
        <v>1</v>
      </c>
      <c r="K336" s="4">
        <f t="shared" si="23"/>
        <v>-0.37535294117647056</v>
      </c>
      <c r="M336"/>
      <c r="O336"/>
      <c r="Q336" t="s">
        <v>740</v>
      </c>
      <c r="R336">
        <v>352</v>
      </c>
      <c r="S336">
        <v>304.18</v>
      </c>
    </row>
    <row r="337" spans="1:19" hidden="1">
      <c r="A337" t="s">
        <v>1218</v>
      </c>
      <c r="B337" t="s">
        <v>199</v>
      </c>
      <c r="C337" t="s">
        <v>200</v>
      </c>
      <c r="D337" s="19">
        <f>_xlfn.XLOOKUP(C:C,Q:Q,R:R)</f>
        <v>807</v>
      </c>
      <c r="E337" s="19">
        <f t="shared" si="20"/>
        <v>28.821428571428573</v>
      </c>
      <c r="F337">
        <f>_xlfn.XLOOKUP(C:C,Q:Q,S:S)</f>
        <v>1003.12</v>
      </c>
      <c r="I337" s="19">
        <f t="shared" si="21"/>
        <v>1614</v>
      </c>
      <c r="J337" t="b">
        <f t="shared" si="22"/>
        <v>1</v>
      </c>
      <c r="K337" s="4">
        <f>F337/I337-1</f>
        <v>-0.37848822800495663</v>
      </c>
      <c r="M337"/>
      <c r="O337"/>
      <c r="Q337" t="s">
        <v>581</v>
      </c>
      <c r="R337">
        <v>433</v>
      </c>
      <c r="S337">
        <v>283.95999999999998</v>
      </c>
    </row>
    <row r="338" spans="1:19" hidden="1">
      <c r="A338" t="s">
        <v>1218</v>
      </c>
      <c r="B338" t="s">
        <v>287</v>
      </c>
      <c r="C338" t="s">
        <v>288</v>
      </c>
      <c r="D338" s="19" t="e">
        <f>_xlfn.XLOOKUP(C:C,Q:Q,R:R)</f>
        <v>#N/A</v>
      </c>
      <c r="E338" s="19" t="e">
        <f t="shared" si="20"/>
        <v>#N/A</v>
      </c>
      <c r="F338" t="e">
        <f>_xlfn.XLOOKUP(C:C,Q:Q,S:S)</f>
        <v>#N/A</v>
      </c>
      <c r="I338" s="19" t="e">
        <f t="shared" si="21"/>
        <v>#N/A</v>
      </c>
      <c r="J338" t="e">
        <f t="shared" si="22"/>
        <v>#N/A</v>
      </c>
      <c r="K338" s="4" t="e">
        <f t="shared" si="23"/>
        <v>#N/A</v>
      </c>
      <c r="M338"/>
      <c r="O338"/>
      <c r="Q338" t="s">
        <v>640</v>
      </c>
      <c r="R338">
        <v>304</v>
      </c>
      <c r="S338">
        <v>0</v>
      </c>
    </row>
    <row r="339" spans="1:19" hidden="1">
      <c r="A339" t="s">
        <v>1218</v>
      </c>
      <c r="B339" t="s">
        <v>145</v>
      </c>
      <c r="C339" t="s">
        <v>146</v>
      </c>
      <c r="D339" s="19">
        <f>_xlfn.XLOOKUP(C:C,Q:Q,R:R)</f>
        <v>932</v>
      </c>
      <c r="E339" s="19">
        <f t="shared" si="20"/>
        <v>33.285714285714285</v>
      </c>
      <c r="F339">
        <f>_xlfn.XLOOKUP(C:C,Q:Q,S:S)</f>
        <v>1032.94</v>
      </c>
      <c r="I339" s="19">
        <f t="shared" si="21"/>
        <v>1864</v>
      </c>
      <c r="J339" t="b">
        <f t="shared" si="22"/>
        <v>1</v>
      </c>
      <c r="K339" s="4">
        <f t="shared" si="23"/>
        <v>-0.44584763948497852</v>
      </c>
      <c r="M339"/>
      <c r="O339"/>
      <c r="Q339" t="s">
        <v>654</v>
      </c>
      <c r="R339">
        <v>1773</v>
      </c>
      <c r="S339">
        <v>658.97</v>
      </c>
    </row>
    <row r="340" spans="1:19" hidden="1">
      <c r="A340" t="s">
        <v>1218</v>
      </c>
      <c r="B340" t="s">
        <v>319</v>
      </c>
      <c r="C340" t="s">
        <v>320</v>
      </c>
      <c r="D340" s="19">
        <f>_xlfn.XLOOKUP(C:C,Q:Q,R:R)</f>
        <v>396</v>
      </c>
      <c r="E340" s="19">
        <f t="shared" si="20"/>
        <v>14.142857142857142</v>
      </c>
      <c r="F340">
        <f>_xlfn.XLOOKUP(C:C,Q:Q,S:S)</f>
        <v>403.81</v>
      </c>
      <c r="I340" s="19">
        <f t="shared" si="21"/>
        <v>792</v>
      </c>
      <c r="J340" t="b">
        <f t="shared" si="22"/>
        <v>1</v>
      </c>
      <c r="K340" s="4">
        <f t="shared" si="23"/>
        <v>-0.4901388888888889</v>
      </c>
      <c r="M340"/>
      <c r="O340"/>
      <c r="Q340" t="s">
        <v>688</v>
      </c>
      <c r="R340">
        <v>4088</v>
      </c>
      <c r="S340">
        <v>1357.7</v>
      </c>
    </row>
    <row r="341" spans="1:19" hidden="1">
      <c r="A341" t="s">
        <v>1218</v>
      </c>
      <c r="B341" t="s">
        <v>115</v>
      </c>
      <c r="C341" t="s">
        <v>116</v>
      </c>
      <c r="D341" s="19">
        <f>_xlfn.XLOOKUP(C:C,Q:Q,R:R)</f>
        <v>444</v>
      </c>
      <c r="E341" s="19">
        <f t="shared" si="20"/>
        <v>15.857142857142858</v>
      </c>
      <c r="F341">
        <f>_xlfn.XLOOKUP(C:C,Q:Q,S:S)</f>
        <v>278.83</v>
      </c>
      <c r="I341" s="19">
        <f t="shared" si="21"/>
        <v>888</v>
      </c>
      <c r="J341" t="b">
        <f t="shared" si="22"/>
        <v>1</v>
      </c>
      <c r="K341" s="4">
        <f t="shared" si="23"/>
        <v>-0.6860022522522522</v>
      </c>
      <c r="M341"/>
      <c r="O341"/>
      <c r="Q341" t="s">
        <v>744</v>
      </c>
      <c r="R341">
        <v>307</v>
      </c>
      <c r="S341">
        <v>316.98</v>
      </c>
    </row>
    <row r="342" spans="1:19" hidden="1">
      <c r="A342" t="s">
        <v>1218</v>
      </c>
      <c r="B342" t="s">
        <v>415</v>
      </c>
      <c r="C342" t="s">
        <v>416</v>
      </c>
      <c r="D342" s="19">
        <f>_xlfn.XLOOKUP(C:C,Q:Q,R:R)</f>
        <v>704</v>
      </c>
      <c r="E342" s="19">
        <f t="shared" si="20"/>
        <v>25.142857142857142</v>
      </c>
      <c r="F342">
        <f>_xlfn.XLOOKUP(C:C,Q:Q,S:S)</f>
        <v>1247.75</v>
      </c>
      <c r="I342" s="19">
        <f t="shared" si="21"/>
        <v>1408</v>
      </c>
      <c r="J342" t="b">
        <f t="shared" si="22"/>
        <v>1</v>
      </c>
      <c r="K342" s="4">
        <f t="shared" si="23"/>
        <v>-0.11381392045454541</v>
      </c>
      <c r="M342"/>
      <c r="O342"/>
      <c r="Q342" t="s">
        <v>552</v>
      </c>
      <c r="R342">
        <v>1359</v>
      </c>
      <c r="S342">
        <v>2670.18</v>
      </c>
    </row>
    <row r="343" spans="1:19" hidden="1">
      <c r="A343" t="s">
        <v>1218</v>
      </c>
      <c r="B343" t="s">
        <v>229</v>
      </c>
      <c r="C343" t="s">
        <v>230</v>
      </c>
      <c r="D343" s="19">
        <f>_xlfn.XLOOKUP(C:C,Q:Q,R:R)</f>
        <v>384</v>
      </c>
      <c r="E343" s="19">
        <f t="shared" si="20"/>
        <v>13.714285714285714</v>
      </c>
      <c r="F343">
        <f>_xlfn.XLOOKUP(C:C,Q:Q,S:S)</f>
        <v>284.83</v>
      </c>
      <c r="I343" s="19">
        <f t="shared" si="21"/>
        <v>768</v>
      </c>
      <c r="J343" t="b">
        <f t="shared" si="22"/>
        <v>1</v>
      </c>
      <c r="K343" s="4">
        <f t="shared" si="23"/>
        <v>-0.62912760416666669</v>
      </c>
      <c r="M343"/>
      <c r="O343"/>
      <c r="Q343" t="s">
        <v>600</v>
      </c>
      <c r="R343">
        <v>4341</v>
      </c>
      <c r="S343">
        <v>5128.26</v>
      </c>
    </row>
    <row r="344" spans="1:19" hidden="1">
      <c r="A344" t="s">
        <v>1218</v>
      </c>
      <c r="B344" t="s">
        <v>301</v>
      </c>
      <c r="C344" t="s">
        <v>302</v>
      </c>
      <c r="D344" s="19">
        <f>_xlfn.XLOOKUP(C:C,Q:Q,R:R)</f>
        <v>0</v>
      </c>
      <c r="E344" s="19">
        <f t="shared" si="20"/>
        <v>0</v>
      </c>
      <c r="F344">
        <f>_xlfn.XLOOKUP(C:C,Q:Q,S:S)</f>
        <v>0</v>
      </c>
      <c r="I344" s="157">
        <f t="shared" si="21"/>
        <v>0</v>
      </c>
      <c r="J344" t="b">
        <f t="shared" si="22"/>
        <v>1</v>
      </c>
      <c r="K344" s="4" t="e">
        <f t="shared" si="23"/>
        <v>#DIV/0!</v>
      </c>
      <c r="Q344" t="s">
        <v>606</v>
      </c>
      <c r="R344">
        <v>1730</v>
      </c>
      <c r="S344">
        <v>2680.43</v>
      </c>
    </row>
    <row r="345" spans="1:19" hidden="1">
      <c r="A345" t="s">
        <v>1218</v>
      </c>
      <c r="B345" t="s">
        <v>263</v>
      </c>
      <c r="C345" t="s">
        <v>264</v>
      </c>
      <c r="D345" s="19">
        <f>_xlfn.XLOOKUP(C:C,Q:Q,R:R)</f>
        <v>427</v>
      </c>
      <c r="E345" s="19">
        <f t="shared" si="20"/>
        <v>15.25</v>
      </c>
      <c r="F345">
        <f>_xlfn.XLOOKUP(C:C,Q:Q,S:S)</f>
        <v>594.62</v>
      </c>
      <c r="I345" s="19">
        <f t="shared" si="21"/>
        <v>854</v>
      </c>
      <c r="J345" t="b">
        <f t="shared" si="22"/>
        <v>1</v>
      </c>
      <c r="K345" s="4">
        <f t="shared" si="23"/>
        <v>-0.30372365339578455</v>
      </c>
      <c r="M345"/>
      <c r="O345"/>
      <c r="Q345" t="s">
        <v>554</v>
      </c>
      <c r="R345">
        <v>2197</v>
      </c>
      <c r="S345">
        <v>3365.88</v>
      </c>
    </row>
    <row r="346" spans="1:19" hidden="1">
      <c r="A346" t="s">
        <v>1220</v>
      </c>
      <c r="B346" t="s">
        <v>966</v>
      </c>
      <c r="C346" t="s">
        <v>967</v>
      </c>
      <c r="D346" s="19">
        <f>_xlfn.XLOOKUP(C:C,Q:Q,R:R)</f>
        <v>142</v>
      </c>
      <c r="E346" s="19">
        <f t="shared" si="20"/>
        <v>5.0714285714285712</v>
      </c>
      <c r="F346">
        <f>_xlfn.XLOOKUP(C:C,Q:Q,S:S)</f>
        <v>0</v>
      </c>
      <c r="I346" s="19">
        <f t="shared" si="21"/>
        <v>284</v>
      </c>
      <c r="J346" t="b">
        <f t="shared" si="22"/>
        <v>1</v>
      </c>
      <c r="K346" s="4">
        <f t="shared" si="23"/>
        <v>-1</v>
      </c>
      <c r="M346"/>
      <c r="O346"/>
      <c r="Q346" t="s">
        <v>742</v>
      </c>
      <c r="R346">
        <v>680</v>
      </c>
      <c r="S346">
        <v>313.06</v>
      </c>
    </row>
    <row r="347" spans="1:19">
      <c r="A347" t="s">
        <v>1218</v>
      </c>
      <c r="B347" t="s">
        <v>303</v>
      </c>
      <c r="C347" t="s">
        <v>304</v>
      </c>
      <c r="D347" s="19">
        <f>_xlfn.XLOOKUP(C:C,Q:Q,R:R)</f>
        <v>470</v>
      </c>
      <c r="E347" s="19">
        <f t="shared" si="20"/>
        <v>16.785714285714285</v>
      </c>
      <c r="F347">
        <f>_xlfn.XLOOKUP(C:C,Q:Q,S:S)</f>
        <v>1363.19</v>
      </c>
      <c r="I347" s="19">
        <f t="shared" si="21"/>
        <v>940</v>
      </c>
      <c r="J347" t="b">
        <f t="shared" si="22"/>
        <v>0</v>
      </c>
      <c r="K347" s="4">
        <f t="shared" si="23"/>
        <v>0.45020212765957446</v>
      </c>
      <c r="L347" t="s">
        <v>494</v>
      </c>
      <c r="M347" t="s">
        <v>1229</v>
      </c>
      <c r="O347"/>
      <c r="Q347" t="s">
        <v>724</v>
      </c>
      <c r="R347">
        <v>556</v>
      </c>
      <c r="S347">
        <v>825.59</v>
      </c>
    </row>
    <row r="348" spans="1:19" hidden="1">
      <c r="A348" t="s">
        <v>1218</v>
      </c>
      <c r="B348" t="s">
        <v>273</v>
      </c>
      <c r="C348" t="s">
        <v>274</v>
      </c>
      <c r="D348" s="19">
        <f>_xlfn.XLOOKUP(C:C,Q:Q,R:R)</f>
        <v>272</v>
      </c>
      <c r="E348" s="19">
        <f t="shared" si="20"/>
        <v>9.7142857142857135</v>
      </c>
      <c r="F348">
        <f>_xlfn.XLOOKUP(C:C,Q:Q,S:S)</f>
        <v>150.43</v>
      </c>
      <c r="I348" s="19">
        <f t="shared" si="21"/>
        <v>544</v>
      </c>
      <c r="J348" t="b">
        <f t="shared" si="22"/>
        <v>1</v>
      </c>
      <c r="K348" s="4">
        <f t="shared" si="23"/>
        <v>-0.72347426470588228</v>
      </c>
      <c r="M348"/>
      <c r="O348"/>
      <c r="Q348" t="s">
        <v>569</v>
      </c>
      <c r="R348">
        <v>709</v>
      </c>
      <c r="S348">
        <v>343.68</v>
      </c>
    </row>
    <row r="349" spans="1:19" hidden="1">
      <c r="A349" t="s">
        <v>1220</v>
      </c>
      <c r="B349" t="s">
        <v>1006</v>
      </c>
      <c r="C349" t="s">
        <v>1007</v>
      </c>
      <c r="D349" s="19">
        <f>_xlfn.XLOOKUP(C:C,Q:Q,R:R)</f>
        <v>356</v>
      </c>
      <c r="E349" s="19">
        <f t="shared" si="20"/>
        <v>12.714285714285714</v>
      </c>
      <c r="F349">
        <f>_xlfn.XLOOKUP(C:C,Q:Q,S:S)</f>
        <v>199.27</v>
      </c>
      <c r="I349" s="19">
        <f t="shared" si="21"/>
        <v>712</v>
      </c>
      <c r="J349" t="b">
        <f t="shared" si="22"/>
        <v>1</v>
      </c>
      <c r="K349" s="4">
        <f t="shared" si="23"/>
        <v>-0.72012640449438203</v>
      </c>
      <c r="M349"/>
      <c r="O349"/>
      <c r="Q349" t="s">
        <v>712</v>
      </c>
      <c r="R349">
        <v>1391</v>
      </c>
      <c r="S349">
        <v>753.72</v>
      </c>
    </row>
    <row r="350" spans="1:19" hidden="1">
      <c r="A350" t="s">
        <v>1218</v>
      </c>
      <c r="B350" t="s">
        <v>291</v>
      </c>
      <c r="C350" t="s">
        <v>292</v>
      </c>
      <c r="D350" s="19" t="e">
        <f>_xlfn.XLOOKUP(C:C,Q:Q,R:R)</f>
        <v>#N/A</v>
      </c>
      <c r="E350" s="19" t="e">
        <f t="shared" si="20"/>
        <v>#N/A</v>
      </c>
      <c r="F350" t="e">
        <f>_xlfn.XLOOKUP(C:C,Q:Q,S:S)</f>
        <v>#N/A</v>
      </c>
      <c r="I350" s="19" t="e">
        <f t="shared" si="21"/>
        <v>#N/A</v>
      </c>
      <c r="J350" t="e">
        <f t="shared" si="22"/>
        <v>#N/A</v>
      </c>
      <c r="K350" s="4" t="e">
        <f t="shared" si="23"/>
        <v>#N/A</v>
      </c>
      <c r="M350"/>
      <c r="O350"/>
      <c r="Q350" t="s">
        <v>658</v>
      </c>
      <c r="R350">
        <v>1104</v>
      </c>
      <c r="S350">
        <v>2208.2800000000002</v>
      </c>
    </row>
    <row r="351" spans="1:19" hidden="1">
      <c r="A351" t="s">
        <v>1220</v>
      </c>
      <c r="B351" t="s">
        <v>900</v>
      </c>
      <c r="C351" t="s">
        <v>901</v>
      </c>
      <c r="D351" s="19">
        <f>_xlfn.XLOOKUP(C:C,Q:Q,R:R)</f>
        <v>1</v>
      </c>
      <c r="E351" s="19">
        <f t="shared" si="20"/>
        <v>3.5714285714285712E-2</v>
      </c>
      <c r="F351">
        <f>_xlfn.XLOOKUP(C:C,Q:Q,S:S)</f>
        <v>0</v>
      </c>
      <c r="I351" s="19">
        <f t="shared" si="21"/>
        <v>2</v>
      </c>
      <c r="J351" t="b">
        <f t="shared" si="22"/>
        <v>1</v>
      </c>
      <c r="K351" s="4">
        <f t="shared" si="23"/>
        <v>-1</v>
      </c>
      <c r="M351"/>
      <c r="O351"/>
      <c r="Q351" t="s">
        <v>730</v>
      </c>
      <c r="R351">
        <v>1012</v>
      </c>
      <c r="S351">
        <v>1914.07</v>
      </c>
    </row>
    <row r="352" spans="1:19" hidden="1">
      <c r="A352" t="s">
        <v>1218</v>
      </c>
      <c r="B352" t="s">
        <v>295</v>
      </c>
      <c r="C352" t="s">
        <v>296</v>
      </c>
      <c r="D352" s="19" t="e">
        <f>_xlfn.XLOOKUP(C:C,Q:Q,R:R)</f>
        <v>#N/A</v>
      </c>
      <c r="E352" s="19" t="e">
        <f t="shared" si="20"/>
        <v>#N/A</v>
      </c>
      <c r="F352" t="e">
        <f>_xlfn.XLOOKUP(C:C,Q:Q,S:S)</f>
        <v>#N/A</v>
      </c>
      <c r="I352" s="157" t="e">
        <f t="shared" si="21"/>
        <v>#N/A</v>
      </c>
      <c r="J352" t="e">
        <f t="shared" si="22"/>
        <v>#N/A</v>
      </c>
      <c r="K352" s="4" t="e">
        <f t="shared" si="23"/>
        <v>#N/A</v>
      </c>
      <c r="Q352" t="s">
        <v>726</v>
      </c>
      <c r="R352">
        <v>563</v>
      </c>
      <c r="S352">
        <v>245.88</v>
      </c>
    </row>
    <row r="353" spans="1:19" hidden="1">
      <c r="A353" t="s">
        <v>1220</v>
      </c>
      <c r="B353" t="s">
        <v>881</v>
      </c>
      <c r="C353" t="s">
        <v>882</v>
      </c>
      <c r="D353" s="19">
        <f>_xlfn.XLOOKUP(C:C,Q:Q,R:R)</f>
        <v>556</v>
      </c>
      <c r="E353" s="19">
        <f t="shared" si="20"/>
        <v>19.857142857142858</v>
      </c>
      <c r="F353">
        <f>_xlfn.XLOOKUP(C:C,Q:Q,S:S)</f>
        <v>399.59</v>
      </c>
      <c r="I353" s="19">
        <f t="shared" si="21"/>
        <v>1112</v>
      </c>
      <c r="J353" t="b">
        <f t="shared" si="22"/>
        <v>1</v>
      </c>
      <c r="K353" s="4">
        <f t="shared" si="23"/>
        <v>-0.64065647482014398</v>
      </c>
      <c r="M353"/>
      <c r="O353"/>
      <c r="Q353" t="s">
        <v>802</v>
      </c>
      <c r="R353">
        <v>994</v>
      </c>
      <c r="S353">
        <v>2606.08</v>
      </c>
    </row>
    <row r="354" spans="1:19" hidden="1">
      <c r="A354" t="s">
        <v>1219</v>
      </c>
      <c r="B354" t="s">
        <v>743</v>
      </c>
      <c r="C354" t="s">
        <v>744</v>
      </c>
      <c r="D354" s="19">
        <f>_xlfn.XLOOKUP(C:C,Q:Q,R:R)</f>
        <v>307</v>
      </c>
      <c r="E354" s="19">
        <f t="shared" si="20"/>
        <v>10.964285714285714</v>
      </c>
      <c r="F354">
        <f>_xlfn.XLOOKUP(C:C,Q:Q,S:S)</f>
        <v>316.98</v>
      </c>
      <c r="I354" s="19">
        <f t="shared" si="21"/>
        <v>614</v>
      </c>
      <c r="J354" t="b">
        <f t="shared" si="22"/>
        <v>1</v>
      </c>
      <c r="K354" s="4">
        <f t="shared" si="23"/>
        <v>-0.48374592833876218</v>
      </c>
      <c r="M354"/>
      <c r="O354"/>
      <c r="Q354" t="s">
        <v>787</v>
      </c>
      <c r="R354">
        <v>2392</v>
      </c>
      <c r="S354">
        <v>3804.61</v>
      </c>
    </row>
    <row r="355" spans="1:19" hidden="1">
      <c r="A355" t="s">
        <v>1220</v>
      </c>
      <c r="B355" t="s">
        <v>873</v>
      </c>
      <c r="C355" t="s">
        <v>874</v>
      </c>
      <c r="D355" s="19">
        <f>_xlfn.XLOOKUP(C:C,Q:Q,R:R)</f>
        <v>539</v>
      </c>
      <c r="E355" s="19">
        <f t="shared" si="20"/>
        <v>19.25</v>
      </c>
      <c r="F355">
        <f>_xlfn.XLOOKUP(C:C,Q:Q,S:S)</f>
        <v>1057.49</v>
      </c>
      <c r="I355" s="19">
        <f t="shared" si="21"/>
        <v>1078</v>
      </c>
      <c r="J355" t="b">
        <f t="shared" si="22"/>
        <v>1</v>
      </c>
      <c r="K355" s="4">
        <f t="shared" si="23"/>
        <v>-1.9025974025974057E-2</v>
      </c>
      <c r="M355"/>
      <c r="O355"/>
      <c r="Q355" t="s">
        <v>589</v>
      </c>
      <c r="R355">
        <v>968</v>
      </c>
      <c r="S355">
        <v>2030.96</v>
      </c>
    </row>
    <row r="356" spans="1:19" hidden="1">
      <c r="A356" t="s">
        <v>1218</v>
      </c>
      <c r="B356" t="s">
        <v>387</v>
      </c>
      <c r="C356" t="s">
        <v>388</v>
      </c>
      <c r="D356" s="19">
        <f>_xlfn.XLOOKUP(C:C,Q:Q,R:R)</f>
        <v>401</v>
      </c>
      <c r="E356" s="19">
        <f t="shared" ref="E356:E391" si="24">D356/28</f>
        <v>14.321428571428571</v>
      </c>
      <c r="F356">
        <f>_xlfn.XLOOKUP(C:C,Q:Q,S:S)</f>
        <v>371.16</v>
      </c>
      <c r="I356" s="19">
        <f t="shared" ref="I356:I391" si="25">IF((D356/28)&gt;100,D356*2,D356*2)</f>
        <v>802</v>
      </c>
      <c r="J356" t="b">
        <f t="shared" ref="J356:J391" si="26">IF(F356&gt;1.2*I356,FALSE,TRUE)</f>
        <v>1</v>
      </c>
      <c r="K356" s="4">
        <f t="shared" ref="K356:K391" si="27">F356/I356-1</f>
        <v>-0.53720698254364085</v>
      </c>
      <c r="M356"/>
      <c r="O356"/>
      <c r="Q356" t="s">
        <v>716</v>
      </c>
      <c r="R356">
        <v>1050</v>
      </c>
      <c r="S356">
        <v>214.39</v>
      </c>
    </row>
    <row r="357" spans="1:19" hidden="1">
      <c r="A357" t="s">
        <v>1218</v>
      </c>
      <c r="B357" t="s">
        <v>305</v>
      </c>
      <c r="C357" t="s">
        <v>306</v>
      </c>
      <c r="D357" s="19">
        <f>_xlfn.XLOOKUP(C:C,Q:Q,R:R)</f>
        <v>269</v>
      </c>
      <c r="E357" s="19">
        <f t="shared" si="24"/>
        <v>9.6071428571428577</v>
      </c>
      <c r="F357">
        <f>_xlfn.XLOOKUP(C:C,Q:Q,S:S)</f>
        <v>387.38</v>
      </c>
      <c r="I357" s="19">
        <f t="shared" si="25"/>
        <v>538</v>
      </c>
      <c r="J357" t="b">
        <f t="shared" si="26"/>
        <v>1</v>
      </c>
      <c r="K357" s="4">
        <f t="shared" si="27"/>
        <v>-0.27996282527881045</v>
      </c>
      <c r="M357"/>
      <c r="O357"/>
      <c r="Q357" t="s">
        <v>773</v>
      </c>
      <c r="R357">
        <v>1164</v>
      </c>
      <c r="S357">
        <v>700.98</v>
      </c>
    </row>
    <row r="358" spans="1:19" hidden="1">
      <c r="A358" t="s">
        <v>1218</v>
      </c>
      <c r="B358" t="s">
        <v>283</v>
      </c>
      <c r="C358" t="s">
        <v>284</v>
      </c>
      <c r="D358" s="19" t="e">
        <f>_xlfn.XLOOKUP(C:C,Q:Q,R:R)</f>
        <v>#N/A</v>
      </c>
      <c r="E358" s="19" t="e">
        <f t="shared" si="24"/>
        <v>#N/A</v>
      </c>
      <c r="F358" t="e">
        <f>_xlfn.XLOOKUP(C:C,Q:Q,S:S)</f>
        <v>#N/A</v>
      </c>
      <c r="I358" s="19" t="e">
        <f t="shared" si="25"/>
        <v>#N/A</v>
      </c>
      <c r="J358" t="e">
        <f t="shared" si="26"/>
        <v>#N/A</v>
      </c>
      <c r="K358" s="4" t="e">
        <f t="shared" si="27"/>
        <v>#N/A</v>
      </c>
      <c r="M358"/>
      <c r="O358"/>
      <c r="Q358" t="s">
        <v>577</v>
      </c>
      <c r="R358">
        <v>1206</v>
      </c>
      <c r="S358">
        <v>1339.91</v>
      </c>
    </row>
    <row r="359" spans="1:19" hidden="1">
      <c r="A359" t="s">
        <v>1219</v>
      </c>
      <c r="B359" t="s">
        <v>618</v>
      </c>
      <c r="C359" t="s">
        <v>619</v>
      </c>
      <c r="D359" s="19">
        <f>_xlfn.XLOOKUP(C:C,Q:Q,R:R)</f>
        <v>3</v>
      </c>
      <c r="E359" s="19">
        <f t="shared" si="24"/>
        <v>0.10714285714285714</v>
      </c>
      <c r="F359">
        <f>_xlfn.XLOOKUP(C:C,Q:Q,S:S)</f>
        <v>0</v>
      </c>
      <c r="I359" s="19">
        <f t="shared" si="25"/>
        <v>6</v>
      </c>
      <c r="J359" t="b">
        <f t="shared" si="26"/>
        <v>1</v>
      </c>
      <c r="K359" s="4">
        <f t="shared" si="27"/>
        <v>-1</v>
      </c>
      <c r="M359"/>
      <c r="O359"/>
      <c r="Q359" t="s">
        <v>798</v>
      </c>
      <c r="R359">
        <v>2452</v>
      </c>
      <c r="S359">
        <v>3544.16</v>
      </c>
    </row>
    <row r="360" spans="1:19" hidden="1">
      <c r="A360" t="s">
        <v>1220</v>
      </c>
      <c r="B360" t="s">
        <v>974</v>
      </c>
      <c r="C360" t="s">
        <v>975</v>
      </c>
      <c r="D360" s="19">
        <f>_xlfn.XLOOKUP(C:C,Q:Q,R:R)</f>
        <v>276</v>
      </c>
      <c r="E360" s="19">
        <f t="shared" si="24"/>
        <v>9.8571428571428577</v>
      </c>
      <c r="F360">
        <f>_xlfn.XLOOKUP(C:C,Q:Q,S:S)</f>
        <v>0</v>
      </c>
      <c r="I360" s="19">
        <f t="shared" si="25"/>
        <v>552</v>
      </c>
      <c r="J360" t="b">
        <f t="shared" si="26"/>
        <v>1</v>
      </c>
      <c r="K360" s="4">
        <f t="shared" si="27"/>
        <v>-1</v>
      </c>
      <c r="M360"/>
      <c r="O360"/>
      <c r="Q360" t="s">
        <v>608</v>
      </c>
      <c r="R360">
        <v>1081</v>
      </c>
      <c r="S360">
        <v>1862.72</v>
      </c>
    </row>
    <row r="361" spans="1:19" ht="15.75" hidden="1" customHeight="1">
      <c r="A361" t="s">
        <v>1220</v>
      </c>
      <c r="B361" t="s">
        <v>936</v>
      </c>
      <c r="C361" t="s">
        <v>937</v>
      </c>
      <c r="D361" s="19">
        <f>_xlfn.XLOOKUP(C:C,Q:Q,R:R)</f>
        <v>0</v>
      </c>
      <c r="E361" s="19">
        <f t="shared" si="24"/>
        <v>0</v>
      </c>
      <c r="F361">
        <f>_xlfn.XLOOKUP(C:C,Q:Q,S:S)</f>
        <v>0</v>
      </c>
      <c r="I361" s="19">
        <f t="shared" si="25"/>
        <v>0</v>
      </c>
      <c r="J361" t="b">
        <f t="shared" si="26"/>
        <v>1</v>
      </c>
      <c r="K361" s="4" t="e">
        <f t="shared" si="27"/>
        <v>#DIV/0!</v>
      </c>
      <c r="M361"/>
      <c r="O361"/>
      <c r="Q361" t="s">
        <v>785</v>
      </c>
      <c r="R361">
        <v>2435</v>
      </c>
      <c r="S361">
        <v>4841.3100000000004</v>
      </c>
    </row>
    <row r="362" spans="1:19" hidden="1">
      <c r="A362" t="s">
        <v>1219</v>
      </c>
      <c r="B362" t="s">
        <v>580</v>
      </c>
      <c r="C362" t="s">
        <v>581</v>
      </c>
      <c r="D362" s="19">
        <f>_xlfn.XLOOKUP(C:C,Q:Q,R:R)</f>
        <v>433</v>
      </c>
      <c r="E362" s="19">
        <f t="shared" si="24"/>
        <v>15.464285714285714</v>
      </c>
      <c r="F362">
        <f>_xlfn.XLOOKUP(C:C,Q:Q,S:S)</f>
        <v>283.95999999999998</v>
      </c>
      <c r="I362" s="19">
        <f t="shared" si="25"/>
        <v>866</v>
      </c>
      <c r="J362" t="b">
        <f t="shared" si="26"/>
        <v>1</v>
      </c>
      <c r="K362" s="4">
        <f t="shared" si="27"/>
        <v>-0.67210161662817547</v>
      </c>
      <c r="M362"/>
      <c r="O362"/>
      <c r="Q362" t="s">
        <v>704</v>
      </c>
      <c r="R362">
        <v>932</v>
      </c>
      <c r="S362">
        <v>1821.75</v>
      </c>
    </row>
    <row r="363" spans="1:19" hidden="1">
      <c r="A363" t="s">
        <v>1218</v>
      </c>
      <c r="B363" t="s">
        <v>261</v>
      </c>
      <c r="C363" t="s">
        <v>262</v>
      </c>
      <c r="D363" s="19">
        <f>_xlfn.XLOOKUP(C:C,Q:Q,R:R)</f>
        <v>366</v>
      </c>
      <c r="E363" s="19">
        <f t="shared" si="24"/>
        <v>13.071428571428571</v>
      </c>
      <c r="F363">
        <f>_xlfn.XLOOKUP(C:C,Q:Q,S:S)</f>
        <v>652.61</v>
      </c>
      <c r="I363" s="19">
        <f t="shared" si="25"/>
        <v>732</v>
      </c>
      <c r="J363" t="b">
        <f t="shared" si="26"/>
        <v>1</v>
      </c>
      <c r="K363" s="4">
        <f t="shared" si="27"/>
        <v>-0.10845628415300546</v>
      </c>
      <c r="M363"/>
      <c r="O363"/>
      <c r="Q363" t="s">
        <v>806</v>
      </c>
      <c r="R363">
        <v>2202</v>
      </c>
      <c r="S363">
        <v>4728.72</v>
      </c>
    </row>
    <row r="364" spans="1:19" hidden="1">
      <c r="A364" t="s">
        <v>1220</v>
      </c>
      <c r="B364" t="s">
        <v>926</v>
      </c>
      <c r="C364" t="s">
        <v>927</v>
      </c>
      <c r="D364" s="19">
        <f>_xlfn.XLOOKUP(C:C,Q:Q,R:R)</f>
        <v>930</v>
      </c>
      <c r="E364" s="19">
        <f t="shared" si="24"/>
        <v>33.214285714285715</v>
      </c>
      <c r="F364">
        <f>_xlfn.XLOOKUP(C:C,Q:Q,S:S)</f>
        <v>2178.85</v>
      </c>
      <c r="I364" s="157">
        <f t="shared" si="25"/>
        <v>1860</v>
      </c>
      <c r="J364" t="b">
        <f t="shared" si="26"/>
        <v>1</v>
      </c>
      <c r="K364" s="4">
        <f t="shared" si="27"/>
        <v>0.17142473118279566</v>
      </c>
      <c r="Q364" t="s">
        <v>792</v>
      </c>
      <c r="R364">
        <v>1002</v>
      </c>
      <c r="S364">
        <v>1222.03</v>
      </c>
    </row>
    <row r="365" spans="1:19" hidden="1">
      <c r="A365" t="s">
        <v>1219</v>
      </c>
      <c r="B365" t="s">
        <v>739</v>
      </c>
      <c r="C365" t="s">
        <v>740</v>
      </c>
      <c r="D365" s="19">
        <f>_xlfn.XLOOKUP(C:C,Q:Q,R:R)</f>
        <v>352</v>
      </c>
      <c r="E365" s="19">
        <f t="shared" si="24"/>
        <v>12.571428571428571</v>
      </c>
      <c r="F365">
        <f>_xlfn.XLOOKUP(C:C,Q:Q,S:S)</f>
        <v>304.18</v>
      </c>
      <c r="I365" s="19">
        <f t="shared" si="25"/>
        <v>704</v>
      </c>
      <c r="J365" t="b">
        <f t="shared" si="26"/>
        <v>1</v>
      </c>
      <c r="K365" s="4">
        <f t="shared" si="27"/>
        <v>-0.56792613636363631</v>
      </c>
      <c r="M365"/>
      <c r="O365"/>
      <c r="Q365" t="s">
        <v>567</v>
      </c>
      <c r="R365">
        <v>871</v>
      </c>
      <c r="S365">
        <v>1788.28</v>
      </c>
    </row>
    <row r="366" spans="1:19">
      <c r="A366" t="s">
        <v>1219</v>
      </c>
      <c r="B366" t="s">
        <v>770</v>
      </c>
      <c r="C366" t="s">
        <v>771</v>
      </c>
      <c r="D366" s="19">
        <f>_xlfn.XLOOKUP(C:C,Q:Q,R:R)</f>
        <v>480</v>
      </c>
      <c r="E366" s="19">
        <f t="shared" si="24"/>
        <v>17.142857142857142</v>
      </c>
      <c r="F366">
        <f>_xlfn.XLOOKUP(C:C,Q:Q,S:S)</f>
        <v>1367.15</v>
      </c>
      <c r="I366" s="19">
        <f t="shared" si="25"/>
        <v>960</v>
      </c>
      <c r="J366" t="b">
        <f t="shared" si="26"/>
        <v>0</v>
      </c>
      <c r="K366" s="4">
        <f t="shared" si="27"/>
        <v>0.42411458333333352</v>
      </c>
      <c r="L366" t="s">
        <v>494</v>
      </c>
      <c r="M366" t="s">
        <v>1231</v>
      </c>
      <c r="O366"/>
      <c r="R366">
        <v>0</v>
      </c>
      <c r="S366">
        <v>0</v>
      </c>
    </row>
    <row r="367" spans="1:19">
      <c r="A367" t="s">
        <v>1218</v>
      </c>
      <c r="B367" t="s">
        <v>265</v>
      </c>
      <c r="C367" t="s">
        <v>266</v>
      </c>
      <c r="D367" s="19">
        <f>_xlfn.XLOOKUP(C:C,Q:Q,R:R)</f>
        <v>196</v>
      </c>
      <c r="E367" s="19">
        <f t="shared" si="24"/>
        <v>7</v>
      </c>
      <c r="F367">
        <f>_xlfn.XLOOKUP(C:C,Q:Q,S:S)</f>
        <v>537.36</v>
      </c>
      <c r="I367" s="19">
        <f t="shared" si="25"/>
        <v>392</v>
      </c>
      <c r="J367" t="b">
        <f t="shared" si="26"/>
        <v>0</v>
      </c>
      <c r="K367" s="4">
        <f t="shared" si="27"/>
        <v>0.37081632653061236</v>
      </c>
      <c r="L367" t="s">
        <v>494</v>
      </c>
      <c r="M367" t="s">
        <v>1232</v>
      </c>
      <c r="O367"/>
      <c r="R367">
        <v>0</v>
      </c>
      <c r="S367">
        <v>0</v>
      </c>
    </row>
    <row r="368" spans="1:19" hidden="1">
      <c r="A368" t="s">
        <v>1218</v>
      </c>
      <c r="B368" t="s">
        <v>193</v>
      </c>
      <c r="C368" t="s">
        <v>194</v>
      </c>
      <c r="D368" s="19">
        <f>_xlfn.XLOOKUP(C:C,Q:Q,R:R)</f>
        <v>662</v>
      </c>
      <c r="E368" s="19">
        <f t="shared" si="24"/>
        <v>23.642857142857142</v>
      </c>
      <c r="F368">
        <f>_xlfn.XLOOKUP(C:C,Q:Q,S:S)</f>
        <v>310.57</v>
      </c>
      <c r="I368" s="19">
        <f t="shared" si="25"/>
        <v>1324</v>
      </c>
      <c r="J368" t="b">
        <f t="shared" si="26"/>
        <v>1</v>
      </c>
      <c r="K368" s="4">
        <f t="shared" si="27"/>
        <v>-0.76543051359516623</v>
      </c>
      <c r="M368"/>
      <c r="O368"/>
      <c r="R368">
        <v>0</v>
      </c>
      <c r="S368">
        <v>0</v>
      </c>
    </row>
    <row r="369" spans="1:19" hidden="1">
      <c r="A369" t="s">
        <v>1218</v>
      </c>
      <c r="B369" t="s">
        <v>399</v>
      </c>
      <c r="C369" t="s">
        <v>400</v>
      </c>
      <c r="D369" s="19">
        <f>_xlfn.XLOOKUP(C:C,Q:Q,R:R)</f>
        <v>131</v>
      </c>
      <c r="E369" s="19">
        <f t="shared" si="24"/>
        <v>4.6785714285714288</v>
      </c>
      <c r="F369">
        <f>_xlfn.XLOOKUP(C:C,Q:Q,S:S)</f>
        <v>91.13</v>
      </c>
      <c r="I369" s="19">
        <f t="shared" si="25"/>
        <v>262</v>
      </c>
      <c r="J369" t="b">
        <f t="shared" si="26"/>
        <v>1</v>
      </c>
      <c r="K369" s="4">
        <f t="shared" si="27"/>
        <v>-0.65217557251908398</v>
      </c>
      <c r="M369"/>
      <c r="O369"/>
      <c r="R369">
        <v>0</v>
      </c>
      <c r="S369">
        <v>0</v>
      </c>
    </row>
    <row r="370" spans="1:19" hidden="1">
      <c r="A370" t="s">
        <v>1220</v>
      </c>
      <c r="B370" t="s">
        <v>826</v>
      </c>
      <c r="C370" t="s">
        <v>827</v>
      </c>
      <c r="D370" s="19">
        <f>_xlfn.XLOOKUP(C:C,Q:Q,R:R)</f>
        <v>1460</v>
      </c>
      <c r="E370" s="19">
        <f t="shared" si="24"/>
        <v>52.142857142857146</v>
      </c>
      <c r="F370">
        <f>_xlfn.XLOOKUP(C:C,Q:Q,S:S)</f>
        <v>3168.75</v>
      </c>
      <c r="I370" s="19">
        <f t="shared" si="25"/>
        <v>2920</v>
      </c>
      <c r="J370" t="b">
        <f t="shared" si="26"/>
        <v>1</v>
      </c>
      <c r="K370" s="4">
        <f t="shared" si="27"/>
        <v>8.5188356164383583E-2</v>
      </c>
      <c r="M370"/>
      <c r="O370"/>
      <c r="R370">
        <v>0</v>
      </c>
      <c r="S370">
        <v>0</v>
      </c>
    </row>
    <row r="371" spans="1:19" hidden="1">
      <c r="A371" t="s">
        <v>1219</v>
      </c>
      <c r="B371" t="s">
        <v>582</v>
      </c>
      <c r="C371" t="s">
        <v>583</v>
      </c>
      <c r="D371" s="19">
        <f>_xlfn.XLOOKUP(C:C,Q:Q,R:R)</f>
        <v>1372</v>
      </c>
      <c r="E371" s="19">
        <f t="shared" si="24"/>
        <v>49</v>
      </c>
      <c r="F371">
        <f>_xlfn.XLOOKUP(C:C,Q:Q,S:S)</f>
        <v>3179.39</v>
      </c>
      <c r="I371" s="19">
        <f t="shared" si="25"/>
        <v>2744</v>
      </c>
      <c r="J371" t="b">
        <f t="shared" si="26"/>
        <v>1</v>
      </c>
      <c r="K371" s="4">
        <f t="shared" si="27"/>
        <v>0.15866982507288618</v>
      </c>
      <c r="M371"/>
      <c r="O371"/>
      <c r="R371">
        <v>0</v>
      </c>
      <c r="S371">
        <v>0</v>
      </c>
    </row>
    <row r="372" spans="1:19" hidden="1">
      <c r="A372" t="s">
        <v>1218</v>
      </c>
      <c r="B372" t="s">
        <v>177</v>
      </c>
      <c r="C372" t="s">
        <v>178</v>
      </c>
      <c r="D372" s="19">
        <f>_xlfn.XLOOKUP(C:C,Q:Q,R:R)</f>
        <v>596</v>
      </c>
      <c r="E372" s="19">
        <f t="shared" si="24"/>
        <v>21.285714285714285</v>
      </c>
      <c r="F372">
        <f>_xlfn.XLOOKUP(C:C,Q:Q,S:S)</f>
        <v>1267.94</v>
      </c>
      <c r="I372" s="19">
        <f t="shared" si="25"/>
        <v>1192</v>
      </c>
      <c r="J372" t="b">
        <f t="shared" si="26"/>
        <v>1</v>
      </c>
      <c r="K372" s="4">
        <f t="shared" si="27"/>
        <v>6.3708053691275301E-2</v>
      </c>
      <c r="M372"/>
      <c r="O372"/>
      <c r="R372">
        <v>0</v>
      </c>
      <c r="S372">
        <v>0</v>
      </c>
    </row>
    <row r="373" spans="1:19">
      <c r="A373" t="s">
        <v>1220</v>
      </c>
      <c r="B373" t="s">
        <v>1024</v>
      </c>
      <c r="C373" t="s">
        <v>1025</v>
      </c>
      <c r="D373" s="19">
        <f>_xlfn.XLOOKUP(C:C,Q:Q,R:R)</f>
        <v>355</v>
      </c>
      <c r="E373" s="19">
        <f t="shared" si="24"/>
        <v>12.678571428571429</v>
      </c>
      <c r="F373">
        <f>_xlfn.XLOOKUP(C:C,Q:Q,S:S)</f>
        <v>1017.38</v>
      </c>
      <c r="I373" s="19">
        <f t="shared" si="25"/>
        <v>710</v>
      </c>
      <c r="J373" t="b">
        <f t="shared" si="26"/>
        <v>0</v>
      </c>
      <c r="K373" s="4">
        <f t="shared" si="27"/>
        <v>0.43292957746478877</v>
      </c>
      <c r="L373" t="s">
        <v>494</v>
      </c>
      <c r="M373"/>
      <c r="O373"/>
      <c r="R373">
        <v>0</v>
      </c>
      <c r="S373">
        <v>0</v>
      </c>
    </row>
    <row r="374" spans="1:19" hidden="1">
      <c r="A374" t="s">
        <v>1218</v>
      </c>
      <c r="B374" t="s">
        <v>391</v>
      </c>
      <c r="C374" t="s">
        <v>392</v>
      </c>
      <c r="D374" s="19">
        <f>_xlfn.XLOOKUP(C:C,Q:Q,R:R)</f>
        <v>189</v>
      </c>
      <c r="E374" s="19">
        <f t="shared" si="24"/>
        <v>6.75</v>
      </c>
      <c r="F374">
        <f>_xlfn.XLOOKUP(C:C,Q:Q,S:S)</f>
        <v>341.49</v>
      </c>
      <c r="I374" s="19">
        <f t="shared" si="25"/>
        <v>378</v>
      </c>
      <c r="J374" t="b">
        <f t="shared" si="26"/>
        <v>1</v>
      </c>
      <c r="K374" s="4">
        <f t="shared" si="27"/>
        <v>-9.6587301587301555E-2</v>
      </c>
      <c r="M374"/>
      <c r="O374"/>
      <c r="Q374" t="s">
        <v>631</v>
      </c>
      <c r="R374">
        <v>0</v>
      </c>
      <c r="S374">
        <v>0</v>
      </c>
    </row>
    <row r="375" spans="1:19" hidden="1">
      <c r="A375" t="s">
        <v>1219</v>
      </c>
      <c r="B375" t="s">
        <v>616</v>
      </c>
      <c r="C375" t="s">
        <v>617</v>
      </c>
      <c r="D375" s="19">
        <f>_xlfn.XLOOKUP(C:C,Q:Q,R:R)</f>
        <v>171</v>
      </c>
      <c r="E375" s="19">
        <f t="shared" si="24"/>
        <v>6.1071428571428568</v>
      </c>
      <c r="F375">
        <f>_xlfn.XLOOKUP(C:C,Q:Q,S:S)</f>
        <v>98.72</v>
      </c>
      <c r="I375" s="19">
        <f t="shared" si="25"/>
        <v>342</v>
      </c>
      <c r="J375" t="b">
        <f t="shared" si="26"/>
        <v>1</v>
      </c>
      <c r="K375" s="4">
        <f t="shared" si="27"/>
        <v>-0.71134502923976606</v>
      </c>
      <c r="M375"/>
      <c r="O375"/>
      <c r="Q375" t="s">
        <v>809</v>
      </c>
      <c r="R375">
        <v>3508</v>
      </c>
      <c r="S375">
        <v>5196.4399999999996</v>
      </c>
    </row>
    <row r="376" spans="1:19" hidden="1">
      <c r="A376" t="s">
        <v>1219</v>
      </c>
      <c r="B376" t="s">
        <v>669</v>
      </c>
      <c r="C376" t="s">
        <v>670</v>
      </c>
      <c r="D376" s="19" t="e">
        <v>#N/A</v>
      </c>
      <c r="E376" s="19" t="e">
        <f t="shared" si="24"/>
        <v>#N/A</v>
      </c>
      <c r="F376" t="e">
        <v>#N/A</v>
      </c>
      <c r="I376" s="19" t="e">
        <f t="shared" si="25"/>
        <v>#N/A</v>
      </c>
      <c r="J376" t="e">
        <f t="shared" si="26"/>
        <v>#N/A</v>
      </c>
      <c r="K376" s="4" t="e">
        <f t="shared" si="27"/>
        <v>#N/A</v>
      </c>
      <c r="M376"/>
      <c r="O376"/>
      <c r="Q376" t="s">
        <v>811</v>
      </c>
      <c r="R376">
        <v>4183</v>
      </c>
      <c r="S376">
        <v>5646.1</v>
      </c>
    </row>
    <row r="377" spans="1:19" hidden="1">
      <c r="A377" t="s">
        <v>1219</v>
      </c>
      <c r="B377" t="s">
        <v>551</v>
      </c>
      <c r="C377" t="s">
        <v>552</v>
      </c>
      <c r="D377" s="19">
        <f>_xlfn.XLOOKUP(C:C,Q:Q,R:R)</f>
        <v>1359</v>
      </c>
      <c r="E377" s="19">
        <f t="shared" si="24"/>
        <v>48.535714285714285</v>
      </c>
      <c r="F377">
        <f>_xlfn.XLOOKUP(C:C,Q:Q,S:S)</f>
        <v>2670.18</v>
      </c>
      <c r="I377" s="19">
        <f t="shared" si="25"/>
        <v>2718</v>
      </c>
      <c r="J377" t="b">
        <f t="shared" si="26"/>
        <v>1</v>
      </c>
      <c r="K377" s="4">
        <f t="shared" si="27"/>
        <v>-1.7593818984547482E-2</v>
      </c>
      <c r="M377"/>
      <c r="O377"/>
      <c r="Q377" t="s">
        <v>813</v>
      </c>
      <c r="R377">
        <v>2357</v>
      </c>
      <c r="S377">
        <v>4551.13</v>
      </c>
    </row>
    <row r="378" spans="1:19" hidden="1">
      <c r="A378" t="s">
        <v>1218</v>
      </c>
      <c r="B378" t="s">
        <v>133</v>
      </c>
      <c r="C378" t="s">
        <v>134</v>
      </c>
      <c r="D378" s="19">
        <f>_xlfn.XLOOKUP(C:C,Q:Q,R:R)</f>
        <v>2511</v>
      </c>
      <c r="E378" s="19">
        <f t="shared" si="24"/>
        <v>89.678571428571431</v>
      </c>
      <c r="F378">
        <f>_xlfn.XLOOKUP(C:C,Q:Q,S:S)</f>
        <v>2473.92</v>
      </c>
      <c r="I378" s="19">
        <f t="shared" si="25"/>
        <v>5022</v>
      </c>
      <c r="J378" t="b">
        <f t="shared" si="26"/>
        <v>1</v>
      </c>
      <c r="K378" s="4">
        <f t="shared" si="27"/>
        <v>-0.50738351254480285</v>
      </c>
      <c r="M378"/>
      <c r="O378"/>
      <c r="Q378" t="s">
        <v>815</v>
      </c>
      <c r="R378">
        <v>1605</v>
      </c>
      <c r="S378">
        <v>1997.57</v>
      </c>
    </row>
    <row r="379" spans="1:19" hidden="1">
      <c r="A379" t="s">
        <v>1218</v>
      </c>
      <c r="B379" t="s">
        <v>285</v>
      </c>
      <c r="C379" t="s">
        <v>286</v>
      </c>
      <c r="D379" s="19" t="e">
        <f>_xlfn.XLOOKUP(C:C,Q:Q,R:R)</f>
        <v>#N/A</v>
      </c>
      <c r="E379" s="19" t="e">
        <f t="shared" si="24"/>
        <v>#N/A</v>
      </c>
      <c r="F379" t="e">
        <f>_xlfn.XLOOKUP(C:C,Q:Q,S:S)</f>
        <v>#N/A</v>
      </c>
      <c r="I379" s="19" t="e">
        <f t="shared" si="25"/>
        <v>#N/A</v>
      </c>
      <c r="J379" t="e">
        <f t="shared" si="26"/>
        <v>#N/A</v>
      </c>
      <c r="K379" s="4" t="e">
        <f t="shared" si="27"/>
        <v>#N/A</v>
      </c>
      <c r="M379"/>
      <c r="O379"/>
      <c r="Q379" t="s">
        <v>817</v>
      </c>
      <c r="R379">
        <v>1961</v>
      </c>
      <c r="S379">
        <v>3430.93</v>
      </c>
    </row>
    <row r="380" spans="1:19" hidden="1">
      <c r="A380" t="s">
        <v>1218</v>
      </c>
      <c r="B380" t="s">
        <v>239</v>
      </c>
      <c r="C380" t="s">
        <v>240</v>
      </c>
      <c r="D380" s="19">
        <f>_xlfn.XLOOKUP(C:C,Q:Q,R:R)</f>
        <v>208</v>
      </c>
      <c r="E380" s="19">
        <f t="shared" si="24"/>
        <v>7.4285714285714288</v>
      </c>
      <c r="F380">
        <f>_xlfn.XLOOKUP(C:C,Q:Q,S:S)</f>
        <v>461.06</v>
      </c>
      <c r="I380" s="19">
        <f t="shared" si="25"/>
        <v>416</v>
      </c>
      <c r="J380" t="b">
        <f t="shared" si="26"/>
        <v>1</v>
      </c>
      <c r="K380" s="4">
        <f t="shared" si="27"/>
        <v>0.10831730769230763</v>
      </c>
      <c r="M380"/>
      <c r="O380"/>
      <c r="Q380" t="s">
        <v>819</v>
      </c>
      <c r="R380">
        <v>2820</v>
      </c>
      <c r="S380">
        <v>5352.41</v>
      </c>
    </row>
    <row r="381" spans="1:19" hidden="1">
      <c r="A381" t="s">
        <v>1220</v>
      </c>
      <c r="B381" t="s">
        <v>1020</v>
      </c>
      <c r="C381" t="s">
        <v>1021</v>
      </c>
      <c r="D381" s="19">
        <f>_xlfn.XLOOKUP(C:C,Q:Q,R:R)</f>
        <v>1099</v>
      </c>
      <c r="E381" s="19">
        <f t="shared" si="24"/>
        <v>39.25</v>
      </c>
      <c r="F381">
        <f>_xlfn.XLOOKUP(C:C,Q:Q,S:S)</f>
        <v>1681.39</v>
      </c>
      <c r="I381" s="19">
        <f t="shared" si="25"/>
        <v>2198</v>
      </c>
      <c r="J381" t="b">
        <f t="shared" si="26"/>
        <v>1</v>
      </c>
      <c r="K381" s="4">
        <f t="shared" si="27"/>
        <v>-0.23503639672429477</v>
      </c>
      <c r="M381"/>
      <c r="O381"/>
      <c r="Q381" t="s">
        <v>821</v>
      </c>
      <c r="R381">
        <v>4202</v>
      </c>
      <c r="S381">
        <v>3829.56</v>
      </c>
    </row>
    <row r="382" spans="1:19" hidden="1">
      <c r="A382" t="s">
        <v>1220</v>
      </c>
      <c r="B382" t="s">
        <v>938</v>
      </c>
      <c r="C382" t="s">
        <v>939</v>
      </c>
      <c r="D382" s="19" t="e">
        <v>#N/A</v>
      </c>
      <c r="E382" s="19" t="e">
        <f t="shared" si="24"/>
        <v>#N/A</v>
      </c>
      <c r="F382" t="e">
        <v>#N/A</v>
      </c>
      <c r="I382" s="19" t="e">
        <f t="shared" si="25"/>
        <v>#N/A</v>
      </c>
      <c r="J382" t="e">
        <f t="shared" si="26"/>
        <v>#N/A</v>
      </c>
      <c r="K382" s="4" t="e">
        <f t="shared" si="27"/>
        <v>#N/A</v>
      </c>
      <c r="M382"/>
      <c r="O382"/>
      <c r="Q382" t="s">
        <v>824</v>
      </c>
      <c r="R382">
        <v>706</v>
      </c>
      <c r="S382">
        <v>930.18</v>
      </c>
    </row>
    <row r="383" spans="1:19" hidden="1">
      <c r="A383" t="s">
        <v>1219</v>
      </c>
      <c r="B383" t="s">
        <v>725</v>
      </c>
      <c r="C383" t="s">
        <v>726</v>
      </c>
      <c r="D383" s="19">
        <f>_xlfn.XLOOKUP(C:C,Q:Q,R:R)</f>
        <v>563</v>
      </c>
      <c r="E383" s="19">
        <f t="shared" si="24"/>
        <v>20.107142857142858</v>
      </c>
      <c r="F383">
        <f>_xlfn.XLOOKUP(C:C,Q:Q,S:S)</f>
        <v>245.88</v>
      </c>
      <c r="I383" s="19">
        <f t="shared" si="25"/>
        <v>1126</v>
      </c>
      <c r="J383" t="b">
        <f t="shared" si="26"/>
        <v>1</v>
      </c>
      <c r="K383" s="4">
        <f t="shared" si="27"/>
        <v>-0.78163410301953817</v>
      </c>
      <c r="M383"/>
      <c r="O383"/>
      <c r="Q383" t="s">
        <v>827</v>
      </c>
      <c r="R383">
        <v>1460</v>
      </c>
      <c r="S383">
        <v>3168.75</v>
      </c>
    </row>
    <row r="384" spans="1:19" hidden="1">
      <c r="A384" t="s">
        <v>1218</v>
      </c>
      <c r="B384" t="s">
        <v>337</v>
      </c>
      <c r="C384" t="s">
        <v>338</v>
      </c>
      <c r="D384" s="19">
        <f>_xlfn.XLOOKUP(C:C,Q:Q,R:R)</f>
        <v>477</v>
      </c>
      <c r="E384" s="19">
        <f t="shared" si="24"/>
        <v>17.035714285714285</v>
      </c>
      <c r="F384">
        <f>_xlfn.XLOOKUP(C:C,Q:Q,S:S)</f>
        <v>944.89</v>
      </c>
      <c r="I384" s="19">
        <f t="shared" si="25"/>
        <v>954</v>
      </c>
      <c r="J384" t="b">
        <f t="shared" si="26"/>
        <v>1</v>
      </c>
      <c r="K384" s="4">
        <f t="shared" si="27"/>
        <v>-9.5492662473795065E-3</v>
      </c>
      <c r="M384"/>
      <c r="O384"/>
      <c r="Q384" t="s">
        <v>829</v>
      </c>
      <c r="R384">
        <v>871</v>
      </c>
      <c r="S384">
        <v>1459.05</v>
      </c>
    </row>
    <row r="385" spans="1:19">
      <c r="A385" t="s">
        <v>1218</v>
      </c>
      <c r="B385" t="s">
        <v>393</v>
      </c>
      <c r="C385" t="s">
        <v>394</v>
      </c>
      <c r="D385" s="19">
        <f>_xlfn.XLOOKUP(C:C,Q:Q,R:R)</f>
        <v>399</v>
      </c>
      <c r="E385" s="19">
        <f t="shared" si="24"/>
        <v>14.25</v>
      </c>
      <c r="F385">
        <f>_xlfn.XLOOKUP(C:C,Q:Q,S:S)</f>
        <v>1084.67</v>
      </c>
      <c r="I385" s="157">
        <f t="shared" si="25"/>
        <v>798</v>
      </c>
      <c r="J385" t="b">
        <f t="shared" si="26"/>
        <v>0</v>
      </c>
      <c r="K385" s="4">
        <f t="shared" si="27"/>
        <v>0.35923558897243124</v>
      </c>
      <c r="L385" t="s">
        <v>494</v>
      </c>
      <c r="Q385" t="s">
        <v>831</v>
      </c>
      <c r="R385">
        <v>4871</v>
      </c>
      <c r="S385">
        <v>8603.15</v>
      </c>
    </row>
    <row r="386" spans="1:19" hidden="1">
      <c r="A386" t="s">
        <v>1219</v>
      </c>
      <c r="B386" t="s">
        <v>632</v>
      </c>
      <c r="C386" t="s">
        <v>633</v>
      </c>
      <c r="D386" s="19">
        <f>_xlfn.XLOOKUP(C:C,Q:Q,R:R)</f>
        <v>442</v>
      </c>
      <c r="E386" s="19">
        <f t="shared" si="24"/>
        <v>15.785714285714286</v>
      </c>
      <c r="F386">
        <f>_xlfn.XLOOKUP(C:C,Q:Q,S:S)</f>
        <v>0</v>
      </c>
      <c r="I386" s="19">
        <f t="shared" si="25"/>
        <v>884</v>
      </c>
      <c r="J386" t="b">
        <f t="shared" si="26"/>
        <v>1</v>
      </c>
      <c r="K386" s="4">
        <f t="shared" si="27"/>
        <v>-1</v>
      </c>
      <c r="M386"/>
      <c r="O386"/>
      <c r="Q386" t="s">
        <v>834</v>
      </c>
      <c r="R386">
        <v>10863</v>
      </c>
      <c r="S386">
        <v>10572.08</v>
      </c>
    </row>
    <row r="387" spans="1:19" hidden="1">
      <c r="A387" t="s">
        <v>1219</v>
      </c>
      <c r="B387" t="s">
        <v>733</v>
      </c>
      <c r="C387" t="s">
        <v>734</v>
      </c>
      <c r="D387" s="19">
        <f>_xlfn.XLOOKUP(C:C,Q:Q,R:R)</f>
        <v>736</v>
      </c>
      <c r="E387" s="19">
        <f t="shared" si="24"/>
        <v>26.285714285714285</v>
      </c>
      <c r="F387">
        <f>_xlfn.XLOOKUP(C:C,Q:Q,S:S)</f>
        <v>930.48</v>
      </c>
      <c r="I387" s="19">
        <f t="shared" si="25"/>
        <v>1472</v>
      </c>
      <c r="J387" t="b">
        <f t="shared" si="26"/>
        <v>1</v>
      </c>
      <c r="K387" s="4">
        <f t="shared" si="27"/>
        <v>-0.36788043478260868</v>
      </c>
      <c r="M387"/>
      <c r="O387"/>
      <c r="Q387" t="s">
        <v>837</v>
      </c>
      <c r="R387">
        <v>2105</v>
      </c>
      <c r="S387">
        <v>5222.25</v>
      </c>
    </row>
    <row r="388" spans="1:19" hidden="1">
      <c r="A388" t="s">
        <v>1218</v>
      </c>
      <c r="B388" t="s">
        <v>183</v>
      </c>
      <c r="C388" t="s">
        <v>184</v>
      </c>
      <c r="D388" s="19">
        <f>_xlfn.XLOOKUP(C:C,Q:Q,R:R)</f>
        <v>627</v>
      </c>
      <c r="E388" s="19">
        <f t="shared" si="24"/>
        <v>22.392857142857142</v>
      </c>
      <c r="F388">
        <f>_xlfn.XLOOKUP(C:C,Q:Q,S:S)</f>
        <v>626.16</v>
      </c>
      <c r="I388" s="157">
        <f t="shared" si="25"/>
        <v>1254</v>
      </c>
      <c r="J388" t="b">
        <f t="shared" si="26"/>
        <v>1</v>
      </c>
      <c r="K388" s="4">
        <f t="shared" si="27"/>
        <v>-0.50066985645933015</v>
      </c>
      <c r="Q388" t="s">
        <v>839</v>
      </c>
      <c r="R388">
        <v>1161</v>
      </c>
      <c r="S388">
        <v>1374.2</v>
      </c>
    </row>
    <row r="389" spans="1:19" hidden="1">
      <c r="A389" t="s">
        <v>1220</v>
      </c>
      <c r="B389" t="s">
        <v>1002</v>
      </c>
      <c r="C389" t="s">
        <v>1003</v>
      </c>
      <c r="D389" s="19">
        <f>_xlfn.XLOOKUP(C:C,Q:Q,R:R)</f>
        <v>313</v>
      </c>
      <c r="E389" s="19">
        <f t="shared" si="24"/>
        <v>11.178571428571429</v>
      </c>
      <c r="F389">
        <f>_xlfn.XLOOKUP(C:C,Q:Q,S:S)</f>
        <v>201.38</v>
      </c>
      <c r="I389" s="19">
        <f t="shared" si="25"/>
        <v>626</v>
      </c>
      <c r="J389" t="b">
        <f t="shared" si="26"/>
        <v>1</v>
      </c>
      <c r="K389" s="4">
        <f t="shared" si="27"/>
        <v>-0.67830670926517578</v>
      </c>
      <c r="M389"/>
      <c r="O389"/>
      <c r="Q389" t="s">
        <v>841</v>
      </c>
      <c r="R389">
        <v>2704</v>
      </c>
      <c r="S389">
        <v>3791.04</v>
      </c>
    </row>
    <row r="390" spans="1:19" hidden="1">
      <c r="A390" t="s">
        <v>1220</v>
      </c>
      <c r="B390" t="s">
        <v>954</v>
      </c>
      <c r="C390" t="s">
        <v>955</v>
      </c>
      <c r="D390" s="19">
        <f>_xlfn.XLOOKUP(C:C,Q:Q,R:R)</f>
        <v>17</v>
      </c>
      <c r="E390" s="19">
        <f t="shared" si="24"/>
        <v>0.6071428571428571</v>
      </c>
      <c r="F390">
        <f>_xlfn.XLOOKUP(C:C,Q:Q,S:S)</f>
        <v>31</v>
      </c>
      <c r="I390" s="19">
        <f t="shared" si="25"/>
        <v>34</v>
      </c>
      <c r="J390" t="b">
        <f t="shared" si="26"/>
        <v>1</v>
      </c>
      <c r="K390" s="4">
        <f t="shared" si="27"/>
        <v>-8.8235294117647078E-2</v>
      </c>
      <c r="M390"/>
      <c r="O390"/>
      <c r="Q390" t="s">
        <v>843</v>
      </c>
      <c r="R390">
        <v>1464</v>
      </c>
      <c r="S390">
        <v>1310.06</v>
      </c>
    </row>
    <row r="391" spans="1:19" ht="16.5" hidden="1" customHeight="1">
      <c r="A391" t="s">
        <v>1220</v>
      </c>
      <c r="B391" t="s">
        <v>960</v>
      </c>
      <c r="C391" t="s">
        <v>961</v>
      </c>
      <c r="D391" s="19">
        <f>_xlfn.XLOOKUP(C:C,Q:Q,R:R)</f>
        <v>22</v>
      </c>
      <c r="E391" s="19">
        <f t="shared" si="24"/>
        <v>0.7857142857142857</v>
      </c>
      <c r="F391">
        <f>_xlfn.XLOOKUP(C:C,Q:Q,S:S)</f>
        <v>26.05</v>
      </c>
      <c r="I391" s="19">
        <f t="shared" si="25"/>
        <v>44</v>
      </c>
      <c r="J391" t="b">
        <f t="shared" si="26"/>
        <v>1</v>
      </c>
      <c r="K391" s="4">
        <f t="shared" si="27"/>
        <v>-0.40795454545454546</v>
      </c>
      <c r="M391"/>
      <c r="O391"/>
      <c r="Q391" t="s">
        <v>845</v>
      </c>
      <c r="R391">
        <v>432</v>
      </c>
      <c r="S391">
        <v>657.51</v>
      </c>
    </row>
    <row r="392" spans="1:19">
      <c r="Q392" t="s">
        <v>848</v>
      </c>
      <c r="R392">
        <v>1424</v>
      </c>
      <c r="S392">
        <v>3264.21</v>
      </c>
    </row>
    <row r="393" spans="1:19">
      <c r="Q393" t="s">
        <v>850</v>
      </c>
      <c r="R393">
        <v>1014</v>
      </c>
      <c r="S393">
        <v>1354.39</v>
      </c>
    </row>
    <row r="394" spans="1:19">
      <c r="Q394" t="s">
        <v>853</v>
      </c>
      <c r="R394">
        <v>1525</v>
      </c>
      <c r="S394">
        <v>2359.86</v>
      </c>
    </row>
    <row r="395" spans="1:19">
      <c r="Q395" t="s">
        <v>855</v>
      </c>
      <c r="R395">
        <v>816</v>
      </c>
      <c r="S395">
        <v>2073.8200000000002</v>
      </c>
    </row>
    <row r="396" spans="1:19">
      <c r="Q396" t="s">
        <v>857</v>
      </c>
      <c r="R396">
        <v>1682</v>
      </c>
      <c r="S396">
        <v>580.09</v>
      </c>
    </row>
    <row r="397" spans="1:19">
      <c r="Q397" t="s">
        <v>859</v>
      </c>
      <c r="R397">
        <v>261</v>
      </c>
      <c r="S397">
        <v>1405.71</v>
      </c>
    </row>
    <row r="398" spans="1:19">
      <c r="Q398" t="s">
        <v>861</v>
      </c>
      <c r="R398">
        <v>1366</v>
      </c>
      <c r="S398">
        <v>3088.32</v>
      </c>
    </row>
    <row r="399" spans="1:19">
      <c r="E399"/>
      <c r="Q399" t="s">
        <v>863</v>
      </c>
      <c r="R399">
        <v>1601</v>
      </c>
      <c r="S399">
        <v>3000.95</v>
      </c>
    </row>
    <row r="400" spans="1:19">
      <c r="Q400" t="s">
        <v>865</v>
      </c>
      <c r="R400">
        <v>7185</v>
      </c>
      <c r="S400">
        <v>9078.4500000000007</v>
      </c>
    </row>
    <row r="401" spans="17:19">
      <c r="Q401" t="s">
        <v>868</v>
      </c>
      <c r="R401">
        <v>1016</v>
      </c>
      <c r="S401">
        <v>2364.4699999999998</v>
      </c>
    </row>
    <row r="402" spans="17:19">
      <c r="Q402" t="s">
        <v>870</v>
      </c>
      <c r="R402">
        <v>1074</v>
      </c>
      <c r="S402">
        <v>1191.3399999999999</v>
      </c>
    </row>
    <row r="403" spans="17:19">
      <c r="R403">
        <v>0</v>
      </c>
      <c r="S403">
        <v>0</v>
      </c>
    </row>
    <row r="404" spans="17:19">
      <c r="Q404" t="s">
        <v>874</v>
      </c>
      <c r="R404">
        <v>539</v>
      </c>
      <c r="S404">
        <v>1057.49</v>
      </c>
    </row>
    <row r="405" spans="17:19">
      <c r="Q405" t="s">
        <v>876</v>
      </c>
      <c r="R405">
        <v>1075</v>
      </c>
      <c r="S405">
        <v>1761.57</v>
      </c>
    </row>
    <row r="406" spans="17:19">
      <c r="Q406" t="s">
        <v>878</v>
      </c>
      <c r="R406">
        <v>1470</v>
      </c>
      <c r="S406">
        <v>2032.1</v>
      </c>
    </row>
    <row r="407" spans="17:19">
      <c r="Q407" t="s">
        <v>880</v>
      </c>
      <c r="R407">
        <v>1676</v>
      </c>
      <c r="S407">
        <v>2748.23</v>
      </c>
    </row>
    <row r="408" spans="17:19">
      <c r="Q408" t="s">
        <v>882</v>
      </c>
      <c r="R408">
        <v>556</v>
      </c>
      <c r="S408">
        <v>399.59</v>
      </c>
    </row>
    <row r="409" spans="17:19">
      <c r="Q409" t="s">
        <v>885</v>
      </c>
      <c r="R409">
        <v>1179</v>
      </c>
      <c r="S409">
        <v>2708.58</v>
      </c>
    </row>
    <row r="410" spans="17:19">
      <c r="Q410" t="s">
        <v>888</v>
      </c>
      <c r="R410">
        <v>1553</v>
      </c>
      <c r="S410">
        <v>1075</v>
      </c>
    </row>
    <row r="411" spans="17:19">
      <c r="Q411" t="s">
        <v>890</v>
      </c>
      <c r="R411">
        <v>1400</v>
      </c>
      <c r="S411">
        <v>1440.96</v>
      </c>
    </row>
    <row r="412" spans="17:19">
      <c r="Q412" t="s">
        <v>892</v>
      </c>
      <c r="R412">
        <v>1462</v>
      </c>
      <c r="S412">
        <v>1070.9000000000001</v>
      </c>
    </row>
    <row r="413" spans="17:19">
      <c r="Q413" t="s">
        <v>895</v>
      </c>
      <c r="R413">
        <v>7031</v>
      </c>
      <c r="S413">
        <v>6062.04</v>
      </c>
    </row>
    <row r="414" spans="17:19">
      <c r="Q414" t="s">
        <v>897</v>
      </c>
      <c r="R414">
        <v>1743</v>
      </c>
      <c r="S414">
        <v>2986.39</v>
      </c>
    </row>
    <row r="415" spans="17:19">
      <c r="Q415" t="s">
        <v>899</v>
      </c>
      <c r="R415">
        <v>1235</v>
      </c>
      <c r="S415">
        <v>2031.46</v>
      </c>
    </row>
    <row r="416" spans="17:19">
      <c r="Q416" t="s">
        <v>901</v>
      </c>
      <c r="R416">
        <v>1</v>
      </c>
      <c r="S416">
        <v>0</v>
      </c>
    </row>
    <row r="417" spans="17:19">
      <c r="Q417" t="s">
        <v>903</v>
      </c>
      <c r="R417">
        <v>1060</v>
      </c>
      <c r="S417">
        <v>1987.32</v>
      </c>
    </row>
    <row r="418" spans="17:19">
      <c r="Q418" t="s">
        <v>905</v>
      </c>
      <c r="R418">
        <v>810</v>
      </c>
      <c r="S418">
        <v>987.64</v>
      </c>
    </row>
    <row r="419" spans="17:19">
      <c r="Q419" t="s">
        <v>907</v>
      </c>
      <c r="R419">
        <v>1161</v>
      </c>
      <c r="S419">
        <v>2264.92</v>
      </c>
    </row>
    <row r="420" spans="17:19">
      <c r="Q420" t="s">
        <v>910</v>
      </c>
      <c r="R420">
        <v>1609</v>
      </c>
      <c r="S420">
        <v>1661.07</v>
      </c>
    </row>
    <row r="421" spans="17:19">
      <c r="Q421" t="s">
        <v>912</v>
      </c>
      <c r="R421">
        <v>1107</v>
      </c>
      <c r="S421">
        <v>1110.52</v>
      </c>
    </row>
    <row r="422" spans="17:19">
      <c r="Q422" t="s">
        <v>914</v>
      </c>
      <c r="R422">
        <v>550</v>
      </c>
      <c r="S422">
        <v>515.15</v>
      </c>
    </row>
    <row r="423" spans="17:19">
      <c r="Q423" t="s">
        <v>916</v>
      </c>
      <c r="R423">
        <v>925</v>
      </c>
      <c r="S423">
        <v>1261.25</v>
      </c>
    </row>
    <row r="424" spans="17:19">
      <c r="Q424" t="s">
        <v>918</v>
      </c>
      <c r="R424">
        <v>1375</v>
      </c>
      <c r="S424">
        <v>2480.4</v>
      </c>
    </row>
    <row r="425" spans="17:19">
      <c r="Q425" t="s">
        <v>920</v>
      </c>
      <c r="R425">
        <v>770</v>
      </c>
      <c r="S425">
        <v>85.89</v>
      </c>
    </row>
    <row r="426" spans="17:19">
      <c r="Q426" t="s">
        <v>923</v>
      </c>
      <c r="R426">
        <v>1104</v>
      </c>
      <c r="S426">
        <v>2117</v>
      </c>
    </row>
    <row r="427" spans="17:19">
      <c r="Q427" t="s">
        <v>925</v>
      </c>
      <c r="R427">
        <v>1299</v>
      </c>
      <c r="S427">
        <v>2181.89</v>
      </c>
    </row>
    <row r="428" spans="17:19">
      <c r="Q428" t="s">
        <v>927</v>
      </c>
      <c r="R428">
        <v>930</v>
      </c>
      <c r="S428">
        <v>2178.85</v>
      </c>
    </row>
    <row r="429" spans="17:19">
      <c r="Q429" t="s">
        <v>929</v>
      </c>
      <c r="R429">
        <v>531</v>
      </c>
      <c r="S429">
        <v>251.56</v>
      </c>
    </row>
    <row r="430" spans="17:19">
      <c r="Q430" t="s">
        <v>931</v>
      </c>
      <c r="R430">
        <v>1122</v>
      </c>
      <c r="S430">
        <v>2440.81</v>
      </c>
    </row>
    <row r="431" spans="17:19">
      <c r="Q431" t="s">
        <v>933</v>
      </c>
      <c r="R431">
        <v>325</v>
      </c>
      <c r="S431">
        <v>978.93</v>
      </c>
    </row>
    <row r="432" spans="17:19">
      <c r="Q432" t="s">
        <v>935</v>
      </c>
      <c r="R432">
        <v>1173</v>
      </c>
      <c r="S432">
        <v>2045.63</v>
      </c>
    </row>
    <row r="433" spans="17:19">
      <c r="Q433" t="s">
        <v>937</v>
      </c>
      <c r="R433">
        <v>0</v>
      </c>
      <c r="S433">
        <v>0</v>
      </c>
    </row>
    <row r="434" spans="17:19">
      <c r="R434">
        <v>0</v>
      </c>
      <c r="S434">
        <v>0</v>
      </c>
    </row>
    <row r="435" spans="17:19">
      <c r="R435">
        <v>0</v>
      </c>
      <c r="S435">
        <v>0</v>
      </c>
    </row>
    <row r="436" spans="17:19">
      <c r="Q436" t="s">
        <v>944</v>
      </c>
      <c r="R436">
        <v>1253</v>
      </c>
      <c r="S436">
        <v>1938.81</v>
      </c>
    </row>
    <row r="437" spans="17:19">
      <c r="R437">
        <v>0</v>
      </c>
      <c r="S437">
        <v>0</v>
      </c>
    </row>
    <row r="438" spans="17:19">
      <c r="Q438" t="s">
        <v>949</v>
      </c>
      <c r="R438">
        <v>566</v>
      </c>
      <c r="S438">
        <v>1224.96</v>
      </c>
    </row>
    <row r="439" spans="17:19">
      <c r="Q439" t="s">
        <v>951</v>
      </c>
      <c r="R439">
        <v>601</v>
      </c>
      <c r="S439">
        <v>1605.96</v>
      </c>
    </row>
    <row r="440" spans="17:19">
      <c r="Q440" t="s">
        <v>953</v>
      </c>
      <c r="R440">
        <v>375</v>
      </c>
      <c r="S440">
        <v>652.58000000000004</v>
      </c>
    </row>
    <row r="441" spans="17:19">
      <c r="Q441" t="s">
        <v>955</v>
      </c>
      <c r="R441">
        <v>17</v>
      </c>
      <c r="S441">
        <v>31</v>
      </c>
    </row>
    <row r="442" spans="17:19">
      <c r="Q442" t="s">
        <v>957</v>
      </c>
      <c r="R442">
        <v>0</v>
      </c>
      <c r="S442">
        <v>0</v>
      </c>
    </row>
    <row r="443" spans="17:19">
      <c r="Q443" t="s">
        <v>959</v>
      </c>
      <c r="R443">
        <v>966</v>
      </c>
      <c r="S443">
        <v>591.04999999999995</v>
      </c>
    </row>
    <row r="444" spans="17:19">
      <c r="Q444" t="s">
        <v>961</v>
      </c>
      <c r="R444">
        <v>22</v>
      </c>
      <c r="S444">
        <v>26.05</v>
      </c>
    </row>
    <row r="445" spans="17:19">
      <c r="Q445" t="s">
        <v>963</v>
      </c>
      <c r="R445">
        <v>1292</v>
      </c>
      <c r="S445">
        <v>1954.98</v>
      </c>
    </row>
    <row r="446" spans="17:19">
      <c r="Q446" t="s">
        <v>965</v>
      </c>
      <c r="R446">
        <v>840</v>
      </c>
      <c r="S446">
        <v>462.91</v>
      </c>
    </row>
    <row r="447" spans="17:19">
      <c r="Q447" t="s">
        <v>967</v>
      </c>
      <c r="R447">
        <v>142</v>
      </c>
      <c r="S447">
        <v>0</v>
      </c>
    </row>
    <row r="448" spans="17:19">
      <c r="Q448" t="s">
        <v>969</v>
      </c>
      <c r="R448">
        <v>131</v>
      </c>
      <c r="S448">
        <v>513.11</v>
      </c>
    </row>
    <row r="449" spans="17:19">
      <c r="Q449" t="s">
        <v>971</v>
      </c>
      <c r="R449">
        <v>0</v>
      </c>
      <c r="S449">
        <v>0</v>
      </c>
    </row>
    <row r="450" spans="17:19">
      <c r="Q450" t="s">
        <v>973</v>
      </c>
      <c r="R450">
        <v>683</v>
      </c>
      <c r="S450">
        <v>642.48</v>
      </c>
    </row>
    <row r="451" spans="17:19">
      <c r="Q451" t="s">
        <v>975</v>
      </c>
      <c r="R451">
        <v>276</v>
      </c>
      <c r="S451">
        <v>0</v>
      </c>
    </row>
    <row r="452" spans="17:19">
      <c r="Q452" t="s">
        <v>977</v>
      </c>
      <c r="R452">
        <v>295</v>
      </c>
      <c r="S452">
        <v>114.7</v>
      </c>
    </row>
    <row r="453" spans="17:19">
      <c r="Q453" t="s">
        <v>979</v>
      </c>
      <c r="R453">
        <v>279</v>
      </c>
      <c r="S453">
        <v>0</v>
      </c>
    </row>
    <row r="454" spans="17:19">
      <c r="Q454" t="s">
        <v>981</v>
      </c>
      <c r="R454">
        <v>1946</v>
      </c>
      <c r="S454">
        <v>2591</v>
      </c>
    </row>
    <row r="455" spans="17:19">
      <c r="Q455" t="s">
        <v>983</v>
      </c>
      <c r="R455">
        <v>1462</v>
      </c>
      <c r="S455">
        <v>2207.94</v>
      </c>
    </row>
    <row r="456" spans="17:19">
      <c r="Q456" t="s">
        <v>985</v>
      </c>
      <c r="R456">
        <v>2083</v>
      </c>
      <c r="S456">
        <v>2456.46</v>
      </c>
    </row>
    <row r="457" spans="17:19">
      <c r="Q457" t="s">
        <v>987</v>
      </c>
      <c r="R457">
        <v>336</v>
      </c>
      <c r="S457">
        <v>1014.8</v>
      </c>
    </row>
    <row r="458" spans="17:19">
      <c r="Q458" t="s">
        <v>989</v>
      </c>
      <c r="R458">
        <v>1332</v>
      </c>
      <c r="S458">
        <v>1485.85</v>
      </c>
    </row>
    <row r="459" spans="17:19">
      <c r="Q459" t="s">
        <v>991</v>
      </c>
      <c r="R459">
        <v>796</v>
      </c>
      <c r="S459">
        <v>1368.16</v>
      </c>
    </row>
    <row r="460" spans="17:19">
      <c r="Q460" t="s">
        <v>993</v>
      </c>
      <c r="R460">
        <v>3891</v>
      </c>
      <c r="S460">
        <v>3675.14</v>
      </c>
    </row>
    <row r="461" spans="17:19">
      <c r="Q461" t="s">
        <v>995</v>
      </c>
      <c r="R461">
        <v>1452</v>
      </c>
      <c r="S461">
        <v>3178.29</v>
      </c>
    </row>
    <row r="462" spans="17:19">
      <c r="Q462" t="s">
        <v>997</v>
      </c>
      <c r="R462">
        <v>1547</v>
      </c>
      <c r="S462">
        <v>2379.5700000000002</v>
      </c>
    </row>
    <row r="463" spans="17:19">
      <c r="Q463" t="s">
        <v>999</v>
      </c>
      <c r="R463">
        <v>303</v>
      </c>
      <c r="S463">
        <v>0</v>
      </c>
    </row>
    <row r="464" spans="17:19">
      <c r="Q464" t="s">
        <v>1001</v>
      </c>
      <c r="R464">
        <v>1797</v>
      </c>
      <c r="S464">
        <v>1445.79</v>
      </c>
    </row>
    <row r="465" spans="17:19">
      <c r="Q465" t="s">
        <v>1003</v>
      </c>
      <c r="R465">
        <v>313</v>
      </c>
      <c r="S465">
        <v>201.38</v>
      </c>
    </row>
    <row r="466" spans="17:19">
      <c r="Q466" t="s">
        <v>1005</v>
      </c>
      <c r="R466">
        <v>742</v>
      </c>
      <c r="S466">
        <v>704.89</v>
      </c>
    </row>
    <row r="467" spans="17:19">
      <c r="Q467" t="s">
        <v>1007</v>
      </c>
      <c r="R467">
        <v>356</v>
      </c>
      <c r="S467">
        <v>199.27</v>
      </c>
    </row>
    <row r="468" spans="17:19">
      <c r="Q468" t="s">
        <v>1009</v>
      </c>
      <c r="R468">
        <v>1874</v>
      </c>
      <c r="S468">
        <v>3772.22</v>
      </c>
    </row>
    <row r="469" spans="17:19">
      <c r="Q469" t="s">
        <v>1011</v>
      </c>
      <c r="R469">
        <v>434</v>
      </c>
      <c r="S469">
        <v>676.99</v>
      </c>
    </row>
    <row r="470" spans="17:19">
      <c r="Q470" t="s">
        <v>1013</v>
      </c>
      <c r="R470">
        <v>922</v>
      </c>
      <c r="S470">
        <v>615.99</v>
      </c>
    </row>
    <row r="471" spans="17:19">
      <c r="Q471" t="s">
        <v>1015</v>
      </c>
      <c r="R471">
        <v>1303</v>
      </c>
      <c r="S471">
        <v>976.48</v>
      </c>
    </row>
    <row r="472" spans="17:19">
      <c r="Q472" t="s">
        <v>1017</v>
      </c>
      <c r="R472">
        <v>1967</v>
      </c>
      <c r="S472">
        <v>2669.32</v>
      </c>
    </row>
    <row r="473" spans="17:19">
      <c r="Q473" t="s">
        <v>1019</v>
      </c>
      <c r="R473">
        <v>2648</v>
      </c>
      <c r="S473">
        <v>1533.95</v>
      </c>
    </row>
    <row r="474" spans="17:19">
      <c r="Q474" t="s">
        <v>1021</v>
      </c>
      <c r="R474">
        <v>1099</v>
      </c>
      <c r="S474">
        <v>1681.39</v>
      </c>
    </row>
    <row r="475" spans="17:19">
      <c r="Q475" t="s">
        <v>1023</v>
      </c>
      <c r="R475">
        <v>3298</v>
      </c>
      <c r="S475">
        <v>6920.57</v>
      </c>
    </row>
    <row r="476" spans="17:19">
      <c r="Q476" t="s">
        <v>1025</v>
      </c>
      <c r="R476">
        <v>355</v>
      </c>
      <c r="S476">
        <v>1017.38</v>
      </c>
    </row>
    <row r="477" spans="17:19">
      <c r="Q477" t="s">
        <v>1027</v>
      </c>
      <c r="R477">
        <v>4192</v>
      </c>
      <c r="S477">
        <v>3703.72</v>
      </c>
    </row>
    <row r="478" spans="17:19">
      <c r="Q478" t="s">
        <v>1030</v>
      </c>
      <c r="R478">
        <v>5893</v>
      </c>
      <c r="S478">
        <v>4482.1899999999996</v>
      </c>
    </row>
    <row r="479" spans="17:19">
      <c r="Q479" t="s">
        <v>1032</v>
      </c>
      <c r="R479">
        <v>1168</v>
      </c>
      <c r="S479">
        <v>1022.36</v>
      </c>
    </row>
    <row r="480" spans="17:19">
      <c r="Q480" t="s">
        <v>1034</v>
      </c>
      <c r="R480">
        <v>660</v>
      </c>
      <c r="S480">
        <v>1099.67</v>
      </c>
    </row>
    <row r="481" spans="17:19">
      <c r="Q481" t="s">
        <v>1036</v>
      </c>
      <c r="R481">
        <v>1341</v>
      </c>
      <c r="S481">
        <v>2691.33</v>
      </c>
    </row>
    <row r="482" spans="17:19">
      <c r="Q482" t="s">
        <v>1038</v>
      </c>
      <c r="R482">
        <v>3129</v>
      </c>
      <c r="S482">
        <v>2951.94</v>
      </c>
    </row>
    <row r="483" spans="17:19">
      <c r="Q483" t="s">
        <v>1040</v>
      </c>
      <c r="R483">
        <v>3780</v>
      </c>
      <c r="S483">
        <v>6358.12</v>
      </c>
    </row>
    <row r="484" spans="17:19">
      <c r="Q484" t="s">
        <v>1042</v>
      </c>
      <c r="R484">
        <v>4424</v>
      </c>
      <c r="S484">
        <v>4518.8</v>
      </c>
    </row>
    <row r="485" spans="17:19">
      <c r="Q485" t="s">
        <v>1044</v>
      </c>
      <c r="R485">
        <v>910</v>
      </c>
      <c r="S485">
        <v>2003.82</v>
      </c>
    </row>
  </sheetData>
  <autoFilter ref="A1:O391" xr:uid="{EAD0D377-3820-4DB4-B8D5-8AE187021F68}">
    <filterColumn colId="9">
      <filters>
        <filter val="FALSE"/>
      </filters>
    </filterColumn>
  </autoFilter>
  <sortState xmlns:xlrd2="http://schemas.microsoft.com/office/spreadsheetml/2017/richdata2" ref="A2:F391">
    <sortCondition descending="1" ref="E1:E3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Cathy L -BH</cp:lastModifiedBy>
  <cp:revision/>
  <dcterms:created xsi:type="dcterms:W3CDTF">2015-06-05T18:17:20Z</dcterms:created>
  <dcterms:modified xsi:type="dcterms:W3CDTF">2025-03-15T00:28:13Z</dcterms:modified>
  <cp:category/>
  <cp:contentStatus/>
</cp:coreProperties>
</file>