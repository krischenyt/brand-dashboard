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540" documentId="8_{927BCF8B-0D30-4A5A-8C2F-BF28638F3ED6}" xr6:coauthVersionLast="47" xr6:coauthVersionMax="47" xr10:uidLastSave="{D35D320C-0E66-46F8-B62A-194CD7FCF8F2}"/>
  <bookViews>
    <workbookView xWindow="-120" yWindow="-120" windowWidth="29040" windowHeight="15720" firstSheet="4" activeTab="4" xr2:uid="{00000000-000D-0000-FFFF-FFFF00000000}"/>
  </bookViews>
  <sheets>
    <sheet name="Micro Difference" sheetId="1" r:id="rId1"/>
    <sheet name="NB Difference" sheetId="2" r:id="rId2"/>
    <sheet name="DS Difference" sheetId="3" r:id="rId3"/>
    <sheet name="Sales &amp; Budget OOB" sheetId="5" r:id="rId4"/>
    <sheet name="ACOS &amp; TCOS" sheetId="7" r:id="rId5"/>
    <sheet name="CVR" sheetId="9" r:id="rId6"/>
    <sheet name="All Products" sheetId="4" state="hidden" r:id="rId7"/>
  </sheets>
  <definedNames>
    <definedName name="_xlnm._FilterDatabase" localSheetId="5" hidden="1">CVR!$AG$1:$AG$488</definedName>
    <definedName name="_xlnm._FilterDatabase" localSheetId="2" hidden="1">'DS Difference'!$A$2:$AD$121</definedName>
    <definedName name="_xlnm._FilterDatabase" localSheetId="3" hidden="1">'Sales &amp; Budget OOB'!$A$1:$N$598</definedName>
    <definedName name="_xlnm._FilterDatabase" localSheetId="0" hidden="1">'Micro Difference'!$A$2:$AA$294</definedName>
    <definedName name="_xlnm._FilterDatabase" localSheetId="1" hidden="1">'NB Difference'!$A$2:$AN$2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 i="7" l="1"/>
  <c r="AL5" i="7"/>
  <c r="AL3" i="7"/>
  <c r="AL4" i="7"/>
  <c r="AL41" i="7"/>
  <c r="AI41" i="7"/>
  <c r="AJ41" i="7"/>
  <c r="AK41" i="7"/>
  <c r="AH30" i="7"/>
  <c r="AI30" i="7"/>
  <c r="AJ30" i="7"/>
  <c r="AK30" i="7"/>
  <c r="AH31" i="7"/>
  <c r="AI31" i="7"/>
  <c r="AJ31" i="7"/>
  <c r="AK31" i="7"/>
  <c r="AH32" i="7"/>
  <c r="AI32" i="7"/>
  <c r="AJ32" i="7"/>
  <c r="AK32" i="7"/>
  <c r="AH33" i="7"/>
  <c r="AI33" i="7"/>
  <c r="AJ33" i="7"/>
  <c r="AK33" i="7"/>
  <c r="AH23" i="7"/>
  <c r="AI23" i="7"/>
  <c r="AJ23" i="7"/>
  <c r="AK23" i="7"/>
  <c r="AH24" i="7"/>
  <c r="AI24" i="7"/>
  <c r="AJ24" i="7"/>
  <c r="AK24" i="7"/>
  <c r="AH25" i="7"/>
  <c r="AI25" i="7"/>
  <c r="AJ25" i="7"/>
  <c r="AK25" i="7"/>
  <c r="AH26" i="7"/>
  <c r="AI26" i="7"/>
  <c r="AJ26" i="7"/>
  <c r="AK26" i="7"/>
  <c r="AC17" i="2"/>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4" i="3"/>
  <c r="S3" i="3"/>
  <c r="S10" i="2"/>
  <c r="S138" i="2"/>
  <c r="S6" i="2"/>
  <c r="S86" i="2"/>
  <c r="S111" i="2"/>
  <c r="S15" i="2"/>
  <c r="S114" i="2"/>
  <c r="S37" i="2"/>
  <c r="S16" i="2"/>
  <c r="S112" i="2"/>
  <c r="S120" i="2"/>
  <c r="S43" i="2"/>
  <c r="S20" i="2"/>
  <c r="S67" i="2"/>
  <c r="S121" i="2"/>
  <c r="S135" i="2"/>
  <c r="S84" i="2"/>
  <c r="S29" i="2"/>
  <c r="S127" i="2"/>
  <c r="S102" i="2"/>
  <c r="S81" i="2"/>
  <c r="S68" i="2"/>
  <c r="S22" i="2"/>
  <c r="S28" i="2"/>
  <c r="S119" i="2"/>
  <c r="S123" i="2"/>
  <c r="S76" i="2"/>
  <c r="S96" i="2"/>
  <c r="S66" i="2"/>
  <c r="S137" i="2"/>
  <c r="S7" i="2"/>
  <c r="S116" i="2"/>
  <c r="S99" i="2"/>
  <c r="S52" i="2"/>
  <c r="S25" i="2"/>
  <c r="S125" i="2"/>
  <c r="S11" i="2"/>
  <c r="S113" i="2"/>
  <c r="S108" i="2"/>
  <c r="S141" i="2"/>
  <c r="S54" i="2"/>
  <c r="S80" i="2"/>
  <c r="S69" i="2"/>
  <c r="S75" i="2"/>
  <c r="S100" i="2"/>
  <c r="S124" i="2"/>
  <c r="S48" i="2"/>
  <c r="S62" i="2"/>
  <c r="S46" i="2"/>
  <c r="S65" i="2"/>
  <c r="S38" i="2"/>
  <c r="S41" i="2"/>
  <c r="S51" i="2"/>
  <c r="S49" i="2"/>
  <c r="S142" i="2"/>
  <c r="S72" i="2"/>
  <c r="S143" i="2"/>
  <c r="S98" i="2"/>
  <c r="S101" i="2"/>
  <c r="S90" i="2"/>
  <c r="S89" i="2"/>
  <c r="S91" i="2"/>
  <c r="S87" i="2"/>
  <c r="S78" i="2"/>
  <c r="S105" i="2"/>
  <c r="S140" i="2"/>
  <c r="S39" i="2"/>
  <c r="S106" i="2"/>
  <c r="S109" i="2"/>
  <c r="S45" i="2"/>
  <c r="S56" i="2"/>
  <c r="S92" i="2"/>
  <c r="S134" i="2"/>
  <c r="S32" i="2"/>
  <c r="S42" i="2"/>
  <c r="S64" i="2"/>
  <c r="S57" i="2"/>
  <c r="S61" i="2"/>
  <c r="S107" i="2"/>
  <c r="S73" i="2"/>
  <c r="S88" i="2"/>
  <c r="S115" i="2"/>
  <c r="S128" i="2"/>
  <c r="S85" i="2"/>
  <c r="S139" i="2"/>
  <c r="S77" i="2"/>
  <c r="S26" i="2"/>
  <c r="S50" i="2"/>
  <c r="S23" i="2"/>
  <c r="S58" i="2"/>
  <c r="S74" i="2"/>
  <c r="S33" i="2"/>
  <c r="S94" i="2"/>
  <c r="S117" i="2"/>
  <c r="S83" i="2"/>
  <c r="S18" i="2"/>
  <c r="S60" i="2"/>
  <c r="S122" i="2"/>
  <c r="S44" i="2"/>
  <c r="S47" i="2"/>
  <c r="S55" i="2"/>
  <c r="S118" i="2"/>
  <c r="S59" i="2"/>
  <c r="S110" i="2"/>
  <c r="S82" i="2"/>
  <c r="S53" i="2"/>
  <c r="S21" i="2"/>
  <c r="S19" i="2"/>
  <c r="S104" i="2"/>
  <c r="S40" i="2"/>
  <c r="S126" i="2"/>
  <c r="S97" i="2"/>
  <c r="S35" i="2"/>
  <c r="S14" i="2"/>
  <c r="S12" i="2"/>
  <c r="S133" i="2"/>
  <c r="S131" i="2"/>
  <c r="S30" i="2"/>
  <c r="S31" i="2"/>
  <c r="S17" i="2"/>
  <c r="S9" i="2"/>
  <c r="S95" i="2"/>
  <c r="S27" i="2"/>
  <c r="S103" i="2"/>
  <c r="S129" i="2"/>
  <c r="S132" i="2"/>
  <c r="S34" i="2"/>
  <c r="S79" i="2"/>
  <c r="S130" i="2"/>
  <c r="S8" i="2"/>
  <c r="S13" i="2"/>
  <c r="S136" i="2"/>
  <c r="S3" i="2"/>
  <c r="S4" i="2"/>
  <c r="T5" i="2"/>
  <c r="T3" i="2"/>
  <c r="T4" i="2"/>
  <c r="S5" i="2"/>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10" i="1"/>
  <c r="T211" i="1"/>
  <c r="T212" i="1"/>
  <c r="T213" i="1"/>
  <c r="T214"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 i="1"/>
  <c r="U8" i="1"/>
  <c r="AG5" i="7"/>
  <c r="AC131" i="3"/>
  <c r="AB131" i="3"/>
  <c r="Q131" i="3"/>
  <c r="O131" i="3"/>
  <c r="N131" i="3"/>
  <c r="AB146" i="2"/>
  <c r="AA146" i="2"/>
  <c r="Q146" i="2"/>
  <c r="N146" i="2"/>
  <c r="M146" i="2"/>
  <c r="X340" i="1"/>
  <c r="W340" i="1"/>
  <c r="Q340" i="1"/>
  <c r="N340" i="1"/>
  <c r="M340" i="1"/>
  <c r="F340" i="1"/>
  <c r="C340" i="1"/>
  <c r="F131" i="3"/>
  <c r="C131" i="3"/>
  <c r="E8" i="5"/>
  <c r="AG23" i="7"/>
  <c r="AG40" i="7"/>
  <c r="AH41" i="7" s="1"/>
  <c r="AG32" i="7"/>
  <c r="AG31" i="7"/>
  <c r="AG30" i="7"/>
  <c r="AG25" i="7"/>
  <c r="AG24" i="7"/>
  <c r="AG19" i="7"/>
  <c r="AG12" i="7"/>
  <c r="AB149" i="2"/>
  <c r="U146" i="2"/>
  <c r="Q148" i="2"/>
  <c r="F146" i="2"/>
  <c r="C146" i="2"/>
  <c r="K36" i="2"/>
  <c r="K24" i="2"/>
  <c r="K63" i="2"/>
  <c r="J36" i="2"/>
  <c r="J24" i="2"/>
  <c r="J63" i="2"/>
  <c r="U36" i="2"/>
  <c r="U24" i="2"/>
  <c r="U63" i="2"/>
  <c r="T36" i="2"/>
  <c r="T24" i="2"/>
  <c r="T63" i="2"/>
  <c r="AC24" i="2"/>
  <c r="AC63" i="2"/>
  <c r="AC36" i="2"/>
  <c r="K26" i="1"/>
  <c r="K137" i="1"/>
  <c r="K146" i="1"/>
  <c r="K141" i="1"/>
  <c r="K198" i="1"/>
  <c r="K206" i="1"/>
  <c r="K172" i="1"/>
  <c r="K157" i="1"/>
  <c r="K175" i="1"/>
  <c r="K187" i="1"/>
  <c r="K143" i="1"/>
  <c r="K210" i="1"/>
  <c r="K212" i="1"/>
  <c r="K219" i="1"/>
  <c r="K215" i="1"/>
  <c r="K207" i="1"/>
  <c r="K209" i="1"/>
  <c r="K216" i="1"/>
  <c r="K217" i="1"/>
  <c r="J26" i="1"/>
  <c r="J137" i="1"/>
  <c r="J146" i="1"/>
  <c r="J141" i="1"/>
  <c r="J198" i="1"/>
  <c r="J206" i="1"/>
  <c r="J172" i="1"/>
  <c r="J157" i="1"/>
  <c r="J175" i="1"/>
  <c r="J187" i="1"/>
  <c r="J143" i="1"/>
  <c r="J210" i="1"/>
  <c r="J212" i="1"/>
  <c r="J219" i="1"/>
  <c r="J215" i="1"/>
  <c r="J207" i="1"/>
  <c r="J209" i="1"/>
  <c r="J216" i="1"/>
  <c r="J217" i="1"/>
  <c r="J77" i="1"/>
  <c r="K77" i="1"/>
  <c r="G124" i="3"/>
  <c r="G123" i="3"/>
  <c r="G36" i="2"/>
  <c r="G24" i="2"/>
  <c r="G63" i="2"/>
  <c r="V26" i="1"/>
  <c r="V137" i="1"/>
  <c r="V146" i="1"/>
  <c r="V141" i="1"/>
  <c r="V198" i="1"/>
  <c r="V206" i="1"/>
  <c r="V172" i="1"/>
  <c r="V157" i="1"/>
  <c r="V175" i="1"/>
  <c r="V187" i="1"/>
  <c r="V143" i="1"/>
  <c r="V210" i="1"/>
  <c r="V212" i="1"/>
  <c r="V219" i="1"/>
  <c r="V215" i="1"/>
  <c r="V207" i="1"/>
  <c r="V209" i="1"/>
  <c r="V216" i="1"/>
  <c r="V217" i="1"/>
  <c r="U26" i="1"/>
  <c r="U137" i="1"/>
  <c r="U146" i="1"/>
  <c r="U141" i="1"/>
  <c r="U198" i="1"/>
  <c r="U206" i="1"/>
  <c r="U172" i="1"/>
  <c r="U157" i="1"/>
  <c r="U175" i="1"/>
  <c r="U187" i="1"/>
  <c r="U143" i="1"/>
  <c r="U210" i="1"/>
  <c r="U212" i="1"/>
  <c r="U219" i="1"/>
  <c r="U215" i="1"/>
  <c r="U207" i="1"/>
  <c r="U209" i="1"/>
  <c r="U216" i="1"/>
  <c r="U217" i="1"/>
  <c r="U77" i="1"/>
  <c r="V77" i="1"/>
  <c r="G77" i="1"/>
  <c r="G26" i="1"/>
  <c r="G137" i="1"/>
  <c r="G146" i="1"/>
  <c r="G141" i="1"/>
  <c r="G198" i="1"/>
  <c r="G206" i="1"/>
  <c r="G172" i="1"/>
  <c r="G157" i="1"/>
  <c r="G175" i="1"/>
  <c r="G187" i="1"/>
  <c r="G143" i="1"/>
  <c r="G210" i="1"/>
  <c r="G212" i="1"/>
  <c r="G219" i="1"/>
  <c r="G215" i="1"/>
  <c r="G207" i="1"/>
  <c r="G209" i="1"/>
  <c r="G216" i="1"/>
  <c r="G217" i="1"/>
  <c r="AF5" i="7"/>
  <c r="AF19" i="7"/>
  <c r="AF12" i="7"/>
  <c r="AF40" i="7"/>
  <c r="AF32" i="7"/>
  <c r="AF31" i="7"/>
  <c r="AF30" i="7"/>
  <c r="AF25" i="7"/>
  <c r="AF24" i="7"/>
  <c r="AF23" i="7"/>
  <c r="V194" i="1"/>
  <c r="V334" i="1"/>
  <c r="V10" i="1"/>
  <c r="V40" i="1"/>
  <c r="V82" i="1"/>
  <c r="V36" i="1"/>
  <c r="V34" i="1"/>
  <c r="V41" i="1"/>
  <c r="V49" i="1"/>
  <c r="V21" i="1"/>
  <c r="V14" i="1"/>
  <c r="V19" i="1"/>
  <c r="V35" i="1"/>
  <c r="V43" i="1"/>
  <c r="V15" i="1"/>
  <c r="V18" i="1"/>
  <c r="V16" i="1"/>
  <c r="V20" i="1"/>
  <c r="V45" i="1"/>
  <c r="V17" i="1"/>
  <c r="V22" i="1"/>
  <c r="V50" i="1"/>
  <c r="U194" i="1"/>
  <c r="U10" i="1"/>
  <c r="U40" i="1"/>
  <c r="U82" i="1"/>
  <c r="U36" i="1"/>
  <c r="U34" i="1"/>
  <c r="U41" i="1"/>
  <c r="U49" i="1"/>
  <c r="U21" i="1"/>
  <c r="U14" i="1"/>
  <c r="U19" i="1"/>
  <c r="U35" i="1"/>
  <c r="U43" i="1"/>
  <c r="U15" i="1"/>
  <c r="U18" i="1"/>
  <c r="U16" i="1"/>
  <c r="U20" i="1"/>
  <c r="U45" i="1"/>
  <c r="U17" i="1"/>
  <c r="U22" i="1"/>
  <c r="U50" i="1"/>
  <c r="AD116" i="3"/>
  <c r="J116" i="3"/>
  <c r="K116" i="3"/>
  <c r="G116" i="3"/>
  <c r="Y194" i="1"/>
  <c r="Y10" i="1"/>
  <c r="Y40" i="1"/>
  <c r="Y82" i="1"/>
  <c r="Y36" i="1"/>
  <c r="Y34" i="1"/>
  <c r="Y41" i="1"/>
  <c r="Y49" i="1"/>
  <c r="Y21" i="1"/>
  <c r="Y14" i="1"/>
  <c r="Y19" i="1"/>
  <c r="Y35" i="1"/>
  <c r="Y43" i="1"/>
  <c r="Y15" i="1"/>
  <c r="Y18" i="1"/>
  <c r="Y16" i="1"/>
  <c r="Y20" i="1"/>
  <c r="Y45" i="1"/>
  <c r="Y17" i="1"/>
  <c r="Y22" i="1"/>
  <c r="Y50" i="1"/>
  <c r="Y337" i="1"/>
  <c r="Y297" i="1"/>
  <c r="U297" i="1"/>
  <c r="V297" i="1"/>
  <c r="K194" i="1"/>
  <c r="K10" i="1"/>
  <c r="K40" i="1"/>
  <c r="K82" i="1"/>
  <c r="K36" i="1"/>
  <c r="K34" i="1"/>
  <c r="K41" i="1"/>
  <c r="K49" i="1"/>
  <c r="K21" i="1"/>
  <c r="K14" i="1"/>
  <c r="K19" i="1"/>
  <c r="K35" i="1"/>
  <c r="K43" i="1"/>
  <c r="K15" i="1"/>
  <c r="K18" i="1"/>
  <c r="K16" i="1"/>
  <c r="K20" i="1"/>
  <c r="K45" i="1"/>
  <c r="K17" i="1"/>
  <c r="K22" i="1"/>
  <c r="K50" i="1"/>
  <c r="K337" i="1"/>
  <c r="J194" i="1"/>
  <c r="J10" i="1"/>
  <c r="J40" i="1"/>
  <c r="J82" i="1"/>
  <c r="J36" i="1"/>
  <c r="J34" i="1"/>
  <c r="J41" i="1"/>
  <c r="J49" i="1"/>
  <c r="J21" i="1"/>
  <c r="J14" i="1"/>
  <c r="J19" i="1"/>
  <c r="J35" i="1"/>
  <c r="J43" i="1"/>
  <c r="J15" i="1"/>
  <c r="J18" i="1"/>
  <c r="J16" i="1"/>
  <c r="J20" i="1"/>
  <c r="J45" i="1"/>
  <c r="J17" i="1"/>
  <c r="J22" i="1"/>
  <c r="J50" i="1"/>
  <c r="J337" i="1"/>
  <c r="J297" i="1"/>
  <c r="K297" i="1"/>
  <c r="G297" i="1"/>
  <c r="G194" i="1"/>
  <c r="G10" i="1"/>
  <c r="G40" i="1"/>
  <c r="G82" i="1"/>
  <c r="G36" i="1"/>
  <c r="G34" i="1"/>
  <c r="G41" i="1"/>
  <c r="G49" i="1"/>
  <c r="G21" i="1"/>
  <c r="G14" i="1"/>
  <c r="G19" i="1"/>
  <c r="G35" i="1"/>
  <c r="G43" i="1"/>
  <c r="G15" i="1"/>
  <c r="G18" i="1"/>
  <c r="G16" i="1"/>
  <c r="G20" i="1"/>
  <c r="G45" i="1"/>
  <c r="G17" i="1"/>
  <c r="G22" i="1"/>
  <c r="G50" i="1"/>
  <c r="G337" i="1"/>
  <c r="AE25" i="7"/>
  <c r="J121" i="3"/>
  <c r="J122" i="3"/>
  <c r="J82" i="3"/>
  <c r="J89" i="3"/>
  <c r="J52" i="3"/>
  <c r="J108" i="3"/>
  <c r="J7" i="3"/>
  <c r="J6" i="3"/>
  <c r="J53" i="3"/>
  <c r="J55" i="3"/>
  <c r="J105" i="3"/>
  <c r="J12" i="3"/>
  <c r="J131" i="3" s="1"/>
  <c r="J30" i="3"/>
  <c r="J119" i="3"/>
  <c r="J18" i="3"/>
  <c r="J4" i="3"/>
  <c r="J115" i="3"/>
  <c r="J85" i="3"/>
  <c r="J87" i="3"/>
  <c r="J96" i="3"/>
  <c r="J40" i="3"/>
  <c r="J101" i="3"/>
  <c r="J38" i="3"/>
  <c r="J22" i="3"/>
  <c r="J61" i="3"/>
  <c r="J56" i="3"/>
  <c r="J99" i="3"/>
  <c r="J93" i="3"/>
  <c r="J45" i="3"/>
  <c r="J109" i="3"/>
  <c r="J86" i="3"/>
  <c r="J60" i="3"/>
  <c r="J13" i="3"/>
  <c r="J20" i="3"/>
  <c r="J21" i="3"/>
  <c r="J113" i="3"/>
  <c r="J67" i="3"/>
  <c r="J34" i="3"/>
  <c r="J47" i="3"/>
  <c r="J26" i="3"/>
  <c r="J90" i="3"/>
  <c r="J58" i="3"/>
  <c r="J71" i="3"/>
  <c r="J31" i="3"/>
  <c r="J112" i="3"/>
  <c r="J11" i="3"/>
  <c r="J104" i="3"/>
  <c r="J29" i="3"/>
  <c r="J33" i="3"/>
  <c r="J117" i="3"/>
  <c r="J95" i="3"/>
  <c r="J48" i="3"/>
  <c r="J94" i="3"/>
  <c r="J73" i="3"/>
  <c r="J54" i="3"/>
  <c r="J5" i="3"/>
  <c r="J15" i="3"/>
  <c r="J28" i="3"/>
  <c r="J68" i="3"/>
  <c r="J46" i="3"/>
  <c r="J65" i="3"/>
  <c r="J43" i="3"/>
  <c r="J37" i="3"/>
  <c r="J106" i="3"/>
  <c r="J74" i="3"/>
  <c r="J103" i="3"/>
  <c r="J81" i="3"/>
  <c r="J64" i="3"/>
  <c r="J78" i="3"/>
  <c r="J100" i="3"/>
  <c r="J98" i="3"/>
  <c r="J72" i="3"/>
  <c r="J75" i="3"/>
  <c r="J76" i="3"/>
  <c r="J79" i="3"/>
  <c r="J77" i="3"/>
  <c r="J50" i="3"/>
  <c r="J63" i="3"/>
  <c r="J107" i="3"/>
  <c r="J88" i="3"/>
  <c r="J9" i="3"/>
  <c r="J35" i="3"/>
  <c r="J62" i="3"/>
  <c r="J25" i="3"/>
  <c r="J49" i="3"/>
  <c r="J70" i="3"/>
  <c r="J66" i="3"/>
  <c r="J84" i="3"/>
  <c r="J39" i="3"/>
  <c r="J8" i="3"/>
  <c r="J102" i="3"/>
  <c r="J118" i="3"/>
  <c r="J32" i="3"/>
  <c r="J24" i="3"/>
  <c r="J83" i="3"/>
  <c r="J51" i="3"/>
  <c r="J41" i="3"/>
  <c r="J36" i="3"/>
  <c r="J97" i="3"/>
  <c r="J16" i="3"/>
  <c r="J27" i="3"/>
  <c r="J92" i="3"/>
  <c r="J10" i="3"/>
  <c r="J23" i="3"/>
  <c r="J19" i="3"/>
  <c r="J42" i="3"/>
  <c r="J59" i="3"/>
  <c r="J17" i="3"/>
  <c r="J120" i="3"/>
  <c r="J91" i="3"/>
  <c r="J69" i="3"/>
  <c r="J80" i="3"/>
  <c r="J44" i="3"/>
  <c r="J14" i="3"/>
  <c r="J114" i="3"/>
  <c r="J111" i="3"/>
  <c r="J110" i="3"/>
  <c r="J57" i="3"/>
  <c r="J3" i="3"/>
  <c r="J5" i="2"/>
  <c r="J4" i="2"/>
  <c r="J136" i="2"/>
  <c r="J10" i="2"/>
  <c r="J138" i="2"/>
  <c r="J6" i="2"/>
  <c r="J86" i="2"/>
  <c r="J111" i="2"/>
  <c r="J15" i="2"/>
  <c r="J114" i="2"/>
  <c r="J37" i="2"/>
  <c r="J112" i="2"/>
  <c r="J120" i="2"/>
  <c r="J43" i="2"/>
  <c r="J20" i="2"/>
  <c r="J67" i="2"/>
  <c r="J121" i="2"/>
  <c r="J135" i="2"/>
  <c r="J84" i="2"/>
  <c r="J29" i="2"/>
  <c r="J127" i="2"/>
  <c r="J102" i="2"/>
  <c r="J81" i="2"/>
  <c r="J68" i="2"/>
  <c r="J22" i="2"/>
  <c r="J28" i="2"/>
  <c r="J119" i="2"/>
  <c r="J123" i="2"/>
  <c r="J76" i="2"/>
  <c r="J96" i="2"/>
  <c r="J66" i="2"/>
  <c r="J137" i="2"/>
  <c r="J7" i="2"/>
  <c r="J116" i="2"/>
  <c r="J99" i="2"/>
  <c r="J52" i="2"/>
  <c r="J25" i="2"/>
  <c r="J125" i="2"/>
  <c r="J11" i="2"/>
  <c r="J113" i="2"/>
  <c r="J108" i="2"/>
  <c r="J54" i="2"/>
  <c r="J80" i="2"/>
  <c r="J69" i="2"/>
  <c r="J75" i="2"/>
  <c r="J100" i="2"/>
  <c r="J124" i="2"/>
  <c r="J48" i="2"/>
  <c r="J62" i="2"/>
  <c r="J46" i="2"/>
  <c r="J65" i="2"/>
  <c r="J38" i="2"/>
  <c r="J41" i="2"/>
  <c r="J51" i="2"/>
  <c r="J49" i="2"/>
  <c r="J70" i="2"/>
  <c r="J72" i="2"/>
  <c r="J16" i="2"/>
  <c r="J71" i="2"/>
  <c r="J141" i="2"/>
  <c r="J143" i="2"/>
  <c r="J98" i="2"/>
  <c r="J93" i="2"/>
  <c r="J101" i="2"/>
  <c r="J90" i="2"/>
  <c r="J89" i="2"/>
  <c r="J91" i="2"/>
  <c r="J87" i="2"/>
  <c r="J78" i="2"/>
  <c r="J105" i="2"/>
  <c r="J140" i="2"/>
  <c r="J39" i="2"/>
  <c r="J106" i="2"/>
  <c r="J109" i="2"/>
  <c r="J45" i="2"/>
  <c r="J56" i="2"/>
  <c r="J92" i="2"/>
  <c r="J134" i="2"/>
  <c r="J32" i="2"/>
  <c r="J42" i="2"/>
  <c r="J64" i="2"/>
  <c r="J57" i="2"/>
  <c r="J61" i="2"/>
  <c r="J107" i="2"/>
  <c r="J73" i="2"/>
  <c r="J88" i="2"/>
  <c r="J115" i="2"/>
  <c r="J128" i="2"/>
  <c r="J85" i="2"/>
  <c r="J139" i="2"/>
  <c r="J77" i="2"/>
  <c r="J26" i="2"/>
  <c r="J50" i="2"/>
  <c r="J23" i="2"/>
  <c r="J58" i="2"/>
  <c r="J74" i="2"/>
  <c r="J33" i="2"/>
  <c r="J94" i="2"/>
  <c r="J117" i="2"/>
  <c r="J83" i="2"/>
  <c r="J18" i="2"/>
  <c r="J60" i="2"/>
  <c r="J122" i="2"/>
  <c r="J44" i="2"/>
  <c r="J47" i="2"/>
  <c r="J55" i="2"/>
  <c r="J118" i="2"/>
  <c r="J59" i="2"/>
  <c r="J110" i="2"/>
  <c r="J82" i="2"/>
  <c r="J53" i="2"/>
  <c r="J21" i="2"/>
  <c r="J19" i="2"/>
  <c r="J104" i="2"/>
  <c r="J40" i="2"/>
  <c r="J126" i="2"/>
  <c r="J97" i="2"/>
  <c r="J35" i="2"/>
  <c r="J14" i="2"/>
  <c r="J12" i="2"/>
  <c r="J133" i="2"/>
  <c r="J131" i="2"/>
  <c r="J30" i="2"/>
  <c r="J31" i="2"/>
  <c r="J17" i="2"/>
  <c r="J9" i="2"/>
  <c r="J95" i="2"/>
  <c r="J27" i="2"/>
  <c r="J103" i="2"/>
  <c r="J129" i="2"/>
  <c r="J132" i="2"/>
  <c r="J34" i="2"/>
  <c r="J79" i="2"/>
  <c r="J130" i="2"/>
  <c r="J8" i="2"/>
  <c r="J13" i="2"/>
  <c r="J3" i="2"/>
  <c r="J142" i="2"/>
  <c r="J334" i="1"/>
  <c r="J3" i="1"/>
  <c r="J6" i="1"/>
  <c r="J57" i="1"/>
  <c r="J4" i="1"/>
  <c r="J156" i="1"/>
  <c r="J145" i="1"/>
  <c r="J325" i="1"/>
  <c r="J130" i="1"/>
  <c r="J7" i="1"/>
  <c r="J81" i="1"/>
  <c r="J9" i="1"/>
  <c r="J166" i="1"/>
  <c r="J71" i="1"/>
  <c r="J329" i="1"/>
  <c r="J333" i="1"/>
  <c r="J89" i="1"/>
  <c r="J29" i="1"/>
  <c r="J53" i="1"/>
  <c r="J98" i="1"/>
  <c r="J247" i="1"/>
  <c r="J46" i="1"/>
  <c r="J11" i="1"/>
  <c r="J303" i="1"/>
  <c r="J24" i="1"/>
  <c r="J138" i="1"/>
  <c r="J32" i="1"/>
  <c r="J327" i="1"/>
  <c r="J151" i="1"/>
  <c r="J100" i="1"/>
  <c r="J314" i="1"/>
  <c r="J323" i="1"/>
  <c r="J115" i="1"/>
  <c r="J79" i="1"/>
  <c r="J109" i="1"/>
  <c r="J319" i="1"/>
  <c r="J183" i="1"/>
  <c r="J102" i="1"/>
  <c r="J321" i="1"/>
  <c r="J88" i="1"/>
  <c r="J272" i="1"/>
  <c r="J136" i="1"/>
  <c r="J129" i="1"/>
  <c r="J28" i="1"/>
  <c r="J31" i="1"/>
  <c r="J91" i="1"/>
  <c r="J99" i="1"/>
  <c r="J182" i="1"/>
  <c r="J242" i="1"/>
  <c r="J203" i="1"/>
  <c r="J196" i="1"/>
  <c r="J289" i="1"/>
  <c r="J92" i="1"/>
  <c r="J191" i="1"/>
  <c r="J286" i="1"/>
  <c r="J228" i="1"/>
  <c r="J126" i="1"/>
  <c r="J193" i="1"/>
  <c r="J273" i="1"/>
  <c r="J260" i="1"/>
  <c r="J309" i="1"/>
  <c r="J256" i="1"/>
  <c r="J144" i="1"/>
  <c r="J135" i="1"/>
  <c r="J318" i="1"/>
  <c r="J275" i="1"/>
  <c r="J284" i="1"/>
  <c r="J298" i="1"/>
  <c r="J51" i="1"/>
  <c r="J158" i="1"/>
  <c r="J313" i="1"/>
  <c r="J285" i="1"/>
  <c r="J315" i="1"/>
  <c r="J142" i="1"/>
  <c r="J108" i="1"/>
  <c r="J269" i="1"/>
  <c r="J162" i="1"/>
  <c r="J27" i="1"/>
  <c r="J74" i="1"/>
  <c r="J110" i="1"/>
  <c r="J118" i="1"/>
  <c r="J244" i="1"/>
  <c r="J186" i="1"/>
  <c r="J116" i="1"/>
  <c r="J257" i="1"/>
  <c r="J213" i="1"/>
  <c r="J64" i="1"/>
  <c r="J208" i="1"/>
  <c r="J293" i="1"/>
  <c r="J281" i="1"/>
  <c r="J192" i="1"/>
  <c r="J122" i="1"/>
  <c r="J202" i="1"/>
  <c r="J312" i="1"/>
  <c r="J239" i="1"/>
  <c r="J265" i="1"/>
  <c r="J164" i="1"/>
  <c r="J83" i="1"/>
  <c r="J271" i="1"/>
  <c r="J86" i="1"/>
  <c r="J170" i="1"/>
  <c r="J245" i="1"/>
  <c r="J169" i="1"/>
  <c r="J199" i="1"/>
  <c r="J65" i="1"/>
  <c r="J229" i="1"/>
  <c r="J139" i="1"/>
  <c r="J127" i="1"/>
  <c r="J61" i="1"/>
  <c r="J292" i="1"/>
  <c r="J282" i="1"/>
  <c r="J85" i="1"/>
  <c r="J287" i="1"/>
  <c r="J246" i="1"/>
  <c r="J296" i="1"/>
  <c r="J56" i="1"/>
  <c r="J67" i="1"/>
  <c r="J188" i="1"/>
  <c r="J174" i="1"/>
  <c r="J155" i="1"/>
  <c r="J132" i="1"/>
  <c r="J258" i="1"/>
  <c r="J163" i="1"/>
  <c r="J218" i="1"/>
  <c r="J148" i="1"/>
  <c r="J283" i="1"/>
  <c r="J253" i="1"/>
  <c r="J119" i="1"/>
  <c r="J231" i="1"/>
  <c r="J225" i="1"/>
  <c r="J276" i="1"/>
  <c r="J171" i="1"/>
  <c r="J37" i="1"/>
  <c r="J121" i="1"/>
  <c r="J190" i="1"/>
  <c r="J237" i="1"/>
  <c r="J152" i="1"/>
  <c r="J267" i="1"/>
  <c r="J131" i="1"/>
  <c r="J204" i="1"/>
  <c r="J252" i="1"/>
  <c r="J236" i="1"/>
  <c r="J189" i="1"/>
  <c r="J235" i="1"/>
  <c r="J168" i="1"/>
  <c r="J44" i="1"/>
  <c r="J270" i="1"/>
  <c r="J330" i="1"/>
  <c r="J94" i="1"/>
  <c r="J113" i="1"/>
  <c r="J290" i="1"/>
  <c r="J159" i="1"/>
  <c r="J278" i="1"/>
  <c r="J328" i="1"/>
  <c r="J266" i="1"/>
  <c r="J66" i="1"/>
  <c r="J195" i="1"/>
  <c r="J125" i="1"/>
  <c r="J224" i="1"/>
  <c r="J181" i="1"/>
  <c r="J176" i="1"/>
  <c r="J205" i="1"/>
  <c r="J304" i="1"/>
  <c r="J241" i="1"/>
  <c r="J288" i="1"/>
  <c r="J261" i="1"/>
  <c r="J165" i="1"/>
  <c r="J238" i="1"/>
  <c r="J80" i="1"/>
  <c r="J105" i="1"/>
  <c r="J39" i="1"/>
  <c r="J302" i="1"/>
  <c r="J84" i="1"/>
  <c r="J104" i="1"/>
  <c r="J221" i="1"/>
  <c r="J240" i="1"/>
  <c r="J274" i="1"/>
  <c r="J150" i="1"/>
  <c r="J149" i="1"/>
  <c r="J226" i="1"/>
  <c r="J103" i="1"/>
  <c r="J147" i="1"/>
  <c r="J211" i="1"/>
  <c r="J33" i="1"/>
  <c r="J167" i="1"/>
  <c r="J232" i="1"/>
  <c r="J76" i="1"/>
  <c r="J178" i="1"/>
  <c r="J331" i="1"/>
  <c r="J69" i="1"/>
  <c r="J140" i="1"/>
  <c r="J114" i="1"/>
  <c r="J310" i="1"/>
  <c r="J268" i="1"/>
  <c r="J97" i="1"/>
  <c r="J93" i="1"/>
  <c r="J300" i="1"/>
  <c r="J299" i="1"/>
  <c r="J73" i="1"/>
  <c r="J291" i="1"/>
  <c r="J179" i="1"/>
  <c r="J123" i="1"/>
  <c r="J120" i="1"/>
  <c r="J117" i="1"/>
  <c r="J96" i="1"/>
  <c r="J161" i="1"/>
  <c r="J294" i="1"/>
  <c r="J248" i="1"/>
  <c r="J133" i="1"/>
  <c r="J301" i="1"/>
  <c r="J112" i="1"/>
  <c r="J254" i="1"/>
  <c r="J90" i="1"/>
  <c r="J279" i="1"/>
  <c r="J214" i="1"/>
  <c r="J223" i="1"/>
  <c r="J185" i="1"/>
  <c r="J233" i="1"/>
  <c r="J153" i="1"/>
  <c r="J106" i="1"/>
  <c r="J259" i="1"/>
  <c r="J234" i="1"/>
  <c r="J263" i="1"/>
  <c r="J177" i="1"/>
  <c r="J48" i="1"/>
  <c r="J249" i="1"/>
  <c r="J87" i="1"/>
  <c r="J295" i="1"/>
  <c r="J250" i="1"/>
  <c r="J280" i="1"/>
  <c r="J154" i="1"/>
  <c r="J47" i="1"/>
  <c r="J78" i="1"/>
  <c r="J72" i="1"/>
  <c r="J324" i="1"/>
  <c r="J59" i="1"/>
  <c r="J317" i="1"/>
  <c r="J95" i="1"/>
  <c r="J30" i="1"/>
  <c r="J332" i="1"/>
  <c r="J305" i="1"/>
  <c r="J320" i="1"/>
  <c r="J62" i="1"/>
  <c r="J264" i="1"/>
  <c r="J173" i="1"/>
  <c r="J220" i="1"/>
  <c r="J277" i="1"/>
  <c r="J60" i="1"/>
  <c r="J55" i="1"/>
  <c r="J255" i="1"/>
  <c r="J227" i="1"/>
  <c r="J75" i="1"/>
  <c r="J134" i="1"/>
  <c r="J200" i="1"/>
  <c r="J38" i="1"/>
  <c r="J230" i="1"/>
  <c r="J201" i="1"/>
  <c r="J251" i="1"/>
  <c r="J184" i="1"/>
  <c r="J262" i="1"/>
  <c r="J25" i="1"/>
  <c r="J197" i="1"/>
  <c r="J307" i="1"/>
  <c r="J322" i="1"/>
  <c r="J124" i="1"/>
  <c r="J316" i="1"/>
  <c r="J222" i="1"/>
  <c r="J311" i="1"/>
  <c r="J8" i="1"/>
  <c r="J23" i="1"/>
  <c r="J68" i="1"/>
  <c r="J54" i="1"/>
  <c r="J58" i="1"/>
  <c r="J111" i="1"/>
  <c r="J306" i="1"/>
  <c r="J107" i="1"/>
  <c r="J160" i="1"/>
  <c r="J42" i="1"/>
  <c r="J308" i="1"/>
  <c r="J326" i="1"/>
  <c r="J63" i="1"/>
  <c r="J101" i="1"/>
  <c r="J180" i="1"/>
  <c r="J128" i="1"/>
  <c r="J243" i="1"/>
  <c r="J13" i="1"/>
  <c r="J70" i="1"/>
  <c r="J12" i="1"/>
  <c r="J52" i="1"/>
  <c r="J335" i="1"/>
  <c r="J336" i="1"/>
  <c r="J5" i="1"/>
  <c r="I541" i="5"/>
  <c r="J541" i="5" s="1"/>
  <c r="I362" i="5"/>
  <c r="J362" i="5" s="1"/>
  <c r="I363" i="5"/>
  <c r="J363" i="5" s="1"/>
  <c r="I96" i="5"/>
  <c r="J96" i="5" s="1"/>
  <c r="I365" i="5"/>
  <c r="J365" i="5" s="1"/>
  <c r="I366" i="5"/>
  <c r="J366" i="5" s="1"/>
  <c r="I367" i="5"/>
  <c r="J367" i="5" s="1"/>
  <c r="I368" i="5"/>
  <c r="J368" i="5" s="1"/>
  <c r="I369" i="5"/>
  <c r="J369" i="5" s="1"/>
  <c r="I370" i="5"/>
  <c r="J370" i="5" s="1"/>
  <c r="I371" i="5"/>
  <c r="J371" i="5" s="1"/>
  <c r="I372" i="5"/>
  <c r="J372" i="5" s="1"/>
  <c r="I373" i="5"/>
  <c r="J373" i="5" s="1"/>
  <c r="I172" i="5"/>
  <c r="J172" i="5" s="1"/>
  <c r="I375" i="5"/>
  <c r="J375" i="5" s="1"/>
  <c r="I376" i="5"/>
  <c r="J376" i="5" s="1"/>
  <c r="I377" i="5"/>
  <c r="J377" i="5" s="1"/>
  <c r="I378" i="5"/>
  <c r="J378" i="5" s="1"/>
  <c r="I379" i="5"/>
  <c r="J379" i="5" s="1"/>
  <c r="I380" i="5"/>
  <c r="J380" i="5" s="1"/>
  <c r="I381" i="5"/>
  <c r="J381" i="5" s="1"/>
  <c r="I382" i="5"/>
  <c r="J382" i="5" s="1"/>
  <c r="I383" i="5"/>
  <c r="J383" i="5" s="1"/>
  <c r="I384" i="5"/>
  <c r="J384" i="5" s="1"/>
  <c r="I385" i="5"/>
  <c r="J385" i="5" s="1"/>
  <c r="I386" i="5"/>
  <c r="J386" i="5" s="1"/>
  <c r="I387" i="5"/>
  <c r="J387" i="5" s="1"/>
  <c r="I388" i="5"/>
  <c r="J388" i="5" s="1"/>
  <c r="I389" i="5"/>
  <c r="J389" i="5" s="1"/>
  <c r="I390" i="5"/>
  <c r="J390" i="5" s="1"/>
  <c r="I391" i="5"/>
  <c r="J391" i="5" s="1"/>
  <c r="I392" i="5"/>
  <c r="J392" i="5" s="1"/>
  <c r="I393" i="5"/>
  <c r="J393" i="5" s="1"/>
  <c r="I394" i="5"/>
  <c r="J394" i="5" s="1"/>
  <c r="I395" i="5"/>
  <c r="J395" i="5" s="1"/>
  <c r="I396" i="5"/>
  <c r="J396" i="5" s="1"/>
  <c r="I397" i="5"/>
  <c r="J397" i="5" s="1"/>
  <c r="I398" i="5"/>
  <c r="J398" i="5" s="1"/>
  <c r="I399" i="5"/>
  <c r="J399" i="5" s="1"/>
  <c r="I400" i="5"/>
  <c r="J400" i="5" s="1"/>
  <c r="I401" i="5"/>
  <c r="J401" i="5" s="1"/>
  <c r="I402" i="5"/>
  <c r="J402" i="5" s="1"/>
  <c r="I403" i="5"/>
  <c r="J403" i="5" s="1"/>
  <c r="I404" i="5"/>
  <c r="J404" i="5" s="1"/>
  <c r="I405" i="5"/>
  <c r="J405" i="5" s="1"/>
  <c r="I406" i="5"/>
  <c r="J406" i="5" s="1"/>
  <c r="I407" i="5"/>
  <c r="J407" i="5" s="1"/>
  <c r="I408" i="5"/>
  <c r="J408" i="5" s="1"/>
  <c r="I409" i="5"/>
  <c r="J409" i="5" s="1"/>
  <c r="I410" i="5"/>
  <c r="J410" i="5" s="1"/>
  <c r="I411" i="5"/>
  <c r="J411" i="5" s="1"/>
  <c r="I412" i="5"/>
  <c r="J412" i="5" s="1"/>
  <c r="I413" i="5"/>
  <c r="J413" i="5" s="1"/>
  <c r="I414" i="5"/>
  <c r="J414" i="5" s="1"/>
  <c r="I415" i="5"/>
  <c r="J415" i="5" s="1"/>
  <c r="I416" i="5"/>
  <c r="J416" i="5" s="1"/>
  <c r="I417" i="5"/>
  <c r="J417" i="5" s="1"/>
  <c r="I418" i="5"/>
  <c r="J418" i="5" s="1"/>
  <c r="I419" i="5"/>
  <c r="J419" i="5" s="1"/>
  <c r="I420" i="5"/>
  <c r="J420" i="5" s="1"/>
  <c r="I421" i="5"/>
  <c r="J421" i="5" s="1"/>
  <c r="I422" i="5"/>
  <c r="J422" i="5" s="1"/>
  <c r="I423" i="5"/>
  <c r="J423" i="5" s="1"/>
  <c r="I424" i="5"/>
  <c r="J424" i="5" s="1"/>
  <c r="I425" i="5"/>
  <c r="J425" i="5" s="1"/>
  <c r="I426" i="5"/>
  <c r="J426" i="5" s="1"/>
  <c r="I427" i="5"/>
  <c r="J427" i="5" s="1"/>
  <c r="I428" i="5"/>
  <c r="J428" i="5" s="1"/>
  <c r="I429" i="5"/>
  <c r="J429" i="5" s="1"/>
  <c r="I430" i="5"/>
  <c r="J430" i="5" s="1"/>
  <c r="I431" i="5"/>
  <c r="J431" i="5" s="1"/>
  <c r="I432" i="5"/>
  <c r="J432" i="5" s="1"/>
  <c r="I433" i="5"/>
  <c r="J433" i="5" s="1"/>
  <c r="I434" i="5"/>
  <c r="J434" i="5" s="1"/>
  <c r="I435" i="5"/>
  <c r="J435" i="5" s="1"/>
  <c r="I436" i="5"/>
  <c r="J436" i="5" s="1"/>
  <c r="I437" i="5"/>
  <c r="J437" i="5" s="1"/>
  <c r="I438" i="5"/>
  <c r="J438" i="5" s="1"/>
  <c r="I439" i="5"/>
  <c r="J439" i="5" s="1"/>
  <c r="I440" i="5"/>
  <c r="J440" i="5" s="1"/>
  <c r="I441" i="5"/>
  <c r="J441" i="5" s="1"/>
  <c r="I442" i="5"/>
  <c r="J442" i="5" s="1"/>
  <c r="I443" i="5"/>
  <c r="J443" i="5" s="1"/>
  <c r="I444" i="5"/>
  <c r="J444" i="5" s="1"/>
  <c r="I445" i="5"/>
  <c r="J445" i="5" s="1"/>
  <c r="I446" i="5"/>
  <c r="J446" i="5" s="1"/>
  <c r="I447" i="5"/>
  <c r="J447" i="5" s="1"/>
  <c r="I448" i="5"/>
  <c r="J448" i="5" s="1"/>
  <c r="I449" i="5"/>
  <c r="J449" i="5" s="1"/>
  <c r="I450" i="5"/>
  <c r="J450" i="5" s="1"/>
  <c r="I451" i="5"/>
  <c r="J451" i="5" s="1"/>
  <c r="I452" i="5"/>
  <c r="J452" i="5" s="1"/>
  <c r="I453" i="5"/>
  <c r="J453" i="5" s="1"/>
  <c r="I454" i="5"/>
  <c r="J454" i="5" s="1"/>
  <c r="I455" i="5"/>
  <c r="J455" i="5" s="1"/>
  <c r="I456" i="5"/>
  <c r="J456" i="5" s="1"/>
  <c r="I457" i="5"/>
  <c r="J457" i="5" s="1"/>
  <c r="I219" i="5"/>
  <c r="J219" i="5" s="1"/>
  <c r="I459" i="5"/>
  <c r="J459" i="5" s="1"/>
  <c r="I460" i="5"/>
  <c r="J460" i="5" s="1"/>
  <c r="I461" i="5"/>
  <c r="J461" i="5" s="1"/>
  <c r="I462" i="5"/>
  <c r="J462" i="5" s="1"/>
  <c r="I463" i="5"/>
  <c r="J463" i="5" s="1"/>
  <c r="I464" i="5"/>
  <c r="J464" i="5" s="1"/>
  <c r="I465" i="5"/>
  <c r="J465" i="5" s="1"/>
  <c r="I466" i="5"/>
  <c r="J466" i="5" s="1"/>
  <c r="I467" i="5"/>
  <c r="J467" i="5" s="1"/>
  <c r="I468" i="5"/>
  <c r="J468" i="5" s="1"/>
  <c r="I469" i="5"/>
  <c r="J469" i="5" s="1"/>
  <c r="I470" i="5"/>
  <c r="J470" i="5" s="1"/>
  <c r="I471" i="5"/>
  <c r="J471" i="5" s="1"/>
  <c r="I472" i="5"/>
  <c r="J472" i="5" s="1"/>
  <c r="I473" i="5"/>
  <c r="J473" i="5" s="1"/>
  <c r="I518" i="5"/>
  <c r="J518" i="5" s="1"/>
  <c r="I475" i="5"/>
  <c r="J475" i="5" s="1"/>
  <c r="I476" i="5"/>
  <c r="J476" i="5" s="1"/>
  <c r="I477" i="5"/>
  <c r="J477" i="5" s="1"/>
  <c r="I478" i="5"/>
  <c r="J478" i="5" s="1"/>
  <c r="I479" i="5"/>
  <c r="J479" i="5" s="1"/>
  <c r="I480" i="5"/>
  <c r="J480" i="5" s="1"/>
  <c r="I89" i="5"/>
  <c r="J89" i="5" s="1"/>
  <c r="I482" i="5"/>
  <c r="J482" i="5" s="1"/>
  <c r="I483" i="5"/>
  <c r="J483" i="5" s="1"/>
  <c r="I484" i="5"/>
  <c r="J484" i="5" s="1"/>
  <c r="I485" i="5"/>
  <c r="J485" i="5" s="1"/>
  <c r="I486" i="5"/>
  <c r="J486" i="5" s="1"/>
  <c r="I487" i="5"/>
  <c r="J487" i="5" s="1"/>
  <c r="I117" i="5"/>
  <c r="J117" i="5" s="1"/>
  <c r="I489" i="5"/>
  <c r="J489" i="5" s="1"/>
  <c r="I490" i="5"/>
  <c r="J490" i="5" s="1"/>
  <c r="I491" i="5"/>
  <c r="J491" i="5" s="1"/>
  <c r="I492" i="5"/>
  <c r="J492" i="5" s="1"/>
  <c r="I493" i="5"/>
  <c r="J493" i="5" s="1"/>
  <c r="I494" i="5"/>
  <c r="J494" i="5" s="1"/>
  <c r="I495" i="5"/>
  <c r="J495" i="5" s="1"/>
  <c r="I496" i="5"/>
  <c r="J496" i="5" s="1"/>
  <c r="I497" i="5"/>
  <c r="J497" i="5" s="1"/>
  <c r="I498" i="5"/>
  <c r="J498" i="5" s="1"/>
  <c r="I499" i="5"/>
  <c r="J499" i="5" s="1"/>
  <c r="I500" i="5"/>
  <c r="J500" i="5" s="1"/>
  <c r="I501" i="5"/>
  <c r="J501" i="5" s="1"/>
  <c r="I502" i="5"/>
  <c r="J502" i="5" s="1"/>
  <c r="I123" i="5"/>
  <c r="J123" i="5" s="1"/>
  <c r="I504" i="5"/>
  <c r="J504" i="5" s="1"/>
  <c r="I505" i="5"/>
  <c r="J505" i="5" s="1"/>
  <c r="I506" i="5"/>
  <c r="J506" i="5" s="1"/>
  <c r="I507" i="5"/>
  <c r="J507" i="5" s="1"/>
  <c r="I508" i="5"/>
  <c r="J508" i="5" s="1"/>
  <c r="I509" i="5"/>
  <c r="J509" i="5" s="1"/>
  <c r="I510" i="5"/>
  <c r="J510" i="5" s="1"/>
  <c r="I511" i="5"/>
  <c r="J511" i="5" s="1"/>
  <c r="I512" i="5"/>
  <c r="J512" i="5" s="1"/>
  <c r="I513" i="5"/>
  <c r="J513" i="5" s="1"/>
  <c r="I514" i="5"/>
  <c r="J514" i="5" s="1"/>
  <c r="I294" i="5"/>
  <c r="J294" i="5" s="1"/>
  <c r="I516" i="5"/>
  <c r="J516" i="5" s="1"/>
  <c r="I517" i="5"/>
  <c r="J517" i="5" s="1"/>
  <c r="I179" i="5"/>
  <c r="J179" i="5" s="1"/>
  <c r="I519" i="5"/>
  <c r="J519" i="5" s="1"/>
  <c r="I520" i="5"/>
  <c r="J520" i="5" s="1"/>
  <c r="I521" i="5"/>
  <c r="J521" i="5" s="1"/>
  <c r="I522" i="5"/>
  <c r="J522" i="5" s="1"/>
  <c r="I523" i="5"/>
  <c r="J523" i="5" s="1"/>
  <c r="I524" i="5"/>
  <c r="J524" i="5" s="1"/>
  <c r="I488" i="5"/>
  <c r="J488" i="5" s="1"/>
  <c r="I526" i="5"/>
  <c r="J526" i="5" s="1"/>
  <c r="I527" i="5"/>
  <c r="J527" i="5" s="1"/>
  <c r="I528" i="5"/>
  <c r="J528" i="5" s="1"/>
  <c r="I529" i="5"/>
  <c r="J529" i="5" s="1"/>
  <c r="I530" i="5"/>
  <c r="J530" i="5" s="1"/>
  <c r="I531" i="5"/>
  <c r="J531" i="5" s="1"/>
  <c r="I532" i="5"/>
  <c r="J532" i="5" s="1"/>
  <c r="I533" i="5"/>
  <c r="J533" i="5" s="1"/>
  <c r="I534" i="5"/>
  <c r="J534" i="5" s="1"/>
  <c r="I535" i="5"/>
  <c r="J535" i="5" s="1"/>
  <c r="I536" i="5"/>
  <c r="J536" i="5" s="1"/>
  <c r="I537" i="5"/>
  <c r="J537" i="5" s="1"/>
  <c r="I538" i="5"/>
  <c r="J538" i="5" s="1"/>
  <c r="I539" i="5"/>
  <c r="J539" i="5" s="1"/>
  <c r="I218" i="5"/>
  <c r="J218" i="5" s="1"/>
  <c r="I542" i="5"/>
  <c r="J542" i="5" s="1"/>
  <c r="I543" i="5"/>
  <c r="J543" i="5" s="1"/>
  <c r="I503" i="5"/>
  <c r="J503" i="5" s="1"/>
  <c r="I545" i="5"/>
  <c r="J545" i="5" s="1"/>
  <c r="I546" i="5"/>
  <c r="J546" i="5" s="1"/>
  <c r="I374" i="5"/>
  <c r="J374" i="5" s="1"/>
  <c r="I548" i="5"/>
  <c r="J548" i="5" s="1"/>
  <c r="I549" i="5"/>
  <c r="J549" i="5" s="1"/>
  <c r="I550" i="5"/>
  <c r="J550" i="5" s="1"/>
  <c r="I551" i="5"/>
  <c r="J551" i="5" s="1"/>
  <c r="I552" i="5"/>
  <c r="J552" i="5" s="1"/>
  <c r="I553" i="5"/>
  <c r="J553" i="5" s="1"/>
  <c r="I474" i="5"/>
  <c r="J474" i="5" s="1"/>
  <c r="I555" i="5"/>
  <c r="J555" i="5" s="1"/>
  <c r="I556" i="5"/>
  <c r="J556" i="5" s="1"/>
  <c r="I2" i="5"/>
  <c r="E362" i="5"/>
  <c r="E363" i="5"/>
  <c r="E96" i="5"/>
  <c r="E365" i="5"/>
  <c r="E366" i="5"/>
  <c r="E367" i="5"/>
  <c r="E368" i="5"/>
  <c r="E369" i="5"/>
  <c r="E370" i="5"/>
  <c r="E371" i="5"/>
  <c r="E372" i="5"/>
  <c r="E373" i="5"/>
  <c r="E172"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219" i="5"/>
  <c r="E459" i="5"/>
  <c r="E460" i="5"/>
  <c r="E461" i="5"/>
  <c r="E462" i="5"/>
  <c r="E463" i="5"/>
  <c r="E464" i="5"/>
  <c r="E465" i="5"/>
  <c r="E466" i="5"/>
  <c r="E467" i="5"/>
  <c r="E468" i="5"/>
  <c r="E469" i="5"/>
  <c r="E470" i="5"/>
  <c r="E471" i="5"/>
  <c r="E472" i="5"/>
  <c r="E473" i="5"/>
  <c r="E518" i="5"/>
  <c r="E475" i="5"/>
  <c r="E476" i="5"/>
  <c r="E477" i="5"/>
  <c r="E478" i="5"/>
  <c r="E479" i="5"/>
  <c r="E480" i="5"/>
  <c r="E89" i="5"/>
  <c r="E482" i="5"/>
  <c r="E483" i="5"/>
  <c r="E484" i="5"/>
  <c r="E485" i="5"/>
  <c r="E486" i="5"/>
  <c r="E487" i="5"/>
  <c r="E117" i="5"/>
  <c r="E489" i="5"/>
  <c r="E490" i="5"/>
  <c r="E491" i="5"/>
  <c r="E492" i="5"/>
  <c r="E493" i="5"/>
  <c r="E494" i="5"/>
  <c r="E495" i="5"/>
  <c r="E496" i="5"/>
  <c r="E497" i="5"/>
  <c r="E498" i="5"/>
  <c r="E499" i="5"/>
  <c r="E500" i="5"/>
  <c r="E501" i="5"/>
  <c r="E502" i="5"/>
  <c r="E123" i="5"/>
  <c r="E504" i="5"/>
  <c r="E505" i="5"/>
  <c r="E506" i="5"/>
  <c r="E507" i="5"/>
  <c r="E508" i="5"/>
  <c r="E509" i="5"/>
  <c r="E510" i="5"/>
  <c r="E511" i="5"/>
  <c r="E512" i="5"/>
  <c r="E513" i="5"/>
  <c r="E514" i="5"/>
  <c r="E294" i="5"/>
  <c r="E516" i="5"/>
  <c r="E517" i="5"/>
  <c r="E179" i="5"/>
  <c r="E519" i="5"/>
  <c r="E520" i="5"/>
  <c r="E521" i="5"/>
  <c r="E522" i="5"/>
  <c r="E523" i="5"/>
  <c r="E524" i="5"/>
  <c r="E488" i="5"/>
  <c r="E526" i="5"/>
  <c r="E527" i="5"/>
  <c r="E528" i="5"/>
  <c r="E529" i="5"/>
  <c r="E530" i="5"/>
  <c r="E531" i="5"/>
  <c r="E532" i="5"/>
  <c r="E533" i="5"/>
  <c r="E534" i="5"/>
  <c r="E535" i="5"/>
  <c r="E536" i="5"/>
  <c r="E537" i="5"/>
  <c r="E538" i="5"/>
  <c r="E539" i="5"/>
  <c r="E218" i="5"/>
  <c r="E541" i="5"/>
  <c r="E542" i="5"/>
  <c r="E543" i="5"/>
  <c r="E503" i="5"/>
  <c r="E545" i="5"/>
  <c r="E546" i="5"/>
  <c r="E374" i="5"/>
  <c r="E548" i="5"/>
  <c r="E549" i="5"/>
  <c r="E550" i="5"/>
  <c r="E551" i="5"/>
  <c r="E552" i="5"/>
  <c r="E553" i="5"/>
  <c r="E474" i="5"/>
  <c r="E555" i="5"/>
  <c r="E556" i="5"/>
  <c r="E361" i="5"/>
  <c r="E2" i="5"/>
  <c r="AE40" i="7"/>
  <c r="K44" i="3"/>
  <c r="K14" i="3"/>
  <c r="K114" i="3"/>
  <c r="K111" i="3"/>
  <c r="K110" i="3"/>
  <c r="K57" i="3"/>
  <c r="AD44" i="3"/>
  <c r="AD14" i="3"/>
  <c r="AD114" i="3"/>
  <c r="AD111" i="3"/>
  <c r="AD110" i="3"/>
  <c r="AD57" i="3"/>
  <c r="AC141" i="2"/>
  <c r="AC143" i="2"/>
  <c r="AC142" i="2"/>
  <c r="K141" i="2"/>
  <c r="K143" i="2"/>
  <c r="K142" i="2"/>
  <c r="Y128" i="1"/>
  <c r="Y124" i="1"/>
  <c r="Y54" i="1"/>
  <c r="Y101" i="1"/>
  <c r="Y111" i="1"/>
  <c r="Y184" i="1"/>
  <c r="Y48" i="1"/>
  <c r="Y30" i="1"/>
  <c r="Y47" i="1"/>
  <c r="Y262" i="1"/>
  <c r="Y263" i="1"/>
  <c r="Y76" i="1"/>
  <c r="Y150" i="1"/>
  <c r="Y310" i="1"/>
  <c r="Y33" i="1"/>
  <c r="V124" i="1"/>
  <c r="V54" i="1"/>
  <c r="V101" i="1"/>
  <c r="V111" i="1"/>
  <c r="V184" i="1"/>
  <c r="V48" i="1"/>
  <c r="V30" i="1"/>
  <c r="V47" i="1"/>
  <c r="V262" i="1"/>
  <c r="V263" i="1"/>
  <c r="V76" i="1"/>
  <c r="V150" i="1"/>
  <c r="V310" i="1"/>
  <c r="V33" i="1"/>
  <c r="U124" i="1"/>
  <c r="U54" i="1"/>
  <c r="U101" i="1"/>
  <c r="U111" i="1"/>
  <c r="U184" i="1"/>
  <c r="U48" i="1"/>
  <c r="U30" i="1"/>
  <c r="U47" i="1"/>
  <c r="U262" i="1"/>
  <c r="U263" i="1"/>
  <c r="U76" i="1"/>
  <c r="U150" i="1"/>
  <c r="U310" i="1"/>
  <c r="U33" i="1"/>
  <c r="U128" i="1"/>
  <c r="V128" i="1"/>
  <c r="K128" i="1"/>
  <c r="K124" i="1"/>
  <c r="K54" i="1"/>
  <c r="K101" i="1"/>
  <c r="K111" i="1"/>
  <c r="K184" i="1"/>
  <c r="K48" i="1"/>
  <c r="K30" i="1"/>
  <c r="K47" i="1"/>
  <c r="K262" i="1"/>
  <c r="K263" i="1"/>
  <c r="K76" i="1"/>
  <c r="K150" i="1"/>
  <c r="K310" i="1"/>
  <c r="K33" i="1"/>
  <c r="AE32" i="7"/>
  <c r="AE31" i="7"/>
  <c r="AE30" i="7"/>
  <c r="AE24" i="7"/>
  <c r="AE23" i="7"/>
  <c r="AE19" i="7"/>
  <c r="AE12" i="7"/>
  <c r="AE5" i="7"/>
  <c r="U80" i="3"/>
  <c r="U44" i="3"/>
  <c r="U14" i="3"/>
  <c r="U114" i="3"/>
  <c r="U111" i="3"/>
  <c r="U110" i="3"/>
  <c r="U57" i="3"/>
  <c r="T44" i="3"/>
  <c r="T14" i="3"/>
  <c r="T114" i="3"/>
  <c r="T111" i="3"/>
  <c r="T110" i="3"/>
  <c r="T57" i="3"/>
  <c r="G44" i="3"/>
  <c r="G14" i="3"/>
  <c r="G114" i="3"/>
  <c r="G111" i="3"/>
  <c r="G110" i="3"/>
  <c r="G57" i="3"/>
  <c r="G141" i="2"/>
  <c r="G143" i="2"/>
  <c r="G142" i="2"/>
  <c r="G128" i="1"/>
  <c r="G124" i="1"/>
  <c r="G54" i="1"/>
  <c r="G101" i="1"/>
  <c r="G111" i="1"/>
  <c r="G184" i="1"/>
  <c r="G48" i="1"/>
  <c r="G30" i="1"/>
  <c r="G47" i="1"/>
  <c r="G262" i="1"/>
  <c r="G263" i="1"/>
  <c r="G76" i="1"/>
  <c r="G150" i="1"/>
  <c r="G310" i="1"/>
  <c r="G33" i="1"/>
  <c r="I361" i="5"/>
  <c r="J361" i="5" s="1"/>
  <c r="G316" i="1"/>
  <c r="Q433" i="9"/>
  <c r="AD40" i="7"/>
  <c r="AD30" i="7"/>
  <c r="AD23" i="7"/>
  <c r="AD19" i="7"/>
  <c r="AD32" i="7"/>
  <c r="AD31" i="7"/>
  <c r="AD25" i="7"/>
  <c r="AD24" i="7"/>
  <c r="AD12" i="7"/>
  <c r="AD5" i="7"/>
  <c r="U120" i="3"/>
  <c r="U66" i="3"/>
  <c r="T120" i="3"/>
  <c r="T66" i="3"/>
  <c r="T15" i="2"/>
  <c r="U15" i="2"/>
  <c r="T27" i="2"/>
  <c r="U27" i="2"/>
  <c r="V311" i="1"/>
  <c r="V52" i="1"/>
  <c r="V306" i="1"/>
  <c r="V12" i="1"/>
  <c r="V308" i="1"/>
  <c r="V13" i="1"/>
  <c r="V200" i="1"/>
  <c r="V107" i="1"/>
  <c r="V95" i="1"/>
  <c r="V197" i="1"/>
  <c r="V303" i="1"/>
  <c r="U311" i="1"/>
  <c r="U52" i="1"/>
  <c r="U306" i="1"/>
  <c r="U12" i="1"/>
  <c r="U308" i="1"/>
  <c r="U13" i="1"/>
  <c r="U200" i="1"/>
  <c r="U107" i="1"/>
  <c r="U95" i="1"/>
  <c r="U197" i="1"/>
  <c r="U303" i="1"/>
  <c r="AD66" i="3"/>
  <c r="AD120" i="3"/>
  <c r="G120" i="3"/>
  <c r="G66" i="3"/>
  <c r="K66" i="3"/>
  <c r="K120" i="3"/>
  <c r="AC15" i="2"/>
  <c r="AC27" i="2"/>
  <c r="K15" i="2"/>
  <c r="K27" i="2"/>
  <c r="G27" i="2"/>
  <c r="G15" i="2"/>
  <c r="U317" i="1"/>
  <c r="V317" i="1"/>
  <c r="Y311" i="1"/>
  <c r="Y52" i="1"/>
  <c r="Y306" i="1"/>
  <c r="Y12" i="1"/>
  <c r="Y308" i="1"/>
  <c r="Y13" i="1"/>
  <c r="Y200" i="1"/>
  <c r="Y107" i="1"/>
  <c r="Y95" i="1"/>
  <c r="Y197" i="1"/>
  <c r="Y303" i="1"/>
  <c r="Y317" i="1"/>
  <c r="K303" i="1"/>
  <c r="K311" i="1"/>
  <c r="K52" i="1"/>
  <c r="K306" i="1"/>
  <c r="K12" i="1"/>
  <c r="K308" i="1"/>
  <c r="K13" i="1"/>
  <c r="K200" i="1"/>
  <c r="K107" i="1"/>
  <c r="K95" i="1"/>
  <c r="K197" i="1"/>
  <c r="G317" i="1"/>
  <c r="G311" i="1"/>
  <c r="G52" i="1"/>
  <c r="G306" i="1"/>
  <c r="G12" i="1"/>
  <c r="G308" i="1"/>
  <c r="G13" i="1"/>
  <c r="G200" i="1"/>
  <c r="G107" i="1"/>
  <c r="G95" i="1"/>
  <c r="G197" i="1"/>
  <c r="G303" i="1"/>
  <c r="K317" i="1"/>
  <c r="G81" i="1"/>
  <c r="G4" i="1"/>
  <c r="Y190" i="1"/>
  <c r="Y241" i="1"/>
  <c r="Y301" i="1"/>
  <c r="Y66" i="1"/>
  <c r="Y309" i="1"/>
  <c r="Y5" i="1"/>
  <c r="Y280" i="1"/>
  <c r="Y336" i="1"/>
  <c r="Y314" i="1"/>
  <c r="Y60" i="1"/>
  <c r="Y96" i="1"/>
  <c r="Y291" i="1"/>
  <c r="Y160" i="1"/>
  <c r="Y201" i="1"/>
  <c r="Y251" i="1"/>
  <c r="Y180" i="1"/>
  <c r="Y222" i="1"/>
  <c r="Y68" i="1"/>
  <c r="Y69" i="1"/>
  <c r="Y316" i="1"/>
  <c r="P433" i="9"/>
  <c r="AC40" i="7"/>
  <c r="AB40" i="7"/>
  <c r="AC5" i="7"/>
  <c r="AC12" i="7"/>
  <c r="AC19" i="7"/>
  <c r="AC23" i="7"/>
  <c r="AC24" i="7"/>
  <c r="AC25" i="7"/>
  <c r="AC30" i="7"/>
  <c r="AC31" i="7"/>
  <c r="AC32" i="7"/>
  <c r="AD80" i="3"/>
  <c r="T80" i="3"/>
  <c r="K16" i="2"/>
  <c r="AC16" i="2"/>
  <c r="T16" i="2"/>
  <c r="U16" i="2"/>
  <c r="V190" i="1"/>
  <c r="V241" i="1"/>
  <c r="V301" i="1"/>
  <c r="V66" i="1"/>
  <c r="V309" i="1"/>
  <c r="V5" i="1"/>
  <c r="V280" i="1"/>
  <c r="V336" i="1"/>
  <c r="V314" i="1"/>
  <c r="V60" i="1"/>
  <c r="V96" i="1"/>
  <c r="V291" i="1"/>
  <c r="V160" i="1"/>
  <c r="V201" i="1"/>
  <c r="V251" i="1"/>
  <c r="V180" i="1"/>
  <c r="V222" i="1"/>
  <c r="V68" i="1"/>
  <c r="V69" i="1"/>
  <c r="V316" i="1"/>
  <c r="U190" i="1"/>
  <c r="U241" i="1"/>
  <c r="U301" i="1"/>
  <c r="U66" i="1"/>
  <c r="U309" i="1"/>
  <c r="U5" i="1"/>
  <c r="U280" i="1"/>
  <c r="U336" i="1"/>
  <c r="U314" i="1"/>
  <c r="U60" i="1"/>
  <c r="U96" i="1"/>
  <c r="U291" i="1"/>
  <c r="U160" i="1"/>
  <c r="U201" i="1"/>
  <c r="U251" i="1"/>
  <c r="U180" i="1"/>
  <c r="U222" i="1"/>
  <c r="U68" i="1"/>
  <c r="U69" i="1"/>
  <c r="U316" i="1"/>
  <c r="K80" i="3"/>
  <c r="G80" i="3"/>
  <c r="K55" i="2"/>
  <c r="G16" i="2"/>
  <c r="K190" i="1"/>
  <c r="K241" i="1"/>
  <c r="K301" i="1"/>
  <c r="K66" i="1"/>
  <c r="K309" i="1"/>
  <c r="K5" i="1"/>
  <c r="K280" i="1"/>
  <c r="K336" i="1"/>
  <c r="K314" i="1"/>
  <c r="K60" i="1"/>
  <c r="K96" i="1"/>
  <c r="K291" i="1"/>
  <c r="K160" i="1"/>
  <c r="K201" i="1"/>
  <c r="K251" i="1"/>
  <c r="K180" i="1"/>
  <c r="K222" i="1"/>
  <c r="K68" i="1"/>
  <c r="K69" i="1"/>
  <c r="K316" i="1"/>
  <c r="G190" i="1"/>
  <c r="G241" i="1"/>
  <c r="G301" i="1"/>
  <c r="G66" i="1"/>
  <c r="G309" i="1"/>
  <c r="G5" i="1"/>
  <c r="G280" i="1"/>
  <c r="G336" i="1"/>
  <c r="G314" i="1"/>
  <c r="G60" i="1"/>
  <c r="G96" i="1"/>
  <c r="G291" i="1"/>
  <c r="G160" i="1"/>
  <c r="G201" i="1"/>
  <c r="G251" i="1"/>
  <c r="G180" i="1"/>
  <c r="G222" i="1"/>
  <c r="G68" i="1"/>
  <c r="G69" i="1"/>
  <c r="E3" i="5"/>
  <c r="AG488" i="9"/>
  <c r="AH488" i="9"/>
  <c r="AF488" i="9"/>
  <c r="J146" i="2" l="1"/>
  <c r="F149" i="2"/>
  <c r="F148" i="2"/>
  <c r="AD26" i="7"/>
  <c r="AF41" i="7"/>
  <c r="AG41" i="7"/>
  <c r="J340" i="1"/>
  <c r="U340" i="1"/>
  <c r="F133" i="3"/>
  <c r="AA149" i="2"/>
  <c r="AC134" i="3"/>
  <c r="AG26" i="7"/>
  <c r="AG33" i="7"/>
  <c r="Q133" i="3"/>
  <c r="AD131" i="3"/>
  <c r="AC146" i="2"/>
  <c r="AB134" i="3"/>
  <c r="T131" i="3"/>
  <c r="F134" i="3"/>
  <c r="V340" i="1"/>
  <c r="Q342" i="1"/>
  <c r="F342" i="1"/>
  <c r="K504" i="5"/>
  <c r="K424" i="5"/>
  <c r="K516" i="5"/>
  <c r="K536" i="5"/>
  <c r="K452" i="5"/>
  <c r="K520" i="5"/>
  <c r="K440" i="5"/>
  <c r="K117" i="5"/>
  <c r="K408" i="5"/>
  <c r="K420" i="5"/>
  <c r="K484" i="5"/>
  <c r="K392" i="5"/>
  <c r="K472" i="5"/>
  <c r="K388" i="5"/>
  <c r="K548" i="5"/>
  <c r="K456" i="5"/>
  <c r="K376" i="5"/>
  <c r="AF26" i="7"/>
  <c r="AF33" i="7"/>
  <c r="X343" i="1"/>
  <c r="F343" i="1"/>
  <c r="K541" i="5"/>
  <c r="K512" i="5"/>
  <c r="K480" i="5"/>
  <c r="K448" i="5"/>
  <c r="K416" i="5"/>
  <c r="K384" i="5"/>
  <c r="K218" i="5"/>
  <c r="K508" i="5"/>
  <c r="K476" i="5"/>
  <c r="K444" i="5"/>
  <c r="K412" i="5"/>
  <c r="K380" i="5"/>
  <c r="K503" i="5"/>
  <c r="K532" i="5"/>
  <c r="K500" i="5"/>
  <c r="K468" i="5"/>
  <c r="K436" i="5"/>
  <c r="K404" i="5"/>
  <c r="K372" i="5"/>
  <c r="K528" i="5"/>
  <c r="K496" i="5"/>
  <c r="K464" i="5"/>
  <c r="K432" i="5"/>
  <c r="K400" i="5"/>
  <c r="K368" i="5"/>
  <c r="K552" i="5"/>
  <c r="K524" i="5"/>
  <c r="K492" i="5"/>
  <c r="K460" i="5"/>
  <c r="K428" i="5"/>
  <c r="K396" i="5"/>
  <c r="K96" i="5"/>
  <c r="K555" i="5"/>
  <c r="K551" i="5"/>
  <c r="K374" i="5"/>
  <c r="K543" i="5"/>
  <c r="K539" i="5"/>
  <c r="K535" i="5"/>
  <c r="K531" i="5"/>
  <c r="K527" i="5"/>
  <c r="K523" i="5"/>
  <c r="K519" i="5"/>
  <c r="K294" i="5"/>
  <c r="K511" i="5"/>
  <c r="K507" i="5"/>
  <c r="K123" i="5"/>
  <c r="K499" i="5"/>
  <c r="K495" i="5"/>
  <c r="K491" i="5"/>
  <c r="K487" i="5"/>
  <c r="K483" i="5"/>
  <c r="K479" i="5"/>
  <c r="K475" i="5"/>
  <c r="K471" i="5"/>
  <c r="K467" i="5"/>
  <c r="K463" i="5"/>
  <c r="K459" i="5"/>
  <c r="K455" i="5"/>
  <c r="K451" i="5"/>
  <c r="K447" i="5"/>
  <c r="K443" i="5"/>
  <c r="K439" i="5"/>
  <c r="K435" i="5"/>
  <c r="K431" i="5"/>
  <c r="K427" i="5"/>
  <c r="K423" i="5"/>
  <c r="K419" i="5"/>
  <c r="K415" i="5"/>
  <c r="K411" i="5"/>
  <c r="K407" i="5"/>
  <c r="K403" i="5"/>
  <c r="K399" i="5"/>
  <c r="K395" i="5"/>
  <c r="K391" i="5"/>
  <c r="K387" i="5"/>
  <c r="K383" i="5"/>
  <c r="K379" i="5"/>
  <c r="K375" i="5"/>
  <c r="K371" i="5"/>
  <c r="K367" i="5"/>
  <c r="K363" i="5"/>
  <c r="K474" i="5"/>
  <c r="K550" i="5"/>
  <c r="K546" i="5"/>
  <c r="K542" i="5"/>
  <c r="K538" i="5"/>
  <c r="K534" i="5"/>
  <c r="K530" i="5"/>
  <c r="K526" i="5"/>
  <c r="K522" i="5"/>
  <c r="K179" i="5"/>
  <c r="K514" i="5"/>
  <c r="K510" i="5"/>
  <c r="K506" i="5"/>
  <c r="K502" i="5"/>
  <c r="K498" i="5"/>
  <c r="K494" i="5"/>
  <c r="K490" i="5"/>
  <c r="K486" i="5"/>
  <c r="K482" i="5"/>
  <c r="K478" i="5"/>
  <c r="K518" i="5"/>
  <c r="K470" i="5"/>
  <c r="K466" i="5"/>
  <c r="K462" i="5"/>
  <c r="K219" i="5"/>
  <c r="K454" i="5"/>
  <c r="K450" i="5"/>
  <c r="K446" i="5"/>
  <c r="K442" i="5"/>
  <c r="K438" i="5"/>
  <c r="K434" i="5"/>
  <c r="K430" i="5"/>
  <c r="K426" i="5"/>
  <c r="K422" i="5"/>
  <c r="K418" i="5"/>
  <c r="K414" i="5"/>
  <c r="K410" i="5"/>
  <c r="K406" i="5"/>
  <c r="K402" i="5"/>
  <c r="K398" i="5"/>
  <c r="K394" i="5"/>
  <c r="K390" i="5"/>
  <c r="K386" i="5"/>
  <c r="K382" i="5"/>
  <c r="K378" i="5"/>
  <c r="K172" i="5"/>
  <c r="K370" i="5"/>
  <c r="K366" i="5"/>
  <c r="K362" i="5"/>
  <c r="K553" i="5"/>
  <c r="K549" i="5"/>
  <c r="K545" i="5"/>
  <c r="K537" i="5"/>
  <c r="K533" i="5"/>
  <c r="K529" i="5"/>
  <c r="K488" i="5"/>
  <c r="K521" i="5"/>
  <c r="K517" i="5"/>
  <c r="K513" i="5"/>
  <c r="K509" i="5"/>
  <c r="K505" i="5"/>
  <c r="K501" i="5"/>
  <c r="K497" i="5"/>
  <c r="K493" i="5"/>
  <c r="K489" i="5"/>
  <c r="K485" i="5"/>
  <c r="K89" i="5"/>
  <c r="K477" i="5"/>
  <c r="K473" i="5"/>
  <c r="K469" i="5"/>
  <c r="K465" i="5"/>
  <c r="K461" i="5"/>
  <c r="K457" i="5"/>
  <c r="K453" i="5"/>
  <c r="K449" i="5"/>
  <c r="K445" i="5"/>
  <c r="K441" i="5"/>
  <c r="K437" i="5"/>
  <c r="K433" i="5"/>
  <c r="K429" i="5"/>
  <c r="K425" i="5"/>
  <c r="K421" i="5"/>
  <c r="K417" i="5"/>
  <c r="K413" i="5"/>
  <c r="K409" i="5"/>
  <c r="K405" i="5"/>
  <c r="K401" i="5"/>
  <c r="K397" i="5"/>
  <c r="K393" i="5"/>
  <c r="K389" i="5"/>
  <c r="K385" i="5"/>
  <c r="K381" i="5"/>
  <c r="K377" i="5"/>
  <c r="K373" i="5"/>
  <c r="K369" i="5"/>
  <c r="K365" i="5"/>
  <c r="K556" i="5"/>
  <c r="AE41" i="7"/>
  <c r="AD41" i="7"/>
  <c r="AE26" i="7"/>
  <c r="AE33" i="7"/>
  <c r="K361" i="5"/>
  <c r="O433" i="9"/>
  <c r="AD33" i="7"/>
  <c r="AC26" i="7"/>
  <c r="AC33" i="7"/>
  <c r="AB30" i="7"/>
  <c r="AB23" i="7"/>
  <c r="AB5" i="7"/>
  <c r="AB12" i="7"/>
  <c r="AB19" i="7"/>
  <c r="AB24" i="7"/>
  <c r="AB25" i="7"/>
  <c r="AB31" i="7"/>
  <c r="AB32" i="7"/>
  <c r="AC41" i="7"/>
  <c r="Y340" i="1"/>
  <c r="U233" i="1"/>
  <c r="V233" i="1"/>
  <c r="U300" i="1"/>
  <c r="V300" i="1"/>
  <c r="U42" i="1"/>
  <c r="V42" i="1"/>
  <c r="U274" i="1"/>
  <c r="V274" i="1"/>
  <c r="U113" i="1"/>
  <c r="V113" i="1"/>
  <c r="U268" i="1"/>
  <c r="V268" i="1"/>
  <c r="U148" i="1"/>
  <c r="V148" i="1"/>
  <c r="U167" i="1"/>
  <c r="V167" i="1"/>
  <c r="U23" i="1"/>
  <c r="V23" i="1"/>
  <c r="U284" i="1"/>
  <c r="V284" i="1"/>
  <c r="U72" i="1"/>
  <c r="V72" i="1"/>
  <c r="U55" i="1"/>
  <c r="V55" i="1"/>
  <c r="U27" i="1"/>
  <c r="V27" i="1"/>
  <c r="U31" i="1"/>
  <c r="V31" i="1"/>
  <c r="U73" i="1"/>
  <c r="V73" i="1"/>
  <c r="U11" i="1"/>
  <c r="V11" i="1"/>
  <c r="U290" i="1"/>
  <c r="V290" i="1"/>
  <c r="U305" i="1"/>
  <c r="V305" i="1"/>
  <c r="U90" i="1"/>
  <c r="V90" i="1"/>
  <c r="U165" i="1"/>
  <c r="V165" i="1"/>
  <c r="U37" i="1"/>
  <c r="V37" i="1"/>
  <c r="U74" i="1"/>
  <c r="V74" i="1"/>
  <c r="U130" i="1"/>
  <c r="V130" i="1"/>
  <c r="U38" i="1"/>
  <c r="V38" i="1"/>
  <c r="U59" i="1"/>
  <c r="V59" i="1"/>
  <c r="U120" i="1"/>
  <c r="V120" i="1"/>
  <c r="U156" i="1"/>
  <c r="V156" i="1"/>
  <c r="K300" i="1"/>
  <c r="K42" i="1"/>
  <c r="K274" i="1"/>
  <c r="K113" i="1"/>
  <c r="K268" i="1"/>
  <c r="K148" i="1"/>
  <c r="K167" i="1"/>
  <c r="K23" i="1"/>
  <c r="K284" i="1"/>
  <c r="K72" i="1"/>
  <c r="K55" i="1"/>
  <c r="K27" i="1"/>
  <c r="K31" i="1"/>
  <c r="K73" i="1"/>
  <c r="K11" i="1"/>
  <c r="K290" i="1"/>
  <c r="K305" i="1"/>
  <c r="K90" i="1"/>
  <c r="K165" i="1"/>
  <c r="K37" i="1"/>
  <c r="K74" i="1"/>
  <c r="K130" i="1"/>
  <c r="K38" i="1"/>
  <c r="K59" i="1"/>
  <c r="K120" i="1"/>
  <c r="K156" i="1"/>
  <c r="K233" i="1"/>
  <c r="AD7" i="3"/>
  <c r="AD89" i="3"/>
  <c r="AD95" i="3"/>
  <c r="AD52" i="3"/>
  <c r="AD29" i="3"/>
  <c r="AD19" i="3"/>
  <c r="AC140" i="2"/>
  <c r="AC4" i="2"/>
  <c r="AC111" i="2"/>
  <c r="AC133" i="2"/>
  <c r="AC118" i="2"/>
  <c r="AC103" i="2"/>
  <c r="AC55" i="2"/>
  <c r="U140" i="2"/>
  <c r="U4" i="2"/>
  <c r="U111" i="2"/>
  <c r="U133" i="2"/>
  <c r="U118" i="2"/>
  <c r="U103" i="2"/>
  <c r="U55" i="2"/>
  <c r="T140" i="2"/>
  <c r="T111" i="2"/>
  <c r="T133" i="2"/>
  <c r="T118" i="2"/>
  <c r="T103" i="2"/>
  <c r="T55" i="2"/>
  <c r="T7" i="3"/>
  <c r="U7" i="3"/>
  <c r="T89" i="3"/>
  <c r="U89" i="3"/>
  <c r="T95" i="3"/>
  <c r="U95" i="3"/>
  <c r="T52" i="3"/>
  <c r="U52" i="3"/>
  <c r="T29" i="3"/>
  <c r="U29" i="3"/>
  <c r="T19" i="3"/>
  <c r="U19" i="3"/>
  <c r="T90" i="3"/>
  <c r="K7" i="3"/>
  <c r="K89" i="3"/>
  <c r="K95" i="3"/>
  <c r="K52" i="3"/>
  <c r="K29" i="3"/>
  <c r="K19" i="3"/>
  <c r="K140" i="2"/>
  <c r="K4" i="2"/>
  <c r="K111" i="2"/>
  <c r="K133" i="2"/>
  <c r="K118" i="2"/>
  <c r="K103" i="2"/>
  <c r="Y300" i="1"/>
  <c r="Y42" i="1"/>
  <c r="Y274" i="1"/>
  <c r="Y113" i="1"/>
  <c r="Y268" i="1"/>
  <c r="Y148" i="1"/>
  <c r="Y167" i="1"/>
  <c r="Y23" i="1"/>
  <c r="Y284" i="1"/>
  <c r="Y72" i="1"/>
  <c r="Y55" i="1"/>
  <c r="Y27" i="1"/>
  <c r="Y31" i="1"/>
  <c r="Y73" i="1"/>
  <c r="Y11" i="1"/>
  <c r="Y290" i="1"/>
  <c r="Y305" i="1"/>
  <c r="Y90" i="1"/>
  <c r="Y165" i="1"/>
  <c r="Y37" i="1"/>
  <c r="Y74" i="1"/>
  <c r="Y130" i="1"/>
  <c r="Y38" i="1"/>
  <c r="Y59" i="1"/>
  <c r="Y120" i="1"/>
  <c r="Y156" i="1"/>
  <c r="Y233" i="1"/>
  <c r="G7" i="3"/>
  <c r="G89" i="3"/>
  <c r="G95" i="3"/>
  <c r="G52" i="3"/>
  <c r="G29" i="3"/>
  <c r="G19" i="3"/>
  <c r="G140" i="2"/>
  <c r="G4" i="2"/>
  <c r="G111" i="2"/>
  <c r="G133" i="2"/>
  <c r="G118" i="2"/>
  <c r="G103" i="2"/>
  <c r="G55" i="2"/>
  <c r="G29" i="2"/>
  <c r="AA5" i="7"/>
  <c r="G300" i="1"/>
  <c r="G42" i="1"/>
  <c r="G274" i="1"/>
  <c r="G113" i="1"/>
  <c r="G268" i="1"/>
  <c r="G148" i="1"/>
  <c r="G167" i="1"/>
  <c r="G23" i="1"/>
  <c r="G284" i="1"/>
  <c r="G72" i="1"/>
  <c r="G55" i="1"/>
  <c r="G27" i="1"/>
  <c r="G31" i="1"/>
  <c r="G73" i="1"/>
  <c r="G11" i="1"/>
  <c r="G290" i="1"/>
  <c r="G305" i="1"/>
  <c r="G90" i="1"/>
  <c r="G165" i="1"/>
  <c r="G37" i="1"/>
  <c r="G74" i="1"/>
  <c r="G130" i="1"/>
  <c r="G38" i="1"/>
  <c r="G59" i="1"/>
  <c r="G120" i="1"/>
  <c r="G156" i="1"/>
  <c r="G233" i="1"/>
  <c r="I318" i="5"/>
  <c r="E214" i="5"/>
  <c r="AE488" i="9"/>
  <c r="AA19" i="7"/>
  <c r="AA40" i="7"/>
  <c r="AA32" i="7"/>
  <c r="AA31" i="7"/>
  <c r="AA30" i="7"/>
  <c r="AA25" i="7"/>
  <c r="AA24" i="7"/>
  <c r="AA23" i="7"/>
  <c r="AA12" i="7"/>
  <c r="T121" i="3"/>
  <c r="U34" i="2"/>
  <c r="T34" i="2"/>
  <c r="Y5" i="7"/>
  <c r="Y40" i="7"/>
  <c r="K34" i="2"/>
  <c r="K20" i="2"/>
  <c r="K117" i="2"/>
  <c r="K73" i="2"/>
  <c r="K5" i="2"/>
  <c r="K41" i="2"/>
  <c r="K45" i="2"/>
  <c r="K88" i="2"/>
  <c r="K62" i="2"/>
  <c r="K78" i="2"/>
  <c r="K14" i="2"/>
  <c r="K44" i="2"/>
  <c r="K32" i="2"/>
  <c r="K42" i="2"/>
  <c r="K11" i="2"/>
  <c r="K98" i="2"/>
  <c r="K61" i="2"/>
  <c r="K131" i="2"/>
  <c r="K38" i="2"/>
  <c r="K83" i="2"/>
  <c r="K132" i="2"/>
  <c r="K33" i="2"/>
  <c r="K48" i="2"/>
  <c r="K90" i="2"/>
  <c r="K8" i="2"/>
  <c r="K66" i="2"/>
  <c r="K135" i="2"/>
  <c r="K139" i="2"/>
  <c r="K3" i="2"/>
  <c r="K130" i="2"/>
  <c r="K13" i="2"/>
  <c r="K40" i="2"/>
  <c r="K39" i="2"/>
  <c r="K10" i="2"/>
  <c r="K77" i="2"/>
  <c r="K120" i="2"/>
  <c r="K93" i="2"/>
  <c r="K37" i="2"/>
  <c r="K19" i="2"/>
  <c r="K94" i="2"/>
  <c r="K35" i="2"/>
  <c r="K18" i="2"/>
  <c r="K110" i="2"/>
  <c r="K28" i="2"/>
  <c r="K81" i="2"/>
  <c r="K97" i="2"/>
  <c r="K113" i="2"/>
  <c r="K52" i="2"/>
  <c r="K105" i="2"/>
  <c r="K84" i="2"/>
  <c r="K70" i="2"/>
  <c r="K109" i="2"/>
  <c r="K57" i="2"/>
  <c r="K46" i="2"/>
  <c r="K100" i="2"/>
  <c r="K74" i="2"/>
  <c r="K80" i="2"/>
  <c r="K122" i="2"/>
  <c r="K12" i="2"/>
  <c r="K30" i="2"/>
  <c r="K127" i="2"/>
  <c r="K116" i="2"/>
  <c r="K7" i="2"/>
  <c r="K69" i="2"/>
  <c r="K50" i="2"/>
  <c r="K107" i="2"/>
  <c r="K71" i="2"/>
  <c r="K115" i="2"/>
  <c r="K23" i="2"/>
  <c r="K75" i="2"/>
  <c r="K54" i="2"/>
  <c r="K51" i="2"/>
  <c r="K138" i="2"/>
  <c r="K58" i="2"/>
  <c r="K21" i="2"/>
  <c r="K106" i="2"/>
  <c r="K92" i="2"/>
  <c r="K86" i="2"/>
  <c r="K25" i="2"/>
  <c r="K67" i="2"/>
  <c r="K112" i="2"/>
  <c r="K101" i="2"/>
  <c r="K6" i="2"/>
  <c r="K134" i="2"/>
  <c r="K26" i="2"/>
  <c r="K47" i="2"/>
  <c r="K126" i="2"/>
  <c r="K99" i="2"/>
  <c r="K49" i="2"/>
  <c r="K22" i="2"/>
  <c r="K76" i="2"/>
  <c r="K56" i="2"/>
  <c r="K60" i="2"/>
  <c r="K79" i="2"/>
  <c r="K108" i="2"/>
  <c r="K64" i="2"/>
  <c r="K53" i="2"/>
  <c r="K68" i="2"/>
  <c r="K82" i="2"/>
  <c r="K89" i="2"/>
  <c r="K123" i="2"/>
  <c r="K91" i="2"/>
  <c r="K59" i="2"/>
  <c r="K121" i="2"/>
  <c r="K87" i="2"/>
  <c r="K9" i="2"/>
  <c r="K96" i="2"/>
  <c r="K65" i="2"/>
  <c r="K104" i="2"/>
  <c r="K95" i="2"/>
  <c r="K17" i="2"/>
  <c r="K124" i="2"/>
  <c r="K136" i="2"/>
  <c r="K129" i="2"/>
  <c r="K128" i="2"/>
  <c r="K43" i="2"/>
  <c r="K72" i="2"/>
  <c r="K125" i="2"/>
  <c r="K31" i="2"/>
  <c r="K29" i="2"/>
  <c r="K102" i="2"/>
  <c r="K114" i="2"/>
  <c r="K119" i="2"/>
  <c r="K85" i="2"/>
  <c r="K137" i="2"/>
  <c r="G7" i="1"/>
  <c r="G46" i="1"/>
  <c r="AA425" i="9"/>
  <c r="N425" i="9"/>
  <c r="Z32" i="7"/>
  <c r="Z31" i="7"/>
  <c r="Z30" i="7"/>
  <c r="Z23" i="7"/>
  <c r="Z25" i="7"/>
  <c r="Z24" i="7"/>
  <c r="Z19" i="7"/>
  <c r="Z12" i="7"/>
  <c r="Z5" i="7"/>
  <c r="Z40" i="7"/>
  <c r="G26" i="2"/>
  <c r="G127" i="2"/>
  <c r="G99" i="2"/>
  <c r="G43" i="2"/>
  <c r="G54" i="2"/>
  <c r="G21" i="2"/>
  <c r="G84" i="2"/>
  <c r="G28" i="2"/>
  <c r="G67" i="2"/>
  <c r="G25" i="2"/>
  <c r="G129" i="2"/>
  <c r="G89" i="2"/>
  <c r="G71" i="2"/>
  <c r="G57" i="2"/>
  <c r="G92" i="2"/>
  <c r="G136" i="2"/>
  <c r="G96" i="2"/>
  <c r="G52" i="2"/>
  <c r="G105" i="2"/>
  <c r="G75" i="2"/>
  <c r="G108" i="2"/>
  <c r="G80" i="2"/>
  <c r="G94" i="2"/>
  <c r="G91" i="2"/>
  <c r="G33" i="2"/>
  <c r="G77" i="2"/>
  <c r="G76" i="2"/>
  <c r="G23" i="2"/>
  <c r="G51" i="2"/>
  <c r="G112" i="2"/>
  <c r="G87" i="2"/>
  <c r="G19" i="2"/>
  <c r="G69" i="2"/>
  <c r="G74" i="2"/>
  <c r="G116" i="2"/>
  <c r="G101" i="2"/>
  <c r="G58" i="2"/>
  <c r="G106" i="2"/>
  <c r="G47" i="2"/>
  <c r="G107" i="2"/>
  <c r="G128" i="2"/>
  <c r="G110" i="2"/>
  <c r="G68" i="2"/>
  <c r="G86" i="2"/>
  <c r="G11" i="2"/>
  <c r="G66" i="2"/>
  <c r="G10" i="2"/>
  <c r="G82" i="2"/>
  <c r="G65" i="2"/>
  <c r="G72" i="2"/>
  <c r="G97" i="2"/>
  <c r="G13" i="2"/>
  <c r="G39" i="2"/>
  <c r="G14" i="2"/>
  <c r="G60" i="2"/>
  <c r="G109" i="2"/>
  <c r="G46" i="2"/>
  <c r="G64" i="2"/>
  <c r="G70" i="2"/>
  <c r="G134" i="2"/>
  <c r="G31" i="2"/>
  <c r="G126" i="2"/>
  <c r="G35" i="2"/>
  <c r="G115" i="2"/>
  <c r="G85" i="2"/>
  <c r="G56" i="2"/>
  <c r="G38" i="2"/>
  <c r="G8" i="2"/>
  <c r="G124" i="2"/>
  <c r="G17" i="2"/>
  <c r="G18" i="2"/>
  <c r="G49" i="2"/>
  <c r="G40" i="2"/>
  <c r="G48" i="2"/>
  <c r="G59" i="2"/>
  <c r="G5" i="2"/>
  <c r="G81" i="2"/>
  <c r="G9" i="2"/>
  <c r="G123" i="2"/>
  <c r="G79" i="2"/>
  <c r="G6" i="2"/>
  <c r="Z425" i="9"/>
  <c r="M425" i="9"/>
  <c r="U84" i="3"/>
  <c r="U51" i="3"/>
  <c r="U53" i="3"/>
  <c r="T84" i="3"/>
  <c r="T51" i="3"/>
  <c r="T53" i="3"/>
  <c r="U125" i="2"/>
  <c r="U119" i="2"/>
  <c r="U99" i="2"/>
  <c r="U25" i="2"/>
  <c r="U129" i="2"/>
  <c r="T125" i="2"/>
  <c r="T119" i="2"/>
  <c r="T99" i="2"/>
  <c r="T25" i="2"/>
  <c r="T129" i="2"/>
  <c r="V203" i="1"/>
  <c r="U293" i="1"/>
  <c r="V293" i="1"/>
  <c r="U70" i="1"/>
  <c r="V70" i="1"/>
  <c r="U283" i="1"/>
  <c r="V283" i="1"/>
  <c r="U151" i="1"/>
  <c r="V151" i="1"/>
  <c r="U228" i="1"/>
  <c r="V228" i="1"/>
  <c r="U75" i="1"/>
  <c r="V75" i="1"/>
  <c r="U173" i="1"/>
  <c r="V173" i="1"/>
  <c r="U299" i="1"/>
  <c r="V299" i="1"/>
  <c r="AD32" i="3"/>
  <c r="AD83" i="3"/>
  <c r="AD41" i="3"/>
  <c r="AD102" i="3"/>
  <c r="AD50" i="3"/>
  <c r="AD70" i="3"/>
  <c r="AD84" i="3"/>
  <c r="AD51" i="3"/>
  <c r="AD53" i="3"/>
  <c r="T70" i="3"/>
  <c r="U70" i="3"/>
  <c r="K70" i="3"/>
  <c r="K84" i="3"/>
  <c r="K51" i="3"/>
  <c r="K53" i="3"/>
  <c r="G70" i="3"/>
  <c r="G84" i="3"/>
  <c r="G51" i="3"/>
  <c r="G53" i="3"/>
  <c r="AC85" i="2"/>
  <c r="AC31" i="2"/>
  <c r="AC34" i="2"/>
  <c r="AC137" i="2"/>
  <c r="AC12" i="2"/>
  <c r="T120" i="2"/>
  <c r="U120" i="2"/>
  <c r="G120" i="2"/>
  <c r="G125" i="2"/>
  <c r="G119" i="2"/>
  <c r="Y203" i="1"/>
  <c r="Y293" i="1"/>
  <c r="Y70" i="1"/>
  <c r="Y283" i="1"/>
  <c r="Y151" i="1"/>
  <c r="Y228" i="1"/>
  <c r="Y75" i="1"/>
  <c r="Y173" i="1"/>
  <c r="Y299" i="1"/>
  <c r="Y46" i="1"/>
  <c r="U203" i="1"/>
  <c r="K123" i="1"/>
  <c r="K224" i="1"/>
  <c r="K335" i="1"/>
  <c r="K91" i="1"/>
  <c r="K326" i="1"/>
  <c r="K154" i="1"/>
  <c r="K142" i="1"/>
  <c r="K144" i="1"/>
  <c r="K105" i="1"/>
  <c r="G203" i="1"/>
  <c r="G293" i="1"/>
  <c r="G70" i="1"/>
  <c r="G283" i="1"/>
  <c r="G151" i="1"/>
  <c r="G228" i="1"/>
  <c r="G75" i="1"/>
  <c r="G173" i="1"/>
  <c r="G299" i="1"/>
  <c r="G103" i="1"/>
  <c r="L425" i="9"/>
  <c r="Y425" i="9"/>
  <c r="X425" i="9"/>
  <c r="W425" i="9"/>
  <c r="V425" i="9"/>
  <c r="U425" i="9"/>
  <c r="T425" i="9"/>
  <c r="S425" i="9"/>
  <c r="R425" i="9"/>
  <c r="Q425" i="9"/>
  <c r="P425" i="9"/>
  <c r="O425" i="9"/>
  <c r="K425" i="9"/>
  <c r="J425" i="9"/>
  <c r="I425" i="9"/>
  <c r="H425" i="9"/>
  <c r="G425" i="9"/>
  <c r="F425" i="9"/>
  <c r="E425" i="9"/>
  <c r="D425" i="9"/>
  <c r="C425" i="9"/>
  <c r="B425" i="9"/>
  <c r="Z41" i="7" l="1"/>
  <c r="N433" i="9"/>
  <c r="M433" i="9"/>
  <c r="AB41" i="7"/>
  <c r="AB26" i="7"/>
  <c r="AA41" i="7"/>
  <c r="AB33" i="7"/>
  <c r="E318" i="5"/>
  <c r="J318" i="5"/>
  <c r="K433" i="9"/>
  <c r="AA33" i="7"/>
  <c r="AA26" i="7"/>
  <c r="Z33" i="7"/>
  <c r="Z26" i="7"/>
  <c r="L433" i="9"/>
  <c r="W343" i="1"/>
  <c r="U131" i="3"/>
  <c r="K318" i="5"/>
  <c r="I433" i="9"/>
  <c r="J433" i="9"/>
  <c r="C433" i="9"/>
  <c r="D433" i="9"/>
  <c r="A433" i="9"/>
  <c r="B433" i="9"/>
  <c r="E433" i="9"/>
  <c r="F433" i="9"/>
  <c r="H433" i="9"/>
  <c r="G433" i="9"/>
  <c r="U137" i="2"/>
  <c r="U53" i="2"/>
  <c r="U114" i="2"/>
  <c r="U30" i="2"/>
  <c r="T137" i="2"/>
  <c r="T53" i="2"/>
  <c r="T114" i="2"/>
  <c r="T30" i="2"/>
  <c r="V324" i="1"/>
  <c r="V80" i="1"/>
  <c r="V202" i="1"/>
  <c r="V326" i="1"/>
  <c r="V170" i="1"/>
  <c r="V273" i="1"/>
  <c r="V85" i="1"/>
  <c r="V243" i="1"/>
  <c r="V103" i="1"/>
  <c r="U324" i="1"/>
  <c r="U80" i="1"/>
  <c r="U202" i="1"/>
  <c r="U326" i="1"/>
  <c r="U170" i="1"/>
  <c r="U273" i="1"/>
  <c r="U85" i="1"/>
  <c r="U243" i="1"/>
  <c r="U103" i="1"/>
  <c r="U3" i="1"/>
  <c r="AC56" i="2"/>
  <c r="AC87" i="2"/>
  <c r="AC108" i="2"/>
  <c r="AC43" i="2"/>
  <c r="AC113" i="2"/>
  <c r="AC72" i="2"/>
  <c r="AC47" i="2"/>
  <c r="AC59" i="2"/>
  <c r="AC128" i="2"/>
  <c r="AC121" i="2"/>
  <c r="AC96" i="2"/>
  <c r="G30" i="2"/>
  <c r="G114" i="2"/>
  <c r="G53" i="2"/>
  <c r="G137" i="2"/>
  <c r="K152" i="1"/>
  <c r="K281" i="1"/>
  <c r="K195" i="1"/>
  <c r="K202" i="1"/>
  <c r="K191" i="1"/>
  <c r="K188" i="1"/>
  <c r="Y326" i="1"/>
  <c r="Y170" i="1"/>
  <c r="Y273" i="1"/>
  <c r="Y85" i="1"/>
  <c r="Y243" i="1"/>
  <c r="Y103" i="1"/>
  <c r="Y202" i="1"/>
  <c r="Y57" i="1"/>
  <c r="Y6" i="1"/>
  <c r="Y144" i="1"/>
  <c r="Y158" i="1"/>
  <c r="Y247" i="1"/>
  <c r="Y166" i="1"/>
  <c r="Y182" i="1"/>
  <c r="Y295" i="1"/>
  <c r="Y79" i="1"/>
  <c r="Y249" i="1"/>
  <c r="Y318" i="1"/>
  <c r="Y242" i="1"/>
  <c r="Y264" i="1"/>
  <c r="Y272" i="1"/>
  <c r="Y123" i="1"/>
  <c r="Y87" i="1"/>
  <c r="Y327" i="1"/>
  <c r="Y145" i="1"/>
  <c r="Y296" i="1"/>
  <c r="Y119" i="1"/>
  <c r="Y136" i="1"/>
  <c r="Y218" i="1"/>
  <c r="Y315" i="1"/>
  <c r="Y115" i="1"/>
  <c r="Y134" i="1"/>
  <c r="Y265" i="1"/>
  <c r="Y282" i="1"/>
  <c r="Y100" i="1"/>
  <c r="Y106" i="1"/>
  <c r="Y285" i="1"/>
  <c r="Y260" i="1"/>
  <c r="Y213" i="1"/>
  <c r="Y118" i="1"/>
  <c r="Y286" i="1"/>
  <c r="Y328" i="1"/>
  <c r="Y188" i="1"/>
  <c r="Y331" i="1"/>
  <c r="Y191" i="1"/>
  <c r="Y168" i="1"/>
  <c r="Y266" i="1"/>
  <c r="Y312" i="1"/>
  <c r="Y67" i="1"/>
  <c r="Y58" i="1"/>
  <c r="Y83" i="1"/>
  <c r="Y205" i="1"/>
  <c r="Y84" i="1"/>
  <c r="Y214" i="1"/>
  <c r="Y186" i="1"/>
  <c r="Y321" i="1"/>
  <c r="Y289" i="1"/>
  <c r="Y230" i="1"/>
  <c r="Y304" i="1"/>
  <c r="Y196" i="1"/>
  <c r="Y65" i="1"/>
  <c r="Y325" i="1"/>
  <c r="Y248" i="1"/>
  <c r="Y61" i="1"/>
  <c r="Y94" i="1"/>
  <c r="Y288" i="1"/>
  <c r="Y231" i="1"/>
  <c r="Y133" i="1"/>
  <c r="Y204" i="1"/>
  <c r="Y161" i="1"/>
  <c r="Y245" i="1"/>
  <c r="Y258" i="1"/>
  <c r="Y159" i="1"/>
  <c r="Y122" i="1"/>
  <c r="Y281" i="1"/>
  <c r="Y153" i="1"/>
  <c r="Y239" i="1"/>
  <c r="Y193" i="1"/>
  <c r="Y163" i="1"/>
  <c r="Y276" i="1"/>
  <c r="Y176" i="1"/>
  <c r="Y177" i="1"/>
  <c r="Y147" i="1"/>
  <c r="Y261" i="1"/>
  <c r="Y169" i="1"/>
  <c r="Y199" i="1"/>
  <c r="Y127" i="1"/>
  <c r="Y302" i="1"/>
  <c r="Y223" i="1"/>
  <c r="Y227" i="1"/>
  <c r="Y229" i="1"/>
  <c r="Y275" i="1"/>
  <c r="Y88" i="1"/>
  <c r="Y226" i="1"/>
  <c r="Y195" i="1"/>
  <c r="Y294" i="1"/>
  <c r="Y192" i="1"/>
  <c r="Y126" i="1"/>
  <c r="Y179" i="1"/>
  <c r="Y292" i="1"/>
  <c r="Y171" i="1"/>
  <c r="Y162" i="1"/>
  <c r="Y140" i="1"/>
  <c r="Y278" i="1"/>
  <c r="Y220" i="1"/>
  <c r="Y93" i="1"/>
  <c r="Y279" i="1"/>
  <c r="Y252" i="1"/>
  <c r="Y164" i="1"/>
  <c r="Y298" i="1"/>
  <c r="Y240" i="1"/>
  <c r="Y256" i="1"/>
  <c r="Y185" i="1"/>
  <c r="Y174" i="1"/>
  <c r="Y236" i="1"/>
  <c r="Y259" i="1"/>
  <c r="Y269" i="1"/>
  <c r="Y104" i="1"/>
  <c r="Y110" i="1"/>
  <c r="Y237" i="1"/>
  <c r="Y238" i="1"/>
  <c r="Y307" i="1"/>
  <c r="Y189" i="1"/>
  <c r="Y131" i="1"/>
  <c r="Y116" i="1"/>
  <c r="Y270" i="1"/>
  <c r="Y208" i="1"/>
  <c r="Y224" i="1"/>
  <c r="Y287" i="1"/>
  <c r="Y335" i="1"/>
  <c r="Y81" i="1"/>
  <c r="Y313" i="1"/>
  <c r="Y181" i="1"/>
  <c r="Y332" i="1"/>
  <c r="Y155" i="1"/>
  <c r="Y225" i="1"/>
  <c r="Y44" i="1"/>
  <c r="Y322" i="1"/>
  <c r="Y51" i="1"/>
  <c r="Y121" i="1"/>
  <c r="Y99" i="1"/>
  <c r="Y92" i="1"/>
  <c r="Y244" i="1"/>
  <c r="Y232" i="1"/>
  <c r="Y86" i="1"/>
  <c r="Y235" i="1"/>
  <c r="Y178" i="1"/>
  <c r="Y97" i="1"/>
  <c r="Y221" i="1"/>
  <c r="Y330" i="1"/>
  <c r="Y32" i="1"/>
  <c r="Y129" i="1"/>
  <c r="Y39" i="1"/>
  <c r="Y108" i="1"/>
  <c r="Y149" i="1"/>
  <c r="Y333" i="1"/>
  <c r="Y135" i="1"/>
  <c r="Y125" i="1"/>
  <c r="Y319" i="1"/>
  <c r="Y56" i="1"/>
  <c r="Y271" i="1"/>
  <c r="Y105" i="1"/>
  <c r="Y132" i="1"/>
  <c r="Y254" i="1"/>
  <c r="Y109" i="1"/>
  <c r="Y139" i="1"/>
  <c r="Y142" i="1"/>
  <c r="Y250" i="1"/>
  <c r="Y246" i="1"/>
  <c r="Y91" i="1"/>
  <c r="Y257" i="1"/>
  <c r="Y267" i="1"/>
  <c r="Y329" i="1"/>
  <c r="Y53" i="1"/>
  <c r="Y9" i="1"/>
  <c r="Y152" i="1"/>
  <c r="Y78" i="1"/>
  <c r="Y114" i="1"/>
  <c r="Y138" i="1"/>
  <c r="Y255" i="1"/>
  <c r="Y4" i="1"/>
  <c r="Y71" i="1"/>
  <c r="Y183" i="1"/>
  <c r="Y277" i="1"/>
  <c r="Y28" i="1"/>
  <c r="Y63" i="1"/>
  <c r="Y320" i="1"/>
  <c r="Y154" i="1"/>
  <c r="Y98" i="1"/>
  <c r="Y211" i="1"/>
  <c r="Y62" i="1"/>
  <c r="Y24" i="1"/>
  <c r="Y112" i="1"/>
  <c r="Y234" i="1"/>
  <c r="Y323" i="1"/>
  <c r="Y117" i="1"/>
  <c r="Y64" i="1"/>
  <c r="Y8" i="1"/>
  <c r="Y29" i="1"/>
  <c r="Y25" i="1"/>
  <c r="Y89" i="1"/>
  <c r="Y253" i="1"/>
  <c r="Y102" i="1"/>
  <c r="Y7" i="1"/>
  <c r="Y334" i="1"/>
  <c r="Y324" i="1"/>
  <c r="Y80" i="1"/>
  <c r="Y3" i="1"/>
  <c r="G243" i="1"/>
  <c r="G85" i="1"/>
  <c r="G273" i="1"/>
  <c r="G170" i="1"/>
  <c r="G326" i="1"/>
  <c r="U70" i="2"/>
  <c r="U107" i="2"/>
  <c r="U116" i="2"/>
  <c r="U12" i="2"/>
  <c r="U130" i="2"/>
  <c r="U29" i="2"/>
  <c r="U113" i="2"/>
  <c r="T70" i="2"/>
  <c r="T107" i="2"/>
  <c r="T116" i="2"/>
  <c r="T12" i="2"/>
  <c r="T130" i="2"/>
  <c r="T29" i="2"/>
  <c r="T113" i="2"/>
  <c r="U32" i="3"/>
  <c r="U83" i="3"/>
  <c r="U41" i="3"/>
  <c r="U102" i="3"/>
  <c r="U50" i="3"/>
  <c r="T32" i="3"/>
  <c r="T83" i="3"/>
  <c r="T41" i="3"/>
  <c r="T102" i="3"/>
  <c r="T50" i="3"/>
  <c r="G41" i="3"/>
  <c r="G102" i="3"/>
  <c r="G50" i="3"/>
  <c r="G83" i="3"/>
  <c r="G32" i="3"/>
  <c r="AC3" i="2"/>
  <c r="G12" i="2"/>
  <c r="G130" i="2"/>
  <c r="G113" i="2"/>
  <c r="K228" i="1"/>
  <c r="K102" i="1"/>
  <c r="K242" i="1"/>
  <c r="G80" i="1"/>
  <c r="G202" i="1"/>
  <c r="G324" i="1"/>
  <c r="AD118" i="3"/>
  <c r="AD85" i="3"/>
  <c r="AD99" i="3"/>
  <c r="AD109" i="3"/>
  <c r="AD8" i="3"/>
  <c r="AD47" i="3"/>
  <c r="AD43" i="3"/>
  <c r="AD28" i="3"/>
  <c r="AD38" i="3"/>
  <c r="AD49" i="3"/>
  <c r="AD58" i="3"/>
  <c r="AD82" i="3"/>
  <c r="AD74" i="3"/>
  <c r="AD121" i="3"/>
  <c r="AD40" i="3"/>
  <c r="AD17" i="3"/>
  <c r="AD65" i="3"/>
  <c r="AD78" i="3"/>
  <c r="AD75" i="3"/>
  <c r="AD24" i="3"/>
  <c r="AD10" i="3"/>
  <c r="AD60" i="3"/>
  <c r="AD36" i="3"/>
  <c r="AD64" i="3"/>
  <c r="AD101" i="3"/>
  <c r="AD55" i="3"/>
  <c r="AD100" i="3"/>
  <c r="AD13" i="3"/>
  <c r="AD9" i="3"/>
  <c r="AD87" i="3"/>
  <c r="AD34" i="3"/>
  <c r="AD77" i="3"/>
  <c r="AD117" i="3"/>
  <c r="AD92" i="3"/>
  <c r="AD108" i="3"/>
  <c r="AD26" i="3"/>
  <c r="AD107" i="3"/>
  <c r="AD45" i="3"/>
  <c r="AD79" i="3"/>
  <c r="AD81" i="3"/>
  <c r="AD72" i="3"/>
  <c r="AD63" i="3"/>
  <c r="AD68" i="3"/>
  <c r="AD37" i="3"/>
  <c r="AD86" i="3"/>
  <c r="AD103" i="3"/>
  <c r="AD69" i="3"/>
  <c r="AD98" i="3"/>
  <c r="AD59" i="3"/>
  <c r="AD22" i="3"/>
  <c r="AD20" i="3"/>
  <c r="AD122" i="3"/>
  <c r="AD71" i="3"/>
  <c r="AD46" i="3"/>
  <c r="AD115" i="3"/>
  <c r="AD16" i="3"/>
  <c r="AD94" i="3"/>
  <c r="AD105" i="3"/>
  <c r="AD62" i="3"/>
  <c r="AD61" i="3"/>
  <c r="AD21" i="3"/>
  <c r="AD73" i="3"/>
  <c r="AD11" i="3"/>
  <c r="AD96" i="3"/>
  <c r="AD90" i="3"/>
  <c r="AD39" i="3"/>
  <c r="AD88" i="3"/>
  <c r="AD67" i="3"/>
  <c r="AD35" i="3"/>
  <c r="AD104" i="3"/>
  <c r="AD54" i="3"/>
  <c r="AD112" i="3"/>
  <c r="AD23" i="3"/>
  <c r="AD42" i="3"/>
  <c r="AD25" i="3"/>
  <c r="AD5" i="3"/>
  <c r="AD97" i="3"/>
  <c r="AD30" i="3"/>
  <c r="AD27" i="3"/>
  <c r="AD119" i="3"/>
  <c r="AD93" i="3"/>
  <c r="AD31" i="3"/>
  <c r="AD4" i="3"/>
  <c r="AD15" i="3"/>
  <c r="AD56" i="3"/>
  <c r="AD48" i="3"/>
  <c r="AD106" i="3"/>
  <c r="AD33" i="3"/>
  <c r="AD91" i="3"/>
  <c r="AD76" i="3"/>
  <c r="AD6" i="3"/>
  <c r="AD12" i="3"/>
  <c r="AD113" i="3"/>
  <c r="AD3" i="3"/>
  <c r="AD18" i="3"/>
  <c r="AC5" i="2"/>
  <c r="AC11" i="2"/>
  <c r="AC81" i="2"/>
  <c r="AC38" i="2"/>
  <c r="AC37" i="2"/>
  <c r="AC138" i="2"/>
  <c r="AC131" i="2"/>
  <c r="AC8" i="2"/>
  <c r="AC139" i="2"/>
  <c r="AC30" i="2"/>
  <c r="AC14" i="2"/>
  <c r="AC25" i="2"/>
  <c r="AC123" i="2"/>
  <c r="AC48" i="2"/>
  <c r="AC10" i="2"/>
  <c r="AC132" i="2"/>
  <c r="AC120" i="2"/>
  <c r="AC99" i="2"/>
  <c r="AC129" i="2"/>
  <c r="AC100" i="2"/>
  <c r="AC6" i="2"/>
  <c r="AC66" i="2"/>
  <c r="AC119" i="2"/>
  <c r="AC49" i="2"/>
  <c r="AC19" i="2"/>
  <c r="AC20" i="2"/>
  <c r="AC117" i="2"/>
  <c r="AC77" i="2"/>
  <c r="AC125" i="2"/>
  <c r="AC94" i="2"/>
  <c r="AC97" i="2"/>
  <c r="AC116" i="2"/>
  <c r="AC40" i="2"/>
  <c r="AC70" i="2"/>
  <c r="AC33" i="2"/>
  <c r="AC32" i="2"/>
  <c r="AC51" i="2"/>
  <c r="AC7" i="2"/>
  <c r="AC52" i="2"/>
  <c r="AC35" i="2"/>
  <c r="AC105" i="2"/>
  <c r="AC122" i="2"/>
  <c r="AC110" i="2"/>
  <c r="AC73" i="2"/>
  <c r="AC124" i="2"/>
  <c r="AC86" i="2"/>
  <c r="AC29" i="2"/>
  <c r="AC114" i="2"/>
  <c r="AC41" i="2"/>
  <c r="AC50" i="2"/>
  <c r="AC26" i="2"/>
  <c r="AC18" i="2"/>
  <c r="AC135" i="2"/>
  <c r="AC79" i="2"/>
  <c r="AC53" i="2"/>
  <c r="AC75" i="2"/>
  <c r="AC84" i="2"/>
  <c r="AC102" i="2"/>
  <c r="AC54" i="2"/>
  <c r="AC62" i="2"/>
  <c r="AC109" i="2"/>
  <c r="AC44" i="2"/>
  <c r="AC115" i="2"/>
  <c r="AC57" i="2"/>
  <c r="AC42" i="2"/>
  <c r="AC46" i="2"/>
  <c r="AC58" i="2"/>
  <c r="AC98" i="2"/>
  <c r="AC45" i="2"/>
  <c r="AC134" i="2"/>
  <c r="AC82" i="2"/>
  <c r="AC39" i="2"/>
  <c r="AC74" i="2"/>
  <c r="AC23" i="2"/>
  <c r="AC9" i="2"/>
  <c r="AC112" i="2"/>
  <c r="AC64" i="2"/>
  <c r="AC106" i="2"/>
  <c r="AC61" i="2"/>
  <c r="AC80" i="2"/>
  <c r="AC60" i="2"/>
  <c r="AC22" i="2"/>
  <c r="AC90" i="2"/>
  <c r="AC83" i="2"/>
  <c r="AC88" i="2"/>
  <c r="AC78" i="2"/>
  <c r="AC93" i="2"/>
  <c r="AC21" i="2"/>
  <c r="AC104" i="2"/>
  <c r="AC68" i="2"/>
  <c r="AC67" i="2"/>
  <c r="AC71" i="2"/>
  <c r="AC69" i="2"/>
  <c r="AC101" i="2"/>
  <c r="AC76" i="2"/>
  <c r="AC95" i="2"/>
  <c r="AC126" i="2"/>
  <c r="AC28" i="2"/>
  <c r="AC107" i="2"/>
  <c r="AC92" i="2"/>
  <c r="AC130" i="2"/>
  <c r="AC89" i="2"/>
  <c r="AC65" i="2"/>
  <c r="AC136" i="2"/>
  <c r="AC91" i="2"/>
  <c r="AC127" i="2"/>
  <c r="K334" i="1"/>
  <c r="V3" i="1"/>
  <c r="I3" i="5"/>
  <c r="T64" i="2"/>
  <c r="U64" i="2"/>
  <c r="T104" i="2"/>
  <c r="U104" i="2"/>
  <c r="T131" i="2"/>
  <c r="U131" i="2"/>
  <c r="V7" i="1"/>
  <c r="V232" i="1"/>
  <c r="V255" i="1"/>
  <c r="V277" i="1"/>
  <c r="U63" i="1"/>
  <c r="U7" i="1"/>
  <c r="U232" i="1"/>
  <c r="U255" i="1"/>
  <c r="U277" i="1"/>
  <c r="G131" i="2"/>
  <c r="G104" i="2"/>
  <c r="V63" i="1"/>
  <c r="K127" i="1"/>
  <c r="K7" i="1"/>
  <c r="K264" i="1"/>
  <c r="K122" i="1"/>
  <c r="K258" i="1"/>
  <c r="G63" i="1"/>
  <c r="G232" i="1"/>
  <c r="G255" i="1"/>
  <c r="G277" i="1"/>
  <c r="U115" i="3"/>
  <c r="T13" i="3"/>
  <c r="T85" i="3"/>
  <c r="U85" i="3"/>
  <c r="T47" i="3"/>
  <c r="U4" i="3"/>
  <c r="T4" i="3"/>
  <c r="U6" i="3"/>
  <c r="U28" i="3"/>
  <c r="U82" i="3"/>
  <c r="U33" i="3"/>
  <c r="U101" i="3"/>
  <c r="U74" i="3"/>
  <c r="U100" i="3"/>
  <c r="U36" i="3"/>
  <c r="U105" i="3"/>
  <c r="U103" i="3"/>
  <c r="U61" i="3"/>
  <c r="U91" i="3"/>
  <c r="U15" i="3"/>
  <c r="U67" i="3"/>
  <c r="U31" i="3"/>
  <c r="U40" i="3"/>
  <c r="U63" i="3"/>
  <c r="U54" i="3"/>
  <c r="U97" i="3"/>
  <c r="U117" i="3"/>
  <c r="U9" i="3"/>
  <c r="U94" i="3"/>
  <c r="U93" i="3"/>
  <c r="U106" i="3"/>
  <c r="U35" i="3"/>
  <c r="U72" i="3"/>
  <c r="U79" i="3"/>
  <c r="U69" i="3"/>
  <c r="U23" i="3"/>
  <c r="U64" i="3"/>
  <c r="U98" i="3"/>
  <c r="U71" i="3"/>
  <c r="U37" i="3"/>
  <c r="U59" i="3"/>
  <c r="U88" i="3"/>
  <c r="U73" i="3"/>
  <c r="U27" i="3"/>
  <c r="U81" i="3"/>
  <c r="U77" i="3"/>
  <c r="U78" i="3"/>
  <c r="U55" i="3"/>
  <c r="U45" i="3"/>
  <c r="U119" i="3"/>
  <c r="U86" i="3"/>
  <c r="U25" i="3"/>
  <c r="U104" i="3"/>
  <c r="U62" i="3"/>
  <c r="U5" i="3"/>
  <c r="U107" i="3"/>
  <c r="U99" i="3"/>
  <c r="U17" i="3"/>
  <c r="U112" i="3"/>
  <c r="U16" i="3"/>
  <c r="U20" i="3"/>
  <c r="U10" i="3"/>
  <c r="U118" i="3"/>
  <c r="U42" i="3"/>
  <c r="U26" i="3"/>
  <c r="U68" i="3"/>
  <c r="U76" i="3"/>
  <c r="U46" i="3"/>
  <c r="U60" i="3"/>
  <c r="U87" i="3"/>
  <c r="U65" i="3"/>
  <c r="U49" i="3"/>
  <c r="U18" i="3"/>
  <c r="U39" i="3"/>
  <c r="U92" i="3"/>
  <c r="U108" i="3"/>
  <c r="U34" i="3"/>
  <c r="U12" i="3"/>
  <c r="U30" i="3"/>
  <c r="U43" i="3"/>
  <c r="U56" i="3"/>
  <c r="U75" i="3"/>
  <c r="U48" i="3"/>
  <c r="U22" i="3"/>
  <c r="U24" i="3"/>
  <c r="U8" i="3"/>
  <c r="U58" i="3"/>
  <c r="U21" i="3"/>
  <c r="U13" i="3"/>
  <c r="U3" i="3"/>
  <c r="U113" i="3"/>
  <c r="U38" i="3"/>
  <c r="T115" i="3"/>
  <c r="T6" i="3"/>
  <c r="T28" i="3"/>
  <c r="T82" i="3"/>
  <c r="T33" i="3"/>
  <c r="T101" i="3"/>
  <c r="T74" i="3"/>
  <c r="T100" i="3"/>
  <c r="T36" i="3"/>
  <c r="T105" i="3"/>
  <c r="T103" i="3"/>
  <c r="T61" i="3"/>
  <c r="T91" i="3"/>
  <c r="T15" i="3"/>
  <c r="T67" i="3"/>
  <c r="T31" i="3"/>
  <c r="T40" i="3"/>
  <c r="T63" i="3"/>
  <c r="T54" i="3"/>
  <c r="T97" i="3"/>
  <c r="T117" i="3"/>
  <c r="T9" i="3"/>
  <c r="T94" i="3"/>
  <c r="T93" i="3"/>
  <c r="T106" i="3"/>
  <c r="T35" i="3"/>
  <c r="T72" i="3"/>
  <c r="T79" i="3"/>
  <c r="T69" i="3"/>
  <c r="T23" i="3"/>
  <c r="T64" i="3"/>
  <c r="T98" i="3"/>
  <c r="T71" i="3"/>
  <c r="T37" i="3"/>
  <c r="T59" i="3"/>
  <c r="T88" i="3"/>
  <c r="T73" i="3"/>
  <c r="T27" i="3"/>
  <c r="T81" i="3"/>
  <c r="T77" i="3"/>
  <c r="T78" i="3"/>
  <c r="T55" i="3"/>
  <c r="T45" i="3"/>
  <c r="T119" i="3"/>
  <c r="T86" i="3"/>
  <c r="T25" i="3"/>
  <c r="T104" i="3"/>
  <c r="T62" i="3"/>
  <c r="T5" i="3"/>
  <c r="T107" i="3"/>
  <c r="T99" i="3"/>
  <c r="T17" i="3"/>
  <c r="T112" i="3"/>
  <c r="T16" i="3"/>
  <c r="T20" i="3"/>
  <c r="T10" i="3"/>
  <c r="T118" i="3"/>
  <c r="T42" i="3"/>
  <c r="T26" i="3"/>
  <c r="T68" i="3"/>
  <c r="T76" i="3"/>
  <c r="T46" i="3"/>
  <c r="T60" i="3"/>
  <c r="T87" i="3"/>
  <c r="T65" i="3"/>
  <c r="T49" i="3"/>
  <c r="T18" i="3"/>
  <c r="T39" i="3"/>
  <c r="T92" i="3"/>
  <c r="T108" i="3"/>
  <c r="T34" i="3"/>
  <c r="T12" i="3"/>
  <c r="T30" i="3"/>
  <c r="T43" i="3"/>
  <c r="T56" i="3"/>
  <c r="T75" i="3"/>
  <c r="T48" i="3"/>
  <c r="T22" i="3"/>
  <c r="T24" i="3"/>
  <c r="T8" i="3"/>
  <c r="T58" i="3"/>
  <c r="T21" i="3"/>
  <c r="T3" i="3"/>
  <c r="T113" i="3"/>
  <c r="T38" i="3"/>
  <c r="T122" i="3"/>
  <c r="U95" i="2"/>
  <c r="U9" i="2"/>
  <c r="U31" i="2"/>
  <c r="T95" i="2"/>
  <c r="T9" i="2"/>
  <c r="T31" i="2"/>
  <c r="V32" i="1"/>
  <c r="V168" i="1"/>
  <c r="V327" i="1"/>
  <c r="V8" i="1"/>
  <c r="V264" i="1"/>
  <c r="V158" i="1"/>
  <c r="V119" i="1"/>
  <c r="V335" i="1"/>
  <c r="V24" i="1"/>
  <c r="V183" i="1"/>
  <c r="V330" i="1"/>
  <c r="V46" i="1"/>
  <c r="V319" i="1"/>
  <c r="V272" i="1"/>
  <c r="V28" i="1"/>
  <c r="V4" i="1"/>
  <c r="V25" i="1"/>
  <c r="V247" i="1"/>
  <c r="V144" i="1"/>
  <c r="V136" i="1"/>
  <c r="V138" i="1"/>
  <c r="V242" i="1"/>
  <c r="V135" i="1"/>
  <c r="V250" i="1"/>
  <c r="V229" i="1"/>
  <c r="V117" i="1"/>
  <c r="V320" i="1"/>
  <c r="V102" i="1"/>
  <c r="U32" i="1"/>
  <c r="U168" i="1"/>
  <c r="U327" i="1"/>
  <c r="U264" i="1"/>
  <c r="U158" i="1"/>
  <c r="U119" i="1"/>
  <c r="U335" i="1"/>
  <c r="U24" i="1"/>
  <c r="U183" i="1"/>
  <c r="U330" i="1"/>
  <c r="U46" i="1"/>
  <c r="U319" i="1"/>
  <c r="U272" i="1"/>
  <c r="U28" i="1"/>
  <c r="U4" i="1"/>
  <c r="U25" i="1"/>
  <c r="U247" i="1"/>
  <c r="U144" i="1"/>
  <c r="U136" i="1"/>
  <c r="U138" i="1"/>
  <c r="U242" i="1"/>
  <c r="U135" i="1"/>
  <c r="U250" i="1"/>
  <c r="U229" i="1"/>
  <c r="U117" i="1"/>
  <c r="U320" i="1"/>
  <c r="U102" i="1"/>
  <c r="V142" i="1"/>
  <c r="U142" i="1"/>
  <c r="U333" i="1"/>
  <c r="V166" i="1"/>
  <c r="V57" i="1"/>
  <c r="V83" i="1"/>
  <c r="V98" i="1"/>
  <c r="V275" i="1"/>
  <c r="V152" i="1"/>
  <c r="V246" i="1"/>
  <c r="V91" i="1"/>
  <c r="V71" i="1"/>
  <c r="V325" i="1"/>
  <c r="V294" i="1"/>
  <c r="V289" i="1"/>
  <c r="V58" i="1"/>
  <c r="V211" i="1"/>
  <c r="V84" i="1"/>
  <c r="V304" i="1"/>
  <c r="V186" i="1"/>
  <c r="V302" i="1"/>
  <c r="V312" i="1"/>
  <c r="V181" i="1"/>
  <c r="V292" i="1"/>
  <c r="V118" i="1"/>
  <c r="V199" i="1"/>
  <c r="V237" i="1"/>
  <c r="V322" i="1"/>
  <c r="V221" i="1"/>
  <c r="V121" i="1"/>
  <c r="V97" i="1"/>
  <c r="V153" i="1"/>
  <c r="V260" i="1"/>
  <c r="V225" i="1"/>
  <c r="V185" i="1"/>
  <c r="V86" i="1"/>
  <c r="V279" i="1"/>
  <c r="V161" i="1"/>
  <c r="V281" i="1"/>
  <c r="V218" i="1"/>
  <c r="V205" i="1"/>
  <c r="V214" i="1"/>
  <c r="V323" i="1"/>
  <c r="V177" i="1"/>
  <c r="V307" i="1"/>
  <c r="V94" i="1"/>
  <c r="V258" i="1"/>
  <c r="V318" i="1"/>
  <c r="V169" i="1"/>
  <c r="V227" i="1"/>
  <c r="V236" i="1"/>
  <c r="V276" i="1"/>
  <c r="V270" i="1"/>
  <c r="V287" i="1"/>
  <c r="V163" i="1"/>
  <c r="V208" i="1"/>
  <c r="V265" i="1"/>
  <c r="V56" i="1"/>
  <c r="V285" i="1"/>
  <c r="V252" i="1"/>
  <c r="V147" i="1"/>
  <c r="V226" i="1"/>
  <c r="V257" i="1"/>
  <c r="V332" i="1"/>
  <c r="V261" i="1"/>
  <c r="V240" i="1"/>
  <c r="V321" i="1"/>
  <c r="V164" i="1"/>
  <c r="V245" i="1"/>
  <c r="V176" i="1"/>
  <c r="V271" i="1"/>
  <c r="V140" i="1"/>
  <c r="V191" i="1"/>
  <c r="V238" i="1"/>
  <c r="V269" i="1"/>
  <c r="V133" i="1"/>
  <c r="V99" i="1"/>
  <c r="V220" i="1"/>
  <c r="V126" i="1"/>
  <c r="V189" i="1"/>
  <c r="V39" i="1"/>
  <c r="V244" i="1"/>
  <c r="V67" i="1"/>
  <c r="V253" i="1"/>
  <c r="V266" i="1"/>
  <c r="V298" i="1"/>
  <c r="V213" i="1"/>
  <c r="V278" i="1"/>
  <c r="V109" i="1"/>
  <c r="V159" i="1"/>
  <c r="V288" i="1"/>
  <c r="V174" i="1"/>
  <c r="V267" i="1"/>
  <c r="V149" i="1"/>
  <c r="V116" i="1"/>
  <c r="V93" i="1"/>
  <c r="V182" i="1"/>
  <c r="V223" i="1"/>
  <c r="V224" i="1"/>
  <c r="V125" i="1"/>
  <c r="V239" i="1"/>
  <c r="V9" i="1"/>
  <c r="V230" i="1"/>
  <c r="V139" i="1"/>
  <c r="V112" i="1"/>
  <c r="V171" i="1"/>
  <c r="V249" i="1"/>
  <c r="V154" i="1"/>
  <c r="V131" i="1"/>
  <c r="V79" i="1"/>
  <c r="V179" i="1"/>
  <c r="V259" i="1"/>
  <c r="V231" i="1"/>
  <c r="V235" i="1"/>
  <c r="V122" i="1"/>
  <c r="V51" i="1"/>
  <c r="V178" i="1"/>
  <c r="V195" i="1"/>
  <c r="V313" i="1"/>
  <c r="V155" i="1"/>
  <c r="V145" i="1"/>
  <c r="V328" i="1"/>
  <c r="V282" i="1"/>
  <c r="V100" i="1"/>
  <c r="V296" i="1"/>
  <c r="V204" i="1"/>
  <c r="V87" i="1"/>
  <c r="V110" i="1"/>
  <c r="V104" i="1"/>
  <c r="V108" i="1"/>
  <c r="V315" i="1"/>
  <c r="V248" i="1"/>
  <c r="V188" i="1"/>
  <c r="V81" i="1"/>
  <c r="V127" i="1"/>
  <c r="V106" i="1"/>
  <c r="V65" i="1"/>
  <c r="V88" i="1"/>
  <c r="V123" i="1"/>
  <c r="V62" i="1"/>
  <c r="V193" i="1"/>
  <c r="V129" i="1"/>
  <c r="V89" i="1"/>
  <c r="V92" i="1"/>
  <c r="V256" i="1"/>
  <c r="V114" i="1"/>
  <c r="V196" i="1"/>
  <c r="V234" i="1"/>
  <c r="V331" i="1"/>
  <c r="V329" i="1"/>
  <c r="V132" i="1"/>
  <c r="V192" i="1"/>
  <c r="V286" i="1"/>
  <c r="V115" i="1"/>
  <c r="V44" i="1"/>
  <c r="V29" i="1"/>
  <c r="V105" i="1"/>
  <c r="V64" i="1"/>
  <c r="V134" i="1"/>
  <c r="V53" i="1"/>
  <c r="V254" i="1"/>
  <c r="V61" i="1"/>
  <c r="V162" i="1"/>
  <c r="V78" i="1"/>
  <c r="V295" i="1"/>
  <c r="V333" i="1"/>
  <c r="V6" i="1"/>
  <c r="U38" i="2"/>
  <c r="U57" i="1"/>
  <c r="U334" i="1"/>
  <c r="U83" i="1"/>
  <c r="U98" i="1"/>
  <c r="U275" i="1"/>
  <c r="U152" i="1"/>
  <c r="U246" i="1"/>
  <c r="U91" i="1"/>
  <c r="U71" i="1"/>
  <c r="U325" i="1"/>
  <c r="U294" i="1"/>
  <c r="U289" i="1"/>
  <c r="U58" i="1"/>
  <c r="U211" i="1"/>
  <c r="U84" i="1"/>
  <c r="U304" i="1"/>
  <c r="U186" i="1"/>
  <c r="U302" i="1"/>
  <c r="U312" i="1"/>
  <c r="U181" i="1"/>
  <c r="U292" i="1"/>
  <c r="U118" i="1"/>
  <c r="U199" i="1"/>
  <c r="U237" i="1"/>
  <c r="U322" i="1"/>
  <c r="U221" i="1"/>
  <c r="U121" i="1"/>
  <c r="U97" i="1"/>
  <c r="U153" i="1"/>
  <c r="U260" i="1"/>
  <c r="U225" i="1"/>
  <c r="U185" i="1"/>
  <c r="U86" i="1"/>
  <c r="U279" i="1"/>
  <c r="U161" i="1"/>
  <c r="U281" i="1"/>
  <c r="U218" i="1"/>
  <c r="U205" i="1"/>
  <c r="U214" i="1"/>
  <c r="U323" i="1"/>
  <c r="U177" i="1"/>
  <c r="U307" i="1"/>
  <c r="U94" i="1"/>
  <c r="U258" i="1"/>
  <c r="U318" i="1"/>
  <c r="U169" i="1"/>
  <c r="U227" i="1"/>
  <c r="U236" i="1"/>
  <c r="U276" i="1"/>
  <c r="U270" i="1"/>
  <c r="U287" i="1"/>
  <c r="U163" i="1"/>
  <c r="U208" i="1"/>
  <c r="U265" i="1"/>
  <c r="U56" i="1"/>
  <c r="U285" i="1"/>
  <c r="U252" i="1"/>
  <c r="U147" i="1"/>
  <c r="U226" i="1"/>
  <c r="U166" i="1"/>
  <c r="U257" i="1"/>
  <c r="U332" i="1"/>
  <c r="U261" i="1"/>
  <c r="U240" i="1"/>
  <c r="U321" i="1"/>
  <c r="U164" i="1"/>
  <c r="U245" i="1"/>
  <c r="U176" i="1"/>
  <c r="U271" i="1"/>
  <c r="U140" i="1"/>
  <c r="U191" i="1"/>
  <c r="U238" i="1"/>
  <c r="U269" i="1"/>
  <c r="U133" i="1"/>
  <c r="U99" i="1"/>
  <c r="U220" i="1"/>
  <c r="U126" i="1"/>
  <c r="U189" i="1"/>
  <c r="U39" i="1"/>
  <c r="U244" i="1"/>
  <c r="U67" i="1"/>
  <c r="U253" i="1"/>
  <c r="U266" i="1"/>
  <c r="U298" i="1"/>
  <c r="U213" i="1"/>
  <c r="U278" i="1"/>
  <c r="U109" i="1"/>
  <c r="U159" i="1"/>
  <c r="U288" i="1"/>
  <c r="U174" i="1"/>
  <c r="U267" i="1"/>
  <c r="U149" i="1"/>
  <c r="U116" i="1"/>
  <c r="U93" i="1"/>
  <c r="U182" i="1"/>
  <c r="U223" i="1"/>
  <c r="U224" i="1"/>
  <c r="U125" i="1"/>
  <c r="U239" i="1"/>
  <c r="U9" i="1"/>
  <c r="U230" i="1"/>
  <c r="U139" i="1"/>
  <c r="U112" i="1"/>
  <c r="U171" i="1"/>
  <c r="U249" i="1"/>
  <c r="U154" i="1"/>
  <c r="U131" i="1"/>
  <c r="U79" i="1"/>
  <c r="U179" i="1"/>
  <c r="U259" i="1"/>
  <c r="U231" i="1"/>
  <c r="U235" i="1"/>
  <c r="U122" i="1"/>
  <c r="U51" i="1"/>
  <c r="U178" i="1"/>
  <c r="U195" i="1"/>
  <c r="U313" i="1"/>
  <c r="U155" i="1"/>
  <c r="U145" i="1"/>
  <c r="U328" i="1"/>
  <c r="U282" i="1"/>
  <c r="U100" i="1"/>
  <c r="U296" i="1"/>
  <c r="U204" i="1"/>
  <c r="U87" i="1"/>
  <c r="U110" i="1"/>
  <c r="U104" i="1"/>
  <c r="U108" i="1"/>
  <c r="U315" i="1"/>
  <c r="U248" i="1"/>
  <c r="U188" i="1"/>
  <c r="U81" i="1"/>
  <c r="U127" i="1"/>
  <c r="U106" i="1"/>
  <c r="U65" i="1"/>
  <c r="U88" i="1"/>
  <c r="U123" i="1"/>
  <c r="U62" i="1"/>
  <c r="U193" i="1"/>
  <c r="U129" i="1"/>
  <c r="U89" i="1"/>
  <c r="U92" i="1"/>
  <c r="U256" i="1"/>
  <c r="U114" i="1"/>
  <c r="U196" i="1"/>
  <c r="U234" i="1"/>
  <c r="U331" i="1"/>
  <c r="U329" i="1"/>
  <c r="U132" i="1"/>
  <c r="U192" i="1"/>
  <c r="U286" i="1"/>
  <c r="U115" i="1"/>
  <c r="U44" i="1"/>
  <c r="U29" i="1"/>
  <c r="U105" i="1"/>
  <c r="U64" i="1"/>
  <c r="U134" i="1"/>
  <c r="U53" i="1"/>
  <c r="U254" i="1"/>
  <c r="U61" i="1"/>
  <c r="U162" i="1"/>
  <c r="U78" i="1"/>
  <c r="U295" i="1"/>
  <c r="U6" i="1"/>
  <c r="K278" i="1"/>
  <c r="K221" i="1"/>
  <c r="K92" i="1"/>
  <c r="K115" i="1"/>
  <c r="K318" i="1"/>
  <c r="K67" i="1"/>
  <c r="K327" i="1"/>
  <c r="K61" i="1"/>
  <c r="K332" i="1"/>
  <c r="G250" i="1"/>
  <c r="G229" i="1"/>
  <c r="G117" i="1"/>
  <c r="G320" i="1"/>
  <c r="G102" i="1"/>
  <c r="G242" i="1"/>
  <c r="G135" i="1"/>
  <c r="K50" i="3" l="1"/>
  <c r="K102" i="3"/>
  <c r="K41" i="3"/>
  <c r="K83" i="3"/>
  <c r="K32" i="3"/>
  <c r="G38" i="3"/>
  <c r="G85" i="3"/>
  <c r="G95" i="2"/>
  <c r="G136" i="1"/>
  <c r="G138" i="1"/>
  <c r="G122" i="3"/>
  <c r="K108" i="3"/>
  <c r="K96" i="3"/>
  <c r="K37" i="3"/>
  <c r="U122" i="3"/>
  <c r="G115" i="3"/>
  <c r="K79" i="3"/>
  <c r="G6" i="3"/>
  <c r="K15" i="3"/>
  <c r="G28" i="3"/>
  <c r="K60" i="3"/>
  <c r="G82" i="3"/>
  <c r="K20" i="3"/>
  <c r="K17" i="3"/>
  <c r="G33" i="3"/>
  <c r="G101" i="3"/>
  <c r="K62" i="3"/>
  <c r="G74" i="3"/>
  <c r="K68" i="3"/>
  <c r="K40" i="3"/>
  <c r="G36" i="3"/>
  <c r="K27" i="3"/>
  <c r="G100" i="3"/>
  <c r="K18" i="3"/>
  <c r="G105" i="3"/>
  <c r="K69" i="3"/>
  <c r="G103" i="3"/>
  <c r="K71" i="3"/>
  <c r="G61" i="3"/>
  <c r="K81" i="3"/>
  <c r="G67" i="3"/>
  <c r="G15" i="3"/>
  <c r="K106" i="3"/>
  <c r="G31" i="3"/>
  <c r="K118" i="3"/>
  <c r="G40" i="3"/>
  <c r="G63" i="3"/>
  <c r="K61" i="3"/>
  <c r="G54" i="3"/>
  <c r="K97" i="3"/>
  <c r="G9" i="3"/>
  <c r="K105" i="3"/>
  <c r="G117" i="3"/>
  <c r="K104" i="3"/>
  <c r="K39" i="3"/>
  <c r="G94" i="3"/>
  <c r="G93" i="3"/>
  <c r="K28" i="3"/>
  <c r="K4" i="3"/>
  <c r="G106" i="3"/>
  <c r="K86" i="3"/>
  <c r="K77" i="3"/>
  <c r="K5" i="3"/>
  <c r="G23" i="3"/>
  <c r="K98" i="3"/>
  <c r="G72" i="3"/>
  <c r="K65" i="3"/>
  <c r="K45" i="3"/>
  <c r="G69" i="3"/>
  <c r="K59" i="3"/>
  <c r="G79" i="3"/>
  <c r="G98" i="3"/>
  <c r="K74" i="3"/>
  <c r="K12" i="3"/>
  <c r="G35" i="3"/>
  <c r="K46" i="3"/>
  <c r="G64" i="3"/>
  <c r="K43" i="3"/>
  <c r="G37" i="3"/>
  <c r="K10" i="3"/>
  <c r="G119" i="3"/>
  <c r="K30" i="3"/>
  <c r="G59" i="3"/>
  <c r="K73" i="3"/>
  <c r="G88" i="3"/>
  <c r="K35" i="3"/>
  <c r="G71" i="3"/>
  <c r="G27" i="3"/>
  <c r="K64" i="3"/>
  <c r="G73" i="3"/>
  <c r="K112" i="3"/>
  <c r="K8" i="3"/>
  <c r="G77" i="3"/>
  <c r="K16" i="3"/>
  <c r="K22" i="3"/>
  <c r="G45" i="3"/>
  <c r="K93" i="3"/>
  <c r="G78" i="3"/>
  <c r="K36" i="3"/>
  <c r="G86" i="3"/>
  <c r="G55" i="3"/>
  <c r="K9" i="3"/>
  <c r="G25" i="3"/>
  <c r="K23" i="3"/>
  <c r="G104" i="3"/>
  <c r="K56" i="3"/>
  <c r="G62" i="3"/>
  <c r="K87" i="3"/>
  <c r="G107" i="3"/>
  <c r="G99" i="3"/>
  <c r="K115" i="3"/>
  <c r="G5" i="3"/>
  <c r="K33" i="3"/>
  <c r="G16" i="3"/>
  <c r="K78" i="3"/>
  <c r="G20" i="3"/>
  <c r="K88" i="3"/>
  <c r="G17" i="3"/>
  <c r="K34" i="3"/>
  <c r="G112" i="3"/>
  <c r="K117" i="3"/>
  <c r="G10" i="3"/>
  <c r="K99" i="3"/>
  <c r="G118" i="3"/>
  <c r="K82" i="3"/>
  <c r="K24" i="3"/>
  <c r="G91" i="3"/>
  <c r="K94" i="3"/>
  <c r="G42" i="3"/>
  <c r="K101" i="3"/>
  <c r="K100" i="3"/>
  <c r="G26" i="3"/>
  <c r="K92" i="3"/>
  <c r="G68" i="3"/>
  <c r="K55" i="3"/>
  <c r="G76" i="3"/>
  <c r="K38" i="3"/>
  <c r="G87" i="3"/>
  <c r="K107" i="3"/>
  <c r="G60" i="3"/>
  <c r="K26" i="3"/>
  <c r="G18" i="3"/>
  <c r="K3" i="3"/>
  <c r="G46" i="3"/>
  <c r="G39" i="3"/>
  <c r="K25" i="3"/>
  <c r="G65" i="3"/>
  <c r="K113" i="3"/>
  <c r="G49" i="3"/>
  <c r="K119" i="3"/>
  <c r="G92" i="3"/>
  <c r="K76" i="3"/>
  <c r="G108" i="3"/>
  <c r="K72" i="3"/>
  <c r="G12" i="3"/>
  <c r="K85" i="3"/>
  <c r="G34" i="3"/>
  <c r="K67" i="3"/>
  <c r="G56" i="3"/>
  <c r="K48" i="3"/>
  <c r="G30" i="3"/>
  <c r="K91" i="3"/>
  <c r="G43" i="3"/>
  <c r="K11" i="3"/>
  <c r="G81" i="3"/>
  <c r="K103" i="3"/>
  <c r="G22" i="3"/>
  <c r="G75" i="3"/>
  <c r="K13" i="3"/>
  <c r="G48" i="3"/>
  <c r="K58" i="3"/>
  <c r="G8" i="3"/>
  <c r="K109" i="3"/>
  <c r="G24" i="3"/>
  <c r="K42" i="3"/>
  <c r="G58" i="3"/>
  <c r="K75" i="3"/>
  <c r="G21" i="3"/>
  <c r="K63" i="3"/>
  <c r="G13" i="3"/>
  <c r="K54" i="3"/>
  <c r="G113" i="3"/>
  <c r="K90" i="3"/>
  <c r="G11" i="3"/>
  <c r="T11" i="3"/>
  <c r="U11" i="3"/>
  <c r="G109" i="3"/>
  <c r="K121" i="3"/>
  <c r="T109" i="3"/>
  <c r="U109" i="3"/>
  <c r="G3" i="3"/>
  <c r="K122" i="3"/>
  <c r="G96" i="3"/>
  <c r="K31" i="3"/>
  <c r="T96" i="3"/>
  <c r="U96" i="3"/>
  <c r="G90" i="3"/>
  <c r="U90" i="3"/>
  <c r="G97" i="3"/>
  <c r="K21" i="3"/>
  <c r="G47" i="3"/>
  <c r="K6" i="3"/>
  <c r="U47" i="3"/>
  <c r="G4" i="3"/>
  <c r="K49" i="3"/>
  <c r="G121" i="3"/>
  <c r="K47" i="3"/>
  <c r="U121" i="3"/>
  <c r="E164" i="5"/>
  <c r="J2" i="5"/>
  <c r="T128" i="2" l="1"/>
  <c r="U128" i="2"/>
  <c r="T47" i="2"/>
  <c r="U47" i="2"/>
  <c r="T135" i="2"/>
  <c r="U135" i="2"/>
  <c r="T132" i="2"/>
  <c r="U132" i="2"/>
  <c r="G132" i="2"/>
  <c r="G135" i="2"/>
  <c r="K292" i="1"/>
  <c r="K319" i="1"/>
  <c r="K323" i="1"/>
  <c r="K32" i="1"/>
  <c r="K250" i="1"/>
  <c r="K108" i="1"/>
  <c r="K71" i="1"/>
  <c r="K109" i="1"/>
  <c r="K63" i="1"/>
  <c r="K253" i="1"/>
  <c r="K4" i="1"/>
  <c r="K8" i="1"/>
  <c r="K330" i="1"/>
  <c r="K235" i="1"/>
  <c r="K3" i="1"/>
  <c r="K181" i="1"/>
  <c r="K324" i="1"/>
  <c r="K273" i="1"/>
  <c r="K99" i="1"/>
  <c r="K257" i="1"/>
  <c r="K98" i="1"/>
  <c r="K134" i="1"/>
  <c r="K163" i="1"/>
  <c r="K226" i="1"/>
  <c r="K118" i="1"/>
  <c r="K121" i="1"/>
  <c r="K161" i="1"/>
  <c r="K282" i="1"/>
  <c r="K153" i="1"/>
  <c r="K29" i="1"/>
  <c r="K255" i="1"/>
  <c r="K104" i="1"/>
  <c r="K283" i="1"/>
  <c r="K46" i="1"/>
  <c r="K246" i="1"/>
  <c r="K248" i="1"/>
  <c r="K84" i="1"/>
  <c r="K86" i="1"/>
  <c r="K331" i="1"/>
  <c r="K166" i="1"/>
  <c r="K114" i="1"/>
  <c r="K295" i="1"/>
  <c r="K103" i="1"/>
  <c r="K329" i="1"/>
  <c r="K169" i="1"/>
  <c r="K231" i="1"/>
  <c r="K159" i="1"/>
  <c r="K229" i="1"/>
  <c r="K328" i="1"/>
  <c r="K204" i="1"/>
  <c r="K44" i="1"/>
  <c r="K110" i="1"/>
  <c r="K293" i="1"/>
  <c r="K267" i="1"/>
  <c r="K6" i="1"/>
  <c r="K288" i="1"/>
  <c r="K75" i="1"/>
  <c r="K192" i="1"/>
  <c r="K287" i="1"/>
  <c r="K227" i="1"/>
  <c r="K279" i="1"/>
  <c r="K119" i="1"/>
  <c r="K271" i="1"/>
  <c r="K126" i="1"/>
  <c r="K182" i="1"/>
  <c r="K277" i="1"/>
  <c r="K261" i="1"/>
  <c r="K205" i="1"/>
  <c r="K275" i="1"/>
  <c r="K260" i="1"/>
  <c r="K25" i="1"/>
  <c r="K129" i="1"/>
  <c r="K168" i="1"/>
  <c r="K136" i="1"/>
  <c r="K230" i="1"/>
  <c r="K315" i="1"/>
  <c r="K170" i="1"/>
  <c r="K307" i="1"/>
  <c r="K286" i="1"/>
  <c r="K94" i="1"/>
  <c r="K28" i="1"/>
  <c r="K243" i="1"/>
  <c r="K173" i="1"/>
  <c r="K133" i="1"/>
  <c r="K70" i="1"/>
  <c r="K322" i="1"/>
  <c r="K85" i="1"/>
  <c r="K179" i="1"/>
  <c r="K225" i="1"/>
  <c r="K132" i="1"/>
  <c r="K147" i="1"/>
  <c r="K162" i="1"/>
  <c r="K259" i="1"/>
  <c r="K289" i="1"/>
  <c r="K313" i="1"/>
  <c r="K254" i="1"/>
  <c r="K276" i="1"/>
  <c r="K186" i="1"/>
  <c r="K100" i="1"/>
  <c r="K218" i="1"/>
  <c r="K237" i="1"/>
  <c r="K213" i="1"/>
  <c r="K62" i="1"/>
  <c r="K247" i="1"/>
  <c r="K208" i="1"/>
  <c r="K80" i="1"/>
  <c r="K199" i="1"/>
  <c r="K269" i="1"/>
  <c r="K139" i="1"/>
  <c r="K83" i="1"/>
  <c r="K196" i="1"/>
  <c r="K193" i="1"/>
  <c r="K240" i="1"/>
  <c r="K238" i="1"/>
  <c r="K51" i="1"/>
  <c r="K56" i="1"/>
  <c r="K298" i="1"/>
  <c r="K57" i="1"/>
  <c r="K81" i="1"/>
  <c r="K140" i="1"/>
  <c r="K299" i="1"/>
  <c r="K116" i="1"/>
  <c r="K185" i="1"/>
  <c r="K256" i="1"/>
  <c r="K174" i="1"/>
  <c r="K177" i="1"/>
  <c r="K189" i="1"/>
  <c r="K93" i="1"/>
  <c r="K87" i="1"/>
  <c r="K149" i="1"/>
  <c r="K272" i="1"/>
  <c r="K178" i="1"/>
  <c r="K266" i="1"/>
  <c r="K245" i="1"/>
  <c r="K236" i="1"/>
  <c r="K88" i="1"/>
  <c r="K131" i="1"/>
  <c r="K97" i="1"/>
  <c r="K321" i="1"/>
  <c r="K265" i="1"/>
  <c r="K203" i="1"/>
  <c r="K270" i="1"/>
  <c r="K79" i="1"/>
  <c r="K304" i="1"/>
  <c r="K220" i="1"/>
  <c r="K176" i="1"/>
  <c r="K211" i="1"/>
  <c r="K294" i="1"/>
  <c r="K252" i="1"/>
  <c r="K223" i="1"/>
  <c r="K135" i="1"/>
  <c r="K65" i="1"/>
  <c r="K78" i="1"/>
  <c r="K320" i="1"/>
  <c r="K296" i="1"/>
  <c r="K232" i="1"/>
  <c r="K214" i="1"/>
  <c r="K151" i="1"/>
  <c r="K106" i="1"/>
  <c r="K9" i="1"/>
  <c r="K325" i="1"/>
  <c r="K155" i="1"/>
  <c r="K58" i="1"/>
  <c r="K112" i="1"/>
  <c r="K171" i="1"/>
  <c r="K53" i="1"/>
  <c r="K183" i="1"/>
  <c r="K158" i="1"/>
  <c r="K285" i="1"/>
  <c r="K244" i="1"/>
  <c r="K39" i="1"/>
  <c r="K164" i="1"/>
  <c r="K24" i="1"/>
  <c r="K125" i="1"/>
  <c r="K312" i="1"/>
  <c r="K333" i="1"/>
  <c r="K138" i="1"/>
  <c r="K302" i="1"/>
  <c r="K239" i="1"/>
  <c r="K249" i="1"/>
  <c r="K64" i="1"/>
  <c r="K145" i="1"/>
  <c r="K117" i="1"/>
  <c r="K89" i="1"/>
  <c r="G258" i="1"/>
  <c r="G192" i="1"/>
  <c r="G166" i="1"/>
  <c r="G182" i="1"/>
  <c r="G64" i="1"/>
  <c r="G171" i="1"/>
  <c r="G188" i="1"/>
  <c r="G271" i="1"/>
  <c r="G149" i="1"/>
  <c r="G78" i="1"/>
  <c r="I18" i="5"/>
  <c r="J18" i="5" s="1"/>
  <c r="I132" i="5"/>
  <c r="K132" i="5" s="1"/>
  <c r="E193" i="5"/>
  <c r="E132" i="5"/>
  <c r="G260" i="1"/>
  <c r="G142" i="1"/>
  <c r="G123" i="1"/>
  <c r="G126" i="1"/>
  <c r="E9" i="5"/>
  <c r="I27" i="5"/>
  <c r="I69" i="5"/>
  <c r="J69" i="5" s="1"/>
  <c r="I29" i="5"/>
  <c r="J29" i="5" s="1"/>
  <c r="I118" i="5"/>
  <c r="K118" i="5" s="1"/>
  <c r="I31" i="5"/>
  <c r="I32" i="5"/>
  <c r="I33" i="5"/>
  <c r="I34" i="5"/>
  <c r="I35" i="5"/>
  <c r="I36" i="5"/>
  <c r="J36" i="5" s="1"/>
  <c r="I37" i="5"/>
  <c r="K37" i="5" s="1"/>
  <c r="I38" i="5"/>
  <c r="K38" i="5" s="1"/>
  <c r="I39" i="5"/>
  <c r="I40" i="5"/>
  <c r="I41" i="5"/>
  <c r="I42" i="5"/>
  <c r="I43" i="5"/>
  <c r="I44" i="5"/>
  <c r="K44" i="5" s="1"/>
  <c r="I45" i="5"/>
  <c r="K45" i="5" s="1"/>
  <c r="I46" i="5"/>
  <c r="I47" i="5"/>
  <c r="I48" i="5"/>
  <c r="I49" i="5"/>
  <c r="I50" i="5"/>
  <c r="I51" i="5"/>
  <c r="I52" i="5"/>
  <c r="K52" i="5" s="1"/>
  <c r="I53" i="5"/>
  <c r="J53" i="5" s="1"/>
  <c r="I54" i="5"/>
  <c r="K54" i="5" s="1"/>
  <c r="I55" i="5"/>
  <c r="I56" i="5"/>
  <c r="I57" i="5"/>
  <c r="I58" i="5"/>
  <c r="I59" i="5"/>
  <c r="I60" i="5"/>
  <c r="I61" i="5"/>
  <c r="J61" i="5" s="1"/>
  <c r="I251" i="5"/>
  <c r="K251" i="5" s="1"/>
  <c r="I63" i="5"/>
  <c r="I64" i="5"/>
  <c r="I65" i="5"/>
  <c r="I66" i="5"/>
  <c r="I67" i="5"/>
  <c r="J67" i="5" s="1"/>
  <c r="I68" i="5"/>
  <c r="K68" i="5" s="1"/>
  <c r="I80" i="5"/>
  <c r="K80" i="5" s="1"/>
  <c r="I70" i="5"/>
  <c r="I71" i="5"/>
  <c r="I72" i="5"/>
  <c r="I73" i="5"/>
  <c r="I305" i="5"/>
  <c r="I75" i="5"/>
  <c r="K75" i="5" s="1"/>
  <c r="I76" i="5"/>
  <c r="K76" i="5" s="1"/>
  <c r="I77" i="5"/>
  <c r="I78" i="5"/>
  <c r="I79" i="5"/>
  <c r="I81" i="5"/>
  <c r="I88" i="5"/>
  <c r="I83" i="5"/>
  <c r="K83" i="5" s="1"/>
  <c r="I155" i="5"/>
  <c r="I84" i="5"/>
  <c r="I85" i="5"/>
  <c r="I86" i="5"/>
  <c r="I87" i="5"/>
  <c r="K87" i="5" s="1"/>
  <c r="I82" i="5"/>
  <c r="I90" i="5"/>
  <c r="J90" i="5" s="1"/>
  <c r="I91" i="5"/>
  <c r="J91" i="5" s="1"/>
  <c r="I92" i="5"/>
  <c r="K92" i="5" s="1"/>
  <c r="I93" i="5"/>
  <c r="I94" i="5"/>
  <c r="I97" i="5"/>
  <c r="I204" i="5"/>
  <c r="I274" i="5"/>
  <c r="I98" i="5"/>
  <c r="J98" i="5" s="1"/>
  <c r="I99" i="5"/>
  <c r="K99" i="5" s="1"/>
  <c r="I25" i="5"/>
  <c r="K25" i="5" s="1"/>
  <c r="I101" i="5"/>
  <c r="I102" i="5"/>
  <c r="I103" i="5"/>
  <c r="K103" i="5" s="1"/>
  <c r="I104" i="5"/>
  <c r="I105" i="5"/>
  <c r="I106" i="5"/>
  <c r="K106" i="5" s="1"/>
  <c r="I107" i="5"/>
  <c r="K107" i="5" s="1"/>
  <c r="I108" i="5"/>
  <c r="I109" i="5"/>
  <c r="I110" i="5"/>
  <c r="I111" i="5"/>
  <c r="K111" i="5" s="1"/>
  <c r="I112" i="5"/>
  <c r="I113" i="5"/>
  <c r="I114" i="5"/>
  <c r="J114" i="5" s="1"/>
  <c r="I115" i="5"/>
  <c r="J115" i="5" s="1"/>
  <c r="I116" i="5"/>
  <c r="K116" i="5" s="1"/>
  <c r="I74" i="5"/>
  <c r="I246" i="5"/>
  <c r="I119" i="5"/>
  <c r="K119" i="5" s="1"/>
  <c r="I120" i="5"/>
  <c r="I121" i="5"/>
  <c r="I122" i="5"/>
  <c r="I162" i="5"/>
  <c r="J162" i="5" s="1"/>
  <c r="I124" i="5"/>
  <c r="K124" i="5" s="1"/>
  <c r="I125" i="5"/>
  <c r="I126" i="5"/>
  <c r="K126" i="5" s="1"/>
  <c r="I127" i="5"/>
  <c r="I128" i="5"/>
  <c r="I129" i="5"/>
  <c r="I130" i="5"/>
  <c r="J130" i="5" s="1"/>
  <c r="I131" i="5"/>
  <c r="K131" i="5" s="1"/>
  <c r="I481" i="5"/>
  <c r="I133" i="5"/>
  <c r="I134" i="5"/>
  <c r="I135" i="5"/>
  <c r="I136" i="5"/>
  <c r="I137" i="5"/>
  <c r="K137" i="5" s="1"/>
  <c r="I138" i="5"/>
  <c r="J138" i="5" s="1"/>
  <c r="I139" i="5"/>
  <c r="I140" i="5"/>
  <c r="I141" i="5"/>
  <c r="I142" i="5"/>
  <c r="K142" i="5" s="1"/>
  <c r="I143" i="5"/>
  <c r="I144" i="5"/>
  <c r="I145" i="5"/>
  <c r="K145" i="5" s="1"/>
  <c r="I146" i="5"/>
  <c r="I147" i="5"/>
  <c r="I148" i="5"/>
  <c r="I149" i="5"/>
  <c r="K149" i="5" s="1"/>
  <c r="I150" i="5"/>
  <c r="I151" i="5"/>
  <c r="I152" i="5"/>
  <c r="J152" i="5" s="1"/>
  <c r="I153" i="5"/>
  <c r="K153" i="5" s="1"/>
  <c r="I154" i="5"/>
  <c r="K154" i="5" s="1"/>
  <c r="I232" i="5"/>
  <c r="I156" i="5"/>
  <c r="I157" i="5"/>
  <c r="I158" i="5"/>
  <c r="I159" i="5"/>
  <c r="I160" i="5"/>
  <c r="J160" i="5" s="1"/>
  <c r="I161" i="5"/>
  <c r="K161" i="5" s="1"/>
  <c r="I306" i="5"/>
  <c r="K306" i="5" s="1"/>
  <c r="I163" i="5"/>
  <c r="J163" i="5" s="1"/>
  <c r="I164" i="5"/>
  <c r="K164" i="5" s="1"/>
  <c r="I165" i="5"/>
  <c r="I166" i="5"/>
  <c r="I167" i="5"/>
  <c r="K167" i="5" s="1"/>
  <c r="I554" i="5"/>
  <c r="K554" i="5" s="1"/>
  <c r="I169" i="5"/>
  <c r="I170" i="5"/>
  <c r="I171" i="5"/>
  <c r="I248" i="5"/>
  <c r="K248" i="5" s="1"/>
  <c r="I173" i="5"/>
  <c r="I547" i="5"/>
  <c r="K547" i="5" s="1"/>
  <c r="I175" i="5"/>
  <c r="J175" i="5" s="1"/>
  <c r="I176" i="5"/>
  <c r="K176" i="5" s="1"/>
  <c r="I177" i="5"/>
  <c r="I178" i="5"/>
  <c r="I281" i="5"/>
  <c r="K281" i="5" s="1"/>
  <c r="I180" i="5"/>
  <c r="K180" i="5" s="1"/>
  <c r="I181" i="5"/>
  <c r="I182" i="5"/>
  <c r="I183" i="5"/>
  <c r="J183" i="5" s="1"/>
  <c r="I184" i="5"/>
  <c r="K184" i="5" s="1"/>
  <c r="I185" i="5"/>
  <c r="I186" i="5"/>
  <c r="I187" i="5"/>
  <c r="I188" i="5"/>
  <c r="I189" i="5"/>
  <c r="I190" i="5"/>
  <c r="K190" i="5" s="1"/>
  <c r="I191" i="5"/>
  <c r="K191" i="5" s="1"/>
  <c r="I192" i="5"/>
  <c r="K192" i="5" s="1"/>
  <c r="I193" i="5"/>
  <c r="I194" i="5"/>
  <c r="I195" i="5"/>
  <c r="K195" i="5" s="1"/>
  <c r="I196" i="5"/>
  <c r="I197" i="5"/>
  <c r="I269" i="5"/>
  <c r="K269" i="5" s="1"/>
  <c r="I199" i="5"/>
  <c r="K199" i="5" s="1"/>
  <c r="I200" i="5"/>
  <c r="I201" i="5"/>
  <c r="K201" i="5" s="1"/>
  <c r="I202" i="5"/>
  <c r="I203" i="5"/>
  <c r="I544" i="5"/>
  <c r="I205" i="5"/>
  <c r="K205" i="5" s="1"/>
  <c r="I206" i="5"/>
  <c r="K206" i="5" s="1"/>
  <c r="I207" i="5"/>
  <c r="I208" i="5"/>
  <c r="K208" i="5" s="1"/>
  <c r="I209" i="5"/>
  <c r="K209" i="5" s="1"/>
  <c r="I210" i="5"/>
  <c r="I211" i="5"/>
  <c r="I212" i="5"/>
  <c r="K212" i="5" s="1"/>
  <c r="I213" i="5"/>
  <c r="J213" i="5" s="1"/>
  <c r="I214" i="5"/>
  <c r="I215" i="5"/>
  <c r="I216" i="5"/>
  <c r="K216" i="5" s="1"/>
  <c r="I217" i="5"/>
  <c r="I540" i="5"/>
  <c r="I525" i="5"/>
  <c r="I220" i="5"/>
  <c r="K220" i="5" s="1"/>
  <c r="I221" i="5"/>
  <c r="K221" i="5" s="1"/>
  <c r="I28" i="5"/>
  <c r="K28" i="5" s="1"/>
  <c r="I223" i="5"/>
  <c r="I224" i="5"/>
  <c r="I225" i="5"/>
  <c r="K225" i="5" s="1"/>
  <c r="I226" i="5"/>
  <c r="I227" i="5"/>
  <c r="K227" i="5" s="1"/>
  <c r="I228" i="5"/>
  <c r="I229" i="5"/>
  <c r="K229" i="5" s="1"/>
  <c r="I230" i="5"/>
  <c r="K230" i="5" s="1"/>
  <c r="I231" i="5"/>
  <c r="I364" i="5"/>
  <c r="I233" i="5"/>
  <c r="I234" i="5"/>
  <c r="J234" i="5" s="1"/>
  <c r="I235" i="5"/>
  <c r="K235" i="5" s="1"/>
  <c r="I236" i="5"/>
  <c r="I237" i="5"/>
  <c r="K237" i="5" s="1"/>
  <c r="I238" i="5"/>
  <c r="K238" i="5" s="1"/>
  <c r="I239" i="5"/>
  <c r="I240" i="5"/>
  <c r="I241" i="5"/>
  <c r="K241" i="5" s="1"/>
  <c r="I242" i="5"/>
  <c r="J242" i="5" s="1"/>
  <c r="I243" i="5"/>
  <c r="I244" i="5"/>
  <c r="I245" i="5"/>
  <c r="K245" i="5" s="1"/>
  <c r="I458" i="5"/>
  <c r="I247" i="5"/>
  <c r="I515" i="5"/>
  <c r="K515" i="5" s="1"/>
  <c r="I249" i="5"/>
  <c r="I250" i="5"/>
  <c r="I95" i="5"/>
  <c r="K95" i="5" s="1"/>
  <c r="I252" i="5"/>
  <c r="I324" i="5"/>
  <c r="K324" i="5" s="1"/>
  <c r="I254" i="5"/>
  <c r="J254" i="5" s="1"/>
  <c r="I255" i="5"/>
  <c r="I256" i="5"/>
  <c r="I257" i="5"/>
  <c r="K257" i="5" s="1"/>
  <c r="I258" i="5"/>
  <c r="I259" i="5"/>
  <c r="K259" i="5" s="1"/>
  <c r="I260" i="5"/>
  <c r="I261" i="5"/>
  <c r="I262" i="5"/>
  <c r="I263" i="5"/>
  <c r="I264" i="5"/>
  <c r="I265" i="5"/>
  <c r="J265" i="5" s="1"/>
  <c r="I266" i="5"/>
  <c r="J266" i="5" s="1"/>
  <c r="I267" i="5"/>
  <c r="I268" i="5"/>
  <c r="I320" i="5"/>
  <c r="I270" i="5"/>
  <c r="I271" i="5"/>
  <c r="I291" i="5"/>
  <c r="J291" i="5" s="1"/>
  <c r="I273" i="5"/>
  <c r="I303" i="5"/>
  <c r="I275" i="5"/>
  <c r="I276" i="5"/>
  <c r="I277" i="5"/>
  <c r="K277" i="5" s="1"/>
  <c r="I278" i="5"/>
  <c r="I279" i="5"/>
  <c r="I298" i="5"/>
  <c r="K298" i="5" s="1"/>
  <c r="I292" i="5"/>
  <c r="I282" i="5"/>
  <c r="I283" i="5"/>
  <c r="K283" i="5" s="1"/>
  <c r="I284" i="5"/>
  <c r="J284" i="5" s="1"/>
  <c r="I285" i="5"/>
  <c r="I286" i="5"/>
  <c r="I287" i="5"/>
  <c r="K287" i="5" s="1"/>
  <c r="I288" i="5"/>
  <c r="I289" i="5"/>
  <c r="I290" i="5"/>
  <c r="I30" i="5"/>
  <c r="J30" i="5" s="1"/>
  <c r="I280" i="5"/>
  <c r="I293" i="5"/>
  <c r="I272" i="5"/>
  <c r="K272" i="5" s="1"/>
  <c r="I295" i="5"/>
  <c r="I296" i="5"/>
  <c r="I297" i="5"/>
  <c r="I253" i="5"/>
  <c r="K253" i="5" s="1"/>
  <c r="I299" i="5"/>
  <c r="I300" i="5"/>
  <c r="I301" i="5"/>
  <c r="I302" i="5"/>
  <c r="I222" i="5"/>
  <c r="I304" i="5"/>
  <c r="I198" i="5"/>
  <c r="I174" i="5"/>
  <c r="I307" i="5"/>
  <c r="K307" i="5" s="1"/>
  <c r="I308" i="5"/>
  <c r="I309" i="5"/>
  <c r="I310" i="5"/>
  <c r="I311" i="5"/>
  <c r="I312" i="5"/>
  <c r="I313" i="5"/>
  <c r="I314" i="5"/>
  <c r="I315" i="5"/>
  <c r="K315" i="5" s="1"/>
  <c r="I316" i="5"/>
  <c r="J316" i="5" s="1"/>
  <c r="I317" i="5"/>
  <c r="K317" i="5" s="1"/>
  <c r="I319" i="5"/>
  <c r="I100" i="5"/>
  <c r="K100" i="5" s="1"/>
  <c r="I321" i="5"/>
  <c r="I322" i="5"/>
  <c r="J322" i="5" s="1"/>
  <c r="I323" i="5"/>
  <c r="K323" i="5" s="1"/>
  <c r="I20" i="5"/>
  <c r="K20" i="5" s="1"/>
  <c r="I325" i="5"/>
  <c r="I326" i="5"/>
  <c r="J326" i="5" s="1"/>
  <c r="I327" i="5"/>
  <c r="K327" i="5" s="1"/>
  <c r="I328" i="5"/>
  <c r="I329" i="5"/>
  <c r="I330" i="5"/>
  <c r="J330" i="5" s="1"/>
  <c r="I331" i="5"/>
  <c r="I332" i="5"/>
  <c r="J332" i="5" s="1"/>
  <c r="I333" i="5"/>
  <c r="K333" i="5" s="1"/>
  <c r="I334" i="5"/>
  <c r="I335" i="5"/>
  <c r="K335" i="5" s="1"/>
  <c r="I336" i="5"/>
  <c r="K336" i="5" s="1"/>
  <c r="I337" i="5"/>
  <c r="I338" i="5"/>
  <c r="I339" i="5"/>
  <c r="K339" i="5" s="1"/>
  <c r="I340" i="5"/>
  <c r="J340" i="5" s="1"/>
  <c r="I341" i="5"/>
  <c r="I342" i="5"/>
  <c r="K342" i="5" s="1"/>
  <c r="I343" i="5"/>
  <c r="I344" i="5"/>
  <c r="K344" i="5" s="1"/>
  <c r="I345" i="5"/>
  <c r="I346" i="5"/>
  <c r="J346" i="5" s="1"/>
  <c r="I347" i="5"/>
  <c r="I348" i="5"/>
  <c r="K348" i="5" s="1"/>
  <c r="I349" i="5"/>
  <c r="J349" i="5" s="1"/>
  <c r="I350" i="5"/>
  <c r="I351" i="5"/>
  <c r="J351" i="5" s="1"/>
  <c r="I352" i="5"/>
  <c r="K352" i="5" s="1"/>
  <c r="I353" i="5"/>
  <c r="K353" i="5" s="1"/>
  <c r="I354" i="5"/>
  <c r="J354" i="5" s="1"/>
  <c r="I355" i="5"/>
  <c r="J355" i="5" s="1"/>
  <c r="I356" i="5"/>
  <c r="I357" i="5"/>
  <c r="K357" i="5" s="1"/>
  <c r="I358" i="5"/>
  <c r="J358" i="5" s="1"/>
  <c r="I359" i="5"/>
  <c r="K359" i="5" s="1"/>
  <c r="I360" i="5"/>
  <c r="K360" i="5" s="1"/>
  <c r="I19" i="5"/>
  <c r="I62" i="5"/>
  <c r="K62" i="5" s="1"/>
  <c r="I21" i="5"/>
  <c r="I22" i="5"/>
  <c r="I23" i="5"/>
  <c r="I24" i="5"/>
  <c r="I168" i="5"/>
  <c r="I26" i="5"/>
  <c r="I4" i="5"/>
  <c r="J4" i="5" s="1"/>
  <c r="I5" i="5"/>
  <c r="I6" i="5"/>
  <c r="J6" i="5" s="1"/>
  <c r="I7" i="5"/>
  <c r="I8" i="5"/>
  <c r="I9" i="5"/>
  <c r="I10" i="5"/>
  <c r="J10" i="5" s="1"/>
  <c r="I11" i="5"/>
  <c r="K11" i="5" s="1"/>
  <c r="I12" i="5"/>
  <c r="J12" i="5" s="1"/>
  <c r="I13" i="5"/>
  <c r="I14" i="5"/>
  <c r="J14" i="5" s="1"/>
  <c r="I15" i="5"/>
  <c r="I16" i="5"/>
  <c r="I17" i="5"/>
  <c r="E15" i="5"/>
  <c r="E7" i="5"/>
  <c r="E43" i="5"/>
  <c r="E305" i="5"/>
  <c r="E158" i="5"/>
  <c r="E126" i="5"/>
  <c r="E171" i="5"/>
  <c r="E23" i="5"/>
  <c r="E287" i="5"/>
  <c r="E152" i="5"/>
  <c r="E230" i="5"/>
  <c r="E167" i="5"/>
  <c r="E111" i="5"/>
  <c r="E270" i="5"/>
  <c r="E71" i="5"/>
  <c r="E217" i="5"/>
  <c r="E87" i="5"/>
  <c r="E116" i="5"/>
  <c r="E101" i="5"/>
  <c r="E163" i="5"/>
  <c r="E279" i="5"/>
  <c r="E165" i="5"/>
  <c r="E78" i="5"/>
  <c r="E254" i="5"/>
  <c r="E170" i="5"/>
  <c r="E525" i="5"/>
  <c r="E458" i="5"/>
  <c r="E222" i="5"/>
  <c r="E337" i="5"/>
  <c r="E134" i="5"/>
  <c r="E334" i="5"/>
  <c r="E331" i="5"/>
  <c r="E335" i="5"/>
  <c r="E196" i="5"/>
  <c r="E515" i="5"/>
  <c r="E131" i="5"/>
  <c r="E137" i="5"/>
  <c r="E360" i="5"/>
  <c r="E359" i="5"/>
  <c r="E225" i="5"/>
  <c r="E312" i="5"/>
  <c r="E146" i="5"/>
  <c r="E120" i="5"/>
  <c r="E234" i="5"/>
  <c r="E140" i="5"/>
  <c r="E299" i="5"/>
  <c r="E208" i="5"/>
  <c r="E255" i="5"/>
  <c r="E351" i="5"/>
  <c r="E314" i="5"/>
  <c r="E544" i="5"/>
  <c r="E292" i="5"/>
  <c r="E169" i="5"/>
  <c r="E267" i="5"/>
  <c r="E100" i="5"/>
  <c r="E159" i="5"/>
  <c r="E121" i="5"/>
  <c r="E62" i="5"/>
  <c r="E345" i="5"/>
  <c r="E307" i="5"/>
  <c r="E154" i="5"/>
  <c r="E257" i="5"/>
  <c r="E187" i="5"/>
  <c r="E258" i="5"/>
  <c r="E133" i="5"/>
  <c r="E358" i="5"/>
  <c r="E93" i="5"/>
  <c r="E178" i="5"/>
  <c r="E166" i="5"/>
  <c r="E288" i="5"/>
  <c r="E66" i="5"/>
  <c r="E180" i="5"/>
  <c r="E102" i="5"/>
  <c r="E39" i="5"/>
  <c r="E200" i="5"/>
  <c r="E28" i="5"/>
  <c r="E236" i="5"/>
  <c r="E310" i="5"/>
  <c r="E97" i="5"/>
  <c r="E12" i="5"/>
  <c r="E241" i="5"/>
  <c r="E42" i="5"/>
  <c r="E41" i="5"/>
  <c r="E341" i="5"/>
  <c r="E192" i="5"/>
  <c r="E75" i="5"/>
  <c r="E85" i="5"/>
  <c r="E10" i="5"/>
  <c r="E72" i="5"/>
  <c r="E74" i="5"/>
  <c r="E81" i="5"/>
  <c r="E186" i="5"/>
  <c r="E90" i="5"/>
  <c r="E143" i="5"/>
  <c r="E168" i="5"/>
  <c r="E173" i="5"/>
  <c r="E280" i="5"/>
  <c r="E127" i="5"/>
  <c r="E22" i="5"/>
  <c r="E125" i="5"/>
  <c r="E108" i="5"/>
  <c r="E113" i="5"/>
  <c r="E185" i="5"/>
  <c r="E206" i="5"/>
  <c r="E239" i="5"/>
  <c r="E153" i="5"/>
  <c r="E251" i="5"/>
  <c r="E274" i="5"/>
  <c r="E189" i="5"/>
  <c r="E92" i="5"/>
  <c r="E105" i="5"/>
  <c r="E109" i="5"/>
  <c r="E106" i="5"/>
  <c r="E261" i="5"/>
  <c r="E220" i="5"/>
  <c r="E283" i="5"/>
  <c r="E94" i="5"/>
  <c r="E264" i="5"/>
  <c r="E215" i="5"/>
  <c r="E285" i="5"/>
  <c r="E242" i="5"/>
  <c r="E44" i="5"/>
  <c r="E147" i="5"/>
  <c r="E25" i="5"/>
  <c r="E98" i="5"/>
  <c r="E195" i="5"/>
  <c r="E248" i="5"/>
  <c r="E104" i="5"/>
  <c r="E253" i="5"/>
  <c r="E139" i="5"/>
  <c r="E237" i="5"/>
  <c r="E273" i="5"/>
  <c r="E82" i="5"/>
  <c r="E138" i="5"/>
  <c r="E162" i="5"/>
  <c r="E259" i="5"/>
  <c r="E231" i="5"/>
  <c r="E301" i="5"/>
  <c r="E278" i="5"/>
  <c r="E289" i="5"/>
  <c r="E329" i="5"/>
  <c r="E340" i="5"/>
  <c r="E350" i="5"/>
  <c r="E324" i="5"/>
  <c r="E338" i="5"/>
  <c r="E282" i="5"/>
  <c r="E325" i="5"/>
  <c r="E308" i="5"/>
  <c r="E316" i="5"/>
  <c r="E119" i="5"/>
  <c r="E263" i="5"/>
  <c r="E209" i="5"/>
  <c r="E323" i="5"/>
  <c r="E148" i="5"/>
  <c r="E20" i="5"/>
  <c r="E272" i="5"/>
  <c r="E229" i="5"/>
  <c r="E210" i="5"/>
  <c r="E300" i="5"/>
  <c r="E332" i="5"/>
  <c r="E347" i="5"/>
  <c r="E233" i="5"/>
  <c r="E333" i="5"/>
  <c r="E245" i="5"/>
  <c r="E315" i="5"/>
  <c r="E198" i="5"/>
  <c r="E326" i="5"/>
  <c r="E247" i="5"/>
  <c r="E110" i="5"/>
  <c r="E330" i="5"/>
  <c r="E235" i="5"/>
  <c r="E344" i="5"/>
  <c r="E47" i="5"/>
  <c r="E328" i="5"/>
  <c r="E290" i="5"/>
  <c r="E107" i="5"/>
  <c r="E33" i="5"/>
  <c r="E122" i="5"/>
  <c r="E317" i="5"/>
  <c r="E199" i="5"/>
  <c r="E128" i="5"/>
  <c r="E232" i="5"/>
  <c r="E224" i="5"/>
  <c r="E277" i="5"/>
  <c r="E201" i="5"/>
  <c r="E250" i="5"/>
  <c r="E194" i="5"/>
  <c r="E37" i="5"/>
  <c r="E124" i="5"/>
  <c r="E135" i="5"/>
  <c r="E58" i="5"/>
  <c r="E481" i="5"/>
  <c r="E213" i="5"/>
  <c r="E48" i="5"/>
  <c r="E265" i="5"/>
  <c r="E144" i="5"/>
  <c r="E266" i="5"/>
  <c r="E84" i="5"/>
  <c r="E226" i="5"/>
  <c r="E547" i="5"/>
  <c r="E49" i="5"/>
  <c r="E191" i="5"/>
  <c r="E313" i="5"/>
  <c r="E136" i="5"/>
  <c r="E281" i="5"/>
  <c r="E203" i="5"/>
  <c r="E321" i="5"/>
  <c r="E227" i="5"/>
  <c r="E204" i="5"/>
  <c r="E160" i="5"/>
  <c r="E114" i="5"/>
  <c r="E327" i="5"/>
  <c r="E223" i="5"/>
  <c r="E60" i="5"/>
  <c r="E190" i="5"/>
  <c r="E271" i="5"/>
  <c r="E268" i="5"/>
  <c r="E149" i="5"/>
  <c r="E304" i="5"/>
  <c r="E32" i="5"/>
  <c r="E59" i="5"/>
  <c r="E150" i="5"/>
  <c r="E13" i="5"/>
  <c r="E353" i="5"/>
  <c r="E540" i="5"/>
  <c r="E80" i="5"/>
  <c r="E19" i="5"/>
  <c r="E54" i="5"/>
  <c r="E63" i="5"/>
  <c r="E88" i="5"/>
  <c r="E554" i="5"/>
  <c r="E26" i="5"/>
  <c r="E38" i="5"/>
  <c r="E349" i="5"/>
  <c r="E202" i="5"/>
  <c r="E295" i="5"/>
  <c r="E354" i="5"/>
  <c r="E357" i="5"/>
  <c r="E18" i="5"/>
  <c r="E79" i="5"/>
  <c r="E53" i="5"/>
  <c r="E35" i="5"/>
  <c r="E86" i="5"/>
  <c r="E34" i="5"/>
  <c r="E5" i="5"/>
  <c r="E145" i="5"/>
  <c r="E181" i="5"/>
  <c r="E65" i="5"/>
  <c r="E76" i="5"/>
  <c r="E17" i="5"/>
  <c r="E52" i="5"/>
  <c r="E156" i="5"/>
  <c r="E175" i="5"/>
  <c r="E151" i="5"/>
  <c r="E46" i="5"/>
  <c r="E112" i="5"/>
  <c r="E55" i="5"/>
  <c r="E303" i="5"/>
  <c r="E211" i="5"/>
  <c r="E260" i="5"/>
  <c r="E311" i="5"/>
  <c r="E212" i="5"/>
  <c r="E302" i="5"/>
  <c r="E118" i="5"/>
  <c r="E284" i="5"/>
  <c r="E129" i="5"/>
  <c r="E275" i="5"/>
  <c r="E95" i="5"/>
  <c r="E320" i="5"/>
  <c r="E176" i="5"/>
  <c r="E352" i="5"/>
  <c r="E73" i="5"/>
  <c r="E221" i="5"/>
  <c r="E336" i="5"/>
  <c r="E286" i="5"/>
  <c r="E252" i="5"/>
  <c r="E77" i="5"/>
  <c r="E51" i="5"/>
  <c r="E355" i="5"/>
  <c r="E342" i="5"/>
  <c r="E262" i="5"/>
  <c r="E309" i="5"/>
  <c r="E228" i="5"/>
  <c r="E296" i="5"/>
  <c r="E297" i="5"/>
  <c r="E343" i="5"/>
  <c r="E291" i="5"/>
  <c r="E293" i="5"/>
  <c r="E298" i="5"/>
  <c r="E238" i="5"/>
  <c r="E244" i="5"/>
  <c r="E188" i="5"/>
  <c r="E306" i="5"/>
  <c r="E30" i="5"/>
  <c r="E322" i="5"/>
  <c r="E197" i="5"/>
  <c r="E319" i="5"/>
  <c r="E339" i="5"/>
  <c r="E216" i="5"/>
  <c r="E91" i="5"/>
  <c r="E256" i="5"/>
  <c r="E68" i="5"/>
  <c r="E157" i="5"/>
  <c r="E177" i="5"/>
  <c r="E249" i="5"/>
  <c r="E346" i="5"/>
  <c r="E174" i="5"/>
  <c r="E269" i="5"/>
  <c r="E57" i="5"/>
  <c r="E99" i="5"/>
  <c r="E276" i="5"/>
  <c r="E184" i="5"/>
  <c r="E45" i="5"/>
  <c r="E83" i="5"/>
  <c r="E67" i="5"/>
  <c r="E182" i="5"/>
  <c r="E205" i="5"/>
  <c r="E356" i="5"/>
  <c r="E24" i="5"/>
  <c r="E29" i="5"/>
  <c r="E142" i="5"/>
  <c r="E130" i="5"/>
  <c r="E183" i="5"/>
  <c r="E240" i="5"/>
  <c r="E364" i="5"/>
  <c r="E141" i="5"/>
  <c r="E243" i="5"/>
  <c r="E246" i="5"/>
  <c r="E207" i="5"/>
  <c r="E69" i="5"/>
  <c r="E155" i="5"/>
  <c r="E103" i="5"/>
  <c r="E161" i="5"/>
  <c r="E115" i="5"/>
  <c r="E348" i="5"/>
  <c r="E4" i="5"/>
  <c r="E6" i="5"/>
  <c r="E11" i="5"/>
  <c r="E40" i="5"/>
  <c r="E16" i="5"/>
  <c r="E50" i="5"/>
  <c r="E56" i="5"/>
  <c r="E36" i="5"/>
  <c r="E21" i="5"/>
  <c r="E14" i="5"/>
  <c r="E70" i="5"/>
  <c r="E27" i="5"/>
  <c r="E31" i="5"/>
  <c r="E61" i="5"/>
  <c r="E64" i="5"/>
  <c r="K3" i="5" l="1"/>
  <c r="J3" i="5"/>
  <c r="K268" i="5"/>
  <c r="K78" i="5"/>
  <c r="J55" i="5"/>
  <c r="J47" i="5"/>
  <c r="K301" i="5"/>
  <c r="K275" i="5"/>
  <c r="J256" i="5"/>
  <c r="K147" i="5"/>
  <c r="K140" i="5"/>
  <c r="J70" i="5"/>
  <c r="J39" i="5"/>
  <c r="K293" i="5"/>
  <c r="J261" i="5"/>
  <c r="K244" i="5"/>
  <c r="K215" i="5"/>
  <c r="K177" i="5"/>
  <c r="J286" i="5"/>
  <c r="J236" i="5"/>
  <c r="K232" i="5"/>
  <c r="K302" i="5"/>
  <c r="K63" i="5"/>
  <c r="K31" i="5"/>
  <c r="J174" i="5"/>
  <c r="K267" i="5"/>
  <c r="K250" i="5"/>
  <c r="J223" i="5"/>
  <c r="J207" i="5"/>
  <c r="J200" i="5"/>
  <c r="K185" i="5"/>
  <c r="J481" i="5"/>
  <c r="K125" i="5"/>
  <c r="K74" i="5"/>
  <c r="J109" i="5"/>
  <c r="J101" i="5"/>
  <c r="K93" i="5"/>
  <c r="K85" i="5"/>
  <c r="J17" i="5"/>
  <c r="J9" i="5"/>
  <c r="K168" i="5"/>
  <c r="J16" i="5"/>
  <c r="J8" i="5"/>
  <c r="J310" i="5"/>
  <c r="K18" i="5"/>
  <c r="J15" i="5"/>
  <c r="J7" i="5"/>
  <c r="K23" i="5"/>
  <c r="J305" i="5"/>
  <c r="J66" i="5"/>
  <c r="J59" i="5"/>
  <c r="J51" i="5"/>
  <c r="J43" i="5"/>
  <c r="J35" i="5"/>
  <c r="J27" i="5"/>
  <c r="K319" i="5"/>
  <c r="J314" i="5"/>
  <c r="K309" i="5"/>
  <c r="J297" i="5"/>
  <c r="K290" i="5"/>
  <c r="K282" i="5"/>
  <c r="J276" i="5"/>
  <c r="K271" i="5"/>
  <c r="J264" i="5"/>
  <c r="K252" i="5"/>
  <c r="J247" i="5"/>
  <c r="J525" i="5"/>
  <c r="J211" i="5"/>
  <c r="J197" i="5"/>
  <c r="J189" i="5"/>
  <c r="J166" i="5"/>
  <c r="J151" i="5"/>
  <c r="J136" i="5"/>
  <c r="J129" i="5"/>
  <c r="J105" i="5"/>
  <c r="J65" i="5"/>
  <c r="J50" i="5"/>
  <c r="J42" i="5"/>
  <c r="J13" i="5"/>
  <c r="J5" i="5"/>
  <c r="J338" i="5"/>
  <c r="K334" i="5"/>
  <c r="K329" i="5"/>
  <c r="K313" i="5"/>
  <c r="K304" i="5"/>
  <c r="J296" i="5"/>
  <c r="K289" i="5"/>
  <c r="J292" i="5"/>
  <c r="K270" i="5"/>
  <c r="K263" i="5"/>
  <c r="J458" i="5"/>
  <c r="J364" i="5"/>
  <c r="J226" i="5"/>
  <c r="J203" i="5"/>
  <c r="J188" i="5"/>
  <c r="J173" i="5"/>
  <c r="J165" i="5"/>
  <c r="J143" i="5"/>
  <c r="J128" i="5"/>
  <c r="J112" i="5"/>
  <c r="J104" i="5"/>
  <c r="J81" i="5"/>
  <c r="K57" i="5"/>
  <c r="K49" i="5"/>
  <c r="K41" i="5"/>
  <c r="K2" i="5"/>
  <c r="K43" i="5"/>
  <c r="J319" i="5"/>
  <c r="J263" i="5"/>
  <c r="K292" i="5"/>
  <c r="K247" i="5"/>
  <c r="K112" i="5"/>
  <c r="J324" i="5"/>
  <c r="J142" i="5"/>
  <c r="K104" i="5"/>
  <c r="J313" i="5"/>
  <c r="J103" i="5"/>
  <c r="K101" i="5"/>
  <c r="J149" i="5"/>
  <c r="J304" i="5"/>
  <c r="J95" i="5"/>
  <c r="J93" i="5"/>
  <c r="K458" i="5"/>
  <c r="J302" i="5"/>
  <c r="J225" i="5"/>
  <c r="J44" i="5"/>
  <c r="K66" i="5"/>
  <c r="J253" i="5"/>
  <c r="J209" i="5"/>
  <c r="K211" i="5"/>
  <c r="K65" i="5"/>
  <c r="J271" i="5"/>
  <c r="J208" i="5"/>
  <c r="K152" i="5"/>
  <c r="K55" i="5"/>
  <c r="J270" i="5"/>
  <c r="J195" i="5"/>
  <c r="K296" i="5"/>
  <c r="K143" i="5"/>
  <c r="J275" i="5"/>
  <c r="J232" i="5"/>
  <c r="K261" i="5"/>
  <c r="K163" i="5"/>
  <c r="J357" i="5"/>
  <c r="J215" i="5"/>
  <c r="J99" i="5"/>
  <c r="J52" i="5"/>
  <c r="K256" i="5"/>
  <c r="K223" i="5"/>
  <c r="K160" i="5"/>
  <c r="K349" i="5"/>
  <c r="K286" i="5"/>
  <c r="J267" i="5"/>
  <c r="J85" i="5"/>
  <c r="J290" i="5"/>
  <c r="J241" i="5"/>
  <c r="J137" i="5"/>
  <c r="J83" i="5"/>
  <c r="J23" i="5"/>
  <c r="K346" i="5"/>
  <c r="K322" i="5"/>
  <c r="K276" i="5"/>
  <c r="K200" i="5"/>
  <c r="K138" i="5"/>
  <c r="K39" i="5"/>
  <c r="K326" i="5"/>
  <c r="J515" i="5"/>
  <c r="J31" i="5"/>
  <c r="J352" i="5"/>
  <c r="J327" i="5"/>
  <c r="J282" i="5"/>
  <c r="J238" i="5"/>
  <c r="J190" i="5"/>
  <c r="J125" i="5"/>
  <c r="J78" i="5"/>
  <c r="K314" i="5"/>
  <c r="K136" i="5"/>
  <c r="K36" i="5"/>
  <c r="J339" i="5"/>
  <c r="J298" i="5"/>
  <c r="J259" i="5"/>
  <c r="J281" i="5"/>
  <c r="J74" i="5"/>
  <c r="J63" i="5"/>
  <c r="K310" i="5"/>
  <c r="K291" i="5"/>
  <c r="K234" i="5"/>
  <c r="K188" i="5"/>
  <c r="K305" i="5"/>
  <c r="K69" i="5"/>
  <c r="J317" i="5"/>
  <c r="K207" i="5"/>
  <c r="J348" i="5"/>
  <c r="J227" i="5"/>
  <c r="J547" i="5"/>
  <c r="J111" i="5"/>
  <c r="J57" i="5"/>
  <c r="K265" i="5"/>
  <c r="K166" i="5"/>
  <c r="K114" i="5"/>
  <c r="K67" i="5"/>
  <c r="K27" i="5"/>
  <c r="K331" i="5"/>
  <c r="J331" i="5"/>
  <c r="K198" i="5"/>
  <c r="J198" i="5"/>
  <c r="K303" i="5"/>
  <c r="J303" i="5"/>
  <c r="K243" i="5"/>
  <c r="J243" i="5"/>
  <c r="K214" i="5"/>
  <c r="J214" i="5"/>
  <c r="K77" i="5"/>
  <c r="J77" i="5"/>
  <c r="K46" i="5"/>
  <c r="J46" i="5"/>
  <c r="J321" i="5"/>
  <c r="K321" i="5"/>
  <c r="K299" i="5"/>
  <c r="J299" i="5"/>
  <c r="J278" i="5"/>
  <c r="K278" i="5"/>
  <c r="K30" i="5"/>
  <c r="K183" i="5"/>
  <c r="J19" i="5"/>
  <c r="K19" i="5"/>
  <c r="K224" i="5"/>
  <c r="J224" i="5"/>
  <c r="K194" i="5"/>
  <c r="J194" i="5"/>
  <c r="J186" i="5"/>
  <c r="K186" i="5"/>
  <c r="J178" i="5"/>
  <c r="K178" i="5"/>
  <c r="J171" i="5"/>
  <c r="K171" i="5"/>
  <c r="J156" i="5"/>
  <c r="K156" i="5"/>
  <c r="J148" i="5"/>
  <c r="K148" i="5"/>
  <c r="J141" i="5"/>
  <c r="K141" i="5"/>
  <c r="J133" i="5"/>
  <c r="K133" i="5"/>
  <c r="J126" i="5"/>
  <c r="J246" i="5"/>
  <c r="K246" i="5"/>
  <c r="J360" i="5"/>
  <c r="J336" i="5"/>
  <c r="J272" i="5"/>
  <c r="J245" i="5"/>
  <c r="J199" i="5"/>
  <c r="J306" i="5"/>
  <c r="J124" i="5"/>
  <c r="K213" i="5"/>
  <c r="K91" i="5"/>
  <c r="K300" i="5"/>
  <c r="J300" i="5"/>
  <c r="K260" i="5"/>
  <c r="J260" i="5"/>
  <c r="K84" i="5"/>
  <c r="J84" i="5"/>
  <c r="J24" i="5"/>
  <c r="K24" i="5"/>
  <c r="K228" i="5"/>
  <c r="J228" i="5"/>
  <c r="J155" i="5"/>
  <c r="K155" i="5"/>
  <c r="J26" i="5"/>
  <c r="K26" i="5"/>
  <c r="J193" i="5"/>
  <c r="K193" i="5"/>
  <c r="J170" i="5"/>
  <c r="K170" i="5"/>
  <c r="J359" i="5"/>
  <c r="J353" i="5"/>
  <c r="J335" i="5"/>
  <c r="J329" i="5"/>
  <c r="J100" i="5"/>
  <c r="J293" i="5"/>
  <c r="J252" i="5"/>
  <c r="J244" i="5"/>
  <c r="J229" i="5"/>
  <c r="J212" i="5"/>
  <c r="J269" i="5"/>
  <c r="J177" i="5"/>
  <c r="J161" i="5"/>
  <c r="J140" i="5"/>
  <c r="J119" i="5"/>
  <c r="J25" i="5"/>
  <c r="J132" i="5"/>
  <c r="J251" i="5"/>
  <c r="J41" i="5"/>
  <c r="J62" i="5"/>
  <c r="K358" i="5"/>
  <c r="K351" i="5"/>
  <c r="K338" i="5"/>
  <c r="K297" i="5"/>
  <c r="K264" i="5"/>
  <c r="K364" i="5"/>
  <c r="K189" i="5"/>
  <c r="K165" i="5"/>
  <c r="K115" i="5"/>
  <c r="K90" i="5"/>
  <c r="K42" i="5"/>
  <c r="K345" i="5"/>
  <c r="J345" i="5"/>
  <c r="K139" i="5"/>
  <c r="J139" i="5"/>
  <c r="K108" i="5"/>
  <c r="J108" i="5"/>
  <c r="K61" i="5"/>
  <c r="J182" i="5"/>
  <c r="K182" i="5"/>
  <c r="J122" i="5"/>
  <c r="K122" i="5"/>
  <c r="J60" i="5"/>
  <c r="K60" i="5"/>
  <c r="J344" i="5"/>
  <c r="J334" i="5"/>
  <c r="J20" i="5"/>
  <c r="J309" i="5"/>
  <c r="J301" i="5"/>
  <c r="J289" i="5"/>
  <c r="J277" i="5"/>
  <c r="J268" i="5"/>
  <c r="J250" i="5"/>
  <c r="J237" i="5"/>
  <c r="J28" i="5"/>
  <c r="J206" i="5"/>
  <c r="J191" i="5"/>
  <c r="J248" i="5"/>
  <c r="J153" i="5"/>
  <c r="J131" i="5"/>
  <c r="J92" i="5"/>
  <c r="J75" i="5"/>
  <c r="J54" i="5"/>
  <c r="K355" i="5"/>
  <c r="K340" i="5"/>
  <c r="K332" i="5"/>
  <c r="K174" i="5"/>
  <c r="K242" i="5"/>
  <c r="K226" i="5"/>
  <c r="K203" i="5"/>
  <c r="K130" i="5"/>
  <c r="K105" i="5"/>
  <c r="K81" i="5"/>
  <c r="K29" i="5"/>
  <c r="K341" i="5"/>
  <c r="J341" i="5"/>
  <c r="K285" i="5"/>
  <c r="J285" i="5"/>
  <c r="K255" i="5"/>
  <c r="J255" i="5"/>
  <c r="K169" i="5"/>
  <c r="J169" i="5"/>
  <c r="J38" i="5"/>
  <c r="J146" i="5"/>
  <c r="K146" i="5"/>
  <c r="J192" i="5"/>
  <c r="J154" i="5"/>
  <c r="J116" i="5"/>
  <c r="J76" i="5"/>
  <c r="J37" i="5"/>
  <c r="K22" i="5"/>
  <c r="J22" i="5"/>
  <c r="J240" i="5"/>
  <c r="K240" i="5"/>
  <c r="J233" i="5"/>
  <c r="K233" i="5"/>
  <c r="J544" i="5"/>
  <c r="K544" i="5"/>
  <c r="J181" i="5"/>
  <c r="K181" i="5"/>
  <c r="J159" i="5"/>
  <c r="K159" i="5"/>
  <c r="J144" i="5"/>
  <c r="K144" i="5"/>
  <c r="J121" i="5"/>
  <c r="K121" i="5"/>
  <c r="J113" i="5"/>
  <c r="K113" i="5"/>
  <c r="J274" i="5"/>
  <c r="K274" i="5"/>
  <c r="J88" i="5"/>
  <c r="K88" i="5"/>
  <c r="J333" i="5"/>
  <c r="J287" i="5"/>
  <c r="J221" i="5"/>
  <c r="J205" i="5"/>
  <c r="J554" i="5"/>
  <c r="J80" i="5"/>
  <c r="J118" i="5"/>
  <c r="K354" i="5"/>
  <c r="K175" i="5"/>
  <c r="K129" i="5"/>
  <c r="K53" i="5"/>
  <c r="K325" i="5"/>
  <c r="J325" i="5"/>
  <c r="K280" i="5"/>
  <c r="J280" i="5"/>
  <c r="K249" i="5"/>
  <c r="J249" i="5"/>
  <c r="J176" i="5"/>
  <c r="J21" i="5"/>
  <c r="K21" i="5"/>
  <c r="J239" i="5"/>
  <c r="K239" i="5"/>
  <c r="J540" i="5"/>
  <c r="K540" i="5"/>
  <c r="J210" i="5"/>
  <c r="K210" i="5"/>
  <c r="J196" i="5"/>
  <c r="K196" i="5"/>
  <c r="J180" i="5"/>
  <c r="J158" i="5"/>
  <c r="K158" i="5"/>
  <c r="J150" i="5"/>
  <c r="K150" i="5"/>
  <c r="J135" i="5"/>
  <c r="K135" i="5"/>
  <c r="J120" i="5"/>
  <c r="K120" i="5"/>
  <c r="J204" i="5"/>
  <c r="K204" i="5"/>
  <c r="J82" i="5"/>
  <c r="K82" i="5"/>
  <c r="J73" i="5"/>
  <c r="K73" i="5"/>
  <c r="J58" i="5"/>
  <c r="K58" i="5"/>
  <c r="J34" i="5"/>
  <c r="K34" i="5"/>
  <c r="J342" i="5"/>
  <c r="J315" i="5"/>
  <c r="J307" i="5"/>
  <c r="J257" i="5"/>
  <c r="J235" i="5"/>
  <c r="J220" i="5"/>
  <c r="J201" i="5"/>
  <c r="J185" i="5"/>
  <c r="J167" i="5"/>
  <c r="J147" i="5"/>
  <c r="J107" i="5"/>
  <c r="J87" i="5"/>
  <c r="J68" i="5"/>
  <c r="J49" i="5"/>
  <c r="K330" i="5"/>
  <c r="K316" i="5"/>
  <c r="K284" i="5"/>
  <c r="K254" i="5"/>
  <c r="K236" i="5"/>
  <c r="K151" i="5"/>
  <c r="K128" i="5"/>
  <c r="K356" i="5"/>
  <c r="J356" i="5"/>
  <c r="K311" i="5"/>
  <c r="J311" i="5"/>
  <c r="K279" i="5"/>
  <c r="J279" i="5"/>
  <c r="J273" i="5"/>
  <c r="K273" i="5"/>
  <c r="K350" i="5"/>
  <c r="J350" i="5"/>
  <c r="K347" i="5"/>
  <c r="J347" i="5"/>
  <c r="K343" i="5"/>
  <c r="J343" i="5"/>
  <c r="K337" i="5"/>
  <c r="J337" i="5"/>
  <c r="K328" i="5"/>
  <c r="J328" i="5"/>
  <c r="K312" i="5"/>
  <c r="J312" i="5"/>
  <c r="K308" i="5"/>
  <c r="J308" i="5"/>
  <c r="K222" i="5"/>
  <c r="J222" i="5"/>
  <c r="K295" i="5"/>
  <c r="J295" i="5"/>
  <c r="K288" i="5"/>
  <c r="J288" i="5"/>
  <c r="K320" i="5"/>
  <c r="J320" i="5"/>
  <c r="K262" i="5"/>
  <c r="J262" i="5"/>
  <c r="K258" i="5"/>
  <c r="J258" i="5"/>
  <c r="K231" i="5"/>
  <c r="J231" i="5"/>
  <c r="K217" i="5"/>
  <c r="J217" i="5"/>
  <c r="K202" i="5"/>
  <c r="J202" i="5"/>
  <c r="K187" i="5"/>
  <c r="J187" i="5"/>
  <c r="K157" i="5"/>
  <c r="J157" i="5"/>
  <c r="K134" i="5"/>
  <c r="J134" i="5"/>
  <c r="K127" i="5"/>
  <c r="J127" i="5"/>
  <c r="K97" i="5"/>
  <c r="J97" i="5"/>
  <c r="K72" i="5"/>
  <c r="J72" i="5"/>
  <c r="K64" i="5"/>
  <c r="J64" i="5"/>
  <c r="K33" i="5"/>
  <c r="J33" i="5"/>
  <c r="J323" i="5"/>
  <c r="J283" i="5"/>
  <c r="J230" i="5"/>
  <c r="J216" i="5"/>
  <c r="J184" i="5"/>
  <c r="J164" i="5"/>
  <c r="J145" i="5"/>
  <c r="J106" i="5"/>
  <c r="J45" i="5"/>
  <c r="J168" i="5"/>
  <c r="K266" i="5"/>
  <c r="K525" i="5"/>
  <c r="K197" i="5"/>
  <c r="K173" i="5"/>
  <c r="K162" i="5"/>
  <c r="K98" i="5"/>
  <c r="K50" i="5"/>
  <c r="K51" i="5"/>
  <c r="K109" i="5"/>
  <c r="K47" i="5"/>
  <c r="K35" i="5"/>
  <c r="J110" i="5"/>
  <c r="K110" i="5"/>
  <c r="J102" i="5"/>
  <c r="K102" i="5"/>
  <c r="J94" i="5"/>
  <c r="K94" i="5"/>
  <c r="J86" i="5"/>
  <c r="K86" i="5"/>
  <c r="J79" i="5"/>
  <c r="K79" i="5"/>
  <c r="J71" i="5"/>
  <c r="K71" i="5"/>
  <c r="J56" i="5"/>
  <c r="K56" i="5"/>
  <c r="J48" i="5"/>
  <c r="K48" i="5"/>
  <c r="J40" i="5"/>
  <c r="K40" i="5"/>
  <c r="J32" i="5"/>
  <c r="K32" i="5"/>
  <c r="K481" i="5"/>
  <c r="K70" i="5"/>
  <c r="K59" i="5"/>
  <c r="J11" i="5"/>
  <c r="K17" i="5"/>
  <c r="K13" i="5"/>
  <c r="K9" i="5"/>
  <c r="K5" i="5"/>
  <c r="K15" i="5"/>
  <c r="K7" i="5"/>
  <c r="K16" i="5"/>
  <c r="K14" i="5"/>
  <c r="K12" i="5"/>
  <c r="K10" i="5"/>
  <c r="K8" i="5"/>
  <c r="K6" i="5"/>
  <c r="K4" i="5"/>
  <c r="G100" i="2" l="1"/>
  <c r="T100" i="2"/>
  <c r="U100" i="2"/>
  <c r="T21" i="2"/>
  <c r="U21" i="2"/>
  <c r="T18" i="2"/>
  <c r="U18" i="2"/>
  <c r="T59" i="2"/>
  <c r="U59" i="2"/>
  <c r="G24" i="1"/>
  <c r="G6" i="1"/>
  <c r="G3" i="1"/>
  <c r="T39" i="2"/>
  <c r="U87" i="2"/>
  <c r="T49" i="2"/>
  <c r="T11" i="2"/>
  <c r="T19" i="2"/>
  <c r="T84" i="2"/>
  <c r="T76" i="2"/>
  <c r="T14" i="2"/>
  <c r="T93" i="2"/>
  <c r="T105" i="2"/>
  <c r="T106" i="2"/>
  <c r="T123" i="2"/>
  <c r="T85" i="2"/>
  <c r="T86" i="2"/>
  <c r="T57" i="2"/>
  <c r="T96" i="2"/>
  <c r="T98" i="2"/>
  <c r="T83" i="2"/>
  <c r="T61" i="2"/>
  <c r="T81" i="2"/>
  <c r="T102" i="2"/>
  <c r="T90" i="2"/>
  <c r="T13" i="2"/>
  <c r="T60" i="2"/>
  <c r="T112" i="2"/>
  <c r="T72" i="2"/>
  <c r="T101" i="2"/>
  <c r="T79" i="2"/>
  <c r="T58" i="2"/>
  <c r="T74" i="2"/>
  <c r="T32" i="2"/>
  <c r="T89" i="2"/>
  <c r="T50" i="2"/>
  <c r="T41" i="2"/>
  <c r="T73" i="2"/>
  <c r="T68" i="2"/>
  <c r="T42" i="2"/>
  <c r="T136" i="2"/>
  <c r="T52" i="2"/>
  <c r="T71" i="2"/>
  <c r="T20" i="2"/>
  <c r="T124" i="2"/>
  <c r="T66" i="2"/>
  <c r="T78" i="2"/>
  <c r="T45" i="2"/>
  <c r="T88" i="2"/>
  <c r="T117" i="2"/>
  <c r="T75" i="2"/>
  <c r="T48" i="2"/>
  <c r="T6" i="2"/>
  <c r="T80" i="2"/>
  <c r="T37" i="2"/>
  <c r="T44" i="2"/>
  <c r="T62" i="2"/>
  <c r="T23" i="2"/>
  <c r="U134" i="2"/>
  <c r="T22" i="2"/>
  <c r="T7" i="2"/>
  <c r="T51" i="2"/>
  <c r="T33" i="2"/>
  <c r="T91" i="2"/>
  <c r="T17" i="2"/>
  <c r="T92" i="2"/>
  <c r="T46" i="2"/>
  <c r="T8" i="2"/>
  <c r="T127" i="2"/>
  <c r="T43" i="2"/>
  <c r="T82" i="2"/>
  <c r="T139" i="2"/>
  <c r="T109" i="2"/>
  <c r="T38" i="2"/>
  <c r="T54" i="2"/>
  <c r="T65" i="2"/>
  <c r="T115" i="2"/>
  <c r="T40" i="2"/>
  <c r="T56" i="2"/>
  <c r="T10" i="2"/>
  <c r="T26" i="2"/>
  <c r="T108" i="2"/>
  <c r="T126" i="2"/>
  <c r="T97" i="2"/>
  <c r="T121" i="2"/>
  <c r="T110" i="2"/>
  <c r="T122" i="2"/>
  <c r="T77" i="2"/>
  <c r="T35" i="2"/>
  <c r="T28" i="2"/>
  <c r="T138" i="2"/>
  <c r="T94" i="2"/>
  <c r="G138" i="2"/>
  <c r="G121" i="2"/>
  <c r="G122" i="2"/>
  <c r="G3" i="2"/>
  <c r="G139" i="2"/>
  <c r="G7" i="2"/>
  <c r="G22" i="2"/>
  <c r="G62" i="2"/>
  <c r="G44" i="2"/>
  <c r="G37" i="2"/>
  <c r="G117" i="2"/>
  <c r="G88" i="2"/>
  <c r="G45" i="2"/>
  <c r="G78" i="2"/>
  <c r="G20" i="2"/>
  <c r="G42" i="2"/>
  <c r="G93" i="2"/>
  <c r="G98" i="2"/>
  <c r="G83" i="2"/>
  <c r="G61" i="2"/>
  <c r="G102" i="2"/>
  <c r="G90" i="2"/>
  <c r="G32" i="2"/>
  <c r="G50" i="2"/>
  <c r="G41" i="2"/>
  <c r="G73" i="2"/>
  <c r="G86" i="1"/>
  <c r="U3" i="2" l="1"/>
  <c r="U32" i="2"/>
  <c r="U19" i="2"/>
  <c r="U35" i="2"/>
  <c r="U8" i="2"/>
  <c r="U105" i="2"/>
  <c r="U33" i="2"/>
  <c r="U26" i="2"/>
  <c r="U23" i="2"/>
  <c r="U22" i="2"/>
  <c r="U43" i="2"/>
  <c r="U136" i="2"/>
  <c r="U106" i="2"/>
  <c r="U37" i="2"/>
  <c r="U84" i="2"/>
  <c r="U112" i="2"/>
  <c r="U79" i="2"/>
  <c r="U20" i="2"/>
  <c r="U54" i="2"/>
  <c r="U81" i="2"/>
  <c r="U94" i="2"/>
  <c r="U138" i="2"/>
  <c r="U14" i="2"/>
  <c r="T87" i="2"/>
  <c r="U73" i="2"/>
  <c r="U50" i="2"/>
  <c r="U115" i="2"/>
  <c r="U66" i="2"/>
  <c r="U42" i="2"/>
  <c r="U69" i="2"/>
  <c r="U98" i="2"/>
  <c r="U90" i="2"/>
  <c r="U51" i="2"/>
  <c r="U75" i="2"/>
  <c r="U41" i="2"/>
  <c r="U93" i="2"/>
  <c r="U17" i="2"/>
  <c r="U62" i="2"/>
  <c r="U86" i="2"/>
  <c r="U13" i="2"/>
  <c r="U60" i="2"/>
  <c r="U5" i="2"/>
  <c r="U7" i="2"/>
  <c r="U49" i="2"/>
  <c r="U77" i="2"/>
  <c r="U82" i="2"/>
  <c r="U28" i="2"/>
  <c r="U88" i="2"/>
  <c r="U96" i="2"/>
  <c r="U108" i="2"/>
  <c r="U56" i="2"/>
  <c r="U102" i="2"/>
  <c r="U65" i="2"/>
  <c r="U83" i="2"/>
  <c r="U121" i="2"/>
  <c r="U76" i="2"/>
  <c r="U40" i="2"/>
  <c r="U61" i="2"/>
  <c r="U91" i="2"/>
  <c r="U57" i="2"/>
  <c r="U10" i="2"/>
  <c r="U6" i="2"/>
  <c r="U123" i="2"/>
  <c r="U48" i="2"/>
  <c r="U11" i="2"/>
  <c r="T134" i="2"/>
  <c r="T146" i="2" s="1"/>
  <c r="U39" i="2"/>
  <c r="U139" i="2"/>
  <c r="U78" i="2"/>
  <c r="U67" i="2"/>
  <c r="U97" i="2"/>
  <c r="U52" i="2"/>
  <c r="U58" i="2"/>
  <c r="U101" i="2"/>
  <c r="U117" i="2"/>
  <c r="U85" i="2"/>
  <c r="U71" i="2"/>
  <c r="U45" i="2"/>
  <c r="U68" i="2"/>
  <c r="U124" i="2"/>
  <c r="U89" i="2"/>
  <c r="U122" i="2"/>
  <c r="U109" i="2"/>
  <c r="U46" i="2"/>
  <c r="U44" i="2"/>
  <c r="U74" i="2"/>
  <c r="U72" i="2"/>
  <c r="U80" i="2"/>
  <c r="U127" i="2"/>
  <c r="U92" i="2"/>
  <c r="U126" i="2"/>
  <c r="U110" i="2"/>
  <c r="G97" i="1"/>
  <c r="G153" i="1"/>
  <c r="G298" i="1"/>
  <c r="G109" i="1"/>
  <c r="G83" i="1"/>
  <c r="G322" i="1"/>
  <c r="G129" i="1"/>
  <c r="G261" i="1"/>
  <c r="G296" i="1"/>
  <c r="G281" i="1"/>
  <c r="G193" i="1"/>
  <c r="G237" i="1"/>
  <c r="G147" i="1"/>
  <c r="G230" i="1"/>
  <c r="G214" i="1"/>
  <c r="G333" i="1"/>
  <c r="G257" i="1"/>
  <c r="G121" i="1"/>
  <c r="G84" i="1"/>
  <c r="G92" i="1"/>
  <c r="G168" i="1"/>
  <c r="G186" i="1"/>
  <c r="G199" i="1"/>
  <c r="G307" i="1"/>
  <c r="G224" i="1"/>
  <c r="G269" i="1"/>
  <c r="G285" i="1"/>
  <c r="G282" i="1"/>
  <c r="G158" i="1"/>
  <c r="G8" i="1"/>
  <c r="G276" i="1"/>
  <c r="G161" i="1"/>
  <c r="G79" i="1"/>
  <c r="G94" i="1"/>
  <c r="G244" i="1"/>
  <c r="G144" i="1"/>
  <c r="G267" i="1"/>
  <c r="G286" i="1"/>
  <c r="G163" i="1"/>
  <c r="G208" i="1"/>
  <c r="G127" i="1"/>
  <c r="G323" i="1"/>
  <c r="G270" i="1"/>
  <c r="G65" i="1"/>
  <c r="G191" i="1"/>
  <c r="G181" i="1"/>
  <c r="G87" i="1"/>
  <c r="G106" i="1"/>
  <c r="G28" i="1"/>
  <c r="G183" i="1"/>
  <c r="G312" i="1"/>
  <c r="G225" i="1"/>
  <c r="G287" i="1"/>
  <c r="G32" i="1"/>
  <c r="G278" i="1"/>
  <c r="G155" i="1"/>
  <c r="G292" i="1"/>
  <c r="G288" i="1"/>
  <c r="G159" i="1"/>
  <c r="G99" i="1"/>
  <c r="G211" i="1"/>
  <c r="G61" i="1"/>
  <c r="G204" i="1"/>
  <c r="G266" i="1"/>
  <c r="G178" i="1"/>
  <c r="G179" i="1"/>
  <c r="G125" i="1"/>
  <c r="G53" i="1"/>
  <c r="G56" i="1"/>
  <c r="G104" i="1"/>
  <c r="G185" i="1"/>
  <c r="G110" i="1"/>
  <c r="G335" i="1"/>
  <c r="G133" i="1"/>
  <c r="G132" i="1"/>
  <c r="G134" i="1"/>
  <c r="G115" i="1"/>
  <c r="G176" i="1"/>
  <c r="G227" i="1"/>
  <c r="G236" i="1"/>
  <c r="G252" i="1"/>
  <c r="G253" i="1"/>
  <c r="G246" i="1"/>
  <c r="G313" i="1"/>
  <c r="G119" i="1"/>
  <c r="G302" i="1"/>
  <c r="G118" i="1"/>
  <c r="G315" i="1"/>
  <c r="G58" i="1"/>
  <c r="G51" i="1"/>
  <c r="G234" i="1"/>
  <c r="G238" i="1"/>
  <c r="G319" i="1"/>
  <c r="G105" i="1"/>
  <c r="G89" i="1"/>
  <c r="G62" i="1"/>
  <c r="G205" i="1"/>
  <c r="G67" i="1"/>
  <c r="G152" i="1"/>
  <c r="G321" i="1"/>
  <c r="G116" i="1"/>
  <c r="G330" i="1"/>
  <c r="G154" i="1"/>
  <c r="G329" i="1"/>
  <c r="G334" i="1"/>
  <c r="G231" i="1"/>
  <c r="G256" i="1"/>
  <c r="G275" i="1"/>
  <c r="G114" i="1"/>
  <c r="G272" i="1"/>
  <c r="G248" i="1"/>
  <c r="G328" i="1"/>
  <c r="G122" i="1"/>
  <c r="G39" i="1"/>
  <c r="G196" i="1"/>
  <c r="G91" i="1"/>
  <c r="G295" i="1"/>
  <c r="G331" i="1"/>
  <c r="G332" i="1"/>
  <c r="G294" i="1"/>
  <c r="G247" i="1"/>
  <c r="G25" i="1"/>
  <c r="G235" i="1"/>
  <c r="G112" i="1"/>
  <c r="G98" i="1"/>
  <c r="G29" i="1"/>
  <c r="G9" i="1"/>
  <c r="G145" i="1"/>
  <c r="G57" i="1"/>
  <c r="G325" i="1"/>
  <c r="G264" i="1"/>
  <c r="G265" i="1"/>
  <c r="G223" i="1"/>
  <c r="G239" i="1"/>
  <c r="G88" i="1"/>
  <c r="G177" i="1"/>
  <c r="G169" i="1"/>
  <c r="G327" i="1"/>
  <c r="G304" i="1"/>
  <c r="G93" i="1"/>
  <c r="G140" i="1"/>
  <c r="G289" i="1"/>
  <c r="G249" i="1"/>
  <c r="G164" i="1"/>
  <c r="G226" i="1"/>
  <c r="G174" i="1"/>
  <c r="G100" i="1"/>
  <c r="G318" i="1"/>
  <c r="G162" i="1"/>
  <c r="G254" i="1"/>
  <c r="G259" i="1"/>
  <c r="G279" i="1"/>
  <c r="G139" i="1"/>
  <c r="G44" i="1"/>
  <c r="G245" i="1"/>
  <c r="G71" i="1"/>
  <c r="G131" i="1"/>
  <c r="G108" i="1"/>
  <c r="G221" i="1"/>
  <c r="G213" i="1"/>
  <c r="G240" i="1"/>
  <c r="G189" i="1"/>
  <c r="G218" i="1"/>
  <c r="G195" i="1"/>
  <c r="G220" i="1"/>
  <c r="G34" i="2" l="1"/>
  <c r="K234" i="1"/>
  <c r="AC13" i="2"/>
</calcChain>
</file>

<file path=xl/sharedStrings.xml><?xml version="1.0" encoding="utf-8"?>
<sst xmlns="http://schemas.openxmlformats.org/spreadsheetml/2006/main" count="5811" uniqueCount="1521">
  <si>
    <t>Spend</t>
  </si>
  <si>
    <t>Ad Sales</t>
  </si>
  <si>
    <t>Spend Difference</t>
  </si>
  <si>
    <t>Total Sales</t>
  </si>
  <si>
    <t>Title</t>
  </si>
  <si>
    <t>Row Labels</t>
  </si>
  <si>
    <t>Sum of Units Ordered</t>
  </si>
  <si>
    <t>Consistency</t>
  </si>
  <si>
    <t>Diff 07-08</t>
  </si>
  <si>
    <t>Diff %</t>
  </si>
  <si>
    <t>July</t>
  </si>
  <si>
    <t>Aug</t>
  </si>
  <si>
    <t>Ad Sales 08</t>
  </si>
  <si>
    <t>Spend/Unit Aug</t>
  </si>
  <si>
    <t>Diff</t>
  </si>
  <si>
    <t>KC</t>
  </si>
  <si>
    <t>JC</t>
  </si>
  <si>
    <t>Vitamin D3 10000 iu Plus K2 (MK-7) 200 mcg, 180 Virgin Coconut Oil Softgels| 2 in 1 Vitamins D &amp; K Complex | Supports Calcium Absorption, Bone, Immune, &amp; Heart Health – Easy to Swallow</t>
  </si>
  <si>
    <t>B07YMJLTR6</t>
  </si>
  <si>
    <t>整体结构很好也没有较高的IS deal期间多卖多出，Sponsor display下调到1.1主要的7天review回看</t>
  </si>
  <si>
    <t>Organic Matcha Green Tea Powder, 1 Pound (16 Ounce), Culinary Grade, First Harvest Authentic Japanese Origin, 100% Pure Matcha for Smoothies, Latte and Baking, Unflavored, Non-Irradiation</t>
  </si>
  <si>
    <t>B08PY3Q8XS</t>
  </si>
  <si>
    <t>大面积下调了KW的base 10% 为数不多几乎所有词都能出单的产品 小幅度降低占比较高产品的花费</t>
  </si>
  <si>
    <t>Oil of Oregano 6000mg 150 count</t>
  </si>
  <si>
    <t>B0DK7XKTM6</t>
  </si>
  <si>
    <t>下调KW主词base整体从0.9-0.75 现在不够花 销量差不多1/unit 先增加跑广告时长 KW的Rest暂时降到20% PT的softgel bid先暂时降到0.6 再跑久一点然后看看要不要提高Budget 现在比较低暂时给的</t>
  </si>
  <si>
    <t>Micro Ingredients Vitamin D3 5000 IU with K2 100 mcg, 300 Soft-Gels | K2 MK-7 with D3 Vitamin Supplement, 2 in 1 Support Immune, Heart, Joint, Teeth &amp; Bone Health - Easy to Swallow</t>
  </si>
  <si>
    <t>B07RX4P4RL</t>
  </si>
  <si>
    <t>SD下调相似产品的投放 转化率很不好，上次deal在PT广告上有一波比较大的拉升在SR身上出了不少其次是dr berg, KW的主campaign权重太低了几乎不花钱 上调top到100跑一下头部展示</t>
  </si>
  <si>
    <t>Multi-Collagen Capsules</t>
  </si>
  <si>
    <t>B0D16FNPY5</t>
  </si>
  <si>
    <t>同时降低KW和TOP KW的主词 降低page花费保持top水平，PTB07WZVX3L1/B01MU3GAS9的IS都不错 小幅度降低base看是否能维持5%以上</t>
  </si>
  <si>
    <t>Triple Strength Omega 3 Fish Oil Supplements 3000mg, 200 Softgels - Lemon Flavored - Burpless (Enteric-Coated) | EPA 1200mg + DHA 900mg | Deep Sea Fish, Wild Caught from Norwegian Waters</t>
  </si>
  <si>
    <t>B07L45XQBR</t>
  </si>
  <si>
    <t>TOP KW omega 3 supplement for women小幅度下调base，omega的很大一部分sale来自于品牌和cross sale 自己的广告目前很难打出去 rest提一提看看是否能够多一些中部展示 整个类目还是太大 小幅度下调PT的SR的Bid, PT不够花 现在的PPU暂时先跑完再看 广告目前看效益并不是特别大 但是数据上表现还算良好</t>
  </si>
  <si>
    <t>Organic Ceylon Cinnamon Powder | 2 Lb - [Sourced from Sri Lanka] - Inner Bark Cinnamomum Verum, Delicate Flavor and Aroma, Third Party Tested for Purity, Vegan, Non-GMO &amp; Gluten Free</t>
  </si>
  <si>
    <t>B01BHF3IXM</t>
  </si>
  <si>
    <t>头部IS较高词小降 提高 top水平整体拉头部展示 准备10月旺季 rest先降下来KW PT花完比较早 打开跑100试试效果 后续根据销量看要不要降低KW花费</t>
  </si>
  <si>
    <t xml:space="preserve">Black Seed Oil 3000mg with Oregano Oil </t>
  </si>
  <si>
    <t>B0F3G35G6W</t>
  </si>
  <si>
    <t>新品持續漲價溢價賣, 廣告花費下降到2.5/unit, 主詞 black seed oil capsules占比拿了6%, 自然展示位能到第二排, PT上提TOP到110, 漲價目前看起來銷量沒掉,</t>
  </si>
  <si>
    <t xml:space="preserve">neg产品降低auto的page花费 现在底部花费太多了 </t>
  </si>
  <si>
    <t>L-Theanine + Magnesium Glycinate</t>
  </si>
  <si>
    <t>B0DK65BMV7</t>
  </si>
  <si>
    <t>新品溢價賣, 有貨後銷量持續往上, KW上提TOP到80, 穩定能賣110+/day, 廣告花費差不多1.5/unit</t>
  </si>
  <si>
    <t>上调KW的TOP到100rest到10，PT暂时下调到80争取跑完budget</t>
  </si>
  <si>
    <t xml:space="preserve">Pumpkin Seed Oil Softgels 150 count </t>
  </si>
  <si>
    <t>B0F3B84SDQ</t>
  </si>
  <si>
    <t>Chlorophyll Complex 2000mg 240 Veg Caps</t>
  </si>
  <si>
    <t>B0DX44D7FF</t>
  </si>
  <si>
    <t>新品, 還沒漲到原價, 目前跟Super greens合併拿了Arjuna的Badge, 廣告花費偏高, 2.6/unit, 縮減KW跟PT力度到50, KW TOP/Rest調整成75/15, 跑點中部的流量,</t>
  </si>
  <si>
    <t>Organic Pumpkin Seeds 4lb</t>
  </si>
  <si>
    <t>B0CLFY72DS</t>
  </si>
  <si>
    <t>Hair, Skin &amp; Nails softgels 400 Count</t>
  </si>
  <si>
    <t>B0F4HSLBW8</t>
  </si>
  <si>
    <t>新品, 原價賣銷量維持40+/day, KW Rest下調到10, 主詞hair skin and nails vitamins競品低價多, 前十大部分不超過15元, KW補點hair skin nails排列組合的中部詞, PT降Rest10提TOP到90,</t>
  </si>
  <si>
    <t>Pure Methylated Multivitamin for Women</t>
  </si>
  <si>
    <t>B0F8FWJN2Q</t>
  </si>
  <si>
    <t xml:space="preserve">Astaxanthin 24mg Softgels 60 count </t>
  </si>
  <si>
    <t>B0F4M8Y6V6</t>
  </si>
  <si>
    <t xml:space="preserve">Multi-Collagen Peptides Powder 8oz </t>
  </si>
  <si>
    <t>B0D2S5S6D7</t>
  </si>
  <si>
    <t>Liposomal NAD+ Ultimate 1000mg</t>
  </si>
  <si>
    <t>B0F8FZSPTY</t>
  </si>
  <si>
    <t xml:space="preserve">Saw Palmetto 4800mg with Pumpkin Seed Oil softgels 240 count </t>
  </si>
  <si>
    <t>B0F5M6PZSY</t>
  </si>
  <si>
    <t>Organic Sunflower Seeds (Kernels) 4lb</t>
  </si>
  <si>
    <t>B0CLFLQ8DJ</t>
  </si>
  <si>
    <t>Beet Root 300mg with MCT Oil 360 softgels</t>
  </si>
  <si>
    <t>B0F5LZYS78</t>
  </si>
  <si>
    <t>Beet Root 3000mg with grape seed &amp; CoQ10</t>
  </si>
  <si>
    <t>B0DK65FRV2</t>
  </si>
  <si>
    <t>Micro Ingredients Organic Spirulina Powder, 16 Ounce, Raw Spirulina (Arthrospira Platensis), The Richest Sources of 70% Vegan Protein, Containers Minerals, Vitamins, Non-GMO &amp; Non-Irradiation</t>
  </si>
  <si>
    <t>B01DPW5FWW</t>
  </si>
  <si>
    <t>Microingredients Hydration Electrolyte Powder, Lemon Raspberry, 2 Lbs - High Potassium (1000mg), 0 Calorie, Sugar-Free, Hydration Drink Mix with Real Lemon Juice - Keto, Paleo, Non-GMO</t>
  </si>
  <si>
    <t>B0CG7TB55T</t>
  </si>
  <si>
    <t>Pure Liposomal NAD+ 9000mg for women</t>
  </si>
  <si>
    <t>B0F8FP7F8T</t>
  </si>
  <si>
    <t>Pure Magnesium Glycinate 1000mg with Vitamin C</t>
  </si>
  <si>
    <t>B0DLLLZD5K</t>
  </si>
  <si>
    <t>Organic MCT Oil Powder with Prebiotic Fiber,1 Pound(16 Ounce), Fast Fuel for Body and Brain, C8 MCT Oil for Coffee Creamer, Delicious for Tea, Smoothie, Drink and Beverage, No GMOs, Keto Diet, Vegan</t>
  </si>
  <si>
    <t>B07T5X85N9</t>
  </si>
  <si>
    <t>Whole Milk Powder, 4lbs | rBST Hormone Free, Pasture Raised Source, Premium Grade Dry Powdered Form | Great for Baking | Rich in Protein | Non-GMO</t>
  </si>
  <si>
    <t>B0CLFXDX4Z</t>
  </si>
  <si>
    <t xml:space="preserve">CoQ10 400mg with MCT Oil Softgels 240 count </t>
  </si>
  <si>
    <t>B0F3FXTP4V</t>
  </si>
  <si>
    <t>Pure Methylated B Complex with Vitamin C</t>
  </si>
  <si>
    <t>B0DLLHRVLY</t>
  </si>
  <si>
    <t>Micro Ingredients Organic Coconut Milk Powder, 2 Pound (32 Ounce), Plant-Based Creamer, Perfect for Coffee, Tea and Smoothie, Non-GMO and Keto Friendly</t>
  </si>
  <si>
    <t>B07X37D16H</t>
  </si>
  <si>
    <t xml:space="preserve">Organic Spirulina Chlorella Mixed Mini-Tablets 2500 count </t>
  </si>
  <si>
    <t>B0F3GG32FF</t>
  </si>
  <si>
    <t xml:space="preserve">Oregano Oil with Black Seed Oil Drop 4 fl oz (118mL) </t>
  </si>
  <si>
    <t>B0DS6MGRHD</t>
  </si>
  <si>
    <t>Organic Chia Seeds 4lb</t>
  </si>
  <si>
    <t>B0F3GFTM5J</t>
  </si>
  <si>
    <t xml:space="preserve">HMB 1000mg with coconut oil softgels 240 count </t>
  </si>
  <si>
    <t>B0F5M5HXC3</t>
  </si>
  <si>
    <t>Pure Potassium Magnesium with Vitamin C</t>
  </si>
  <si>
    <t>B0DLLLB5TL</t>
  </si>
  <si>
    <t>Pure D-Mannose 1300mg with cranberry</t>
  </si>
  <si>
    <t>B0DLLMC7DS</t>
  </si>
  <si>
    <t>Golden Monk Fruit Sweetener with Allulose, 2 lbs | No Erythritol, No Aftertaste, 1:1 Brown Sugar Substitute | Zero Calorie, Great for Drinks, Coffee, Tea, Cookies | Keto, Vegan, Non-GMO</t>
  </si>
  <si>
    <t>B0C9P7L7YJ</t>
  </si>
  <si>
    <t>銷量往上走, 目前日銷能賣到60+/day, KW給點Rest打打中部, TOP/Rest調整成120/20, 預算下調到50,</t>
  </si>
  <si>
    <t xml:space="preserve">Selenium 200mcg with coconut oil 500 count </t>
  </si>
  <si>
    <t>B0F3GKVDHY</t>
  </si>
  <si>
    <t>Pure Myo &amp; D-Chiro Inositol 2050mg caps</t>
  </si>
  <si>
    <t>B0F4HQ6C1C</t>
  </si>
  <si>
    <t>Multi-Collagen Gummies 120 count</t>
  </si>
  <si>
    <t>B0DDWNGRKL</t>
  </si>
  <si>
    <t>Organic Spirulina Powder 2lb</t>
  </si>
  <si>
    <t>B0F3G992L6</t>
  </si>
  <si>
    <t>D Mannose Powder, 8.8 Ounce, Pure Mannose Supplement, Quick Water Soluble, Support Urinary Tract Cleanse &amp; Bladder Health, Premium Mannose for Women and Men, Vegan Friendly</t>
  </si>
  <si>
    <t>B01L2TFP1Q</t>
  </si>
  <si>
    <t xml:space="preserve">Milk Thistle 6000mg with Grape Seed Oil softgels 360 count </t>
  </si>
  <si>
    <t>B0F5S4X7L6</t>
  </si>
  <si>
    <t>Multi Collagen Peptides Powder, 16 Oz - Hydrolyzed Protein Peptides | Type I,II,III,V,X with Hyaluronic Acid, Biotin 10,000mcg &amp; Vitamin C - Unflavored - Keto &amp; Paleo Friendly, Ez Mix in Drinks</t>
  </si>
  <si>
    <t>B0BKK4X56L</t>
  </si>
  <si>
    <t xml:space="preserve">TUDCA 2000mg Complex capsules 240 count </t>
  </si>
  <si>
    <t>B0F4HH894D</t>
  </si>
  <si>
    <t xml:space="preserve">Super Enzymes+ with Prebiotics + Probiotics vegetarian capsules 240 count </t>
  </si>
  <si>
    <t>B0DX44RL58</t>
  </si>
  <si>
    <t>Vitamin B2 Riboflavin 400mg</t>
  </si>
  <si>
    <t>B0F5M2GGC3</t>
  </si>
  <si>
    <t>Cranbery 400mg Vitamin C &amp; MCT 300 Softgel</t>
  </si>
  <si>
    <t>B0F5RKBCJJ</t>
  </si>
  <si>
    <t>Creatine Monohydrate Powder 500 Grams (1.1 LBS), 5000mg Per Serv, Micronized Creatine Powder, Unflavored, Pure, No Filler, Keto &amp; Vegan, Easy Dissolve Pre Workout Creatine for Women and Men</t>
  </si>
  <si>
    <t>B09TNMZBQ5</t>
  </si>
  <si>
    <t xml:space="preserve">Vitamin D3K2 10,000IU 180 count </t>
  </si>
  <si>
    <t>B0D2SRGD76</t>
  </si>
  <si>
    <t>Magnesium Glycinate 400mg with Vitamin C - 200 Capsules, Elemental Magnesium 400mg Supplement, 100% Chelated, Support Healthy Muscle, Bones &amp; Mood</t>
  </si>
  <si>
    <t>B087F4HLJ3</t>
  </si>
  <si>
    <t>Goat Milk Powder 1lb</t>
  </si>
  <si>
    <t>B0D2S64JP2</t>
  </si>
  <si>
    <t>Triple Magnesium Complex (Glycinate + Malate + Taurate) 400mg capsules 300 count</t>
  </si>
  <si>
    <t>B0DLLHGKDM</t>
  </si>
  <si>
    <t>Magnesium Citrate 400mg with Vitamin D3 1000IU &amp; B6, 240 Capsules | Elemental Mineral &amp; Vitamins Complex | Combats Constipation, Supports Muscle, Heart, &amp; Bone Health – Non-GMO</t>
  </si>
  <si>
    <t>B087F7DTR7</t>
  </si>
  <si>
    <t>Multi Collagen Protein Powder, 2 Pounds – Type I,II,III,V,X with Biotin 10000mcg, Hyaluronic Acid, Vitamin C – Unflavored Collagen Peptides – Keto &amp; Paleo Friendly, Easy Dissolve, Non-GMO</t>
  </si>
  <si>
    <t>B01BHF3OMW</t>
  </si>
  <si>
    <t>Organic Matcha Green Tea Powder, 2 Pound (32 Ounce), Culinary Grade - Unflavored - First Harvest Authentic Japanese Origin, 100% Pure Matcha for Smoothies, Latte and Baking, Non-GMO, Non-Irradiation</t>
  </si>
  <si>
    <t>B09TG3RDGS</t>
  </si>
  <si>
    <t xml:space="preserve">Organic Whole Psyllium Husks Powder 3lb </t>
  </si>
  <si>
    <t>B0DS6MHM6Z</t>
  </si>
  <si>
    <t xml:space="preserve">Premium Vital Wheat Gluten Powder 6lb </t>
  </si>
  <si>
    <t>B0DK7WV3MS</t>
  </si>
  <si>
    <t>Micro Ingredients Lutein &amp; Zeaxanthin 40mg Softgels, 240 Count, with Astaxanthin, Omega-3s, &amp; Phospholipids | Eye + Vision Health Vitamins | Third Party Tested, Non-GMO, Gluten Free</t>
  </si>
  <si>
    <t>B0812QPT4J</t>
  </si>
  <si>
    <t>Organic Non-Fortified Nutritional Yeast Flakes, 2 Pounds | Rich in Vegan Protein, B Vitamins &amp; Beta-glucans | Keto Friendly, Dairy Free Cheese Substitute, Non-GMO, Gluten Free</t>
  </si>
  <si>
    <t>B0BCMNBZPR</t>
  </si>
  <si>
    <t xml:space="preserve">Electrolyte Powder Grape Flavor 2lb </t>
  </si>
  <si>
    <t>B0D3T248FJ</t>
  </si>
  <si>
    <t>Bovine Collagen Protein Powder, 1 Pound</t>
  </si>
  <si>
    <t>B0D16G8C8P</t>
  </si>
  <si>
    <t>Micro Ingredients Melatonin 20mg Tablets, 400 Counts, Natural Strawberry Flavor, Fast Dissolve | No Drug, Vegetarian Friendly, Non-GMO &amp; No Gluten</t>
  </si>
  <si>
    <t>B07RY554K5</t>
  </si>
  <si>
    <t>Super greens Superfood Powder 1lb</t>
  </si>
  <si>
    <t>B0DK7WVQQY</t>
  </si>
  <si>
    <t>Monk Fruit Sweetener with Allulose, 2 lbs | No Erythritol | No Aftertaste, 1:1 White Sugar Substitute, Keto &amp; Vegan Friendly, Zero Calorie | Great for Drinks, Coffee, Tea, Cookies | Non-GMO</t>
  </si>
  <si>
    <t>B0BR4N7C2F</t>
  </si>
  <si>
    <t>NAD+ with resveratrol</t>
  </si>
  <si>
    <t>B0DS6NNCP9</t>
  </si>
  <si>
    <t>Apple Cider Vinegar Capsules</t>
  </si>
  <si>
    <t>B0DX4GZDW9</t>
  </si>
  <si>
    <t>Organic Blue Spirulina 30g</t>
  </si>
  <si>
    <t>B0DDW2L4YM</t>
  </si>
  <si>
    <t>Moringa Powder Organic (Moringa Oleifera Leaf Powder), 2 Pounds, Rich in Antioxidants and Immune Vitamin, Great Superfoods for Moringa Tea, Moringa Drink, Moringa Powder for Hair, India Grown, Vegan</t>
  </si>
  <si>
    <t>B01L2TGLTG</t>
  </si>
  <si>
    <t>Omega-3 Fish Oil 1200mg</t>
  </si>
  <si>
    <t>B0DGRNC1VW</t>
  </si>
  <si>
    <t xml:space="preserve">NAC+NAD with MCT Oil softgels </t>
  </si>
  <si>
    <t>B0DK65J8YX</t>
  </si>
  <si>
    <t>CoQ10 200mg with MCT Oil</t>
  </si>
  <si>
    <t>B0DGRK52HZ</t>
  </si>
  <si>
    <t>Omega-3 Fish Oil 1000mg 300 count</t>
  </si>
  <si>
    <t>B0DK69SLY9</t>
  </si>
  <si>
    <t>NAC 600mg with NAD+ with coconut oil softgels 150 count</t>
  </si>
  <si>
    <t>B0F6J2MW5T</t>
  </si>
  <si>
    <t xml:space="preserve">Liposomal Vitamin C 1000mg 40 packets </t>
  </si>
  <si>
    <t>B0F3GDQTLS</t>
  </si>
  <si>
    <t>Omega 3 Fish Oil 4200mg 120 Softgels</t>
  </si>
  <si>
    <t>B0CS56P75L</t>
  </si>
  <si>
    <t>Micro Ingredients Organic Lemon Juice Powder, 10 Ounce, Cold Pressed Concentrated Powder, Filler Free, Rich in Natural Vitamin C for Immune System Booster, Great Flavor for Soda, Baking and Cooking, Vegan Friendly</t>
  </si>
  <si>
    <t>B07NY4MF5Y</t>
  </si>
  <si>
    <t>Vegan omega 3</t>
  </si>
  <si>
    <t>B0D3T51D3C</t>
  </si>
  <si>
    <t>Organic Soluble Prebiotics Fiber Supplement (Inulin, Acacia, Psyllium Husk), 2 Pounds, 3 in 1 Fiber Formula, Daily Fiber, Unflavored, for Digestive Health, Hunger Control, Vegan</t>
  </si>
  <si>
    <t>B07RG8M2XB</t>
  </si>
  <si>
    <t>KSM-66 Ashwagandha Gummies</t>
  </si>
  <si>
    <t>B0F3B3Y86P</t>
  </si>
  <si>
    <t>Organic Beet Root Powder, 4 Pounds | Cold Pressed, Water Soluble, High Concentrated Raw Beet Supplement | Superfood Drink Mix | Non-GMO, Vegan Friendly, Plant Based</t>
  </si>
  <si>
    <t>B01N20ON39</t>
  </si>
  <si>
    <t>Micro Ingredients Sustainably US Grown, Organic Slippery Elm Bark Powder, 1 Pound (645 Servings), Helps Soothe The Throat and Coughing, No Irradiated, No Contaminated, No GMOs, Pet Friendly</t>
  </si>
  <si>
    <t>B075VFCQBC</t>
  </si>
  <si>
    <t xml:space="preserve">Multi Collagen Peptides Packets 40-count </t>
  </si>
  <si>
    <t>B0D3FQWRV4</t>
  </si>
  <si>
    <t>US Origin Pure Magnesium Citrate Powder, 2 Pounds (32 Ounce), Pure and Filler Free, Relaxation and Nutrient Utilization, Vegan</t>
  </si>
  <si>
    <t>B01BHF3GMK</t>
  </si>
  <si>
    <t>Potassium Chloride Powder, 1 Kg (2.2 Pounds), Salt Substitute &amp; Electrolyte Powder, Pure Potassium Chloride Supplement, Essential Mineral, Filler Free and Dissolve Easily</t>
  </si>
  <si>
    <t>B07T1LZ4D2</t>
  </si>
  <si>
    <t>Pure Organic Stevia Powder, 8 Ounces, 1418 Serving, High Grade Stevia Green Leaf Extract Reb-A, Reduced Bitter Aftertaste, 0 Calorie, Natural Sweetener, Sugar Alternative, Keto Friendly</t>
  </si>
  <si>
    <t>B01DPW5H84</t>
  </si>
  <si>
    <t>Organic Instant 10 in 1 Mushroom Coffee Powder, 28 Ounce (317 Servings) | Premium Arabica Coffee with Lion’s Mane, Chaga, Reishi, &amp; More | Smooth Medium Roast, Clean Energy, &amp; Immune Support</t>
  </si>
  <si>
    <t>B0BCMKNMZB</t>
  </si>
  <si>
    <t xml:space="preserve">Organic MCT Liquid Oil 32 fl oz (946mL) </t>
  </si>
  <si>
    <t>B0C325P6Z4</t>
  </si>
  <si>
    <t>Organic Whole Cinnamon Stick, 2lbs | 2 ¾” Stick Size | Raw Cinnamon Spice Flavor &amp; Aroma | Great for Tea, Desserts, or Cooking | Non-GMO, Vegan Friendly, Bulk Supply</t>
  </si>
  <si>
    <t>B0C9PGM2LW</t>
  </si>
  <si>
    <t>Micro Ingredients Maximum Strength Organic Korean Ginseng Root 200:1 Powder, 4 Ounce, Red Panax Ginseng Powder, Active Ginsenosides, Vegan Friendly</t>
  </si>
  <si>
    <t>B079MNQXLF</t>
  </si>
  <si>
    <t>Micro Ingredients Evening Primrose Oil 1300mg Perserving, 240 Softgels | Enhanced with 40mg Black Cohosh Extract, Cold Pressed – 10% Active GLA, Non-GMO, No Gluten, Easy to Swallow</t>
  </si>
  <si>
    <t>B01DPW5LR6</t>
  </si>
  <si>
    <t>Micro Ingredients Organic Papaya Fruit Powder, 8 Ounce, Freeze Dried, Naturally Rich in Papaya Enzyme, Supports Antioxidant and Digestive Function, No GMOs &amp; Vegan Friendly</t>
  </si>
  <si>
    <t>B07NY5GKYG</t>
  </si>
  <si>
    <t>L-Arginine1600mg + L-Citrulline 800mg bisected tablets 240 count </t>
  </si>
  <si>
    <t>B0DWD26MMF</t>
  </si>
  <si>
    <t>Vitamin D3 2000IU with coconut oil softgels</t>
  </si>
  <si>
    <t>B0DS6L2MFW</t>
  </si>
  <si>
    <t>Micro Ingredients Glycine Powder, 1KG (2.2 Pounds), Glycine 1000mg Per Serving, Supports Restful Sleep and Neurotransmitter, Water Soluble and Products of USA</t>
  </si>
  <si>
    <t>B01LBILPCG</t>
  </si>
  <si>
    <t>Organic Bee Pollen Granules, 1lb | Pure Fresh Harvest, Natural Superfood, Raw Sweet Flavor | Rich in B Vitamins, Minerals, Protein, &amp; Antioxidants | Keto, Non-GMO</t>
  </si>
  <si>
    <t>B0CLFGBK2B</t>
  </si>
  <si>
    <t>Micro Ingredients Odorless Garlic 7500mg Per Servings, 300 Softgels | 2 Years Aged Garlic Extract, Grown Allium Sativum Bulb | Potent Antioxidant Supplement, Immune Support, and Heart Health</t>
  </si>
  <si>
    <t>B0812DJRSK</t>
  </si>
  <si>
    <t>Organic Pomegranate Juice Powder, 1 Pound (91 Serving), Freeze Dried &amp; Cold Pressed, Natural Vitamin C (Immune Vitamin), Support Immune System, Organic Flavor for Smoothie &amp; Beverage, Vegan Friendly</t>
  </si>
  <si>
    <t>B01HN63W4Y</t>
  </si>
  <si>
    <t xml:space="preserve">Pure L-Lysine 2000mg </t>
  </si>
  <si>
    <t>B0DVM9M4DS</t>
  </si>
  <si>
    <t>Organic Lion's Mane Powder 8oz</t>
  </si>
  <si>
    <t>B0D2S6H23L</t>
  </si>
  <si>
    <t xml:space="preserve">Peanut Powder 4lb </t>
  </si>
  <si>
    <t>B0DGRPBBZY</t>
  </si>
  <si>
    <t>Micro Ingredients Quercetin with Vitamin C and Zinc, 240 Capsules | Quercetin 500mg, Vitamin C 500mg, Zinc 50mg (Picolinate, Citrate, Glycinate, Gluconate) | Complete Immune Support Supplements</t>
  </si>
  <si>
    <t>B087Z8PSW6</t>
  </si>
  <si>
    <t>Creatine Monohydrate 5,000mg, 500 Capsules | Pure Creatine Pills – Micronized + Unflavored Powder Source, Easy Absorption | Pre Workout &amp; Muscle Health Support | Keto, Non-GMO</t>
  </si>
  <si>
    <t>B0B9289VLY</t>
  </si>
  <si>
    <t>Pure Birch Xylitol Sweetener (Xylitol Sugar Crystal Powder), 6 Pounds (96 Ounce &amp; 680 Serving), Natural Sweetener, 1:1 Brown Sugar Substitute and Low Calorie, Best for Baking and Cooking, No After Taste, Keto Friendly and Product of USA</t>
  </si>
  <si>
    <t>B07T5WW8LF</t>
  </si>
  <si>
    <t xml:space="preserve">Melatonin 10mg tablets strawberry flavor 400 count </t>
  </si>
  <si>
    <t>B0DX4D8Q84</t>
  </si>
  <si>
    <t>Micro Ingredients Organic Camu Camu Powder, 12 oz | High Natural Vitamin C Level | Fresh Freeze-Dried Berries Source | Supports Energy and Immune Health | No GMOs, Vegan Friendly</t>
  </si>
  <si>
    <t>B01L2TGRFO</t>
  </si>
  <si>
    <t>Sustainably US Grown, Organic Sunflower Lecithin Powder, 1 Pound, Sustainable Farmed, Cold Pressed, Rich in Phosphatidyl Choline and Protein, Making Liposomal Vitamin C, Lactation Supplement, Non-GMO</t>
  </si>
  <si>
    <t>B01N02YNF5</t>
  </si>
  <si>
    <t>Micro Ingredients Vitamin B3 Nicotinamide 1,000mg Per Serving, 400 Capsules | Flush Free Niacin, Essential B Vitamin Supplement | Skin Care Health &amp; Energy Support | Non-GMO, Gluten Free</t>
  </si>
  <si>
    <t>B08C9MWZD9</t>
  </si>
  <si>
    <t>Vitamin D3K2 5000IU with sunflower oil 180 count</t>
  </si>
  <si>
    <t>B0D2S6DMDS</t>
  </si>
  <si>
    <t>Vitamin B1 Benfotiamine 600mg Per Serving, 240 Coconut Oil Softgels | Essential B Vitamins Supplement, Fat Soluble | Supports Metabolism &amp; Healthy Nervous System | Non-GMO, Easy to Swallow</t>
  </si>
  <si>
    <t>B0CG7ZTT7B</t>
  </si>
  <si>
    <t>Hair Vitamins Complex 240 capsules</t>
  </si>
  <si>
    <t>B0DLDXLQ4B</t>
  </si>
  <si>
    <t>Micro Ingredients North American Grown, Pea Protein Powder, 5 Pounds | Plant Based, Unflavored | Complete Vegan Protein Source – 27g Serving | Rich in BCAAs &amp; EAAs | Non-GMO, Keto Friendly</t>
  </si>
  <si>
    <t>B0C35LNMRF</t>
  </si>
  <si>
    <t>Micro Ingredients Biotin 10,000mcg w/Hyaluronic Acid 25mg | 360 Virgin Coconut Oil Softgels, Fast Release, One Year Supply, Supports Healthy Hair, Skin &amp; Nails, Non-GMO &amp; No Gluten</t>
  </si>
  <si>
    <t>B08MX3DD8G</t>
  </si>
  <si>
    <t>Organic Garlic Powder, 3lbs | Culinary Grade | Freshly Harvested Raw Allium Sativum Bulb | Natural Herbal Spice | Great for Seasonings, Meats, or Vegetables | Non-GMO</t>
  </si>
  <si>
    <t>B0BXYB635P</t>
  </si>
  <si>
    <t xml:space="preserve">Cod Liver Oil 2000mg </t>
  </si>
  <si>
    <t>B0D3T12XYP</t>
  </si>
  <si>
    <t>Stevia Sweetener Powder with Plant-based Erythritol, 4 Pounds (64 Ounces) | Keto, 0 Calorie, Low Carb, 4:1 Sugar Substitute, Natural Sweetener, Bitterless, Reb-A Stevia Leaf Extract, Non-GMO, Vegan</t>
  </si>
  <si>
    <t>B09NQXJHYQ</t>
  </si>
  <si>
    <t>Organic Ground Ginger Powder, 2 Pounds (32 Ounce), Great Flavor and Highly Aromatic, Fine Loose Powder for Better Mixing without Settling, Best for Cooking, Baking, Tea &amp; More, Product of India</t>
  </si>
  <si>
    <t>B08TBBBJK8</t>
  </si>
  <si>
    <t xml:space="preserve">Niacin (Vitamin B3) 500mg capsules 400 count </t>
  </si>
  <si>
    <t>B0DLLJLMKD</t>
  </si>
  <si>
    <t>Micro Ingredients Organic Marshmallow Root Powder, 8 Ounce, Filler Free and Traditionally Used, Supports Digestive Gastrointestinal Health, Non-Irradiated and No GMOs, Vegan Friendly</t>
  </si>
  <si>
    <t>B074WLN3WN</t>
  </si>
  <si>
    <t>Taurine Powder Supplement | 1 KG, 2000mg Per Serving | Unflavored | 100% Pure, Easily Absorbed Free Form | Essential Amino Acids for Exercise, Energy, &amp; Heart Support</t>
  </si>
  <si>
    <t>B0C88H675D</t>
  </si>
  <si>
    <t>Organic Whole Yellow Mustard Seed, 4lbs</t>
  </si>
  <si>
    <t>B0CLFJ81NC</t>
  </si>
  <si>
    <t>Psyllium Husk 3000mg veg caps</t>
  </si>
  <si>
    <t>B0DWDVSHZW</t>
  </si>
  <si>
    <t>Folic Acid 1,000 mcg, 500 Coconut Oil Softgels (1mg) | Essential Prenatal Vitamins (Vitamin B9) | 1,667 mcg DFE | Third Party Tested, No Artificial Colors or Flavors | Non-GMO, Gluten Free</t>
  </si>
  <si>
    <t>B087F3WYNW</t>
  </si>
  <si>
    <t>Organic Shredded Coconut Flakes, 4lbs</t>
  </si>
  <si>
    <t>B0CLFYHSV2</t>
  </si>
  <si>
    <t>Ultra Omega 3-6-9 3600mg Perserv, 300 Burpless Softgels | Lemon Flavor – Blend of Fish, Flaxseed, Borage Oils | Bioavailable Source, Non-GMO, No Gluten, Mercury Free</t>
  </si>
  <si>
    <t>B07RD8T952</t>
  </si>
  <si>
    <t xml:space="preserve">Ginkgo Ginseng Complex 5600mg </t>
  </si>
  <si>
    <t>B0DVMLWR97</t>
  </si>
  <si>
    <t>Micro Ingredients Organic Ashwagandha Root Powder | 2 Pound, No Filler, No Additives, Highly Purified | Active Withanolides, Adaptogenic Ayurvedic Herbal Supplements, No GMO, Gluten Free, India Origin</t>
  </si>
  <si>
    <t>B01N3U3WO4</t>
  </si>
  <si>
    <t>Ashwagandha 6000mg with MCT Oil Softgels</t>
  </si>
  <si>
    <t>B0DK6596L8</t>
  </si>
  <si>
    <t>Micro Ingredients Organic Chlorella Powder, 10 Ounce, Broken Cell Wall, Rich in Vegan Proteins &amp; Vitamins, Raw, Bulk Premium Chlorella Supplement, Vegan Friendly, Non-Irradiation</t>
  </si>
  <si>
    <t>B01L2TGOEI</t>
  </si>
  <si>
    <t>Omega 3 Fish Oil DHA Supplements 1000mg with EPA 500mg, 200 Softgels – Lemon Flavored, Burpless (Enteric Coated) | Deep Sea Fresh Fish, Wild Caught from Norwegian Waters | Mercury Free</t>
  </si>
  <si>
    <t>B08MX16TYC</t>
  </si>
  <si>
    <t>DIM Active Supplement, DIM 300mg, 240 Veggie Capsules (8-Month Supply), 2 in 1 Formula, Estrogen Metabolism, Premium DIM-Plus Broccoli Extract Supplement With Black Pepper for Better Absorption</t>
  </si>
  <si>
    <t>B08MX153BT</t>
  </si>
  <si>
    <t>Micro Ingredients Vitamin B12 5000mcg | Methyl B12 Active Form – 180 Chewable Tablets | Fast Dissolve, Natural Strawberry Flavor, Support Energy, Metabolism Health | Vegan, Non-GMO, &amp; No Gluten</t>
  </si>
  <si>
    <t>B08MX1ZWB4</t>
  </si>
  <si>
    <t>Vitamin K Complex with coconut oil softgels</t>
  </si>
  <si>
    <t>B0C9PNMGR3</t>
  </si>
  <si>
    <t xml:space="preserve">Organic Butterfly Pea Flowers, 8oz </t>
  </si>
  <si>
    <t>B0CLFQJ9V2</t>
  </si>
  <si>
    <t>Omega-3 for Kids 240 Chewable Veggie Softgel</t>
  </si>
  <si>
    <t>B0F4HHCGGC</t>
  </si>
  <si>
    <t>Hair Vitamins Complex, 120 Capsules</t>
  </si>
  <si>
    <t>B0CVTRS7KJ</t>
  </si>
  <si>
    <t>US Origin Potassium Citrate Powder, 1 KG (35 Ounce), Essential Electrolyte Supplement, Supports Mineral Balance, Heart Health and Immune System, Vegan Friendly</t>
  </si>
  <si>
    <t>B01KFALQ34</t>
  </si>
  <si>
    <t>Flaxseed Oil 1400mg Softgels, 300 Counts | w/ 700mg ALA Omega 3, Cold Pressed, Rich in Fatty Acids, Alpha Linolenic Acid, Support Heart Health &amp; Immune System | Non-GMO, No Gluten - 300 Servings</t>
  </si>
  <si>
    <t>B01DPW5TXW</t>
  </si>
  <si>
    <t>Calm Powder 1lb</t>
  </si>
  <si>
    <t>B0FH5PPJVM</t>
  </si>
  <si>
    <t>Brewers Yeast Powder for Lactation, 3lbs</t>
  </si>
  <si>
    <t>B0CLFRYPPT</t>
  </si>
  <si>
    <t>L-Theanine 400mg 400 Softgels</t>
  </si>
  <si>
    <t>B0F5S2PCLD</t>
  </si>
  <si>
    <t>Micro Ingredients Organic Lions Mane Mushroom Supplement Powder, 16 Ounce | Sustainably US Grown, Nootropic for Mental Clarity, Energy, &amp; Immune Support | Non-GMO, Vegan</t>
  </si>
  <si>
    <t>B07P2CWWVV</t>
  </si>
  <si>
    <t>Pumpkin Seed Oil with Saw Palmetto, 3,000mg Per Serving, 300 Softgels | Cold Pressed, Pure Virgin Oil, Herbal Supplement | Supports Urinary, Bladder &amp; Prostate Health | Non-GMO</t>
  </si>
  <si>
    <t>B01BHF3KRG</t>
  </si>
  <si>
    <t>Red Yeast Rice 1200mg with CoQ10 100mg 240 Veggie Capsules</t>
  </si>
  <si>
    <t>B0F7NQ81NX</t>
  </si>
  <si>
    <t>Organic He Shou Wu, Pure Fo Ti Extract Powder, 6 Ounce, Prepared Foti Steaming with Black Bean, Traditional Anti Aging Herb, Promotes Hair Health and Antioxidant, Filler Free and No GMOs</t>
  </si>
  <si>
    <t>B06XKV2PK3</t>
  </si>
  <si>
    <t>Multi-Collagen Powder Chocolate Flavor 2lb</t>
  </si>
  <si>
    <t>B0D68JXS1L</t>
  </si>
  <si>
    <t>Sunflower Lecithin 1,600mg Per Serving, 300 Softgels</t>
  </si>
  <si>
    <t>B0CVTMQBGR</t>
  </si>
  <si>
    <t>Myo + D-Chiro Inositol Blend Powder 2lb</t>
  </si>
  <si>
    <t>B0F1QXFLBK</t>
  </si>
  <si>
    <t>Vitamin B12 1000mcg</t>
  </si>
  <si>
    <t>B0DK64ZGK4</t>
  </si>
  <si>
    <t>Micro Ingredients Pure Bee Pollen Granules, 2lbs | Fresh Harvest, Natural Superfood, Raw Sweet Flavor | Rich in B Vitamins, Minerals, Protein, &amp; Antioxidants | Keto, Non-GMO</t>
  </si>
  <si>
    <t>B0BV3DFDK5</t>
  </si>
  <si>
    <t>Organic Kelp Powder Supplement, 2lbs | Sustainably US Grown, Raw Ascophyllum Nodosum Source | Rich in Iodine for Thyroid Support, Body Scrubs, &amp; Skin Care | Non-GMO, Vegan</t>
  </si>
  <si>
    <t>B01LFPNJ8S</t>
  </si>
  <si>
    <t>Citric Acid 6 Pounds, Food Grade, Fine Granular Powder | 100% Pure, Concentrated Anhydrous Form | Natural Preservative + Great for Cooking, Cleaning, &amp; DIY Bath Bombs | Non-GMO</t>
  </si>
  <si>
    <t>B0BXYCL8KP</t>
  </si>
  <si>
    <t>2 Pack Micro Ingredients Organic Lemon Juice Powder, 10 Ounce, Rich in Natural Vitamin C (Immune Vitamins) for Immune System, Great Flavor for Drinks, Smoothie &amp; Beverages, Vegan</t>
  </si>
  <si>
    <t>B07XGDGNH9</t>
  </si>
  <si>
    <t>Pure Methylated Multivitamin 240 count</t>
  </si>
  <si>
    <t>B0DLLG833V</t>
  </si>
  <si>
    <t xml:space="preserve">Bromelain 500mg with Quercetin &amp; MCT Oil </t>
  </si>
  <si>
    <t>B0F5M2HRX9</t>
  </si>
  <si>
    <t>Organic Schisandra Extract Powder, 8 Ounce, Traditional Adaptogen and Filler Free, Pure Schisandra Supplement, Supports Liver Detox and Cognitive Health, No GMOs</t>
  </si>
  <si>
    <t>B07GF4QLJJ</t>
  </si>
  <si>
    <t>Glutathione Supplement, Pure Glutathione Reduced Powder with Inositol, 5 Ounce (9 Months Supply), 2 in 1 Formula, Powerful Ingredients for Antioxidants, Supports Liver Function, Vegan</t>
  </si>
  <si>
    <t>B0812D49XG</t>
  </si>
  <si>
    <t xml:space="preserve">Resveratrol Complex 3000mg </t>
  </si>
  <si>
    <t>B0DVMN2XB5</t>
  </si>
  <si>
    <t>Sustainably US Grown, Kale Powder Organic, 1 Pound (454 Servings), Freeze Dried, Most Nutrient-Dense Food on the Planet, Green Superfood for Kale Tea and Kale Drink, No GMOs and Vegan Friendly</t>
  </si>
  <si>
    <t>B07L46RH6P</t>
  </si>
  <si>
    <t>Organic Maca Root Powder, 2 Pound, Gelatinized for Better Absorption, Rich in Antioxidants, Help Energy, Stamina, Endurance, Strength and Immune System, No GMOs, Vegan Friendly and Peru Origin</t>
  </si>
  <si>
    <t>B01JNM6NTW</t>
  </si>
  <si>
    <t>Organic Broccoli Powder, 1 Pound, Freeze Dried, Contains Natural DIM (Diindolylmethane), and Rich in Fiber and Immune Vitamin C, Green Superfood for Smoothie &amp; Drinks, Vegan Friendly</t>
  </si>
  <si>
    <t>B07QQ3HTM5</t>
  </si>
  <si>
    <t>L Glutamine Powder Gut Health, 1Kg, 100% Pure, Free Form - Unflavored- Vegan Friendly, No Filler, No additives, Supports Muscle Recovery, Post Workout | Non-GMO &amp; Gluten-Free</t>
  </si>
  <si>
    <t>B01HFN37MC</t>
  </si>
  <si>
    <t>Pure Magnesium Citrate 500mg with Vitamin C</t>
  </si>
  <si>
    <t>B0DLLJ7HTQ</t>
  </si>
  <si>
    <t>Vitamin D3 2,000 iu Plus K2 (MK-7) 50 mcg, 300 Virgin Coconut Oil Softgels</t>
  </si>
  <si>
    <t>B0CVTDBXW5</t>
  </si>
  <si>
    <t>Nitric Oxide Booster 3600mg 240 tablets</t>
  </si>
  <si>
    <t>B0DK6684NK</t>
  </si>
  <si>
    <t>Micro Ingredients Sustainably US Grown, Organic Dandelion Root Tea Powder, Pure Dandelion Supplement, 1 Pound (16 Ounce, 1 Year Supply)</t>
  </si>
  <si>
    <t>B079MTDMK8</t>
  </si>
  <si>
    <t>Pure Quercetin Dihydrate Powder, Quercetin 500mg Per Serving, 100 Grams, Most Bioavailable Grade and Filler Free, Powerful Antioxidant Supports Energy, Immune System , No GMOs and Vegan</t>
  </si>
  <si>
    <t>B01DPW5IWY</t>
  </si>
  <si>
    <t>Moringa 6000mg capsules</t>
  </si>
  <si>
    <t>B0DDWPH39G</t>
  </si>
  <si>
    <t>Organic Bamboo Fiber Powder, 2lbs</t>
  </si>
  <si>
    <t>B0CVTJKVFQ</t>
  </si>
  <si>
    <t>Bariatric Multivitamin with 45mg Iron 240 Veggie Capsules</t>
  </si>
  <si>
    <t>B0F6H61S1J</t>
  </si>
  <si>
    <t>Vitamin D3 5000IU with coconut oil</t>
  </si>
  <si>
    <t>B0DGRWCTN8</t>
  </si>
  <si>
    <t>Micro Ingredients Pure Vitamin C Crystal Powder (Water Soluble Vitamin C 1000mg Per Serving), 1 KG (2.2 Pounds), Immune Vitamins and Strong Antioxidant, Pure Ascorbic Acid Powder Supplement</t>
  </si>
  <si>
    <t>B01HFOJBG2</t>
  </si>
  <si>
    <t>L Methylfolate 15mg with B6 Plus Methyl B12</t>
  </si>
  <si>
    <t>B0F5S1V6ZQ</t>
  </si>
  <si>
    <t>Micro Ingredients Pantothenic Acid Vitamin B5 Supplement, Vitamin B5 500mg Per Count, 365 Capsules (1 Year Supply), B-Complex Vitamin, Support Energy Production and Nervous System, Non-GMO</t>
  </si>
  <si>
    <t>B08MX59VV3</t>
  </si>
  <si>
    <t>Micro Ingredients Organic Boswellia Serrata Extract Powder, 8 Ounce, Pure Boswellia Supplement with 65% Boswellic Acid, Supports Joints, Knees and Bones Health, Non-GMO, Pet Friendly, India Origin</t>
  </si>
  <si>
    <t>B01DPW5I6U</t>
  </si>
  <si>
    <t>Micro Ingredients Maximum Strength Vitamin A 25000 IU | 500 Softgels with Coconut Oil for Better Absorption | Essential Vitamins for Vision, Growth, &amp; Reproduction | Non-GMO, Easy to Swallow</t>
  </si>
  <si>
    <t>B087DVF12V</t>
  </si>
  <si>
    <t>Micro Ingredients Full Spectrum Vitamin K2 MK-4 + MK-7 Supplement, 150 mcg, 300 Coconut Oil Softgles | Easily Absorbed, Active Menaquinone Complex | Immune, Joint, &amp; Heart Support | Non-GMO</t>
  </si>
  <si>
    <t>B087DZKHVW</t>
  </si>
  <si>
    <t>Mega Probiotics 40 strains 200 billion CFU</t>
  </si>
  <si>
    <t>B0DVN41167</t>
  </si>
  <si>
    <t>Erythritol Granules, 6 Pounds (96 Ounce), 1:1 Sugar Substitute, No After Taste, 0 Calorie, Natural Sweetener, Erythritol Keto Sugar Substitute, Non-GMO, Vegan</t>
  </si>
  <si>
    <t>B07SZHV7RN</t>
  </si>
  <si>
    <t>Vitamin D3 1,000 iu Plus K2 (MK-7) 25 mcg, 300 Virgin Coconut Oil Softgels</t>
  </si>
  <si>
    <t>B0CVTRSWQ1</t>
  </si>
  <si>
    <t>2 Pack Vitamin D3 5000IU Plus K2, 2 in 1 Formula, Vitamin D3 Liquid with Vitamin K2, 300 Soft-Gels, Immune Vitamin Complex with Virgin Sunflower Seed Oil, Support Your Heart, Teeth &amp; Joint Health</t>
  </si>
  <si>
    <t>B07VF2S2LC</t>
  </si>
  <si>
    <t>Alpha Lipoic Acid (ALA) 600mg</t>
  </si>
  <si>
    <t>B0DVMNZ1HR</t>
  </si>
  <si>
    <t>Micro Ingredients Riboflavin Vitamin B2, 400mg Per Serving, 180 Mini Tablets, Premium Vitamin B2 400mg Riboflavin Supplements, Easy to Swallow, Non-GMO</t>
  </si>
  <si>
    <t>B08C7BCJPM</t>
  </si>
  <si>
    <t>Pure Pine Pollen Powder, 6 Ounce, Wild Harvest an Broken Cell Wall, Supports Immune System Health, Boosts Energy, Antioxidant &amp; Androgenic, No GMOs, Vegan Friendly</t>
  </si>
  <si>
    <t>B079N44L9C</t>
  </si>
  <si>
    <t>R Alpha Lipoic Acid 600mg 120 Softgels</t>
  </si>
  <si>
    <t>B0F5LP6MH6</t>
  </si>
  <si>
    <t>MiracleMag Magnesium Supplement, 2lbs</t>
  </si>
  <si>
    <t>B0CVT7ZLLH</t>
  </si>
  <si>
    <t>Micro Ingredients Raw Organic Ginkgo Biloba Powder, 8 Ounce (18 Months Supply), Filler Free, Supports Brain Function and Mental Alertness, No GMOs and Vegan Friendly</t>
  </si>
  <si>
    <t>B01L2TGUHO</t>
  </si>
  <si>
    <t>Electrolyte tablets tubes 40 tablets</t>
  </si>
  <si>
    <t>B0DK68J877</t>
  </si>
  <si>
    <t>Micro Ingredients Red Panax Ginseng 1200mg Per Serving, 200 Softgels | High Potency Korean Ginseng Extract with Active Ginsenosides, Non-GMO &amp; No Gluten</t>
  </si>
  <si>
    <t>B07S17DJS3</t>
  </si>
  <si>
    <t>Marine Collagen Protein Powder, 1lb</t>
  </si>
  <si>
    <t>B0CVTQ4G5Z</t>
  </si>
  <si>
    <t>Pure Acerola Cherry Powder Organic, Natural Organic Vitamin C for Immune System Booster, 8 Ounce, Best Superfoods for Beverage, Smoothie and Drinks, Vegan Friendly, Brazil Origin</t>
  </si>
  <si>
    <t>B06XC72G8G</t>
  </si>
  <si>
    <t xml:space="preserve">Vitamin E 400IU Softgels 300 count </t>
  </si>
  <si>
    <t>B0F3G6VH73</t>
  </si>
  <si>
    <t>Smoked Paprika Powder, 4lbs | Spanish Origin, Fine Ground, Oak Wood Smoked, Raw Sweet &amp; Spicy Flavor | Spice Rack Seasoning | Great for Chicken, Steak, or Vegetables | Additive Free, Non-GMO</t>
  </si>
  <si>
    <t>B0CLFZ81GG</t>
  </si>
  <si>
    <t>Organic Whole Rainbow Peppercorn Blend, 2lbs | Black, Green, Pink, &amp; White Fresh Peppercorns for Easy Grinder Refill | Multi Purpose Seasoning for Cooking or Baking | Non-GMO</t>
  </si>
  <si>
    <t>B0C9PGG2WV</t>
  </si>
  <si>
    <t>Organic Moringa Powder 1lb</t>
  </si>
  <si>
    <t>B0DW17X7XS</t>
  </si>
  <si>
    <t xml:space="preserve">Vitamin D3K2 5000IU Golden Passion Fruit Flavor Gummies 120 count </t>
  </si>
  <si>
    <t>B0DS6MBN7J</t>
  </si>
  <si>
    <t>Micro Ingredients Organic Bamboo Extract Powder, 8 Ounce (1 Year Supply), Rich in Silica and Minerals, Supports Healthy Skin, Nail, Hair, Joints and Bones, Non-GMO and Vegan Friendly</t>
  </si>
  <si>
    <t>B07CXK6M1G</t>
  </si>
  <si>
    <t>Grape Seed Extract 36000mg with Resveratrol</t>
  </si>
  <si>
    <t>B0DX3W24CJ</t>
  </si>
  <si>
    <t>Magnesium Glycinate 350mg</t>
  </si>
  <si>
    <t>B0DWDHJZ4T</t>
  </si>
  <si>
    <t>Lions Mane Capsules</t>
  </si>
  <si>
    <t>B0D68FCQVT</t>
  </si>
  <si>
    <t>Indian Healing Clay Powder 2lb</t>
  </si>
  <si>
    <t>B0DDWH3NNX</t>
  </si>
  <si>
    <t>Micro Ingredients Vitamin E 1000 IU, 240 Softgels | Pure Vitamin E Oil Pills | Antioxidant Supplements for Skin, Face, &amp; Immune Health | Non-GMO, Gluten Free</t>
  </si>
  <si>
    <t>B0845QRGV5</t>
  </si>
  <si>
    <t>Golden Monk Fruit Sweetener with Erythritol, 4 Pounds - No After Taste - Brown Sugar Substitute, Keto Diet Friendly, Zero Calorie, Natural Sweetener for Drinks, Coffee, Tea, Cookies, No-GMO, Vegan</t>
  </si>
  <si>
    <t>B0BCN5XPBX</t>
  </si>
  <si>
    <t>Melatonin Gummies 20mg</t>
  </si>
  <si>
    <t>B0F7NYGQ58</t>
  </si>
  <si>
    <t xml:space="preserve">Pure Methylated Prenatal Vitamins for Women 240 Veggie Capsules </t>
  </si>
  <si>
    <t>B0F8FYNB8X</t>
  </si>
  <si>
    <t>Micro Ingredients Organic European Black Elderberry Juice Powder, 4 Ounce, Cold Pressed, Flash Pasteurized for Safety, Supports Immune System, Energy and Vascular Health, No GMOs, Vegan Friendly</t>
  </si>
  <si>
    <t>B07QTCDMBW</t>
  </si>
  <si>
    <t xml:space="preserve">Pure Methylated Multivitamin 2pk </t>
  </si>
  <si>
    <t>B0FMBGZZM1</t>
  </si>
  <si>
    <t>L Tyrosine Supplement 500mg with Omega-3</t>
  </si>
  <si>
    <t>B0F5S28X8S</t>
  </si>
  <si>
    <t>Pure Trans-Resveratrol Powder with Natural Vitamin E, 5 Ounce, 2 in 1 Formula, Micronized Powder for Better Absorption, Premium Resveratrol Supplement, Super Antioxidant, Vegan Friendly</t>
  </si>
  <si>
    <t>B0812F3JGG</t>
  </si>
  <si>
    <t>Pure Methylated Multivitamin for Men 240 Capsules</t>
  </si>
  <si>
    <t>B0F8FX9SXY</t>
  </si>
  <si>
    <t>Maximum Strength Organic Pure Horny Goat Weed with Active Icariins for Men and Women, 100 Grams, Organic Epimedium Powder for Energy and Immune System Booster, Filler Free and Vegan Friendly</t>
  </si>
  <si>
    <t>B01L2TGSVM</t>
  </si>
  <si>
    <t>Pure Green Coffee Bean Extract, 4 Ounce, Filler Free with Natural Caffeine, Green Coffee Bean Fat Burn Supplement with 50% Chlorogenic Acid, Supports Metabolism and Weight Management, Vegan Friendly</t>
  </si>
  <si>
    <t>B074WGLHFM</t>
  </si>
  <si>
    <t>Blood Booster 60 Capsules</t>
  </si>
  <si>
    <t>B0F8XQDMXS</t>
  </si>
  <si>
    <t xml:space="preserve">Pure Methylated B Complex 2 Pack </t>
  </si>
  <si>
    <t>B0FMC1W6ZH</t>
  </si>
  <si>
    <t>Micro Ingredients 2 Pack Liver Detox, 480 Capsules</t>
  </si>
  <si>
    <t>B0FMBVXBNV</t>
  </si>
  <si>
    <t>Micro Ingredients Organic Triphala Powder, 2 Pounds (Amla + Haritaki + Bibhitaki) | India Origin, Herbal Adaptogen Supplement, Supports Colon &amp; Immune Health | Vegan, No GMOS</t>
  </si>
  <si>
    <t>B01L2U1RHG</t>
  </si>
  <si>
    <t>Nattokinase 4,000 FU Equivalent 240 Softgels with MCT Oil</t>
  </si>
  <si>
    <t>B0F5MHP4Q8</t>
  </si>
  <si>
    <t>Organic Black Cumin Seed (Nigella Sativa), 2lbs | Premium Grade Whole Black Seed from Egypt | Rich in Healthy Black Seed Oil | Raw Seeds for Baking, Seasoning, and Cooking | Non-GMO</t>
  </si>
  <si>
    <t>B0CG7S11B6</t>
  </si>
  <si>
    <t>Organic Milk Thistle Extract, 3.5 Ounces, Pure Milk Thistle Powder Organic, Milk Thistle Tea, Contains 80% Active Silymarin, Strongly Supports Liver Health and Antioxidant, Vegan Friendly</t>
  </si>
  <si>
    <t>B01L2TGS30</t>
  </si>
  <si>
    <t>Women’s Probiotics 40 strains 100 bullion CFU</t>
  </si>
  <si>
    <t>B0DW1K3367</t>
  </si>
  <si>
    <t>Pure L-Theanine Powder, 100 Grams (1 Year Supply), Filler Free, No GMOs and Vegan Friendly</t>
  </si>
  <si>
    <t>B01DPW5F5O</t>
  </si>
  <si>
    <t>Micro Ingredients Organic Chaga Mushroom Extract 100:1 Powder, 6 Ounce | Sustainably Maine Grown, Wild Harvest, Chaga Tea, Superfood for Beverage and Smoothie, Vegan Friendly</t>
  </si>
  <si>
    <t>B07CY1LGVZ</t>
  </si>
  <si>
    <t>Micro Ingredients Sustainably US Grown, Organic Spinach Powder, 1 Pound, Freeze Dried from Whole Leaf, Rich in Beneficial Thylakoids and Chlorophyll, Contains Multivitamins, Non-GMO, Vegan Friendly</t>
  </si>
  <si>
    <t>B07WH4DXVX</t>
  </si>
  <si>
    <t>Pure L Citrulline Malate 2:1 Powder, 500 Grams, Filler Free, Vegan Citrulline Supplement and Citrulline Nitrate, Supports Muscle Performance, Endurance and Strength, Unflavored, Dissolve Easily</t>
  </si>
  <si>
    <t>B01HFOBO7Q</t>
  </si>
  <si>
    <t>Double Strength Yohimbine Supplements for Men and Women, 10mg Per Serving, 300 Softgels, Yohimbine HCL with Virgin Sunflower Seed Oil for Better Absorption, Supports Energy Production, African Raw</t>
  </si>
  <si>
    <t>B08MX72C55</t>
  </si>
  <si>
    <t>CoQ10 100mg with MCT Oil</t>
  </si>
  <si>
    <t>B0DK69D35M</t>
  </si>
  <si>
    <t>Organic Collagen Peptides Powder 12oz</t>
  </si>
  <si>
    <t>B0D3SH3DVW</t>
  </si>
  <si>
    <t>Organic Amla Powder (Amalaki) | 32oz, India Origin Gooseberry Powder | Rich in Vitamin C, Antioxidants, Supports Immune, Digestive &amp; Skin Health, Non-GMO, Vegan &amp; Keto Friendly</t>
  </si>
  <si>
    <t>B06XKYNFY1</t>
  </si>
  <si>
    <t>Beef Gelatin Powder | Grass Fed, 2lbs | Unflavored Thickening Agent, Pasture Raised Source, Rich in Natural Protein | Great for Cooking &amp; Baking | Non-GMO</t>
  </si>
  <si>
    <t>B0C35DQQM9</t>
  </si>
  <si>
    <t>Organic Dandelion Root Powder 8oz</t>
  </si>
  <si>
    <t>B0D2S4DZ7L</t>
  </si>
  <si>
    <t xml:space="preserve">Organic Instant Coffee 1lb </t>
  </si>
  <si>
    <t>B0DGSDQ2XG</t>
  </si>
  <si>
    <t>Creatine Monohydrate Powder 1 kg (2.2 Lbs), 5000mg Per Serv, Micronized Creatine Powder, Unflavored, Pure, No Filler, Keto &amp; Vegan Friendly, Easy Dissolve Pre Workout Creatine for Women and Men</t>
  </si>
  <si>
    <t>B09YFHGK3F</t>
  </si>
  <si>
    <t>Organic French Chicory Root, 2lbs | Roasted Chicory Granule for Chicory Coffee | Brews like Regular Coffee | Caffeine Free Coffee Substitute | Rich in Prebiotic Fiber | Non-GMO</t>
  </si>
  <si>
    <t>B0CG7VSS1Z</t>
  </si>
  <si>
    <t>Micro Ingredients L Citrulline Capsules, 1500mg Per Serving, 360 Counts, Citrulline Pre-Workout Supplement, Non-GMO</t>
  </si>
  <si>
    <t>B08N3BG2SR</t>
  </si>
  <si>
    <t>Organic Goji Powder, Freeze Dried Goji Berry Powder, 1 Pound (16 Ounce), Sulfate Free, Pure Goji Supplement, Natural Booster for Energy, Eye Health, and Super Immune Vitamin C for Antioxidant, Non-GMO</t>
  </si>
  <si>
    <t>B06XKJQVZ8</t>
  </si>
  <si>
    <t>Fadogia Agrestis 600mg Per Serving, 50:1 Extract Powder, 4 Ounce, Highly Purified and Bioavailable, USA Third Party Tested, Maximum Strength, No Filler, No Additives, Non-GMO &amp; No Gluten</t>
  </si>
  <si>
    <t>B0B22T88RH</t>
  </si>
  <si>
    <t>Pure Organic Stevia Powder, 4 Ounces, 706 Serving, Highest Grade Stevia Green Leaf Extract Reb-A, Reduced Bitter Aftertaste, 0 Calorie, Natural Sweetener, Sugar Alternative, Keto Friendly</t>
  </si>
  <si>
    <t>B01DPW5GRG</t>
  </si>
  <si>
    <t>2 Pack of Pure USDA Organic Acerola Cherry Powder, Natural and Organic Vitamin C for Immune System, 8 Ounce, No GMO, No Gluten, Brazil Origin</t>
  </si>
  <si>
    <t>B01L2TGTK2</t>
  </si>
  <si>
    <t xml:space="preserve">Vitality Fiber Prebiotic Powder 1lb </t>
  </si>
  <si>
    <t>B0DK69WWNQ</t>
  </si>
  <si>
    <t>Electrolyte Powder 1lb</t>
  </si>
  <si>
    <t>B0CS4VV8MD</t>
  </si>
  <si>
    <t xml:space="preserve">Myo &amp; D-Chiro Inositol Powder 1lb </t>
  </si>
  <si>
    <t>B0DGRG846L</t>
  </si>
  <si>
    <t>Organic Turkey Tail Mushroom Powder (50:1 Extract), 8 Ounce | Sustainably US Grown, Freeze Dried with Active Polysaccharides, Supports Immune Response &amp; Cellular Level, Pet Friendly</t>
  </si>
  <si>
    <t>B07P2BWC78</t>
  </si>
  <si>
    <t>Micro Ingredients Tongkat Ali Extract 200:1 (Longjack) Powder, 100 Grams, Grown in Indonesia, 100% Pure Eurycoma Longifolia Root Extract, Bitter Taste - No Filler, No Additive, Non-GMO</t>
  </si>
  <si>
    <t>B01L2TFQHY</t>
  </si>
  <si>
    <t>Micro Ingredients Ground Cayenne Pepper Powder Bulk, 6 Pounds - 60,000 Heat Units, Spicy and Filler Free, Garden Protection from Wildlife, No Gluten, No GMOs, Vegan Friendly</t>
  </si>
  <si>
    <t>B08TB8F5LL</t>
  </si>
  <si>
    <t>Vitamin D3 5000 iu Plus K2 (MK-7) 100 mcg, 300 Virgin Coconut Oil Softgels | 2 in 1 Vitamins D &amp; K Complex | Supports Calcium Absorption, Bone, Immune, &amp; Heart Health – Easy to Swallow</t>
  </si>
  <si>
    <t>B0CG7M9HWP</t>
  </si>
  <si>
    <t>Organic Fortified Nutritional Yeast Flakes, 2LB | Rich in Vegan Protein, B Vitamins, &amp; Beta-Glucans | Keto Friendly, Dairy Free Cheese Substitute, Non-GMO, Gluten Free</t>
  </si>
  <si>
    <t>B0C35PK9GJ</t>
  </si>
  <si>
    <t>Organic Chlorella Tablets, 500mg Per Tablet, 720 Tabs (360 Grams), 4 Months Supply, Broken Cell Wall, Rich in Vegan Protein &amp; Vitamins, No Filler, No Additives &amp; Non-GMO | Pure Green Algae Superfood</t>
  </si>
  <si>
    <t>B01FMWFG86</t>
  </si>
  <si>
    <t>Organic Tomato Powder 2lb</t>
  </si>
  <si>
    <t>B0CLFZXMRB</t>
  </si>
  <si>
    <t>Liposomal Vitamin C 2500mg</t>
  </si>
  <si>
    <t>B0DW142NNT</t>
  </si>
  <si>
    <t>Sustainably US Grown, Organic Shiitake Mushrooms Powder, 8 Ounce, Made from The Finest Dried Shiitake Mushroom, Stronger Umami Flavor Than Fresh Mushrooms, Great for Sauce, Soup and Pasta</t>
  </si>
  <si>
    <t>B08PXYB6RH</t>
  </si>
  <si>
    <t>Allulose Sweetener, 3 Pounds (48 Ounces), Zero Calorie, Plant Based Sugar Alternative, No After Taste, Best for Coffee, Drinks, Tea, Cooking and Baking, Keto Diet and Vegan Friendly</t>
  </si>
  <si>
    <t>B08PY5ZJTX</t>
  </si>
  <si>
    <t>Micro Ingredients Antarctic Krill Oil Supplement, 1000mg Per Serving, 300 Soft-Gels, Rich in Omega-3s EPA, DHA &amp; Natural Astaxanthin, Supports Immune System &amp; Brain Health, Easy to Swallow</t>
  </si>
  <si>
    <t>B01JNNAN4C</t>
  </si>
  <si>
    <t>Organic Mega 10 Mushroom Powder 5oz</t>
  </si>
  <si>
    <t>B0D2S5M4DK</t>
  </si>
  <si>
    <t>Micro Ingredients Antarctic Krill Oil Supplement, 2,000mg Per Serving, 240 Softgels, Triple Strength, Rich in Omega-3s EPA, DHA &amp; Natural Astaxanthin, Supports Immune System &amp; Brain Health</t>
  </si>
  <si>
    <t>B0C35GYDV3</t>
  </si>
  <si>
    <t>Sustainably US Grown, Organic Cordyceps Mushroom Extract Powder 100:1 | 6 Ounce, 30% Polysaccharides and Cordycepic Acid, From Fruit Body and Mycelium, Supports Energy &amp; Immune Health</t>
  </si>
  <si>
    <t>B074WL37DN</t>
  </si>
  <si>
    <t>Pure Organic Stevia Powder, 1lb</t>
  </si>
  <si>
    <t>B0D2LYMLJT</t>
  </si>
  <si>
    <t>Micro Ingredients Sustainably US Grown, Organic Reishi Mushroom Powder, 8 Ounce, Pure Reishi Supplement 100:1 Extract (Reishi Mushroom)</t>
  </si>
  <si>
    <t>B01JNNAQVW</t>
  </si>
  <si>
    <t>Organic Arrowroot Powder, 5lbs | Food Grade, All Purpose Flour, Corn Starch Substitute</t>
  </si>
  <si>
    <t>B0CLFXD4XS</t>
  </si>
  <si>
    <t>Organic Barley Grass Powder, 16 Ounces | US Grown | Rich in Vitamins, Minerals, Fibers, &amp; Antioxidants | Superfood Greens Mix for Immune Health and Digestion Support | Non-GMO</t>
  </si>
  <si>
    <t>B01NCTM200</t>
  </si>
  <si>
    <t xml:space="preserve">Pure Vitamin C 2000mg vegetarian capsules 240 count </t>
  </si>
  <si>
    <t>B0F3GV9QWR</t>
  </si>
  <si>
    <t xml:space="preserve">Mega Omega-3 Krill &amp; Fish Oil 2000mg (350mg EPA + 230mg DHA) Complex Softgels 240 count </t>
  </si>
  <si>
    <t>B0F4HPY7D5</t>
  </si>
  <si>
    <t>Micro Ingredients Organic Spirulina Supplement, 3000MG Per Serving, 720 Tablets (4 Month Supply), No Filler &amp; Non-GMO, Rich in Vegan Protein, Vitamins &amp; Prebiotics, Premium Spirulina Pills Organic</t>
  </si>
  <si>
    <t>B01DPW5DC4</t>
  </si>
  <si>
    <t>Pure Inositol Powder, Myo-Inositol B8 Powder, 1KG (2.2 Pounds), Strongly Supports Liver Health &amp; Antioxidant, Super Inositol for Hair and Inositol for Sleep, Non-GMO and Vegan Friendly</t>
  </si>
  <si>
    <t>B01DPW5E46</t>
  </si>
  <si>
    <t>Organic Celery Juice Powder, 20 Ounce (1.25 Pound), 71 Serving, Celery Detox and Cold Pressed, Boosts Immune System, Energy and Supports Gut Health, Rich in Immune Vitamin C and Minerals, Vegan</t>
  </si>
  <si>
    <t>B0846SDQZG</t>
  </si>
  <si>
    <t>Organic Daily Prebiotic Dietary Fiber Supplement Powder, (Inulin Fiber from Chicory Root), 10 Ounce, Highly Promote Intestinal Colon, Gut Health and Digestive Function, Vegan Friendly</t>
  </si>
  <si>
    <t>B07P3GKXKK</t>
  </si>
  <si>
    <t>Biotin 5000mcg with coconut oil</t>
  </si>
  <si>
    <t>B0DK64NZS8</t>
  </si>
  <si>
    <t>Sustainably Canada Grown, Organic Blueberry Extract 50:1 Concentrated Powder, 6 Ounce, Wild Grown and Freeze Dried, Natural Flavor for Beverage, Smoothie and Baking, No GMOs</t>
  </si>
  <si>
    <t>B07CY1TLH2</t>
  </si>
  <si>
    <t>Micro Ingredients Water Soluble COQ10 Supplement (COQ10 200mg Per Serving in Powder Form), 50 Grams (8 Months Supply), Extra Absorption, Support Heart Health and Energy Production, Vegan Friendly</t>
  </si>
  <si>
    <t>B07RH9L848</t>
  </si>
  <si>
    <t>Lutein &amp; Zeaxanthin 20mg Softgels, 400 Coun</t>
  </si>
  <si>
    <t>B0CVTTDTP9</t>
  </si>
  <si>
    <t>Vitamin D3 50,000 IU Plus K2 (MK-7) 200 mcg, 240 Virgin Coconut Oil Softgels | 2 in 1 Vitamins D &amp; K Complex | Supports Calcium Absorption, Bone, Immune, &amp; Heart Health | Easy to Swallow</t>
  </si>
  <si>
    <t>B0C35N273V</t>
  </si>
  <si>
    <t xml:space="preserve">Organic Butterfly Pea Powder 8oz </t>
  </si>
  <si>
    <t>B0D3ST21FG</t>
  </si>
  <si>
    <t>Psyllium Husk 500mg capsules 500 count</t>
  </si>
  <si>
    <t>B0DF425DGX</t>
  </si>
  <si>
    <t>Agar Agar Powder, 1lb | Vegan Substitute for Beef Gelatin, Unflavored Thickening Agent, Plant Based Red Algae | Great for Desserts or Baked Plates | Non-GMO, Sugar Free</t>
  </si>
  <si>
    <t>B0C35H321V</t>
  </si>
  <si>
    <t>Sustainably US Grown, Organic Freeze Dried Raspberry Juice Powder, 8 Ounce, Contains Immune Vitamin C for Immune System Booster, Rich in Raspberry Ketones, Fatty Acids, Minerals and Antioxidant, Vegan</t>
  </si>
  <si>
    <t>B07L466GW8</t>
  </si>
  <si>
    <t xml:space="preserve">Organic Instant Mushroom Coffee 14oz </t>
  </si>
  <si>
    <t>B0CWN8C5KR</t>
  </si>
  <si>
    <t>Monk Fruit Sweetener with Erythritol Granules, 4 Pounds, No After Taste, 1:1 White Sugar Substitute, Keto Diet Friendly, Zero Calorie, Natural Sweetener for Drinks, Coffee, Tea, Cookies, No-GMO, Vegan</t>
  </si>
  <si>
    <t>B07X4BL4GC</t>
  </si>
  <si>
    <t>Turmeric Extract 95% Curcuminoids (Natural Turmeric Extract and Turmeric Supplements), 100 Grams, Rich in Antioxidants for Joint &amp; Immune Support, No GMOs, Vegan Friendly, India Origin</t>
  </si>
  <si>
    <t>B01JNPEPOE</t>
  </si>
  <si>
    <t xml:space="preserve">Glycine 2000mg 240 count </t>
  </si>
  <si>
    <t>B0DW1BXPMV</t>
  </si>
  <si>
    <t>Micro Ingredients Sustainably US Grown, Organic Wheat Grass Powder (100% Whole-Leaf), 16 Ounce, Rich in Immune Vitamins, Fibers and Minerals, Support Digestion Function, Vegan Friendly</t>
  </si>
  <si>
    <t>B01NH4ZI46</t>
  </si>
  <si>
    <t>Sustainably US Grown, Organic Cranberry Juice Powder (Wild Cranberry Supplements Cold Pressed), 8 Ounce, Enhance Urinary Tract Cleanse &amp; Prostate Health, Water Soluble and Pet Friendly</t>
  </si>
  <si>
    <t>B07G3L5SX7</t>
  </si>
  <si>
    <t>Magnesium Oxide 400mg</t>
  </si>
  <si>
    <t>B0DDWD83GF</t>
  </si>
  <si>
    <t>Organic Turmeric Powder 5lb</t>
  </si>
  <si>
    <t>B0DGYLR7W1</t>
  </si>
  <si>
    <t>Micro Ingredients Organic Tart Cherry Powder, 4 Ounce, Sustainably US Grown, Uric Acid Cleanse, Antioxidant and Flavonoids, Enhance Joint Health, Sleep Cycles &amp; Immune System</t>
  </si>
  <si>
    <t>B07G3KLNM7</t>
  </si>
  <si>
    <t>Organic Freeze-Dried Dragon Fruit Powder (Pink Pitaya/Pitahaya), 10 Ounce, Perfect for Shakes, Baking &amp; Smoothie, Non-GMO, No Gluten, Vegan Friendly</t>
  </si>
  <si>
    <t>B07P4M1YGN</t>
  </si>
  <si>
    <t>Sustainably US Grown, Organic Saw Palmetto Powder, 4 Ounce, with Active Fatty Acid, Pure Saw Palmetto Prostate &amp; Hair Growth Supplement, Healthy Urination Frequency &amp; Hair Loss Blocker Supplement</t>
  </si>
  <si>
    <t>B07WLMT9FS</t>
  </si>
  <si>
    <t>Organic Dried Lavender Flowers, 2lbs | Raw from France, Extra Grade Loose Lavender Buds | Great for Herbal Tea or Culinary Baking | Rich in Antioxidants &amp; Essential Oil | Non-GMO</t>
  </si>
  <si>
    <t>B07YQCX5WR</t>
  </si>
  <si>
    <t>North America Grown, Organic Pea Protein Powder, 1KG (2.2 Pounds), Plant-Based Vegan Protein Organic, Rich in Branched Chain Amino Acids, Flavonoids and Minerals, No GMOs &amp; Vegan Friendly</t>
  </si>
  <si>
    <t>B01DWUEQ7C</t>
  </si>
  <si>
    <t>Magnesium Glycinate Powder 12oz</t>
  </si>
  <si>
    <t>B0DG3QT3M2</t>
  </si>
  <si>
    <t>Vegan Omega-7 Sea Buckthorn Oil 6000mg</t>
  </si>
  <si>
    <t>B0DS6MT295</t>
  </si>
  <si>
    <t>Organic Dried Red Raspberry Leaf, 2lbs | Raw from Germany, Cut &amp; Sifted Whole Leaves | Makes Traditional Herbal Tea | Great for Refilling Tea Bags | Non-GMO, Vegan, Gluten Free</t>
  </si>
  <si>
    <t>B07YQBYZ75</t>
  </si>
  <si>
    <t>Magnesium Glycinate 400mg</t>
  </si>
  <si>
    <t>B0DGRNP1ZL</t>
  </si>
  <si>
    <t>Organic 10 in 1 Ground Mushroom Coffee Powder, 24 Ounce | Premium Arabica Coffee with Lion’s Mane, Chaga, Reishi, &amp; More | Smooth Medium Roast, Clean Energy, &amp; Immune Support</t>
  </si>
  <si>
    <t>B0C9PNDL22</t>
  </si>
  <si>
    <t>Pure Magnesium Flakes, 6lbs | Great for Foot &amp; Body Bath Soaks | Natural Magnesium Chloride Minerals | Better Absorption Over Epsom Salt | Relaxation &amp; Skin Hydration Support</t>
  </si>
  <si>
    <t>B0C9PGM325</t>
  </si>
  <si>
    <t>Micro Ingredients Organic Chlorella Powder, 20 Ounces | Broken Cell Wall for Complete Absorption | Raw Superfood Supplement, Rich in Protein &amp; Vitamins | Non-GMO, Vegan, Non-Irradiated</t>
  </si>
  <si>
    <t>B01NCTZSPF</t>
  </si>
  <si>
    <t>2 Pack Pure Turmeric Curcumin</t>
  </si>
  <si>
    <t>B0FBP4NMKK</t>
  </si>
  <si>
    <t>Micro Ingredients Organic Barley Grass Juice Powder, 10 Ounce, Cold Pressed, US Grown, Rich in Immune Vitamin, Fibers, Minerals, Antioxidants and Protein, Support Immune System and Digestion, Vegan</t>
  </si>
  <si>
    <t>B01MT7T5XX</t>
  </si>
  <si>
    <t>Calcium 1200mg with Vitamin D3K2 1000IU</t>
  </si>
  <si>
    <t>B0DDWNT45S</t>
  </si>
  <si>
    <t xml:space="preserve">Maca Root Complex 5000mg </t>
  </si>
  <si>
    <t>B0DW1M7VQK</t>
  </si>
  <si>
    <t>Micro Ingredients Organic Acacia Senegal Powder, 2 Pounds (32 Ounce), Instant Soluble Fiber Powder, Plant-Based Prebiotic Superfood for Gut Health, Non-GMO, No Gluten, Vegan</t>
  </si>
  <si>
    <t>B09NQVBGQK</t>
  </si>
  <si>
    <t>Berberine 3000mg vegetarian capsules 240 count</t>
  </si>
  <si>
    <t>B0DW192P2Z</t>
  </si>
  <si>
    <t>Micro Ingredients Organic Rhodiola Rosea Root Extract, 50g Powder | Adaptogenic Herb Based Supplement with Active Rosavins &amp; Salidrosides | Supports Energy &amp; Relaxation | No GMOs, Filler Free</t>
  </si>
  <si>
    <t>B01DPW5LN0</t>
  </si>
  <si>
    <t>Organic Black Seed Oil Bottle 16 fl oz (473mL)</t>
  </si>
  <si>
    <t>B0CVR6MX33</t>
  </si>
  <si>
    <t xml:space="preserve">Hyaluronic Acid Powder 50g </t>
  </si>
  <si>
    <t>B0F3BH66BZ</t>
  </si>
  <si>
    <t>Organic Strawberry Freeze Dried Powder, 12 Ounce (56 Serving), Strawberry Powder for Baking, Best Super Foods for Smoothie &amp; Beverage Blend, Non-GMO, Vegan</t>
  </si>
  <si>
    <t>B07CXZBRZP</t>
  </si>
  <si>
    <t xml:space="preserve">2pack Multi-Collagen Complex Capsules 240 count </t>
  </si>
  <si>
    <t>B0F6ZJ1NXP</t>
  </si>
  <si>
    <t xml:space="preserve">Glucosamine Chondroitin 4000mg </t>
  </si>
  <si>
    <t>B0DK683WHV</t>
  </si>
  <si>
    <t xml:space="preserve">Organic Ceremonial Matcha Powder 100g </t>
  </si>
  <si>
    <t>B0F3GD9TWT</t>
  </si>
  <si>
    <t xml:space="preserve">Green Tea 9000mg capsules 300 count </t>
  </si>
  <si>
    <t>B0DVMFPFJ1</t>
  </si>
  <si>
    <t>Micro Ingredients Organic Pineapple Powder, 8 Ounce, Freeze Dried, Rich in Bromelain and Immune Vitamin C for Immune System Booster, Great Flavor for Drinks, Baking and Cooking, Non-GMO</t>
  </si>
  <si>
    <t>B07W9B5K1R</t>
  </si>
  <si>
    <t>Micro Ingredients Black Seed Oil 2000 mg with Vitamin D3 1000 IU, 240 Softgels | Cold Pressed - Nigella Sativa Pills from Egypt, Virgin Oil, Odorless, Non-GMO &amp; No Gluten</t>
  </si>
  <si>
    <t>B08TB8VX8P</t>
  </si>
  <si>
    <t xml:space="preserve">Turmeric Curcumin 3000mg with MCT Oil </t>
  </si>
  <si>
    <t>B0DK66NCWL</t>
  </si>
  <si>
    <t>Organic Freeze-Dried Acai Powder 8oz, Sustainably Grown in Brazilian Amazon, 100% Pure Berry Pulp, Raw, Bulk, No Filler, No additives, Great for Acai Bowls, Yogurt, Smoothies, and More</t>
  </si>
  <si>
    <t>B09TG36LYR</t>
  </si>
  <si>
    <t>Glutathione reduced 1000mg</t>
  </si>
  <si>
    <t>B0DWD6PXP2</t>
  </si>
  <si>
    <t>Pure Saffron Extract 88.5mg</t>
  </si>
  <si>
    <t>B0DWDGKDMC</t>
  </si>
  <si>
    <t>Pure D Ribose Powder, 1 KG (2.2 Pound and 200 Servings), Natural Simple Sugar, Dissolves Clear, Pharmaceutical Grade, Filler Free, No GMOs, No Gluten. and Water Soluble</t>
  </si>
  <si>
    <t>B01JNFGDUI</t>
  </si>
  <si>
    <t>Organic Blue Spirulina Powder (Phycocyanin Extract), 50 Servings - No Fishy Smell, 100% Vegan Protein from Blue-Green Algae, Natural Luminous Blue Food Coloring for Smoothies, Baking, Drinks &amp; Cooking</t>
  </si>
  <si>
    <t>B0B2379WMW</t>
  </si>
  <si>
    <t>Instant Bovine Colostrum Powder 8oz</t>
  </si>
  <si>
    <t>B0D3SNSJ47</t>
  </si>
  <si>
    <t>Xanthan Gum Powder 2lb - Premium Food Grade for Cooking, Keto Baking, Thickening Soups &amp; Sauces, Dressings, Vegan Friendly, Non-GMO, Gluten Free</t>
  </si>
  <si>
    <t>B0BXY6BMHQ</t>
  </si>
  <si>
    <t>Micro Ingredients Organic Beet Root Juice Powder, 1 Pound -Superfood Drink Mix | Non-GMO</t>
  </si>
  <si>
    <t>B01N32M7BR</t>
  </si>
  <si>
    <t>Sustainably US Grown, Organic Mega Mushroom 10 in 1 Complex Formula Powder for Immune System Booster, 10 Ounce (284 Days Supply), Chaga, Lions Mane, Cordyceps, Reishi &amp; More, Filler Free, Vegan</t>
  </si>
  <si>
    <t>B07RG8MMXW</t>
  </si>
  <si>
    <t>Electrolyte Powder Pineapple Flavor 2lb</t>
  </si>
  <si>
    <t>B0D3T8WHH4</t>
  </si>
  <si>
    <t>Hyaluronic Acid Serum Powder, High Molecular Weight, Cosmetics Grade, 30 Gram, Support Hydration and Moisture, Water Soluble (Within 2 Hours), Vegan Friendly</t>
  </si>
  <si>
    <t>B01DPW5C5W</t>
  </si>
  <si>
    <t>Organic Ceylon Cinnamon Powder 1lb</t>
  </si>
  <si>
    <t>B0D2S665WK</t>
  </si>
  <si>
    <t>Organic Chlorella Spirulina Tablets, 3000mg Per Serving, 720 Counts, 4 Months Supply, 50/50 Blend Superfood, No Filler, No Additives, Cracked Cell Wall, Rich in Vegan Protein &amp; Chlorophyll</t>
  </si>
  <si>
    <t>B01DPW5JSW</t>
  </si>
  <si>
    <t>Organic Hibiscus Tea Bags, 200 Count | Caffeine Free, Loose Leaf Flower Source | Eco-Friendly Hemp Paper Bags | Great for Iced or Hot Brewed Tea | Non-GMO, No Sugar</t>
  </si>
  <si>
    <t>B0C35TKL3M</t>
  </si>
  <si>
    <t>Goat Milk Powder, 2lbs | Grass Fed Source, Australian Farm Derived, Unadulterated Formula, Easily Digested | Rich in Protein, Calcium, &amp; Probiotics | Non-GMO, Gluten Free, Pet Friendly</t>
  </si>
  <si>
    <t>B0BXYDSGC4</t>
  </si>
  <si>
    <t>Organic Goji Berries 2lbs, Large Whole Sun-Dried Berries | Sulfate Free, Natural Antioxidant | Raw Superfood Berry for Energy, Eye, &amp; Immune Health | Non-GMO</t>
  </si>
  <si>
    <t>B0BXYB91BJ</t>
  </si>
  <si>
    <t>Organic Hibiscus Flowers, 2lbs | Loose Leaf Flower Source for Tea Bags | Cut &amp; Sifted Dried Leaves | Great for Iced or Hot Brewed Herbal Tea | Caffeine Free, Non-GMO, No Sugar</t>
  </si>
  <si>
    <t>B0C9PGR822</t>
  </si>
  <si>
    <t>Organic Freeze Dried Strawberries Sliced, 6.4oz | Fresh Raw Fruit Slices, Great Healthy Snacks or as a Garnish for Chocolate, Shortcake, and Smoothies | Non-GMO, 0 Sugar Added</t>
  </si>
  <si>
    <t>B0C9PLML31</t>
  </si>
  <si>
    <t>Organic Inulin FOS Powder (Jerusalem Artichoke), 2.2 Pounds (35 Ounce), Quick Water Soluble, Prebiotic Intestinal Support for Colon and Gut Health, Natural Fibers for Smoothie &amp; Drinks, Vegan Friendly</t>
  </si>
  <si>
    <t>B074WKCPS4</t>
  </si>
  <si>
    <t>Micro Ingredients Oil of Oregano Softgels 6000mg Per Serving, 300 Count | with Black Seed Oil, 4X Strength Carvacrol &amp; Thymoquinone | Plant Based, Non-GMO | Antioxidant &amp; Immune Support</t>
  </si>
  <si>
    <t>B0BXYKQBDC</t>
  </si>
  <si>
    <t>Natural Astaxanthin 12mg, 90 Softgels, 3 Month Supply, Premium Astaxanthin Supplements (MicroAlgae), Supports Eye, Joint, Internal Circulation Health and Antioxidant, Easy to Swallow</t>
  </si>
  <si>
    <t>B08MWZQ4S6</t>
  </si>
  <si>
    <t xml:space="preserve">Pure Turmeric Curcumin 95% 1000mg </t>
  </si>
  <si>
    <t>B0DS6LCFRH</t>
  </si>
  <si>
    <t xml:space="preserve">Ceylon Cinnamon 600mg  300 count </t>
  </si>
  <si>
    <t>B0F5RHY51V</t>
  </si>
  <si>
    <t>Total Unit</t>
  </si>
  <si>
    <t>Diff Unit</t>
  </si>
  <si>
    <t>Total Spend</t>
  </si>
  <si>
    <t>Total Ad Sales</t>
  </si>
  <si>
    <t>Total Diff</t>
  </si>
  <si>
    <t>ACOS</t>
  </si>
  <si>
    <t>Tcos</t>
  </si>
  <si>
    <t>November</t>
  </si>
  <si>
    <t>CL</t>
  </si>
  <si>
    <t>HL</t>
  </si>
  <si>
    <t>GP</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</si>
  <si>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</si>
  <si>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</si>
  <si>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</si>
  <si>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Creatine Monohydrate Jar 1kg</t>
  </si>
  <si>
    <t>B0DJWVMRR9</t>
  </si>
  <si>
    <t>Magnesium Complex Supplement 500mg, 300 Capsules | 10 Active Forms – Glycinate, Citrate, Taurate, Plus More | 100% Chelated &amp; Purified | Bone, Heart, &amp; Muscle Support | Non-GMO</t>
  </si>
  <si>
    <t>B0C2SLBPRK</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</si>
  <si>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</si>
  <si>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</si>
  <si>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</si>
  <si>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</si>
  <si>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</si>
  <si>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</si>
  <si>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</si>
  <si>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CoQ10 (Ubiquinone) 400mg with Omega 3 Fatty Acids, 240 Capsules | Stable High Absorption Form – Antioxidant Support for Heart &amp; Energy Health – Extra Strength Coenzyme Q10 Supplement</t>
  </si>
  <si>
    <t>B0BSP5GTMQ</t>
  </si>
  <si>
    <t>Liver Cleanse Detox &amp; Repair Supplement, 240 Veggie Capsules</t>
  </si>
  <si>
    <t>B0CWN5QQ8V</t>
  </si>
  <si>
    <t>8月份重新拿回BS銷量上升, 穩定50-60間, 但廣告一般, acos接近30, 嘗試縮減一點廣告花費, PT預算下調到30, TOP KW下調到50, 8月份漲價到21.99, 調整KW詞的結構, PT關掉一些轉化差的競品還有MI的Detox</t>
  </si>
  <si>
    <t>Berberine Supplement 500mg | 300 Veggie Capsules, 97% Pure Berberine HCL, 5:1 Root Extract – Healthy Glucose Metabolism &amp; Immune Support – Plant Based, Vegan, Non-GMO</t>
  </si>
  <si>
    <t>B0C7FF131K</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</si>
  <si>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</si>
  <si>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</si>
  <si>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</si>
  <si>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Allulose Sweetener 5lb</t>
  </si>
  <si>
    <t>B0DDCVSPP5</t>
  </si>
  <si>
    <t>銷量穩定40-50間偶爾會有採購, 廣告費約1.6/unit, KW Rest下調到20, PT關了自己品牌的產品, 多給其他競品預算跑, 上提TOP到100</t>
  </si>
  <si>
    <t>NatureBell Ceylon Cinnamon 1800mg Per Serving, 180 Capsules, Made with Organic Sri Lanka Ceylon Cinnamon and Bitter Melon, 2 in 1 Support, Non-GMO, No Gluten</t>
  </si>
  <si>
    <t>B07MTVDV6Y</t>
  </si>
  <si>
    <t>產品回歸, 廣告開始能花, 廣告費差不多1.6/unit, AUTO Neg產品, 調整廣告結構TOP/Rest改成40/20, PT預算縮減成30, 結構調整成TOP/Rest 90/20, 給點Rest跑中部流量, PT主要打打兩個流量大競品Nutriflar, Nutra Harmony, KW三個Placement轉化都好, 上提Rest到30, 補中部詞,</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</si>
  <si>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</si>
  <si>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</si>
  <si>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</si>
  <si>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 xml:space="preserve">Psyllium Husk 2000mg capsules 360 counts </t>
  </si>
  <si>
    <t>B0F11QQ8ND</t>
  </si>
  <si>
    <t xml:space="preserve">Multi Collagen Complex capsules 300 count </t>
  </si>
  <si>
    <t>B0F11WDDHF</t>
  </si>
  <si>
    <t>Magnesium Complex 400mg Supplement, 300 Capsules | Magnesium Glycinate + Citrate Elemental Forms – Essential Minerals for Heart, Muscle, &amp; Digestion Support – Non-GMO &amp; No Gluten</t>
  </si>
  <si>
    <t>B0BSP3CD3N</t>
  </si>
  <si>
    <t>Vitamin B Complex for Women, 240 Veggie Capsules</t>
  </si>
  <si>
    <t>B0CMK1YPQN</t>
  </si>
  <si>
    <t>NatureBell DHEA 100mg, 240 Capsules | Extra Strength, Micronized Grade for Better Absorption, Supports Energy Level, Metabolism and Healthy Aging for Men and Women, No GMOs and Made in U.S.A</t>
  </si>
  <si>
    <t>B074Q2KK6Z</t>
  </si>
  <si>
    <t>NatureBell Astaxanthin 12mg, 240 Softgels, Made with Astax (Max Strength from MicroAlgae), Natural Antioxidant for Skin &amp; Eye Health – Non-GMO &amp; No Gluten, 4 Month Supply</t>
  </si>
  <si>
    <t>B0923B4XLX</t>
  </si>
  <si>
    <t>NatureBell Bromelain, 1,000mg Per Serving, 240 Veggie Capsules</t>
  </si>
  <si>
    <t>B0CMK9SWBJ</t>
  </si>
  <si>
    <t>NatureBell Magnesium Glycinate 400mg (Elemental), 270 Capsules – 100% Chelated for Max Absorption | Non-GMO &amp; No Gluten, Bioavailable Mineral Supplement for Muscle, Joint, Enzyme, &amp; Heart Health</t>
  </si>
  <si>
    <t>B0BJ198K28</t>
  </si>
  <si>
    <t>NatureBell Melatonin 20mg, 365 Fast Dissolve Tablets - Natural Strawberry Flavor - Vegetarian Chewable Lozenges for 1 Year Supply, High Potency | Non-GMO, No Gluten</t>
  </si>
  <si>
    <t>B0B92XZZPJ</t>
  </si>
  <si>
    <t>Methylated Multivitamin 240 Capsules</t>
  </si>
  <si>
    <t>B0FCW45JZF</t>
  </si>
  <si>
    <t xml:space="preserve">Potassium Citrate 99mg capsules 500 count </t>
  </si>
  <si>
    <t>B0DDCTG43B</t>
  </si>
  <si>
    <t>Magnesium Glycinate Supplement 1,000mg | 500mg Per Capsule, 240 Pills | 100% Chelated &amp; Purified – Non-GMO &amp; Gluten Free</t>
  </si>
  <si>
    <t>B0CFPG9M5K</t>
  </si>
  <si>
    <t>Valerian Root Complex 5000mg</t>
  </si>
  <si>
    <t>B0F11D462D</t>
  </si>
  <si>
    <t>NatureBell CoQ10 (Ubiquinone) 200mg with PQQ, 240 Veggie Capsules | Stable High Absorption Form – Antioxidant Support for Brain, Heart, &amp; Energy Health – Extra Strength Coenzyme Q10 Supplement</t>
  </si>
  <si>
    <t>B0CFPMHB25</t>
  </si>
  <si>
    <t>Citrus Bergamot 5000mg</t>
  </si>
  <si>
    <t>B0CFPBNWCF</t>
  </si>
  <si>
    <t xml:space="preserve">Probiotics+ 200 billion CFU 40 </t>
  </si>
  <si>
    <t>B0DDCWYPWR</t>
  </si>
  <si>
    <t xml:space="preserve">Electrolyte Powder Lemon &amp; Raspberry Flavor 500g </t>
  </si>
  <si>
    <t>B0CX3GYCNN</t>
  </si>
  <si>
    <t>High Potency Zinc Picolinate 100mg - 240 Capsules, Bioavailable Form of Zinc for Immune Support and Skin Health - Non-GMO and Gluten- Zinc Supplements</t>
  </si>
  <si>
    <t>B07VC1M3S3</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</si>
  <si>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</si>
  <si>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</si>
  <si>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</si>
  <si>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</si>
  <si>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NatureBell Moringa Oleifera 8000mg Per Serving | 240 Capsules, Made with Organic Moringa Leaf Powder, Non-GMO, Gluten Free, Superfood Antioxidant, Skin Health &amp; Immune Support</t>
  </si>
  <si>
    <t>B07MTTBMD1</t>
  </si>
  <si>
    <t>NatureBell Organic Myco Guardians 10 in 1 Mushroom Powder, 10oz | Fresh Superfood Mushrooms Complex – Lions Mane, Turkey Tail, 8 More | Immune Booster &amp; Brain Health Supplement | No Fillers</t>
  </si>
  <si>
    <t>B0C485JWYV</t>
  </si>
  <si>
    <t xml:space="preserve">Magnesium Citrate Calm Powder Jar 1lb </t>
  </si>
  <si>
    <t>B0FCVC7LKV</t>
  </si>
  <si>
    <t>NatureBell Psyllium Husk Powder, 3 Lbs(48 Oz), 9000mg Per Serving - Unflavored | No Fillers, No Additives, Gluten Free, Soluble Fiber, Great for Gut Health, Keto Baking, Mixing Shakes, Juices &amp; More</t>
  </si>
  <si>
    <t>B09ZPVMQ9F</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</si>
  <si>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</si>
  <si>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</si>
  <si>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</si>
  <si>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Lutein 40mg and Zeaxanthin 1,600mcg Per Serving, 360 Softgels | 4 in 1 with Omega-3s, Astaxanthin, &amp; Phospholipids – Marigold Flower Extract – Eye Antioxidant Vitamins – Non-GMO</t>
  </si>
  <si>
    <t>B0C2S5MC6J</t>
  </si>
  <si>
    <t>Vitamin D3 K2 (10,000 IU Vitamin D + 200mcg Vitamin K MK-7) 240 Softgels with Coconut Oil for Complete Absorption | Bone, Heart, Immune, &amp; Calcium Support | One a Day, Non-GMO</t>
  </si>
  <si>
    <t>B0C6WY48KJ</t>
  </si>
  <si>
    <t>Zinc Quercetin 1300mg with Vitamin D3 5000IU, 120 Capsules, 4 in 1 Formula, Zinc 50mg, Vitamin C 250mg, Vitamin D3 5000 IU - Advanced Immune Defense, Non-GMO</t>
  </si>
  <si>
    <t>B085WGFPYS</t>
  </si>
  <si>
    <t>Pregnenolone 100mg, 200 Capsules | 99%+ Purity, Micronized Grade for Higher Absorption, Plant Based – Hormone*, Cognitive, &amp; Immune Health Supplement – Non-GMO, Soy Free</t>
  </si>
  <si>
    <t>B087CMV1PD</t>
  </si>
  <si>
    <t>NatureBell 2 Pack Creatine Monohydrate Powder 500 Grams, 5000mg Per Serving, Pure Unflavored Creatine Powder - Micronized - Pre Workout | Keto | Vegan | Dissolves Easy | Filler Free</t>
  </si>
  <si>
    <t>B0BT2V8YK4</t>
  </si>
  <si>
    <t>NatureBell Biotin 10000mcg + Hyaluronic Acid 25mg | 250 Coconut Oil Softgels, Premium Biotin Vitamins for Hair Skin and Nails, Highly Purified and Bioavailable, Quick Release</t>
  </si>
  <si>
    <t>B0B34CDHNS</t>
  </si>
  <si>
    <t>Naturebell Ginkgo Biloba Extract 500mg Per Serving, 300 Capsules | GinkoVida | Extra Strength Ginko Biloba Supplement - Promote Memory, Focus and Brain Health</t>
  </si>
  <si>
    <t>B09F4ML3FF</t>
  </si>
  <si>
    <t>Omega 3 Fish Oil 4,200mg, 180 Burpless Softgels, Highly Purified EPA 1,200mg &amp; DHA 900mg | Lemon Flavored | Premium Wild Caught Fish from Deep Sea – Heart &amp; Brain Support – Mercury Free &amp; Non-GMO</t>
  </si>
  <si>
    <t>B0BSP4P38R</t>
  </si>
  <si>
    <t>Vitamin E 400iu</t>
  </si>
  <si>
    <t>B0CWKDYC5Q</t>
  </si>
  <si>
    <t>NatureBell Vitamin D3 5000 K2 (MK7) with Virgin Coconut Oil, 240 Softgels, 100mcg, 2 in 1 Support, Duo-Ack | 8 Months Supply | Third Party Tested, Non GMO &amp; No Gluten</t>
  </si>
  <si>
    <t>B09MJYVXX9</t>
  </si>
  <si>
    <t>Triple Complex Magnesium Supplement, 240 Capsules | Magnesium Glycinate 500mg with Citrate &amp; Malate | Chelated &amp; Purified | Bone, Heart, &amp; Muscle Support | Non-GMO</t>
  </si>
  <si>
    <t>B0CMK2Z12X</t>
  </si>
  <si>
    <t>Advanced Turkey Tail Quercetin Supplements, Turkey Tail (Coriolus Versicolor) with Quercetin 1100mg Per Serving, 180 Counts, 2 in 1 Formula, Immune System Booster, Daily Mushroom Mycelium Supplement</t>
  </si>
  <si>
    <t>B07YF52935</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</si>
  <si>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</si>
  <si>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</si>
  <si>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</si>
  <si>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</si>
  <si>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</si>
  <si>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L Tyrosine Supplement, 1,500mg Per Serving, 240 Capsules | Essential Amino Acids – Brain Health Support for Memory, Cognitive Health, and Mental Alertness – Non-GMO</t>
  </si>
  <si>
    <t>B08X6JSZ69</t>
  </si>
  <si>
    <t xml:space="preserve">Taurine 1000mg capsules 500 count </t>
  </si>
  <si>
    <t>B0D87LZF99</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</si>
  <si>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</si>
  <si>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</si>
  <si>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</si>
  <si>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Colostrum with probiotics Powder 12oz</t>
  </si>
  <si>
    <t>B0DJWWQVHC</t>
  </si>
  <si>
    <t>Benfotiamine 300mg with Thiamine 100mg Per Serving | 240 Veggie Capsules, Essential Vitamin B1 Benfotiamine Supplement, Bioavailable Fat &amp; Water Soluble Forms – Energy &amp; Nerve Support – Non-GMO</t>
  </si>
  <si>
    <t>B0C6YKYN2B</t>
  </si>
  <si>
    <t>Huperzine A 400mcg Per Serving, 180 Capsules, (Huperzine A Supplement), Supports Focus, Cognition, Memory and Learning Ability, Premium Brain Health Supplement, No GMOs</t>
  </si>
  <si>
    <t>B07BKSH9GW</t>
  </si>
  <si>
    <t>NatureBell L Tryptophan 1500mg with L Theanine 200mg, 300 Capsules | Active Free Form, Plant Based Supplement – Calm Formula, Supports Relaxation – Non-GMO &amp; No Gluten</t>
  </si>
  <si>
    <t>B07V8LRWZK</t>
  </si>
  <si>
    <t>CoQ10 (Ubiquinone) 300mg with Omega 3 Fatty Acids, 240 Capsules</t>
  </si>
  <si>
    <t>B0CMK3LBGJ</t>
  </si>
  <si>
    <t>Korean Red Ginseng 2,250mg Per Serving, 240 Softgels | Panax Ginseng Root, Standardized to 10% Ginsenosides, Non-GMO, Support Energy, Male Performance, &amp; Immune System</t>
  </si>
  <si>
    <t>B07MTW3QDD</t>
  </si>
  <si>
    <t>St John's Wort Supplement, 1500mg Per Serving with 2250mcg Hypericin, 2 in 1 Formula St John's Wort Complex, 200 Capsules, Promote Emotional Balance, Joyful Mood &amp; Stress Response</t>
  </si>
  <si>
    <t>B07H9JTLWY</t>
  </si>
  <si>
    <t>NatureBell Quercetin 500mg Per Serving | 300 Capsules, Ultra Strength Quercetin Supplement | Bioflavonoids for Healthy Immune Support, Third Party Tested, Non-GMO &amp; No Gluten</t>
  </si>
  <si>
    <t>B0B8TJLSSP</t>
  </si>
  <si>
    <t>Ginger Root with MCT Oil</t>
  </si>
  <si>
    <t>B0F11MGDGT</t>
  </si>
  <si>
    <t>Organic Lion's Mane Powder</t>
  </si>
  <si>
    <t>B0CFP9DF3C</t>
  </si>
  <si>
    <t>NatureBell Evening Primrose Oil with Black Cohosh, 1,300mg Per Serving, 300 Mini-Softgels | Cold Pressed Seeds, Retains 130mg GLA for Womens Health &amp; Skin Care Support – Hexane Free, Non-GMO</t>
  </si>
  <si>
    <t>B0C6WN52Q9</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</si>
  <si>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</si>
  <si>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</si>
  <si>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</si>
  <si>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</si>
  <si>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2 Pack Berberine Supplement 1500mg Per Serving, 480 Veggie Capsules | Plus 1200mg True Ceylon Cinnamon, 97% Berberine HCL, Plant-Based, Vegan, Non-GMO, Gluten Free</t>
  </si>
  <si>
    <t>B01L2TFPNE</t>
  </si>
  <si>
    <t>2 Pack NAC Supplement (N-Acetyl Cysteine) with Quercetin, 1,200mg Per Serving, 480 Capsules | Double Strength Antioxidant Support for Immune, Liver, &amp; Lung Health – Non-GMO</t>
  </si>
  <si>
    <t>B086QBQ7X4</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</si>
  <si>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</si>
  <si>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</si>
  <si>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</si>
  <si>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</si>
  <si>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</si>
  <si>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Organic Hibiscus Tea Bags</t>
  </si>
  <si>
    <t>B0C6WP15YQ</t>
  </si>
  <si>
    <t>NatureBell Cold Pressed Black Seed Oil 3,000mg Per Serving with Vitamin D3 2,000IU, 180 Softgels | Egyptian Nigella Sativa, Odorless Black Cumin Seed, Virgin Liquid Oil Capsules – Non-GMO</t>
  </si>
  <si>
    <t>B09238QQ52</t>
  </si>
  <si>
    <t>NatureBell Full Spectrum Vitamin K2 Supplement with MK-7 &amp; MK-4, 200 mcg, 240 Capsules | 2 in 1 Formula, K Vitamins Complex – Supports Bone, Joint, and Heart Health – Non-GMO</t>
  </si>
  <si>
    <t>B07R8JTQSZ</t>
  </si>
  <si>
    <t>NAC Supplement (N-Acetyl Cysteine) with Quercetin, 1,200mg Per Serving, 240 Capsules | Double Strength Antioxidant Support for Immune, Liver, &amp; Lung Health – Non-GMO</t>
  </si>
  <si>
    <t>B0866BQP63</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</si>
  <si>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</si>
  <si>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</si>
  <si>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</si>
  <si>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</si>
  <si>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NatureBell PQQ 40mg with CoQ10, 180 Veggie Capsules | Active Pyrroloquinoline Quinone, Highly Bioavailable ZenPQQ+ Formula – Promotes Heart, Brain, &amp; Mitochondrial Health – Non-GMO</t>
  </si>
  <si>
    <t>B09KTDRCYD</t>
  </si>
  <si>
    <t>NatureBell D Mannose Powder, 12oz | Instantized for Max Absorption – Fast Acting Cleanse – Urinary Tract &amp; Bladder Health Support – Flush UTI Impurities – Non-GMO, Vegan</t>
  </si>
  <si>
    <t>B075G4N2K1</t>
  </si>
  <si>
    <t>NatureBell Irish Sea Moss Capsules, 3,000mg Per Serving, 240 Veggie Pills | Made with Organic Raw Powder – 3 in 1 Plus Bladderwrack &amp; Burdock Root – Immune &amp; Thyroid Superfood Support – Non-GMO</t>
  </si>
  <si>
    <t>B0CP2YGSCZ</t>
  </si>
  <si>
    <t>L-Lysine 1000mg + Quercetin 250mg Supplement, 240 Capsules, Free Form, 4-in-1 Lysine Complex, Quercetin with Vitamin C and Zinc | Immune Support | Promote Lips &amp; Skin Health</t>
  </si>
  <si>
    <t>B09F4GYTDQ</t>
  </si>
  <si>
    <t>2 Pack Magnesium Glycinate 500mg, 480 Capsules – 100% Chelated for Max Absorption – Bioavailable Mineral Supplement for Muscle, Joint, Enzyme, &amp; Heart Health</t>
  </si>
  <si>
    <t>B07RD4DFNZ</t>
  </si>
  <si>
    <t>NatureBell Fadogia Agrestis 600mg Complexed with Tongkat Ali 400mg, 180 Capsules, Optimal Dosage for Enhanced Bioavailability, 20:1 Fadogia Argrestis Extract Indonesia Tongkat-Ali (Longjack)</t>
  </si>
  <si>
    <t>B09WJV9D1Y</t>
  </si>
  <si>
    <t>NatureBell Quercetin 1000mg Per Serving | 240 Capsules, Ultra Strength Quercetin Supplement | Bioflavonoids for Healthy Immune Support, Third Party Tested, Non-GMO &amp; No Gluten</t>
  </si>
  <si>
    <t>B07H9LGDPM</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</si>
  <si>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</si>
  <si>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</si>
  <si>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</si>
  <si>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</si>
  <si>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NatureBell P5P Vitamin B6 100mg Per Serving, 240 Capsules | Activated Pyridoxal 5 Phosphate Supplements – Essential B Vitamins for Brain &amp; Memory Health – Non-GMO</t>
  </si>
  <si>
    <t>B07GCBWP2M</t>
  </si>
  <si>
    <t>Ultra Strength Phosphatidylserine Supplement 500mg Per Serving, 240 Capsules | Soy Free, Derived from Sunflower Lecithin – Supports Cognitive Health and Brain Function – Non-GMO</t>
  </si>
  <si>
    <t>B074R8XH2Q</t>
  </si>
  <si>
    <t>2 Pack Magnesium Citrate 500mg, 480 Capsules | High Purity Elemental Form – Extra Strength | Essential Mineral for Heart, Muscle, &amp; Digestion Support – Non-GMO &amp; No Gluten</t>
  </si>
  <si>
    <t>B07755F5YT</t>
  </si>
  <si>
    <t>NatureBell Antarctic Krill Oil 1000mg Supplement, 180 Softgels, Natural Source of Omega-3s, EPA, DHA and Astaxanthin - No Aftertaste - Support Heart Health, Mercury Free &amp; Non-GMO</t>
  </si>
  <si>
    <t>B07BKN8S81</t>
  </si>
  <si>
    <t>NatureBell 2 Pack Hyaluronic Acid Supplements 2000mg | 480 Total Capsules, with MSM &amp; Multi Collagen – 3 in 1 Support – Skin Hydration, Joint Lubrication, Hair, and Eye Health</t>
  </si>
  <si>
    <t>B01FL9DFR4</t>
  </si>
  <si>
    <t>TUDCA 500mg with Black Pepper Extract, 60 Capsules – High Absorption Livamate Formula, Natural Bitter Taste | Bile Salt Supplement | Third Party Tested</t>
  </si>
  <si>
    <t>B09KTBBYLQ</t>
  </si>
  <si>
    <t>2 Pack Olive Leaf Extract 30000mg, 480 Total Capsules | 40% Active Oleuropein, 50:1 Herbal Equivalent – Rich in Polyphenol &amp; Flavonoid Antioxidants for Immune &amp; Heart Health – Non-GMO</t>
  </si>
  <si>
    <t>B07VNJ97G1</t>
  </si>
  <si>
    <t>Mucuna Pruriens Capsules, Triple Strength 1500mg Per Serving, 2 in 1 Formula, Made with Mucuna and Ashwagandha, 240 Capsules, Potent Seed Extract, Positive Mood, Relaxation &amp; Restoration Support</t>
  </si>
  <si>
    <t>B07K6Z195K</t>
  </si>
  <si>
    <t>Tongkat Ali 200:1 (Longjack) Extract for Men, 2000mg Per Serving, Indonesia Origin, Eurycoma Longifolia | with Panax Ginseng for Energy, Stamina, &amp; Male Health Support (150 Count (Pack of 2))</t>
  </si>
  <si>
    <t>B0BMF3TMWZ</t>
  </si>
  <si>
    <t>NatureBell Vitamin B2 Riboflavin 400mg Per Serving, 240 Capsules | Essential Daily B Vitamin, Easily Absorbed Form – Supports Energy, Skin, and Cellular Health – Non-GMO, Gluten Free</t>
  </si>
  <si>
    <t>B0BSP461K1</t>
  </si>
  <si>
    <t>NatureBell Double Strength Triphala Supplement (Made with Organic Amla, Bibhitaki, Haritaki Fruit Complex), 1200mg Per Serving, 180 Capsules, 3 in 1 Formula, Supports Digestive Health, Non-GMO</t>
  </si>
  <si>
    <t>B076B5V4RQ</t>
  </si>
  <si>
    <t>NatureBell Hyaluronic Acid Supplements 2000mg Per Serving | 240 Capsules, with MSM &amp; Multi Collagen – 3 in 1 Support – Skin Hydration, Joint Lubrication, Hair, and Eye Health</t>
  </si>
  <si>
    <t>B01DPW5BNA</t>
  </si>
  <si>
    <t>Magnesium Glycinate 200mg with Valerian Root, 300 Capsules</t>
  </si>
  <si>
    <t>B0CWNDCY6V</t>
  </si>
  <si>
    <t>NatureBell 2 Pack Plant Based Hyaluronic Acid Supplements 250mg with 25mg Vitamin C &amp; Biotin 5000mcg, 480 Total Capsules | Essential for Hair Growth, Joint Support, &amp; Hydrating Skin | Non-GMO</t>
  </si>
  <si>
    <t>B07GBMPZKD</t>
  </si>
  <si>
    <t>NatureBell L Methylfolate 15mg (5-MTHF) with Methyl B12 1,000mcg, 240 Vegetarian Capsules | High Potency Dual Action for Energy &amp; Cognitive Support, Active Folic Acid – Methyl Folate Supplement</t>
  </si>
  <si>
    <t>B0CHX3CST7</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</si>
  <si>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</si>
  <si>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</si>
  <si>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</si>
  <si>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R-Alpha Lipoic Acid (R-ALA) 1200mg</t>
  </si>
  <si>
    <t>B0DJWWQSPX</t>
  </si>
  <si>
    <t>NatureBell Everyday Fruits and Vegetables Supplements, 480 Total Vegetarian Capsules</t>
  </si>
  <si>
    <t>B0CMK41YYD</t>
  </si>
  <si>
    <t>NatureBell 2 Pack Cranberry Pills 36,000mg with Acerola, 480 Veggie Capsules | 100:1 Fresh Cranberries Extract – Organic Ingredients – Supports Urinary Tract Health – Sugar Free</t>
  </si>
  <si>
    <t>B07RD4CKP4</t>
  </si>
  <si>
    <t>NatureBell Virgin Pumpkin Seed Oil 3,000mg Per Serving with Saw Palmetto, 240 Softgel Capsules | Cold Pressed – Rich in Omega 6 &amp; 9 Essential Fatty Acids – Prostate &amp; Bladder Supplements, Non-GMO</t>
  </si>
  <si>
    <t>B07K6XGYPL</t>
  </si>
  <si>
    <t>Organic Matcha Green Tea Powder Jar, 2lbs</t>
  </si>
  <si>
    <t>B0DT2NH3V9</t>
  </si>
  <si>
    <t>Choline 500mg with Omega-3 capsules 240 count</t>
  </si>
  <si>
    <t>B0D85V6X3G</t>
  </si>
  <si>
    <t>Olive Leaf Extract 30000mg, 240 Capsules | 40% Active Oleuropein, 50:1 Herbal Equivalent – Rich in Polyphenol &amp; Flavonoid Antioxidants for Immune &amp; Heart Health – Non-GMO</t>
  </si>
  <si>
    <t>B076B7TYL7</t>
  </si>
  <si>
    <t>NatureBell Cranberry Pills 36,000mg with Acerola, 240 Veggie Capsules | 100:1 Fresh Cranberries Extract – Made with Organic Ingredients – Supports Urinary Tract Health – Sugar Free</t>
  </si>
  <si>
    <t>B076BFRPNS</t>
  </si>
  <si>
    <t>Organic Mushroom Coffee with MCT Oil</t>
  </si>
  <si>
    <t>B0DS6Q88VS</t>
  </si>
  <si>
    <t>Xylitol Sweetener, 5lbs | Natural Birch Crystal Source – 1:1 Sugar Substitute – Sweet Flavor with No Erythritol – Low Calorie &amp; Glycemic Impact – Sugar Free, No Aftertaste, Non-GMO</t>
  </si>
  <si>
    <t>B0CFPJ5BRM</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</si>
  <si>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</si>
  <si>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</si>
  <si>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</si>
  <si>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</si>
  <si>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NatureBell Digestive Enzymes with Prebiotics | 240 Veggie Capsules - 20 Enzyme &amp; 5 Prebiotic Complex – Support Gut Health, Bloating Relief for Women &amp; Men, Non-GMO, Vegan Friendly</t>
  </si>
  <si>
    <t>B0CJK5JRPV</t>
  </si>
  <si>
    <t>Creatine Monohydrate 5000mg capsules</t>
  </si>
  <si>
    <t>B0DDB5BWYP</t>
  </si>
  <si>
    <t>NatureBell D-Mannose 2000mg with Cranberry Extract 400mg, 240 Veggie Capsules, Double Strength | Fast Acting Urinary Tract Health Pills, Flush Impurities, Ultra UTI Support for Women &amp; Men</t>
  </si>
  <si>
    <t>B07QBVHK8H</t>
  </si>
  <si>
    <t xml:space="preserve">Advanced Glucosamine </t>
  </si>
  <si>
    <t>B0D85XVGMQ</t>
  </si>
  <si>
    <t xml:space="preserve">Colostrum 1000mg capsules 240 count </t>
  </si>
  <si>
    <t>B0DJTVL9H4</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</si>
  <si>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</si>
  <si>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</si>
  <si>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</si>
  <si>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</si>
  <si>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TMG (Trimethylglycine) 1500mg capsules</t>
  </si>
  <si>
    <t>B0D883PXW4</t>
  </si>
  <si>
    <t>NatureBell Glutathione Supplement 1000mg, 180 Veggie Capsules | 98%+ Purity Verified, Bioavailable Reduced Glutathione Pills, Active Form, Master Antioxidant – Vegan Friendly &amp; Non-GMO</t>
  </si>
  <si>
    <t>B09KTCYFZ7</t>
  </si>
  <si>
    <t>Vaginal Probiotics 10 Billion 120 Veggie Capsules</t>
  </si>
  <si>
    <t>B0DJWW2B1L</t>
  </si>
  <si>
    <t>L-Theanine 400mg capsules 400 count</t>
  </si>
  <si>
    <t>B0DDCW97QV</t>
  </si>
  <si>
    <t>Dihydroberberine 500mg</t>
  </si>
  <si>
    <t>B0DDMM94BF</t>
  </si>
  <si>
    <t>Nattokinase Supplement 8,000 FU Per Serving, 240 Veggie Capsules | Traditional Natto Extract Source – Max Strength Enzyme &amp; Heart Health Support – Non-GMO</t>
  </si>
  <si>
    <t>B0CJK4JF1V</t>
  </si>
  <si>
    <t>NatureBell Lions Mane Supplement 9,000mg Per Serving, 240 Veggie Capsules | Made with Organic Lion’s Mane Powder Extract – Cognitive Brain Nootropic &amp; Immune Health Mushroom – Non-GMO</t>
  </si>
  <si>
    <t>B0CJK6YZYX</t>
  </si>
  <si>
    <t>NatureBell Hyaluronic Acid Supplements 250mg | 240 Capsules, with Biotin 5000mcg &amp; Vitamin C 25mg, 3 in 1 Support - Skin Hydration, Joint Lubrication, Hair and Eye Health</t>
  </si>
  <si>
    <t>B076FH7639</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</si>
  <si>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</si>
  <si>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</si>
  <si>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</si>
  <si>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</si>
  <si>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</si>
  <si>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 xml:space="preserve">Advanced Electrolyte hydration capsules </t>
  </si>
  <si>
    <t>B0DDCW84F6</t>
  </si>
  <si>
    <t>NatureBell Red Yeast Rice 2,400mg with CoQ10 100mg | 240 Veggie Capsules (1,200mg Per Capsule) – Max Strength Herbal Supplement – Antioxidant Support for Energy &amp; Heart Health – Non-GMO</t>
  </si>
  <si>
    <t>B0CFPLT75L</t>
  </si>
  <si>
    <t>Antarctic Krill Oil 2000mg Supplement, 240 Softgels, 3X Strength Natural Source of Omega-3s, EPA 240mg + DHA 160mg + Astaxanthin 800mcg – No Fishy Aftertaste – Mercury Free &amp; Non-GMO</t>
  </si>
  <si>
    <t>B0BSP5TBP3</t>
  </si>
  <si>
    <t>DHEA 50mg</t>
  </si>
  <si>
    <t>B0CX3MJQKM</t>
  </si>
  <si>
    <t>Magnesium Glycinate Powder Peach-Mango Flavor Jar 1lb</t>
  </si>
  <si>
    <t>B0DLXM7ZTC</t>
  </si>
  <si>
    <t>Ashwagandha 12,500mg with black pepper</t>
  </si>
  <si>
    <t>B0DDM8LQMS</t>
  </si>
  <si>
    <t xml:space="preserve">NAD+ 1500mg vegetarian capsules 240 count </t>
  </si>
  <si>
    <t>B0D85VVNF7</t>
  </si>
  <si>
    <t>Magnesium Malate 1500mg capsules 240 count</t>
  </si>
  <si>
    <t>B0CWMWHRFC</t>
  </si>
  <si>
    <t>CoQ10 100mg with Omega-3</t>
  </si>
  <si>
    <t>B0DJWWMBTF</t>
  </si>
  <si>
    <t>NatureBell Alpha Lipoic Acid 600mg Per Serving | 300 Capsules - with Vitamin B1 Complex | 4 in 1 - [R-ALA | S-ALA | Thiamine | Benfotiamine] - High Bioavailability, Third Party Tested | Non-GMO</t>
  </si>
  <si>
    <t>B0BB53JDMF</t>
  </si>
  <si>
    <t xml:space="preserve">Magnesium Taurate 1500mg 240 Capsules </t>
  </si>
  <si>
    <t>B0CWK143JD</t>
  </si>
  <si>
    <t>NatureBell 2 Pack Ceylon Cinnamon 9000mg Per Serving, 480 Capsules, Made with Organic Ceylon Cinnamon Plus Bitter Melon, Non-GMO</t>
  </si>
  <si>
    <t>B08DK1M6FL</t>
  </si>
  <si>
    <t>Liposomal Vitamin C 2000mg capsules</t>
  </si>
  <si>
    <t>B0D85XBLCH</t>
  </si>
  <si>
    <t>NatureBell Oregano Oil with Black Seed Oil 7,500mg, 360 Softgels | Wild Harvested, 50:1 Fresh Oregano Extract – Retains Carvacrol &amp; Thymoquinone – Essential Oils for Immune Health – Non-GMO</t>
  </si>
  <si>
    <t>B0CFPQN4J1</t>
  </si>
  <si>
    <t>NatureBell Resveratrol Supplement 1000mg Per Serving, 180 Veggie Capsules, 99% Pure Trans-Resveratrol, Antioxidant for Healthy Aging, Brain, &amp; Heart Support – Non-GMO</t>
  </si>
  <si>
    <t>B0C2SCVL8Z</t>
  </si>
  <si>
    <t>Magnesium Glycinate 500mg vegetarian</t>
  </si>
  <si>
    <t>B0DNVCPMYW</t>
  </si>
  <si>
    <t xml:space="preserve">Magnesium Oxide 400mg capsules 400 counts </t>
  </si>
  <si>
    <t>B0F11PGHN9</t>
  </si>
  <si>
    <t xml:space="preserve">Boron 10mg with MCT Oil softgels 300 counts </t>
  </si>
  <si>
    <t>B0F11Z2BLQ</t>
  </si>
  <si>
    <t xml:space="preserve">Electrolyte Jar Grape Flavor 500g </t>
  </si>
  <si>
    <t>B0DJWX4ZNQ</t>
  </si>
  <si>
    <t>Spend/Unit</t>
  </si>
  <si>
    <t>HB</t>
  </si>
  <si>
    <t>Creatine Monohydrate Powder 300 Grams (60 Servings), Unflavored | Pure | Micronized Creatine Powder, 5000mg(5g) Per Serving, 2 Month Supply, Vegan | Keto, Non-GMO, No Filler, No Additives</t>
  </si>
  <si>
    <t>B09YX7G6JJ</t>
  </si>
  <si>
    <t>Creatine Monohydrate Powder 600 Grams (1.32lb), Unflavored | Pure | Micronized Creatine Powder, 5000mg(5g) Per Serving, 4 Month Supply, Vegan | Keto, Non-GMO, No Filler, No Additives - 120 Servings</t>
  </si>
  <si>
    <t>B0B2FF7XN9</t>
  </si>
  <si>
    <t>Eagleshine Vitamins Phosphatidylserine Supplement, 400mg Per Serving, 240 Capsules – Soy Free Sunflower Lecithin Source – Retains 20% Active PS – Nootropic Brain Health Support – Non-GMO</t>
  </si>
  <si>
    <t>B0971RLCR2</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</si>
  <si>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</si>
  <si>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</si>
  <si>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</si>
  <si>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Resveratrol Complex 2000mg</t>
  </si>
  <si>
    <t>B0DJWR8MZ3</t>
  </si>
  <si>
    <t>Berberine Max Supplement, 5,000mg Per Serving, 240 Veggie Capsules – 97% Pure Berberine HCL – 25:1 Root Extract – Glucose Metabolism &amp; Weight Management Support– Non-GMO</t>
  </si>
  <si>
    <t>B0C7FPF4TT</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</si>
  <si>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</si>
  <si>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</si>
  <si>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</si>
  <si>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DEAL SUPPLEMENT Citicoline CDP Choline, 1,000mg Per Serving, 120 Capsules – Extra Strength Choline Supplements – Nootropic B Vitamin Properties – Promotes Brain Health, Memory, &amp; Focus – Non-GMO</t>
  </si>
  <si>
    <t>B0C2WY5ZN1</t>
  </si>
  <si>
    <t>DEAL SUPPLEMENT Ultra Strength HMB Supplements 3,000mg Per Serving, 240 Capsules | Third Party Tested | Supports Muscle Growth, Retention &amp; Lean Muscle Mass | Fast Workout Recovery</t>
  </si>
  <si>
    <t>B0C8M8X8PG</t>
  </si>
  <si>
    <t>Benfotiamine 600mg Per Serving, 180 Veggie Capsules (300mg Per Cap), Fat Soluble Vitamin B1 Thiamine Supplement – Supports Energy &amp; Nervous System Health – 3rd Party Tested, Non-GMO, Gluten Free</t>
  </si>
  <si>
    <t>B0BWH53V3J</t>
  </si>
  <si>
    <t>Vitamin K2 (MK-7) 200mcg, 240 Virgin Coconut Oil Softgels | Premium Menaquinone-7 Form, Easily Absorbed Vitamin K Supplement – Bone, Joint, &amp; Immune Support – Non-GMO</t>
  </si>
  <si>
    <t>B088B4L5WB</t>
  </si>
  <si>
    <t xml:space="preserve">Beef Gelatin Powder 1lb </t>
  </si>
  <si>
    <t>B0F1C28MLR</t>
  </si>
  <si>
    <t>Nattokinase 4,000 FU Per Serving, 240 Veggie Capsules – Bromelain, Turmeric Curcumin, with Black Pepper Complex – Heart Health &amp; Digestive Enzymes Supplement – Non-GMO, Vegan</t>
  </si>
  <si>
    <t>B0CF3HM62X</t>
  </si>
  <si>
    <t>Alpha Lipoic Acid 1,000mg, 180 Veggie Capsules – 50/50 R-ALA &amp; S-ALA for Max Bioavailability – Antioxidant Supplement – Energy &amp; Nervous System Support – Non-GMO</t>
  </si>
  <si>
    <t>B0BWHLHMHY</t>
  </si>
  <si>
    <t>2 Pack Deal Supplement Vitamin D3 K2 Softgel, 250 Count, 2-1 Complex, Vitamin D3 5000 IU &amp; Vitamin K2 MK7, Promotes Heart, Bone &amp; Teeth Health – Very Easy to Swallow</t>
  </si>
  <si>
    <t>B08LMTG54X</t>
  </si>
  <si>
    <t>Vitamin B1 500mg with Benfotiamine, 240 Capsules – 2 in 1 Enhanced Formula – Fat &amp; Water Soluble Thiamine B1 Supplement – Third Party Tested, Non-GMO, No Gluten</t>
  </si>
  <si>
    <t>B081ZJQYVK</t>
  </si>
  <si>
    <t xml:space="preserve">Electrolyte Powder Lemon Lime Flavor Jar </t>
  </si>
  <si>
    <t>B0DJWN567H</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</si>
  <si>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</si>
  <si>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</si>
  <si>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</si>
  <si>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Organic Matcha Green Tea Powder, 2lbs (907g) | Zero Sugar, First Harvest | Culinary Grade, Cafe Mix, Keto Friendly, Genuine Japanese Source, Non-GMO, Vegetarian</t>
  </si>
  <si>
    <t>B0BY3V6ZR7</t>
  </si>
  <si>
    <t>Glutathione Supplement 1000mg Per Serving, 98% Purity | Plus Vitamin C 500mg, Active Reduced Form (GSH) | 60 Capsules - Intracellular Antioxidant, Detoxification* Support, Immune &amp; Skin Whitening</t>
  </si>
  <si>
    <t>B09BDNFL58</t>
  </si>
  <si>
    <t>R Alpha Lipoic Acid 600mg with Benfotiamine 300mg Per Serving, 120 Veggie Capsules – 200mg R-ALA Per Capsule – Antioxidant Supplement for Energy &amp; Nervous System Support</t>
  </si>
  <si>
    <t>B0CF3P11B1</t>
  </si>
  <si>
    <t>Hyaluronic Acid Supplements 1,500mg – 240 Capsules, with MSM &amp; Vitamin C – Pure 95% | Non-GMO + Plant Based HA – Supports Healthy Joints, Bones, Connective Tissue, &amp; Skin Hydration</t>
  </si>
  <si>
    <t>B091G5YF1J</t>
  </si>
  <si>
    <t>CoQ10 200mg &amp; PQQ 200mcg, 240 Veggie Capsules – 2 in 1 Coenzyme Q10 Supplement for Better Absorption – Antioxidant Support for Energy, Brain, &amp; Heart Health – Non-GMO</t>
  </si>
  <si>
    <t>B0C2WV9FGF</t>
  </si>
  <si>
    <t>Max Strength Magnesium Glycinate 500mg Per Serving, 240 Capsules | Chelated, Highly Purified, Essential Mineral | Magnesium Supplement for Muscle, Joint, &amp; Heart Health</t>
  </si>
  <si>
    <t>B0CF3JV16Q</t>
  </si>
  <si>
    <t>DEAL SUPPLEMENT Vitamin E Supplements, 1,000 IU Per Serving, 240 Softgels – Extra Strength Antioxidant Protection – Bioavailable Stable Form – Skin, Heart, Brain, &amp; Immune Support – Non-GMO</t>
  </si>
  <si>
    <t>B0C2X2BW68</t>
  </si>
  <si>
    <t>Multi Collagen Pills with Hyaluronic Acid, Vitamin C &amp; Biotin 5000mcg, 300 Capsules - Type I, II, III, V, X Collagen Supplements for Women or Men - Hair, Skin, Nail, &amp; Joint Health - Unflavored, Keto</t>
  </si>
  <si>
    <t>B0C2WPPTNM</t>
  </si>
  <si>
    <t xml:space="preserve">Astaxanthin 24mg softgels 120 count </t>
  </si>
  <si>
    <t>B0DNRKCZGT</t>
  </si>
  <si>
    <t>Zinc 50mg with Selenium 200mcg + Copper, 240 Capsules, 8 Month Supply, 3 in 1 Mineral Formula, Zinc Picolinate Complex Supplement, Supports Healthy Immune System for Adults and Kid</t>
  </si>
  <si>
    <t>B08FXYT1RT</t>
  </si>
  <si>
    <t>Myo-Inositol &amp; D-Chiro Inositol (40:1) 2,050mg Per Serving, 240 Veggie Capsules – with Folate, Vitamin D3, &amp; Vitex Complex – Hormonal, Ovarian, &amp; Liver Support Supplement</t>
  </si>
  <si>
    <t>B0BWGKT1PJ</t>
  </si>
  <si>
    <t>Vitamin D3K2 5,000IU with coconut oil</t>
  </si>
  <si>
    <t>B0CZFY5H2J</t>
  </si>
  <si>
    <t>Organic Lemon Powder, 1lb – Real Freeze-Dried Lemon Source – Rich in Essential Vitamin C – Natural Immune Support – Raw Lemon Juice Flavor &amp; Aroma – Non-GMO, Filler Free, No Sugar</t>
  </si>
  <si>
    <t>B0CF3RZQCZ</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</si>
  <si>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</si>
  <si>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</si>
  <si>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</si>
  <si>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2 Pack Creatine Monohydrate Powder 600 Grams (21.2oz), Unflavored | Pure | Micronized Creatine Powder, 5000mg Per Serving, 4 Month Supply, Vegan | Keto, Non-GMO, No Filler, No Additives - 120 Servings</t>
  </si>
  <si>
    <t>B0BGR22RG6</t>
  </si>
  <si>
    <t>Vitamin K2 Supplement 600mcg, 180 Virgin Coconut Oil Softgels – Full Spectrum MK-7 &amp; MK-4 Forms, High Absorption, Triple Strength K Vitamins – Bone, Joint, &amp; Immune Support – Non-GMO</t>
  </si>
  <si>
    <t>B0CF3N7PNY</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</si>
  <si>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</si>
  <si>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</si>
  <si>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</si>
  <si>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Lions Mane Mushroom Supplement, 7,500mg Per Serving, 240 Capsules – Active Fruiting Body &amp; Mycelium 10:1 Extract – Natural Brain Nootropic &amp; Immune System Booster – Non-GMO</t>
  </si>
  <si>
    <t>B09KZ1VNPF</t>
  </si>
  <si>
    <t>DEAL SUPPLEMENT Lutein and Zeaxanthin Supplements, 40mg Per Serving, 300 Softgels – Plus Astaxanthin, Omega-3s, &amp; Phospholipids – Essential Eye Vitamins &amp; Vision Health Support – Non-GMO</t>
  </si>
  <si>
    <t>B0C2XFMKWL</t>
  </si>
  <si>
    <t>DEAL SUPPLEMENT Rhodiola Rosea with Ashwagandha 5,000mg Per Serving, 240 Veggie Capsules – Max Strength 10:1 Root Extract – Adaptogenic Supplements for Relaxation, Energy, &amp; Brain Health – Non-GMO</t>
  </si>
  <si>
    <t>B0C8PVGKSK</t>
  </si>
  <si>
    <t>Cayenne Pepper 5lb</t>
  </si>
  <si>
    <t>B0CDDY9DJL</t>
  </si>
  <si>
    <t>Apigenin, 100mg Per Serving, 240 Capsules – Plant Extract from Chamomile Flower – Active Bioflavonoids &amp; Antioxidants – Sleep &amp; Relaxation Supplement</t>
  </si>
  <si>
    <t>B09LFFGQXM</t>
  </si>
  <si>
    <t>DEAL SUPPLEMENT Psyllium Husk Powder 3 lbs, 9,000mg Per Serving – Unflavored, Plant Based, Soluble Dietary Fiber – Great for Baking &amp; Cooking – Keto Friendly, Gluten Free, Non-GMO</t>
  </si>
  <si>
    <t>B0C3NM9959</t>
  </si>
  <si>
    <t xml:space="preserve">Organic Matcha Green Tea Powder Jar 1lb </t>
  </si>
  <si>
    <t>B0DJWSLKQS</t>
  </si>
  <si>
    <t>DEAL SUPPLEMENT D Mannose Veggie Capsules, 2,000mg Per Serving, 240 Pills – Fast Acting Water-Soluble Form – Extra Strength Urinary Tract (UTI) Health Support – Non-GMO, Vegan Friendly</t>
  </si>
  <si>
    <t>B0C2SSC3XZ</t>
  </si>
  <si>
    <t>DHA Supplements | 240 Softgels, Burpless, Lemon Flavor, DHA 1000mg + EPA 500mg, Wild Caught Fish, Rich in Omega-3s, Mercury Free, Non-GMO, Support Brain Heart &amp; Joint Health</t>
  </si>
  <si>
    <t>B08WHZZP5F</t>
  </si>
  <si>
    <t>Berberine 500mg with Yohimbine</t>
  </si>
  <si>
    <t>B0CZGQN3Y4</t>
  </si>
  <si>
    <t>Unsweetened Organic Coconut Milk Powder, 3lbs – Dairy Free Creamer Alternative – Sugar Free Raw Flavor – Rich Source of MCT Oil – Great for Coffee or Tea – Non-GMO, Plant Based, Keto</t>
  </si>
  <si>
    <t>B0CF3HYSHR</t>
  </si>
  <si>
    <t>Organic Peruvian Maca Root Powder, 3lbs</t>
  </si>
  <si>
    <t>B0CF3MT9NR</t>
  </si>
  <si>
    <t>Dihydroberberine 100mg</t>
  </si>
  <si>
    <t>B0DCKRBV9T</t>
  </si>
  <si>
    <t>Allulose Sweetener Powder 4lb</t>
  </si>
  <si>
    <t>B0DCKRMSJ8</t>
  </si>
  <si>
    <t xml:space="preserve">Fruits &amp; Veggies 240 caps </t>
  </si>
  <si>
    <t>B0DJWV79NT</t>
  </si>
  <si>
    <t>NAD+ 1000mg</t>
  </si>
  <si>
    <t>B0DJWRXKPX</t>
  </si>
  <si>
    <t>Ceylon Cinnamon 6000mg with Chromium 1000mcg, 240 Capsules | Active Inner Bark Extract, True Sri Lanka Source | Natural Cinnamon Supplements</t>
  </si>
  <si>
    <t>B084Z9VQ2Q</t>
  </si>
  <si>
    <t>Kava Kava Supplement 750mg, 180 Capsules, 3 Months Supply, Kava Kava Root Extract, Promotes Stress &amp; Anxiety Relief, Mental Calmness and Restful Sleep</t>
  </si>
  <si>
    <t>B07XVS9MS3</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</si>
  <si>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</si>
  <si>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</si>
  <si>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</si>
  <si>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 xml:space="preserve">Goat Milk 1lb </t>
  </si>
  <si>
    <t>B0F2L2SQT8</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</si>
  <si>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</si>
  <si>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</si>
  <si>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</si>
  <si>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Multi Collagen Protein Powder,1Lb - Type I, II, III, V, X Collagen Peptides with Biotin 10000mcg, Vitamin C &amp; Hyaluronic Acid - Unflavored - Keto &amp; Paleo Friendly, Great for Hair, Skin, Nails &amp; Joints</t>
  </si>
  <si>
    <t>B0BL1NMB59</t>
  </si>
  <si>
    <t>Bitter Melon 15,000mg Per Serving | 300 Capsules, with Berberine HCL | 15:1 Wild Bitter Melon Fruit Extract | Third Party Tested | Plant Based, Non-GMO &amp; No Gluten</t>
  </si>
  <si>
    <t>B081ZH92R6</t>
  </si>
  <si>
    <t>Mullein Leaf 20,000mg, 240 Veggie Capsules – 20:1 Max Strength Leaf Extract – Natural Soothing Herb for Lungs – Supports Respiratory &amp; Immune Health – Non-GMO, Vegan</t>
  </si>
  <si>
    <t>B0C8LYLM61</t>
  </si>
  <si>
    <t>Magnesium Citrate Powder 500mg, 3lbs – Unflavored, Easily Absorbed – Purified Trace Mineral for Muscle, Heart, &amp; Digestive Support – One a Day, Non-GMO, Filler Free</t>
  </si>
  <si>
    <t>B0C8M1F4V7</t>
  </si>
  <si>
    <t>Tongkat Ali Extract 300:1 400mg &amp; Maca Root 400mg | 300 Capsules, Ultra Strength Longjack (Eurycoma Longifolia) + Peru Maca – Non-GMO, Herbal Supplement for Men Health, Performance, &amp; Energy</t>
  </si>
  <si>
    <t>B0C2WG9NLL</t>
  </si>
  <si>
    <t>DEAL SUPPLEMENT Folic Acid 1000 mcg (1 mg), 500 Coconut Oil Softgels | Bioavailable Prenatal Vitamins (Vitamin B9) – 1,667 mcg DFE – Easy to Swallow, Non-GMO, &amp; No Gluten</t>
  </si>
  <si>
    <t>B09F2NL4H6</t>
  </si>
  <si>
    <t>DEAL SUPPLEMENT Quercetin 1,000mg Per Serving, 300 Capsules – Healthy Immune Support Supplements, High Bioavailable Flavonoids, Natural Antioxidant – Non-GMO, Soy Free, No Gluten</t>
  </si>
  <si>
    <t>B07XW8BXDS</t>
  </si>
  <si>
    <t>CoQ10 600mg with DHA</t>
  </si>
  <si>
    <t>B0F1CC797J</t>
  </si>
  <si>
    <t>Magnesium Citrate 400mg Per Serving, 300 Veggie Capsules – Chelated for Easy Absorption – Purified Trace Mineral – Supports Muscle, Heart, &amp; Digestive Health – Non-GMO</t>
  </si>
  <si>
    <t>B0BWGPJNTR</t>
  </si>
  <si>
    <t>Mushroom Supplement, 8,000mg Per Serving, 240 Capsules – 10 in 1 Defense Formula</t>
  </si>
  <si>
    <t>B0BWH9RWC9</t>
  </si>
  <si>
    <t>DEAL SUPPLEMENT High Potency Vitamin A 25000 IU, 500 Coconut Oil Softgels | Easily Absorbed, Natural Fish Liver Oil Source – Vitamins for Eye, Immune, &amp; Skin Health – Easy to Swallow, Non-GMO</t>
  </si>
  <si>
    <t>B0BKR14XL3</t>
  </si>
  <si>
    <t>Whole milk powder 3lb</t>
  </si>
  <si>
    <t>B0DJWTBLGH</t>
  </si>
  <si>
    <t>Korean Red Panax Ginseng Root Extract, 7,500mg Per Serving, 240 Softgels – 150mg Active Ginsenosides, 5:1 Max Strength Extract – Energy &amp; Immune Health Supplement – Non-GMO</t>
  </si>
  <si>
    <t>B08517K5QY</t>
  </si>
  <si>
    <t>Quercetin 1000mg Per Serving (2 Pack) | 300 Capsules, High Bioavailable Flavonoids, Third Party Tested, Supports Healthy Immune System, Non-GMO, No Gluten</t>
  </si>
  <si>
    <t>B08M23CLN5</t>
  </si>
  <si>
    <t>Eagleshine Vitamins 2 Pack NAC Supplement (N-Acetyl Cysteine) 1,000mg Per Serving with Reduced Glutathione, 480 Total Capsules – Antioxidant Support for Immune Health, Lung, &amp; Liver Function</t>
  </si>
  <si>
    <t>B08M245LZF</t>
  </si>
  <si>
    <t>DEAL SUPPLEMENT Slippery Elm Capsules, 6,000mg Per Serving – 300 Pills, Made with Organic Inner Bark Powder Extract – Natural Herb for Soothing Throat &amp; Digestive Support – Non-GMO</t>
  </si>
  <si>
    <t>B0C2XJGG1H</t>
  </si>
  <si>
    <t>Ultra Strength HMB Supplements 1000mg Per Serving, 300 Capsules | Third Party Tested | Supports Muscle Growth, Retention &amp; Lean Muscle Mass | Fast Workout Recovery</t>
  </si>
  <si>
    <t>B0971W4PSN</t>
  </si>
  <si>
    <t>L Methylfolate 15mg Per Serving, 240 Veggie Capsules – Active Folic Acid Form (5-MTHF), Bioavailable Methylated Folate – Prenatal, Energy, &amp; Brain Support Supplement – Non-GMO</t>
  </si>
  <si>
    <t>B0C7SNQ62P</t>
  </si>
  <si>
    <t>应该是涨价丢了Buybox又降价拿回来了 现在每天出单10几个 继续上调广告保持budget 找找量 too low</t>
  </si>
  <si>
    <t>DEAL SUPPLEMENT 2 Pack of Ultra Strength HMB Supplements 1000mg Per Serving, 600 Capsules | Third Party Tested | Supports Muscle Growth, Retention &amp; Lean Muscle Mass | Fast Workout Recover</t>
  </si>
  <si>
    <t>B0B7CMR12N</t>
  </si>
  <si>
    <t>Red Yeast Rice 1,200mg Per Serving with CoQ10 100mg, 300 Capsules – Heart Health Supplement &amp; Antioxidant Support – Pure Monascus Purpureus Powder Source – Citrinin Free, Non-GMO</t>
  </si>
  <si>
    <t>B07WV6898X</t>
  </si>
  <si>
    <t>2 Pack of Tongkat Ali Extract 300:1 Enhanced with Horny Goat, 1100mg Per Serving, 180 Capsules, 2-1 Formula, Indonesia Origin Eurycoma Longifolia (Longjack), Max Strength Tongkat Ali for Men</t>
  </si>
  <si>
    <t>B0BMDPLQ3K</t>
  </si>
  <si>
    <t xml:space="preserve">Organic Stevia Extract Powder 12oz </t>
  </si>
  <si>
    <t>B0CF3K9R3G</t>
  </si>
  <si>
    <t>Ultra Strength CLA 3000mg | 240 Softgels, Active Conjugated Linoleic Acid from Non-GMO Safflower Oil, Non-Stimulating, Supports Weight Management | Lean Muscle Mass</t>
  </si>
  <si>
    <t>B07WWK3SMQ</t>
  </si>
  <si>
    <t>CoQ10 100mg, 240 Capsules – with Omega 3 Fatty Acid 100mg – Bioavailable Coenzyme Q10 Supplements – Heart, Energy, &amp; Brain Health Antioxidant Support – Non-GMO, One A Day</t>
  </si>
  <si>
    <t>B0CF3M3Y1M</t>
  </si>
  <si>
    <t>Organic Beet Root Powder 3lb</t>
  </si>
  <si>
    <t>B0C2XJ92Y6</t>
  </si>
  <si>
    <t>Moringa 9,000mg capsules 240 count</t>
  </si>
  <si>
    <t>B0DJWPJ2MX</t>
  </si>
  <si>
    <t>Irish Sea Moss 7,000mg Per Serving, 240 Veggie Capsules</t>
  </si>
  <si>
    <t>B0CZFZYXN3</t>
  </si>
  <si>
    <t>Omega 3 Fish Oil Supplements, 3,000mg Per Serving, 240 Softgels – EPA 1,200mg + DHA 900mg – Burpless Pills, Lemon Flavored, Wild Caught – Brain &amp; Heart Support – Mercury Free, Non-GMO</t>
  </si>
  <si>
    <t>B0CF38KTZQ</t>
  </si>
  <si>
    <t>DEAL SUPPLEMENT Alpha GPC 600mg Per Serving, 240 Capsules – Bioavailable Choline Replenishment –Nootropic Brain Health Supplements for Memory and Focus – Non-GMO, Gluten Free</t>
  </si>
  <si>
    <t>B0C2X5QQRR</t>
  </si>
  <si>
    <t>Bromelain Supplement 2,000mg Per Serving, 240 Capsules – Natural Proteolytic Enzymes from Fresh Pineapple – Supports Nutrient Digestion</t>
  </si>
  <si>
    <t>B09BDHTR2H</t>
  </si>
  <si>
    <t>整体水平没有变化只是primeday多出了一些</t>
  </si>
  <si>
    <t>KSM-66 Ashwagandha 1200mg</t>
  </si>
  <si>
    <t>B0DJWP1442</t>
  </si>
  <si>
    <t>Unscented Magnesium Flakes, 10lbs</t>
  </si>
  <si>
    <t>B0CZFY5HHJ</t>
  </si>
  <si>
    <t>Allulose Sweetener 2 Pounds – Natural Sugar Subsitutes, No Aftertaste - Keto Friendly, Vegan, Zero Net Carb, Zero Calorie, Great for Cooking &amp; Baking</t>
  </si>
  <si>
    <t>B0BL1R1T8Y</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</si>
  <si>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</si>
  <si>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</si>
  <si>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</si>
  <si>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Bioactive Vitamin B Complex | 240 Veggie Capsules - Methylated B Vitamins &amp; Esterified Vitamin C, High Potency &amp; Easy Absorption – Immune, Energy, &amp; Metabolism Supplement – Non-GMO, Vegan</t>
  </si>
  <si>
    <t>B0BWGKFVS9</t>
  </si>
  <si>
    <t>Organic Lions Mane Mushroom Powder Supplement, 1,500mg Per Serving, 1lb – Active Fruiting Body &amp; Mycelium Extract – Natural Brain Nootropic &amp; Immune System Booster – Non-GMO</t>
  </si>
  <si>
    <t>B0C8LTR6L1</t>
  </si>
  <si>
    <t xml:space="preserve">Saccaromyces Boulardii + FOS </t>
  </si>
  <si>
    <t>B0DJWTDKW3</t>
  </si>
  <si>
    <t>DEAL SUPPLEMENT Oil of Oregano Softgels with Black Seed Oil, 9,000mg Per Serving, 300 Count – 30:1 Extract, Active Carvacrol &amp; Thymoquinone – Antioxidant Immune Health Support – Plant Based, Non-GMO</t>
  </si>
  <si>
    <t>B0BWGY19D1</t>
  </si>
  <si>
    <t>DIM Supplement 300mg, 240 Veggie Caps, 4 Months Supply, Diindolylmethane DIM Plus Black Pepper Extract, Estrogen Balance, Supports Acne &amp; PCOS Relief</t>
  </si>
  <si>
    <t>B07WV689LY</t>
  </si>
  <si>
    <t>Eagle Shine Vitamins 2 Pack Antarctic Krill Oil, 1,000mg Per Serving, 480 Softgels – Mercury Free, No Fishy Taste – Rich in Omega-3s, EPA, DHA, Astaxanthin, &amp; Phospholipids – Non-GMO, No Gluten</t>
  </si>
  <si>
    <t>B08X63BXLZ</t>
  </si>
  <si>
    <t>5-HTP 200mg Per Serving, 240 Capsules, 98% African Derived Griffonia Seed Extract | 4 in 1 Formula Plus Active L-Theanine, L-Tryptophan &amp; GABA, Complete Support for Positive Mood, Relaxation</t>
  </si>
  <si>
    <t>B08WHFZQSJ</t>
  </si>
  <si>
    <t>DEAL SUPPLEMENT Odorless Aged Garlic Pills, 6,000mg Per Serving, 500 Softgels – 24:1 Garlic Oil Extract – Fresh Allium Sativum Bulb Source – Heart &amp; Immune Antioxidant Supplements – Non-GMO</t>
  </si>
  <si>
    <t>B0CF3CTC2V</t>
  </si>
  <si>
    <t>DEAL SUPPLEMENT Vitamin D3 50,000 IU + K2 MK7 200 mcg,240 Softgels | Virgin Coconut Oil, Max Strength Vitamin D &amp; K, Promotes Heart, Bone, &amp; Teeth Health – One Softgel Weekly, Easy to Swallow</t>
  </si>
  <si>
    <t>B0C8LR3L5M</t>
  </si>
  <si>
    <t xml:space="preserve">Vitamin D3K2 2000IU with coconut oil </t>
  </si>
  <si>
    <t>B0DCJ6L37S</t>
  </si>
  <si>
    <t>Vitamin B3 Nicotinamide 1,000mg Per Serving – 500 Capsules, Flush Free Niacin, Essential B3 Vitamin Supplement – Supports Healthy Skin &amp; Energy Production – Non-GMO</t>
  </si>
  <si>
    <t>B0C2X6VR58</t>
  </si>
  <si>
    <t>Vitamin B2 400mg (Riboflavin) | with Magnesium Glycinate 400mg, 240 Capsules – 2 in 1 Support Healthy Nervous System, Mood, Blood &amp; Energy Production, Non-GMO</t>
  </si>
  <si>
    <t>B085PZLP29</t>
  </si>
  <si>
    <t>Essential Amino Acids (EAA) 2000mg Per Serving, 300 Capsules – Unflavored - 9 in 1, All BCAAs (Branched-Chain Aminos) – Lean Muscle Support &amp; Natural Pre Workout Supplement</t>
  </si>
  <si>
    <t>B0BWH3JMNB</t>
  </si>
  <si>
    <t>DEAL SUPPLEMENT Methyl B-12 Vitamins 5000 mcg, 240 Chewable Tablets | Active Form - Strawberry Flavored - Energy Support &amp; Brain Health Function - Vegetarian &amp; GMO Free</t>
  </si>
  <si>
    <t>B0BKR522Q9</t>
  </si>
  <si>
    <t>DEAL SUPPLEMENT Unflavored Pea Protein Powder, 5lbs – Premium North American Grown Peas – Easily Digested Isolate Form – Great for Shakes, Bars, or Snacks – 27g Protein Serving, Soy Free, Vegan</t>
  </si>
  <si>
    <t>B0C2WJHQLT</t>
  </si>
  <si>
    <t>DEAL SUPPLEMENT Premium K Complete - High Potency Vitamin K1, K2 MK-7 &amp; MK-4 Complex, 200 Coconut Oil Infused Softgels - Full Spectrum Triple Vitamin K, Optimal Bone &amp; Heart Health Support</t>
  </si>
  <si>
    <t>B0BWH7QPX6</t>
  </si>
  <si>
    <t>Psyllium Husk Fiber, 300 Capsules | 1500mg Per Serving, Complexed with Inulin &amp; Acacia – Natural Soluble Fiber Supplement, Plant Based, Non-GMO | Supports Digestive and Colon Health for Men and Women</t>
  </si>
  <si>
    <t>B0BKR4ZNH1</t>
  </si>
  <si>
    <t>9.9低價產品</t>
  </si>
  <si>
    <t xml:space="preserve">CoQ10 300mg with Omega-3 capsules 240 count </t>
  </si>
  <si>
    <t>B0F1C28KV6</t>
  </si>
  <si>
    <t xml:space="preserve">Organic Mushroom Coffee Jar 10oz </t>
  </si>
  <si>
    <t>B0DJWQN3G7</t>
  </si>
  <si>
    <t>2 Pack Magnesium Glycinate 500mg, 480 Veggie Capsules | Chelated for Easy Absorption | Highly Purified Essential Trace Mineral for Muscle, Joint, Heart, &amp; Digestive Health</t>
  </si>
  <si>
    <t>B0C6V5K27L</t>
  </si>
  <si>
    <t>Magnesium Complex Supplement 500mg, 240 Veggie Capsules – 10 in 1 Blend with Glycinate, Citrate, Malate, &amp; More – Chelated for Easy Absorption – Muscle, Joint, &amp; Relaxation Support</t>
  </si>
  <si>
    <t>B07WS2TFP1</t>
  </si>
  <si>
    <t>B0F1BWQL3C</t>
  </si>
  <si>
    <t>Vitamin D3 10,000 IU + K2 MK7 200 mcg, Infused with Virgin Coconut Oil, 250 Softgels, Double Strength Vitamin D &amp; K, Promotes Heart, Bone &amp; Teeth Health - Very Easy to Swallow</t>
  </si>
  <si>
    <t>B08FXX6WSZ</t>
  </si>
  <si>
    <t xml:space="preserve">Omega 3-6-9 3600mg 240 count </t>
  </si>
  <si>
    <t>B0F1C8CM23</t>
  </si>
  <si>
    <t>Ginkgo Biloba 500mg Per Serving, 300 Capsules, 5 Month Supply – Grown in Northern Asia – Extra Strength, Non-GMO, No Gluten</t>
  </si>
  <si>
    <t>B081NW5N61</t>
  </si>
  <si>
    <t>Magnesium Glycinate 400mg | Elemental Magnesium - 300 Capsules | Chelated for Easy Absorption | Highly Purified Essential Trace Mineral for Muscle, Joint, Heart, &amp; Immune Support</t>
  </si>
  <si>
    <t>B0BKRPXKWD</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</si>
  <si>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</si>
  <si>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</si>
  <si>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</si>
  <si>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Allulose Sweetener 6 Pounds</t>
  </si>
  <si>
    <t>B0F2L717LV</t>
  </si>
  <si>
    <t>Nitric Oxide Booster 3,000mg Per Serving, 300 Capsules</t>
  </si>
  <si>
    <t>B0CZGHL1TW</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</si>
  <si>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</si>
  <si>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</si>
  <si>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</si>
  <si>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Pumpkin Seed Oil 3,000mg with Saw Palmetto, 240 Softgels</t>
  </si>
  <si>
    <t>B0FCW9DX6Y</t>
  </si>
  <si>
    <t>Myo-Inositol &amp; D-Chiro Inositol Supplement for Women 40:1</t>
  </si>
  <si>
    <t>B0FCWBBR9Z</t>
  </si>
  <si>
    <t>Brand</t>
  </si>
  <si>
    <t>Name</t>
  </si>
  <si>
    <t>Asin</t>
  </si>
  <si>
    <t>Units 28 Days</t>
  </si>
  <si>
    <t>Daily Units</t>
  </si>
  <si>
    <t>Actual Ad Spend</t>
  </si>
  <si>
    <t>Expected Budget</t>
  </si>
  <si>
    <t>1.2X</t>
  </si>
  <si>
    <t>Responsible</t>
  </si>
  <si>
    <t xml:space="preserve">Comments </t>
  </si>
  <si>
    <t xml:space="preserve">Review </t>
  </si>
  <si>
    <t>Micro Ingredients</t>
  </si>
  <si>
    <t>NatureBell</t>
  </si>
  <si>
    <t>Deal Supplement</t>
  </si>
  <si>
    <t>新品, 拆了VAR少了Badge銷量下滑到50-60間, 保持一定權重, 縮減預算先, KW提TOP/Rest到120/30, Phrase降品牌詞, 降oregano詞的base 0.1, 跑black seeds oil的詞, PT提TOP 10%降花錢#1競品base 0.05</t>
  </si>
  <si>
    <t>新品, 溢價賣了, KW提TOP/Rest到100/15,</t>
  </si>
  <si>
    <t>新品差一元漲回原價, 漲價後銷量穩定40-50間, 主要競品就是Anthoney跟Kate, Kate小包裝單價低, 評論少先縮減PT預算到30, 下調PT整體base 0.1, 控制預算合格內跑, KW下調IS拿到15%以上佔比的花錢主詞,</t>
  </si>
  <si>
    <t>B08MX256RL</t>
  </si>
  <si>
    <t>B08C73K1PR</t>
  </si>
  <si>
    <t>B07W86RNBX</t>
  </si>
  <si>
    <t>B087F1HYB7</t>
  </si>
  <si>
    <t>B0CG7C5X2F</t>
  </si>
  <si>
    <t>B07RD8TVDG</t>
  </si>
  <si>
    <t>B01M3YCOJ4</t>
  </si>
  <si>
    <t>B01DPW5DD8</t>
  </si>
  <si>
    <t>B0CLFG8QLY</t>
  </si>
  <si>
    <t>B0CFPQWQNC</t>
  </si>
  <si>
    <t>B092373KF3</t>
  </si>
  <si>
    <t>B0D2MDHWT5</t>
  </si>
  <si>
    <t>B07W8XG27G</t>
  </si>
  <si>
    <t>B0872L4YZS</t>
  </si>
  <si>
    <t>B0BSP1W5JW</t>
  </si>
  <si>
    <t>B085WGL72X</t>
  </si>
  <si>
    <t>B0C8M8MQMR</t>
  </si>
  <si>
    <t>B0BFJXC2JN</t>
  </si>
  <si>
    <t>B081NWFC6W</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</si>
  <si>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</si>
  <si>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</si>
  <si>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</si>
  <si>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</si>
  <si>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</si>
  <si>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</si>
  <si>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</si>
  <si>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</si>
  <si>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</si>
  <si>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</si>
  <si>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</si>
  <si>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</si>
  <si>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</si>
  <si>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</si>
  <si>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</si>
  <si>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</si>
  <si>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</si>
  <si>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</si>
  <si>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</si>
  <si>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</si>
  <si>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</si>
  <si>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</si>
  <si>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</si>
  <si>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</si>
  <si>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</si>
  <si>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</si>
  <si>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</si>
  <si>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</si>
  <si>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2025-04</t>
  </si>
  <si>
    <t>2025-05</t>
  </si>
  <si>
    <t>2025-06</t>
  </si>
  <si>
    <t>2025-07</t>
  </si>
  <si>
    <t>2025-08</t>
  </si>
  <si>
    <t>2025-09</t>
  </si>
  <si>
    <t>2025-10</t>
  </si>
  <si>
    <t>2025-11</t>
  </si>
  <si>
    <t>2025-12</t>
  </si>
  <si>
    <t>Year to Date</t>
  </si>
  <si>
    <t>MI</t>
  </si>
  <si>
    <t>NB</t>
  </si>
  <si>
    <t>DS</t>
  </si>
  <si>
    <t>Total</t>
  </si>
  <si>
    <t>$ Ad Sales</t>
  </si>
  <si>
    <t>$ Spend</t>
  </si>
  <si>
    <t>Acos</t>
  </si>
  <si>
    <t>%</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</si>
  <si>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</si>
  <si>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</si>
  <si>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</si>
  <si>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</si>
  <si>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</si>
  <si>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</si>
  <si>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</si>
  <si>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</si>
  <si>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</si>
  <si>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</si>
  <si>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</si>
  <si>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</si>
  <si>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</si>
  <si>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</si>
  <si>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</si>
  <si>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</si>
  <si>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</si>
  <si>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</si>
  <si>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</si>
  <si>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</si>
  <si>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</si>
  <si>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</si>
  <si>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</si>
  <si>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</si>
  <si>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</si>
  <si>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</si>
  <si>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Sum of Units Ordered (2/1-2/28)</t>
  </si>
  <si>
    <t>Sum of Session (2/1-2/28)</t>
  </si>
  <si>
    <t>Sum of Units Ordered (3/1-3/31)</t>
  </si>
  <si>
    <t>Sum of Session (3/1-3/31)</t>
  </si>
  <si>
    <t>Sum of Units Ordered (4/1-4/28)</t>
  </si>
  <si>
    <t>Sum of Session (4/1-4/28)</t>
  </si>
  <si>
    <t>B07G7YPJSJ</t>
  </si>
  <si>
    <t>B07P3HDQD9</t>
  </si>
  <si>
    <t>B07WTXS4BL</t>
  </si>
  <si>
    <t>B085176YLP</t>
  </si>
  <si>
    <t>B086M6FBG4</t>
  </si>
  <si>
    <t>B08C4NZQYY</t>
  </si>
  <si>
    <t>B08WHGBYD3</t>
  </si>
  <si>
    <t>B08WHPNJTT</t>
  </si>
  <si>
    <t>B08X6N1YBK</t>
  </si>
  <si>
    <t>B01MTLG2HR</t>
  </si>
  <si>
    <t>B0BWH9Y7PZ</t>
  </si>
  <si>
    <t>B0C2SKQBDB</t>
  </si>
  <si>
    <t>B0C2W734WL</t>
  </si>
  <si>
    <t>B0C6VXPZTS</t>
  </si>
  <si>
    <t>B0C6W3MPRS</t>
  </si>
  <si>
    <t>B0C6WK3P6H</t>
  </si>
  <si>
    <t>B0C6WRVJQV</t>
  </si>
  <si>
    <t>B0C6WZJ2K6</t>
  </si>
  <si>
    <t>B0C6X5CZ98</t>
  </si>
  <si>
    <t>B0C88PXW63</t>
  </si>
  <si>
    <t>B0C8LWRXVV</t>
  </si>
  <si>
    <t>B0C8LXD8F2</t>
  </si>
  <si>
    <t>B0C8QZLF18</t>
  </si>
  <si>
    <t>B0CVTNMFSK</t>
  </si>
  <si>
    <t>B0CXGX8QTQ</t>
  </si>
  <si>
    <t>B0CYKDW4QQ</t>
  </si>
  <si>
    <t>B0D21244KR</t>
  </si>
  <si>
    <t>B0D2FGQB84</t>
  </si>
  <si>
    <t>B0D2FTRPL1</t>
  </si>
  <si>
    <t>B0D7B94P8D</t>
  </si>
  <si>
    <t>B0DCHGCFBS</t>
  </si>
  <si>
    <t>B0DCHJ1H44</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</si>
  <si>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</si>
  <si>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</si>
  <si>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</si>
  <si>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</si>
  <si>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</si>
  <si>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</si>
  <si>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</si>
  <si>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</si>
  <si>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</si>
  <si>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</si>
  <si>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</si>
  <si>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</si>
  <si>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</si>
  <si>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</si>
  <si>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</si>
  <si>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</si>
  <si>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</si>
  <si>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</si>
  <si>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</si>
  <si>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</si>
  <si>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</si>
  <si>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</si>
  <si>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</si>
  <si>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</si>
  <si>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</si>
  <si>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</si>
  <si>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</si>
  <si>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</si>
  <si>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</si>
  <si>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</si>
  <si>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</si>
  <si>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</si>
  <si>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</si>
  <si>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FEB</t>
  </si>
  <si>
    <t>MAR</t>
  </si>
  <si>
    <t>APR</t>
  </si>
  <si>
    <t>MAY</t>
  </si>
  <si>
    <t>JUN</t>
  </si>
  <si>
    <t>JUL</t>
  </si>
  <si>
    <t>AUG</t>
  </si>
  <si>
    <t>SEP</t>
  </si>
  <si>
    <t>OCT</t>
  </si>
  <si>
    <t>NOV</t>
  </si>
  <si>
    <t>DEC</t>
  </si>
  <si>
    <t>Jan</t>
  </si>
  <si>
    <t>Feb</t>
  </si>
  <si>
    <t>Mar</t>
  </si>
  <si>
    <t>Apr</t>
  </si>
  <si>
    <t>May</t>
  </si>
  <si>
    <t>June</t>
  </si>
  <si>
    <t>August</t>
  </si>
  <si>
    <t>B0BR4NQGSC</t>
  </si>
  <si>
    <t>B01JNNAGEY</t>
  </si>
  <si>
    <t>B09TG497BW</t>
  </si>
  <si>
    <t>B07L44PJYM</t>
  </si>
  <si>
    <t>B0B239F6JW</t>
  </si>
  <si>
    <t>B0BCMY5TBJ</t>
  </si>
  <si>
    <t>B0CG7M7PRM</t>
  </si>
  <si>
    <t>B01N91404L</t>
  </si>
  <si>
    <t>B01DPW5EIM</t>
  </si>
  <si>
    <t>B07CRQ7NJ5</t>
  </si>
  <si>
    <t>B01DPW5MJI</t>
  </si>
  <si>
    <t>B09SBP5D35</t>
  </si>
  <si>
    <t>B01N02YD5I</t>
  </si>
  <si>
    <t>B01BHF3J4K</t>
  </si>
  <si>
    <t>B08C9JP3L2</t>
  </si>
  <si>
    <t>B08MX453B9</t>
  </si>
  <si>
    <t>B08C77PT4J</t>
  </si>
  <si>
    <t>B07P3H1872</t>
  </si>
  <si>
    <t>B07L47VZ1Z</t>
  </si>
  <si>
    <t>B0C35H2G42</t>
  </si>
  <si>
    <t>B07P3HRXK4</t>
  </si>
  <si>
    <t>B0B43XFX6P</t>
  </si>
  <si>
    <t>B0CG2L2N1J</t>
  </si>
  <si>
    <t>B0BSP38B2S</t>
  </si>
  <si>
    <t>B076B63VJC</t>
  </si>
  <si>
    <t>B0C2SCGYD4</t>
  </si>
  <si>
    <t>B09WXLZZRX</t>
  </si>
  <si>
    <t>B07R8FQG58</t>
  </si>
  <si>
    <t>B0C2SH4J85</t>
  </si>
  <si>
    <t>B087CMLT8J</t>
  </si>
  <si>
    <t>B076XMGV8M</t>
  </si>
  <si>
    <t>B07Y8Y19GR</t>
  </si>
  <si>
    <t>B08QDRP99J</t>
  </si>
  <si>
    <t>B08QDZLP2G</t>
  </si>
  <si>
    <t>B07G8GGRNT</t>
  </si>
  <si>
    <t>B0B9HVBQ4F</t>
  </si>
  <si>
    <t>B0BSJ4RLWX</t>
  </si>
  <si>
    <t>B0923BYLMS</t>
  </si>
  <si>
    <t>B0BFJVZYN5</t>
  </si>
  <si>
    <t>B07MTTWGWJ</t>
  </si>
  <si>
    <t>B0BJ1BRV7Z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</si>
</sst>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quot;$&quot;* #,##0.0_);_(&quot;$&quot;* \(#,##0.0\);_(&quot;$&quot;* &quot;-&quot;??_);_(@_)"/>
    <numFmt numFmtId="170" formatCode="_([$$-409]* #,##0.00_);_([$$-409]* \(#,##0.00\);_([$$-409]* &quot;-&quot;??_);_(@_)"/>
    <numFmt numFmtId="171" formatCode="&quot;$&quot;#,##0.00"/>
  </numFmts>
  <fonts count="14">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charset val="1"/>
      <scheme val="minor"/>
    </font>
    <font>
      <sz val="11"/>
      <color rgb="FF000000"/>
      <name val="Calibri"/>
      <family val="2"/>
      <charset val="1"/>
      <scheme val="minor"/>
    </font>
    <font>
      <b/>
      <sz val="11"/>
      <color rgb="FFFF0000"/>
      <name val="Calibri"/>
      <family val="2"/>
      <scheme val="minor"/>
    </font>
    <font>
      <sz val="8"/>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theme="7" tint="0.59999389629810485"/>
        <bgColor indexed="64"/>
      </patternFill>
    </fill>
  </fills>
  <borders count="50">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thin">
        <color rgb="FF4472C4"/>
      </left>
      <right style="medium">
        <color indexed="64"/>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thin">
        <color rgb="FF4472C4"/>
      </left>
      <right style="medium">
        <color indexed="64"/>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style="thin">
        <color rgb="FF4472C4"/>
      </left>
      <right style="medium">
        <color indexed="64"/>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right/>
      <top style="medium">
        <color rgb="FF000000"/>
      </top>
      <bottom style="thin">
        <color rgb="FF000000"/>
      </bottom>
      <diagonal/>
    </border>
    <border>
      <left/>
      <right/>
      <top style="thin">
        <color rgb="FF000000"/>
      </top>
      <bottom style="thin">
        <color rgb="FF000000"/>
      </bottom>
      <diagonal/>
    </border>
    <border>
      <left/>
      <right/>
      <top/>
      <bottom style="medium">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style="medium">
        <color indexed="64"/>
      </top>
      <bottom/>
      <diagonal/>
    </border>
    <border>
      <left style="medium">
        <color rgb="FF000000"/>
      </left>
      <right style="medium">
        <color rgb="FF000000"/>
      </right>
      <top style="thin">
        <color rgb="FF4472C4"/>
      </top>
      <bottom/>
      <diagonal/>
    </border>
    <border>
      <left style="medium">
        <color rgb="FF000000"/>
      </left>
      <right style="medium">
        <color rgb="FF000000"/>
      </right>
      <top style="thin">
        <color rgb="FF4472C4"/>
      </top>
      <bottom style="thin">
        <color rgb="FF4472C4"/>
      </bottom>
      <diagonal/>
    </border>
    <border>
      <left style="medium">
        <color rgb="FF000000"/>
      </left>
      <right style="medium">
        <color rgb="FF000000"/>
      </right>
      <top style="thin">
        <color rgb="FF4472C4"/>
      </top>
      <bottom style="medium">
        <color rgb="FF000000"/>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91">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2" fillId="0" borderId="0" xfId="2" applyNumberFormat="1" applyFont="1" applyAlignment="1">
      <alignment horizontal="center"/>
    </xf>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0" fillId="4" borderId="0" xfId="0" applyFill="1"/>
    <xf numFmtId="0" fontId="0" fillId="5" borderId="0" xfId="0" applyFill="1"/>
    <xf numFmtId="0" fontId="0" fillId="2" borderId="0" xfId="0" applyFill="1"/>
    <xf numFmtId="0" fontId="0" fillId="6" borderId="0" xfId="0" applyFill="1"/>
    <xf numFmtId="0" fontId="0" fillId="7" borderId="0" xfId="0" applyFill="1"/>
    <xf numFmtId="0" fontId="0" fillId="8" borderId="0" xfId="0" applyFill="1"/>
    <xf numFmtId="10" fontId="0" fillId="4" borderId="0" xfId="1" applyNumberFormat="1" applyFont="1" applyFill="1"/>
    <xf numFmtId="10" fontId="0" fillId="5" borderId="0" xfId="1" applyNumberFormat="1" applyFont="1" applyFill="1"/>
    <xf numFmtId="10" fontId="0" fillId="2" borderId="0" xfId="1" applyNumberFormat="1" applyFont="1" applyFill="1"/>
    <xf numFmtId="10" fontId="0" fillId="6" borderId="0" xfId="1" applyNumberFormat="1" applyFont="1" applyFill="1"/>
    <xf numFmtId="10" fontId="0" fillId="7" borderId="0" xfId="1" applyNumberFormat="1" applyFont="1" applyFill="1"/>
    <xf numFmtId="10" fontId="0" fillId="8" borderId="0" xfId="1" applyNumberFormat="1" applyFont="1" applyFill="1"/>
    <xf numFmtId="0" fontId="0" fillId="9" borderId="0" xfId="0" applyFill="1"/>
    <xf numFmtId="10" fontId="0" fillId="9" borderId="0" xfId="1" applyNumberFormat="1" applyFont="1" applyFill="1"/>
    <xf numFmtId="0" fontId="10" fillId="0" borderId="0" xfId="0" applyFont="1"/>
    <xf numFmtId="0" fontId="7" fillId="0" borderId="0" xfId="0" applyFont="1" applyAlignment="1">
      <alignment vertical="justify"/>
    </xf>
    <xf numFmtId="0" fontId="11" fillId="0" borderId="0" xfId="0" applyFont="1" applyAlignment="1">
      <alignment vertical="center"/>
    </xf>
    <xf numFmtId="0" fontId="10" fillId="0" borderId="0" xfId="0" applyFont="1" applyAlignment="1">
      <alignment vertical="center"/>
    </xf>
    <xf numFmtId="0" fontId="8" fillId="0" borderId="5" xfId="0" applyFont="1" applyBorder="1"/>
    <xf numFmtId="0" fontId="8" fillId="0" borderId="6" xfId="0" applyFont="1" applyBorder="1"/>
    <xf numFmtId="0" fontId="8" fillId="10" borderId="2" xfId="0" applyFont="1" applyFill="1" applyBorder="1"/>
    <xf numFmtId="8" fontId="9" fillId="10"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10" borderId="12" xfId="0" applyFont="1" applyFill="1" applyBorder="1"/>
    <xf numFmtId="8" fontId="9" fillId="10" borderId="13" xfId="0" applyNumberFormat="1" applyFont="1" applyFill="1" applyBorder="1"/>
    <xf numFmtId="0" fontId="8" fillId="11" borderId="15" xfId="0" applyFont="1" applyFill="1" applyBorder="1"/>
    <xf numFmtId="8" fontId="9" fillId="11" borderId="16" xfId="0" applyNumberFormat="1" applyFont="1" applyFill="1" applyBorder="1"/>
    <xf numFmtId="0" fontId="8" fillId="0" borderId="0" xfId="0" applyFont="1"/>
    <xf numFmtId="0" fontId="9" fillId="10" borderId="7" xfId="0" applyFont="1" applyFill="1" applyBorder="1"/>
    <xf numFmtId="0" fontId="9" fillId="0" borderId="10" xfId="0" applyFont="1" applyBorder="1"/>
    <xf numFmtId="0" fontId="9" fillId="10" borderId="13" xfId="0" applyFont="1" applyFill="1" applyBorder="1"/>
    <xf numFmtId="0" fontId="9" fillId="11" borderId="16" xfId="0" applyFont="1" applyFill="1" applyBorder="1"/>
    <xf numFmtId="0" fontId="8" fillId="10" borderId="18" xfId="0" applyFont="1" applyFill="1" applyBorder="1"/>
    <xf numFmtId="10" fontId="9" fillId="10" borderId="7" xfId="0" applyNumberFormat="1" applyFont="1" applyFill="1" applyBorder="1"/>
    <xf numFmtId="0" fontId="8" fillId="0" borderId="19" xfId="0" applyFont="1" applyBorder="1"/>
    <xf numFmtId="10" fontId="9" fillId="0" borderId="10" xfId="0" applyNumberFormat="1" applyFont="1" applyBorder="1"/>
    <xf numFmtId="0" fontId="8" fillId="10" borderId="20" xfId="0" applyFont="1" applyFill="1" applyBorder="1"/>
    <xf numFmtId="10" fontId="9" fillId="10" borderId="13" xfId="0" applyNumberFormat="1" applyFont="1" applyFill="1" applyBorder="1"/>
    <xf numFmtId="0" fontId="8" fillId="11" borderId="21" xfId="0" applyFont="1" applyFill="1" applyBorder="1"/>
    <xf numFmtId="10" fontId="9" fillId="11" borderId="16"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10" borderId="22" xfId="0" applyFont="1" applyFill="1" applyBorder="1"/>
    <xf numFmtId="3" fontId="9" fillId="10" borderId="23" xfId="0" applyNumberFormat="1" applyFont="1" applyFill="1" applyBorder="1"/>
    <xf numFmtId="0" fontId="8" fillId="0" borderId="24" xfId="0" applyFont="1" applyBorder="1"/>
    <xf numFmtId="3" fontId="9" fillId="0" borderId="25" xfId="0" applyNumberFormat="1" applyFont="1" applyBorder="1"/>
    <xf numFmtId="0" fontId="8" fillId="10" borderId="24" xfId="0" applyFont="1" applyFill="1" applyBorder="1"/>
    <xf numFmtId="3" fontId="9" fillId="10" borderId="25" xfId="0" applyNumberFormat="1" applyFont="1" applyFill="1" applyBorder="1"/>
    <xf numFmtId="0" fontId="8" fillId="11" borderId="24" xfId="0" applyFont="1" applyFill="1" applyBorder="1"/>
    <xf numFmtId="3" fontId="9" fillId="11" borderId="25" xfId="0" applyNumberFormat="1" applyFont="1" applyFill="1" applyBorder="1"/>
    <xf numFmtId="0" fontId="7" fillId="0" borderId="26" xfId="0" applyFont="1" applyBorder="1"/>
    <xf numFmtId="0" fontId="7" fillId="0" borderId="27" xfId="0" applyFont="1" applyBorder="1"/>
    <xf numFmtId="9" fontId="7" fillId="0" borderId="27" xfId="0" applyNumberFormat="1" applyFont="1" applyBorder="1"/>
    <xf numFmtId="8" fontId="9" fillId="10" borderId="2" xfId="0" applyNumberFormat="1" applyFont="1" applyFill="1" applyBorder="1"/>
    <xf numFmtId="8" fontId="9" fillId="0" borderId="9" xfId="0" applyNumberFormat="1" applyFont="1" applyBorder="1"/>
    <xf numFmtId="8" fontId="9" fillId="10" borderId="12" xfId="0" applyNumberFormat="1" applyFont="1" applyFill="1" applyBorder="1"/>
    <xf numFmtId="8" fontId="9" fillId="11" borderId="15" xfId="0" applyNumberFormat="1" applyFont="1" applyFill="1" applyBorder="1"/>
    <xf numFmtId="10" fontId="9" fillId="10" borderId="2" xfId="0" applyNumberFormat="1" applyFont="1" applyFill="1" applyBorder="1"/>
    <xf numFmtId="10" fontId="9" fillId="10" borderId="8" xfId="0" applyNumberFormat="1" applyFont="1" applyFill="1" applyBorder="1"/>
    <xf numFmtId="10" fontId="9" fillId="0" borderId="9" xfId="0" applyNumberFormat="1" applyFont="1" applyBorder="1"/>
    <xf numFmtId="10" fontId="9" fillId="0" borderId="11" xfId="0" applyNumberFormat="1" applyFont="1" applyBorder="1"/>
    <xf numFmtId="10" fontId="9" fillId="10" borderId="12" xfId="0" applyNumberFormat="1" applyFont="1" applyFill="1" applyBorder="1"/>
    <xf numFmtId="10" fontId="9" fillId="10" borderId="14" xfId="0" applyNumberFormat="1" applyFont="1" applyFill="1" applyBorder="1"/>
    <xf numFmtId="10" fontId="9" fillId="11" borderId="15" xfId="0" applyNumberFormat="1" applyFont="1" applyFill="1" applyBorder="1"/>
    <xf numFmtId="10" fontId="9" fillId="11" borderId="17" xfId="0" applyNumberFormat="1" applyFont="1" applyFill="1" applyBorder="1"/>
    <xf numFmtId="3" fontId="9" fillId="10" borderId="28" xfId="0" applyNumberFormat="1" applyFont="1" applyFill="1" applyBorder="1"/>
    <xf numFmtId="3" fontId="9" fillId="0" borderId="29" xfId="0" applyNumberFormat="1" applyFont="1" applyBorder="1"/>
    <xf numFmtId="3" fontId="9" fillId="10" borderId="29" xfId="0" applyNumberFormat="1" applyFont="1" applyFill="1" applyBorder="1"/>
    <xf numFmtId="3" fontId="9" fillId="11" borderId="29" xfId="0" applyNumberFormat="1" applyFont="1" applyFill="1" applyBorder="1"/>
    <xf numFmtId="9" fontId="7" fillId="0" borderId="30" xfId="0" applyNumberFormat="1" applyFont="1" applyBorder="1"/>
    <xf numFmtId="3" fontId="9" fillId="10" borderId="31" xfId="0" applyNumberFormat="1" applyFont="1" applyFill="1" applyBorder="1"/>
    <xf numFmtId="3" fontId="9" fillId="0" borderId="32" xfId="0" applyNumberFormat="1" applyFont="1" applyBorder="1"/>
    <xf numFmtId="3" fontId="9" fillId="10" borderId="32" xfId="0" applyNumberFormat="1" applyFont="1" applyFill="1" applyBorder="1"/>
    <xf numFmtId="9" fontId="7" fillId="0" borderId="33" xfId="0" applyNumberFormat="1" applyFont="1" applyBorder="1"/>
    <xf numFmtId="3" fontId="9" fillId="10" borderId="34" xfId="0" applyNumberFormat="1" applyFont="1" applyFill="1" applyBorder="1"/>
    <xf numFmtId="3" fontId="9" fillId="10" borderId="35" xfId="0" applyNumberFormat="1" applyFont="1" applyFill="1" applyBorder="1"/>
    <xf numFmtId="3" fontId="9" fillId="0" borderId="36" xfId="0" applyNumberFormat="1" applyFont="1" applyBorder="1"/>
    <xf numFmtId="3" fontId="9" fillId="10" borderId="36" xfId="0" applyNumberFormat="1" applyFont="1" applyFill="1" applyBorder="1"/>
    <xf numFmtId="3" fontId="9" fillId="11" borderId="36" xfId="0" applyNumberFormat="1" applyFont="1" applyFill="1" applyBorder="1"/>
    <xf numFmtId="9" fontId="7" fillId="0" borderId="37" xfId="0" applyNumberFormat="1" applyFont="1" applyBorder="1"/>
    <xf numFmtId="9" fontId="7" fillId="0" borderId="38" xfId="0" applyNumberFormat="1" applyFont="1" applyBorder="1"/>
    <xf numFmtId="44" fontId="9" fillId="10" borderId="8" xfId="2" applyFont="1" applyFill="1" applyBorder="1"/>
    <xf numFmtId="43" fontId="9" fillId="10" borderId="8" xfId="3" applyFont="1" applyFill="1" applyBorder="1"/>
    <xf numFmtId="44" fontId="9" fillId="0" borderId="11" xfId="2" applyFont="1" applyBorder="1"/>
    <xf numFmtId="44" fontId="9" fillId="10" borderId="14" xfId="2" applyFont="1" applyFill="1" applyBorder="1"/>
    <xf numFmtId="44" fontId="9" fillId="11" borderId="17" xfId="2" applyFont="1" applyFill="1" applyBorder="1"/>
    <xf numFmtId="169" fontId="9" fillId="0" borderId="11" xfId="2" applyNumberFormat="1" applyFont="1" applyBorder="1"/>
    <xf numFmtId="169" fontId="9" fillId="10" borderId="14" xfId="2" applyNumberFormat="1" applyFont="1" applyFill="1" applyBorder="1"/>
    <xf numFmtId="169" fontId="9" fillId="11" borderId="17" xfId="2" applyNumberFormat="1" applyFont="1" applyFill="1" applyBorder="1"/>
    <xf numFmtId="164" fontId="4" fillId="0" borderId="0" xfId="2" applyNumberFormat="1" applyFont="1"/>
    <xf numFmtId="164" fontId="12"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3" applyNumberFormat="1" applyFont="1"/>
    <xf numFmtId="44" fontId="0" fillId="0" borderId="0" xfId="0" applyNumberFormat="1"/>
    <xf numFmtId="0" fontId="4" fillId="0" borderId="0" xfId="0" applyFont="1"/>
    <xf numFmtId="0" fontId="12" fillId="2" borderId="0" xfId="0" applyFont="1" applyFill="1" applyAlignment="1">
      <alignment horizontal="center"/>
    </xf>
    <xf numFmtId="0" fontId="4" fillId="0" borderId="0" xfId="0" applyFont="1" applyAlignment="1">
      <alignment horizontal="left" vertical="top"/>
    </xf>
    <xf numFmtId="0" fontId="4" fillId="12" borderId="0" xfId="0" applyFont="1" applyFill="1"/>
    <xf numFmtId="167" fontId="7" fillId="0" borderId="0" xfId="3" applyNumberFormat="1" applyFont="1" applyAlignment="1">
      <alignment vertical="center"/>
    </xf>
    <xf numFmtId="4" fontId="4" fillId="0" borderId="0" xfId="2" applyNumberFormat="1" applyFont="1"/>
    <xf numFmtId="4" fontId="12" fillId="0" borderId="0" xfId="2" applyNumberFormat="1" applyFont="1"/>
    <xf numFmtId="0" fontId="2" fillId="3" borderId="0" xfId="0" applyFont="1" applyFill="1"/>
    <xf numFmtId="0" fontId="10" fillId="0" borderId="0" xfId="0" applyFont="1" applyAlignment="1">
      <alignment horizontal="left" vertical="center"/>
    </xf>
    <xf numFmtId="0" fontId="7" fillId="0" borderId="0" xfId="0" applyFont="1" applyAlignment="1">
      <alignment horizontal="left" vertical="justify"/>
    </xf>
    <xf numFmtId="44" fontId="0" fillId="0" borderId="0" xfId="2" applyFont="1"/>
    <xf numFmtId="0" fontId="0" fillId="13" borderId="0" xfId="0" applyFill="1"/>
    <xf numFmtId="10" fontId="0" fillId="13" borderId="0" xfId="1" applyNumberFormat="1" applyFont="1" applyFill="1"/>
    <xf numFmtId="170" fontId="0" fillId="0" borderId="0" xfId="3" applyNumberFormat="1" applyFont="1"/>
    <xf numFmtId="44" fontId="2" fillId="2" borderId="0" xfId="2" applyFont="1" applyFill="1" applyAlignment="1">
      <alignment horizontal="center"/>
    </xf>
    <xf numFmtId="0" fontId="7" fillId="0" borderId="0" xfId="0" applyFont="1" applyAlignment="1">
      <alignment vertical="justify" wrapText="1"/>
    </xf>
    <xf numFmtId="170" fontId="2" fillId="0" borderId="0" xfId="2" applyNumberFormat="1" applyFont="1" applyAlignment="1">
      <alignment horizontal="center"/>
    </xf>
    <xf numFmtId="170" fontId="0" fillId="0" borderId="0" xfId="2" applyNumberFormat="1" applyFont="1"/>
    <xf numFmtId="170" fontId="0" fillId="0" borderId="0" xfId="0" applyNumberFormat="1"/>
    <xf numFmtId="170" fontId="2" fillId="0" borderId="0" xfId="2" applyNumberFormat="1" applyFont="1"/>
    <xf numFmtId="0" fontId="7" fillId="0" borderId="0" xfId="0" applyFont="1" applyAlignment="1">
      <alignment vertical="center" wrapText="1"/>
    </xf>
    <xf numFmtId="0" fontId="7" fillId="0" borderId="0" xfId="0" applyFont="1" applyAlignment="1">
      <alignment horizontal="left" vertical="center"/>
    </xf>
    <xf numFmtId="0" fontId="7" fillId="0" borderId="0" xfId="0" applyFont="1" applyAlignment="1">
      <alignment vertical="top"/>
    </xf>
    <xf numFmtId="3" fontId="9" fillId="10" borderId="39" xfId="0" applyNumberFormat="1" applyFont="1" applyFill="1" applyBorder="1"/>
    <xf numFmtId="3" fontId="9" fillId="0" borderId="40" xfId="0" applyNumberFormat="1" applyFont="1" applyBorder="1"/>
    <xf numFmtId="3" fontId="9" fillId="10" borderId="40" xfId="0" applyNumberFormat="1" applyFont="1" applyFill="1" applyBorder="1"/>
    <xf numFmtId="9" fontId="7" fillId="0" borderId="41" xfId="0" applyNumberFormat="1" applyFont="1" applyBorder="1"/>
    <xf numFmtId="3" fontId="9" fillId="10" borderId="42" xfId="0" applyNumberFormat="1" applyFont="1" applyFill="1" applyBorder="1"/>
    <xf numFmtId="3" fontId="9" fillId="0" borderId="43" xfId="0" applyNumberFormat="1" applyFont="1" applyBorder="1"/>
    <xf numFmtId="3" fontId="9" fillId="10" borderId="43" xfId="0" applyNumberFormat="1" applyFont="1" applyFill="1" applyBorder="1"/>
    <xf numFmtId="3" fontId="9" fillId="11" borderId="43" xfId="0" applyNumberFormat="1" applyFont="1" applyFill="1" applyBorder="1"/>
    <xf numFmtId="9" fontId="7" fillId="0" borderId="44" xfId="0" applyNumberFormat="1" applyFont="1" applyBorder="1"/>
    <xf numFmtId="171" fontId="0" fillId="0" borderId="0" xfId="0" applyNumberFormat="1"/>
    <xf numFmtId="171" fontId="4" fillId="0" borderId="0" xfId="0" applyNumberFormat="1" applyFont="1"/>
    <xf numFmtId="0" fontId="0" fillId="12" borderId="0" xfId="0" applyFill="1"/>
    <xf numFmtId="164" fontId="4" fillId="0" borderId="0" xfId="2" applyNumberFormat="1" applyFont="1" applyBorder="1"/>
    <xf numFmtId="8" fontId="0" fillId="0" borderId="0" xfId="0" applyNumberFormat="1"/>
    <xf numFmtId="9" fontId="0" fillId="0" borderId="0" xfId="0" applyNumberFormat="1"/>
    <xf numFmtId="8" fontId="7" fillId="0" borderId="0" xfId="0" applyNumberFormat="1" applyFont="1"/>
    <xf numFmtId="43" fontId="9" fillId="0" borderId="0" xfId="3" applyFont="1" applyFill="1" applyBorder="1"/>
    <xf numFmtId="169" fontId="9" fillId="0" borderId="0" xfId="2" applyNumberFormat="1" applyFont="1" applyFill="1" applyBorder="1"/>
    <xf numFmtId="0" fontId="8" fillId="0" borderId="45" xfId="0" applyFont="1" applyBorder="1"/>
    <xf numFmtId="10" fontId="9" fillId="10" borderId="46" xfId="0" applyNumberFormat="1" applyFont="1" applyFill="1" applyBorder="1"/>
    <xf numFmtId="10" fontId="9" fillId="0" borderId="47" xfId="0" applyNumberFormat="1" applyFont="1" applyBorder="1"/>
    <xf numFmtId="10" fontId="9" fillId="10" borderId="48" xfId="0" applyNumberFormat="1" applyFont="1" applyFill="1" applyBorder="1"/>
    <xf numFmtId="10" fontId="9" fillId="11" borderId="49" xfId="0" applyNumberFormat="1" applyFont="1" applyFill="1" applyBorder="1"/>
    <xf numFmtId="0" fontId="2" fillId="0" borderId="0" xfId="0" applyFont="1" applyAlignment="1">
      <alignment horizontal="center"/>
    </xf>
    <xf numFmtId="17" fontId="2" fillId="0" borderId="0" xfId="0" applyNumberFormat="1" applyFont="1" applyAlignment="1">
      <alignment horizontal="center"/>
    </xf>
    <xf numFmtId="0" fontId="0" fillId="0" borderId="0" xfId="0" applyAlignment="1">
      <alignment horizontal="center"/>
    </xf>
    <xf numFmtId="164" fontId="2" fillId="0" borderId="0" xfId="2" applyNumberFormat="1" applyFont="1" applyAlignment="1">
      <alignment horizont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EC7C8F"/>
      <color rgb="FFFF0066"/>
      <color rgb="FFFFF3F3"/>
      <color rgb="FFFF993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253096339185256E-2"/>
          <c:y val="7.1500813835707958E-2"/>
          <c:w val="0.94334779700085036"/>
          <c:h val="0.79790631357952257"/>
        </c:manualLayout>
      </c:layout>
      <c:lineChart>
        <c:grouping val="standard"/>
        <c:varyColors val="0"/>
        <c:ser>
          <c:idx val="0"/>
          <c:order val="0"/>
          <c:tx>
            <c:strRef>
              <c:f>'ACOS &amp; TCOS'!$A$37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TCOS'!$B$37:$AG$37</c:f>
              <c:numCache>
                <c:formatCode>#,##0</c:formatCode>
                <c:ptCount val="32"/>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pt idx="25">
                  <c:v>615883</c:v>
                </c:pt>
                <c:pt idx="26">
                  <c:v>604860</c:v>
                </c:pt>
                <c:pt idx="27">
                  <c:v>683843</c:v>
                </c:pt>
                <c:pt idx="28">
                  <c:v>636705</c:v>
                </c:pt>
                <c:pt idx="29">
                  <c:v>621195</c:v>
                </c:pt>
                <c:pt idx="30">
                  <c:v>689495</c:v>
                </c:pt>
                <c:pt idx="31">
                  <c:v>689517</c:v>
                </c:pt>
              </c:numCache>
            </c:numRef>
          </c:val>
          <c:smooth val="0"/>
          <c:extLst>
            <c:ext xmlns:c16="http://schemas.microsoft.com/office/drawing/2014/chart" uri="{C3380CC4-5D6E-409C-BE32-E72D297353CC}">
              <c16:uniqueId val="{00000000-03C5-4E34-BFB7-9A35A14DE10F}"/>
            </c:ext>
          </c:extLst>
        </c:ser>
        <c:ser>
          <c:idx val="1"/>
          <c:order val="1"/>
          <c:tx>
            <c:strRef>
              <c:f>'ACOS &amp; TCOS'!$A$38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TCOS'!$B$38:$AG$38</c:f>
              <c:numCache>
                <c:formatCode>#,##0</c:formatCode>
                <c:ptCount val="32"/>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pt idx="25">
                  <c:v>247829</c:v>
                </c:pt>
                <c:pt idx="26">
                  <c:v>229484</c:v>
                </c:pt>
                <c:pt idx="27">
                  <c:v>226754</c:v>
                </c:pt>
                <c:pt idx="28">
                  <c:v>241827</c:v>
                </c:pt>
                <c:pt idx="29">
                  <c:v>238449</c:v>
                </c:pt>
                <c:pt idx="30">
                  <c:v>252691</c:v>
                </c:pt>
                <c:pt idx="31">
                  <c:v>248792</c:v>
                </c:pt>
              </c:numCache>
            </c:numRef>
          </c:val>
          <c:smooth val="0"/>
          <c:extLst>
            <c:ext xmlns:c16="http://schemas.microsoft.com/office/drawing/2014/chart" uri="{C3380CC4-5D6E-409C-BE32-E72D297353CC}">
              <c16:uniqueId val="{00000001-03C5-4E34-BFB7-9A35A14DE10F}"/>
            </c:ext>
          </c:extLst>
        </c:ser>
        <c:ser>
          <c:idx val="2"/>
          <c:order val="2"/>
          <c:tx>
            <c:strRef>
              <c:f>'ACOS &amp; TCOS'!$A$39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TCOS'!$B$39:$AG$39</c:f>
              <c:numCache>
                <c:formatCode>#,##0</c:formatCode>
                <c:ptCount val="32"/>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pt idx="25">
                  <c:v>171660</c:v>
                </c:pt>
                <c:pt idx="26">
                  <c:v>168751</c:v>
                </c:pt>
                <c:pt idx="27">
                  <c:v>167429</c:v>
                </c:pt>
                <c:pt idx="28">
                  <c:v>154307</c:v>
                </c:pt>
                <c:pt idx="29">
                  <c:v>166411</c:v>
                </c:pt>
                <c:pt idx="30">
                  <c:v>170327</c:v>
                </c:pt>
                <c:pt idx="31">
                  <c:v>159080</c:v>
                </c:pt>
              </c:numCache>
            </c:numRef>
          </c:val>
          <c:smooth val="0"/>
          <c:extLst>
            <c:ext xmlns:c16="http://schemas.microsoft.com/office/drawing/2014/chart" uri="{C3380CC4-5D6E-409C-BE32-E72D297353CC}">
              <c16:uniqueId val="{00000002-03C5-4E34-BFB7-9A35A14DE10F}"/>
            </c:ext>
          </c:extLst>
        </c:ser>
        <c:ser>
          <c:idx val="3"/>
          <c:order val="3"/>
          <c:tx>
            <c:strRef>
              <c:f>'ACOS &amp; TCOS'!$A$40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TCOS'!$B$40:$AG$40</c:f>
              <c:numCache>
                <c:formatCode>#,##0</c:formatCode>
                <c:ptCount val="32"/>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pt idx="25">
                  <c:v>1035372</c:v>
                </c:pt>
                <c:pt idx="26">
                  <c:v>1003095</c:v>
                </c:pt>
                <c:pt idx="27">
                  <c:v>1078026</c:v>
                </c:pt>
                <c:pt idx="28">
                  <c:v>1032839</c:v>
                </c:pt>
                <c:pt idx="29">
                  <c:v>1026055</c:v>
                </c:pt>
                <c:pt idx="30">
                  <c:v>1112513</c:v>
                </c:pt>
                <c:pt idx="31">
                  <c:v>1097389</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4944537749216404E-2"/>
          <c:y val="8.115657659416417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CVR!$A$432:$T$432</c:f>
              <c:strCache>
                <c:ptCount val="20"/>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June</c:v>
                </c:pt>
                <c:pt idx="18">
                  <c:v>July</c:v>
                </c:pt>
                <c:pt idx="19">
                  <c:v>August</c:v>
                </c:pt>
              </c:strCache>
            </c:strRef>
          </c:cat>
          <c:val>
            <c:numRef>
              <c:f>CVR!$A$433:$T$433</c:f>
              <c:numCache>
                <c:formatCode>0.00%</c:formatCode>
                <c:ptCount val="20"/>
                <c:pt idx="0">
                  <c:v>0.23766867074810491</c:v>
                </c:pt>
                <c:pt idx="1">
                  <c:v>0.23512254466103483</c:v>
                </c:pt>
                <c:pt idx="2">
                  <c:v>0.22321587377192004</c:v>
                </c:pt>
                <c:pt idx="3">
                  <c:v>0.22286411108917126</c:v>
                </c:pt>
                <c:pt idx="4">
                  <c:v>0.23518985959503899</c:v>
                </c:pt>
                <c:pt idx="5">
                  <c:v>0.2284846065729291</c:v>
                </c:pt>
                <c:pt idx="6">
                  <c:v>0.25431799544130079</c:v>
                </c:pt>
                <c:pt idx="7">
                  <c:v>0.25263021906879796</c:v>
                </c:pt>
                <c:pt idx="8">
                  <c:v>0.27559785699320583</c:v>
                </c:pt>
                <c:pt idx="9">
                  <c:v>0.28248952000158589</c:v>
                </c:pt>
                <c:pt idx="10">
                  <c:v>0.28460757844528012</c:v>
                </c:pt>
                <c:pt idx="11">
                  <c:v>0.26761354721576774</c:v>
                </c:pt>
                <c:pt idx="12">
                  <c:v>0.25655326446267845</c:v>
                </c:pt>
                <c:pt idx="13">
                  <c:v>0.26586442556975021</c:v>
                </c:pt>
                <c:pt idx="14">
                  <c:v>0.2691583864802044</c:v>
                </c:pt>
                <c:pt idx="15">
                  <c:v>0.2696972893725334</c:v>
                </c:pt>
                <c:pt idx="16">
                  <c:v>0.26180803845821882</c:v>
                </c:pt>
                <c:pt idx="17">
                  <c:v>0.27239999999999998</c:v>
                </c:pt>
                <c:pt idx="18">
                  <c:v>0.28406653769105228</c:v>
                </c:pt>
                <c:pt idx="19">
                  <c:v>0.26958061467591166</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38660</xdr:colOff>
      <xdr:row>47</xdr:row>
      <xdr:rowOff>105332</xdr:rowOff>
    </xdr:from>
    <xdr:to>
      <xdr:col>23</xdr:col>
      <xdr:colOff>537883</xdr:colOff>
      <xdr:row>99</xdr:row>
      <xdr:rowOff>0</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1324032</xdr:colOff>
      <xdr:row>439</xdr:row>
      <xdr:rowOff>2406</xdr:rowOff>
    </xdr:from>
    <xdr:to>
      <xdr:col>11</xdr:col>
      <xdr:colOff>1016000</xdr:colOff>
      <xdr:row>471</xdr:row>
      <xdr:rowOff>90934</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53"/>
  <sheetViews>
    <sheetView zoomScaleNormal="100" workbookViewId="0">
      <pane xSplit="2" ySplit="2" topLeftCell="N30" activePane="bottomRight" state="frozen"/>
      <selection pane="bottomRight" activeCell="A42" sqref="A42:XFD42"/>
      <selection pane="bottomLeft" activeCell="A3" sqref="A3"/>
      <selection pane="topRight" activeCell="C1" sqref="C1"/>
    </sheetView>
  </sheetViews>
  <sheetFormatPr defaultRowHeight="15" customHeight="1"/>
  <cols>
    <col min="1" max="1" width="67.28515625" customWidth="1"/>
    <col min="2" max="2" width="14.28515625" customWidth="1"/>
    <col min="3" max="3" width="17.140625"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19" width="1" customWidth="1"/>
    <col min="20" max="20" width="20.85546875" style="174" customWidth="1"/>
    <col min="21" max="21" width="12.140625" style="146" customWidth="1"/>
    <col min="22" max="22" width="10.28515625" customWidth="1"/>
    <col min="23" max="23" width="15.85546875" customWidth="1"/>
    <col min="24" max="24" width="15.42578125" customWidth="1"/>
    <col min="25" max="25" width="9.7109375" customWidth="1"/>
  </cols>
  <sheetData>
    <row r="1" spans="1:27" ht="14.45" customHeight="1">
      <c r="B1" s="188">
        <v>45839</v>
      </c>
      <c r="C1" s="187"/>
      <c r="E1" s="188">
        <v>45870</v>
      </c>
      <c r="F1" s="187"/>
      <c r="J1" s="189"/>
      <c r="K1" s="189"/>
      <c r="M1" s="190" t="s">
        <v>0</v>
      </c>
      <c r="N1" s="190"/>
      <c r="O1" s="1"/>
      <c r="Q1" s="10" t="s">
        <v>1</v>
      </c>
      <c r="R1" s="1"/>
      <c r="U1" s="187" t="s">
        <v>2</v>
      </c>
      <c r="V1" s="187"/>
      <c r="W1" s="187" t="s">
        <v>3</v>
      </c>
      <c r="X1" s="187"/>
    </row>
    <row r="2" spans="1:27">
      <c r="A2" s="3" t="s">
        <v>4</v>
      </c>
      <c r="B2" s="3" t="s">
        <v>5</v>
      </c>
      <c r="C2" s="3" t="s">
        <v>6</v>
      </c>
      <c r="E2" s="3" t="s">
        <v>5</v>
      </c>
      <c r="F2" s="3" t="s">
        <v>6</v>
      </c>
      <c r="G2" t="s">
        <v>7</v>
      </c>
      <c r="J2" t="s">
        <v>8</v>
      </c>
      <c r="K2" t="s">
        <v>9</v>
      </c>
      <c r="M2" t="s">
        <v>10</v>
      </c>
      <c r="N2" t="s">
        <v>11</v>
      </c>
      <c r="Q2" s="5" t="s">
        <v>12</v>
      </c>
      <c r="T2" s="174" t="s">
        <v>13</v>
      </c>
      <c r="U2" s="146" t="s">
        <v>14</v>
      </c>
      <c r="V2" t="s">
        <v>9</v>
      </c>
      <c r="W2" t="s">
        <v>10</v>
      </c>
      <c r="X2" t="s">
        <v>11</v>
      </c>
      <c r="Y2" t="s">
        <v>9</v>
      </c>
      <c r="Z2" t="s">
        <v>15</v>
      </c>
      <c r="AA2" t="s">
        <v>16</v>
      </c>
    </row>
    <row r="3" spans="1:27" ht="13.9" customHeight="1">
      <c r="A3" t="s">
        <v>17</v>
      </c>
      <c r="B3" t="s">
        <v>18</v>
      </c>
      <c r="C3" s="28">
        <v>27793</v>
      </c>
      <c r="E3" t="s">
        <v>18</v>
      </c>
      <c r="F3" s="28">
        <v>24606</v>
      </c>
      <c r="G3" t="b">
        <f>IF(B3=E3,TRUE,FALSE)</f>
        <v>1</v>
      </c>
      <c r="J3" s="25">
        <f>F3-C3</f>
        <v>-3187</v>
      </c>
      <c r="K3" s="4">
        <f>F3/C3-1</f>
        <v>-0.1146691612996078</v>
      </c>
      <c r="M3" s="5">
        <v>28290.6</v>
      </c>
      <c r="N3" s="5">
        <v>37288.79</v>
      </c>
      <c r="Q3" s="159">
        <v>233096.98</v>
      </c>
      <c r="T3" s="174">
        <f>N3/F3</f>
        <v>1.5154348532878159</v>
      </c>
      <c r="U3" s="146">
        <f>N3-M3</f>
        <v>8998.1900000000023</v>
      </c>
      <c r="V3" s="4">
        <f>IF(M3=0,0,N3/M3-1)</f>
        <v>0.31806289014725753</v>
      </c>
      <c r="W3" s="18">
        <v>846097.22</v>
      </c>
      <c r="X3" s="18">
        <v>799155.52</v>
      </c>
      <c r="Y3" s="4">
        <f>X3/W3-1</f>
        <v>-5.5480267385821125E-2</v>
      </c>
      <c r="AA3" t="s">
        <v>19</v>
      </c>
    </row>
    <row r="4" spans="1:27" ht="13.9" customHeight="1">
      <c r="A4" t="s">
        <v>20</v>
      </c>
      <c r="B4" t="s">
        <v>21</v>
      </c>
      <c r="C4" s="28">
        <v>7713</v>
      </c>
      <c r="E4" t="s">
        <v>21</v>
      </c>
      <c r="F4" s="28">
        <v>12215</v>
      </c>
      <c r="G4" t="b">
        <f>IF(B4=E4,TRUE,FALSE)</f>
        <v>1</v>
      </c>
      <c r="J4" s="25">
        <f>F4-C4</f>
        <v>4502</v>
      </c>
      <c r="K4" s="4">
        <f>F4/C4-1</f>
        <v>0.58368987423829899</v>
      </c>
      <c r="M4" s="5">
        <v>11430.13</v>
      </c>
      <c r="N4" s="5">
        <v>20296.990000000002</v>
      </c>
      <c r="Q4" s="159">
        <v>111338.9</v>
      </c>
      <c r="T4" s="174">
        <f>N4/F4</f>
        <v>1.6616446991404012</v>
      </c>
      <c r="U4" s="146">
        <f>N4-M4</f>
        <v>8866.8600000000024</v>
      </c>
      <c r="V4" s="4">
        <f>IF(M4=0,0,N4/M4-1)</f>
        <v>0.77574445784956092</v>
      </c>
      <c r="W4" s="18">
        <v>209229.13999999998</v>
      </c>
      <c r="X4" s="18">
        <v>318371.92</v>
      </c>
      <c r="Y4" s="4">
        <f>X4/W4-1</f>
        <v>0.52164234867093562</v>
      </c>
      <c r="AA4" t="s">
        <v>22</v>
      </c>
    </row>
    <row r="5" spans="1:27" ht="13.9" customHeight="1">
      <c r="A5" s="57" t="s">
        <v>23</v>
      </c>
      <c r="B5" s="37" t="s">
        <v>24</v>
      </c>
      <c r="C5" s="28">
        <v>14321</v>
      </c>
      <c r="E5" s="37" t="s">
        <v>24</v>
      </c>
      <c r="F5" s="28">
        <v>19700</v>
      </c>
      <c r="G5" t="b">
        <f>IF(B5=E5,TRUE,FALSE)</f>
        <v>1</v>
      </c>
      <c r="J5" s="25">
        <f>F5-C5</f>
        <v>5379</v>
      </c>
      <c r="K5" s="4">
        <f>F5/C5-1</f>
        <v>0.37560226241184269</v>
      </c>
      <c r="M5" s="5">
        <v>8592.65</v>
      </c>
      <c r="N5" s="5">
        <v>17433.86</v>
      </c>
      <c r="Q5" s="158">
        <v>94955.73</v>
      </c>
      <c r="T5" s="174">
        <f>N5/F5</f>
        <v>0.88496751269035534</v>
      </c>
      <c r="U5" s="146">
        <f>N5-M5</f>
        <v>8841.2100000000009</v>
      </c>
      <c r="V5" s="4">
        <f>IF(M5=0,0,N5/M5-1)</f>
        <v>1.0289270481167048</v>
      </c>
      <c r="W5" s="18">
        <v>341975.17000000004</v>
      </c>
      <c r="X5" s="18">
        <v>470529.96</v>
      </c>
      <c r="Y5" s="4">
        <f>X5/W5-1</f>
        <v>0.37591849139222577</v>
      </c>
      <c r="AA5" t="s">
        <v>25</v>
      </c>
    </row>
    <row r="6" spans="1:27">
      <c r="A6" t="s">
        <v>26</v>
      </c>
      <c r="B6" t="s">
        <v>27</v>
      </c>
      <c r="C6" s="28">
        <v>19148</v>
      </c>
      <c r="E6" t="s">
        <v>27</v>
      </c>
      <c r="F6" s="28">
        <v>16670</v>
      </c>
      <c r="G6" t="b">
        <f>IF(B6=E6,TRUE,FALSE)</f>
        <v>1</v>
      </c>
      <c r="J6" s="25">
        <f>F6-C6</f>
        <v>-2478</v>
      </c>
      <c r="K6" s="4">
        <f>F6/C6-1</f>
        <v>-0.12941299352412783</v>
      </c>
      <c r="M6" s="5">
        <v>17855.72</v>
      </c>
      <c r="N6" s="5">
        <v>24455.15</v>
      </c>
      <c r="Q6" s="159">
        <v>150431.63</v>
      </c>
      <c r="T6" s="174">
        <f>N6/F6</f>
        <v>1.467015596880624</v>
      </c>
      <c r="U6" s="146">
        <f>N6-M6</f>
        <v>6599.43</v>
      </c>
      <c r="V6" s="4">
        <f>IF(M6=0,0,N6/M6-1)</f>
        <v>0.3695975295311531</v>
      </c>
      <c r="W6" s="18">
        <v>500952.71</v>
      </c>
      <c r="X6" s="18">
        <v>462015.85</v>
      </c>
      <c r="Y6" s="4">
        <f>X6/W6-1</f>
        <v>-7.7725620049046262E-2</v>
      </c>
      <c r="AA6" t="s">
        <v>28</v>
      </c>
    </row>
    <row r="7" spans="1:27" ht="13.9" customHeight="1">
      <c r="A7" t="s">
        <v>29</v>
      </c>
      <c r="B7" t="s">
        <v>30</v>
      </c>
      <c r="C7" s="28">
        <v>17919</v>
      </c>
      <c r="E7" t="s">
        <v>30</v>
      </c>
      <c r="F7" s="28">
        <v>21279</v>
      </c>
      <c r="G7" t="b">
        <f>IF(B7=E7,TRUE,FALSE)</f>
        <v>1</v>
      </c>
      <c r="J7" s="25">
        <f>F7-C7</f>
        <v>3360</v>
      </c>
      <c r="K7" s="4">
        <f>F7/C7-1</f>
        <v>0.18751046375355762</v>
      </c>
      <c r="M7" s="5">
        <v>14145.15</v>
      </c>
      <c r="N7" s="5">
        <v>20357.07</v>
      </c>
      <c r="Q7" s="159">
        <v>112142.76</v>
      </c>
      <c r="T7" s="174">
        <f>N7/F7</f>
        <v>0.9566741858170027</v>
      </c>
      <c r="U7" s="146">
        <f>N7-M7</f>
        <v>6211.92</v>
      </c>
      <c r="V7" s="4">
        <f>IF(M7=0,0,N7/M7-1)</f>
        <v>0.43915547024952017</v>
      </c>
      <c r="W7" s="18">
        <v>383518.47</v>
      </c>
      <c r="X7" s="18">
        <v>442393.62</v>
      </c>
      <c r="Y7" s="4">
        <f>X7/W7-1</f>
        <v>0.15351320628704013</v>
      </c>
      <c r="AA7" t="s">
        <v>31</v>
      </c>
    </row>
    <row r="8" spans="1:27" ht="14.45" customHeight="1">
      <c r="A8" t="s">
        <v>32</v>
      </c>
      <c r="B8" t="s">
        <v>33</v>
      </c>
      <c r="C8" s="28">
        <v>12606</v>
      </c>
      <c r="E8" t="s">
        <v>33</v>
      </c>
      <c r="F8" s="28">
        <v>12795</v>
      </c>
      <c r="G8" t="b">
        <f>IF(B8=E8,TRUE,FALSE)</f>
        <v>1</v>
      </c>
      <c r="J8" s="25">
        <f>F8-C8</f>
        <v>189</v>
      </c>
      <c r="K8" s="4">
        <f>F8/C8-1</f>
        <v>1.4992860542598851E-2</v>
      </c>
      <c r="M8" s="5">
        <v>16440.689999999999</v>
      </c>
      <c r="N8" s="5">
        <v>22307.31</v>
      </c>
      <c r="Q8" s="159">
        <v>129272.33</v>
      </c>
      <c r="T8" s="174">
        <f>N8/F8</f>
        <v>1.7434396248534585</v>
      </c>
      <c r="U8" s="146">
        <f>N8-M8</f>
        <v>5866.6200000000026</v>
      </c>
      <c r="V8" s="4">
        <f>IF(M8=0,0,N8/M8-1)</f>
        <v>0.3568353882957469</v>
      </c>
      <c r="W8" s="18">
        <v>401670.86</v>
      </c>
      <c r="X8" s="18">
        <v>412270.61</v>
      </c>
      <c r="Y8" s="4">
        <f>X8/W8-1</f>
        <v>2.6389143588857911E-2</v>
      </c>
      <c r="AA8" t="s">
        <v>34</v>
      </c>
    </row>
    <row r="9" spans="1:27" ht="13.9" customHeight="1">
      <c r="A9" t="s">
        <v>35</v>
      </c>
      <c r="B9" t="s">
        <v>36</v>
      </c>
      <c r="C9" s="28">
        <v>1001</v>
      </c>
      <c r="E9" t="s">
        <v>36</v>
      </c>
      <c r="F9" s="28">
        <v>2006</v>
      </c>
      <c r="G9" t="b">
        <f>IF(B9=E9,TRUE,FALSE)</f>
        <v>1</v>
      </c>
      <c r="J9" s="25">
        <f>F9-C9</f>
        <v>1005</v>
      </c>
      <c r="K9" s="4">
        <f>F9/C9-1</f>
        <v>1.0039960039960039</v>
      </c>
      <c r="M9" s="5">
        <v>0</v>
      </c>
      <c r="N9" s="5">
        <v>4628.97</v>
      </c>
      <c r="Q9" s="159">
        <v>33673.879999999997</v>
      </c>
      <c r="T9" s="174">
        <f>N9/F9</f>
        <v>2.3075623130608176</v>
      </c>
      <c r="U9" s="146">
        <f>N9-M9</f>
        <v>4628.97</v>
      </c>
      <c r="V9" s="4">
        <f>IF(M9=0,0,N9/M9-1)</f>
        <v>0</v>
      </c>
      <c r="W9" s="18">
        <v>29017.83</v>
      </c>
      <c r="X9" s="18">
        <v>54161.36</v>
      </c>
      <c r="Y9" s="4">
        <f>X9/W9-1</f>
        <v>0.86648553665108641</v>
      </c>
      <c r="AA9" s="175" t="s">
        <v>37</v>
      </c>
    </row>
    <row r="10" spans="1:27" ht="13.9" customHeight="1">
      <c r="A10" t="s">
        <v>38</v>
      </c>
      <c r="B10" t="s">
        <v>39</v>
      </c>
      <c r="C10" s="28">
        <v>1214</v>
      </c>
      <c r="E10" t="s">
        <v>39</v>
      </c>
      <c r="F10" s="28">
        <v>2329</v>
      </c>
      <c r="G10" t="b">
        <f>IF(B10=E10,TRUE,FALSE)</f>
        <v>1</v>
      </c>
      <c r="J10" s="25">
        <f>F10-C10</f>
        <v>1115</v>
      </c>
      <c r="K10" s="4">
        <f>F10/C10-1</f>
        <v>0.91845140032948924</v>
      </c>
      <c r="M10" s="5">
        <v>2836.38</v>
      </c>
      <c r="N10" s="5">
        <v>6453.91</v>
      </c>
      <c r="Q10" s="159">
        <v>44257.26</v>
      </c>
      <c r="T10" s="174">
        <f>N10/F10</f>
        <v>2.7711077715757835</v>
      </c>
      <c r="U10" s="146">
        <f>N10-M10</f>
        <v>3617.5299999999997</v>
      </c>
      <c r="V10" s="4">
        <f>IF(M10=0,0,N10/M10-1)</f>
        <v>1.2754038598495265</v>
      </c>
      <c r="W10" s="18">
        <v>25769.46</v>
      </c>
      <c r="X10" s="18">
        <v>62001.8</v>
      </c>
      <c r="Y10" s="4">
        <f>X10/W10-1</f>
        <v>1.4060185972077028</v>
      </c>
      <c r="Z10" t="s">
        <v>40</v>
      </c>
      <c r="AA10" t="s">
        <v>41</v>
      </c>
    </row>
    <row r="11" spans="1:27" ht="13.9" customHeight="1">
      <c r="A11" s="55" t="s">
        <v>42</v>
      </c>
      <c r="B11" s="37" t="s">
        <v>43</v>
      </c>
      <c r="C11" s="28">
        <v>1682</v>
      </c>
      <c r="E11" s="37" t="s">
        <v>43</v>
      </c>
      <c r="F11" s="28">
        <v>2525</v>
      </c>
      <c r="G11" t="b">
        <f>IF(B11=E11,TRUE,FALSE)</f>
        <v>1</v>
      </c>
      <c r="J11" s="25">
        <f>F11-C11</f>
        <v>843</v>
      </c>
      <c r="K11" s="4">
        <f>F11/C11-1</f>
        <v>0.50118906064209279</v>
      </c>
      <c r="M11" s="5">
        <v>1753.87</v>
      </c>
      <c r="N11" s="5">
        <v>5054.4799999999996</v>
      </c>
      <c r="Q11" s="159">
        <v>34879.08</v>
      </c>
      <c r="T11" s="174">
        <f>N11/F11</f>
        <v>2.0017742574257422</v>
      </c>
      <c r="U11" s="146">
        <f>N11-M11</f>
        <v>3300.6099999999997</v>
      </c>
      <c r="V11" s="4">
        <f>IF(M11=0,0,N11/M11-1)</f>
        <v>1.8819011671332539</v>
      </c>
      <c r="W11" s="18">
        <v>41672.1</v>
      </c>
      <c r="X11" s="18">
        <v>62635.839999999997</v>
      </c>
      <c r="Y11" s="4">
        <f>X11/W11-1</f>
        <v>0.50306416043347935</v>
      </c>
      <c r="Z11" t="s">
        <v>44</v>
      </c>
      <c r="AA11" s="175" t="s">
        <v>45</v>
      </c>
    </row>
    <row r="12" spans="1:27" ht="13.9" customHeight="1">
      <c r="A12" s="55" t="s">
        <v>46</v>
      </c>
      <c r="B12" s="37" t="s">
        <v>47</v>
      </c>
      <c r="C12" s="19">
        <v>5158</v>
      </c>
      <c r="E12" s="37" t="s">
        <v>47</v>
      </c>
      <c r="F12" s="19">
        <v>5557</v>
      </c>
      <c r="G12" t="b">
        <f>IF(B12=E12,TRUE,FALSE)</f>
        <v>1</v>
      </c>
      <c r="J12" s="25">
        <f>F12-C12</f>
        <v>399</v>
      </c>
      <c r="K12" s="4">
        <f>F12/C12-1</f>
        <v>7.7355564172159719E-2</v>
      </c>
      <c r="M12" s="5">
        <v>4353.8999999999996</v>
      </c>
      <c r="N12" s="5">
        <v>7598.92</v>
      </c>
      <c r="Q12" s="158">
        <v>79846.740000000005</v>
      </c>
      <c r="T12" s="174">
        <f>N12/F12</f>
        <v>1.3674500629836244</v>
      </c>
      <c r="U12" s="146">
        <f>N12-M12</f>
        <v>3245.0200000000004</v>
      </c>
      <c r="V12" s="4">
        <f>IF(M12=0,0,N12/M12-1)</f>
        <v>0.74531339718413392</v>
      </c>
      <c r="W12">
        <v>128653</v>
      </c>
      <c r="X12">
        <v>132227.04999999999</v>
      </c>
      <c r="Y12" s="4">
        <f>X12/W12-1</f>
        <v>2.7780541456475794E-2</v>
      </c>
    </row>
    <row r="13" spans="1:27" ht="13.9" customHeight="1">
      <c r="A13" s="55" t="s">
        <v>48</v>
      </c>
      <c r="B13" s="37" t="s">
        <v>49</v>
      </c>
      <c r="C13" s="19">
        <v>747</v>
      </c>
      <c r="E13" s="37" t="s">
        <v>49</v>
      </c>
      <c r="F13" s="19">
        <v>1590</v>
      </c>
      <c r="G13" t="b">
        <f>IF(B13=E13,TRUE,FALSE)</f>
        <v>1</v>
      </c>
      <c r="J13" s="25">
        <f>F13-C13</f>
        <v>843</v>
      </c>
      <c r="K13" s="4">
        <f>F13/C13-1</f>
        <v>1.1285140562248994</v>
      </c>
      <c r="M13" s="5">
        <v>56.08</v>
      </c>
      <c r="N13" s="5">
        <v>3154.73</v>
      </c>
      <c r="Q13" s="158">
        <v>13707.19</v>
      </c>
      <c r="T13" s="174">
        <f>N13/F13</f>
        <v>1.9841069182389937</v>
      </c>
      <c r="U13" s="146">
        <f>N13-M13</f>
        <v>3098.65</v>
      </c>
      <c r="V13" s="4">
        <f>IF(M13=0,0,N13/M13-1)</f>
        <v>55.254101283880175</v>
      </c>
      <c r="W13">
        <v>13332.53</v>
      </c>
      <c r="X13">
        <v>25667.279999999999</v>
      </c>
      <c r="Y13" s="4">
        <f>X13/W13-1</f>
        <v>0.92516199100995822</v>
      </c>
      <c r="Z13" t="s">
        <v>50</v>
      </c>
    </row>
    <row r="14" spans="1:27" ht="13.9" customHeight="1">
      <c r="A14" t="s">
        <v>51</v>
      </c>
      <c r="B14" t="s">
        <v>52</v>
      </c>
      <c r="C14" s="28">
        <v>8</v>
      </c>
      <c r="E14" t="s">
        <v>52</v>
      </c>
      <c r="F14" s="28">
        <v>1466</v>
      </c>
      <c r="G14" t="b">
        <f>IF(B14=E14,TRUE,FALSE)</f>
        <v>1</v>
      </c>
      <c r="J14" s="25">
        <f>F14-C14</f>
        <v>1458</v>
      </c>
      <c r="K14" s="4">
        <f>F14/C14-1</f>
        <v>182.25</v>
      </c>
      <c r="M14" s="5">
        <v>85.7</v>
      </c>
      <c r="N14" s="5">
        <v>3165.56</v>
      </c>
      <c r="Q14" s="159">
        <v>29030.43</v>
      </c>
      <c r="T14" s="174">
        <f>N14/F14</f>
        <v>2.1593178717598907</v>
      </c>
      <c r="U14" s="146">
        <f>N14-M14</f>
        <v>3079.86</v>
      </c>
      <c r="V14" s="4">
        <f>IF(M14=0,0,N14/M14-1)</f>
        <v>35.93768961493582</v>
      </c>
      <c r="W14" s="18">
        <v>239.92</v>
      </c>
      <c r="X14" s="18">
        <v>39970.339999999997</v>
      </c>
      <c r="Y14" s="4">
        <f>X14/W14-1</f>
        <v>165.59861620540178</v>
      </c>
    </row>
    <row r="15" spans="1:27" ht="13.9" customHeight="1">
      <c r="A15" t="s">
        <v>53</v>
      </c>
      <c r="B15" t="s">
        <v>54</v>
      </c>
      <c r="C15" s="28">
        <v>2</v>
      </c>
      <c r="E15" t="s">
        <v>54</v>
      </c>
      <c r="F15" s="28">
        <v>999</v>
      </c>
      <c r="G15" t="b">
        <f>IF(B15=E15,TRUE,FALSE)</f>
        <v>1</v>
      </c>
      <c r="J15" s="25">
        <f>F15-C15</f>
        <v>997</v>
      </c>
      <c r="K15" s="4">
        <f>F15/C15-1</f>
        <v>498.5</v>
      </c>
      <c r="M15" s="5">
        <v>12.9</v>
      </c>
      <c r="N15" s="5">
        <v>2958.46</v>
      </c>
      <c r="Q15" s="159">
        <v>18036.330000000002</v>
      </c>
      <c r="T15" s="174">
        <f>N15/F15</f>
        <v>2.9614214214214214</v>
      </c>
      <c r="U15" s="146">
        <f>N15-M15</f>
        <v>2945.56</v>
      </c>
      <c r="V15" s="4">
        <f>IF(M15=0,0,N15/M15-1)</f>
        <v>228.33798449612402</v>
      </c>
      <c r="W15" s="18">
        <v>69.98</v>
      </c>
      <c r="X15" s="18">
        <v>17464.009999999998</v>
      </c>
      <c r="Y15" s="4">
        <f>X15/W15-1</f>
        <v>248.55715918833948</v>
      </c>
      <c r="Z15" t="s">
        <v>55</v>
      </c>
    </row>
    <row r="16" spans="1:27" ht="13.9" customHeight="1">
      <c r="A16" t="s">
        <v>56</v>
      </c>
      <c r="B16" t="s">
        <v>57</v>
      </c>
      <c r="C16" s="28">
        <v>0</v>
      </c>
      <c r="E16" t="s">
        <v>57</v>
      </c>
      <c r="F16" s="28">
        <v>1115</v>
      </c>
      <c r="G16" t="b">
        <f>IF(B16=E16,TRUE,FALSE)</f>
        <v>1</v>
      </c>
      <c r="J16" s="25">
        <f>F16-C16</f>
        <v>1115</v>
      </c>
      <c r="K16" s="4" t="e">
        <f>F16/C16-1</f>
        <v>#DIV/0!</v>
      </c>
      <c r="M16" s="5">
        <v>0</v>
      </c>
      <c r="N16" s="5">
        <v>2569.2399999999998</v>
      </c>
      <c r="Q16" s="159">
        <v>20366.82</v>
      </c>
      <c r="T16" s="174">
        <f>N16/F16</f>
        <v>2.3042511210762329</v>
      </c>
      <c r="U16" s="146">
        <f>N16-M16</f>
        <v>2569.2399999999998</v>
      </c>
      <c r="V16" s="4">
        <f>IF(M16=0,0,N16/M16-1)</f>
        <v>0</v>
      </c>
      <c r="W16" s="18">
        <v>0</v>
      </c>
      <c r="X16" s="18">
        <v>24931.25</v>
      </c>
      <c r="Y16" s="4" t="e">
        <f>X16/W16-1</f>
        <v>#DIV/0!</v>
      </c>
    </row>
    <row r="17" spans="1:25" ht="14.25" customHeight="1">
      <c r="A17" t="s">
        <v>58</v>
      </c>
      <c r="B17" t="s">
        <v>59</v>
      </c>
      <c r="C17" s="28">
        <v>0</v>
      </c>
      <c r="E17" t="s">
        <v>59</v>
      </c>
      <c r="F17" s="28">
        <v>1136</v>
      </c>
      <c r="G17" t="b">
        <f>IF(B17=E17,TRUE,FALSE)</f>
        <v>1</v>
      </c>
      <c r="J17" s="25">
        <f>F17-C17</f>
        <v>1136</v>
      </c>
      <c r="K17" s="4" t="e">
        <f>F17/C17-1</f>
        <v>#DIV/0!</v>
      </c>
      <c r="M17" s="5">
        <v>0</v>
      </c>
      <c r="N17" s="5">
        <v>2536.15</v>
      </c>
      <c r="Q17" s="159">
        <v>18999.169999999998</v>
      </c>
      <c r="T17" s="174">
        <f>N17/F17</f>
        <v>2.2325264084507044</v>
      </c>
      <c r="U17" s="146">
        <f>N17-M17</f>
        <v>2536.15</v>
      </c>
      <c r="V17" s="4">
        <f>IF(M17=0,0,N17/M17-1)</f>
        <v>0</v>
      </c>
      <c r="W17" s="18">
        <v>0</v>
      </c>
      <c r="X17" s="18">
        <v>24019.360000000001</v>
      </c>
      <c r="Y17" s="4" t="e">
        <f>X17/W17-1</f>
        <v>#DIV/0!</v>
      </c>
    </row>
    <row r="18" spans="1:25" ht="13.9" customHeight="1">
      <c r="A18" t="s">
        <v>60</v>
      </c>
      <c r="B18" t="s">
        <v>61</v>
      </c>
      <c r="C18" s="28">
        <v>0</v>
      </c>
      <c r="E18" t="s">
        <v>61</v>
      </c>
      <c r="F18" s="28">
        <v>469</v>
      </c>
      <c r="G18" t="b">
        <f>IF(B18=E18,TRUE,FALSE)</f>
        <v>1</v>
      </c>
      <c r="J18" s="25">
        <f>F18-C18</f>
        <v>469</v>
      </c>
      <c r="K18" s="4" t="e">
        <f>F18/C18-1</f>
        <v>#DIV/0!</v>
      </c>
      <c r="M18" s="5">
        <v>0</v>
      </c>
      <c r="N18" s="5">
        <v>2458.31</v>
      </c>
      <c r="Q18" s="159">
        <v>16210.41</v>
      </c>
      <c r="T18" s="174">
        <f>N18/F18</f>
        <v>5.2415991471215353</v>
      </c>
      <c r="U18" s="146">
        <f>N18-M18</f>
        <v>2458.31</v>
      </c>
      <c r="V18" s="4">
        <f>IF(M18=0,0,N18/M18-1)</f>
        <v>0</v>
      </c>
      <c r="W18" s="18">
        <v>0</v>
      </c>
      <c r="X18" s="18">
        <v>11166.2</v>
      </c>
      <c r="Y18" s="4" t="e">
        <f>X18/W18-1</f>
        <v>#DIV/0!</v>
      </c>
    </row>
    <row r="19" spans="1:25" ht="13.9" customHeight="1">
      <c r="A19" t="s">
        <v>62</v>
      </c>
      <c r="B19" t="s">
        <v>63</v>
      </c>
      <c r="C19" s="28">
        <v>12</v>
      </c>
      <c r="E19" t="s">
        <v>63</v>
      </c>
      <c r="F19" s="28">
        <v>2488</v>
      </c>
      <c r="G19" t="b">
        <f>IF(B19=E19,TRUE,FALSE)</f>
        <v>1</v>
      </c>
      <c r="J19" s="25">
        <f>F19-C19</f>
        <v>2476</v>
      </c>
      <c r="K19" s="4">
        <f>F19/C19-1</f>
        <v>206.33333333333334</v>
      </c>
      <c r="M19" s="5">
        <v>94.2</v>
      </c>
      <c r="N19" s="5">
        <v>2458.29</v>
      </c>
      <c r="Q19" s="159">
        <v>15574.78</v>
      </c>
      <c r="T19" s="174">
        <f>N19/F19</f>
        <v>0.98805868167202571</v>
      </c>
      <c r="U19" s="146">
        <f>N19-M19</f>
        <v>2364.09</v>
      </c>
      <c r="V19" s="4">
        <f>IF(M19=0,0,N19/M19-1)</f>
        <v>25.096496815286624</v>
      </c>
      <c r="W19" s="18">
        <v>424.6</v>
      </c>
      <c r="X19" s="18">
        <v>58014.65</v>
      </c>
      <c r="Y19" s="4">
        <f>X19/W19-1</f>
        <v>135.63365520489873</v>
      </c>
    </row>
    <row r="20" spans="1:25" ht="13.9" customHeight="1">
      <c r="A20" t="s">
        <v>64</v>
      </c>
      <c r="B20" t="s">
        <v>65</v>
      </c>
      <c r="C20" s="28">
        <v>1</v>
      </c>
      <c r="E20" t="s">
        <v>65</v>
      </c>
      <c r="F20" s="28">
        <v>668</v>
      </c>
      <c r="G20" t="b">
        <f>IF(B20=E20,TRUE,FALSE)</f>
        <v>1</v>
      </c>
      <c r="J20" s="25">
        <f>F20-C20</f>
        <v>667</v>
      </c>
      <c r="K20" s="4">
        <f>F20/C20-1</f>
        <v>667</v>
      </c>
      <c r="M20" s="5">
        <v>0</v>
      </c>
      <c r="N20" s="5">
        <v>1984.67</v>
      </c>
      <c r="Q20" s="159">
        <v>12646.88</v>
      </c>
      <c r="T20" s="174">
        <f>N20/F20</f>
        <v>2.9710628742514973</v>
      </c>
      <c r="U20" s="146">
        <f>N20-M20</f>
        <v>1984.67</v>
      </c>
      <c r="V20" s="4">
        <f>IF(M20=0,0,N20/M20-1)</f>
        <v>0</v>
      </c>
      <c r="W20" s="18">
        <v>19.989999999999998</v>
      </c>
      <c r="X20" s="18">
        <v>14281.4</v>
      </c>
      <c r="Y20" s="4">
        <f>X20/W20-1</f>
        <v>713.42721360680343</v>
      </c>
    </row>
    <row r="21" spans="1:25" ht="13.9" customHeight="1">
      <c r="A21" t="s">
        <v>66</v>
      </c>
      <c r="B21" t="s">
        <v>67</v>
      </c>
      <c r="C21" s="28">
        <v>0</v>
      </c>
      <c r="E21" t="s">
        <v>67</v>
      </c>
      <c r="F21" s="28">
        <v>617</v>
      </c>
      <c r="G21" t="b">
        <f>IF(B21=E21,TRUE,FALSE)</f>
        <v>1</v>
      </c>
      <c r="J21" s="25">
        <f>F21-C21</f>
        <v>617</v>
      </c>
      <c r="K21" s="4" t="e">
        <f>F21/C21-1</f>
        <v>#DIV/0!</v>
      </c>
      <c r="M21" s="5">
        <v>5.01</v>
      </c>
      <c r="N21" s="5">
        <v>1889.57</v>
      </c>
      <c r="Q21" s="159">
        <v>13464.39</v>
      </c>
      <c r="T21" s="174">
        <f>N21/F21</f>
        <v>3.062512155591572</v>
      </c>
      <c r="U21" s="146">
        <f>N21-M21</f>
        <v>1884.56</v>
      </c>
      <c r="V21" s="4">
        <f>IF(M21=0,0,N21/M21-1)</f>
        <v>376.15968063872253</v>
      </c>
      <c r="W21" s="18">
        <v>0</v>
      </c>
      <c r="X21" s="18">
        <v>13849.71</v>
      </c>
      <c r="Y21" s="4" t="e">
        <f>X21/W21-1</f>
        <v>#DIV/0!</v>
      </c>
    </row>
    <row r="22" spans="1:25" ht="13.9" customHeight="1">
      <c r="A22" t="s">
        <v>68</v>
      </c>
      <c r="B22" t="s">
        <v>69</v>
      </c>
      <c r="C22" s="28">
        <v>0</v>
      </c>
      <c r="E22" t="s">
        <v>69</v>
      </c>
      <c r="F22" s="28">
        <v>688</v>
      </c>
      <c r="G22" t="b">
        <f>IF(B22=E22,TRUE,FALSE)</f>
        <v>1</v>
      </c>
      <c r="J22" s="25">
        <f>F22-C22</f>
        <v>688</v>
      </c>
      <c r="K22" s="4" t="e">
        <f>F22/C22-1</f>
        <v>#DIV/0!</v>
      </c>
      <c r="M22" s="5">
        <v>0</v>
      </c>
      <c r="N22" s="5">
        <v>1863.21</v>
      </c>
      <c r="Q22" s="159">
        <v>13105.24</v>
      </c>
      <c r="T22" s="174">
        <f>N22/F22</f>
        <v>2.708154069767442</v>
      </c>
      <c r="U22" s="146">
        <f>N22-M22</f>
        <v>1863.21</v>
      </c>
      <c r="V22" s="4">
        <f>IF(M22=0,0,N22/M22-1)</f>
        <v>0</v>
      </c>
      <c r="W22" s="18">
        <v>0</v>
      </c>
      <c r="X22" s="18">
        <v>13910.76</v>
      </c>
      <c r="Y22" s="4" t="e">
        <f>X22/W22-1</f>
        <v>#DIV/0!</v>
      </c>
    </row>
    <row r="23" spans="1:25" ht="13.9" customHeight="1">
      <c r="A23" s="57" t="s">
        <v>70</v>
      </c>
      <c r="B23" s="37" t="s">
        <v>71</v>
      </c>
      <c r="C23" s="28">
        <v>1992</v>
      </c>
      <c r="E23" s="37" t="s">
        <v>71</v>
      </c>
      <c r="F23" s="28">
        <v>2048</v>
      </c>
      <c r="G23" t="b">
        <f>IF(B23=E23,TRUE,FALSE)</f>
        <v>1</v>
      </c>
      <c r="J23" s="25">
        <f>F23-C23</f>
        <v>56</v>
      </c>
      <c r="K23" s="4">
        <f>F23/C23-1</f>
        <v>2.8112449799196693E-2</v>
      </c>
      <c r="M23" s="5">
        <v>3373.6</v>
      </c>
      <c r="N23" s="5">
        <v>5184.2299999999996</v>
      </c>
      <c r="Q23" s="159">
        <v>28373.83</v>
      </c>
      <c r="T23" s="174">
        <f>N23/F23</f>
        <v>2.5313623046874998</v>
      </c>
      <c r="U23" s="146">
        <f>N23-M23</f>
        <v>1810.6299999999997</v>
      </c>
      <c r="V23" s="4">
        <f>IF(M23=0,0,N23/M23-1)</f>
        <v>0.53670559639554183</v>
      </c>
      <c r="W23" s="18">
        <v>46576.66</v>
      </c>
      <c r="X23" s="18">
        <v>49035.53</v>
      </c>
      <c r="Y23" s="4">
        <f>X23/W23-1</f>
        <v>5.2791891904657717E-2</v>
      </c>
    </row>
    <row r="24" spans="1:25" ht="13.9" customHeight="1">
      <c r="A24" t="s">
        <v>72</v>
      </c>
      <c r="B24" t="s">
        <v>73</v>
      </c>
      <c r="C24" s="28">
        <v>4785</v>
      </c>
      <c r="E24" t="s">
        <v>73</v>
      </c>
      <c r="F24" s="28">
        <v>5030</v>
      </c>
      <c r="G24" t="b">
        <f>IF(B24=E24,TRUE,FALSE)</f>
        <v>1</v>
      </c>
      <c r="J24" s="25">
        <f>F24-C24</f>
        <v>245</v>
      </c>
      <c r="K24" s="4">
        <f>F24/C24-1</f>
        <v>5.1201671891327072E-2</v>
      </c>
      <c r="M24" s="5">
        <v>6663.9</v>
      </c>
      <c r="N24" s="5">
        <v>8454.9</v>
      </c>
      <c r="Q24" s="159">
        <v>39867</v>
      </c>
      <c r="T24" s="174">
        <f>N24/F24</f>
        <v>1.6808946322067593</v>
      </c>
      <c r="U24" s="146">
        <f>N24-M24</f>
        <v>1791</v>
      </c>
      <c r="V24" s="4">
        <f>IF(M24=0,0,N24/M24-1)</f>
        <v>0.26876153603745556</v>
      </c>
      <c r="W24" s="18">
        <v>99191.02</v>
      </c>
      <c r="X24" s="18">
        <v>105283.56</v>
      </c>
      <c r="Y24" s="4">
        <f>X24/W24-1</f>
        <v>6.1422294074604755E-2</v>
      </c>
    </row>
    <row r="25" spans="1:25" ht="13.9" customHeight="1">
      <c r="A25" t="s">
        <v>74</v>
      </c>
      <c r="B25" t="s">
        <v>75</v>
      </c>
      <c r="C25" s="28">
        <v>6540</v>
      </c>
      <c r="E25" t="s">
        <v>75</v>
      </c>
      <c r="F25" s="28">
        <v>7425</v>
      </c>
      <c r="G25" t="b">
        <f>IF(B25=E25,TRUE,FALSE)</f>
        <v>1</v>
      </c>
      <c r="J25" s="25">
        <f>F25-C25</f>
        <v>885</v>
      </c>
      <c r="K25" s="4">
        <f>F25/C25-1</f>
        <v>0.1353211009174311</v>
      </c>
      <c r="M25" s="5">
        <v>8808.7099999999991</v>
      </c>
      <c r="N25" s="5">
        <v>10591.28</v>
      </c>
      <c r="Q25" s="159">
        <v>66138.05</v>
      </c>
      <c r="T25" s="174">
        <f>N25/F25</f>
        <v>1.4264350168350168</v>
      </c>
      <c r="U25" s="146">
        <f>N25-M25</f>
        <v>1782.5700000000015</v>
      </c>
      <c r="V25" s="4">
        <f>IF(M25=0,0,N25/M25-1)</f>
        <v>0.20236447788609246</v>
      </c>
      <c r="W25" s="18">
        <v>206577.56</v>
      </c>
      <c r="X25" s="18">
        <v>234115.65</v>
      </c>
      <c r="Y25" s="4">
        <f>X25/W25-1</f>
        <v>0.13330629909657166</v>
      </c>
    </row>
    <row r="26" spans="1:25" ht="13.9" customHeight="1">
      <c r="A26" s="55" t="s">
        <v>76</v>
      </c>
      <c r="B26" s="37" t="s">
        <v>77</v>
      </c>
      <c r="C26" s="28">
        <v>0</v>
      </c>
      <c r="E26" s="37" t="s">
        <v>77</v>
      </c>
      <c r="F26" s="28">
        <v>551</v>
      </c>
      <c r="G26" t="b">
        <f>IF(B26=E26,TRUE,FALSE)</f>
        <v>1</v>
      </c>
      <c r="J26" s="25">
        <f>F26-C26</f>
        <v>551</v>
      </c>
      <c r="K26" s="4" t="e">
        <f>F26/C26-1</f>
        <v>#DIV/0!</v>
      </c>
      <c r="M26" s="5">
        <v>0</v>
      </c>
      <c r="N26" s="5">
        <v>1695</v>
      </c>
      <c r="Q26" s="158">
        <v>10356.799999999999</v>
      </c>
      <c r="T26" s="174">
        <f>N26/F26</f>
        <v>3.076225045372051</v>
      </c>
      <c r="U26" s="146">
        <f>N26-M26</f>
        <v>1695</v>
      </c>
      <c r="V26" s="4">
        <f>IF(M26=0,0,N26/M26-1)</f>
        <v>0</v>
      </c>
      <c r="W26" s="18"/>
      <c r="X26" s="18">
        <v>15550.25</v>
      </c>
      <c r="Y26" s="4"/>
    </row>
    <row r="27" spans="1:25" ht="13.9" customHeight="1">
      <c r="A27" s="56" t="s">
        <v>78</v>
      </c>
      <c r="B27" s="37" t="s">
        <v>79</v>
      </c>
      <c r="C27" s="28">
        <v>1555</v>
      </c>
      <c r="E27" s="37" t="s">
        <v>79</v>
      </c>
      <c r="F27" s="28">
        <v>2024</v>
      </c>
      <c r="G27" t="b">
        <f>IF(B27=E27,TRUE,FALSE)</f>
        <v>1</v>
      </c>
      <c r="J27" s="25">
        <f>F27-C27</f>
        <v>469</v>
      </c>
      <c r="K27" s="4">
        <f>F27/C27-1</f>
        <v>0.30160771704180056</v>
      </c>
      <c r="M27" s="5">
        <v>3177.18</v>
      </c>
      <c r="N27" s="5">
        <v>4865.91</v>
      </c>
      <c r="Q27" s="159">
        <v>27218.27</v>
      </c>
      <c r="T27" s="174">
        <f>N27/F27</f>
        <v>2.4041057312252962</v>
      </c>
      <c r="U27" s="146">
        <f>N27-M27</f>
        <v>1688.73</v>
      </c>
      <c r="V27" s="4">
        <f>IF(M27=0,0,N27/M27-1)</f>
        <v>0.53151851642022163</v>
      </c>
      <c r="W27" s="18">
        <v>31072.329999999998</v>
      </c>
      <c r="X27" s="18">
        <v>38610.36</v>
      </c>
      <c r="Y27" s="4">
        <f>X27/W27-1</f>
        <v>0.24259622628879152</v>
      </c>
    </row>
    <row r="28" spans="1:25" ht="13.9" customHeight="1">
      <c r="A28" t="s">
        <v>80</v>
      </c>
      <c r="B28" t="s">
        <v>81</v>
      </c>
      <c r="C28" s="28">
        <v>11370</v>
      </c>
      <c r="E28" t="s">
        <v>81</v>
      </c>
      <c r="F28" s="28">
        <v>10576</v>
      </c>
      <c r="G28" t="b">
        <f>IF(B28=E28,TRUE,FALSE)</f>
        <v>1</v>
      </c>
      <c r="J28" s="25">
        <f>F28-C28</f>
        <v>-794</v>
      </c>
      <c r="K28" s="4">
        <f>F28/C28-1</f>
        <v>-6.9832893579595434E-2</v>
      </c>
      <c r="M28" s="5">
        <v>8878.08</v>
      </c>
      <c r="N28" s="5">
        <v>10529.73</v>
      </c>
      <c r="Q28" s="159">
        <v>64455.56</v>
      </c>
      <c r="T28" s="174">
        <f>N28/F28</f>
        <v>0.99562499999999998</v>
      </c>
      <c r="U28" s="146">
        <f>N28-M28</f>
        <v>1651.6499999999996</v>
      </c>
      <c r="V28" s="4">
        <f>IF(M28=0,0,N28/M28-1)</f>
        <v>0.18603684580449831</v>
      </c>
      <c r="W28" s="18">
        <v>324457.40999999997</v>
      </c>
      <c r="X28" s="18">
        <v>308874.28999999998</v>
      </c>
      <c r="Y28" s="4">
        <f>X28/W28-1</f>
        <v>-4.8028245063042263E-2</v>
      </c>
    </row>
    <row r="29" spans="1:25" ht="13.9" customHeight="1">
      <c r="A29" t="s">
        <v>82</v>
      </c>
      <c r="B29" t="s">
        <v>83</v>
      </c>
      <c r="C29" s="28">
        <v>2326</v>
      </c>
      <c r="E29" t="s">
        <v>83</v>
      </c>
      <c r="F29" s="28">
        <v>2975</v>
      </c>
      <c r="G29" t="b">
        <f>IF(B29=E29,TRUE,FALSE)</f>
        <v>1</v>
      </c>
      <c r="J29" s="25">
        <f>F29-C29</f>
        <v>649</v>
      </c>
      <c r="K29" s="4">
        <f>F29/C29-1</f>
        <v>0.27901977644024067</v>
      </c>
      <c r="M29" s="5">
        <v>4727.3599999999997</v>
      </c>
      <c r="N29" s="5">
        <v>6372.17</v>
      </c>
      <c r="Q29" s="159">
        <v>40289.25</v>
      </c>
      <c r="T29" s="174">
        <f>N29/F29</f>
        <v>2.1419058823529413</v>
      </c>
      <c r="U29" s="146">
        <f>N29-M29</f>
        <v>1644.8100000000004</v>
      </c>
      <c r="V29" s="4">
        <f>IF(M29=0,0,N29/M29-1)</f>
        <v>0.34793415352331958</v>
      </c>
      <c r="W29" s="18">
        <v>74345.530000000013</v>
      </c>
      <c r="X29" s="18">
        <v>89944.06</v>
      </c>
      <c r="Y29" s="4">
        <f>X29/W29-1</f>
        <v>0.20981126908369574</v>
      </c>
    </row>
    <row r="30" spans="1:25" ht="13.9" customHeight="1">
      <c r="A30" s="55" t="s">
        <v>84</v>
      </c>
      <c r="B30" s="37" t="s">
        <v>85</v>
      </c>
      <c r="C30" s="28">
        <v>763</v>
      </c>
      <c r="E30" s="37" t="s">
        <v>85</v>
      </c>
      <c r="F30" s="28">
        <v>1352</v>
      </c>
      <c r="G30" t="b">
        <f>IF(B30=E30,TRUE,FALSE)</f>
        <v>1</v>
      </c>
      <c r="J30" s="25">
        <f>F30-C30</f>
        <v>589</v>
      </c>
      <c r="K30" s="4">
        <f>F30/C30-1</f>
        <v>0.77195281782437752</v>
      </c>
      <c r="M30" s="5">
        <v>805.33</v>
      </c>
      <c r="N30" s="5">
        <v>2417.2399999999998</v>
      </c>
      <c r="Q30" s="158">
        <v>16125.42</v>
      </c>
      <c r="T30" s="174">
        <f>N30/F30</f>
        <v>1.7878994082840236</v>
      </c>
      <c r="U30" s="146">
        <f>N30-M30</f>
        <v>1611.9099999999999</v>
      </c>
      <c r="V30" s="4">
        <f>IF(M30=0,0,N30/M30-1)</f>
        <v>2.0015521587423786</v>
      </c>
      <c r="W30" s="18">
        <v>20021.38</v>
      </c>
      <c r="X30" s="18">
        <v>34736.480000000003</v>
      </c>
      <c r="Y30" s="4">
        <f>X30/W30-1</f>
        <v>0.73496931779927266</v>
      </c>
    </row>
    <row r="31" spans="1:25" ht="13.9" customHeight="1">
      <c r="A31" s="57" t="s">
        <v>86</v>
      </c>
      <c r="B31" s="37" t="s">
        <v>87</v>
      </c>
      <c r="C31" s="28">
        <v>5543</v>
      </c>
      <c r="E31" s="37" t="s">
        <v>87</v>
      </c>
      <c r="F31" s="28">
        <v>6059</v>
      </c>
      <c r="G31" t="b">
        <f>IF(B31=E31,TRUE,FALSE)</f>
        <v>1</v>
      </c>
      <c r="J31" s="25">
        <f>F31-C31</f>
        <v>516</v>
      </c>
      <c r="K31" s="4">
        <f>F31/C31-1</f>
        <v>9.3090384268446735E-2</v>
      </c>
      <c r="M31" s="5">
        <v>8156.45</v>
      </c>
      <c r="N31" s="5">
        <v>9751.64</v>
      </c>
      <c r="Q31" s="159">
        <v>55550.239999999998</v>
      </c>
      <c r="T31" s="174">
        <f>N31/F31</f>
        <v>1.6094471034824227</v>
      </c>
      <c r="U31" s="146">
        <f>N31-M31</f>
        <v>1595.1899999999996</v>
      </c>
      <c r="V31" s="4">
        <f>IF(M31=0,0,N31/M31-1)</f>
        <v>0.19557405488907542</v>
      </c>
      <c r="W31" s="18">
        <v>124855.58</v>
      </c>
      <c r="X31" s="18">
        <v>140023.1</v>
      </c>
      <c r="Y31" s="4">
        <f>X31/W31-1</f>
        <v>0.12148051372633883</v>
      </c>
    </row>
    <row r="32" spans="1:25" ht="13.9" customHeight="1">
      <c r="A32" t="s">
        <v>88</v>
      </c>
      <c r="B32" t="s">
        <v>89</v>
      </c>
      <c r="C32" s="28">
        <v>3957</v>
      </c>
      <c r="E32" t="s">
        <v>89</v>
      </c>
      <c r="F32" s="28">
        <v>4547</v>
      </c>
      <c r="G32" t="b">
        <f>IF(B32=E32,TRUE,FALSE)</f>
        <v>1</v>
      </c>
      <c r="J32" s="25">
        <f>F32-C32</f>
        <v>590</v>
      </c>
      <c r="K32" s="4">
        <f>F32/C32-1</f>
        <v>0.14910285569876169</v>
      </c>
      <c r="M32" s="5">
        <v>6084.69</v>
      </c>
      <c r="N32" s="5">
        <v>7616.2</v>
      </c>
      <c r="Q32" s="159">
        <v>43652.88</v>
      </c>
      <c r="T32" s="174">
        <f>N32/F32</f>
        <v>1.6749945018693644</v>
      </c>
      <c r="U32" s="146">
        <f>N32-M32</f>
        <v>1531.5100000000002</v>
      </c>
      <c r="V32" s="4">
        <f>IF(M32=0,0,N32/M32-1)</f>
        <v>0.25169893618245132</v>
      </c>
      <c r="W32" s="18">
        <v>114588.87999999999</v>
      </c>
      <c r="X32" s="18">
        <v>124547.65</v>
      </c>
      <c r="Y32" s="4">
        <f>X32/W32-1</f>
        <v>8.6908694805289954E-2</v>
      </c>
    </row>
    <row r="33" spans="1:26" ht="13.9" customHeight="1">
      <c r="A33" s="55" t="s">
        <v>90</v>
      </c>
      <c r="B33" s="37" t="s">
        <v>91</v>
      </c>
      <c r="C33" s="28">
        <v>752</v>
      </c>
      <c r="E33" s="37" t="s">
        <v>91</v>
      </c>
      <c r="F33" s="28">
        <v>1964</v>
      </c>
      <c r="G33" t="b">
        <f>IF(B33=E33,TRUE,FALSE)</f>
        <v>1</v>
      </c>
      <c r="J33" s="25">
        <f>F33-C33</f>
        <v>1212</v>
      </c>
      <c r="K33" s="4">
        <f>F33/C33-1</f>
        <v>1.6117021276595747</v>
      </c>
      <c r="M33" s="5">
        <v>2380.89</v>
      </c>
      <c r="N33" s="5">
        <v>3821.81</v>
      </c>
      <c r="Q33" s="158">
        <v>23511.919999999998</v>
      </c>
      <c r="T33" s="174">
        <f>N33/F33</f>
        <v>1.9459317718940936</v>
      </c>
      <c r="U33" s="146">
        <f>N33-M33</f>
        <v>1440.92</v>
      </c>
      <c r="V33" s="4">
        <f>IF(M33=0,0,N33/M33-1)</f>
        <v>0.60520225629911506</v>
      </c>
      <c r="W33" s="18">
        <v>15231.880000000001</v>
      </c>
      <c r="X33" s="18">
        <v>41231.699999999997</v>
      </c>
      <c r="Y33" s="4">
        <f>X33/W33-1</f>
        <v>1.706934403369774</v>
      </c>
    </row>
    <row r="34" spans="1:26" ht="13.9" customHeight="1">
      <c r="A34" t="s">
        <v>92</v>
      </c>
      <c r="B34" t="s">
        <v>93</v>
      </c>
      <c r="C34" s="28">
        <v>206</v>
      </c>
      <c r="E34" t="s">
        <v>93</v>
      </c>
      <c r="F34" s="28">
        <v>1212</v>
      </c>
      <c r="G34" t="b">
        <f>IF(B34=E34,TRUE,FALSE)</f>
        <v>1</v>
      </c>
      <c r="J34" s="25">
        <f>F34-C34</f>
        <v>1006</v>
      </c>
      <c r="K34" s="4">
        <f>F34/C34-1</f>
        <v>4.883495145631068</v>
      </c>
      <c r="M34" s="5">
        <v>766.29</v>
      </c>
      <c r="N34" s="5">
        <v>2183.6</v>
      </c>
      <c r="Q34" s="159">
        <v>6585.86</v>
      </c>
      <c r="T34" s="174">
        <f>N34/F34</f>
        <v>1.8016501650165015</v>
      </c>
      <c r="U34" s="146">
        <f>N34-M34</f>
        <v>1417.31</v>
      </c>
      <c r="V34" s="4">
        <f>IF(M34=0,0,N34/M34-1)</f>
        <v>1.8495739211003666</v>
      </c>
      <c r="W34" s="18">
        <v>2147.94</v>
      </c>
      <c r="X34" s="18">
        <v>14115.69</v>
      </c>
      <c r="Y34" s="4">
        <f>X34/W34-1</f>
        <v>5.5717338473141709</v>
      </c>
    </row>
    <row r="35" spans="1:26" ht="13.9" customHeight="1">
      <c r="A35" t="s">
        <v>94</v>
      </c>
      <c r="B35" t="s">
        <v>95</v>
      </c>
      <c r="C35" s="28">
        <v>6</v>
      </c>
      <c r="E35" t="s">
        <v>95</v>
      </c>
      <c r="F35" s="28">
        <v>1390</v>
      </c>
      <c r="G35" t="b">
        <f>IF(B35=E35,TRUE,FALSE)</f>
        <v>1</v>
      </c>
      <c r="J35" s="25">
        <f>F35-C35</f>
        <v>1384</v>
      </c>
      <c r="K35" s="4">
        <f>F35/C35-1</f>
        <v>230.66666666666666</v>
      </c>
      <c r="M35" s="5">
        <v>30.33</v>
      </c>
      <c r="N35" s="5">
        <v>1442.9</v>
      </c>
      <c r="Q35" s="159">
        <v>13188.34</v>
      </c>
      <c r="T35" s="174">
        <f>N35/F35</f>
        <v>1.0380575539568346</v>
      </c>
      <c r="U35" s="146">
        <f>N35-M35</f>
        <v>1412.5700000000002</v>
      </c>
      <c r="V35" s="4">
        <f>IF(M35=0,0,N35/M35-1)</f>
        <v>46.573359709858231</v>
      </c>
      <c r="W35" s="18">
        <v>131.94</v>
      </c>
      <c r="X35" s="18">
        <v>26266.1</v>
      </c>
      <c r="Y35" s="4">
        <f>X35/W35-1</f>
        <v>198.07609519478549</v>
      </c>
    </row>
    <row r="36" spans="1:26" ht="13.9" customHeight="1">
      <c r="A36" t="s">
        <v>96</v>
      </c>
      <c r="B36" t="s">
        <v>97</v>
      </c>
      <c r="C36" s="28">
        <v>59</v>
      </c>
      <c r="E36" t="s">
        <v>97</v>
      </c>
      <c r="F36" s="28">
        <v>308</v>
      </c>
      <c r="G36" t="b">
        <f>IF(B36=E36,TRUE,FALSE)</f>
        <v>1</v>
      </c>
      <c r="J36" s="25">
        <f>F36-C36</f>
        <v>249</v>
      </c>
      <c r="K36" s="4">
        <f>F36/C36-1</f>
        <v>4.2203389830508478</v>
      </c>
      <c r="M36" s="5">
        <v>236.37</v>
      </c>
      <c r="N36" s="5">
        <v>1567.86</v>
      </c>
      <c r="Q36" s="159">
        <v>8448.65</v>
      </c>
      <c r="T36" s="174">
        <f>N36/F36</f>
        <v>5.0904545454545449</v>
      </c>
      <c r="U36" s="146">
        <f>N36-M36</f>
        <v>1331.4899999999998</v>
      </c>
      <c r="V36" s="4">
        <f>IF(M36=0,0,N36/M36-1)</f>
        <v>5.6330752633582932</v>
      </c>
      <c r="W36" s="18">
        <v>1179.4100000000001</v>
      </c>
      <c r="X36" s="18">
        <v>4832.12</v>
      </c>
      <c r="Y36" s="4">
        <f>X36/W36-1</f>
        <v>3.0970654818934884</v>
      </c>
    </row>
    <row r="37" spans="1:26" ht="13.9" customHeight="1">
      <c r="A37" s="55" t="s">
        <v>98</v>
      </c>
      <c r="B37" s="37" t="s">
        <v>99</v>
      </c>
      <c r="C37" s="28">
        <v>936</v>
      </c>
      <c r="E37" s="37" t="s">
        <v>99</v>
      </c>
      <c r="F37" s="28">
        <v>1116</v>
      </c>
      <c r="G37" t="b">
        <f>IF(B37=E37,TRUE,FALSE)</f>
        <v>1</v>
      </c>
      <c r="J37" s="25">
        <f>F37-C37</f>
        <v>180</v>
      </c>
      <c r="K37" s="4">
        <f>F37/C37-1</f>
        <v>0.19230769230769229</v>
      </c>
      <c r="M37" s="5">
        <v>927.67</v>
      </c>
      <c r="N37" s="5">
        <v>2223.2199999999998</v>
      </c>
      <c r="Q37" s="159">
        <v>7244.87</v>
      </c>
      <c r="T37" s="174">
        <f>N37/F37</f>
        <v>1.9921326164874551</v>
      </c>
      <c r="U37" s="146">
        <f>N37-M37</f>
        <v>1295.5499999999997</v>
      </c>
      <c r="V37" s="4">
        <f>IF(M37=0,0,N37/M37-1)</f>
        <v>1.3965634331173802</v>
      </c>
      <c r="W37" s="18">
        <v>9343.32</v>
      </c>
      <c r="X37" s="18">
        <v>11143.32</v>
      </c>
      <c r="Y37" s="4">
        <f>X37/W37-1</f>
        <v>0.19265100628042275</v>
      </c>
    </row>
    <row r="38" spans="1:26" ht="13.9" customHeight="1">
      <c r="A38" s="55" t="s">
        <v>100</v>
      </c>
      <c r="B38" s="37" t="s">
        <v>101</v>
      </c>
      <c r="C38" s="28">
        <v>1062</v>
      </c>
      <c r="E38" s="37" t="s">
        <v>101</v>
      </c>
      <c r="F38" s="28">
        <v>1807</v>
      </c>
      <c r="G38" t="b">
        <f>IF(B38=E38,TRUE,FALSE)</f>
        <v>1</v>
      </c>
      <c r="J38" s="25">
        <f>F38-C38</f>
        <v>745</v>
      </c>
      <c r="K38" s="4">
        <f>F38/C38-1</f>
        <v>0.70150659133709992</v>
      </c>
      <c r="M38" s="5">
        <v>1404.08</v>
      </c>
      <c r="N38" s="5">
        <v>2668.01</v>
      </c>
      <c r="Q38" s="159">
        <v>11960.74</v>
      </c>
      <c r="T38" s="174">
        <f>N38/F38</f>
        <v>1.4764858882125071</v>
      </c>
      <c r="U38" s="146">
        <f>N38-M38</f>
        <v>1263.9300000000003</v>
      </c>
      <c r="V38" s="4">
        <f>IF(M38=0,0,N38/M38-1)</f>
        <v>0.90018375021366337</v>
      </c>
      <c r="W38" s="18">
        <v>16977.12</v>
      </c>
      <c r="X38" s="18">
        <v>27155.1</v>
      </c>
      <c r="Y38" s="4">
        <f>X38/W38-1</f>
        <v>0.59951157793548027</v>
      </c>
    </row>
    <row r="39" spans="1:26" ht="13.9" customHeight="1">
      <c r="A39" t="s">
        <v>102</v>
      </c>
      <c r="B39" t="s">
        <v>103</v>
      </c>
      <c r="C39" s="28">
        <v>1283</v>
      </c>
      <c r="E39" t="s">
        <v>103</v>
      </c>
      <c r="F39" s="28">
        <v>1484</v>
      </c>
      <c r="G39" t="b">
        <f>IF(B39=E39,TRUE,FALSE)</f>
        <v>1</v>
      </c>
      <c r="J39" s="25">
        <f>F39-C39</f>
        <v>201</v>
      </c>
      <c r="K39" s="4">
        <f>F39/C39-1</f>
        <v>0.15666406858924398</v>
      </c>
      <c r="L39" s="5"/>
      <c r="M39" s="5">
        <v>1300</v>
      </c>
      <c r="N39" s="5">
        <v>2509.4899999999998</v>
      </c>
      <c r="O39" s="5"/>
      <c r="P39" s="5"/>
      <c r="Q39" s="159">
        <v>15747.05</v>
      </c>
      <c r="R39" s="5"/>
      <c r="S39" s="5"/>
      <c r="T39" s="174">
        <f>N39/F39</f>
        <v>1.6910309973045821</v>
      </c>
      <c r="U39" s="146">
        <f>N39-M39</f>
        <v>1209.4899999999998</v>
      </c>
      <c r="V39" s="4">
        <f>IF(M39=0,0,N39/M39-1)</f>
        <v>0.93037692307692299</v>
      </c>
      <c r="W39" s="18">
        <v>34576.58</v>
      </c>
      <c r="X39" s="18">
        <v>39989.480000000003</v>
      </c>
      <c r="Y39" s="4">
        <f>X39/W39-1</f>
        <v>0.15654816063358501</v>
      </c>
      <c r="Z39" t="s">
        <v>104</v>
      </c>
    </row>
    <row r="40" spans="1:26" ht="13.9" customHeight="1">
      <c r="A40" t="s">
        <v>105</v>
      </c>
      <c r="B40" t="s">
        <v>106</v>
      </c>
      <c r="C40" s="28">
        <v>630</v>
      </c>
      <c r="E40" t="s">
        <v>106</v>
      </c>
      <c r="F40" s="28">
        <v>1186</v>
      </c>
      <c r="G40" t="b">
        <f>IF(B40=E40,TRUE,FALSE)</f>
        <v>1</v>
      </c>
      <c r="J40" s="25">
        <f>F40-C40</f>
        <v>556</v>
      </c>
      <c r="K40" s="4">
        <f>F40/C40-1</f>
        <v>0.88253968253968251</v>
      </c>
      <c r="M40" s="5">
        <v>1432.46</v>
      </c>
      <c r="N40" s="5">
        <v>2640.18</v>
      </c>
      <c r="Q40" s="159">
        <v>14305.53</v>
      </c>
      <c r="T40" s="174">
        <f>N40/F40</f>
        <v>2.226121416526138</v>
      </c>
      <c r="U40" s="146">
        <f>N40-M40</f>
        <v>1207.7199999999998</v>
      </c>
      <c r="V40" s="4">
        <f>IF(M40=0,0,N40/M40-1)</f>
        <v>0.84310905714644724</v>
      </c>
      <c r="W40" s="18">
        <v>8993.7000000000007</v>
      </c>
      <c r="X40" s="18">
        <v>17363.14</v>
      </c>
      <c r="Y40" s="4">
        <f>X40/W40-1</f>
        <v>0.93058919021092512</v>
      </c>
    </row>
    <row r="41" spans="1:26" ht="13.9" customHeight="1">
      <c r="A41" t="s">
        <v>107</v>
      </c>
      <c r="B41" t="s">
        <v>108</v>
      </c>
      <c r="C41" s="28">
        <v>51</v>
      </c>
      <c r="E41" t="s">
        <v>108</v>
      </c>
      <c r="F41" s="28">
        <v>351</v>
      </c>
      <c r="G41" t="b">
        <f>IF(B41=E41,TRUE,FALSE)</f>
        <v>1</v>
      </c>
      <c r="J41" s="25">
        <f>F41-C41</f>
        <v>300</v>
      </c>
      <c r="K41" s="4">
        <f>F41/C41-1</f>
        <v>5.882352941176471</v>
      </c>
      <c r="M41" s="5">
        <v>81.16</v>
      </c>
      <c r="N41" s="5">
        <v>1276.57</v>
      </c>
      <c r="Q41" s="159">
        <v>6709.25</v>
      </c>
      <c r="T41" s="174">
        <f>N41/F41</f>
        <v>3.6369515669515668</v>
      </c>
      <c r="U41" s="146">
        <f>N41-M41</f>
        <v>1195.4099999999999</v>
      </c>
      <c r="V41" s="4">
        <f>IF(M41=0,0,N41/M41-1)</f>
        <v>14.729053721044849</v>
      </c>
      <c r="W41" s="18">
        <v>1019.49</v>
      </c>
      <c r="X41" s="18">
        <v>6186.69</v>
      </c>
      <c r="Y41" s="4">
        <f>X41/W41-1</f>
        <v>5.0684165612217873</v>
      </c>
    </row>
    <row r="42" spans="1:26" ht="13.9" customHeight="1">
      <c r="A42" s="57" t="s">
        <v>109</v>
      </c>
      <c r="B42" s="37" t="s">
        <v>110</v>
      </c>
      <c r="C42" s="28">
        <v>927</v>
      </c>
      <c r="E42" s="37" t="s">
        <v>110</v>
      </c>
      <c r="F42" s="28">
        <v>2512</v>
      </c>
      <c r="G42" t="b">
        <f>IF(B42=E42,TRUE,FALSE)</f>
        <v>1</v>
      </c>
      <c r="J42" s="25">
        <f>F42-C42</f>
        <v>1585</v>
      </c>
      <c r="K42" s="4">
        <f>F42/C42-1</f>
        <v>1.709816612729234</v>
      </c>
      <c r="M42" s="5">
        <v>2254.19</v>
      </c>
      <c r="N42" s="5">
        <v>3407.02</v>
      </c>
      <c r="Q42" s="159">
        <v>14517.23</v>
      </c>
      <c r="T42" s="174">
        <f>N42/F42</f>
        <v>1.356297770700637</v>
      </c>
      <c r="U42" s="146">
        <f>N42-M42</f>
        <v>1152.83</v>
      </c>
      <c r="V42" s="4">
        <f>IF(M42=0,0,N42/M42-1)</f>
        <v>0.51141651768484464</v>
      </c>
      <c r="W42" s="18">
        <v>23007.43</v>
      </c>
      <c r="X42" s="18">
        <v>64264.87</v>
      </c>
      <c r="Y42" s="4">
        <f>X42/W42-1</f>
        <v>1.7932224503127903</v>
      </c>
    </row>
    <row r="43" spans="1:26" ht="13.9" customHeight="1">
      <c r="A43" t="s">
        <v>111</v>
      </c>
      <c r="B43" t="s">
        <v>112</v>
      </c>
      <c r="C43" s="28">
        <v>2</v>
      </c>
      <c r="E43" t="s">
        <v>112</v>
      </c>
      <c r="F43" s="28">
        <v>484</v>
      </c>
      <c r="G43" t="b">
        <f>IF(B43=E43,TRUE,FALSE)</f>
        <v>1</v>
      </c>
      <c r="J43" s="25">
        <f>F43-C43</f>
        <v>482</v>
      </c>
      <c r="K43" s="4">
        <f>F43/C43-1</f>
        <v>241</v>
      </c>
      <c r="M43" s="5">
        <v>65.180000000000007</v>
      </c>
      <c r="N43" s="5">
        <v>1214.33</v>
      </c>
      <c r="Q43" s="159">
        <v>6272.17</v>
      </c>
      <c r="T43" s="174">
        <f>N43/F43</f>
        <v>2.5089462809917356</v>
      </c>
      <c r="U43" s="146">
        <f>N43-M43</f>
        <v>1149.1499999999999</v>
      </c>
      <c r="V43" s="4">
        <f>IF(M43=0,0,N43/M43-1)</f>
        <v>17.630408100644367</v>
      </c>
      <c r="W43" s="18">
        <v>63.98</v>
      </c>
      <c r="X43" s="18">
        <v>14286.36</v>
      </c>
      <c r="Y43" s="4">
        <f>X43/W43-1</f>
        <v>222.29415442325728</v>
      </c>
    </row>
    <row r="44" spans="1:26" ht="13.9" customHeight="1">
      <c r="A44" t="s">
        <v>113</v>
      </c>
      <c r="B44" t="s">
        <v>114</v>
      </c>
      <c r="C44" s="28">
        <v>2329</v>
      </c>
      <c r="E44" t="s">
        <v>114</v>
      </c>
      <c r="F44" s="28">
        <v>2314</v>
      </c>
      <c r="G44" t="b">
        <f>IF(B44=E44,TRUE,FALSE)</f>
        <v>1</v>
      </c>
      <c r="J44" s="25">
        <f>F44-C44</f>
        <v>-15</v>
      </c>
      <c r="K44" s="4">
        <f>F44/C44-1</f>
        <v>-6.440532417346545E-3</v>
      </c>
      <c r="M44" s="5">
        <v>3462.14</v>
      </c>
      <c r="N44" s="5">
        <v>4591.3</v>
      </c>
      <c r="Q44" s="159">
        <v>20770.400000000001</v>
      </c>
      <c r="T44" s="174">
        <f>N44/F44</f>
        <v>1.9841400172860848</v>
      </c>
      <c r="U44" s="146">
        <f>N44-M44</f>
        <v>1129.1600000000003</v>
      </c>
      <c r="V44" s="4">
        <f>IF(M44=0,0,N44/M44-1)</f>
        <v>0.32614510100689187</v>
      </c>
      <c r="W44" s="18">
        <v>65476.71</v>
      </c>
      <c r="X44" s="18">
        <v>69295.3</v>
      </c>
      <c r="Y44" s="4">
        <f>X44/W44-1</f>
        <v>5.831982089509391E-2</v>
      </c>
    </row>
    <row r="45" spans="1:26">
      <c r="A45" t="s">
        <v>115</v>
      </c>
      <c r="B45" t="s">
        <v>116</v>
      </c>
      <c r="C45" s="28">
        <v>0</v>
      </c>
      <c r="E45" t="s">
        <v>116</v>
      </c>
      <c r="F45" s="28">
        <v>388</v>
      </c>
      <c r="G45" t="b">
        <f>IF(B45=E45,TRUE,FALSE)</f>
        <v>1</v>
      </c>
      <c r="J45" s="25">
        <f>F45-C45</f>
        <v>388</v>
      </c>
      <c r="K45" s="4" t="e">
        <f>F45/C45-1</f>
        <v>#DIV/0!</v>
      </c>
      <c r="M45" s="5">
        <v>0</v>
      </c>
      <c r="N45" s="5">
        <v>1128.23</v>
      </c>
      <c r="Q45" s="159">
        <v>8282.9500000000007</v>
      </c>
      <c r="T45" s="174">
        <f>N45/F45</f>
        <v>2.9078092783505154</v>
      </c>
      <c r="U45" s="146">
        <f>N45-M45</f>
        <v>1128.23</v>
      </c>
      <c r="V45" s="4">
        <f>IF(M45=0,0,N45/M45-1)</f>
        <v>0</v>
      </c>
      <c r="W45" s="18">
        <v>0</v>
      </c>
      <c r="X45" s="18">
        <v>7538.68</v>
      </c>
      <c r="Y45" s="4" t="e">
        <f>X45/W45-1</f>
        <v>#DIV/0!</v>
      </c>
    </row>
    <row r="46" spans="1:26">
      <c r="A46" t="s">
        <v>117</v>
      </c>
      <c r="B46" t="s">
        <v>118</v>
      </c>
      <c r="C46" s="28">
        <v>13570</v>
      </c>
      <c r="E46" t="s">
        <v>118</v>
      </c>
      <c r="F46" s="28">
        <v>13244</v>
      </c>
      <c r="G46" t="b">
        <f>IF(B46=E46,TRUE,FALSE)</f>
        <v>1</v>
      </c>
      <c r="J46" s="25">
        <f>F46-C46</f>
        <v>-326</v>
      </c>
      <c r="K46" s="4">
        <f>F46/C46-1</f>
        <v>-2.402358142962413E-2</v>
      </c>
      <c r="M46" s="5">
        <v>12448.06</v>
      </c>
      <c r="N46" s="5">
        <v>13534.58</v>
      </c>
      <c r="Q46" s="159">
        <v>115619.04</v>
      </c>
      <c r="T46" s="174">
        <f>N46/F46</f>
        <v>1.0219405013591061</v>
      </c>
      <c r="U46" s="146">
        <f>N46-M46</f>
        <v>1086.5200000000004</v>
      </c>
      <c r="V46" s="4">
        <f>IF(M46=0,0,N46/M46-1)</f>
        <v>8.728428365544505E-2</v>
      </c>
      <c r="W46" s="18">
        <v>446690.52</v>
      </c>
      <c r="X46" s="18">
        <v>432579.28</v>
      </c>
      <c r="Y46" s="4">
        <f>X46/W46-1</f>
        <v>-3.159064132366185E-2</v>
      </c>
    </row>
    <row r="47" spans="1:26">
      <c r="A47" s="55" t="s">
        <v>119</v>
      </c>
      <c r="B47" s="37" t="s">
        <v>120</v>
      </c>
      <c r="C47" s="28">
        <v>559</v>
      </c>
      <c r="E47" s="37" t="s">
        <v>120</v>
      </c>
      <c r="F47" s="28">
        <v>1485</v>
      </c>
      <c r="G47" t="b">
        <f>IF(B47=E47,TRUE,FALSE)</f>
        <v>1</v>
      </c>
      <c r="J47" s="25">
        <f>F47-C47</f>
        <v>926</v>
      </c>
      <c r="K47" s="4">
        <f>F47/C47-1</f>
        <v>1.6565295169946332</v>
      </c>
      <c r="M47" s="5">
        <v>1528.78</v>
      </c>
      <c r="N47" s="5">
        <v>2584.36</v>
      </c>
      <c r="Q47" s="158">
        <v>13273.61</v>
      </c>
      <c r="T47" s="174">
        <f>N47/F47</f>
        <v>1.7403097643097645</v>
      </c>
      <c r="U47" s="146">
        <f>N47-M47</f>
        <v>1055.5800000000002</v>
      </c>
      <c r="V47" s="4">
        <f>IF(M47=0,0,N47/M47-1)</f>
        <v>0.69047214118447409</v>
      </c>
      <c r="W47" s="18">
        <v>7820.41</v>
      </c>
      <c r="X47" s="18">
        <v>18004.75</v>
      </c>
      <c r="Y47" s="4">
        <f>X47/W47-1</f>
        <v>1.3022769905925649</v>
      </c>
    </row>
    <row r="48" spans="1:26" ht="13.5" customHeight="1">
      <c r="A48" s="55" t="s">
        <v>121</v>
      </c>
      <c r="B48" s="37" t="s">
        <v>122</v>
      </c>
      <c r="C48" s="28">
        <v>865</v>
      </c>
      <c r="E48" s="37" t="s">
        <v>122</v>
      </c>
      <c r="F48" s="28">
        <v>1971</v>
      </c>
      <c r="G48" t="b">
        <f>IF(B48=E48,TRUE,FALSE)</f>
        <v>1</v>
      </c>
      <c r="J48" s="25">
        <f>F48-C48</f>
        <v>1106</v>
      </c>
      <c r="K48" s="4">
        <f>F48/C48-1</f>
        <v>1.2786127167630057</v>
      </c>
      <c r="M48" s="5">
        <v>1451.05</v>
      </c>
      <c r="N48" s="5">
        <v>2504.3200000000002</v>
      </c>
      <c r="Q48" s="158">
        <v>12370.88</v>
      </c>
      <c r="T48" s="174">
        <f>N48/F48</f>
        <v>1.2705834601725015</v>
      </c>
      <c r="U48" s="146">
        <f>N48-M48</f>
        <v>1053.2700000000002</v>
      </c>
      <c r="V48" s="4">
        <f>IF(M48=0,0,N48/M48-1)</f>
        <v>0.72586747527652395</v>
      </c>
      <c r="W48" s="18">
        <v>12155.35</v>
      </c>
      <c r="X48" s="18">
        <v>30106.29</v>
      </c>
      <c r="Y48" s="4">
        <f>X48/W48-1</f>
        <v>1.4767933461397655</v>
      </c>
    </row>
    <row r="49" spans="1:25">
      <c r="A49" t="s">
        <v>123</v>
      </c>
      <c r="B49" t="s">
        <v>124</v>
      </c>
      <c r="C49" s="28">
        <v>77</v>
      </c>
      <c r="E49" t="s">
        <v>124</v>
      </c>
      <c r="F49" s="28">
        <v>370</v>
      </c>
      <c r="G49" t="b">
        <f>IF(B49=E49,TRUE,FALSE)</f>
        <v>1</v>
      </c>
      <c r="J49" s="25">
        <f>F49-C49</f>
        <v>293</v>
      </c>
      <c r="K49" s="4">
        <f>F49/C49-1</f>
        <v>3.8051948051948052</v>
      </c>
      <c r="M49" s="5">
        <v>101.46</v>
      </c>
      <c r="N49" s="5">
        <v>1118.96</v>
      </c>
      <c r="Q49" s="159">
        <v>5484.15</v>
      </c>
      <c r="T49" s="174">
        <f>N49/F49</f>
        <v>3.0242162162162165</v>
      </c>
      <c r="U49" s="146">
        <f>N49-M49</f>
        <v>1017.5</v>
      </c>
      <c r="V49" s="4">
        <f>IF(M49=0,0,N49/M49-1)</f>
        <v>10.028582692686774</v>
      </c>
      <c r="W49" s="18">
        <v>1077.23</v>
      </c>
      <c r="X49" s="18">
        <v>4949.5</v>
      </c>
      <c r="Y49" s="4">
        <f>X49/W49-1</f>
        <v>3.5946548090936936</v>
      </c>
    </row>
    <row r="50" spans="1:25">
      <c r="A50" t="s">
        <v>125</v>
      </c>
      <c r="B50" t="s">
        <v>126</v>
      </c>
      <c r="C50" s="28">
        <v>0</v>
      </c>
      <c r="E50" t="s">
        <v>126</v>
      </c>
      <c r="F50" s="28">
        <v>359</v>
      </c>
      <c r="G50" t="b">
        <f>IF(B50=E50,TRUE,FALSE)</f>
        <v>1</v>
      </c>
      <c r="J50" s="25">
        <f>F50-C50</f>
        <v>359</v>
      </c>
      <c r="K50" s="4" t="e">
        <f>F50/C50-1</f>
        <v>#DIV/0!</v>
      </c>
      <c r="M50" s="5">
        <v>0</v>
      </c>
      <c r="N50" s="5">
        <v>1000.06</v>
      </c>
      <c r="Q50" s="159">
        <v>7191.88</v>
      </c>
      <c r="T50" s="174">
        <f>N50/F50</f>
        <v>2.7856824512534817</v>
      </c>
      <c r="U50" s="146">
        <f>N50-M50</f>
        <v>1000.06</v>
      </c>
      <c r="V50" s="4">
        <f>IF(M50=0,0,N50/M50-1)</f>
        <v>0</v>
      </c>
      <c r="W50" s="18">
        <v>0</v>
      </c>
      <c r="X50" s="18">
        <v>6283.07</v>
      </c>
      <c r="Y50" s="4" t="e">
        <f>X50/W50-1</f>
        <v>#DIV/0!</v>
      </c>
    </row>
    <row r="51" spans="1:25">
      <c r="A51" t="s">
        <v>127</v>
      </c>
      <c r="B51" t="s">
        <v>128</v>
      </c>
      <c r="C51" s="28">
        <v>1615</v>
      </c>
      <c r="E51" t="s">
        <v>128</v>
      </c>
      <c r="F51" s="28">
        <v>1479</v>
      </c>
      <c r="G51" t="b">
        <f>IF(B51=E51,TRUE,FALSE)</f>
        <v>1</v>
      </c>
      <c r="J51" s="25">
        <f>F51-C51</f>
        <v>-136</v>
      </c>
      <c r="K51" s="4">
        <f>F51/C51-1</f>
        <v>-8.4210526315789513E-2</v>
      </c>
      <c r="M51" s="5">
        <v>2107.91</v>
      </c>
      <c r="N51" s="5">
        <v>3066.96</v>
      </c>
      <c r="Q51" s="159">
        <v>17028.78</v>
      </c>
      <c r="T51" s="174">
        <f>N51/F51</f>
        <v>2.0736713995943203</v>
      </c>
      <c r="U51" s="146">
        <f>N51-M51</f>
        <v>959.05000000000018</v>
      </c>
      <c r="V51" s="4">
        <f>IF(M51=0,0,N51/M51-1)</f>
        <v>0.45497673050557208</v>
      </c>
      <c r="W51" s="18">
        <v>29718.39</v>
      </c>
      <c r="X51" s="18">
        <v>29466.95</v>
      </c>
      <c r="Y51" s="4">
        <f>X51/W51-1</f>
        <v>-8.4607544352166553E-3</v>
      </c>
    </row>
    <row r="52" spans="1:25">
      <c r="A52" s="55" t="s">
        <v>129</v>
      </c>
      <c r="B52" s="37" t="s">
        <v>130</v>
      </c>
      <c r="C52" s="19">
        <v>4275</v>
      </c>
      <c r="E52" s="37" t="s">
        <v>130</v>
      </c>
      <c r="F52" s="19">
        <v>5771</v>
      </c>
      <c r="G52" t="b">
        <f>IF(B52=E52,TRUE,FALSE)</f>
        <v>1</v>
      </c>
      <c r="J52" s="25">
        <f>F52-C52</f>
        <v>1496</v>
      </c>
      <c r="K52" s="4">
        <f>F52/C52-1</f>
        <v>0.34994152046783622</v>
      </c>
      <c r="M52" s="5">
        <v>4319.6499999999996</v>
      </c>
      <c r="N52" s="5">
        <v>5277.72</v>
      </c>
      <c r="Q52" s="158">
        <v>36214.46</v>
      </c>
      <c r="T52" s="174">
        <f>N52/F52</f>
        <v>0.91452434586726739</v>
      </c>
      <c r="U52" s="146">
        <f>N52-M52</f>
        <v>958.07000000000062</v>
      </c>
      <c r="V52" s="4">
        <f>IF(M52=0,0,N52/M52-1)</f>
        <v>0.2217934323382682</v>
      </c>
      <c r="W52">
        <v>89245.79</v>
      </c>
      <c r="X52">
        <v>121480.89</v>
      </c>
      <c r="Y52" s="4">
        <f>X52/W52-1</f>
        <v>0.3611946289007022</v>
      </c>
    </row>
    <row r="53" spans="1:25">
      <c r="A53" t="s">
        <v>131</v>
      </c>
      <c r="B53" t="s">
        <v>132</v>
      </c>
      <c r="C53" s="28">
        <v>2686</v>
      </c>
      <c r="E53" t="s">
        <v>132</v>
      </c>
      <c r="F53" s="28">
        <v>2613</v>
      </c>
      <c r="G53" t="b">
        <f>IF(B53=E53,TRUE,FALSE)</f>
        <v>1</v>
      </c>
      <c r="J53" s="25">
        <f>F53-C53</f>
        <v>-73</v>
      </c>
      <c r="K53" s="4">
        <f>F53/C53-1</f>
        <v>-2.7177959791511497E-2</v>
      </c>
      <c r="M53" s="5">
        <v>2042.86</v>
      </c>
      <c r="N53" s="5">
        <v>2983.73</v>
      </c>
      <c r="Q53" s="159">
        <v>16386.310000000001</v>
      </c>
      <c r="T53" s="174">
        <f>N53/F53</f>
        <v>1.1418790662074245</v>
      </c>
      <c r="U53" s="146">
        <f>N53-M53</f>
        <v>940.87000000000012</v>
      </c>
      <c r="V53" s="4">
        <f>IF(M53=0,0,N53/M53-1)</f>
        <v>0.46056509011875524</v>
      </c>
      <c r="W53" s="18">
        <v>80552.72</v>
      </c>
      <c r="X53" s="18">
        <v>71754.75</v>
      </c>
      <c r="Y53" s="4">
        <f>X53/W53-1</f>
        <v>-0.10922002385518459</v>
      </c>
    </row>
    <row r="54" spans="1:25">
      <c r="A54" s="55" t="s">
        <v>133</v>
      </c>
      <c r="B54" s="37" t="s">
        <v>134</v>
      </c>
      <c r="C54" s="28">
        <v>833</v>
      </c>
      <c r="E54" s="37" t="s">
        <v>134</v>
      </c>
      <c r="F54" s="28">
        <v>1137</v>
      </c>
      <c r="G54" t="b">
        <f>IF(B54=E54,TRUE,FALSE)</f>
        <v>1</v>
      </c>
      <c r="J54" s="25">
        <f>F54-C54</f>
        <v>304</v>
      </c>
      <c r="K54" s="4">
        <f>F54/C54-1</f>
        <v>0.36494597839135645</v>
      </c>
      <c r="M54" s="5">
        <v>1528.77</v>
      </c>
      <c r="N54" s="5">
        <v>2469.58</v>
      </c>
      <c r="Q54" s="158">
        <v>15318.7</v>
      </c>
      <c r="T54" s="174">
        <f>N54/F54</f>
        <v>2.1720140721196128</v>
      </c>
      <c r="U54" s="146">
        <f>N54-M54</f>
        <v>940.81</v>
      </c>
      <c r="V54" s="4">
        <f>IF(M54=0,0,N54/M54-1)</f>
        <v>0.61540323266416785</v>
      </c>
      <c r="W54" s="18">
        <v>16651.27</v>
      </c>
      <c r="X54" s="18">
        <v>21556.11</v>
      </c>
      <c r="Y54" s="4">
        <f>X54/W54-1</f>
        <v>0.29456251685306878</v>
      </c>
    </row>
    <row r="55" spans="1:25">
      <c r="A55" s="57" t="s">
        <v>135</v>
      </c>
      <c r="B55" s="37" t="s">
        <v>136</v>
      </c>
      <c r="C55" s="28">
        <v>2315</v>
      </c>
      <c r="E55" s="37" t="s">
        <v>136</v>
      </c>
      <c r="F55" s="28">
        <v>2185</v>
      </c>
      <c r="G55" t="b">
        <f>IF(B55=E55,TRUE,FALSE)</f>
        <v>1</v>
      </c>
      <c r="J55" s="25">
        <f>F55-C55</f>
        <v>-130</v>
      </c>
      <c r="K55" s="4">
        <f>F55/C55-1</f>
        <v>-5.6155507559395246E-2</v>
      </c>
      <c r="M55" s="5">
        <v>4948.45</v>
      </c>
      <c r="N55" s="5">
        <v>5882.86</v>
      </c>
      <c r="Q55" s="159">
        <v>34073.839999999997</v>
      </c>
      <c r="T55" s="174">
        <f>N55/F55</f>
        <v>2.6923844393592677</v>
      </c>
      <c r="U55" s="146">
        <f>N55-M55</f>
        <v>934.40999999999985</v>
      </c>
      <c r="V55" s="4">
        <f>IF(M55=0,0,N55/M55-1)</f>
        <v>0.18882882518768507</v>
      </c>
      <c r="W55" s="18">
        <v>43616.119999999995</v>
      </c>
      <c r="X55" s="18">
        <v>47918.37</v>
      </c>
      <c r="Y55" s="4">
        <f>X55/W55-1</f>
        <v>9.8638989437850322E-2</v>
      </c>
    </row>
    <row r="56" spans="1:25">
      <c r="A56" t="s">
        <v>137</v>
      </c>
      <c r="B56" t="s">
        <v>138</v>
      </c>
      <c r="C56" s="28">
        <v>514</v>
      </c>
      <c r="E56" t="s">
        <v>138</v>
      </c>
      <c r="F56" s="28">
        <v>547</v>
      </c>
      <c r="G56" t="b">
        <f>IF(B56=E56,TRUE,FALSE)</f>
        <v>1</v>
      </c>
      <c r="J56" s="25">
        <f>F56-C56</f>
        <v>33</v>
      </c>
      <c r="K56" s="4">
        <f>F56/C56-1</f>
        <v>6.4202334630350189E-2</v>
      </c>
      <c r="M56" s="5">
        <v>22.42</v>
      </c>
      <c r="N56" s="5">
        <v>939.79</v>
      </c>
      <c r="Q56" s="159">
        <v>3838.31</v>
      </c>
      <c r="T56" s="174">
        <f>N56/F56</f>
        <v>1.7180804387568556</v>
      </c>
      <c r="U56" s="146">
        <f>N56-M56</f>
        <v>917.37</v>
      </c>
      <c r="V56" s="4">
        <f>IF(M56=0,0,N56/M56-1)</f>
        <v>40.917484388938441</v>
      </c>
      <c r="W56" s="18">
        <v>9739.92</v>
      </c>
      <c r="X56" s="18">
        <v>10365.65</v>
      </c>
      <c r="Y56" s="4">
        <f>X56/W56-1</f>
        <v>6.4243854158966274E-2</v>
      </c>
    </row>
    <row r="57" spans="1:25">
      <c r="A57" t="s">
        <v>139</v>
      </c>
      <c r="B57" t="s">
        <v>140</v>
      </c>
      <c r="C57" s="28">
        <v>23686</v>
      </c>
      <c r="E57" t="s">
        <v>140</v>
      </c>
      <c r="F57" s="28">
        <v>21908</v>
      </c>
      <c r="G57" t="b">
        <f>IF(B57=E57,TRUE,FALSE)</f>
        <v>1</v>
      </c>
      <c r="J57" s="25">
        <f>F57-C57</f>
        <v>-1778</v>
      </c>
      <c r="K57" s="4">
        <f>F57/C57-1</f>
        <v>-7.5065439500126674E-2</v>
      </c>
      <c r="M57" s="5">
        <v>16825.719999999998</v>
      </c>
      <c r="N57" s="5">
        <v>17709.07</v>
      </c>
      <c r="Q57" s="159">
        <v>149783.72</v>
      </c>
      <c r="T57" s="174">
        <f>N57/F57</f>
        <v>0.80833805002738723</v>
      </c>
      <c r="U57" s="146">
        <f>N57-M57</f>
        <v>883.35000000000218</v>
      </c>
      <c r="V57" s="4">
        <f>IF(M57=0,0,N57/M57-1)</f>
        <v>5.2499982170153947E-2</v>
      </c>
      <c r="W57" s="18">
        <v>1130034.95</v>
      </c>
      <c r="X57" s="18">
        <v>1018704.03</v>
      </c>
      <c r="Y57" s="4">
        <f>X57/W57-1</f>
        <v>-9.8519890911338615E-2</v>
      </c>
    </row>
    <row r="58" spans="1:25">
      <c r="A58" t="s">
        <v>141</v>
      </c>
      <c r="B58" t="s">
        <v>142</v>
      </c>
      <c r="C58" s="28">
        <v>4426</v>
      </c>
      <c r="E58" t="s">
        <v>142</v>
      </c>
      <c r="F58" s="28">
        <v>4446</v>
      </c>
      <c r="G58" t="b">
        <f>IF(B58=E58,TRUE,FALSE)</f>
        <v>1</v>
      </c>
      <c r="J58" s="25">
        <f>F58-C58</f>
        <v>20</v>
      </c>
      <c r="K58" s="4">
        <f>F58/C58-1</f>
        <v>4.5187528242205399E-3</v>
      </c>
      <c r="M58" s="5">
        <v>2928.56</v>
      </c>
      <c r="N58" s="5">
        <v>3810.67</v>
      </c>
      <c r="Q58" s="159">
        <v>38957.29</v>
      </c>
      <c r="T58" s="174">
        <f>N58/F58</f>
        <v>0.85710076473234365</v>
      </c>
      <c r="U58" s="146">
        <f>N58-M58</f>
        <v>882.11000000000013</v>
      </c>
      <c r="V58" s="4">
        <f>IF(M58=0,0,N58/M58-1)</f>
        <v>0.30120946813450988</v>
      </c>
      <c r="W58" s="18">
        <v>163226.25</v>
      </c>
      <c r="X58" s="18">
        <v>168071.62</v>
      </c>
      <c r="Y58" s="4">
        <f>X58/W58-1</f>
        <v>2.9684992456789239E-2</v>
      </c>
    </row>
    <row r="59" spans="1:25">
      <c r="A59" s="55" t="s">
        <v>143</v>
      </c>
      <c r="B59" s="37" t="s">
        <v>144</v>
      </c>
      <c r="C59" s="28">
        <v>1704</v>
      </c>
      <c r="E59" s="37" t="s">
        <v>144</v>
      </c>
      <c r="F59" s="28">
        <v>2148</v>
      </c>
      <c r="G59" t="b">
        <f>IF(B59=E59,TRUE,FALSE)</f>
        <v>1</v>
      </c>
      <c r="J59" s="25">
        <f>F59-C59</f>
        <v>444</v>
      </c>
      <c r="K59" s="4">
        <f>F59/C59-1</f>
        <v>0.26056338028169024</v>
      </c>
      <c r="M59" s="5">
        <v>3786.78</v>
      </c>
      <c r="N59" s="5">
        <v>4668.3999999999996</v>
      </c>
      <c r="Q59" s="159">
        <v>36283.22</v>
      </c>
      <c r="T59" s="174">
        <f>N59/F59</f>
        <v>2.1733705772811915</v>
      </c>
      <c r="U59" s="146">
        <f>N59-M59</f>
        <v>881.61999999999944</v>
      </c>
      <c r="V59" s="4">
        <f>IF(M59=0,0,N59/M59-1)</f>
        <v>0.23281521503757796</v>
      </c>
      <c r="W59" s="18">
        <v>51102.96</v>
      </c>
      <c r="X59" s="18">
        <v>64418.52</v>
      </c>
      <c r="Y59" s="4">
        <f>X59/W59-1</f>
        <v>0.26056338028169002</v>
      </c>
    </row>
    <row r="60" spans="1:25">
      <c r="A60" s="55" t="s">
        <v>145</v>
      </c>
      <c r="B60" s="37" t="s">
        <v>146</v>
      </c>
      <c r="C60" s="28">
        <v>1725</v>
      </c>
      <c r="E60" s="37" t="s">
        <v>146</v>
      </c>
      <c r="F60" s="28">
        <v>1474</v>
      </c>
      <c r="G60" t="b">
        <f>IF(B60=E60,TRUE,FALSE)</f>
        <v>1</v>
      </c>
      <c r="J60" s="25">
        <f>F60-C60</f>
        <v>-251</v>
      </c>
      <c r="K60" s="4">
        <f>F60/C60-1</f>
        <v>-0.14550724637681156</v>
      </c>
      <c r="M60" s="5">
        <v>3259.47</v>
      </c>
      <c r="N60" s="5">
        <v>4137.75</v>
      </c>
      <c r="Q60" s="158">
        <v>28762.26</v>
      </c>
      <c r="T60" s="174">
        <f>N60/F60</f>
        <v>2.8071573948439621</v>
      </c>
      <c r="U60" s="146">
        <f>N60-M60</f>
        <v>878.2800000000002</v>
      </c>
      <c r="V60" s="4">
        <f>IF(M60=0,0,N60/M60-1)</f>
        <v>0.26945485002162939</v>
      </c>
      <c r="W60" s="18">
        <v>37344.76</v>
      </c>
      <c r="X60" s="18">
        <v>41403.46</v>
      </c>
      <c r="Y60" s="4">
        <f>X60/W60-1</f>
        <v>0.10868191414270689</v>
      </c>
    </row>
    <row r="61" spans="1:25">
      <c r="A61" t="s">
        <v>147</v>
      </c>
      <c r="B61" t="s">
        <v>148</v>
      </c>
      <c r="C61" s="28">
        <v>2173</v>
      </c>
      <c r="E61" t="s">
        <v>148</v>
      </c>
      <c r="F61" s="28">
        <v>1825</v>
      </c>
      <c r="G61" t="b">
        <f>IF(B61=E61,TRUE,FALSE)</f>
        <v>1</v>
      </c>
      <c r="J61" s="25">
        <f>F61-C61</f>
        <v>-348</v>
      </c>
      <c r="K61" s="4">
        <f>F61/C61-1</f>
        <v>-0.16014726184997696</v>
      </c>
      <c r="M61" s="5">
        <v>2210.6799999999998</v>
      </c>
      <c r="N61" s="5">
        <v>3000.73</v>
      </c>
      <c r="Q61" s="159">
        <v>19055.29</v>
      </c>
      <c r="T61" s="174">
        <f>N61/F61</f>
        <v>1.6442356164383563</v>
      </c>
      <c r="U61" s="146">
        <f>N61-M61</f>
        <v>790.05000000000018</v>
      </c>
      <c r="V61" s="4">
        <f>IF(M61=0,0,N61/M61-1)</f>
        <v>0.35737872509815993</v>
      </c>
      <c r="W61" s="18">
        <v>46499.91</v>
      </c>
      <c r="X61" s="18">
        <v>41880.76</v>
      </c>
      <c r="Y61" s="4">
        <f>X61/W61-1</f>
        <v>-9.9336751404465073E-2</v>
      </c>
    </row>
    <row r="62" spans="1:25">
      <c r="A62" t="s">
        <v>149</v>
      </c>
      <c r="B62" t="s">
        <v>150</v>
      </c>
      <c r="C62" s="28">
        <v>4704</v>
      </c>
      <c r="E62" t="s">
        <v>150</v>
      </c>
      <c r="F62" s="28">
        <v>4299</v>
      </c>
      <c r="G62" t="b">
        <f>IF(B62=E62,TRUE,FALSE)</f>
        <v>1</v>
      </c>
      <c r="J62" s="25">
        <f>F62-C62</f>
        <v>-405</v>
      </c>
      <c r="K62" s="4">
        <f>F62/C62-1</f>
        <v>-8.6096938775510168E-2</v>
      </c>
      <c r="M62" s="5">
        <v>7667.42</v>
      </c>
      <c r="N62" s="5">
        <v>8457.41</v>
      </c>
      <c r="Q62" s="159">
        <v>54370.59</v>
      </c>
      <c r="T62" s="174">
        <f>N62/F62</f>
        <v>1.9672970458246104</v>
      </c>
      <c r="U62" s="146">
        <f>N62-M62</f>
        <v>789.98999999999978</v>
      </c>
      <c r="V62" s="4">
        <f>IF(M62=0,0,N62/M62-1)</f>
        <v>0.10303204989422765</v>
      </c>
      <c r="W62" s="18">
        <v>136011.09999999998</v>
      </c>
      <c r="X62" s="18">
        <v>128755.05</v>
      </c>
      <c r="Y62" s="4">
        <f>X62/W62-1</f>
        <v>-5.3348954607381094E-2</v>
      </c>
    </row>
    <row r="63" spans="1:25">
      <c r="A63" t="s">
        <v>151</v>
      </c>
      <c r="B63" s="27" t="s">
        <v>152</v>
      </c>
      <c r="C63" s="28">
        <v>2157</v>
      </c>
      <c r="E63" s="27" t="s">
        <v>152</v>
      </c>
      <c r="F63" s="28">
        <v>2550</v>
      </c>
      <c r="G63" t="b">
        <f>IF(B63=E63,TRUE,FALSE)</f>
        <v>1</v>
      </c>
      <c r="J63" s="25">
        <f>F63-C63</f>
        <v>393</v>
      </c>
      <c r="K63" s="4">
        <f>F63/C63-1</f>
        <v>0.18219749652294848</v>
      </c>
      <c r="M63" s="5">
        <v>4132.5</v>
      </c>
      <c r="N63" s="5">
        <v>4915.26</v>
      </c>
      <c r="Q63" s="159">
        <v>35665.370000000003</v>
      </c>
      <c r="T63" s="174">
        <f>N63/F63</f>
        <v>1.9275529411764707</v>
      </c>
      <c r="U63" s="146">
        <f>N63-M63</f>
        <v>782.76000000000022</v>
      </c>
      <c r="V63" s="4">
        <f>IF(M63=0,0,N63/M63-1)</f>
        <v>0.18941560798548096</v>
      </c>
      <c r="W63" s="18">
        <v>71157.429999999993</v>
      </c>
      <c r="X63" s="18">
        <v>82509.789999999994</v>
      </c>
      <c r="Y63" s="4">
        <f>X63/W63-1</f>
        <v>0.1595386455075738</v>
      </c>
    </row>
    <row r="64" spans="1:25">
      <c r="A64" t="s">
        <v>153</v>
      </c>
      <c r="B64" t="s">
        <v>154</v>
      </c>
      <c r="C64" s="28">
        <v>1472</v>
      </c>
      <c r="E64" t="s">
        <v>154</v>
      </c>
      <c r="F64" s="28">
        <v>1471</v>
      </c>
      <c r="G64" t="b">
        <f>IF(B64=E64,TRUE,FALSE)</f>
        <v>1</v>
      </c>
      <c r="J64" s="25">
        <f>F64-C64</f>
        <v>-1</v>
      </c>
      <c r="K64" s="4">
        <f>F64/C64-1</f>
        <v>-6.7934782608691791E-4</v>
      </c>
      <c r="M64" s="5">
        <v>1343.86</v>
      </c>
      <c r="N64" s="5">
        <v>2112.8200000000002</v>
      </c>
      <c r="Q64" s="159">
        <v>12460.83</v>
      </c>
      <c r="T64" s="174">
        <f>N64/F64</f>
        <v>1.43631543167913</v>
      </c>
      <c r="U64" s="146">
        <f>N64-M64</f>
        <v>768.96000000000026</v>
      </c>
      <c r="V64" s="4">
        <f>IF(M64=0,0,N64/M64-1)</f>
        <v>0.57220246156593713</v>
      </c>
      <c r="W64" s="18">
        <v>30763.07</v>
      </c>
      <c r="X64" s="18">
        <v>30691</v>
      </c>
      <c r="Y64" s="4">
        <f>X64/W64-1</f>
        <v>-2.3427440759326013E-3</v>
      </c>
    </row>
    <row r="65" spans="1:25">
      <c r="A65" t="s">
        <v>155</v>
      </c>
      <c r="B65" t="s">
        <v>156</v>
      </c>
      <c r="C65" s="28">
        <v>2165</v>
      </c>
      <c r="E65" t="s">
        <v>156</v>
      </c>
      <c r="F65" s="28">
        <v>1954</v>
      </c>
      <c r="G65" t="b">
        <f>IF(B65=E65,TRUE,FALSE)</f>
        <v>1</v>
      </c>
      <c r="J65" s="25">
        <f>F65-C65</f>
        <v>-211</v>
      </c>
      <c r="K65" s="4">
        <f>F65/C65-1</f>
        <v>-9.7459584295611967E-2</v>
      </c>
      <c r="M65" s="5">
        <v>2338.8200000000002</v>
      </c>
      <c r="N65" s="5">
        <v>3105.79</v>
      </c>
      <c r="Q65" s="159">
        <v>14091.76</v>
      </c>
      <c r="T65" s="174">
        <f>N65/F65</f>
        <v>1.5894524053224155</v>
      </c>
      <c r="U65" s="146">
        <f>N65-M65</f>
        <v>766.9699999999998</v>
      </c>
      <c r="V65" s="4">
        <f>IF(M65=0,0,N65/M65-1)</f>
        <v>0.32793032383851672</v>
      </c>
      <c r="W65" s="18">
        <v>40765.43</v>
      </c>
      <c r="X65" s="18">
        <v>38977.699999999997</v>
      </c>
      <c r="Y65" s="4">
        <f>X65/W65-1</f>
        <v>-4.3854069489761338E-2</v>
      </c>
    </row>
    <row r="66" spans="1:25">
      <c r="A66" s="57" t="s">
        <v>157</v>
      </c>
      <c r="B66" s="27" t="s">
        <v>158</v>
      </c>
      <c r="C66" s="28">
        <v>2147</v>
      </c>
      <c r="E66" s="27" t="s">
        <v>158</v>
      </c>
      <c r="F66" s="28">
        <v>2590</v>
      </c>
      <c r="G66" t="b">
        <f>IF(B66=E66,TRUE,FALSE)</f>
        <v>1</v>
      </c>
      <c r="J66" s="25">
        <f>F66-C66</f>
        <v>443</v>
      </c>
      <c r="K66" s="4">
        <f>F66/C66-1</f>
        <v>0.20633442012109926</v>
      </c>
      <c r="M66" s="5">
        <v>4631.7700000000004</v>
      </c>
      <c r="N66" s="5">
        <v>5373.83</v>
      </c>
      <c r="Q66" s="158">
        <v>28388.19</v>
      </c>
      <c r="T66" s="174">
        <f>N66/F66</f>
        <v>2.0748378378378378</v>
      </c>
      <c r="U66" s="146">
        <f>N66-M66</f>
        <v>742.05999999999949</v>
      </c>
      <c r="V66" s="4">
        <f>IF(M66=0,0,N66/M66-1)</f>
        <v>0.16021089130073363</v>
      </c>
      <c r="W66" s="18">
        <v>45022.55</v>
      </c>
      <c r="X66" s="18">
        <v>55376.1</v>
      </c>
      <c r="Y66" s="4">
        <f>X66/W66-1</f>
        <v>0.2299636515479464</v>
      </c>
    </row>
    <row r="67" spans="1:25">
      <c r="A67" t="s">
        <v>159</v>
      </c>
      <c r="B67" t="s">
        <v>160</v>
      </c>
      <c r="C67" s="28">
        <v>1702</v>
      </c>
      <c r="E67" t="s">
        <v>160</v>
      </c>
      <c r="F67" s="28">
        <v>2089</v>
      </c>
      <c r="G67" t="b">
        <f>IF(B67=E67,TRUE,FALSE)</f>
        <v>1</v>
      </c>
      <c r="J67" s="25">
        <f>F67-C67</f>
        <v>387</v>
      </c>
      <c r="K67" s="4">
        <f>F67/C67-1</f>
        <v>0.22737955346650995</v>
      </c>
      <c r="M67" s="5">
        <v>3093.39</v>
      </c>
      <c r="N67" s="5">
        <v>3823.9</v>
      </c>
      <c r="Q67" s="159">
        <v>21035.33</v>
      </c>
      <c r="T67" s="174">
        <f>N67/F67</f>
        <v>1.8304930588798469</v>
      </c>
      <c r="U67" s="146">
        <f>N67-M67</f>
        <v>730.51000000000022</v>
      </c>
      <c r="V67" s="4">
        <f>IF(M67=0,0,N67/M67-1)</f>
        <v>0.23615192394104856</v>
      </c>
      <c r="W67" s="18">
        <v>45867.82</v>
      </c>
      <c r="X67" s="18">
        <v>56289.37</v>
      </c>
      <c r="Y67" s="4">
        <f>X67/W67-1</f>
        <v>0.22720831293050336</v>
      </c>
    </row>
    <row r="68" spans="1:25">
      <c r="A68" s="55" t="s">
        <v>161</v>
      </c>
      <c r="B68" s="37" t="s">
        <v>162</v>
      </c>
      <c r="C68" s="19">
        <v>607</v>
      </c>
      <c r="E68" s="37" t="s">
        <v>162</v>
      </c>
      <c r="F68" s="19">
        <v>595</v>
      </c>
      <c r="G68" t="b">
        <f>IF(B68=E68,TRUE,FALSE)</f>
        <v>1</v>
      </c>
      <c r="J68" s="25">
        <f>F68-C68</f>
        <v>-12</v>
      </c>
      <c r="K68" s="4">
        <f>F68/C68-1</f>
        <v>-1.9769357495881379E-2</v>
      </c>
      <c r="M68" s="5">
        <v>1591.37</v>
      </c>
      <c r="N68" s="5">
        <v>2292.88</v>
      </c>
      <c r="Q68" s="158">
        <v>8052.32</v>
      </c>
      <c r="T68" s="174">
        <f>N68/F68</f>
        <v>3.8535798319327732</v>
      </c>
      <c r="U68" s="146">
        <f>N68-M68</f>
        <v>701.51000000000022</v>
      </c>
      <c r="V68" s="4">
        <f>IF(M68=0,0,N68/M68-1)</f>
        <v>0.44082143059125167</v>
      </c>
      <c r="W68">
        <v>8491.93</v>
      </c>
      <c r="X68">
        <v>8310.06</v>
      </c>
      <c r="Y68" s="4">
        <f>X68/W68-1</f>
        <v>-2.1416803953871577E-2</v>
      </c>
    </row>
    <row r="69" spans="1:25">
      <c r="A69" s="55" t="s">
        <v>163</v>
      </c>
      <c r="B69" s="37" t="s">
        <v>164</v>
      </c>
      <c r="C69" s="19">
        <v>1284</v>
      </c>
      <c r="E69" s="37" t="s">
        <v>164</v>
      </c>
      <c r="F69" s="19">
        <v>1302</v>
      </c>
      <c r="G69" t="b">
        <f>IF(B69=E69,TRUE,FALSE)</f>
        <v>1</v>
      </c>
      <c r="J69" s="25">
        <f>F69-C69</f>
        <v>18</v>
      </c>
      <c r="K69" s="4">
        <f>F69/C69-1</f>
        <v>1.4018691588784993E-2</v>
      </c>
      <c r="M69" s="5">
        <v>2157.9</v>
      </c>
      <c r="N69" s="5">
        <v>2829.72</v>
      </c>
      <c r="Q69" s="158">
        <v>13584.73</v>
      </c>
      <c r="T69" s="174">
        <f>N69/F69</f>
        <v>2.173364055299539</v>
      </c>
      <c r="U69" s="146">
        <f>N69-M69</f>
        <v>671.81999999999971</v>
      </c>
      <c r="V69" s="4">
        <f>IF(M69=0,0,N69/M69-1)</f>
        <v>0.31133046016960919</v>
      </c>
      <c r="W69">
        <v>12871.16</v>
      </c>
      <c r="X69">
        <v>19890.98</v>
      </c>
      <c r="Y69" s="4">
        <f>X69/W69-1</f>
        <v>0.54539140217354154</v>
      </c>
    </row>
    <row r="70" spans="1:25">
      <c r="A70" s="56" t="s">
        <v>165</v>
      </c>
      <c r="B70" s="37" t="s">
        <v>166</v>
      </c>
      <c r="C70" s="28">
        <v>2753</v>
      </c>
      <c r="E70" s="37" t="s">
        <v>166</v>
      </c>
      <c r="F70" s="28">
        <v>2691</v>
      </c>
      <c r="G70" t="b">
        <f>IF(B70=E70,TRUE,FALSE)</f>
        <v>1</v>
      </c>
      <c r="J70" s="25">
        <f>F70-C70</f>
        <v>-62</v>
      </c>
      <c r="K70" s="4">
        <f>F70/C70-1</f>
        <v>-2.2520886305848142E-2</v>
      </c>
      <c r="M70" s="5">
        <v>3809.03</v>
      </c>
      <c r="N70" s="5">
        <v>4478.95</v>
      </c>
      <c r="Q70" s="159">
        <v>25753.34</v>
      </c>
      <c r="T70" s="174">
        <f>N70/F70</f>
        <v>1.6644184318097361</v>
      </c>
      <c r="U70" s="146">
        <f>N70-M70</f>
        <v>669.91999999999962</v>
      </c>
      <c r="V70" s="4">
        <f>IF(M70=0,0,N70/M70-1)</f>
        <v>0.17587679802994449</v>
      </c>
      <c r="W70" s="18">
        <v>55031.470000000008</v>
      </c>
      <c r="X70" s="18">
        <v>51296.42</v>
      </c>
      <c r="Y70" s="4">
        <f>X70/W70-1</f>
        <v>-6.7871165353206253E-2</v>
      </c>
    </row>
    <row r="71" spans="1:25">
      <c r="A71" t="s">
        <v>167</v>
      </c>
      <c r="B71" t="s">
        <v>168</v>
      </c>
      <c r="C71" s="28">
        <v>3570</v>
      </c>
      <c r="E71" t="s">
        <v>168</v>
      </c>
      <c r="F71" s="28">
        <v>2732</v>
      </c>
      <c r="G71" t="b">
        <f>IF(B71=E71,TRUE,FALSE)</f>
        <v>1</v>
      </c>
      <c r="J71" s="25">
        <f>F71-C71</f>
        <v>-838</v>
      </c>
      <c r="K71" s="4">
        <f>F71/C71-1</f>
        <v>-0.23473389355742302</v>
      </c>
      <c r="M71" s="5">
        <v>3270.98</v>
      </c>
      <c r="N71" s="5">
        <v>3939.99</v>
      </c>
      <c r="Q71" s="159">
        <v>28910.240000000002</v>
      </c>
      <c r="T71" s="174">
        <f>N71/F71</f>
        <v>1.4421632503660322</v>
      </c>
      <c r="U71" s="146">
        <f>N71-M71</f>
        <v>669.00999999999976</v>
      </c>
      <c r="V71" s="4">
        <f>IF(M71=0,0,N71/M71-1)</f>
        <v>0.20452891793896621</v>
      </c>
      <c r="W71" s="18">
        <v>100359.65</v>
      </c>
      <c r="X71" s="18">
        <v>81715.240000000005</v>
      </c>
      <c r="Y71" s="4">
        <f>X71/W71-1</f>
        <v>-0.1857759567714713</v>
      </c>
    </row>
    <row r="72" spans="1:25">
      <c r="A72" s="57" t="s">
        <v>169</v>
      </c>
      <c r="B72" s="37" t="s">
        <v>170</v>
      </c>
      <c r="C72" s="28">
        <v>1150</v>
      </c>
      <c r="E72" s="37" t="s">
        <v>170</v>
      </c>
      <c r="F72" s="28">
        <v>1358</v>
      </c>
      <c r="G72" t="b">
        <f>IF(B72=E72,TRUE,FALSE)</f>
        <v>1</v>
      </c>
      <c r="J72" s="25">
        <f>F72-C72</f>
        <v>208</v>
      </c>
      <c r="K72" s="4">
        <f>F72/C72-1</f>
        <v>0.18086956521739128</v>
      </c>
      <c r="M72" s="5">
        <v>1852.23</v>
      </c>
      <c r="N72" s="5">
        <v>2474.2199999999998</v>
      </c>
      <c r="Q72" s="159">
        <v>16428.97</v>
      </c>
      <c r="T72" s="174">
        <f>N72/F72</f>
        <v>1.8219587628865979</v>
      </c>
      <c r="U72" s="146">
        <f>N72-M72</f>
        <v>621.98999999999978</v>
      </c>
      <c r="V72" s="4">
        <f>IF(M72=0,0,N72/M72-1)</f>
        <v>0.33580602840899876</v>
      </c>
      <c r="W72" s="18">
        <v>18388.5</v>
      </c>
      <c r="X72" s="18">
        <v>21184.82</v>
      </c>
      <c r="Y72" s="4">
        <f>X72/W72-1</f>
        <v>0.15206895614106641</v>
      </c>
    </row>
    <row r="73" spans="1:25">
      <c r="A73" s="55" t="s">
        <v>171</v>
      </c>
      <c r="B73" s="37" t="s">
        <v>172</v>
      </c>
      <c r="C73" s="28">
        <v>2267</v>
      </c>
      <c r="E73" s="37" t="s">
        <v>172</v>
      </c>
      <c r="F73" s="28">
        <v>2058</v>
      </c>
      <c r="G73" t="b">
        <f>IF(B73=E73,TRUE,FALSE)</f>
        <v>1</v>
      </c>
      <c r="J73" s="25">
        <f>F73-C73</f>
        <v>-209</v>
      </c>
      <c r="K73" s="4">
        <f>F73/C73-1</f>
        <v>-9.2192324658138536E-2</v>
      </c>
      <c r="M73" s="5">
        <v>3985.01</v>
      </c>
      <c r="N73" s="5">
        <v>4603.8999999999996</v>
      </c>
      <c r="Q73" s="159">
        <v>29101.58</v>
      </c>
      <c r="T73" s="174">
        <f>N73/F73</f>
        <v>2.2370748299319727</v>
      </c>
      <c r="U73" s="146">
        <f>N73-M73</f>
        <v>618.88999999999942</v>
      </c>
      <c r="V73" s="4">
        <f>IF(M73=0,0,N73/M73-1)</f>
        <v>0.15530450362734327</v>
      </c>
      <c r="W73" s="18">
        <v>53236.08</v>
      </c>
      <c r="X73" s="18">
        <v>49799.71</v>
      </c>
      <c r="Y73" s="4">
        <f>X73/W73-1</f>
        <v>-6.4549643775424492E-2</v>
      </c>
    </row>
    <row r="74" spans="1:25">
      <c r="A74" s="55" t="s">
        <v>173</v>
      </c>
      <c r="B74" s="37" t="s">
        <v>174</v>
      </c>
      <c r="C74" s="28">
        <v>1972</v>
      </c>
      <c r="E74" s="37" t="s">
        <v>174</v>
      </c>
      <c r="F74" s="28">
        <v>2512</v>
      </c>
      <c r="G74" t="b">
        <f>IF(B74=E74,TRUE,FALSE)</f>
        <v>1</v>
      </c>
      <c r="J74" s="25">
        <f>F74-C74</f>
        <v>540</v>
      </c>
      <c r="K74" s="4">
        <f>F74/C74-1</f>
        <v>0.27383367139959436</v>
      </c>
      <c r="M74" s="5">
        <v>3464.91</v>
      </c>
      <c r="N74" s="5">
        <v>4082.69</v>
      </c>
      <c r="Q74" s="159">
        <v>29153.13</v>
      </c>
      <c r="T74" s="174">
        <f>N74/F74</f>
        <v>1.6252746815286625</v>
      </c>
      <c r="U74" s="146">
        <f>N74-M74</f>
        <v>617.7800000000002</v>
      </c>
      <c r="V74" s="4">
        <f>IF(M74=0,0,N74/M74-1)</f>
        <v>0.17829611735946971</v>
      </c>
      <c r="W74" s="18">
        <v>43317.38</v>
      </c>
      <c r="X74" s="18">
        <v>55321.43</v>
      </c>
      <c r="Y74" s="4">
        <f>X74/W74-1</f>
        <v>0.27711856072551022</v>
      </c>
    </row>
    <row r="75" spans="1:25">
      <c r="A75" s="57" t="s">
        <v>175</v>
      </c>
      <c r="B75" s="37" t="s">
        <v>176</v>
      </c>
      <c r="C75" s="28">
        <v>1261</v>
      </c>
      <c r="E75" s="37" t="s">
        <v>176</v>
      </c>
      <c r="F75" s="28">
        <v>1732</v>
      </c>
      <c r="G75" t="b">
        <f>IF(B75=E75,TRUE,FALSE)</f>
        <v>1</v>
      </c>
      <c r="J75" s="25">
        <f>F75-C75</f>
        <v>471</v>
      </c>
      <c r="K75" s="4">
        <f>F75/C75-1</f>
        <v>0.37351308485329104</v>
      </c>
      <c r="M75" s="5">
        <v>2626.91</v>
      </c>
      <c r="N75" s="5">
        <v>3243.77</v>
      </c>
      <c r="Q75" s="159">
        <v>16571.59</v>
      </c>
      <c r="T75" s="174">
        <f>N75/F75</f>
        <v>1.8728464203233257</v>
      </c>
      <c r="U75" s="146">
        <f>N75-M75</f>
        <v>616.86000000000013</v>
      </c>
      <c r="V75" s="4">
        <f>IF(M75=0,0,N75/M75-1)</f>
        <v>0.23482342371836107</v>
      </c>
      <c r="W75" s="18">
        <v>20163.39</v>
      </c>
      <c r="X75" s="18">
        <v>26726.880000000001</v>
      </c>
      <c r="Y75" s="4">
        <f>X75/W75-1</f>
        <v>0.32551520354464203</v>
      </c>
    </row>
    <row r="76" spans="1:25">
      <c r="A76" s="55" t="s">
        <v>177</v>
      </c>
      <c r="B76" s="37" t="s">
        <v>178</v>
      </c>
      <c r="C76" s="28">
        <v>112</v>
      </c>
      <c r="E76" s="37" t="s">
        <v>178</v>
      </c>
      <c r="F76" s="28">
        <v>224</v>
      </c>
      <c r="G76" t="b">
        <f>IF(B76=E76,TRUE,FALSE)</f>
        <v>1</v>
      </c>
      <c r="J76" s="25">
        <f>F76-C76</f>
        <v>112</v>
      </c>
      <c r="K76" s="4">
        <f>F76/C76-1</f>
        <v>1</v>
      </c>
      <c r="M76" s="5">
        <v>502.16</v>
      </c>
      <c r="N76" s="5">
        <v>1098.8499999999999</v>
      </c>
      <c r="Q76" s="158">
        <v>6249.38</v>
      </c>
      <c r="T76" s="174">
        <f>N76/F76</f>
        <v>4.9055803571428571</v>
      </c>
      <c r="U76" s="146">
        <f>N76-M76</f>
        <v>596.68999999999983</v>
      </c>
      <c r="V76" s="4">
        <f>IF(M76=0,0,N76/M76-1)</f>
        <v>1.1882467739365938</v>
      </c>
      <c r="W76" s="18">
        <v>2238.6799999999998</v>
      </c>
      <c r="X76" s="18">
        <v>4476.96</v>
      </c>
      <c r="Y76" s="4">
        <f>X76/W76-1</f>
        <v>0.99982132327979012</v>
      </c>
    </row>
    <row r="77" spans="1:25">
      <c r="A77" s="55" t="s">
        <v>179</v>
      </c>
      <c r="B77" s="27" t="s">
        <v>180</v>
      </c>
      <c r="C77" s="28">
        <v>0</v>
      </c>
      <c r="E77" s="27" t="s">
        <v>180</v>
      </c>
      <c r="F77" s="28">
        <v>114</v>
      </c>
      <c r="G77" t="b">
        <f>IF(B77=E77,TRUE,FALSE)</f>
        <v>1</v>
      </c>
      <c r="J77" s="25">
        <f>F77-C77</f>
        <v>114</v>
      </c>
      <c r="K77" s="4" t="e">
        <f>F77/C77-1</f>
        <v>#DIV/0!</v>
      </c>
      <c r="M77" s="5">
        <v>0</v>
      </c>
      <c r="N77" s="5">
        <v>595.46</v>
      </c>
      <c r="Q77" s="158">
        <v>3348.76</v>
      </c>
      <c r="T77" s="174">
        <f>N77/F77</f>
        <v>5.2233333333333336</v>
      </c>
      <c r="U77" s="146">
        <f>N77-M77</f>
        <v>595.46</v>
      </c>
      <c r="V77" s="4">
        <f>IF(M77=0,0,N77/M77-1)</f>
        <v>0</v>
      </c>
      <c r="W77" s="18"/>
      <c r="X77" s="18">
        <v>2379.38</v>
      </c>
      <c r="Y77" s="4"/>
    </row>
    <row r="78" spans="1:25">
      <c r="A78" t="s">
        <v>181</v>
      </c>
      <c r="B78" t="s">
        <v>182</v>
      </c>
      <c r="C78" s="28">
        <v>2078</v>
      </c>
      <c r="E78" t="s">
        <v>182</v>
      </c>
      <c r="F78" s="28">
        <v>2224</v>
      </c>
      <c r="G78" t="b">
        <f>IF(B78=E78,TRUE,FALSE)</f>
        <v>1</v>
      </c>
      <c r="J78" s="25">
        <f>F78-C78</f>
        <v>146</v>
      </c>
      <c r="K78" s="4">
        <f>F78/C78-1</f>
        <v>7.0259865255053011E-2</v>
      </c>
      <c r="M78" s="5">
        <v>2892.52</v>
      </c>
      <c r="N78" s="5">
        <v>3465.42</v>
      </c>
      <c r="Q78" s="159">
        <v>22742.58</v>
      </c>
      <c r="T78" s="174">
        <f>N78/F78</f>
        <v>1.5581924460431655</v>
      </c>
      <c r="U78" s="146">
        <f>N78-M78</f>
        <v>572.90000000000009</v>
      </c>
      <c r="V78" s="4">
        <f>IF(M78=0,0,N78/M78-1)</f>
        <v>0.19806258902272078</v>
      </c>
      <c r="W78" s="18">
        <v>47235.72</v>
      </c>
      <c r="X78" s="18">
        <v>50862.17</v>
      </c>
      <c r="Y78" s="4">
        <f>X78/W78-1</f>
        <v>7.6773467198128831E-2</v>
      </c>
    </row>
    <row r="79" spans="1:25">
      <c r="A79" t="s">
        <v>183</v>
      </c>
      <c r="B79" t="s">
        <v>184</v>
      </c>
      <c r="C79" s="28">
        <v>2506</v>
      </c>
      <c r="E79" t="s">
        <v>184</v>
      </c>
      <c r="F79" s="28">
        <v>2165</v>
      </c>
      <c r="G79" t="b">
        <f>IF(B79=E79,TRUE,FALSE)</f>
        <v>1</v>
      </c>
      <c r="J79" s="25">
        <f>F79-C79</f>
        <v>-341</v>
      </c>
      <c r="K79" s="4">
        <f>F79/C79-1</f>
        <v>-0.13607342378292098</v>
      </c>
      <c r="M79" s="5">
        <v>3057.39</v>
      </c>
      <c r="N79" s="5">
        <v>3612.7</v>
      </c>
      <c r="Q79" s="159">
        <v>32510.65</v>
      </c>
      <c r="T79" s="174">
        <f>N79/F79</f>
        <v>1.6686836027713625</v>
      </c>
      <c r="U79" s="146">
        <f>N79-M79</f>
        <v>555.30999999999995</v>
      </c>
      <c r="V79" s="4">
        <f>IF(M79=0,0,N79/M79-1)</f>
        <v>0.1816287748700689</v>
      </c>
      <c r="W79" s="18">
        <v>58310.73</v>
      </c>
      <c r="X79" s="18">
        <v>54025.77</v>
      </c>
      <c r="Y79" s="4">
        <f>X79/W79-1</f>
        <v>-7.3484931504030349E-2</v>
      </c>
    </row>
    <row r="80" spans="1:25">
      <c r="A80" t="s">
        <v>185</v>
      </c>
      <c r="B80" t="s">
        <v>186</v>
      </c>
      <c r="C80" s="28">
        <v>1674</v>
      </c>
      <c r="E80" t="s">
        <v>186</v>
      </c>
      <c r="F80" s="28">
        <v>1962</v>
      </c>
      <c r="G80" t="b">
        <f>IF(B80=E80,TRUE,FALSE)</f>
        <v>1</v>
      </c>
      <c r="J80" s="25">
        <f>F80-C80</f>
        <v>288</v>
      </c>
      <c r="K80" s="4">
        <f>F80/C80-1</f>
        <v>0.17204301075268824</v>
      </c>
      <c r="M80" s="5">
        <v>2158.77</v>
      </c>
      <c r="N80" s="5">
        <v>2708.35</v>
      </c>
      <c r="Q80" s="159">
        <v>12250.02</v>
      </c>
      <c r="T80" s="174">
        <f>N80/F80</f>
        <v>1.3804026503567788</v>
      </c>
      <c r="U80" s="146">
        <f>N80-M80</f>
        <v>549.57999999999993</v>
      </c>
      <c r="V80" s="4">
        <f>IF(M80=0,0,N80/M80-1)</f>
        <v>0.25458015443979676</v>
      </c>
      <c r="W80" s="18">
        <v>40453.89</v>
      </c>
      <c r="X80" s="18">
        <v>50854.22</v>
      </c>
      <c r="Y80" s="4">
        <f>X80/W80-1</f>
        <v>0.2570909744402825</v>
      </c>
    </row>
    <row r="81" spans="1:25">
      <c r="A81" t="s">
        <v>187</v>
      </c>
      <c r="B81" t="s">
        <v>188</v>
      </c>
      <c r="C81" s="28">
        <v>3330</v>
      </c>
      <c r="E81" t="s">
        <v>188</v>
      </c>
      <c r="F81" s="28">
        <v>2764</v>
      </c>
      <c r="G81" t="b">
        <f>IF(B81=E81,TRUE,FALSE)</f>
        <v>1</v>
      </c>
      <c r="J81" s="25">
        <f>F81-C81</f>
        <v>-566</v>
      </c>
      <c r="K81" s="4">
        <f>F81/C81-1</f>
        <v>-0.16996996996996994</v>
      </c>
      <c r="M81" s="5">
        <v>3718.43</v>
      </c>
      <c r="N81" s="5">
        <v>4252.3599999999997</v>
      </c>
      <c r="Q81" s="159">
        <v>30430.94</v>
      </c>
      <c r="T81" s="174">
        <f>N81/F81</f>
        <v>1.5384804630969608</v>
      </c>
      <c r="U81" s="146">
        <f>N81-M81</f>
        <v>533.92999999999984</v>
      </c>
      <c r="V81" s="4">
        <f>IF(M81=0,0,N81/M81-1)</f>
        <v>0.14359017112060735</v>
      </c>
      <c r="W81" s="18">
        <v>109878.3</v>
      </c>
      <c r="X81" s="18">
        <v>101999.71</v>
      </c>
      <c r="Y81" s="4">
        <f>X81/W81-1</f>
        <v>-7.1702874907966341E-2</v>
      </c>
    </row>
    <row r="82" spans="1:25">
      <c r="A82" t="s">
        <v>189</v>
      </c>
      <c r="B82" t="s">
        <v>190</v>
      </c>
      <c r="C82" s="28">
        <v>76</v>
      </c>
      <c r="E82" t="s">
        <v>190</v>
      </c>
      <c r="F82" s="28">
        <v>371</v>
      </c>
      <c r="G82" t="b">
        <f>IF(B82=E82,TRUE,FALSE)</f>
        <v>1</v>
      </c>
      <c r="J82" s="25">
        <f>F82-C82</f>
        <v>295</v>
      </c>
      <c r="K82" s="4">
        <f>F82/C82-1</f>
        <v>3.8815789473684212</v>
      </c>
      <c r="M82" s="5">
        <v>118.18</v>
      </c>
      <c r="N82" s="5">
        <v>643.79</v>
      </c>
      <c r="Q82" s="159">
        <v>2504.17</v>
      </c>
      <c r="T82" s="174">
        <f>N82/F82</f>
        <v>1.7352830188679245</v>
      </c>
      <c r="U82" s="146">
        <f>N82-M82</f>
        <v>525.6099999999999</v>
      </c>
      <c r="V82" s="4">
        <f>IF(M82=0,0,N82/M82-1)</f>
        <v>4.4475376544254521</v>
      </c>
      <c r="W82" s="18">
        <v>1519.24</v>
      </c>
      <c r="X82" s="18">
        <v>6109.14</v>
      </c>
      <c r="Y82" s="4">
        <f>X82/W82-1</f>
        <v>3.0211816434533061</v>
      </c>
    </row>
    <row r="83" spans="1:25">
      <c r="A83" t="s">
        <v>191</v>
      </c>
      <c r="B83" t="s">
        <v>192</v>
      </c>
      <c r="C83" s="28">
        <v>4945</v>
      </c>
      <c r="E83" t="s">
        <v>192</v>
      </c>
      <c r="F83" s="28">
        <v>5887</v>
      </c>
      <c r="G83" t="b">
        <f>IF(B83=E83,TRUE,FALSE)</f>
        <v>1</v>
      </c>
      <c r="J83" s="25">
        <f>F83-C83</f>
        <v>942</v>
      </c>
      <c r="K83" s="4">
        <f>F83/C83-1</f>
        <v>0.19049544994944378</v>
      </c>
      <c r="M83" s="5">
        <v>7836.39</v>
      </c>
      <c r="N83" s="5">
        <v>8361.41</v>
      </c>
      <c r="Q83" s="159">
        <v>57305.79</v>
      </c>
      <c r="T83" s="174">
        <f>N83/F83</f>
        <v>1.4203176490572447</v>
      </c>
      <c r="U83" s="146">
        <f>N83-M83</f>
        <v>525.01999999999953</v>
      </c>
      <c r="V83" s="4">
        <f>IF(M83=0,0,N83/M83-1)</f>
        <v>6.6997686434697501E-2</v>
      </c>
      <c r="W83" s="18">
        <v>170876.82</v>
      </c>
      <c r="X83" s="18">
        <v>204194.55</v>
      </c>
      <c r="Y83" s="4">
        <f>X83/W83-1</f>
        <v>0.19498098103651507</v>
      </c>
    </row>
    <row r="84" spans="1:25">
      <c r="A84" t="s">
        <v>193</v>
      </c>
      <c r="B84" t="s">
        <v>194</v>
      </c>
      <c r="C84" s="28">
        <v>1428</v>
      </c>
      <c r="E84" t="s">
        <v>194</v>
      </c>
      <c r="F84" s="28">
        <v>1568</v>
      </c>
      <c r="G84" t="b">
        <f>IF(B84=E84,TRUE,FALSE)</f>
        <v>1</v>
      </c>
      <c r="J84" s="25">
        <f>F84-C84</f>
        <v>140</v>
      </c>
      <c r="K84" s="4">
        <f>F84/C84-1</f>
        <v>9.8039215686274606E-2</v>
      </c>
      <c r="M84" s="5">
        <v>2018.39</v>
      </c>
      <c r="N84" s="5">
        <v>2542.66</v>
      </c>
      <c r="Q84" s="159">
        <v>22521.79</v>
      </c>
      <c r="T84" s="174">
        <f>N84/F84</f>
        <v>1.621594387755102</v>
      </c>
      <c r="U84" s="146">
        <f>N84-M84</f>
        <v>524.26999999999975</v>
      </c>
      <c r="V84" s="4">
        <f>IF(M84=0,0,N84/M84-1)</f>
        <v>0.25974662973954477</v>
      </c>
      <c r="W84" s="18">
        <v>55676.55</v>
      </c>
      <c r="X84" s="18">
        <v>60544.81</v>
      </c>
      <c r="Y84" s="4">
        <f>X84/W84-1</f>
        <v>8.7438248239159799E-2</v>
      </c>
    </row>
    <row r="85" spans="1:25">
      <c r="A85" t="s">
        <v>195</v>
      </c>
      <c r="B85" t="s">
        <v>196</v>
      </c>
      <c r="C85" s="28">
        <v>3639</v>
      </c>
      <c r="E85" t="s">
        <v>196</v>
      </c>
      <c r="F85" s="28">
        <v>2859</v>
      </c>
      <c r="G85" t="b">
        <f>IF(B85=E85,TRUE,FALSE)</f>
        <v>1</v>
      </c>
      <c r="J85" s="25">
        <f>F85-C85</f>
        <v>-780</v>
      </c>
      <c r="K85" s="4">
        <f>F85/C85-1</f>
        <v>-0.21434460016488044</v>
      </c>
      <c r="M85" s="5">
        <v>2636.97</v>
      </c>
      <c r="N85" s="5">
        <v>3161</v>
      </c>
      <c r="Q85" s="159">
        <v>26064.1</v>
      </c>
      <c r="T85" s="174">
        <f>N85/F85</f>
        <v>1.105631339629241</v>
      </c>
      <c r="U85" s="146">
        <f>N85-M85</f>
        <v>524.0300000000002</v>
      </c>
      <c r="V85" s="4">
        <f>IF(M85=0,0,N85/M85-1)</f>
        <v>0.1987242934125153</v>
      </c>
      <c r="W85" s="18">
        <v>121282.19</v>
      </c>
      <c r="X85" s="18">
        <v>100930.32</v>
      </c>
      <c r="Y85" s="4">
        <f>X85/W85-1</f>
        <v>-0.16780592434882646</v>
      </c>
    </row>
    <row r="86" spans="1:25">
      <c r="A86" t="s">
        <v>197</v>
      </c>
      <c r="B86" t="s">
        <v>198</v>
      </c>
      <c r="C86" s="28">
        <v>2715</v>
      </c>
      <c r="E86" t="s">
        <v>198</v>
      </c>
      <c r="F86" s="28">
        <v>2720</v>
      </c>
      <c r="G86" t="b">
        <f>IF(B86=E86,TRUE,FALSE)</f>
        <v>1</v>
      </c>
      <c r="J86" s="25">
        <f>F86-C86</f>
        <v>5</v>
      </c>
      <c r="K86" s="4">
        <f>F86/C86-1</f>
        <v>1.8416206261511192E-3</v>
      </c>
      <c r="M86" s="5">
        <v>2473.13</v>
      </c>
      <c r="N86" s="5">
        <v>2994.99</v>
      </c>
      <c r="Q86" s="159">
        <v>19414.57</v>
      </c>
      <c r="T86" s="174">
        <f>N86/F86</f>
        <v>1.1010992647058824</v>
      </c>
      <c r="U86" s="146">
        <f>N86-M86</f>
        <v>521.85999999999967</v>
      </c>
      <c r="V86" s="4">
        <f>IF(M86=0,0,N86/M86-1)</f>
        <v>0.21101195650855376</v>
      </c>
      <c r="W86" s="18">
        <v>71914.27</v>
      </c>
      <c r="X86" s="18">
        <v>73498.25</v>
      </c>
      <c r="Y86" s="4">
        <f>X86/W86-1</f>
        <v>2.202594839661165E-2</v>
      </c>
    </row>
    <row r="87" spans="1:25">
      <c r="A87" t="s">
        <v>199</v>
      </c>
      <c r="B87" t="s">
        <v>200</v>
      </c>
      <c r="C87" s="28">
        <v>1370</v>
      </c>
      <c r="E87" t="s">
        <v>200</v>
      </c>
      <c r="F87" s="28">
        <v>1222</v>
      </c>
      <c r="G87" t="b">
        <f>IF(B87=E87,TRUE,FALSE)</f>
        <v>1</v>
      </c>
      <c r="J87" s="25">
        <f>F87-C87</f>
        <v>-148</v>
      </c>
      <c r="K87" s="4">
        <f>F87/C87-1</f>
        <v>-0.10802919708029202</v>
      </c>
      <c r="M87" s="5">
        <v>1307</v>
      </c>
      <c r="N87" s="5">
        <v>1781.1</v>
      </c>
      <c r="Q87" s="159">
        <v>11872.56</v>
      </c>
      <c r="T87" s="174">
        <f>N87/F87</f>
        <v>1.4575286415711948</v>
      </c>
      <c r="U87" s="146">
        <f>N87-M87</f>
        <v>474.09999999999991</v>
      </c>
      <c r="V87" s="4">
        <f>IF(M87=0,0,N87/M87-1)</f>
        <v>0.36273909716908936</v>
      </c>
      <c r="W87" s="18">
        <v>31349.24</v>
      </c>
      <c r="X87" s="18">
        <v>28033.17</v>
      </c>
      <c r="Y87" s="4">
        <f>X87/W87-1</f>
        <v>-0.10577832189871283</v>
      </c>
    </row>
    <row r="88" spans="1:25">
      <c r="A88" t="s">
        <v>201</v>
      </c>
      <c r="B88" t="s">
        <v>202</v>
      </c>
      <c r="C88" s="28">
        <v>3345</v>
      </c>
      <c r="E88" t="s">
        <v>202</v>
      </c>
      <c r="F88" s="28">
        <v>2733</v>
      </c>
      <c r="G88" t="b">
        <f>IF(B88=E88,TRUE,FALSE)</f>
        <v>1</v>
      </c>
      <c r="J88" s="25">
        <f>F88-C88</f>
        <v>-612</v>
      </c>
      <c r="K88" s="4">
        <f>F88/C88-1</f>
        <v>-0.18295964125560538</v>
      </c>
      <c r="M88" s="5">
        <v>3677.33</v>
      </c>
      <c r="N88" s="5">
        <v>4150.3100000000004</v>
      </c>
      <c r="Q88" s="159">
        <v>20294.669999999998</v>
      </c>
      <c r="T88" s="174">
        <f>N88/F88</f>
        <v>1.5185912916209294</v>
      </c>
      <c r="U88" s="146">
        <f>N88-M88</f>
        <v>472.98000000000047</v>
      </c>
      <c r="V88" s="4">
        <f>IF(M88=0,0,N88/M88-1)</f>
        <v>0.12862049367339901</v>
      </c>
      <c r="W88" s="18">
        <v>92960.82</v>
      </c>
      <c r="X88" s="18">
        <v>81853.350000000006</v>
      </c>
      <c r="Y88" s="4">
        <f>X88/W88-1</f>
        <v>-0.11948549937489794</v>
      </c>
    </row>
    <row r="89" spans="1:25">
      <c r="A89" t="s">
        <v>203</v>
      </c>
      <c r="B89" t="s">
        <v>204</v>
      </c>
      <c r="C89" s="28">
        <v>4709</v>
      </c>
      <c r="E89" t="s">
        <v>204</v>
      </c>
      <c r="F89" s="28">
        <v>4742</v>
      </c>
      <c r="G89" t="b">
        <f>IF(B89=E89,TRUE,FALSE)</f>
        <v>1</v>
      </c>
      <c r="J89" s="25">
        <f>F89-C89</f>
        <v>33</v>
      </c>
      <c r="K89" s="4">
        <f>F89/C89-1</f>
        <v>7.0078572945424522E-3</v>
      </c>
      <c r="M89" s="5">
        <v>5633.55</v>
      </c>
      <c r="N89" s="5">
        <v>6093.21</v>
      </c>
      <c r="Q89" s="159">
        <v>48232.18</v>
      </c>
      <c r="T89" s="174">
        <f>N89/F89</f>
        <v>1.2849451708140025</v>
      </c>
      <c r="U89" s="146">
        <f>N89-M89</f>
        <v>459.65999999999985</v>
      </c>
      <c r="V89" s="4">
        <f>IF(M89=0,0,N89/M89-1)</f>
        <v>8.1593311499853494E-2</v>
      </c>
      <c r="W89" s="18">
        <v>169589.46999999997</v>
      </c>
      <c r="X89" s="18">
        <v>180250.02</v>
      </c>
      <c r="Y89" s="4">
        <f>X89/W89-1</f>
        <v>6.2860919371939827E-2</v>
      </c>
    </row>
    <row r="90" spans="1:25">
      <c r="A90" s="55" t="s">
        <v>205</v>
      </c>
      <c r="B90" s="37" t="s">
        <v>206</v>
      </c>
      <c r="C90" s="28">
        <v>1243</v>
      </c>
      <c r="E90" s="37" t="s">
        <v>206</v>
      </c>
      <c r="F90" s="28">
        <v>2231</v>
      </c>
      <c r="G90" t="b">
        <f>IF(B90=E90,TRUE,FALSE)</f>
        <v>1</v>
      </c>
      <c r="J90" s="25">
        <f>F90-C90</f>
        <v>988</v>
      </c>
      <c r="K90" s="4">
        <f>F90/C90-1</f>
        <v>0.79485116653258236</v>
      </c>
      <c r="M90" s="5">
        <v>3207.28</v>
      </c>
      <c r="N90" s="5">
        <v>3659.08</v>
      </c>
      <c r="Q90" s="159">
        <v>21264.33</v>
      </c>
      <c r="T90" s="174">
        <f>N90/F90</f>
        <v>1.6401075750784402</v>
      </c>
      <c r="U90" s="146">
        <f>N90-M90</f>
        <v>451.79999999999973</v>
      </c>
      <c r="V90" s="4">
        <f>IF(M90=0,0,N90/M90-1)</f>
        <v>0.14086702751240909</v>
      </c>
      <c r="W90" s="18">
        <v>33547.760000000002</v>
      </c>
      <c r="X90" s="18">
        <v>55726.39</v>
      </c>
      <c r="Y90" s="4">
        <f>X90/W90-1</f>
        <v>0.66110613644547334</v>
      </c>
    </row>
    <row r="91" spans="1:25">
      <c r="A91" t="s">
        <v>207</v>
      </c>
      <c r="B91" t="s">
        <v>208</v>
      </c>
      <c r="C91" s="28">
        <v>765</v>
      </c>
      <c r="E91" t="s">
        <v>208</v>
      </c>
      <c r="F91" s="28">
        <v>1171</v>
      </c>
      <c r="G91" t="b">
        <f>IF(B91=E91,TRUE,FALSE)</f>
        <v>1</v>
      </c>
      <c r="J91" s="25">
        <f>F91-C91</f>
        <v>406</v>
      </c>
      <c r="K91" s="4">
        <f>F91/C91-1</f>
        <v>0.5307189542483659</v>
      </c>
      <c r="M91" s="5">
        <v>2012.66</v>
      </c>
      <c r="N91" s="5">
        <v>2460.85</v>
      </c>
      <c r="Q91" s="159">
        <v>17167.5</v>
      </c>
      <c r="T91" s="174">
        <f>N91/F91</f>
        <v>2.1014944491887273</v>
      </c>
      <c r="U91" s="146">
        <f>N91-M91</f>
        <v>448.18999999999983</v>
      </c>
      <c r="V91" s="4">
        <f>IF(M91=0,0,N91/M91-1)</f>
        <v>0.22268540140908044</v>
      </c>
      <c r="W91" s="18">
        <v>22176.190000000002</v>
      </c>
      <c r="X91" s="18">
        <v>32868.74</v>
      </c>
      <c r="Y91" s="4">
        <f>X91/W91-1</f>
        <v>0.48216352763932835</v>
      </c>
    </row>
    <row r="92" spans="1:25">
      <c r="A92" t="s">
        <v>209</v>
      </c>
      <c r="B92" t="s">
        <v>210</v>
      </c>
      <c r="C92" s="28">
        <v>1950</v>
      </c>
      <c r="E92" t="s">
        <v>210</v>
      </c>
      <c r="F92" s="28">
        <v>1623</v>
      </c>
      <c r="G92" t="b">
        <f>IF(B92=E92,TRUE,FALSE)</f>
        <v>1</v>
      </c>
      <c r="J92" s="25">
        <f>F92-C92</f>
        <v>-327</v>
      </c>
      <c r="K92" s="4">
        <f>F92/C92-1</f>
        <v>-0.1676923076923077</v>
      </c>
      <c r="M92" s="5">
        <v>2226.62</v>
      </c>
      <c r="N92" s="5">
        <v>2660.45</v>
      </c>
      <c r="Q92" s="159">
        <v>13748.32</v>
      </c>
      <c r="T92" s="174">
        <f>N92/F92</f>
        <v>1.6392174984596426</v>
      </c>
      <c r="U92" s="146">
        <f>N92-M92</f>
        <v>433.82999999999993</v>
      </c>
      <c r="V92" s="4">
        <f>IF(M92=0,0,N92/M92-1)</f>
        <v>0.19483791576470155</v>
      </c>
      <c r="W92" s="18">
        <v>55184.37</v>
      </c>
      <c r="X92" s="18">
        <v>48595.35</v>
      </c>
      <c r="Y92" s="4">
        <f>X92/W92-1</f>
        <v>-0.11940011274931661</v>
      </c>
    </row>
    <row r="93" spans="1:25">
      <c r="A93" t="s">
        <v>211</v>
      </c>
      <c r="B93" t="s">
        <v>212</v>
      </c>
      <c r="C93" s="28">
        <v>1003</v>
      </c>
      <c r="E93" t="s">
        <v>212</v>
      </c>
      <c r="F93" s="28">
        <v>1068</v>
      </c>
      <c r="G93" t="b">
        <f>IF(B93=E93,TRUE,FALSE)</f>
        <v>1</v>
      </c>
      <c r="J93" s="25">
        <f>F93-C93</f>
        <v>65</v>
      </c>
      <c r="K93" s="4">
        <f>F93/C93-1</f>
        <v>6.480558325024921E-2</v>
      </c>
      <c r="M93" s="5">
        <v>1259.96</v>
      </c>
      <c r="N93" s="5">
        <v>1678.91</v>
      </c>
      <c r="Q93" s="159">
        <v>11292.08</v>
      </c>
      <c r="T93" s="174">
        <f>N93/F93</f>
        <v>1.5720131086142324</v>
      </c>
      <c r="U93" s="146">
        <f>N93-M93</f>
        <v>418.95000000000005</v>
      </c>
      <c r="V93" s="4">
        <f>IF(M93=0,0,N93/M93-1)</f>
        <v>0.33251055589066314</v>
      </c>
      <c r="W93" s="18">
        <v>21540.400000000001</v>
      </c>
      <c r="X93" s="18">
        <v>23439.3</v>
      </c>
      <c r="Y93" s="4">
        <f>X93/W93-1</f>
        <v>8.8155280310486139E-2</v>
      </c>
    </row>
    <row r="94" spans="1:25">
      <c r="A94" t="s">
        <v>213</v>
      </c>
      <c r="B94" t="s">
        <v>214</v>
      </c>
      <c r="C94" s="28">
        <v>731</v>
      </c>
      <c r="E94" t="s">
        <v>214</v>
      </c>
      <c r="F94" s="28">
        <v>847</v>
      </c>
      <c r="G94" t="b">
        <f>IF(B94=E94,TRUE,FALSE)</f>
        <v>1</v>
      </c>
      <c r="J94" s="25">
        <f>F94-C94</f>
        <v>116</v>
      </c>
      <c r="K94" s="4">
        <f>F94/C94-1</f>
        <v>0.15868673050615589</v>
      </c>
      <c r="M94" s="5">
        <v>917.7</v>
      </c>
      <c r="N94" s="5">
        <v>1331.78</v>
      </c>
      <c r="Q94" s="159">
        <v>11151.23</v>
      </c>
      <c r="T94" s="174">
        <f>N94/F94</f>
        <v>1.572349468713105</v>
      </c>
      <c r="U94" s="146">
        <f>N94-M94</f>
        <v>414.07999999999993</v>
      </c>
      <c r="V94" s="4">
        <f>IF(M94=0,0,N94/M94-1)</f>
        <v>0.45121499400675602</v>
      </c>
      <c r="W94" s="18">
        <v>21468.66</v>
      </c>
      <c r="X94" s="18">
        <v>25367.65</v>
      </c>
      <c r="Y94" s="4">
        <f>X94/W94-1</f>
        <v>0.18161310487007576</v>
      </c>
    </row>
    <row r="95" spans="1:25">
      <c r="A95" s="55" t="s">
        <v>215</v>
      </c>
      <c r="B95" s="37" t="s">
        <v>216</v>
      </c>
      <c r="C95" s="19">
        <v>641</v>
      </c>
      <c r="E95" s="37" t="s">
        <v>216</v>
      </c>
      <c r="F95" s="19">
        <v>969</v>
      </c>
      <c r="G95" t="b">
        <f>IF(B95=E95,TRUE,FALSE)</f>
        <v>1</v>
      </c>
      <c r="J95" s="25">
        <f>F95-C95</f>
        <v>328</v>
      </c>
      <c r="K95" s="4">
        <f>F95/C95-1</f>
        <v>0.51170046801872071</v>
      </c>
      <c r="M95" s="5">
        <v>1658.67</v>
      </c>
      <c r="N95" s="5">
        <v>2072.48</v>
      </c>
      <c r="Q95" s="158">
        <v>8257.64</v>
      </c>
      <c r="T95" s="174">
        <f>N95/F95</f>
        <v>2.1387822497420022</v>
      </c>
      <c r="U95" s="146">
        <f>N95-M95</f>
        <v>413.80999999999995</v>
      </c>
      <c r="V95" s="4">
        <f>IF(M95=0,0,N95/M95-1)</f>
        <v>0.24948301952769381</v>
      </c>
      <c r="W95">
        <v>7163.59</v>
      </c>
      <c r="X95">
        <v>10310.31</v>
      </c>
      <c r="Y95" s="4">
        <f>X95/W95-1</f>
        <v>0.43926578712628706</v>
      </c>
    </row>
    <row r="96" spans="1:25">
      <c r="A96" s="55" t="s">
        <v>217</v>
      </c>
      <c r="B96" s="37" t="s">
        <v>218</v>
      </c>
      <c r="C96" s="28">
        <v>200</v>
      </c>
      <c r="E96" s="37" t="s">
        <v>218</v>
      </c>
      <c r="F96" s="28">
        <v>280</v>
      </c>
      <c r="G96" t="b">
        <f>IF(B96=E96,TRUE,FALSE)</f>
        <v>1</v>
      </c>
      <c r="J96" s="25">
        <f>F96-C96</f>
        <v>80</v>
      </c>
      <c r="K96" s="4">
        <f>F96/C96-1</f>
        <v>0.39999999999999991</v>
      </c>
      <c r="M96" s="5">
        <v>365.02</v>
      </c>
      <c r="N96" s="5">
        <v>773.63</v>
      </c>
      <c r="Q96" s="158">
        <v>3580.78</v>
      </c>
      <c r="T96" s="174">
        <f>N96/F96</f>
        <v>2.7629642857142858</v>
      </c>
      <c r="U96" s="146">
        <f>N96-M96</f>
        <v>408.61</v>
      </c>
      <c r="V96" s="4">
        <f>IF(M96=0,0,N96/M96-1)</f>
        <v>1.1194181140759412</v>
      </c>
      <c r="W96" s="18">
        <v>1998</v>
      </c>
      <c r="X96" s="18">
        <v>2797.2</v>
      </c>
      <c r="Y96" s="4">
        <f>X96/W96-1</f>
        <v>0.39999999999999991</v>
      </c>
    </row>
    <row r="97" spans="1:25">
      <c r="A97" t="s">
        <v>219</v>
      </c>
      <c r="B97" t="s">
        <v>220</v>
      </c>
      <c r="C97" s="28">
        <v>992</v>
      </c>
      <c r="E97" t="s">
        <v>220</v>
      </c>
      <c r="F97" s="28">
        <v>1126</v>
      </c>
      <c r="G97" t="b">
        <f>IF(B97=E97,TRUE,FALSE)</f>
        <v>1</v>
      </c>
      <c r="J97" s="25">
        <f>F97-C97</f>
        <v>134</v>
      </c>
      <c r="K97" s="4">
        <f>F97/C97-1</f>
        <v>0.13508064516129026</v>
      </c>
      <c r="M97" s="5">
        <v>1537.6</v>
      </c>
      <c r="N97" s="5">
        <v>1943.59</v>
      </c>
      <c r="Q97" s="159">
        <v>12149.39</v>
      </c>
      <c r="T97" s="174">
        <f>N97/F97</f>
        <v>1.726101243339254</v>
      </c>
      <c r="U97" s="146">
        <f>N97-M97</f>
        <v>405.99</v>
      </c>
      <c r="V97" s="4">
        <f>IF(M97=0,0,N97/M97-1)</f>
        <v>0.26404136316337157</v>
      </c>
      <c r="W97" s="18">
        <v>29750.080000000002</v>
      </c>
      <c r="X97" s="18">
        <v>33768.74</v>
      </c>
      <c r="Y97" s="4">
        <f>X97/W97-1</f>
        <v>0.13508064516129026</v>
      </c>
    </row>
    <row r="98" spans="1:25">
      <c r="A98" t="s">
        <v>221</v>
      </c>
      <c r="B98" t="s">
        <v>222</v>
      </c>
      <c r="C98" s="28">
        <v>1271</v>
      </c>
      <c r="E98" t="s">
        <v>222</v>
      </c>
      <c r="F98" s="28">
        <v>1439</v>
      </c>
      <c r="G98" t="b">
        <f>IF(B98=E98,TRUE,FALSE)</f>
        <v>1</v>
      </c>
      <c r="J98" s="25">
        <f>F98-C98</f>
        <v>168</v>
      </c>
      <c r="K98" s="4">
        <f>F98/C98-1</f>
        <v>0.13217938630999204</v>
      </c>
      <c r="M98" s="5">
        <v>1451.3899999999999</v>
      </c>
      <c r="N98" s="5">
        <v>1855.32</v>
      </c>
      <c r="Q98" s="159">
        <v>15016.67</v>
      </c>
      <c r="T98" s="174">
        <f>N98/F98</f>
        <v>1.2893120222376651</v>
      </c>
      <c r="U98" s="146">
        <f>N98-M98</f>
        <v>403.93000000000006</v>
      </c>
      <c r="V98" s="4">
        <f>IF(M98=0,0,N98/M98-1)</f>
        <v>0.27830562426363703</v>
      </c>
      <c r="W98" s="18">
        <v>38114.29</v>
      </c>
      <c r="X98" s="18">
        <v>43106.720000000001</v>
      </c>
      <c r="Y98" s="4">
        <f>X98/W98-1</f>
        <v>0.13098577987416271</v>
      </c>
    </row>
    <row r="99" spans="1:25">
      <c r="A99" t="s">
        <v>223</v>
      </c>
      <c r="B99" t="s">
        <v>224</v>
      </c>
      <c r="C99" s="28">
        <v>1214</v>
      </c>
      <c r="E99" t="s">
        <v>224</v>
      </c>
      <c r="F99" s="28">
        <v>1967</v>
      </c>
      <c r="G99" t="b">
        <f>IF(B99=E99,TRUE,FALSE)</f>
        <v>1</v>
      </c>
      <c r="J99" s="25">
        <f>F99-C99</f>
        <v>753</v>
      </c>
      <c r="K99" s="4">
        <f>F99/C99-1</f>
        <v>0.62026359143327836</v>
      </c>
      <c r="M99" s="5">
        <v>1483.26</v>
      </c>
      <c r="N99" s="5">
        <v>1875.2900000000002</v>
      </c>
      <c r="Q99" s="159">
        <v>15894.48</v>
      </c>
      <c r="T99" s="174">
        <f>N99/F99</f>
        <v>0.95337569903406216</v>
      </c>
      <c r="U99" s="146">
        <f>N99-M99</f>
        <v>392.0300000000002</v>
      </c>
      <c r="V99" s="4">
        <f>IF(M99=0,0,N99/M99-1)</f>
        <v>0.26430295430335904</v>
      </c>
      <c r="W99" s="18">
        <v>26317.46</v>
      </c>
      <c r="X99" s="18">
        <v>45672.13</v>
      </c>
      <c r="Y99" s="4">
        <f>X99/W99-1</f>
        <v>0.73543077485441222</v>
      </c>
    </row>
    <row r="100" spans="1:25">
      <c r="A100" t="s">
        <v>225</v>
      </c>
      <c r="B100" t="s">
        <v>226</v>
      </c>
      <c r="C100" s="28">
        <v>4089</v>
      </c>
      <c r="E100" t="s">
        <v>226</v>
      </c>
      <c r="F100" s="28">
        <v>3886</v>
      </c>
      <c r="G100" t="b">
        <f>IF(B100=E100,TRUE,FALSE)</f>
        <v>1</v>
      </c>
      <c r="J100" s="25">
        <f>F100-C100</f>
        <v>-203</v>
      </c>
      <c r="K100" s="4">
        <f>F100/C100-1</f>
        <v>-4.9645390070921946E-2</v>
      </c>
      <c r="M100" s="5">
        <v>4710.99</v>
      </c>
      <c r="N100" s="5">
        <v>5078.87</v>
      </c>
      <c r="Q100" s="159">
        <v>43134.01</v>
      </c>
      <c r="T100" s="174">
        <f>N100/F100</f>
        <v>1.3069660319094183</v>
      </c>
      <c r="U100" s="146">
        <f>N100-M100</f>
        <v>367.88000000000011</v>
      </c>
      <c r="V100" s="4">
        <f>IF(M100=0,0,N100/M100-1)</f>
        <v>7.8089743344817109E-2</v>
      </c>
      <c r="W100" s="18">
        <v>115338.47</v>
      </c>
      <c r="X100" s="18">
        <v>116368.3</v>
      </c>
      <c r="Y100" s="4">
        <f>X100/W100-1</f>
        <v>8.9287641842310528E-3</v>
      </c>
    </row>
    <row r="101" spans="1:25">
      <c r="A101" s="55" t="s">
        <v>227</v>
      </c>
      <c r="B101" s="37" t="s">
        <v>228</v>
      </c>
      <c r="C101" s="28">
        <v>1170</v>
      </c>
      <c r="E101" s="37" t="s">
        <v>228</v>
      </c>
      <c r="F101" s="28">
        <v>1142</v>
      </c>
      <c r="G101" t="b">
        <f>IF(B101=E101,TRUE,FALSE)</f>
        <v>1</v>
      </c>
      <c r="J101" s="25">
        <f>F101-C101</f>
        <v>-28</v>
      </c>
      <c r="K101" s="4">
        <f>F101/C101-1</f>
        <v>-2.3931623931623958E-2</v>
      </c>
      <c r="M101" s="5">
        <v>1994.69</v>
      </c>
      <c r="N101" s="5">
        <v>2361.23</v>
      </c>
      <c r="Q101" s="158">
        <v>13045.66</v>
      </c>
      <c r="T101" s="174">
        <f>N101/F101</f>
        <v>2.0676269702276708</v>
      </c>
      <c r="U101" s="146">
        <f>N101-M101</f>
        <v>366.53999999999996</v>
      </c>
      <c r="V101" s="4">
        <f>IF(M101=0,0,N101/M101-1)</f>
        <v>0.18375787716387015</v>
      </c>
      <c r="W101" s="18">
        <v>16368.3</v>
      </c>
      <c r="X101" s="18">
        <v>16708.580000000002</v>
      </c>
      <c r="Y101" s="4">
        <f>X101/W101-1</f>
        <v>2.0788964034139212E-2</v>
      </c>
    </row>
    <row r="102" spans="1:25">
      <c r="A102" t="s">
        <v>229</v>
      </c>
      <c r="B102" t="s">
        <v>230</v>
      </c>
      <c r="C102" s="28">
        <v>3854</v>
      </c>
      <c r="E102" t="s">
        <v>230</v>
      </c>
      <c r="F102" s="28">
        <v>3246</v>
      </c>
      <c r="G102" t="b">
        <f>IF(B102=E102,TRUE,FALSE)</f>
        <v>1</v>
      </c>
      <c r="J102" s="25">
        <f>F102-C102</f>
        <v>-608</v>
      </c>
      <c r="K102" s="4">
        <f>F102/C102-1</f>
        <v>-0.15775817332641406</v>
      </c>
      <c r="M102" s="5">
        <v>3843.55</v>
      </c>
      <c r="N102" s="5">
        <v>4208.42</v>
      </c>
      <c r="Q102" s="159">
        <v>24455.96</v>
      </c>
      <c r="T102" s="174">
        <f>N102/F102</f>
        <v>1.296494146642021</v>
      </c>
      <c r="U102" s="146">
        <f>N102-M102</f>
        <v>364.86999999999989</v>
      </c>
      <c r="V102" s="4">
        <f>IF(M102=0,0,N102/M102-1)</f>
        <v>9.4930467926786388E-2</v>
      </c>
      <c r="W102" s="18">
        <v>87247.93</v>
      </c>
      <c r="X102" s="18">
        <v>77727.78</v>
      </c>
      <c r="Y102" s="4">
        <f>X102/W102-1</f>
        <v>-0.10911605581931849</v>
      </c>
    </row>
    <row r="103" spans="1:25">
      <c r="A103" t="s">
        <v>231</v>
      </c>
      <c r="B103" s="27" t="s">
        <v>232</v>
      </c>
      <c r="C103" s="28">
        <v>1465</v>
      </c>
      <c r="E103" s="27" t="s">
        <v>232</v>
      </c>
      <c r="F103" s="28">
        <v>1565</v>
      </c>
      <c r="G103" t="b">
        <f>IF(B103=E103,TRUE,FALSE)</f>
        <v>1</v>
      </c>
      <c r="J103" s="25">
        <f>F103-C103</f>
        <v>100</v>
      </c>
      <c r="K103" s="4">
        <f>F103/C103-1</f>
        <v>6.8259385665528916E-2</v>
      </c>
      <c r="M103" s="5">
        <v>3373.36</v>
      </c>
      <c r="N103" s="5">
        <v>3737.44</v>
      </c>
      <c r="Q103" s="159">
        <v>16562.419999999998</v>
      </c>
      <c r="T103" s="174">
        <f>N103/F103</f>
        <v>2.3881405750798721</v>
      </c>
      <c r="U103" s="146">
        <f>N103-M103</f>
        <v>364.07999999999993</v>
      </c>
      <c r="V103" s="4">
        <f>IF(M103=0,0,N103/M103-1)</f>
        <v>0.10792800056916541</v>
      </c>
      <c r="W103" s="18">
        <v>42468.03</v>
      </c>
      <c r="X103" s="18">
        <v>45360.65</v>
      </c>
      <c r="Y103" s="4">
        <f>X103/W103-1</f>
        <v>6.8112883974133176E-2</v>
      </c>
    </row>
    <row r="104" spans="1:25">
      <c r="A104" t="s">
        <v>233</v>
      </c>
      <c r="B104" t="s">
        <v>234</v>
      </c>
      <c r="C104" s="28">
        <v>1909</v>
      </c>
      <c r="E104" t="s">
        <v>234</v>
      </c>
      <c r="F104" s="28">
        <v>1791</v>
      </c>
      <c r="G104" t="b">
        <f>IF(B104=E104,TRUE,FALSE)</f>
        <v>1</v>
      </c>
      <c r="J104" s="25">
        <f>F104-C104</f>
        <v>-118</v>
      </c>
      <c r="K104" s="4">
        <f>F104/C104-1</f>
        <v>-6.1812467260345727E-2</v>
      </c>
      <c r="M104" s="5">
        <v>2071.2600000000002</v>
      </c>
      <c r="N104" s="5">
        <v>2434</v>
      </c>
      <c r="Q104" s="159">
        <v>23791.3</v>
      </c>
      <c r="T104" s="174">
        <f>N104/F104</f>
        <v>1.3590173087660524</v>
      </c>
      <c r="U104" s="146">
        <f>N104-M104</f>
        <v>362.73999999999978</v>
      </c>
      <c r="V104" s="4">
        <f>IF(M104=0,0,N104/M104-1)</f>
        <v>0.1751301140368664</v>
      </c>
      <c r="W104" s="18">
        <v>53524.93</v>
      </c>
      <c r="X104" s="18">
        <v>53712.09</v>
      </c>
      <c r="Y104" s="4">
        <f>X104/W104-1</f>
        <v>3.4966883655895842E-3</v>
      </c>
    </row>
    <row r="105" spans="1:25">
      <c r="A105" t="s">
        <v>235</v>
      </c>
      <c r="B105" t="s">
        <v>236</v>
      </c>
      <c r="C105" s="28">
        <v>1445</v>
      </c>
      <c r="E105" t="s">
        <v>236</v>
      </c>
      <c r="F105" s="28">
        <v>1084</v>
      </c>
      <c r="G105" t="b">
        <f>IF(B105=E105,TRUE,FALSE)</f>
        <v>1</v>
      </c>
      <c r="J105" s="25">
        <f>F105-C105</f>
        <v>-361</v>
      </c>
      <c r="K105" s="4">
        <f>F105/C105-1</f>
        <v>-0.24982698961937722</v>
      </c>
      <c r="M105" s="5">
        <v>1510.63</v>
      </c>
      <c r="N105" s="5">
        <v>1872.2</v>
      </c>
      <c r="Q105" s="159">
        <v>11298.86</v>
      </c>
      <c r="T105" s="174">
        <f>N105/F105</f>
        <v>1.7271217712177123</v>
      </c>
      <c r="U105" s="146">
        <f>N105-M105</f>
        <v>361.56999999999994</v>
      </c>
      <c r="V105" s="4">
        <f>IF(M105=0,0,N105/M105-1)</f>
        <v>0.23935046967159401</v>
      </c>
      <c r="W105" s="18">
        <v>40047.800000000003</v>
      </c>
      <c r="X105" s="18">
        <v>32434.19</v>
      </c>
      <c r="Y105" s="4">
        <f>X105/W105-1</f>
        <v>-0.1901130648874596</v>
      </c>
    </row>
    <row r="106" spans="1:25">
      <c r="A106" t="s">
        <v>237</v>
      </c>
      <c r="B106" t="s">
        <v>238</v>
      </c>
      <c r="C106" s="28">
        <v>1257</v>
      </c>
      <c r="E106" t="s">
        <v>238</v>
      </c>
      <c r="F106" s="28">
        <v>1299</v>
      </c>
      <c r="G106" t="b">
        <f>IF(B106=E106,TRUE,FALSE)</f>
        <v>1</v>
      </c>
      <c r="J106" s="25">
        <f>F106-C106</f>
        <v>42</v>
      </c>
      <c r="K106" s="4">
        <f>F106/C106-1</f>
        <v>3.3412887828162319E-2</v>
      </c>
      <c r="M106" s="5">
        <v>1787.86</v>
      </c>
      <c r="N106" s="5">
        <v>2117.8200000000002</v>
      </c>
      <c r="Q106" s="159">
        <v>13349.01</v>
      </c>
      <c r="T106" s="174">
        <f>N106/F106</f>
        <v>1.6303464203233258</v>
      </c>
      <c r="U106" s="146">
        <f>N106-M106</f>
        <v>329.96000000000026</v>
      </c>
      <c r="V106" s="4">
        <f>IF(M106=0,0,N106/M106-1)</f>
        <v>0.18455583770541328</v>
      </c>
      <c r="W106" s="18">
        <v>43932.15</v>
      </c>
      <c r="X106" s="18">
        <v>45400.05</v>
      </c>
      <c r="Y106" s="4">
        <f>X106/W106-1</f>
        <v>3.3412887828162319E-2</v>
      </c>
    </row>
    <row r="107" spans="1:25">
      <c r="A107" s="55" t="s">
        <v>239</v>
      </c>
      <c r="B107" s="37" t="s">
        <v>240</v>
      </c>
      <c r="C107" s="19">
        <v>927</v>
      </c>
      <c r="E107" s="37" t="s">
        <v>240</v>
      </c>
      <c r="F107" s="19">
        <v>1010</v>
      </c>
      <c r="G107" t="b">
        <f>IF(B107=E107,TRUE,FALSE)</f>
        <v>1</v>
      </c>
      <c r="J107" s="25">
        <f>F107-C107</f>
        <v>83</v>
      </c>
      <c r="K107" s="4">
        <f>F107/C107-1</f>
        <v>8.953613807982741E-2</v>
      </c>
      <c r="M107" s="5">
        <v>1636.05</v>
      </c>
      <c r="N107" s="5">
        <v>1961.38</v>
      </c>
      <c r="Q107" s="158">
        <v>9784.93</v>
      </c>
      <c r="T107" s="174">
        <f>N107/F107</f>
        <v>1.9419603960396041</v>
      </c>
      <c r="U107" s="146">
        <f>N107-M107</f>
        <v>325.33000000000015</v>
      </c>
      <c r="V107" s="4">
        <f>IF(M107=0,0,N107/M107-1)</f>
        <v>0.19885089086519381</v>
      </c>
      <c r="W107">
        <v>9260.73</v>
      </c>
      <c r="X107">
        <v>11009.9</v>
      </c>
      <c r="Y107" s="4">
        <f>X107/W107-1</f>
        <v>0.18888035824389648</v>
      </c>
    </row>
    <row r="108" spans="1:25">
      <c r="A108" t="s">
        <v>241</v>
      </c>
      <c r="B108" t="s">
        <v>242</v>
      </c>
      <c r="C108" s="28">
        <v>1667</v>
      </c>
      <c r="E108" t="s">
        <v>242</v>
      </c>
      <c r="F108" s="28">
        <v>1558</v>
      </c>
      <c r="G108" t="b">
        <f>IF(B108=E108,TRUE,FALSE)</f>
        <v>1</v>
      </c>
      <c r="J108" s="25">
        <f>F108-C108</f>
        <v>-109</v>
      </c>
      <c r="K108" s="4">
        <f>F108/C108-1</f>
        <v>-6.538692261547685E-2</v>
      </c>
      <c r="M108" s="5">
        <v>1309.19</v>
      </c>
      <c r="N108" s="5">
        <v>1632.65</v>
      </c>
      <c r="Q108" s="159">
        <v>15438.26</v>
      </c>
      <c r="T108" s="174">
        <f>N108/F108</f>
        <v>1.0479139922978178</v>
      </c>
      <c r="U108" s="146">
        <f>N108-M108</f>
        <v>323.46000000000004</v>
      </c>
      <c r="V108" s="4">
        <f>IF(M108=0,0,N108/M108-1)</f>
        <v>0.24706879826457584</v>
      </c>
      <c r="W108" s="18">
        <v>46783.33</v>
      </c>
      <c r="X108" s="18">
        <v>46660.95</v>
      </c>
      <c r="Y108" s="4">
        <f>X108/W108-1</f>
        <v>-2.6158890356886566E-3</v>
      </c>
    </row>
    <row r="109" spans="1:25">
      <c r="A109" t="s">
        <v>243</v>
      </c>
      <c r="B109" t="s">
        <v>244</v>
      </c>
      <c r="C109" s="28">
        <v>2263</v>
      </c>
      <c r="E109" t="s">
        <v>244</v>
      </c>
      <c r="F109" s="28">
        <v>2109</v>
      </c>
      <c r="G109" t="b">
        <f>IF(B109=E109,TRUE,FALSE)</f>
        <v>1</v>
      </c>
      <c r="J109" s="25">
        <f>F109-C109</f>
        <v>-154</v>
      </c>
      <c r="K109" s="4">
        <f>F109/C109-1</f>
        <v>-6.8051259390189967E-2</v>
      </c>
      <c r="M109" s="5">
        <v>3594.78</v>
      </c>
      <c r="N109" s="5">
        <v>3914.14</v>
      </c>
      <c r="Q109" s="159">
        <v>26516.47</v>
      </c>
      <c r="T109" s="174">
        <f>N109/F109</f>
        <v>1.8559222380275011</v>
      </c>
      <c r="U109" s="146">
        <f>N109-M109</f>
        <v>319.35999999999967</v>
      </c>
      <c r="V109" s="4">
        <f>IF(M109=0,0,N109/M109-1)</f>
        <v>8.8839929008172946E-2</v>
      </c>
      <c r="W109" s="18">
        <v>57757.37</v>
      </c>
      <c r="X109" s="18">
        <v>56921.91</v>
      </c>
      <c r="Y109" s="4">
        <f>X109/W109-1</f>
        <v>-1.4464993818104954E-2</v>
      </c>
    </row>
    <row r="110" spans="1:25">
      <c r="A110" t="s">
        <v>245</v>
      </c>
      <c r="B110" t="s">
        <v>246</v>
      </c>
      <c r="C110" s="28">
        <v>641</v>
      </c>
      <c r="E110" t="s">
        <v>246</v>
      </c>
      <c r="F110" s="28">
        <v>740</v>
      </c>
      <c r="G110" t="b">
        <f>IF(B110=E110,TRUE,FALSE)</f>
        <v>1</v>
      </c>
      <c r="J110" s="25">
        <f>F110-C110</f>
        <v>99</v>
      </c>
      <c r="K110" s="4">
        <f>F110/C110-1</f>
        <v>0.15444617784711379</v>
      </c>
      <c r="M110" s="5">
        <v>1306.53</v>
      </c>
      <c r="N110" s="5">
        <v>1623.29</v>
      </c>
      <c r="Q110" s="159">
        <v>8628.42</v>
      </c>
      <c r="T110" s="174">
        <f>N110/F110</f>
        <v>2.1936351351351351</v>
      </c>
      <c r="U110" s="146">
        <f>N110-M110</f>
        <v>316.76</v>
      </c>
      <c r="V110" s="4">
        <f>IF(M110=0,0,N110/M110-1)</f>
        <v>0.24244372498143929</v>
      </c>
      <c r="W110" s="18">
        <v>12146.38</v>
      </c>
      <c r="X110" s="18">
        <v>14019.96</v>
      </c>
      <c r="Y110" s="4">
        <f>X110/W110-1</f>
        <v>0.15425007286121462</v>
      </c>
    </row>
    <row r="111" spans="1:25">
      <c r="A111" s="55" t="s">
        <v>247</v>
      </c>
      <c r="B111" s="37" t="s">
        <v>248</v>
      </c>
      <c r="C111" s="28">
        <v>1296</v>
      </c>
      <c r="E111" s="37" t="s">
        <v>248</v>
      </c>
      <c r="F111" s="28">
        <v>1875</v>
      </c>
      <c r="G111" t="b">
        <f>IF(B111=E111,TRUE,FALSE)</f>
        <v>1</v>
      </c>
      <c r="J111" s="25">
        <f>F111-C111</f>
        <v>579</v>
      </c>
      <c r="K111" s="4">
        <f>F111/C111-1</f>
        <v>0.4467592592592593</v>
      </c>
      <c r="M111" s="5">
        <v>1866.33</v>
      </c>
      <c r="N111" s="5">
        <v>2180.7399999999998</v>
      </c>
      <c r="Q111" s="158">
        <v>16774.939999999999</v>
      </c>
      <c r="T111" s="174">
        <f>N111/F111</f>
        <v>1.1630613333333333</v>
      </c>
      <c r="U111" s="146">
        <f>N111-M111</f>
        <v>314.40999999999985</v>
      </c>
      <c r="V111" s="4">
        <f>IF(M111=0,0,N111/M111-1)</f>
        <v>0.16846431231347081</v>
      </c>
      <c r="W111" s="18">
        <v>26675.019999999997</v>
      </c>
      <c r="X111" s="18">
        <v>39063.81</v>
      </c>
      <c r="Y111" s="4">
        <f>X111/W111-1</f>
        <v>0.46443414100533009</v>
      </c>
    </row>
    <row r="112" spans="1:25">
      <c r="A112" t="s">
        <v>249</v>
      </c>
      <c r="B112" t="s">
        <v>250</v>
      </c>
      <c r="C112" s="28">
        <v>1935</v>
      </c>
      <c r="E112" t="s">
        <v>250</v>
      </c>
      <c r="F112" s="28">
        <v>2015</v>
      </c>
      <c r="G112" t="b">
        <f>IF(B112=E112,TRUE,FALSE)</f>
        <v>1</v>
      </c>
      <c r="J112" s="25">
        <f>F112-C112</f>
        <v>80</v>
      </c>
      <c r="K112" s="4">
        <f>F112/C112-1</f>
        <v>4.134366925064592E-2</v>
      </c>
      <c r="L112" s="5"/>
      <c r="M112" s="5">
        <v>3348.92</v>
      </c>
      <c r="N112" s="5">
        <v>3661.83</v>
      </c>
      <c r="O112" s="5"/>
      <c r="P112" s="5"/>
      <c r="Q112" s="159">
        <v>22737.45</v>
      </c>
      <c r="R112" s="5"/>
      <c r="S112" s="5"/>
      <c r="T112" s="174">
        <f>N112/F112</f>
        <v>1.8172853598014889</v>
      </c>
      <c r="U112" s="146">
        <f>N112-M112</f>
        <v>312.90999999999985</v>
      </c>
      <c r="V112" s="4">
        <f>IF(M112=0,0,N112/M112-1)</f>
        <v>9.3436092829927153E-2</v>
      </c>
      <c r="W112" s="18">
        <v>54796.36</v>
      </c>
      <c r="X112" s="18">
        <v>59783.83</v>
      </c>
      <c r="Y112" s="4">
        <f>X112/W112-1</f>
        <v>9.1018272016608393E-2</v>
      </c>
    </row>
    <row r="113" spans="1:25">
      <c r="A113" s="57" t="s">
        <v>251</v>
      </c>
      <c r="B113" s="37" t="s">
        <v>252</v>
      </c>
      <c r="C113" s="28">
        <v>287</v>
      </c>
      <c r="E113" s="37" t="s">
        <v>252</v>
      </c>
      <c r="F113" s="28">
        <v>258</v>
      </c>
      <c r="G113" t="b">
        <f>IF(B113=E113,TRUE,FALSE)</f>
        <v>1</v>
      </c>
      <c r="J113" s="25">
        <f>F113-C113</f>
        <v>-29</v>
      </c>
      <c r="K113" s="4">
        <f>F113/C113-1</f>
        <v>-0.10104529616724733</v>
      </c>
      <c r="M113" s="5">
        <v>97.86</v>
      </c>
      <c r="N113" s="5">
        <v>403.57</v>
      </c>
      <c r="Q113" s="159">
        <v>1274.21</v>
      </c>
      <c r="T113" s="174">
        <f>N113/F113</f>
        <v>1.5642248062015505</v>
      </c>
      <c r="U113" s="146">
        <f>N113-M113</f>
        <v>305.70999999999998</v>
      </c>
      <c r="V113" s="4">
        <f>IF(M113=0,0,N113/M113-1)</f>
        <v>3.1239525853259762</v>
      </c>
      <c r="W113" s="18">
        <v>7172.13</v>
      </c>
      <c r="X113" s="18">
        <v>6089.92</v>
      </c>
      <c r="Y113" s="4">
        <f>X113/W113-1</f>
        <v>-0.15089101842827723</v>
      </c>
    </row>
    <row r="114" spans="1:25">
      <c r="A114" t="s">
        <v>253</v>
      </c>
      <c r="B114" t="s">
        <v>254</v>
      </c>
      <c r="C114" s="28">
        <v>1098</v>
      </c>
      <c r="E114" t="s">
        <v>254</v>
      </c>
      <c r="F114" s="28">
        <v>1114</v>
      </c>
      <c r="G114" t="b">
        <f>IF(B114=E114,TRUE,FALSE)</f>
        <v>1</v>
      </c>
      <c r="J114" s="25">
        <f>F114-C114</f>
        <v>16</v>
      </c>
      <c r="K114" s="4">
        <f>F114/C114-1</f>
        <v>1.4571948998178597E-2</v>
      </c>
      <c r="M114" s="5">
        <v>1950.81</v>
      </c>
      <c r="N114" s="5">
        <v>2251.0300000000002</v>
      </c>
      <c r="Q114" s="159">
        <v>12895.82</v>
      </c>
      <c r="T114" s="174">
        <f>N114/F114</f>
        <v>2.0206732495511672</v>
      </c>
      <c r="U114" s="146">
        <f>N114-M114</f>
        <v>300.22000000000025</v>
      </c>
      <c r="V114" s="4">
        <f>IF(M114=0,0,N114/M114-1)</f>
        <v>0.15389504872335102</v>
      </c>
      <c r="W114" s="18">
        <v>48344.57</v>
      </c>
      <c r="X114" s="18">
        <v>48911.6</v>
      </c>
      <c r="Y114" s="4">
        <f>X114/W114-1</f>
        <v>1.1728928398784033E-2</v>
      </c>
    </row>
    <row r="115" spans="1:25">
      <c r="A115" t="s">
        <v>255</v>
      </c>
      <c r="B115" t="s">
        <v>256</v>
      </c>
      <c r="C115" s="28">
        <v>1674</v>
      </c>
      <c r="E115" t="s">
        <v>256</v>
      </c>
      <c r="F115" s="28">
        <v>1712</v>
      </c>
      <c r="G115" t="b">
        <f>IF(B115=E115,TRUE,FALSE)</f>
        <v>1</v>
      </c>
      <c r="J115" s="25">
        <f>F115-C115</f>
        <v>38</v>
      </c>
      <c r="K115" s="4">
        <f>F115/C115-1</f>
        <v>2.2700119474313052E-2</v>
      </c>
      <c r="M115" s="5">
        <v>2899.31</v>
      </c>
      <c r="N115" s="5">
        <v>3197.89</v>
      </c>
      <c r="Q115" s="159">
        <v>18713.150000000001</v>
      </c>
      <c r="T115" s="174">
        <f>N115/F115</f>
        <v>1.8679264018691588</v>
      </c>
      <c r="U115" s="146">
        <f>N115-M115</f>
        <v>298.57999999999993</v>
      </c>
      <c r="V115" s="4">
        <f>IF(M115=0,0,N115/M115-1)</f>
        <v>0.10298312357078054</v>
      </c>
      <c r="W115" s="18">
        <v>50135.1</v>
      </c>
      <c r="X115" s="18">
        <v>51124.22</v>
      </c>
      <c r="Y115" s="4">
        <f>X115/W115-1</f>
        <v>1.9729091993433867E-2</v>
      </c>
    </row>
    <row r="116" spans="1:25">
      <c r="A116" t="s">
        <v>257</v>
      </c>
      <c r="B116" t="s">
        <v>258</v>
      </c>
      <c r="C116" s="28">
        <v>1122</v>
      </c>
      <c r="E116" t="s">
        <v>258</v>
      </c>
      <c r="F116" s="28">
        <v>1211</v>
      </c>
      <c r="G116" t="b">
        <f>IF(B116=E116,TRUE,FALSE)</f>
        <v>1</v>
      </c>
      <c r="J116" s="25">
        <f>F116-C116</f>
        <v>89</v>
      </c>
      <c r="K116" s="4">
        <f>F116/C116-1</f>
        <v>7.9322638146167579E-2</v>
      </c>
      <c r="M116" s="5">
        <v>1921.04</v>
      </c>
      <c r="N116" s="5">
        <v>2217.34</v>
      </c>
      <c r="Q116" s="159">
        <v>18240.150000000001</v>
      </c>
      <c r="T116" s="174">
        <f>N116/F116</f>
        <v>1.8309991742361686</v>
      </c>
      <c r="U116" s="146">
        <f>N116-M116</f>
        <v>296.30000000000018</v>
      </c>
      <c r="V116" s="4">
        <f>IF(M116=0,0,N116/M116-1)</f>
        <v>0.15423937034106538</v>
      </c>
      <c r="W116" s="18">
        <v>27992.9</v>
      </c>
      <c r="X116" s="18">
        <v>30206.2</v>
      </c>
      <c r="Y116" s="4">
        <f>X116/W116-1</f>
        <v>7.9066477571098304E-2</v>
      </c>
    </row>
    <row r="117" spans="1:25">
      <c r="A117" t="s">
        <v>259</v>
      </c>
      <c r="B117" t="s">
        <v>260</v>
      </c>
      <c r="C117" s="28">
        <v>1246</v>
      </c>
      <c r="E117" t="s">
        <v>260</v>
      </c>
      <c r="F117" s="28">
        <v>1415</v>
      </c>
      <c r="G117" t="b">
        <f>IF(B117=E117,TRUE,FALSE)</f>
        <v>1</v>
      </c>
      <c r="J117" s="25">
        <f>F117-C117</f>
        <v>169</v>
      </c>
      <c r="K117" s="4">
        <f>F117/C117-1</f>
        <v>0.13563402889245579</v>
      </c>
      <c r="M117" s="5">
        <v>2294.4299999999998</v>
      </c>
      <c r="N117" s="5">
        <v>2587.8000000000002</v>
      </c>
      <c r="Q117" s="159">
        <v>16005.78</v>
      </c>
      <c r="T117" s="174">
        <f>N117/F117</f>
        <v>1.8288339222614842</v>
      </c>
      <c r="U117" s="146">
        <f>N117-M117</f>
        <v>293.37000000000035</v>
      </c>
      <c r="V117" s="4">
        <f>IF(M117=0,0,N117/M117-1)</f>
        <v>0.1278618218904044</v>
      </c>
      <c r="W117" s="18">
        <v>36097.410000000003</v>
      </c>
      <c r="X117" s="18">
        <v>40999.49</v>
      </c>
      <c r="Y117" s="4">
        <f>X117/W117-1</f>
        <v>0.13580143284518176</v>
      </c>
    </row>
    <row r="118" spans="1:25">
      <c r="A118" t="s">
        <v>261</v>
      </c>
      <c r="B118" t="s">
        <v>262</v>
      </c>
      <c r="C118" s="28">
        <v>1203</v>
      </c>
      <c r="E118" t="s">
        <v>262</v>
      </c>
      <c r="F118" s="28">
        <v>1212</v>
      </c>
      <c r="G118" t="b">
        <f>IF(B118=E118,TRUE,FALSE)</f>
        <v>1</v>
      </c>
      <c r="J118" s="25">
        <f>F118-C118</f>
        <v>9</v>
      </c>
      <c r="K118" s="4">
        <f>F118/C118-1</f>
        <v>7.4812967581048273E-3</v>
      </c>
      <c r="M118" s="5">
        <v>1059.6600000000001</v>
      </c>
      <c r="N118" s="5">
        <v>1348.8</v>
      </c>
      <c r="Q118" s="159">
        <v>6786.65</v>
      </c>
      <c r="T118" s="174">
        <f>N118/F118</f>
        <v>1.1128712871287127</v>
      </c>
      <c r="U118" s="146">
        <f>N118-M118</f>
        <v>289.13999999999987</v>
      </c>
      <c r="V118" s="4">
        <f>IF(M118=0,0,N118/M118-1)</f>
        <v>0.27286110639261629</v>
      </c>
      <c r="W118" s="18">
        <v>36029.85</v>
      </c>
      <c r="X118" s="18">
        <v>36149.65</v>
      </c>
      <c r="Y118" s="4">
        <f>X118/W118-1</f>
        <v>3.3250207813799726E-3</v>
      </c>
    </row>
    <row r="119" spans="1:25">
      <c r="A119" t="s">
        <v>263</v>
      </c>
      <c r="B119" t="s">
        <v>264</v>
      </c>
      <c r="C119" s="28">
        <v>2769</v>
      </c>
      <c r="E119" t="s">
        <v>264</v>
      </c>
      <c r="F119" s="28">
        <v>2407</v>
      </c>
      <c r="G119" t="b">
        <f>IF(B119=E119,TRUE,FALSE)</f>
        <v>1</v>
      </c>
      <c r="J119" s="25">
        <f>F119-C119</f>
        <v>-362</v>
      </c>
      <c r="K119" s="4">
        <f>F119/C119-1</f>
        <v>-0.13073311664860965</v>
      </c>
      <c r="M119" s="5">
        <v>4871.1899999999996</v>
      </c>
      <c r="N119" s="5">
        <v>5139.7700000000004</v>
      </c>
      <c r="Q119" s="159">
        <v>35373.19</v>
      </c>
      <c r="T119" s="174">
        <f>N119/F119</f>
        <v>2.1353427503115912</v>
      </c>
      <c r="U119" s="146">
        <f>N119-M119</f>
        <v>268.58000000000084</v>
      </c>
      <c r="V119" s="4">
        <f>IF(M119=0,0,N119/M119-1)</f>
        <v>5.5136424569766529E-2</v>
      </c>
      <c r="W119" s="18">
        <v>66565.100000000006</v>
      </c>
      <c r="X119" s="18">
        <v>60040.4</v>
      </c>
      <c r="Y119" s="4">
        <f>X119/W119-1</f>
        <v>-9.8019833215904462E-2</v>
      </c>
    </row>
    <row r="120" spans="1:25">
      <c r="A120" s="55" t="s">
        <v>265</v>
      </c>
      <c r="B120" s="37" t="s">
        <v>266</v>
      </c>
      <c r="C120" s="28">
        <v>586</v>
      </c>
      <c r="E120" s="37" t="s">
        <v>266</v>
      </c>
      <c r="F120" s="28">
        <v>827</v>
      </c>
      <c r="G120" t="b">
        <f>IF(B120=E120,TRUE,FALSE)</f>
        <v>1</v>
      </c>
      <c r="J120" s="25">
        <f>F120-C120</f>
        <v>241</v>
      </c>
      <c r="K120" s="4">
        <f>F120/C120-1</f>
        <v>0.4112627986348123</v>
      </c>
      <c r="M120" s="5">
        <v>1472.21</v>
      </c>
      <c r="N120" s="5">
        <v>1731.82</v>
      </c>
      <c r="Q120" s="159">
        <v>8411.6</v>
      </c>
      <c r="T120" s="174">
        <f>N120/F120</f>
        <v>2.0940991535671101</v>
      </c>
      <c r="U120" s="146">
        <f>N120-M120</f>
        <v>259.6099999999999</v>
      </c>
      <c r="V120" s="4">
        <f>IF(M120=0,0,N120/M120-1)</f>
        <v>0.17634033188200049</v>
      </c>
      <c r="W120" s="18">
        <v>8198.14</v>
      </c>
      <c r="X120" s="18">
        <v>11569.73</v>
      </c>
      <c r="Y120" s="4">
        <f>X120/W120-1</f>
        <v>0.4112627986348123</v>
      </c>
    </row>
    <row r="121" spans="1:25">
      <c r="A121" t="s">
        <v>267</v>
      </c>
      <c r="B121" t="s">
        <v>268</v>
      </c>
      <c r="C121" s="28">
        <v>453</v>
      </c>
      <c r="E121" t="s">
        <v>268</v>
      </c>
      <c r="F121" s="28">
        <v>497</v>
      </c>
      <c r="G121" t="b">
        <f>IF(B121=E121,TRUE,FALSE)</f>
        <v>1</v>
      </c>
      <c r="J121" s="25">
        <f>F121-C121</f>
        <v>44</v>
      </c>
      <c r="K121" s="4">
        <f>F121/C121-1</f>
        <v>9.7130242825607116E-2</v>
      </c>
      <c r="M121" s="5">
        <v>588.36</v>
      </c>
      <c r="N121" s="5">
        <v>843.65</v>
      </c>
      <c r="Q121" s="159">
        <v>7218.72</v>
      </c>
      <c r="T121" s="174">
        <f>N121/F121</f>
        <v>1.6974849094567404</v>
      </c>
      <c r="U121" s="146">
        <f>N121-M121</f>
        <v>255.28999999999996</v>
      </c>
      <c r="V121" s="4">
        <f>IF(M121=0,0,N121/M121-1)</f>
        <v>0.43390101298524697</v>
      </c>
      <c r="W121" s="18">
        <v>15832.35</v>
      </c>
      <c r="X121" s="18">
        <v>17370.150000000001</v>
      </c>
      <c r="Y121" s="4">
        <f>X121/W121-1</f>
        <v>9.7130242825607116E-2</v>
      </c>
    </row>
    <row r="122" spans="1:25">
      <c r="A122" t="s">
        <v>269</v>
      </c>
      <c r="B122" t="s">
        <v>270</v>
      </c>
      <c r="C122" s="28">
        <v>806</v>
      </c>
      <c r="E122" t="s">
        <v>270</v>
      </c>
      <c r="F122" s="28">
        <v>811</v>
      </c>
      <c r="G122" t="b">
        <f>IF(B122=E122,TRUE,FALSE)</f>
        <v>1</v>
      </c>
      <c r="J122" s="25">
        <f>F122-C122</f>
        <v>5</v>
      </c>
      <c r="K122" s="4">
        <f>F122/C122-1</f>
        <v>6.2034739454093213E-3</v>
      </c>
      <c r="M122" s="5">
        <v>1124.42</v>
      </c>
      <c r="N122" s="5">
        <v>1376.75</v>
      </c>
      <c r="Q122" s="159">
        <v>8185.93</v>
      </c>
      <c r="T122" s="174">
        <f>N122/F122</f>
        <v>1.6975955610357583</v>
      </c>
      <c r="U122" s="146">
        <f>N122-M122</f>
        <v>252.32999999999993</v>
      </c>
      <c r="V122" s="4">
        <f>IF(M122=0,0,N122/M122-1)</f>
        <v>0.22440902865477308</v>
      </c>
      <c r="W122" s="18">
        <v>16079.7</v>
      </c>
      <c r="X122" s="18">
        <v>16179.45</v>
      </c>
      <c r="Y122" s="4">
        <f>X122/W122-1</f>
        <v>6.2034739454093213E-3</v>
      </c>
    </row>
    <row r="123" spans="1:25">
      <c r="A123" t="s">
        <v>271</v>
      </c>
      <c r="B123" t="s">
        <v>272</v>
      </c>
      <c r="C123" s="28">
        <v>475</v>
      </c>
      <c r="E123" t="s">
        <v>272</v>
      </c>
      <c r="F123" s="28">
        <v>671</v>
      </c>
      <c r="G123" t="b">
        <f>IF(B123=E123,TRUE,FALSE)</f>
        <v>1</v>
      </c>
      <c r="J123" s="25">
        <f>F123-C123</f>
        <v>196</v>
      </c>
      <c r="K123" s="4">
        <f>F123/C123-1</f>
        <v>0.41263157894736846</v>
      </c>
      <c r="M123" s="5">
        <v>1280.27</v>
      </c>
      <c r="N123" s="5">
        <v>1524.01</v>
      </c>
      <c r="Q123" s="159">
        <v>8831.74</v>
      </c>
      <c r="T123" s="174">
        <f>N123/F123</f>
        <v>2.2712518628912073</v>
      </c>
      <c r="U123" s="146">
        <f>N123-M123</f>
        <v>243.74</v>
      </c>
      <c r="V123" s="4">
        <f>IF(M123=0,0,N123/M123-1)</f>
        <v>0.19038171635670609</v>
      </c>
      <c r="W123" s="18">
        <v>10445.25</v>
      </c>
      <c r="X123" s="18">
        <v>14755.29</v>
      </c>
      <c r="Y123" s="4">
        <f>X123/W123-1</f>
        <v>0.41263157894736846</v>
      </c>
    </row>
    <row r="124" spans="1:25">
      <c r="A124" s="55" t="s">
        <v>273</v>
      </c>
      <c r="B124" s="37" t="s">
        <v>274</v>
      </c>
      <c r="C124" s="28">
        <v>471</v>
      </c>
      <c r="E124" s="37" t="s">
        <v>274</v>
      </c>
      <c r="F124" s="28">
        <v>748</v>
      </c>
      <c r="G124" t="b">
        <f>IF(B124=E124,TRUE,FALSE)</f>
        <v>1</v>
      </c>
      <c r="J124" s="25">
        <f>F124-C124</f>
        <v>277</v>
      </c>
      <c r="K124" s="4">
        <f>F124/C124-1</f>
        <v>0.58811040339702769</v>
      </c>
      <c r="M124" s="5">
        <v>1512.32</v>
      </c>
      <c r="N124" s="5">
        <v>1752.33</v>
      </c>
      <c r="Q124" s="158">
        <v>8049.78</v>
      </c>
      <c r="T124" s="174">
        <f>N124/F124</f>
        <v>2.3426871657754011</v>
      </c>
      <c r="U124" s="146">
        <f>N124-M124</f>
        <v>240.01</v>
      </c>
      <c r="V124" s="4">
        <f>IF(M124=0,0,N124/M124-1)</f>
        <v>0.15870318451121457</v>
      </c>
      <c r="W124" s="18">
        <v>7968.14</v>
      </c>
      <c r="X124" s="18">
        <v>11783.11</v>
      </c>
      <c r="Y124" s="4">
        <f>X124/W124-1</f>
        <v>0.47877798331856614</v>
      </c>
    </row>
    <row r="125" spans="1:25">
      <c r="A125" t="s">
        <v>275</v>
      </c>
      <c r="B125" t="s">
        <v>276</v>
      </c>
      <c r="C125" s="28">
        <v>623</v>
      </c>
      <c r="E125" t="s">
        <v>276</v>
      </c>
      <c r="F125" s="28">
        <v>724</v>
      </c>
      <c r="G125" t="b">
        <f>IF(B125=E125,TRUE,FALSE)</f>
        <v>1</v>
      </c>
      <c r="J125" s="25">
        <f>F125-C125</f>
        <v>101</v>
      </c>
      <c r="K125" s="4">
        <f>F125/C125-1</f>
        <v>0.1621187800963082</v>
      </c>
      <c r="M125" s="5">
        <v>1339.71</v>
      </c>
      <c r="N125" s="5">
        <v>1577.88</v>
      </c>
      <c r="Q125" s="159">
        <v>8226.2099999999991</v>
      </c>
      <c r="T125" s="174">
        <f>N125/F125</f>
        <v>2.1793922651933704</v>
      </c>
      <c r="U125" s="146">
        <f>N125-M125</f>
        <v>238.17000000000007</v>
      </c>
      <c r="V125" s="4">
        <f>IF(M125=0,0,N125/M125-1)</f>
        <v>0.17777728015764604</v>
      </c>
      <c r="W125" s="18">
        <v>9735.4699999999993</v>
      </c>
      <c r="X125" s="18">
        <v>11576.76</v>
      </c>
      <c r="Y125" s="4">
        <f>X125/W125-1</f>
        <v>0.18913211175218048</v>
      </c>
    </row>
    <row r="126" spans="1:25">
      <c r="A126" t="s">
        <v>277</v>
      </c>
      <c r="B126" t="s">
        <v>278</v>
      </c>
      <c r="C126" s="28">
        <v>1193</v>
      </c>
      <c r="E126" t="s">
        <v>278</v>
      </c>
      <c r="F126" s="28">
        <v>1307</v>
      </c>
      <c r="G126" t="b">
        <f>IF(B126=E126,TRUE,FALSE)</f>
        <v>1</v>
      </c>
      <c r="J126" s="25">
        <f>F126-C126</f>
        <v>114</v>
      </c>
      <c r="K126" s="4">
        <f>F126/C126-1</f>
        <v>9.5557418273260586E-2</v>
      </c>
      <c r="M126" s="5">
        <v>2734.41</v>
      </c>
      <c r="N126" s="5">
        <v>2963.85</v>
      </c>
      <c r="Q126" s="159">
        <v>20926.25</v>
      </c>
      <c r="T126" s="174">
        <f>N126/F126</f>
        <v>2.267674062739097</v>
      </c>
      <c r="U126" s="146">
        <f>N126-M126</f>
        <v>229.44000000000005</v>
      </c>
      <c r="V126" s="4">
        <f>IF(M126=0,0,N126/M126-1)</f>
        <v>8.3908411686616224E-2</v>
      </c>
      <c r="W126" s="18">
        <v>35772.370000000003</v>
      </c>
      <c r="X126" s="18">
        <v>39160.33</v>
      </c>
      <c r="Y126" s="4">
        <f>X126/W126-1</f>
        <v>9.4708849315826571E-2</v>
      </c>
    </row>
    <row r="127" spans="1:25">
      <c r="A127" t="s">
        <v>279</v>
      </c>
      <c r="B127" t="s">
        <v>280</v>
      </c>
      <c r="C127" s="28">
        <v>2278</v>
      </c>
      <c r="E127" t="s">
        <v>280</v>
      </c>
      <c r="F127" s="28">
        <v>2008</v>
      </c>
      <c r="G127" t="b">
        <f>IF(B127=E127,TRUE,FALSE)</f>
        <v>1</v>
      </c>
      <c r="J127" s="25">
        <f>F127-C127</f>
        <v>-270</v>
      </c>
      <c r="K127" s="4">
        <f>F127/C127-1</f>
        <v>-0.1185250219490781</v>
      </c>
      <c r="M127" s="5">
        <v>4059.29</v>
      </c>
      <c r="N127" s="5">
        <v>4287.1000000000004</v>
      </c>
      <c r="Q127" s="159">
        <v>24157.47</v>
      </c>
      <c r="T127" s="174">
        <f>N127/F127</f>
        <v>2.1350099601593628</v>
      </c>
      <c r="U127" s="146">
        <f>N127-M127</f>
        <v>227.8100000000004</v>
      </c>
      <c r="V127" s="4">
        <f>IF(M127=0,0,N127/M127-1)</f>
        <v>5.6120651641050623E-2</v>
      </c>
      <c r="W127" s="18">
        <v>57907.73</v>
      </c>
      <c r="X127" s="18">
        <v>54134.720000000001</v>
      </c>
      <c r="Y127" s="4">
        <f>X127/W127-1</f>
        <v>-6.5155550044873167E-2</v>
      </c>
    </row>
    <row r="128" spans="1:25">
      <c r="A128" s="55" t="s">
        <v>281</v>
      </c>
      <c r="B128" s="37" t="s">
        <v>282</v>
      </c>
      <c r="C128" s="28">
        <v>1690</v>
      </c>
      <c r="E128" s="37" t="s">
        <v>282</v>
      </c>
      <c r="F128" s="28">
        <v>1528</v>
      </c>
      <c r="G128" t="b">
        <f>IF(B128=E128,TRUE,FALSE)</f>
        <v>1</v>
      </c>
      <c r="J128" s="25">
        <f>F128-C128</f>
        <v>-162</v>
      </c>
      <c r="K128" s="4">
        <f>F128/C128-1</f>
        <v>-9.5857988165680474E-2</v>
      </c>
      <c r="M128" s="5">
        <v>2795.71</v>
      </c>
      <c r="N128" s="5">
        <v>3021.45</v>
      </c>
      <c r="Q128" s="158">
        <v>19415.099999999999</v>
      </c>
      <c r="T128" s="174">
        <f>N128/F128</f>
        <v>1.9773887434554973</v>
      </c>
      <c r="U128" s="146">
        <f>N128-M128</f>
        <v>225.73999999999978</v>
      </c>
      <c r="V128" s="4">
        <f>IF(M128=0,0,N128/M128-1)</f>
        <v>8.0745141663477238E-2</v>
      </c>
      <c r="W128" s="18">
        <v>27174.1</v>
      </c>
      <c r="X128" s="18">
        <v>30298.73</v>
      </c>
      <c r="Y128" s="4">
        <f>X128/W128-1</f>
        <v>0.1149855928991208</v>
      </c>
    </row>
    <row r="129" spans="1:25">
      <c r="A129" t="s">
        <v>283</v>
      </c>
      <c r="B129" t="s">
        <v>284</v>
      </c>
      <c r="C129" s="28">
        <v>1553</v>
      </c>
      <c r="E129" t="s">
        <v>284</v>
      </c>
      <c r="F129" s="28">
        <v>1509</v>
      </c>
      <c r="G129" t="b">
        <f>IF(B129=E129,TRUE,FALSE)</f>
        <v>1</v>
      </c>
      <c r="J129" s="25">
        <f>F129-C129</f>
        <v>-44</v>
      </c>
      <c r="K129" s="4">
        <f>F129/C129-1</f>
        <v>-2.8332260141661347E-2</v>
      </c>
      <c r="M129" s="5">
        <v>2063.19</v>
      </c>
      <c r="N129" s="5">
        <v>2287.3000000000002</v>
      </c>
      <c r="Q129" s="159">
        <v>19388.46</v>
      </c>
      <c r="T129" s="174">
        <f>N129/F129</f>
        <v>1.5157720344599073</v>
      </c>
      <c r="U129" s="146">
        <f>N129-M129</f>
        <v>224.11000000000013</v>
      </c>
      <c r="V129" s="4">
        <f>IF(M129=0,0,N129/M129-1)</f>
        <v>0.10862305459022203</v>
      </c>
      <c r="W129" s="18">
        <v>41823.160000000003</v>
      </c>
      <c r="X129" s="18">
        <v>40654.589999999997</v>
      </c>
      <c r="Y129" s="4">
        <f>X129/W129-1</f>
        <v>-2.7940739054629238E-2</v>
      </c>
    </row>
    <row r="130" spans="1:25">
      <c r="A130" s="55" t="s">
        <v>285</v>
      </c>
      <c r="B130" s="37" t="s">
        <v>286</v>
      </c>
      <c r="C130" s="28">
        <v>3162</v>
      </c>
      <c r="E130" s="37" t="s">
        <v>286</v>
      </c>
      <c r="F130" s="28">
        <v>3017</v>
      </c>
      <c r="G130" t="b">
        <f>IF(B130=E130,TRUE,FALSE)</f>
        <v>1</v>
      </c>
      <c r="J130" s="25">
        <f>F130-C130</f>
        <v>-145</v>
      </c>
      <c r="K130" s="4">
        <f>F130/C130-1</f>
        <v>-4.585705249841876E-2</v>
      </c>
      <c r="M130" s="5">
        <v>6583.79</v>
      </c>
      <c r="N130" s="5">
        <v>6796.08</v>
      </c>
      <c r="Q130" s="159">
        <v>46113.96</v>
      </c>
      <c r="T130" s="174">
        <f>N130/F130</f>
        <v>2.2525952933377527</v>
      </c>
      <c r="U130" s="146">
        <f>N130-M130</f>
        <v>212.28999999999996</v>
      </c>
      <c r="V130" s="4">
        <f>IF(M130=0,0,N130/M130-1)</f>
        <v>3.2244345582103984E-2</v>
      </c>
      <c r="W130" s="18">
        <v>74648.59</v>
      </c>
      <c r="X130" s="18">
        <v>73968.42</v>
      </c>
      <c r="Y130" s="4">
        <f>X130/W130-1</f>
        <v>-9.1116255511323185E-3</v>
      </c>
    </row>
    <row r="131" spans="1:25">
      <c r="A131" t="s">
        <v>287</v>
      </c>
      <c r="B131" t="s">
        <v>288</v>
      </c>
      <c r="C131" s="28">
        <v>875</v>
      </c>
      <c r="E131" t="s">
        <v>288</v>
      </c>
      <c r="F131" s="28">
        <v>783</v>
      </c>
      <c r="G131" t="b">
        <f>IF(B131=E131,TRUE,FALSE)</f>
        <v>1</v>
      </c>
      <c r="J131" s="25">
        <f>F131-C131</f>
        <v>-92</v>
      </c>
      <c r="K131" s="4">
        <f>F131/C131-1</f>
        <v>-0.10514285714285709</v>
      </c>
      <c r="M131" s="5">
        <v>1112.54</v>
      </c>
      <c r="N131" s="5">
        <v>1324.82</v>
      </c>
      <c r="Q131" s="159">
        <v>7331.43</v>
      </c>
      <c r="T131" s="174">
        <f>N131/F131</f>
        <v>1.6919795657726691</v>
      </c>
      <c r="U131" s="146">
        <f>N131-M131</f>
        <v>212.27999999999997</v>
      </c>
      <c r="V131" s="4">
        <f>IF(M131=0,0,N131/M131-1)</f>
        <v>0.19080662268322945</v>
      </c>
      <c r="W131" s="18">
        <v>17456.25</v>
      </c>
      <c r="X131" s="18">
        <v>15618.05</v>
      </c>
      <c r="Y131" s="4">
        <f>X131/W131-1</f>
        <v>-0.10530325814536345</v>
      </c>
    </row>
    <row r="132" spans="1:25">
      <c r="A132" t="s">
        <v>289</v>
      </c>
      <c r="B132" t="s">
        <v>290</v>
      </c>
      <c r="C132" s="28">
        <v>1804</v>
      </c>
      <c r="E132" t="s">
        <v>290</v>
      </c>
      <c r="F132" s="28">
        <v>1528</v>
      </c>
      <c r="G132" t="b">
        <f>IF(B132=E132,TRUE,FALSE)</f>
        <v>1</v>
      </c>
      <c r="J132" s="25">
        <f>F132-C132</f>
        <v>-276</v>
      </c>
      <c r="K132" s="4">
        <f>F132/C132-1</f>
        <v>-0.1529933481152993</v>
      </c>
      <c r="M132" s="5">
        <v>766.52</v>
      </c>
      <c r="N132" s="5">
        <v>970.92</v>
      </c>
      <c r="Q132" s="159">
        <v>5484.4</v>
      </c>
      <c r="T132" s="174">
        <f>N132/F132</f>
        <v>0.63541884816753924</v>
      </c>
      <c r="U132" s="146">
        <f>N132-M132</f>
        <v>204.39999999999998</v>
      </c>
      <c r="V132" s="4">
        <f>IF(M132=0,0,N132/M132-1)</f>
        <v>0.26665970881386003</v>
      </c>
      <c r="W132" s="18">
        <v>50823.65</v>
      </c>
      <c r="X132" s="18">
        <v>45762.1</v>
      </c>
      <c r="Y132" s="4">
        <f>X132/W132-1</f>
        <v>-9.9590446573593283E-2</v>
      </c>
    </row>
    <row r="133" spans="1:25">
      <c r="A133" t="s">
        <v>291</v>
      </c>
      <c r="B133" t="s">
        <v>292</v>
      </c>
      <c r="C133" s="28">
        <v>1191</v>
      </c>
      <c r="E133" t="s">
        <v>292</v>
      </c>
      <c r="F133" s="28">
        <v>1254</v>
      </c>
      <c r="G133" t="b">
        <f>IF(B133=E133,TRUE,FALSE)</f>
        <v>1</v>
      </c>
      <c r="J133" s="25">
        <f>F133-C133</f>
        <v>63</v>
      </c>
      <c r="K133" s="4">
        <f>F133/C133-1</f>
        <v>5.2896725440806147E-2</v>
      </c>
      <c r="M133" s="5">
        <v>1386.39</v>
      </c>
      <c r="N133" s="5">
        <v>1589.3</v>
      </c>
      <c r="Q133" s="159">
        <v>7123.31</v>
      </c>
      <c r="T133" s="174">
        <f>N133/F133</f>
        <v>1.2673843700159488</v>
      </c>
      <c r="U133" s="146">
        <f>N133-M133</f>
        <v>202.90999999999985</v>
      </c>
      <c r="V133" s="4">
        <f>IF(M133=0,0,N133/M133-1)</f>
        <v>0.14635852826405249</v>
      </c>
      <c r="W133" s="18">
        <v>28524.45</v>
      </c>
      <c r="X133" s="18">
        <v>30033.3</v>
      </c>
      <c r="Y133" s="4">
        <f>X133/W133-1</f>
        <v>5.2896725440805925E-2</v>
      </c>
    </row>
    <row r="134" spans="1:25">
      <c r="A134" t="s">
        <v>293</v>
      </c>
      <c r="B134" t="s">
        <v>294</v>
      </c>
      <c r="C134" s="28">
        <v>3258</v>
      </c>
      <c r="E134" t="s">
        <v>294</v>
      </c>
      <c r="F134" s="28">
        <v>2507</v>
      </c>
      <c r="G134" t="b">
        <f>IF(B134=E134,TRUE,FALSE)</f>
        <v>1</v>
      </c>
      <c r="J134" s="25">
        <f>F134-C134</f>
        <v>-751</v>
      </c>
      <c r="K134" s="4">
        <f>F134/C134-1</f>
        <v>-0.2305095150399018</v>
      </c>
      <c r="M134" s="5">
        <v>4282.04</v>
      </c>
      <c r="N134" s="5">
        <v>4476.79</v>
      </c>
      <c r="Q134" s="159">
        <v>34966.300000000003</v>
      </c>
      <c r="T134" s="174">
        <f>N134/F134</f>
        <v>1.7857159952134025</v>
      </c>
      <c r="U134" s="146">
        <f>N134-M134</f>
        <v>194.75</v>
      </c>
      <c r="V134" s="4">
        <f>IF(M134=0,0,N134/M134-1)</f>
        <v>4.5480658751436254E-2</v>
      </c>
      <c r="W134" s="18">
        <v>89303.34</v>
      </c>
      <c r="X134" s="18">
        <v>75084.649999999994</v>
      </c>
      <c r="Y134" s="4">
        <f>X134/W134-1</f>
        <v>-0.15921789711336665</v>
      </c>
    </row>
    <row r="135" spans="1:25">
      <c r="A135" t="s">
        <v>295</v>
      </c>
      <c r="B135" t="s">
        <v>296</v>
      </c>
      <c r="C135" s="28">
        <v>656</v>
      </c>
      <c r="E135" t="s">
        <v>296</v>
      </c>
      <c r="F135" s="28">
        <v>552</v>
      </c>
      <c r="G135" t="b">
        <f>IF(B135=E135,TRUE,FALSE)</f>
        <v>1</v>
      </c>
      <c r="J135" s="25">
        <f>F135-C135</f>
        <v>-104</v>
      </c>
      <c r="K135" s="4">
        <f>F135/C135-1</f>
        <v>-0.15853658536585369</v>
      </c>
      <c r="M135" s="5">
        <v>850.65</v>
      </c>
      <c r="N135" s="5">
        <v>1044.1400000000001</v>
      </c>
      <c r="Q135" s="159">
        <v>7280.61</v>
      </c>
      <c r="T135" s="174">
        <f>N135/F135</f>
        <v>1.891557971014493</v>
      </c>
      <c r="U135" s="146">
        <f>N135-M135</f>
        <v>193.49000000000012</v>
      </c>
      <c r="V135" s="4">
        <f>IF(M135=0,0,N135/M135-1)</f>
        <v>0.2274613530829368</v>
      </c>
      <c r="W135" s="18">
        <v>15188.05</v>
      </c>
      <c r="X135" s="18">
        <v>13662.96</v>
      </c>
      <c r="Y135" s="4">
        <f>X135/W135-1</f>
        <v>-0.10041381217470313</v>
      </c>
    </row>
    <row r="136" spans="1:25">
      <c r="A136" t="s">
        <v>297</v>
      </c>
      <c r="B136" t="s">
        <v>298</v>
      </c>
      <c r="C136" s="28">
        <v>479</v>
      </c>
      <c r="E136" t="s">
        <v>298</v>
      </c>
      <c r="F136" s="28">
        <v>510</v>
      </c>
      <c r="G136" t="b">
        <f>IF(B136=E136,TRUE,FALSE)</f>
        <v>1</v>
      </c>
      <c r="J136" s="25">
        <f>F136-C136</f>
        <v>31</v>
      </c>
      <c r="K136" s="4">
        <f>F136/C136-1</f>
        <v>6.4718162839248361E-2</v>
      </c>
      <c r="M136" s="5">
        <v>1329.44</v>
      </c>
      <c r="N136" s="5">
        <v>1519.88</v>
      </c>
      <c r="Q136" s="159">
        <v>6545.52</v>
      </c>
      <c r="T136" s="174">
        <f>N136/F136</f>
        <v>2.9801568627450981</v>
      </c>
      <c r="U136" s="146">
        <f>N136-M136</f>
        <v>190.44000000000005</v>
      </c>
      <c r="V136" s="4">
        <f>IF(M136=0,0,N136/M136-1)</f>
        <v>0.14324828499217723</v>
      </c>
      <c r="W136" s="18">
        <v>10532.55</v>
      </c>
      <c r="X136" s="18">
        <v>11210.5</v>
      </c>
      <c r="Y136" s="4">
        <f>X136/W136-1</f>
        <v>6.4367128568105558E-2</v>
      </c>
    </row>
    <row r="137" spans="1:25">
      <c r="A137" s="163" t="s">
        <v>299</v>
      </c>
      <c r="B137" s="37" t="s">
        <v>300</v>
      </c>
      <c r="C137" s="28">
        <v>0</v>
      </c>
      <c r="E137" s="37" t="s">
        <v>300</v>
      </c>
      <c r="F137" s="28">
        <v>122</v>
      </c>
      <c r="G137" t="b">
        <f>IF(B137=E137,TRUE,FALSE)</f>
        <v>1</v>
      </c>
      <c r="J137" s="25">
        <f>F137-C137</f>
        <v>122</v>
      </c>
      <c r="K137" s="4" t="e">
        <f>F137/C137-1</f>
        <v>#DIV/0!</v>
      </c>
      <c r="M137" s="5">
        <v>0</v>
      </c>
      <c r="N137" s="5">
        <v>184.1</v>
      </c>
      <c r="Q137" s="158">
        <v>642.66</v>
      </c>
      <c r="T137" s="174">
        <f>N137/F137</f>
        <v>1.5090163934426228</v>
      </c>
      <c r="U137" s="146">
        <f>N137-M137</f>
        <v>184.1</v>
      </c>
      <c r="V137" s="4">
        <f>IF(M137=0,0,N137/M137-1)</f>
        <v>0</v>
      </c>
      <c r="W137" s="18"/>
      <c r="X137" s="18">
        <v>2411.42</v>
      </c>
      <c r="Y137" s="4"/>
    </row>
    <row r="138" spans="1:25">
      <c r="A138" t="s">
        <v>301</v>
      </c>
      <c r="B138" t="s">
        <v>302</v>
      </c>
      <c r="C138" s="28">
        <v>977</v>
      </c>
      <c r="E138" t="s">
        <v>302</v>
      </c>
      <c r="F138" s="28">
        <v>942</v>
      </c>
      <c r="G138" t="b">
        <f>IF(B138=E138,TRUE,FALSE)</f>
        <v>1</v>
      </c>
      <c r="J138" s="25">
        <f>F138-C138</f>
        <v>-35</v>
      </c>
      <c r="K138" s="4">
        <f>F138/C138-1</f>
        <v>-3.5823950870010224E-2</v>
      </c>
      <c r="M138" s="5">
        <v>1069.8399999999999</v>
      </c>
      <c r="N138" s="5">
        <v>1248.93</v>
      </c>
      <c r="Q138" s="159">
        <v>5572.16</v>
      </c>
      <c r="T138" s="174">
        <f>N138/F138</f>
        <v>1.3258280254777071</v>
      </c>
      <c r="U138" s="146">
        <f>N138-M138</f>
        <v>179.09000000000015</v>
      </c>
      <c r="V138" s="4">
        <f>IF(M138=0,0,N138/M138-1)</f>
        <v>0.16739886338144028</v>
      </c>
      <c r="W138" s="18">
        <v>15524.02</v>
      </c>
      <c r="X138" s="18">
        <v>14816.94</v>
      </c>
      <c r="Y138" s="4">
        <f>X138/W138-1</f>
        <v>-4.5547480613913116E-2</v>
      </c>
    </row>
    <row r="139" spans="1:25">
      <c r="A139" t="s">
        <v>303</v>
      </c>
      <c r="B139" t="s">
        <v>304</v>
      </c>
      <c r="C139" s="28">
        <v>931</v>
      </c>
      <c r="E139" t="s">
        <v>304</v>
      </c>
      <c r="F139" s="28">
        <v>945</v>
      </c>
      <c r="G139" t="b">
        <f>IF(B139=E139,TRUE,FALSE)</f>
        <v>1</v>
      </c>
      <c r="J139" s="25">
        <f>F139-C139</f>
        <v>14</v>
      </c>
      <c r="K139" s="4">
        <f>F139/C139-1</f>
        <v>1.5037593984962516E-2</v>
      </c>
      <c r="M139" s="5">
        <v>1182</v>
      </c>
      <c r="N139" s="5">
        <v>1359.63</v>
      </c>
      <c r="Q139" s="159">
        <v>8952</v>
      </c>
      <c r="T139" s="174">
        <f>N139/F139</f>
        <v>1.4387619047619049</v>
      </c>
      <c r="U139" s="146">
        <f>N139-M139</f>
        <v>177.63000000000011</v>
      </c>
      <c r="V139" s="4">
        <f>IF(M139=0,0,N139/M139-1)</f>
        <v>0.15027918781725891</v>
      </c>
      <c r="W139" s="18">
        <v>24172.81</v>
      </c>
      <c r="X139" s="18">
        <v>24517.03</v>
      </c>
      <c r="Y139" s="4">
        <f>X139/W139-1</f>
        <v>1.423996630925406E-2</v>
      </c>
    </row>
    <row r="140" spans="1:25">
      <c r="A140" t="s">
        <v>305</v>
      </c>
      <c r="B140" t="s">
        <v>306</v>
      </c>
      <c r="C140" s="28">
        <v>618</v>
      </c>
      <c r="E140" t="s">
        <v>306</v>
      </c>
      <c r="F140" s="28">
        <v>675</v>
      </c>
      <c r="G140" t="b">
        <f>IF(B140=E140,TRUE,FALSE)</f>
        <v>1</v>
      </c>
      <c r="J140" s="25">
        <f>F140-C140</f>
        <v>57</v>
      </c>
      <c r="K140" s="4">
        <f>F140/C140-1</f>
        <v>9.2233009708737823E-2</v>
      </c>
      <c r="M140" s="5">
        <v>409.65</v>
      </c>
      <c r="N140" s="5">
        <v>584.61</v>
      </c>
      <c r="Q140" s="159">
        <v>4249.43</v>
      </c>
      <c r="T140" s="174">
        <f>N140/F140</f>
        <v>0.86608888888888891</v>
      </c>
      <c r="U140" s="146">
        <f>N140-M140</f>
        <v>174.96000000000004</v>
      </c>
      <c r="V140" s="4">
        <f>IF(M140=0,0,N140/M140-1)</f>
        <v>0.42709630172098145</v>
      </c>
      <c r="W140" s="18">
        <v>13565.1</v>
      </c>
      <c r="X140" s="18">
        <v>14816.25</v>
      </c>
      <c r="Y140" s="4">
        <f>X140/W140-1</f>
        <v>9.2233009708737823E-2</v>
      </c>
    </row>
    <row r="141" spans="1:25">
      <c r="A141" s="163" t="s">
        <v>307</v>
      </c>
      <c r="B141" s="37" t="s">
        <v>308</v>
      </c>
      <c r="C141" s="28">
        <v>0</v>
      </c>
      <c r="E141" s="37" t="s">
        <v>308</v>
      </c>
      <c r="F141" s="28">
        <v>4</v>
      </c>
      <c r="G141" t="b">
        <f>IF(B141=E141,TRUE,FALSE)</f>
        <v>1</v>
      </c>
      <c r="J141" s="25">
        <f>F141-C141</f>
        <v>4</v>
      </c>
      <c r="K141" s="4" t="e">
        <f>F141/C141-1</f>
        <v>#DIV/0!</v>
      </c>
      <c r="M141" s="5">
        <v>0</v>
      </c>
      <c r="N141" s="5">
        <v>174.52</v>
      </c>
      <c r="Q141" s="158">
        <v>886.13</v>
      </c>
      <c r="T141" s="174">
        <f>N141/F141</f>
        <v>43.63</v>
      </c>
      <c r="U141" s="146">
        <f>N141-M141</f>
        <v>174.52</v>
      </c>
      <c r="V141" s="4">
        <f>IF(M141=0,0,N141/M141-1)</f>
        <v>0</v>
      </c>
      <c r="W141" s="18"/>
      <c r="X141" s="18">
        <v>99.8</v>
      </c>
      <c r="Y141" s="4"/>
    </row>
    <row r="142" spans="1:25">
      <c r="A142" t="s">
        <v>309</v>
      </c>
      <c r="B142" t="s">
        <v>310</v>
      </c>
      <c r="C142" s="28">
        <v>410</v>
      </c>
      <c r="E142" t="s">
        <v>310</v>
      </c>
      <c r="F142" s="28">
        <v>415</v>
      </c>
      <c r="G142" t="b">
        <f>IF(B142=E142,TRUE,FALSE)</f>
        <v>1</v>
      </c>
      <c r="J142" s="25">
        <f>F142-C142</f>
        <v>5</v>
      </c>
      <c r="K142" s="4">
        <f>F142/C142-1</f>
        <v>1.2195121951219523E-2</v>
      </c>
      <c r="M142" s="5">
        <v>1214.3800000000001</v>
      </c>
      <c r="N142" s="5">
        <v>1382.45</v>
      </c>
      <c r="Q142" s="159">
        <v>4870.8999999999996</v>
      </c>
      <c r="T142" s="174">
        <f>N142/F142</f>
        <v>3.3312048192771084</v>
      </c>
      <c r="U142" s="146">
        <f>N142-M142</f>
        <v>168.06999999999994</v>
      </c>
      <c r="V142" s="4">
        <f>IF(M142=0,0,N142/M142-1)</f>
        <v>0.13839984189462928</v>
      </c>
      <c r="W142" s="18">
        <v>8195.9</v>
      </c>
      <c r="X142" s="18">
        <v>8294.4500000000007</v>
      </c>
      <c r="Y142" s="4">
        <f>X142/W142-1</f>
        <v>1.2024304835344557E-2</v>
      </c>
    </row>
    <row r="143" spans="1:25">
      <c r="A143" s="55" t="s">
        <v>311</v>
      </c>
      <c r="B143" s="37" t="s">
        <v>312</v>
      </c>
      <c r="C143" s="28">
        <v>0</v>
      </c>
      <c r="E143" s="37" t="s">
        <v>312</v>
      </c>
      <c r="F143" s="28">
        <v>48</v>
      </c>
      <c r="G143" t="b">
        <f>IF(B143=E143,TRUE,FALSE)</f>
        <v>1</v>
      </c>
      <c r="J143" s="25">
        <f>F143-C143</f>
        <v>48</v>
      </c>
      <c r="K143" s="4" t="e">
        <f>F143/C143-1</f>
        <v>#DIV/0!</v>
      </c>
      <c r="M143" s="5">
        <v>0</v>
      </c>
      <c r="N143" s="5">
        <v>165.79</v>
      </c>
      <c r="Q143" s="158">
        <v>774.5</v>
      </c>
      <c r="T143" s="174">
        <f>N143/F143</f>
        <v>3.453958333333333</v>
      </c>
      <c r="U143" s="146">
        <f>N143-M143</f>
        <v>165.79</v>
      </c>
      <c r="V143" s="4">
        <f>IF(M143=0,0,N143/M143-1)</f>
        <v>0</v>
      </c>
      <c r="W143" s="18"/>
      <c r="X143" s="18">
        <v>1219.52</v>
      </c>
      <c r="Y143" s="4"/>
    </row>
    <row r="144" spans="1:25">
      <c r="A144" t="s">
        <v>313</v>
      </c>
      <c r="B144" t="s">
        <v>314</v>
      </c>
      <c r="C144" s="28">
        <v>2046</v>
      </c>
      <c r="E144" t="s">
        <v>314</v>
      </c>
      <c r="F144" s="28">
        <v>1601</v>
      </c>
      <c r="G144" t="b">
        <f>IF(B144=E144,TRUE,FALSE)</f>
        <v>1</v>
      </c>
      <c r="J144" s="25">
        <f>F144-C144</f>
        <v>-445</v>
      </c>
      <c r="K144" s="4">
        <f>F144/C144-1</f>
        <v>-0.21749755620723366</v>
      </c>
      <c r="M144" s="5">
        <v>1189.06</v>
      </c>
      <c r="N144" s="5">
        <v>1352.64</v>
      </c>
      <c r="Q144" s="159">
        <v>8416.19</v>
      </c>
      <c r="T144" s="174">
        <f>N144/F144</f>
        <v>0.84487195502810752</v>
      </c>
      <c r="U144" s="146">
        <f>N144-M144</f>
        <v>163.58000000000015</v>
      </c>
      <c r="V144" s="4">
        <f>IF(M144=0,0,N144/M144-1)</f>
        <v>0.13757085428826143</v>
      </c>
      <c r="W144" s="18">
        <v>70474.250000000015</v>
      </c>
      <c r="X144" s="18">
        <v>62212.33</v>
      </c>
      <c r="Y144" s="4">
        <f>X144/W144-1</f>
        <v>-0.11723317381880627</v>
      </c>
    </row>
    <row r="145" spans="1:25">
      <c r="A145" t="s">
        <v>315</v>
      </c>
      <c r="B145" t="s">
        <v>316</v>
      </c>
      <c r="C145" s="28">
        <v>16986</v>
      </c>
      <c r="E145" t="s">
        <v>316</v>
      </c>
      <c r="F145" s="28">
        <v>17768</v>
      </c>
      <c r="G145" t="b">
        <f>IF(B145=E145,TRUE,FALSE)</f>
        <v>1</v>
      </c>
      <c r="J145" s="25">
        <f>F145-C145</f>
        <v>782</v>
      </c>
      <c r="K145" s="4">
        <f>F145/C145-1</f>
        <v>4.6037913575885936E-2</v>
      </c>
      <c r="M145" s="5">
        <v>10504.81</v>
      </c>
      <c r="N145" s="5">
        <v>10663.55</v>
      </c>
      <c r="Q145" s="159">
        <v>132649.04</v>
      </c>
      <c r="T145" s="174">
        <f>N145/F145</f>
        <v>0.60015477262494366</v>
      </c>
      <c r="U145" s="146">
        <f>N145-M145</f>
        <v>158.73999999999978</v>
      </c>
      <c r="V145" s="4">
        <f>IF(M145=0,0,N145/M145-1)</f>
        <v>1.5111172881756119E-2</v>
      </c>
      <c r="W145" s="18">
        <v>564171.68999999994</v>
      </c>
      <c r="X145" s="18">
        <v>597429.56999999995</v>
      </c>
      <c r="Y145" s="4">
        <f>X145/W145-1</f>
        <v>5.8949927104637201E-2</v>
      </c>
    </row>
    <row r="146" spans="1:25">
      <c r="A146" s="163" t="s">
        <v>317</v>
      </c>
      <c r="B146" s="37" t="s">
        <v>318</v>
      </c>
      <c r="C146" s="28">
        <v>0</v>
      </c>
      <c r="E146" s="37" t="s">
        <v>318</v>
      </c>
      <c r="F146" s="28">
        <v>99</v>
      </c>
      <c r="G146" t="b">
        <f>IF(B146=E146,TRUE,FALSE)</f>
        <v>1</v>
      </c>
      <c r="J146" s="25">
        <f>F146-C146</f>
        <v>99</v>
      </c>
      <c r="K146" s="4" t="e">
        <f>F146/C146-1</f>
        <v>#DIV/0!</v>
      </c>
      <c r="M146" s="5">
        <v>0</v>
      </c>
      <c r="N146" s="5">
        <v>158.30000000000001</v>
      </c>
      <c r="Q146" s="158">
        <v>1446.25</v>
      </c>
      <c r="T146" s="174">
        <f>N146/F146</f>
        <v>1.5989898989898992</v>
      </c>
      <c r="U146" s="146">
        <f>N146-M146</f>
        <v>158.30000000000001</v>
      </c>
      <c r="V146" s="4">
        <f>IF(M146=0,0,N146/M146-1)</f>
        <v>0</v>
      </c>
      <c r="W146" s="18"/>
      <c r="X146" s="18">
        <v>2774.01</v>
      </c>
      <c r="Y146" s="4"/>
    </row>
    <row r="147" spans="1:25">
      <c r="A147" t="s">
        <v>319</v>
      </c>
      <c r="B147" t="s">
        <v>320</v>
      </c>
      <c r="C147" s="28">
        <v>421</v>
      </c>
      <c r="E147" t="s">
        <v>320</v>
      </c>
      <c r="F147" s="28">
        <v>370</v>
      </c>
      <c r="G147" t="b">
        <f>IF(B147=E147,TRUE,FALSE)</f>
        <v>1</v>
      </c>
      <c r="J147" s="25">
        <f>F147-C147</f>
        <v>-51</v>
      </c>
      <c r="K147" s="4">
        <f>F147/C147-1</f>
        <v>-0.12114014251781469</v>
      </c>
      <c r="M147" s="5">
        <v>447.17</v>
      </c>
      <c r="N147" s="5">
        <v>601.26</v>
      </c>
      <c r="Q147" s="159">
        <v>2496.9299999999998</v>
      </c>
      <c r="T147" s="174">
        <f>N147/F147</f>
        <v>1.6250270270270271</v>
      </c>
      <c r="U147" s="146">
        <f>N147-M147</f>
        <v>154.08999999999997</v>
      </c>
      <c r="V147" s="4">
        <f>IF(M147=0,0,N147/M147-1)</f>
        <v>0.34458930608046145</v>
      </c>
      <c r="W147" s="18">
        <v>8398.9500000000007</v>
      </c>
      <c r="X147" s="18">
        <v>7381.5</v>
      </c>
      <c r="Y147" s="4">
        <f>X147/W147-1</f>
        <v>-0.1211401425178148</v>
      </c>
    </row>
    <row r="148" spans="1:25">
      <c r="A148" s="57" t="s">
        <v>321</v>
      </c>
      <c r="B148" s="37" t="s">
        <v>322</v>
      </c>
      <c r="C148" s="28">
        <v>944</v>
      </c>
      <c r="E148" s="37" t="s">
        <v>322</v>
      </c>
      <c r="F148" s="28">
        <v>1020</v>
      </c>
      <c r="G148" t="b">
        <f>IF(B148=E148,TRUE,FALSE)</f>
        <v>1</v>
      </c>
      <c r="J148" s="25">
        <f>F148-C148</f>
        <v>76</v>
      </c>
      <c r="K148" s="4">
        <f>F148/C148-1</f>
        <v>8.0508474576271194E-2</v>
      </c>
      <c r="M148" s="5">
        <v>1813.25</v>
      </c>
      <c r="N148" s="5">
        <v>1961.76</v>
      </c>
      <c r="Q148" s="159">
        <v>14491.71</v>
      </c>
      <c r="T148" s="174">
        <f>N148/F148</f>
        <v>1.9232941176470588</v>
      </c>
      <c r="U148" s="146">
        <f>N148-M148</f>
        <v>148.51</v>
      </c>
      <c r="V148" s="4">
        <f>IF(M148=0,0,N148/M148-1)</f>
        <v>8.1902660967875462E-2</v>
      </c>
      <c r="W148" s="18">
        <v>40438.81</v>
      </c>
      <c r="X148" s="18">
        <v>43611.9</v>
      </c>
      <c r="Y148" s="4">
        <f>X148/W148-1</f>
        <v>7.8466453389701707E-2</v>
      </c>
    </row>
    <row r="149" spans="1:25">
      <c r="A149" t="s">
        <v>323</v>
      </c>
      <c r="B149" t="s">
        <v>324</v>
      </c>
      <c r="C149" s="28">
        <v>900</v>
      </c>
      <c r="E149" t="s">
        <v>324</v>
      </c>
      <c r="F149" s="28">
        <v>952</v>
      </c>
      <c r="G149" t="b">
        <f>IF(B149=E149,TRUE,FALSE)</f>
        <v>1</v>
      </c>
      <c r="J149" s="25">
        <f>F149-C149</f>
        <v>52</v>
      </c>
      <c r="K149" s="4">
        <f>F149/C149-1</f>
        <v>5.7777777777777706E-2</v>
      </c>
      <c r="M149" s="5">
        <v>1514.84</v>
      </c>
      <c r="N149" s="5">
        <v>1661.18</v>
      </c>
      <c r="Q149" s="159">
        <v>6491.88</v>
      </c>
      <c r="T149" s="174">
        <f>N149/F149</f>
        <v>1.7449369747899159</v>
      </c>
      <c r="U149" s="146">
        <f>N149-M149</f>
        <v>146.34000000000015</v>
      </c>
      <c r="V149" s="4">
        <f>IF(M149=0,0,N149/M149-1)</f>
        <v>9.6604261836233718E-2</v>
      </c>
      <c r="W149" s="18">
        <v>8991</v>
      </c>
      <c r="X149" s="18">
        <v>9510.48</v>
      </c>
      <c r="Y149" s="4">
        <f>X149/W149-1</f>
        <v>5.7777777777777706E-2</v>
      </c>
    </row>
    <row r="150" spans="1:25">
      <c r="A150" s="55" t="s">
        <v>325</v>
      </c>
      <c r="B150" s="37" t="s">
        <v>326</v>
      </c>
      <c r="C150" s="28">
        <v>179</v>
      </c>
      <c r="E150" s="37" t="s">
        <v>326</v>
      </c>
      <c r="F150" s="28">
        <v>232</v>
      </c>
      <c r="G150" t="b">
        <f>IF(B150=E150,TRUE,FALSE)</f>
        <v>1</v>
      </c>
      <c r="J150" s="25">
        <f>F150-C150</f>
        <v>53</v>
      </c>
      <c r="K150" s="4">
        <f>F150/C150-1</f>
        <v>0.2960893854748603</v>
      </c>
      <c r="M150" s="5">
        <v>104.57</v>
      </c>
      <c r="N150" s="5">
        <v>246.09</v>
      </c>
      <c r="Q150" s="158">
        <v>1307.95</v>
      </c>
      <c r="T150" s="174">
        <f>N150/F150</f>
        <v>1.0607327586206896</v>
      </c>
      <c r="U150" s="146">
        <f>N150-M150</f>
        <v>141.52000000000001</v>
      </c>
      <c r="V150" s="4">
        <f>IF(M150=0,0,N150/M150-1)</f>
        <v>1.3533518217461991</v>
      </c>
      <c r="W150" s="18">
        <v>7842.85</v>
      </c>
      <c r="X150" s="18">
        <v>10530.84</v>
      </c>
      <c r="Y150" s="4">
        <f>X150/W150-1</f>
        <v>0.34273127753303956</v>
      </c>
    </row>
    <row r="151" spans="1:25">
      <c r="A151" s="37" t="s">
        <v>327</v>
      </c>
      <c r="B151" s="37" t="s">
        <v>328</v>
      </c>
      <c r="C151" s="28">
        <v>671</v>
      </c>
      <c r="E151" s="37" t="s">
        <v>328</v>
      </c>
      <c r="F151" s="28">
        <v>1000</v>
      </c>
      <c r="G151" t="b">
        <f>IF(B151=E151,TRUE,FALSE)</f>
        <v>1</v>
      </c>
      <c r="J151" s="25">
        <f>F151-C151</f>
        <v>329</v>
      </c>
      <c r="K151" s="4">
        <f>F151/C151-1</f>
        <v>0.49031296572280181</v>
      </c>
      <c r="M151" s="5">
        <v>1496.18</v>
      </c>
      <c r="N151" s="5">
        <v>1633.58</v>
      </c>
      <c r="Q151" s="159">
        <v>11050.96</v>
      </c>
      <c r="T151" s="174">
        <f>N151/F151</f>
        <v>1.63358</v>
      </c>
      <c r="U151" s="146">
        <f>N151-M151</f>
        <v>137.39999999999986</v>
      </c>
      <c r="V151" s="4">
        <f>IF(M151=0,0,N151/M151-1)</f>
        <v>9.1833870256252448E-2</v>
      </c>
      <c r="W151" s="18">
        <v>11400.29</v>
      </c>
      <c r="X151" s="18">
        <v>16956.02</v>
      </c>
      <c r="Y151" s="4">
        <f>X151/W151-1</f>
        <v>0.48733233979135604</v>
      </c>
    </row>
    <row r="152" spans="1:25">
      <c r="A152" t="s">
        <v>329</v>
      </c>
      <c r="B152" t="s">
        <v>330</v>
      </c>
      <c r="C152" s="28">
        <v>953</v>
      </c>
      <c r="E152" t="s">
        <v>330</v>
      </c>
      <c r="F152" s="28">
        <v>919</v>
      </c>
      <c r="G152" t="b">
        <f>IF(B152=E152,TRUE,FALSE)</f>
        <v>1</v>
      </c>
      <c r="J152" s="25">
        <f>F152-C152</f>
        <v>-34</v>
      </c>
      <c r="K152" s="4">
        <f>F152/C152-1</f>
        <v>-3.5676810073452248E-2</v>
      </c>
      <c r="M152" s="5">
        <v>980.29</v>
      </c>
      <c r="N152" s="5">
        <v>1113.0999999999999</v>
      </c>
      <c r="Q152" s="159">
        <v>10840.98</v>
      </c>
      <c r="T152" s="174">
        <f>N152/F152</f>
        <v>1.211207834602829</v>
      </c>
      <c r="U152" s="146">
        <f>N152-M152</f>
        <v>132.80999999999995</v>
      </c>
      <c r="V152" s="4">
        <f>IF(M152=0,0,N152/M152-1)</f>
        <v>0.1354803170490364</v>
      </c>
      <c r="W152" s="18">
        <v>28576.87</v>
      </c>
      <c r="X152" s="18">
        <v>27541.01</v>
      </c>
      <c r="Y152" s="4">
        <f>X152/W152-1</f>
        <v>-3.6248196530970667E-2</v>
      </c>
    </row>
    <row r="153" spans="1:25">
      <c r="A153" t="s">
        <v>331</v>
      </c>
      <c r="B153" t="s">
        <v>332</v>
      </c>
      <c r="C153" s="28">
        <v>587</v>
      </c>
      <c r="E153" t="s">
        <v>332</v>
      </c>
      <c r="F153" s="28">
        <v>574</v>
      </c>
      <c r="G153" t="b">
        <f>IF(B153=E153,TRUE,FALSE)</f>
        <v>1</v>
      </c>
      <c r="J153" s="25">
        <f>F153-C153</f>
        <v>-13</v>
      </c>
      <c r="K153" s="4">
        <f>F153/C153-1</f>
        <v>-2.2146507666098825E-2</v>
      </c>
      <c r="M153" s="5">
        <v>852.58</v>
      </c>
      <c r="N153" s="5">
        <v>982.89</v>
      </c>
      <c r="Q153" s="159">
        <v>6478.25</v>
      </c>
      <c r="T153" s="174">
        <f>N153/F153</f>
        <v>1.7123519163763066</v>
      </c>
      <c r="U153" s="146">
        <f>N153-M153</f>
        <v>130.30999999999995</v>
      </c>
      <c r="V153" s="4">
        <f>IF(M153=0,0,N153/M153-1)</f>
        <v>0.15284196204461753</v>
      </c>
      <c r="W153" s="18">
        <v>14645.65</v>
      </c>
      <c r="X153" s="18">
        <v>14321.3</v>
      </c>
      <c r="Y153" s="4">
        <f>X153/W153-1</f>
        <v>-2.2146507666098825E-2</v>
      </c>
    </row>
    <row r="154" spans="1:25">
      <c r="A154" t="s">
        <v>333</v>
      </c>
      <c r="B154" t="s">
        <v>334</v>
      </c>
      <c r="C154" s="28">
        <v>934</v>
      </c>
      <c r="E154" t="s">
        <v>334</v>
      </c>
      <c r="F154" s="28">
        <v>862</v>
      </c>
      <c r="G154" t="b">
        <f>IF(B154=E154,TRUE,FALSE)</f>
        <v>1</v>
      </c>
      <c r="J154" s="25">
        <f>F154-C154</f>
        <v>-72</v>
      </c>
      <c r="K154" s="4">
        <f>F154/C154-1</f>
        <v>-7.7087794432548207E-2</v>
      </c>
      <c r="M154" s="5">
        <v>2315.0700000000002</v>
      </c>
      <c r="N154" s="5">
        <v>2443.7800000000002</v>
      </c>
      <c r="Q154" s="159">
        <v>11759.06</v>
      </c>
      <c r="T154" s="174">
        <f>N154/F154</f>
        <v>2.8350116009280746</v>
      </c>
      <c r="U154" s="146">
        <f>N154-M154</f>
        <v>128.71000000000004</v>
      </c>
      <c r="V154" s="4">
        <f>IF(M154=0,0,N154/M154-1)</f>
        <v>5.5596591031804588E-2</v>
      </c>
      <c r="W154" s="18">
        <v>23338.41</v>
      </c>
      <c r="X154" s="18">
        <v>21502.09</v>
      </c>
      <c r="Y154" s="4">
        <f>X154/W154-1</f>
        <v>-7.8682309548936735E-2</v>
      </c>
    </row>
    <row r="155" spans="1:25">
      <c r="A155" t="s">
        <v>335</v>
      </c>
      <c r="B155" t="s">
        <v>336</v>
      </c>
      <c r="C155" s="28">
        <v>677</v>
      </c>
      <c r="E155" t="s">
        <v>336</v>
      </c>
      <c r="F155" s="28">
        <v>738</v>
      </c>
      <c r="G155" t="b">
        <f>IF(B155=E155,TRUE,FALSE)</f>
        <v>1</v>
      </c>
      <c r="J155" s="25">
        <f>F155-C155</f>
        <v>61</v>
      </c>
      <c r="K155" s="4">
        <f>F155/C155-1</f>
        <v>9.0103397341211311E-2</v>
      </c>
      <c r="M155" s="5">
        <v>435.88</v>
      </c>
      <c r="N155" s="5">
        <v>564.49</v>
      </c>
      <c r="Q155" s="159">
        <v>5111.76</v>
      </c>
      <c r="T155" s="174">
        <f>N155/F155</f>
        <v>0.76489159891598912</v>
      </c>
      <c r="U155" s="146">
        <f>N155-M155</f>
        <v>128.61000000000001</v>
      </c>
      <c r="V155" s="4">
        <f>IF(M155=0,0,N155/M155-1)</f>
        <v>0.29505827291915199</v>
      </c>
      <c r="W155" s="18">
        <v>26313.77</v>
      </c>
      <c r="X155" s="18">
        <v>28812.86</v>
      </c>
      <c r="Y155" s="4">
        <f>X155/W155-1</f>
        <v>9.4972708205627754E-2</v>
      </c>
    </row>
    <row r="156" spans="1:25">
      <c r="A156" s="55" t="s">
        <v>337</v>
      </c>
      <c r="B156" s="37" t="s">
        <v>338</v>
      </c>
      <c r="C156" s="28">
        <v>6159</v>
      </c>
      <c r="E156" s="37" t="s">
        <v>338</v>
      </c>
      <c r="F156" s="28">
        <v>6241</v>
      </c>
      <c r="G156" t="b">
        <f>IF(B156=E156,TRUE,FALSE)</f>
        <v>1</v>
      </c>
      <c r="J156" s="25">
        <f>F156-C156</f>
        <v>82</v>
      </c>
      <c r="K156" s="4">
        <f>F156/C156-1</f>
        <v>1.3313849650917309E-2</v>
      </c>
      <c r="M156" s="5">
        <v>7399.79</v>
      </c>
      <c r="N156" s="5">
        <v>7527.14</v>
      </c>
      <c r="Q156" s="159">
        <v>39541.26</v>
      </c>
      <c r="T156" s="174">
        <f>N156/F156</f>
        <v>1.2060791539817337</v>
      </c>
      <c r="U156" s="146">
        <f>N156-M156</f>
        <v>127.35000000000036</v>
      </c>
      <c r="V156" s="4">
        <f>IF(M156=0,0,N156/M156-1)</f>
        <v>1.720994784987151E-2</v>
      </c>
      <c r="W156" s="18">
        <v>138406.25</v>
      </c>
      <c r="X156" s="18">
        <v>144236.06</v>
      </c>
      <c r="Y156" s="4">
        <f>X156/W156-1</f>
        <v>4.212100248363071E-2</v>
      </c>
    </row>
    <row r="157" spans="1:25">
      <c r="A157" s="55" t="s">
        <v>339</v>
      </c>
      <c r="B157" s="37" t="s">
        <v>340</v>
      </c>
      <c r="C157" s="28">
        <v>0</v>
      </c>
      <c r="E157" s="37" t="s">
        <v>340</v>
      </c>
      <c r="F157" s="28">
        <v>49</v>
      </c>
      <c r="G157" t="b">
        <f>IF(B157=E157,TRUE,FALSE)</f>
        <v>1</v>
      </c>
      <c r="J157" s="25">
        <f>F157-C157</f>
        <v>49</v>
      </c>
      <c r="K157" s="4" t="e">
        <f>F157/C157-1</f>
        <v>#DIV/0!</v>
      </c>
      <c r="M157" s="5">
        <v>0</v>
      </c>
      <c r="N157" s="5">
        <v>123.22</v>
      </c>
      <c r="Q157" s="158">
        <v>763.44</v>
      </c>
      <c r="T157" s="174">
        <f>N157/F157</f>
        <v>2.5146938775510206</v>
      </c>
      <c r="U157" s="146">
        <f>N157-M157</f>
        <v>123.22</v>
      </c>
      <c r="V157" s="4">
        <f>IF(M157=0,0,N157/M157-1)</f>
        <v>0</v>
      </c>
      <c r="W157" s="18"/>
      <c r="X157" s="18">
        <v>1222.55</v>
      </c>
      <c r="Y157" s="4"/>
    </row>
    <row r="158" spans="1:25" ht="13.5" customHeight="1">
      <c r="A158" t="s">
        <v>341</v>
      </c>
      <c r="B158" t="s">
        <v>342</v>
      </c>
      <c r="C158" s="28">
        <v>548</v>
      </c>
      <c r="E158" t="s">
        <v>342</v>
      </c>
      <c r="F158" s="28">
        <v>581</v>
      </c>
      <c r="G158" t="b">
        <f>IF(B158=E158,TRUE,FALSE)</f>
        <v>1</v>
      </c>
      <c r="J158" s="25">
        <f>F158-C158</f>
        <v>33</v>
      </c>
      <c r="K158" s="4">
        <f>F158/C158-1</f>
        <v>6.0218978102189791E-2</v>
      </c>
      <c r="M158" s="5">
        <v>541.04</v>
      </c>
      <c r="N158" s="5">
        <v>662.16</v>
      </c>
      <c r="Q158" s="159">
        <v>4788.2</v>
      </c>
      <c r="T158" s="174">
        <f>N158/F158</f>
        <v>1.1396901893287434</v>
      </c>
      <c r="U158" s="146">
        <f>N158-M158</f>
        <v>121.12</v>
      </c>
      <c r="V158" s="4">
        <f>IF(M158=0,0,N158/M158-1)</f>
        <v>0.22386514860269124</v>
      </c>
      <c r="W158" s="18">
        <v>16352.7</v>
      </c>
      <c r="X158" s="18">
        <v>17400.95</v>
      </c>
      <c r="Y158" s="4">
        <f>X158/W158-1</f>
        <v>6.4102564102564097E-2</v>
      </c>
    </row>
    <row r="159" spans="1:25">
      <c r="A159" t="s">
        <v>343</v>
      </c>
      <c r="B159" t="s">
        <v>344</v>
      </c>
      <c r="C159" s="28">
        <v>379</v>
      </c>
      <c r="E159" t="s">
        <v>344</v>
      </c>
      <c r="F159" s="28">
        <v>379</v>
      </c>
      <c r="G159" t="b">
        <f>IF(B159=E159,TRUE,FALSE)</f>
        <v>1</v>
      </c>
      <c r="J159" s="25">
        <f>F159-C159</f>
        <v>0</v>
      </c>
      <c r="K159" s="4">
        <f>F159/C159-1</f>
        <v>0</v>
      </c>
      <c r="M159" s="5">
        <v>476.69</v>
      </c>
      <c r="N159" s="5">
        <v>595.69000000000005</v>
      </c>
      <c r="Q159" s="159">
        <v>3051.93</v>
      </c>
      <c r="T159" s="174">
        <f>N159/F159</f>
        <v>1.5717414248021109</v>
      </c>
      <c r="U159" s="146">
        <f>N159-M159</f>
        <v>119.00000000000006</v>
      </c>
      <c r="V159" s="4">
        <f>IF(M159=0,0,N159/M159-1)</f>
        <v>0.24963812960204756</v>
      </c>
      <c r="W159" s="18">
        <v>7810.97</v>
      </c>
      <c r="X159" s="18">
        <v>7726.75</v>
      </c>
      <c r="Y159" s="4">
        <f>X159/W159-1</f>
        <v>-1.078227160007017E-2</v>
      </c>
    </row>
    <row r="160" spans="1:25">
      <c r="A160" s="55" t="s">
        <v>345</v>
      </c>
      <c r="B160" s="37" t="s">
        <v>346</v>
      </c>
      <c r="C160" s="28">
        <v>1081</v>
      </c>
      <c r="E160" s="37" t="s">
        <v>346</v>
      </c>
      <c r="F160" s="28">
        <v>1569</v>
      </c>
      <c r="G160" t="b">
        <f>IF(B160=E160,TRUE,FALSE)</f>
        <v>1</v>
      </c>
      <c r="J160" s="25">
        <f>F160-C160</f>
        <v>488</v>
      </c>
      <c r="K160" s="4">
        <f>F160/C160-1</f>
        <v>0.45143385753931553</v>
      </c>
      <c r="M160" s="5">
        <v>2676.34</v>
      </c>
      <c r="N160" s="5">
        <v>2794.74</v>
      </c>
      <c r="Q160" s="158">
        <v>13666.17</v>
      </c>
      <c r="T160" s="174">
        <f>N160/F160</f>
        <v>1.7812237093690246</v>
      </c>
      <c r="U160" s="146">
        <f>N160-M160</f>
        <v>118.39999999999964</v>
      </c>
      <c r="V160" s="4">
        <f>IF(M160=0,0,N160/M160-1)</f>
        <v>4.4239521137075188E-2</v>
      </c>
      <c r="W160" s="18">
        <v>17123.05</v>
      </c>
      <c r="X160" s="18">
        <v>23161.58</v>
      </c>
      <c r="Y160" s="4">
        <f>X160/W160-1</f>
        <v>0.3526550468520504</v>
      </c>
    </row>
    <row r="161" spans="1:25">
      <c r="A161" t="s">
        <v>347</v>
      </c>
      <c r="B161" t="s">
        <v>348</v>
      </c>
      <c r="C161" s="28">
        <v>631</v>
      </c>
      <c r="E161" t="s">
        <v>348</v>
      </c>
      <c r="F161" s="28">
        <v>722</v>
      </c>
      <c r="G161" t="b">
        <f>IF(B161=E161,TRUE,FALSE)</f>
        <v>1</v>
      </c>
      <c r="J161" s="25">
        <f>F161-C161</f>
        <v>91</v>
      </c>
      <c r="K161" s="4">
        <f>F161/C161-1</f>
        <v>0.14421553090332795</v>
      </c>
      <c r="M161" s="5">
        <v>831.37</v>
      </c>
      <c r="N161" s="5">
        <v>947.28</v>
      </c>
      <c r="Q161" s="159">
        <v>7991.67</v>
      </c>
      <c r="T161" s="174">
        <f>N161/F161</f>
        <v>1.3120221606648199</v>
      </c>
      <c r="U161" s="146">
        <f>N161-M161</f>
        <v>115.90999999999997</v>
      </c>
      <c r="V161" s="4">
        <f>IF(M161=0,0,N161/M161-1)</f>
        <v>0.13942047463824769</v>
      </c>
      <c r="W161" s="18">
        <v>18898.45</v>
      </c>
      <c r="X161" s="18">
        <v>21623.9</v>
      </c>
      <c r="Y161" s="4">
        <f>X161/W161-1</f>
        <v>0.14421553090332817</v>
      </c>
    </row>
    <row r="162" spans="1:25" ht="15" customHeight="1">
      <c r="A162" t="s">
        <v>349</v>
      </c>
      <c r="B162" t="s">
        <v>350</v>
      </c>
      <c r="C162" s="28">
        <v>1596</v>
      </c>
      <c r="E162" t="s">
        <v>350</v>
      </c>
      <c r="F162" s="28">
        <v>1509</v>
      </c>
      <c r="G162" t="b">
        <f>IF(B162=E162,TRUE,FALSE)</f>
        <v>1</v>
      </c>
      <c r="J162" s="25">
        <f>F162-C162</f>
        <v>-87</v>
      </c>
      <c r="K162" s="4">
        <f>F162/C162-1</f>
        <v>-5.4511278195488733E-2</v>
      </c>
      <c r="M162" s="5">
        <v>3766.46</v>
      </c>
      <c r="N162" s="5">
        <v>3880.73</v>
      </c>
      <c r="Q162" s="159">
        <v>20704.07</v>
      </c>
      <c r="T162" s="174">
        <f>N162/F162</f>
        <v>2.5717229953611662</v>
      </c>
      <c r="U162" s="146">
        <f>N162-M162</f>
        <v>114.26999999999998</v>
      </c>
      <c r="V162" s="4">
        <f>IF(M162=0,0,N162/M162-1)</f>
        <v>3.0338832750115508E-2</v>
      </c>
      <c r="W162" s="18">
        <v>41414.639999999999</v>
      </c>
      <c r="X162" s="18">
        <v>39145.550000000003</v>
      </c>
      <c r="Y162" s="4">
        <f>X162/W162-1</f>
        <v>-5.478956233834209E-2</v>
      </c>
    </row>
    <row r="163" spans="1:25" ht="15" customHeight="1">
      <c r="A163" t="s">
        <v>351</v>
      </c>
      <c r="B163" t="s">
        <v>352</v>
      </c>
      <c r="C163" s="28">
        <v>291</v>
      </c>
      <c r="E163" t="s">
        <v>352</v>
      </c>
      <c r="F163" s="28">
        <v>321</v>
      </c>
      <c r="G163" t="b">
        <f>IF(B163=E163,TRUE,FALSE)</f>
        <v>1</v>
      </c>
      <c r="J163" s="25">
        <f>F163-C163</f>
        <v>30</v>
      </c>
      <c r="K163" s="4">
        <f>F163/C163-1</f>
        <v>0.10309278350515472</v>
      </c>
      <c r="M163" s="5">
        <v>192.83</v>
      </c>
      <c r="N163" s="5">
        <v>306.20999999999998</v>
      </c>
      <c r="Q163" s="159">
        <v>1880.57</v>
      </c>
      <c r="T163" s="174">
        <f>N163/F163</f>
        <v>0.9539252336448597</v>
      </c>
      <c r="U163" s="146">
        <f>N163-M163</f>
        <v>113.37999999999997</v>
      </c>
      <c r="V163" s="4">
        <f>IF(M163=0,0,N163/M163-1)</f>
        <v>0.58797904890317865</v>
      </c>
      <c r="W163" s="18">
        <v>6969.45</v>
      </c>
      <c r="X163" s="18">
        <v>7687.95</v>
      </c>
      <c r="Y163" s="4">
        <f>X163/W163-1</f>
        <v>0.10309278350515472</v>
      </c>
    </row>
    <row r="164" spans="1:25" ht="15" customHeight="1">
      <c r="A164" t="s">
        <v>353</v>
      </c>
      <c r="B164" t="s">
        <v>354</v>
      </c>
      <c r="C164" s="28">
        <v>570</v>
      </c>
      <c r="E164" t="s">
        <v>354</v>
      </c>
      <c r="F164" s="28">
        <v>574</v>
      </c>
      <c r="G164" t="b">
        <f>IF(B164=E164,TRUE,FALSE)</f>
        <v>1</v>
      </c>
      <c r="J164" s="25">
        <f>F164-C164</f>
        <v>4</v>
      </c>
      <c r="K164" s="4">
        <f>F164/C164-1</f>
        <v>7.0175438596491446E-3</v>
      </c>
      <c r="M164" s="5">
        <v>1355.55</v>
      </c>
      <c r="N164" s="5">
        <v>1463.55</v>
      </c>
      <c r="Q164" s="159">
        <v>6337.53</v>
      </c>
      <c r="T164" s="174">
        <f>N164/F164</f>
        <v>2.5497386759581881</v>
      </c>
      <c r="U164" s="146">
        <f>N164-M164</f>
        <v>108</v>
      </c>
      <c r="V164" s="4">
        <f>IF(M164=0,0,N164/M164-1)</f>
        <v>7.967245767400688E-2</v>
      </c>
      <c r="W164" s="18">
        <v>17071.5</v>
      </c>
      <c r="X164" s="18">
        <v>17191.3</v>
      </c>
      <c r="Y164" s="4">
        <f>X164/W164-1</f>
        <v>7.0175438596491446E-3</v>
      </c>
    </row>
    <row r="165" spans="1:25" ht="15" customHeight="1">
      <c r="A165" s="55" t="s">
        <v>355</v>
      </c>
      <c r="B165" s="37" t="s">
        <v>356</v>
      </c>
      <c r="C165" s="28">
        <v>1052</v>
      </c>
      <c r="E165" s="37" t="s">
        <v>356</v>
      </c>
      <c r="F165" s="28">
        <v>1956</v>
      </c>
      <c r="G165" t="b">
        <f>IF(B165=E165,TRUE,FALSE)</f>
        <v>1</v>
      </c>
      <c r="J165" s="25">
        <f>F165-C165</f>
        <v>904</v>
      </c>
      <c r="K165" s="4">
        <f>F165/C165-1</f>
        <v>0.85931558935361219</v>
      </c>
      <c r="M165" s="5">
        <v>2369.17</v>
      </c>
      <c r="N165" s="5">
        <v>2476.0700000000002</v>
      </c>
      <c r="Q165" s="159">
        <v>12259.949999999999</v>
      </c>
      <c r="T165" s="174">
        <f>N165/F165</f>
        <v>1.2658844580777098</v>
      </c>
      <c r="U165" s="146">
        <f>N165-M165</f>
        <v>106.90000000000009</v>
      </c>
      <c r="V165" s="4">
        <f>IF(M165=0,0,N165/M165-1)</f>
        <v>4.512128720184716E-2</v>
      </c>
      <c r="W165" s="18">
        <v>14687.599999999999</v>
      </c>
      <c r="X165" s="18">
        <v>23330.14</v>
      </c>
      <c r="Y165" s="4">
        <f>X165/W165-1</f>
        <v>0.58842424902638979</v>
      </c>
    </row>
    <row r="166" spans="1:25" ht="15" customHeight="1">
      <c r="A166" t="s">
        <v>357</v>
      </c>
      <c r="B166" t="s">
        <v>358</v>
      </c>
      <c r="C166" s="28">
        <v>3932</v>
      </c>
      <c r="E166" t="s">
        <v>358</v>
      </c>
      <c r="F166" s="28">
        <v>3232</v>
      </c>
      <c r="G166" t="b">
        <f>IF(B166=E166,TRUE,FALSE)</f>
        <v>1</v>
      </c>
      <c r="J166" s="25">
        <f>F166-C166</f>
        <v>-700</v>
      </c>
      <c r="K166" s="4">
        <f>F166/C166-1</f>
        <v>-0.17802644964394709</v>
      </c>
      <c r="M166" s="5">
        <v>2442.56</v>
      </c>
      <c r="N166" s="5">
        <v>2547.73</v>
      </c>
      <c r="Q166" s="159">
        <v>17827.87</v>
      </c>
      <c r="T166" s="174">
        <f>N166/F166</f>
        <v>0.78828279702970294</v>
      </c>
      <c r="U166" s="146">
        <f>N166-M166</f>
        <v>105.17000000000007</v>
      </c>
      <c r="V166" s="4">
        <f>IF(M166=0,0,N166/M166-1)</f>
        <v>4.3057284160880505E-2</v>
      </c>
      <c r="W166" s="18">
        <v>101993.64</v>
      </c>
      <c r="X166" s="18">
        <v>90314.53</v>
      </c>
      <c r="Y166" s="4">
        <f>X166/W166-1</f>
        <v>-0.1145082183555759</v>
      </c>
    </row>
    <row r="167" spans="1:25" ht="15" customHeight="1">
      <c r="A167" s="56" t="s">
        <v>359</v>
      </c>
      <c r="B167" s="37" t="s">
        <v>360</v>
      </c>
      <c r="C167" s="28">
        <v>1470</v>
      </c>
      <c r="E167" s="37" t="s">
        <v>360</v>
      </c>
      <c r="F167" s="28">
        <v>1291</v>
      </c>
      <c r="G167" t="b">
        <f>IF(B167=E167,TRUE,FALSE)</f>
        <v>1</v>
      </c>
      <c r="J167" s="25">
        <f>F167-C167</f>
        <v>-179</v>
      </c>
      <c r="K167" s="4">
        <f>F167/C167-1</f>
        <v>-0.12176870748299318</v>
      </c>
      <c r="M167" s="5">
        <v>3086.03</v>
      </c>
      <c r="N167" s="5">
        <v>3185.32</v>
      </c>
      <c r="Q167" s="159">
        <v>21582.65</v>
      </c>
      <c r="T167" s="174">
        <f>N167/F167</f>
        <v>2.4673276529821844</v>
      </c>
      <c r="U167" s="146">
        <f>N167-M167</f>
        <v>99.289999999999964</v>
      </c>
      <c r="V167" s="4">
        <f>IF(M167=0,0,N167/M167-1)</f>
        <v>3.217402293561622E-2</v>
      </c>
      <c r="W167" s="18">
        <v>28305.11</v>
      </c>
      <c r="X167" s="18">
        <v>25784.7</v>
      </c>
      <c r="Y167" s="4">
        <f>X167/W167-1</f>
        <v>-8.9044345702949057E-2</v>
      </c>
    </row>
    <row r="168" spans="1:25">
      <c r="A168" t="s">
        <v>361</v>
      </c>
      <c r="B168" t="s">
        <v>362</v>
      </c>
      <c r="C168" s="28">
        <v>778</v>
      </c>
      <c r="E168" t="s">
        <v>362</v>
      </c>
      <c r="F168" s="28">
        <v>761</v>
      </c>
      <c r="G168" t="b">
        <f>IF(B168=E168,TRUE,FALSE)</f>
        <v>1</v>
      </c>
      <c r="J168" s="25">
        <f>F168-C168</f>
        <v>-17</v>
      </c>
      <c r="K168" s="4">
        <f>F168/C168-1</f>
        <v>-2.1850899742930641E-2</v>
      </c>
      <c r="M168" s="5">
        <v>640.73</v>
      </c>
      <c r="N168" s="5">
        <v>738.6</v>
      </c>
      <c r="Q168" s="159">
        <v>7582.06</v>
      </c>
      <c r="T168" s="174">
        <f>N168/F168</f>
        <v>0.97056504599211568</v>
      </c>
      <c r="U168" s="146">
        <f>N168-M168</f>
        <v>97.87</v>
      </c>
      <c r="V168" s="4">
        <f>IF(M168=0,0,N168/M168-1)</f>
        <v>0.15274764721489542</v>
      </c>
      <c r="W168" s="18">
        <v>23299.9</v>
      </c>
      <c r="X168" s="18">
        <v>22786.25</v>
      </c>
      <c r="Y168" s="4">
        <f>X168/W168-1</f>
        <v>-2.204515899209869E-2</v>
      </c>
    </row>
    <row r="169" spans="1:25" ht="15" customHeight="1">
      <c r="A169" t="s">
        <v>363</v>
      </c>
      <c r="B169" t="s">
        <v>364</v>
      </c>
      <c r="C169" s="28">
        <v>359</v>
      </c>
      <c r="E169" t="s">
        <v>364</v>
      </c>
      <c r="F169" s="28">
        <v>391</v>
      </c>
      <c r="G169" t="b">
        <f>IF(B169=E169,TRUE,FALSE)</f>
        <v>1</v>
      </c>
      <c r="J169" s="25">
        <f>F169-C169</f>
        <v>32</v>
      </c>
      <c r="K169" s="4">
        <f>F169/C169-1</f>
        <v>8.9136490250696365E-2</v>
      </c>
      <c r="M169" s="5">
        <v>286.92</v>
      </c>
      <c r="N169" s="5">
        <v>380.75</v>
      </c>
      <c r="Q169" s="159">
        <v>2396.85</v>
      </c>
      <c r="T169" s="174">
        <f>N169/F169</f>
        <v>0.97378516624040923</v>
      </c>
      <c r="U169" s="146">
        <f>N169-M169</f>
        <v>93.829999999999984</v>
      </c>
      <c r="V169" s="4">
        <f>IF(M169=0,0,N169/M169-1)</f>
        <v>0.32702495469120296</v>
      </c>
      <c r="W169" s="18">
        <v>7880.05</v>
      </c>
      <c r="X169" s="18">
        <v>8582.4500000000007</v>
      </c>
      <c r="Y169" s="4">
        <f>X169/W169-1</f>
        <v>8.9136490250696365E-2</v>
      </c>
    </row>
    <row r="170" spans="1:25" ht="15" customHeight="1">
      <c r="A170" t="s">
        <v>365</v>
      </c>
      <c r="B170" t="s">
        <v>366</v>
      </c>
      <c r="C170" s="28">
        <v>2311</v>
      </c>
      <c r="E170" t="s">
        <v>366</v>
      </c>
      <c r="F170" s="28">
        <v>1642</v>
      </c>
      <c r="G170" t="b">
        <f>IF(B170=E170,TRUE,FALSE)</f>
        <v>1</v>
      </c>
      <c r="J170" s="25">
        <f>F170-C170</f>
        <v>-669</v>
      </c>
      <c r="K170" s="4">
        <f>F170/C170-1</f>
        <v>-0.28948507139766333</v>
      </c>
      <c r="M170" s="5">
        <v>3921.69</v>
      </c>
      <c r="N170" s="5">
        <v>4012.46</v>
      </c>
      <c r="Q170" s="159">
        <v>20304.900000000001</v>
      </c>
      <c r="T170" s="174">
        <f>N170/F170</f>
        <v>2.4436419001218028</v>
      </c>
      <c r="U170" s="146">
        <f>N170-M170</f>
        <v>90.769999999999982</v>
      </c>
      <c r="V170" s="4">
        <f>IF(M170=0,0,N170/M170-1)</f>
        <v>2.3145633642638774E-2</v>
      </c>
      <c r="W170" s="18">
        <v>44375.17</v>
      </c>
      <c r="X170" s="18">
        <v>32722.62</v>
      </c>
      <c r="Y170" s="4">
        <f>X170/W170-1</f>
        <v>-0.26259167007134843</v>
      </c>
    </row>
    <row r="171" spans="1:25" ht="15" customHeight="1">
      <c r="A171" t="s">
        <v>367</v>
      </c>
      <c r="B171" t="s">
        <v>368</v>
      </c>
      <c r="C171" s="28">
        <v>398</v>
      </c>
      <c r="E171" t="s">
        <v>368</v>
      </c>
      <c r="F171" s="28">
        <v>387</v>
      </c>
      <c r="G171" t="b">
        <f>IF(B171=E171,TRUE,FALSE)</f>
        <v>1</v>
      </c>
      <c r="J171" s="25">
        <f>F171-C171</f>
        <v>-11</v>
      </c>
      <c r="K171" s="4">
        <f>F171/C171-1</f>
        <v>-2.7638190954773822E-2</v>
      </c>
      <c r="M171" s="5">
        <v>659.02</v>
      </c>
      <c r="N171" s="5">
        <v>748.34</v>
      </c>
      <c r="Q171" s="159">
        <v>4541.92</v>
      </c>
      <c r="T171" s="174">
        <f>N171/F171</f>
        <v>1.9336950904392767</v>
      </c>
      <c r="U171" s="146">
        <f>N171-M171</f>
        <v>89.32000000000005</v>
      </c>
      <c r="V171" s="4">
        <f>IF(M171=0,0,N171/M171-1)</f>
        <v>0.1355345816515432</v>
      </c>
      <c r="W171" s="18">
        <v>8751.58</v>
      </c>
      <c r="X171" s="18">
        <v>8509.25</v>
      </c>
      <c r="Y171" s="4">
        <f>X171/W171-1</f>
        <v>-2.7689857145795416E-2</v>
      </c>
    </row>
    <row r="172" spans="1:25" ht="15" customHeight="1">
      <c r="A172" s="162" t="s">
        <v>369</v>
      </c>
      <c r="B172" s="37" t="s">
        <v>370</v>
      </c>
      <c r="C172" s="28">
        <v>0</v>
      </c>
      <c r="E172" s="37" t="s">
        <v>370</v>
      </c>
      <c r="F172" s="28">
        <v>33</v>
      </c>
      <c r="G172" t="b">
        <f>IF(B172=E172,TRUE,FALSE)</f>
        <v>1</v>
      </c>
      <c r="J172" s="25">
        <f>F172-C172</f>
        <v>33</v>
      </c>
      <c r="K172" s="4" t="e">
        <f>F172/C172-1</f>
        <v>#DIV/0!</v>
      </c>
      <c r="M172" s="5">
        <v>0</v>
      </c>
      <c r="N172" s="5">
        <v>85.9</v>
      </c>
      <c r="Q172" s="158">
        <v>193.13</v>
      </c>
      <c r="T172" s="174">
        <f>N172/F172</f>
        <v>2.603030303030303</v>
      </c>
      <c r="U172" s="146">
        <f>N172-M172</f>
        <v>85.9</v>
      </c>
      <c r="V172" s="4">
        <f>IF(M172=0,0,N172/M172-1)</f>
        <v>0</v>
      </c>
      <c r="W172" s="18"/>
      <c r="X172" s="18">
        <v>989.67</v>
      </c>
      <c r="Y172" s="4"/>
    </row>
    <row r="173" spans="1:25" ht="15" customHeight="1">
      <c r="A173" s="57" t="s">
        <v>371</v>
      </c>
      <c r="B173" s="37" t="s">
        <v>372</v>
      </c>
      <c r="C173" s="28">
        <v>1508</v>
      </c>
      <c r="E173" s="37" t="s">
        <v>372</v>
      </c>
      <c r="F173" s="28">
        <v>738</v>
      </c>
      <c r="G173" t="b">
        <f>IF(B173=E173,TRUE,FALSE)</f>
        <v>1</v>
      </c>
      <c r="J173" s="25">
        <f>F173-C173</f>
        <v>-770</v>
      </c>
      <c r="K173" s="4">
        <f>F173/C173-1</f>
        <v>-0.51061007957559679</v>
      </c>
      <c r="M173" s="5">
        <v>2114.23</v>
      </c>
      <c r="N173" s="5">
        <v>2196.77</v>
      </c>
      <c r="Q173" s="159">
        <v>10652.94</v>
      </c>
      <c r="T173" s="174">
        <f>N173/F173</f>
        <v>2.9766531165311654</v>
      </c>
      <c r="U173" s="146">
        <f>N173-M173</f>
        <v>82.539999999999964</v>
      </c>
      <c r="V173" s="4">
        <f>IF(M173=0,0,N173/M173-1)</f>
        <v>3.9040217951689327E-2</v>
      </c>
      <c r="W173" s="18">
        <v>19160.490000000002</v>
      </c>
      <c r="X173" s="18">
        <v>10729.25</v>
      </c>
      <c r="Y173" s="4">
        <f>X173/W173-1</f>
        <v>-0.44003258789310717</v>
      </c>
    </row>
    <row r="174" spans="1:25" ht="15" customHeight="1">
      <c r="A174" t="s">
        <v>373</v>
      </c>
      <c r="B174" t="s">
        <v>374</v>
      </c>
      <c r="C174" s="28">
        <v>865</v>
      </c>
      <c r="E174" t="s">
        <v>374</v>
      </c>
      <c r="F174" s="28">
        <v>851</v>
      </c>
      <c r="G174" t="b">
        <f>IF(B174=E174,TRUE,FALSE)</f>
        <v>1</v>
      </c>
      <c r="J174" s="25">
        <f>F174-C174</f>
        <v>-14</v>
      </c>
      <c r="K174" s="4">
        <f>F174/C174-1</f>
        <v>-1.6184971098265888E-2</v>
      </c>
      <c r="M174" s="5">
        <v>1699.98</v>
      </c>
      <c r="N174" s="5">
        <v>1777.84</v>
      </c>
      <c r="Q174" s="159">
        <v>11459.41</v>
      </c>
      <c r="T174" s="174">
        <f>N174/F174</f>
        <v>2.0891186839012925</v>
      </c>
      <c r="U174" s="146">
        <f>N174-M174</f>
        <v>77.8599999999999</v>
      </c>
      <c r="V174" s="4">
        <f>IF(M174=0,0,N174/M174-1)</f>
        <v>4.5800538829868565E-2</v>
      </c>
      <c r="W174" s="18">
        <v>20750.87</v>
      </c>
      <c r="X174" s="18">
        <v>20383.169999999998</v>
      </c>
      <c r="Y174" s="4">
        <f>X174/W174-1</f>
        <v>-1.771973897961876E-2</v>
      </c>
    </row>
    <row r="175" spans="1:25" ht="15" customHeight="1">
      <c r="A175" s="55" t="s">
        <v>375</v>
      </c>
      <c r="B175" s="37" t="s">
        <v>376</v>
      </c>
      <c r="C175" s="28">
        <v>0</v>
      </c>
      <c r="E175" s="37" t="s">
        <v>376</v>
      </c>
      <c r="F175" s="28">
        <v>41</v>
      </c>
      <c r="G175" t="b">
        <f>IF(B175=E175,TRUE,FALSE)</f>
        <v>1</v>
      </c>
      <c r="J175" s="25">
        <f>F175-C175</f>
        <v>41</v>
      </c>
      <c r="K175" s="4" t="e">
        <f>F175/C175-1</f>
        <v>#DIV/0!</v>
      </c>
      <c r="M175" s="5">
        <v>0</v>
      </c>
      <c r="N175" s="5">
        <v>77.48</v>
      </c>
      <c r="Q175" s="158">
        <v>352.85</v>
      </c>
      <c r="T175" s="174">
        <f>N175/F175</f>
        <v>1.8897560975609757</v>
      </c>
      <c r="U175" s="146">
        <f>N175-M175</f>
        <v>77.48</v>
      </c>
      <c r="V175" s="4">
        <f>IF(M175=0,0,N175/M175-1)</f>
        <v>0</v>
      </c>
      <c r="W175" s="18"/>
      <c r="X175" s="18">
        <v>1229.5899999999999</v>
      </c>
      <c r="Y175" s="4"/>
    </row>
    <row r="176" spans="1:25" ht="15" customHeight="1">
      <c r="A176" t="s">
        <v>377</v>
      </c>
      <c r="B176" t="s">
        <v>378</v>
      </c>
      <c r="C176" s="28">
        <v>496</v>
      </c>
      <c r="E176" t="s">
        <v>378</v>
      </c>
      <c r="F176" s="28">
        <v>533</v>
      </c>
      <c r="G176" t="b">
        <f>IF(B176=E176,TRUE,FALSE)</f>
        <v>1</v>
      </c>
      <c r="J176" s="25">
        <f>F176-C176</f>
        <v>37</v>
      </c>
      <c r="K176" s="4">
        <f>F176/C176-1</f>
        <v>7.4596774193548487E-2</v>
      </c>
      <c r="M176" s="5">
        <v>541.12</v>
      </c>
      <c r="N176" s="5">
        <v>618.20000000000005</v>
      </c>
      <c r="Q176" s="159">
        <v>2875.34</v>
      </c>
      <c r="T176" s="174">
        <f>N176/F176</f>
        <v>1.1598499061913696</v>
      </c>
      <c r="U176" s="146">
        <f>N176-M176</f>
        <v>77.080000000000041</v>
      </c>
      <c r="V176" s="4">
        <f>IF(M176=0,0,N176/M176-1)</f>
        <v>0.14244529863985811</v>
      </c>
      <c r="W176" s="18">
        <v>9419</v>
      </c>
      <c r="X176" s="18">
        <v>10121.67</v>
      </c>
      <c r="Y176" s="4">
        <f>X176/W176-1</f>
        <v>7.4601337721626582E-2</v>
      </c>
    </row>
    <row r="177" spans="1:25" ht="15" customHeight="1">
      <c r="A177" t="s">
        <v>379</v>
      </c>
      <c r="B177" t="s">
        <v>380</v>
      </c>
      <c r="C177" s="28">
        <v>462</v>
      </c>
      <c r="E177" t="s">
        <v>380</v>
      </c>
      <c r="F177" s="28">
        <v>556</v>
      </c>
      <c r="G177" t="b">
        <f>IF(B177=E177,TRUE,FALSE)</f>
        <v>1</v>
      </c>
      <c r="J177" s="25">
        <f>F177-C177</f>
        <v>94</v>
      </c>
      <c r="K177" s="4">
        <f>F177/C177-1</f>
        <v>0.20346320346320357</v>
      </c>
      <c r="M177" s="5">
        <v>478.98</v>
      </c>
      <c r="N177" s="5">
        <v>555.37</v>
      </c>
      <c r="Q177" s="159">
        <v>3845.51</v>
      </c>
      <c r="T177" s="174">
        <f>N177/F177</f>
        <v>0.99886690647482013</v>
      </c>
      <c r="U177" s="146">
        <f>N177-M177</f>
        <v>76.389999999999986</v>
      </c>
      <c r="V177" s="4">
        <f>IF(M177=0,0,N177/M177-1)</f>
        <v>0.15948473840243849</v>
      </c>
      <c r="W177" s="18">
        <v>11526.9</v>
      </c>
      <c r="X177" s="18">
        <v>13872.2</v>
      </c>
      <c r="Y177" s="4">
        <f>X177/W177-1</f>
        <v>0.20346320346320357</v>
      </c>
    </row>
    <row r="178" spans="1:25" ht="15" customHeight="1">
      <c r="A178" t="s">
        <v>381</v>
      </c>
      <c r="B178" t="s">
        <v>382</v>
      </c>
      <c r="C178" s="28">
        <v>1113</v>
      </c>
      <c r="E178" t="s">
        <v>382</v>
      </c>
      <c r="F178" s="28">
        <v>1056</v>
      </c>
      <c r="G178" t="b">
        <f>IF(B178=E178,TRUE,FALSE)</f>
        <v>1</v>
      </c>
      <c r="J178" s="25">
        <f>F178-C178</f>
        <v>-57</v>
      </c>
      <c r="K178" s="4">
        <f>F178/C178-1</f>
        <v>-5.121293800539084E-2</v>
      </c>
      <c r="M178" s="5">
        <v>1104.8900000000001</v>
      </c>
      <c r="N178" s="5">
        <v>1181.1400000000001</v>
      </c>
      <c r="Q178" s="159">
        <v>8332.2199999999993</v>
      </c>
      <c r="T178" s="174">
        <f>N178/F178</f>
        <v>1.118503787878788</v>
      </c>
      <c r="U178" s="146">
        <f>N178-M178</f>
        <v>76.25</v>
      </c>
      <c r="V178" s="4">
        <f>IF(M178=0,0,N178/M178-1)</f>
        <v>6.9011394799482373E-2</v>
      </c>
      <c r="W178" s="18">
        <v>18865.349999999999</v>
      </c>
      <c r="X178" s="18">
        <v>17899.2</v>
      </c>
      <c r="Y178" s="4">
        <f>X178/W178-1</f>
        <v>-5.1212938005390729E-2</v>
      </c>
    </row>
    <row r="179" spans="1:25" ht="15" customHeight="1">
      <c r="A179" t="s">
        <v>383</v>
      </c>
      <c r="B179" t="s">
        <v>384</v>
      </c>
      <c r="C179" s="28">
        <v>2271</v>
      </c>
      <c r="E179" t="s">
        <v>384</v>
      </c>
      <c r="F179" s="28">
        <v>1977</v>
      </c>
      <c r="G179" t="b">
        <f>IF(B179=E179,TRUE,FALSE)</f>
        <v>1</v>
      </c>
      <c r="J179" s="25">
        <f>F179-C179</f>
        <v>-294</v>
      </c>
      <c r="K179" s="4">
        <f>F179/C179-1</f>
        <v>-0.1294583883751651</v>
      </c>
      <c r="M179" s="5">
        <v>2341.8199999999997</v>
      </c>
      <c r="N179" s="5">
        <v>2414.6799999999998</v>
      </c>
      <c r="Q179" s="159">
        <v>14069.65</v>
      </c>
      <c r="T179" s="174">
        <f>N179/F179</f>
        <v>1.2213859382903389</v>
      </c>
      <c r="U179" s="146">
        <f>N179-M179</f>
        <v>72.860000000000127</v>
      </c>
      <c r="V179" s="4">
        <f>IF(M179=0,0,N179/M179-1)</f>
        <v>3.1112553484042405E-2</v>
      </c>
      <c r="W179" s="18">
        <v>43038.29</v>
      </c>
      <c r="X179" s="18">
        <v>39450.11</v>
      </c>
      <c r="Y179" s="4">
        <f>X179/W179-1</f>
        <v>-8.3371806825968231E-2</v>
      </c>
    </row>
    <row r="180" spans="1:25" ht="15" customHeight="1">
      <c r="A180" s="55" t="s">
        <v>385</v>
      </c>
      <c r="B180" s="37" t="s">
        <v>386</v>
      </c>
      <c r="C180" s="19">
        <v>1488</v>
      </c>
      <c r="E180" s="37" t="s">
        <v>386</v>
      </c>
      <c r="F180" s="19">
        <v>2263</v>
      </c>
      <c r="G180" t="b">
        <f>IF(B180=E180,TRUE,FALSE)</f>
        <v>1</v>
      </c>
      <c r="J180" s="25">
        <f>F180-C180</f>
        <v>775</v>
      </c>
      <c r="K180" s="4">
        <f>F180/C180-1</f>
        <v>0.52083333333333326</v>
      </c>
      <c r="M180" s="5">
        <v>2910.39</v>
      </c>
      <c r="N180" s="5">
        <v>2983.23</v>
      </c>
      <c r="Q180" s="158">
        <v>18569.150000000001</v>
      </c>
      <c r="T180" s="174">
        <f>N180/F180</f>
        <v>1.3182633672116659</v>
      </c>
      <c r="U180" s="146">
        <f>N180-M180</f>
        <v>72.840000000000146</v>
      </c>
      <c r="V180" s="4">
        <f>IF(M180=0,0,N180/M180-1)</f>
        <v>2.5027573624153421E-2</v>
      </c>
      <c r="W180">
        <v>22904.37</v>
      </c>
      <c r="X180">
        <v>30920.74</v>
      </c>
      <c r="Y180" s="4">
        <f>X180/W180-1</f>
        <v>0.34999303626338563</v>
      </c>
    </row>
    <row r="181" spans="1:25" ht="15" customHeight="1">
      <c r="A181" t="s">
        <v>387</v>
      </c>
      <c r="B181" t="s">
        <v>388</v>
      </c>
      <c r="C181" s="28">
        <v>756</v>
      </c>
      <c r="E181" t="s">
        <v>388</v>
      </c>
      <c r="F181" s="28">
        <v>769</v>
      </c>
      <c r="G181" t="b">
        <f>IF(B181=E181,TRUE,FALSE)</f>
        <v>1</v>
      </c>
      <c r="J181" s="25">
        <f>F181-C181</f>
        <v>13</v>
      </c>
      <c r="K181" s="4">
        <f>F181/C181-1</f>
        <v>1.7195767195767209E-2</v>
      </c>
      <c r="M181" s="5">
        <v>1212</v>
      </c>
      <c r="N181" s="5">
        <v>1284.54</v>
      </c>
      <c r="Q181" s="159">
        <v>6957.14</v>
      </c>
      <c r="T181" s="174">
        <f>N181/F181</f>
        <v>1.6704031209362808</v>
      </c>
      <c r="U181" s="146">
        <f>N181-M181</f>
        <v>72.539999999999964</v>
      </c>
      <c r="V181" s="4">
        <f>IF(M181=0,0,N181/M181-1)</f>
        <v>5.9851485148514794E-2</v>
      </c>
      <c r="W181" s="18">
        <v>20374.2</v>
      </c>
      <c r="X181" s="18">
        <v>20724.55</v>
      </c>
      <c r="Y181" s="4">
        <f>X181/W181-1</f>
        <v>1.7195767195767209E-2</v>
      </c>
    </row>
    <row r="182" spans="1:25" ht="15" customHeight="1">
      <c r="A182" t="s">
        <v>389</v>
      </c>
      <c r="B182" t="s">
        <v>390</v>
      </c>
      <c r="C182" s="28">
        <v>1330</v>
      </c>
      <c r="E182" t="s">
        <v>390</v>
      </c>
      <c r="F182" s="28">
        <v>1104</v>
      </c>
      <c r="G182" t="b">
        <f>IF(B182=E182,TRUE,FALSE)</f>
        <v>1</v>
      </c>
      <c r="J182" s="25">
        <f>F182-C182</f>
        <v>-226</v>
      </c>
      <c r="K182" s="4">
        <f>F182/C182-1</f>
        <v>-0.16992481203007515</v>
      </c>
      <c r="M182" s="5">
        <v>1428.44</v>
      </c>
      <c r="N182" s="5">
        <v>1499.22</v>
      </c>
      <c r="Q182" s="159">
        <v>9567.17</v>
      </c>
      <c r="T182" s="174">
        <f>N182/F182</f>
        <v>1.3579891304347826</v>
      </c>
      <c r="U182" s="146">
        <f>N182-M182</f>
        <v>70.779999999999973</v>
      </c>
      <c r="V182" s="4">
        <f>IF(M182=0,0,N182/M182-1)</f>
        <v>4.9550558651396015E-2</v>
      </c>
      <c r="W182" s="18">
        <v>30591.989999999998</v>
      </c>
      <c r="X182" s="18">
        <v>26269.17</v>
      </c>
      <c r="Y182" s="4">
        <f>X182/W182-1</f>
        <v>-0.14130561627406391</v>
      </c>
    </row>
    <row r="183" spans="1:25" ht="15" customHeight="1">
      <c r="A183" t="s">
        <v>391</v>
      </c>
      <c r="B183" t="s">
        <v>392</v>
      </c>
      <c r="C183" s="28">
        <v>1331</v>
      </c>
      <c r="E183" t="s">
        <v>392</v>
      </c>
      <c r="F183" s="28">
        <v>904</v>
      </c>
      <c r="G183" t="b">
        <f>IF(B183=E183,TRUE,FALSE)</f>
        <v>1</v>
      </c>
      <c r="J183" s="25">
        <f>F183-C183</f>
        <v>-427</v>
      </c>
      <c r="K183" s="4">
        <f>F183/C183-1</f>
        <v>-0.32081141998497376</v>
      </c>
      <c r="M183" s="5">
        <v>296.14999999999998</v>
      </c>
      <c r="N183" s="5">
        <v>366.7</v>
      </c>
      <c r="Q183" s="159">
        <v>5498.73</v>
      </c>
      <c r="T183" s="174">
        <f>N183/F183</f>
        <v>0.40564159292035395</v>
      </c>
      <c r="U183" s="146">
        <f>N183-M183</f>
        <v>70.550000000000011</v>
      </c>
      <c r="V183" s="4">
        <f>IF(M183=0,0,N183/M183-1)</f>
        <v>0.23822387303731229</v>
      </c>
      <c r="W183" s="18">
        <v>52196.789999999994</v>
      </c>
      <c r="X183" s="18">
        <v>39671.279999999999</v>
      </c>
      <c r="Y183" s="4">
        <f>X183/W183-1</f>
        <v>-0.23996705544536356</v>
      </c>
    </row>
    <row r="184" spans="1:25" ht="15" customHeight="1">
      <c r="A184" s="55" t="s">
        <v>393</v>
      </c>
      <c r="B184" s="37" t="s">
        <v>394</v>
      </c>
      <c r="C184" s="28">
        <v>1227</v>
      </c>
      <c r="E184" s="37" t="s">
        <v>394</v>
      </c>
      <c r="F184" s="28">
        <v>1103</v>
      </c>
      <c r="G184" t="b">
        <f>IF(B184=E184,TRUE,FALSE)</f>
        <v>1</v>
      </c>
      <c r="J184" s="25">
        <f>F184-C184</f>
        <v>-124</v>
      </c>
      <c r="K184" s="4">
        <f>F184/C184-1</f>
        <v>-0.10105949470252651</v>
      </c>
      <c r="M184" s="5">
        <v>2503.69</v>
      </c>
      <c r="N184" s="5">
        <v>2572.52</v>
      </c>
      <c r="Q184" s="158">
        <v>13728.36</v>
      </c>
      <c r="T184" s="174">
        <f>N184/F184</f>
        <v>2.3322937443336356</v>
      </c>
      <c r="U184" s="146">
        <f>N184-M184</f>
        <v>68.829999999999927</v>
      </c>
      <c r="V184" s="4">
        <f>IF(M184=0,0,N184/M184-1)</f>
        <v>2.7491422660153475E-2</v>
      </c>
      <c r="W184" s="18">
        <v>17171.75</v>
      </c>
      <c r="X184" s="18">
        <v>18356.97</v>
      </c>
      <c r="Y184" s="4">
        <f>X184/W184-1</f>
        <v>6.9021503341243573E-2</v>
      </c>
    </row>
    <row r="185" spans="1:25" ht="15" customHeight="1">
      <c r="A185" t="s">
        <v>395</v>
      </c>
      <c r="B185" t="s">
        <v>396</v>
      </c>
      <c r="C185" s="28">
        <v>822</v>
      </c>
      <c r="E185" t="s">
        <v>396</v>
      </c>
      <c r="F185" s="28">
        <v>784</v>
      </c>
      <c r="G185" t="b">
        <f>IF(B185=E185,TRUE,FALSE)</f>
        <v>1</v>
      </c>
      <c r="J185" s="25">
        <f>F185-C185</f>
        <v>-38</v>
      </c>
      <c r="K185" s="4">
        <f>F185/C185-1</f>
        <v>-4.6228710462287159E-2</v>
      </c>
      <c r="M185" s="5">
        <v>463.14</v>
      </c>
      <c r="N185" s="5">
        <v>525.58000000000004</v>
      </c>
      <c r="Q185" s="159">
        <v>2247.48</v>
      </c>
      <c r="T185" s="174">
        <f>N185/F185</f>
        <v>0.67038265306122458</v>
      </c>
      <c r="U185" s="146">
        <f>N185-M185</f>
        <v>62.440000000000055</v>
      </c>
      <c r="V185" s="4">
        <f>IF(M185=0,0,N185/M185-1)</f>
        <v>0.13481884527356747</v>
      </c>
      <c r="W185" s="18">
        <v>16378.95</v>
      </c>
      <c r="X185" s="18">
        <v>15640.8</v>
      </c>
      <c r="Y185" s="4">
        <f>X185/W185-1</f>
        <v>-4.5066991473812545E-2</v>
      </c>
    </row>
    <row r="186" spans="1:25" ht="15" customHeight="1">
      <c r="A186" t="s">
        <v>397</v>
      </c>
      <c r="B186" t="s">
        <v>398</v>
      </c>
      <c r="C186" s="28">
        <v>560</v>
      </c>
      <c r="E186" t="s">
        <v>398</v>
      </c>
      <c r="F186" s="28">
        <v>605</v>
      </c>
      <c r="G186" t="b">
        <f>IF(B186=E186,TRUE,FALSE)</f>
        <v>1</v>
      </c>
      <c r="J186" s="25">
        <f>F186-C186</f>
        <v>45</v>
      </c>
      <c r="K186" s="4">
        <f>F186/C186-1</f>
        <v>8.0357142857142794E-2</v>
      </c>
      <c r="M186" s="5">
        <v>261.95999999999998</v>
      </c>
      <c r="N186" s="5">
        <v>323.02999999999997</v>
      </c>
      <c r="Q186" s="159">
        <v>1998.39</v>
      </c>
      <c r="T186" s="174">
        <f>N186/F186</f>
        <v>0.53393388429752064</v>
      </c>
      <c r="U186" s="146">
        <f>N186-M186</f>
        <v>61.069999999999993</v>
      </c>
      <c r="V186" s="4">
        <f>IF(M186=0,0,N186/M186-1)</f>
        <v>0.23312719499160184</v>
      </c>
      <c r="W186" s="18">
        <v>11172</v>
      </c>
      <c r="X186" s="18">
        <v>12069.75</v>
      </c>
      <c r="Y186" s="4">
        <f>X186/W186-1</f>
        <v>8.0357142857142794E-2</v>
      </c>
    </row>
    <row r="187" spans="1:25" ht="15" customHeight="1">
      <c r="A187" s="55" t="s">
        <v>399</v>
      </c>
      <c r="B187" s="37" t="s">
        <v>400</v>
      </c>
      <c r="C187" s="28">
        <v>0</v>
      </c>
      <c r="E187" s="37" t="s">
        <v>400</v>
      </c>
      <c r="F187" s="28">
        <v>60</v>
      </c>
      <c r="G187" t="b">
        <f>IF(B187=E187,TRUE,FALSE)</f>
        <v>1</v>
      </c>
      <c r="J187" s="25">
        <f>F187-C187</f>
        <v>60</v>
      </c>
      <c r="K187" s="4" t="e">
        <f>F187/C187-1</f>
        <v>#DIV/0!</v>
      </c>
      <c r="M187" s="5">
        <v>0</v>
      </c>
      <c r="N187" s="5">
        <v>60.47</v>
      </c>
      <c r="Q187" s="158">
        <v>131.79</v>
      </c>
      <c r="T187" s="174">
        <f>N187/F187</f>
        <v>1.0078333333333334</v>
      </c>
      <c r="U187" s="146">
        <f>N187-M187</f>
        <v>60.47</v>
      </c>
      <c r="V187" s="4">
        <f>IF(M187=0,0,N187/M187-1)</f>
        <v>0</v>
      </c>
      <c r="W187" s="18"/>
      <c r="X187" s="18">
        <v>1497</v>
      </c>
      <c r="Y187" s="4"/>
    </row>
    <row r="188" spans="1:25" ht="15" customHeight="1">
      <c r="A188" t="s">
        <v>401</v>
      </c>
      <c r="B188" t="s">
        <v>402</v>
      </c>
      <c r="C188" s="28">
        <v>854</v>
      </c>
      <c r="E188" t="s">
        <v>402</v>
      </c>
      <c r="F188" s="28">
        <v>780</v>
      </c>
      <c r="G188" t="b">
        <f>IF(B188=E188,TRUE,FALSE)</f>
        <v>1</v>
      </c>
      <c r="J188" s="25">
        <f>F188-C188</f>
        <v>-74</v>
      </c>
      <c r="K188" s="4">
        <f>F188/C188-1</f>
        <v>-8.6651053864168603E-2</v>
      </c>
      <c r="M188" s="5">
        <v>1615.44</v>
      </c>
      <c r="N188" s="5">
        <v>1674.92</v>
      </c>
      <c r="Q188" s="159">
        <v>7888.87</v>
      </c>
      <c r="T188" s="174">
        <f>N188/F188</f>
        <v>2.1473333333333335</v>
      </c>
      <c r="U188" s="146">
        <f>N188-M188</f>
        <v>59.480000000000018</v>
      </c>
      <c r="V188" s="4">
        <f>IF(M188=0,0,N188/M188-1)</f>
        <v>3.6819689991581361E-2</v>
      </c>
      <c r="W188" s="18">
        <v>22819.96</v>
      </c>
      <c r="X188" s="18">
        <v>20381.52</v>
      </c>
      <c r="Y188" s="4">
        <f>X188/W188-1</f>
        <v>-0.10685557731038964</v>
      </c>
    </row>
    <row r="189" spans="1:25" ht="14.25" customHeight="1">
      <c r="A189" t="s">
        <v>403</v>
      </c>
      <c r="B189" t="s">
        <v>404</v>
      </c>
      <c r="C189" s="28">
        <v>453</v>
      </c>
      <c r="E189" t="s">
        <v>404</v>
      </c>
      <c r="F189" s="28">
        <v>525</v>
      </c>
      <c r="G189" t="b">
        <f>IF(B189=E189,TRUE,FALSE)</f>
        <v>1</v>
      </c>
      <c r="J189" s="25">
        <f>F189-C189</f>
        <v>72</v>
      </c>
      <c r="K189" s="4">
        <f>F189/C189-1</f>
        <v>0.1589403973509933</v>
      </c>
      <c r="M189" s="5">
        <v>523.13</v>
      </c>
      <c r="N189" s="5">
        <v>579</v>
      </c>
      <c r="Q189" s="159">
        <v>3282.92</v>
      </c>
      <c r="T189" s="174">
        <f>N189/F189</f>
        <v>1.1028571428571428</v>
      </c>
      <c r="U189" s="146">
        <f>N189-M189</f>
        <v>55.870000000000005</v>
      </c>
      <c r="V189" s="4">
        <f>IF(M189=0,0,N189/M189-1)</f>
        <v>0.10679945711391059</v>
      </c>
      <c r="W189" s="18">
        <v>9943.35</v>
      </c>
      <c r="X189" s="18">
        <v>11523.75</v>
      </c>
      <c r="Y189" s="4">
        <f>X189/W189-1</f>
        <v>0.1589403973509933</v>
      </c>
    </row>
    <row r="190" spans="1:25" ht="15" customHeight="1">
      <c r="A190" s="57" t="s">
        <v>405</v>
      </c>
      <c r="B190" s="37" t="s">
        <v>406</v>
      </c>
      <c r="C190" s="28">
        <v>97</v>
      </c>
      <c r="E190" s="37" t="s">
        <v>406</v>
      </c>
      <c r="F190" s="28">
        <v>181</v>
      </c>
      <c r="G190" t="b">
        <f>IF(B190=E190,TRUE,FALSE)</f>
        <v>1</v>
      </c>
      <c r="J190" s="25">
        <f>F190-C190</f>
        <v>84</v>
      </c>
      <c r="K190" s="4">
        <f>F190/C190-1</f>
        <v>0.865979381443299</v>
      </c>
      <c r="M190" s="5">
        <v>279.05</v>
      </c>
      <c r="N190" s="5">
        <v>332.71</v>
      </c>
      <c r="Q190" s="158">
        <v>785.16</v>
      </c>
      <c r="T190" s="174">
        <f>N190/F190</f>
        <v>1.8381767955801105</v>
      </c>
      <c r="U190" s="146">
        <f>N190-M190</f>
        <v>53.659999999999968</v>
      </c>
      <c r="V190" s="4">
        <f>IF(M190=0,0,N190/M190-1)</f>
        <v>0.19229528758287029</v>
      </c>
      <c r="W190" s="18">
        <v>1758.43</v>
      </c>
      <c r="X190" s="18">
        <v>2469.2199999999998</v>
      </c>
      <c r="Y190" s="4">
        <f>X190/W190-1</f>
        <v>0.40421853585300505</v>
      </c>
    </row>
    <row r="191" spans="1:25" ht="15" customHeight="1">
      <c r="A191" t="s">
        <v>407</v>
      </c>
      <c r="B191" t="s">
        <v>408</v>
      </c>
      <c r="C191" s="28">
        <v>500</v>
      </c>
      <c r="E191" t="s">
        <v>408</v>
      </c>
      <c r="F191" s="28">
        <v>438</v>
      </c>
      <c r="G191" t="b">
        <f>IF(B191=E191,TRUE,FALSE)</f>
        <v>1</v>
      </c>
      <c r="J191" s="25">
        <f>F191-C191</f>
        <v>-62</v>
      </c>
      <c r="K191" s="4">
        <f>F191/C191-1</f>
        <v>-0.124</v>
      </c>
      <c r="M191" s="5">
        <v>609.4</v>
      </c>
      <c r="N191" s="5">
        <v>659.74</v>
      </c>
      <c r="Q191" s="159">
        <v>3572.94</v>
      </c>
      <c r="T191" s="174">
        <f>N191/F191</f>
        <v>1.5062557077625571</v>
      </c>
      <c r="U191" s="146">
        <f>N191-M191</f>
        <v>50.340000000000032</v>
      </c>
      <c r="V191" s="4">
        <f>IF(M191=0,0,N191/M191-1)</f>
        <v>8.2605841811618008E-2</v>
      </c>
      <c r="W191" s="18">
        <v>9995</v>
      </c>
      <c r="X191" s="18">
        <v>8744.9</v>
      </c>
      <c r="Y191" s="4">
        <f>X191/W191-1</f>
        <v>-0.12507253626813408</v>
      </c>
    </row>
    <row r="192" spans="1:25" ht="15" customHeight="1">
      <c r="A192" t="s">
        <v>409</v>
      </c>
      <c r="B192" t="s">
        <v>410</v>
      </c>
      <c r="C192" s="28">
        <v>4102</v>
      </c>
      <c r="E192" t="s">
        <v>410</v>
      </c>
      <c r="F192" s="28">
        <v>4487</v>
      </c>
      <c r="G192" t="b">
        <f>IF(B192=E192,TRUE,FALSE)</f>
        <v>1</v>
      </c>
      <c r="J192" s="25">
        <f>F192-C192</f>
        <v>385</v>
      </c>
      <c r="K192" s="4">
        <f>F192/C192-1</f>
        <v>9.3856655290102342E-2</v>
      </c>
      <c r="M192" s="5">
        <v>4390.7299999999996</v>
      </c>
      <c r="N192" s="5">
        <v>4439.75</v>
      </c>
      <c r="Q192" s="159">
        <v>21656.91</v>
      </c>
      <c r="T192" s="174">
        <f>N192/F192</f>
        <v>0.98946957878315134</v>
      </c>
      <c r="U192" s="146">
        <f>N192-M192</f>
        <v>49.020000000000437</v>
      </c>
      <c r="V192" s="4">
        <f>IF(M192=0,0,N192/M192-1)</f>
        <v>1.1164430516110269E-2</v>
      </c>
      <c r="W192" s="18">
        <v>117118.69</v>
      </c>
      <c r="X192" s="18">
        <v>119959.31</v>
      </c>
      <c r="Y192" s="4">
        <f>X192/W192-1</f>
        <v>2.4254198881493494E-2</v>
      </c>
    </row>
    <row r="193" spans="1:25" ht="15" customHeight="1">
      <c r="A193" t="s">
        <v>411</v>
      </c>
      <c r="B193" t="s">
        <v>412</v>
      </c>
      <c r="C193" s="28">
        <v>1785</v>
      </c>
      <c r="E193" t="s">
        <v>412</v>
      </c>
      <c r="F193" s="28">
        <v>1452</v>
      </c>
      <c r="G193" t="b">
        <f>IF(B193=E193,TRUE,FALSE)</f>
        <v>1</v>
      </c>
      <c r="J193" s="25">
        <f>F193-C193</f>
        <v>-333</v>
      </c>
      <c r="K193" s="4">
        <f>F193/C193-1</f>
        <v>-0.1865546218487395</v>
      </c>
      <c r="M193" s="5">
        <v>1109.08</v>
      </c>
      <c r="N193" s="5">
        <v>1157.3699999999999</v>
      </c>
      <c r="Q193" s="159">
        <v>10101.459999999999</v>
      </c>
      <c r="T193" s="174">
        <f>N193/F193</f>
        <v>0.79708677685950402</v>
      </c>
      <c r="U193" s="146">
        <f>N193-M193</f>
        <v>48.289999999999964</v>
      </c>
      <c r="V193" s="4">
        <f>IF(M193=0,0,N193/M193-1)</f>
        <v>4.3540592202546247E-2</v>
      </c>
      <c r="W193" s="18">
        <v>50058.13</v>
      </c>
      <c r="X193" s="18">
        <v>43450.85</v>
      </c>
      <c r="Y193" s="4">
        <f>X193/W193-1</f>
        <v>-0.13199214593114039</v>
      </c>
    </row>
    <row r="194" spans="1:25" ht="15" customHeight="1">
      <c r="A194" t="s">
        <v>413</v>
      </c>
      <c r="B194" t="s">
        <v>414</v>
      </c>
      <c r="C194" s="28">
        <v>697</v>
      </c>
      <c r="E194" t="s">
        <v>414</v>
      </c>
      <c r="F194" s="28">
        <v>694</v>
      </c>
      <c r="G194" t="b">
        <f>IF(B194=E194,TRUE,FALSE)</f>
        <v>1</v>
      </c>
      <c r="J194" s="25">
        <f>F194-C194</f>
        <v>-3</v>
      </c>
      <c r="K194" s="4">
        <f>F194/C194-1</f>
        <v>-4.3041606886656814E-3</v>
      </c>
      <c r="M194" s="5">
        <v>1562.77</v>
      </c>
      <c r="N194" s="5">
        <v>1604.48</v>
      </c>
      <c r="Q194" s="159">
        <v>7520.88</v>
      </c>
      <c r="T194" s="174">
        <f>N194/F194</f>
        <v>2.3119308357348705</v>
      </c>
      <c r="U194" s="146">
        <f>N194-M194</f>
        <v>41.710000000000036</v>
      </c>
      <c r="V194" s="4">
        <f>IF(M194=0,0,N194/M194-1)</f>
        <v>2.6689788004632842E-2</v>
      </c>
      <c r="W194" s="18">
        <v>7773.04</v>
      </c>
      <c r="X194" s="18">
        <v>10054.06</v>
      </c>
      <c r="Y194" s="4">
        <f>X194/W194-1</f>
        <v>0.29345275464940346</v>
      </c>
    </row>
    <row r="195" spans="1:25" ht="15" customHeight="1">
      <c r="A195" t="s">
        <v>415</v>
      </c>
      <c r="B195" t="s">
        <v>416</v>
      </c>
      <c r="C195" s="28">
        <v>534</v>
      </c>
      <c r="E195" t="s">
        <v>416</v>
      </c>
      <c r="F195" s="28">
        <v>636</v>
      </c>
      <c r="G195" t="b">
        <f>IF(B195=E195,TRUE,FALSE)</f>
        <v>1</v>
      </c>
      <c r="J195" s="25">
        <f>F195-C195</f>
        <v>102</v>
      </c>
      <c r="K195" s="4">
        <f>F195/C195-1</f>
        <v>0.1910112359550562</v>
      </c>
      <c r="M195" s="5">
        <v>931.32</v>
      </c>
      <c r="N195" s="5">
        <v>968.63</v>
      </c>
      <c r="Q195" s="159">
        <v>8648.08</v>
      </c>
      <c r="T195" s="174">
        <f>N195/F195</f>
        <v>1.5230031446540881</v>
      </c>
      <c r="U195" s="146">
        <f>N195-M195</f>
        <v>37.309999999999945</v>
      </c>
      <c r="V195" s="4">
        <f>IF(M195=0,0,N195/M195-1)</f>
        <v>4.0061418202121724E-2</v>
      </c>
      <c r="W195" s="18">
        <v>12810.66</v>
      </c>
      <c r="X195" s="18">
        <v>15257.64</v>
      </c>
      <c r="Y195" s="4">
        <f>X195/W195-1</f>
        <v>0.1910112359550562</v>
      </c>
    </row>
    <row r="196" spans="1:25" ht="15" customHeight="1">
      <c r="A196" t="s">
        <v>417</v>
      </c>
      <c r="B196" t="s">
        <v>418</v>
      </c>
      <c r="C196" s="28">
        <v>1001</v>
      </c>
      <c r="E196" t="s">
        <v>418</v>
      </c>
      <c r="F196" s="28">
        <v>1313</v>
      </c>
      <c r="G196" t="b">
        <f>IF(B196=E196,TRUE,FALSE)</f>
        <v>1</v>
      </c>
      <c r="J196" s="25">
        <f>F196-C196</f>
        <v>312</v>
      </c>
      <c r="K196" s="4">
        <f>F196/C196-1</f>
        <v>0.31168831168831179</v>
      </c>
      <c r="M196" s="5">
        <v>2375.91</v>
      </c>
      <c r="N196" s="5">
        <v>2409.5100000000002</v>
      </c>
      <c r="Q196" s="159">
        <v>19958.73</v>
      </c>
      <c r="T196" s="174">
        <f>N196/F196</f>
        <v>1.8351180502665654</v>
      </c>
      <c r="U196" s="146">
        <f>N196-M196</f>
        <v>33.600000000000364</v>
      </c>
      <c r="V196" s="4">
        <f>IF(M196=0,0,N196/M196-1)</f>
        <v>1.4141949821331767E-2</v>
      </c>
      <c r="W196" s="18">
        <v>28944</v>
      </c>
      <c r="X196" s="18">
        <v>35437.870000000003</v>
      </c>
      <c r="Y196" s="4">
        <f>X196/W196-1</f>
        <v>0.224359798231067</v>
      </c>
    </row>
    <row r="197" spans="1:25" ht="15" customHeight="1">
      <c r="A197" s="55" t="s">
        <v>419</v>
      </c>
      <c r="B197" s="37" t="s">
        <v>420</v>
      </c>
      <c r="C197" s="19">
        <v>774</v>
      </c>
      <c r="E197" s="37" t="s">
        <v>420</v>
      </c>
      <c r="F197" s="19">
        <v>801</v>
      </c>
      <c r="G197" t="b">
        <f>IF(B197=E197,TRUE,FALSE)</f>
        <v>1</v>
      </c>
      <c r="J197" s="25">
        <f>F197-C197</f>
        <v>27</v>
      </c>
      <c r="K197" s="4">
        <f>F197/C197-1</f>
        <v>3.488372093023262E-2</v>
      </c>
      <c r="M197" s="5">
        <v>1584.69</v>
      </c>
      <c r="N197" s="5">
        <v>1612.05</v>
      </c>
      <c r="Q197" s="158">
        <v>9779.14</v>
      </c>
      <c r="T197" s="174">
        <f>N197/F197</f>
        <v>2.0125468164794005</v>
      </c>
      <c r="U197" s="146">
        <f>N197-M197</f>
        <v>27.3599999999999</v>
      </c>
      <c r="V197" s="4">
        <f>IF(M197=0,0,N197/M197-1)</f>
        <v>1.7265206444162517E-2</v>
      </c>
      <c r="W197">
        <v>15472.06</v>
      </c>
      <c r="X197">
        <v>16010.79</v>
      </c>
      <c r="Y197" s="4">
        <f>X197/W197-1</f>
        <v>3.4819539221021767E-2</v>
      </c>
    </row>
    <row r="198" spans="1:25" ht="15" customHeight="1">
      <c r="A198" s="162" t="s">
        <v>421</v>
      </c>
      <c r="B198" s="37" t="s">
        <v>422</v>
      </c>
      <c r="C198" s="28">
        <v>0</v>
      </c>
      <c r="E198" s="37" t="s">
        <v>422</v>
      </c>
      <c r="F198" s="28">
        <v>103</v>
      </c>
      <c r="G198" t="b">
        <f>IF(B198=E198,TRUE,FALSE)</f>
        <v>1</v>
      </c>
      <c r="J198" s="25">
        <f>F198-C198</f>
        <v>103</v>
      </c>
      <c r="K198" s="4" t="e">
        <f>F198/C198-1</f>
        <v>#DIV/0!</v>
      </c>
      <c r="M198" s="5">
        <v>0</v>
      </c>
      <c r="N198" s="5">
        <v>26.34</v>
      </c>
      <c r="Q198" s="158">
        <v>113.98</v>
      </c>
      <c r="T198" s="174">
        <f>N198/F198</f>
        <v>0.25572815533980581</v>
      </c>
      <c r="U198" s="146">
        <f>N198-M198</f>
        <v>26.34</v>
      </c>
      <c r="V198" s="4">
        <f>IF(M198=0,0,N198/M198-1)</f>
        <v>0</v>
      </c>
      <c r="W198" s="18"/>
      <c r="X198" s="18">
        <v>2954.97</v>
      </c>
      <c r="Y198" s="4"/>
    </row>
    <row r="199" spans="1:25" ht="15" customHeight="1">
      <c r="A199" t="s">
        <v>423</v>
      </c>
      <c r="B199" t="s">
        <v>424</v>
      </c>
      <c r="C199" s="28">
        <v>355</v>
      </c>
      <c r="E199" t="s">
        <v>424</v>
      </c>
      <c r="F199" s="28">
        <v>343</v>
      </c>
      <c r="G199" t="b">
        <f>IF(B199=E199,TRUE,FALSE)</f>
        <v>1</v>
      </c>
      <c r="J199" s="25">
        <f>F199-C199</f>
        <v>-12</v>
      </c>
      <c r="K199" s="4">
        <f>F199/C199-1</f>
        <v>-3.3802816901408406E-2</v>
      </c>
      <c r="M199" s="5">
        <v>495.27</v>
      </c>
      <c r="N199" s="5">
        <v>519.26</v>
      </c>
      <c r="Q199" s="159">
        <v>3134.53</v>
      </c>
      <c r="T199" s="174">
        <f>N199/F199</f>
        <v>1.5138775510204081</v>
      </c>
      <c r="U199" s="146">
        <f>N199-M199</f>
        <v>23.990000000000009</v>
      </c>
      <c r="V199" s="4">
        <f>IF(M199=0,0,N199/M199-1)</f>
        <v>4.8438225614311436E-2</v>
      </c>
      <c r="W199" s="18">
        <v>8502.25</v>
      </c>
      <c r="X199" s="18">
        <v>8214.85</v>
      </c>
      <c r="Y199" s="4">
        <f>X199/W199-1</f>
        <v>-3.3802816901408406E-2</v>
      </c>
    </row>
    <row r="200" spans="1:25" ht="15" customHeight="1">
      <c r="A200" s="55" t="s">
        <v>425</v>
      </c>
      <c r="B200" s="37" t="s">
        <v>426</v>
      </c>
      <c r="C200" s="19">
        <v>695</v>
      </c>
      <c r="E200" s="37" t="s">
        <v>426</v>
      </c>
      <c r="F200" s="19">
        <v>727</v>
      </c>
      <c r="G200" t="b">
        <f>IF(B200=E200,TRUE,FALSE)</f>
        <v>1</v>
      </c>
      <c r="J200" s="25">
        <f>F200-C200</f>
        <v>32</v>
      </c>
      <c r="K200" s="4">
        <f>F200/C200-1</f>
        <v>4.6043165467625879E-2</v>
      </c>
      <c r="M200" s="5">
        <v>1193.28</v>
      </c>
      <c r="N200" s="5">
        <v>1216.33</v>
      </c>
      <c r="Q200" s="158">
        <v>5044.51</v>
      </c>
      <c r="T200" s="174">
        <f>N200/F200</f>
        <v>1.6730811554332874</v>
      </c>
      <c r="U200" s="146">
        <f>N200-M200</f>
        <v>23.049999999999955</v>
      </c>
      <c r="V200" s="4">
        <f>IF(M200=0,0,N200/M200-1)</f>
        <v>1.9316505765620828E-2</v>
      </c>
      <c r="W200">
        <v>6943.05</v>
      </c>
      <c r="X200">
        <v>7733.93</v>
      </c>
      <c r="Y200" s="4">
        <f>X200/W200-1</f>
        <v>0.11390959304628367</v>
      </c>
    </row>
    <row r="201" spans="1:25" ht="15" customHeight="1">
      <c r="A201" s="55" t="s">
        <v>427</v>
      </c>
      <c r="B201" s="37" t="s">
        <v>428</v>
      </c>
      <c r="C201" s="19">
        <v>1035</v>
      </c>
      <c r="E201" s="37" t="s">
        <v>428</v>
      </c>
      <c r="F201" s="19">
        <v>849</v>
      </c>
      <c r="G201" t="b">
        <f>IF(B201=E201,TRUE,FALSE)</f>
        <v>1</v>
      </c>
      <c r="J201" s="25">
        <f>F201-C201</f>
        <v>-186</v>
      </c>
      <c r="K201" s="4">
        <f>F201/C201-1</f>
        <v>-0.17971014492753623</v>
      </c>
      <c r="M201" s="5">
        <v>968.5</v>
      </c>
      <c r="N201" s="5">
        <v>987.18</v>
      </c>
      <c r="Q201" s="158">
        <v>4937.49</v>
      </c>
      <c r="T201" s="174">
        <f>N201/F201</f>
        <v>1.1627561837455829</v>
      </c>
      <c r="U201" s="146">
        <f>N201-M201</f>
        <v>18.67999999999995</v>
      </c>
      <c r="V201" s="4">
        <f>IF(M201=0,0,N201/M201-1)</f>
        <v>1.9287558079504441E-2</v>
      </c>
      <c r="W201">
        <v>10423.65</v>
      </c>
      <c r="X201">
        <v>11877.51</v>
      </c>
      <c r="Y201" s="4">
        <f>X201/W201-1</f>
        <v>0.13947705458260784</v>
      </c>
    </row>
    <row r="202" spans="1:25" ht="15" customHeight="1">
      <c r="A202" t="s">
        <v>429</v>
      </c>
      <c r="B202" t="s">
        <v>430</v>
      </c>
      <c r="C202" s="28">
        <v>638</v>
      </c>
      <c r="E202" t="s">
        <v>430</v>
      </c>
      <c r="F202" s="28">
        <v>640</v>
      </c>
      <c r="G202" t="b">
        <f>IF(B202=E202,TRUE,FALSE)</f>
        <v>1</v>
      </c>
      <c r="J202" s="25">
        <f>F202-C202</f>
        <v>2</v>
      </c>
      <c r="K202" s="4">
        <f>F202/C202-1</f>
        <v>3.1347962382444194E-3</v>
      </c>
      <c r="M202" s="5">
        <v>1163.97</v>
      </c>
      <c r="N202" s="5">
        <v>1181</v>
      </c>
      <c r="Q202" s="159">
        <v>8030.88</v>
      </c>
      <c r="T202" s="174">
        <f>N202/F202</f>
        <v>1.8453124999999999</v>
      </c>
      <c r="U202" s="146">
        <f>N202-M202</f>
        <v>17.029999999999973</v>
      </c>
      <c r="V202" s="4">
        <f>IF(M202=0,0,N202/M202-1)</f>
        <v>1.4630961279070709E-2</v>
      </c>
      <c r="W202" s="18">
        <v>13810.31</v>
      </c>
      <c r="X202" s="18">
        <v>15940.41</v>
      </c>
      <c r="Y202" s="4">
        <f>X202/W202-1</f>
        <v>0.15423983965602517</v>
      </c>
    </row>
    <row r="203" spans="1:25" ht="15" customHeight="1">
      <c r="A203" s="54" t="s">
        <v>431</v>
      </c>
      <c r="B203" s="37" t="s">
        <v>432</v>
      </c>
      <c r="C203" s="28">
        <v>173</v>
      </c>
      <c r="E203" s="37" t="s">
        <v>432</v>
      </c>
      <c r="F203" s="28">
        <v>304</v>
      </c>
      <c r="G203" t="b">
        <f>IF(B203=E203,TRUE,FALSE)</f>
        <v>1</v>
      </c>
      <c r="J203" s="25">
        <f>F203-C203</f>
        <v>131</v>
      </c>
      <c r="K203" s="4">
        <f>F203/C203-1</f>
        <v>0.75722543352601157</v>
      </c>
      <c r="M203" s="5">
        <v>824.09</v>
      </c>
      <c r="N203" s="5">
        <v>841.06</v>
      </c>
      <c r="Q203" s="159">
        <v>3057.94</v>
      </c>
      <c r="T203" s="174">
        <f>N203/F203</f>
        <v>2.766644736842105</v>
      </c>
      <c r="U203" s="146">
        <f>N203-M203</f>
        <v>16.969999999999914</v>
      </c>
      <c r="V203" s="4">
        <f>IF(M203=0,0,N203/M203-1)</f>
        <v>2.0592411023067747E-2</v>
      </c>
      <c r="W203" s="18">
        <v>3275.27</v>
      </c>
      <c r="X203" s="18">
        <v>5164.96</v>
      </c>
      <c r="Y203" s="4">
        <f>X203/W203-1</f>
        <v>0.57695701423088797</v>
      </c>
    </row>
    <row r="204" spans="1:25" ht="15" customHeight="1">
      <c r="A204" t="s">
        <v>433</v>
      </c>
      <c r="B204" t="s">
        <v>434</v>
      </c>
      <c r="C204" s="28">
        <v>2665</v>
      </c>
      <c r="E204" t="s">
        <v>434</v>
      </c>
      <c r="F204" s="28">
        <v>2056</v>
      </c>
      <c r="G204" t="b">
        <f>IF(B204=E204,TRUE,FALSE)</f>
        <v>1</v>
      </c>
      <c r="J204" s="25">
        <f>F204-C204</f>
        <v>-609</v>
      </c>
      <c r="K204" s="4">
        <f>F204/C204-1</f>
        <v>-0.22851782363977491</v>
      </c>
      <c r="M204" s="5">
        <v>3935.89</v>
      </c>
      <c r="N204" s="5">
        <v>3952.21</v>
      </c>
      <c r="Q204" s="159">
        <v>23421.77</v>
      </c>
      <c r="T204" s="174">
        <f>N204/F204</f>
        <v>1.9222811284046692</v>
      </c>
      <c r="U204" s="146">
        <f>N204-M204</f>
        <v>16.320000000000164</v>
      </c>
      <c r="V204" s="4">
        <f>IF(M204=0,0,N204/M204-1)</f>
        <v>4.1464573450986641E-3</v>
      </c>
      <c r="W204" s="18">
        <v>62688.54</v>
      </c>
      <c r="X204" s="18">
        <v>51297.2</v>
      </c>
      <c r="Y204" s="4">
        <f>X204/W204-1</f>
        <v>-0.18171327646169466</v>
      </c>
    </row>
    <row r="205" spans="1:25" ht="15" customHeight="1">
      <c r="A205" t="s">
        <v>435</v>
      </c>
      <c r="B205" t="s">
        <v>436</v>
      </c>
      <c r="C205" s="28">
        <v>676</v>
      </c>
      <c r="E205" t="s">
        <v>436</v>
      </c>
      <c r="F205" s="28">
        <v>661</v>
      </c>
      <c r="G205" t="b">
        <f>IF(B205=E205,TRUE,FALSE)</f>
        <v>1</v>
      </c>
      <c r="J205" s="25">
        <f>F205-C205</f>
        <v>-15</v>
      </c>
      <c r="K205" s="4">
        <f>F205/C205-1</f>
        <v>-2.2189349112425982E-2</v>
      </c>
      <c r="M205" s="5">
        <v>61.65</v>
      </c>
      <c r="N205" s="5">
        <v>71.42</v>
      </c>
      <c r="Q205" s="159">
        <v>1131.9000000000001</v>
      </c>
      <c r="T205" s="174">
        <f>N205/F205</f>
        <v>0.10804841149773071</v>
      </c>
      <c r="U205" s="146">
        <f>N205-M205</f>
        <v>9.7700000000000031</v>
      </c>
      <c r="V205" s="4">
        <f>IF(M205=0,0,N205/M205-1)</f>
        <v>0.15847526358475261</v>
      </c>
      <c r="W205" s="18">
        <v>18218.2</v>
      </c>
      <c r="X205" s="18">
        <v>17813.95</v>
      </c>
      <c r="Y205" s="4">
        <f>X205/W205-1</f>
        <v>-2.2189349112425982E-2</v>
      </c>
    </row>
    <row r="206" spans="1:25" ht="15" customHeight="1">
      <c r="A206" s="162" t="s">
        <v>437</v>
      </c>
      <c r="B206" s="37" t="s">
        <v>438</v>
      </c>
      <c r="C206" s="28">
        <v>0</v>
      </c>
      <c r="E206" s="37" t="s">
        <v>438</v>
      </c>
      <c r="F206" s="28">
        <v>36</v>
      </c>
      <c r="G206" t="b">
        <f>IF(B206=E206,TRUE,FALSE)</f>
        <v>1</v>
      </c>
      <c r="J206" s="25">
        <f>F206-C206</f>
        <v>36</v>
      </c>
      <c r="K206" s="4" t="e">
        <f>F206/C206-1</f>
        <v>#DIV/0!</v>
      </c>
      <c r="M206" s="5">
        <v>0</v>
      </c>
      <c r="N206" s="5">
        <v>9.35</v>
      </c>
      <c r="Q206" s="158">
        <v>79.959999999999994</v>
      </c>
      <c r="T206" s="174">
        <f>N206/F206</f>
        <v>0.25972222222222219</v>
      </c>
      <c r="U206" s="146">
        <f>N206-M206</f>
        <v>9.35</v>
      </c>
      <c r="V206" s="4">
        <f>IF(M206=0,0,N206/M206-1)</f>
        <v>0</v>
      </c>
      <c r="W206" s="18"/>
      <c r="X206" s="18">
        <v>719.64</v>
      </c>
      <c r="Y206" s="4"/>
    </row>
    <row r="207" spans="1:25" ht="15" customHeight="1">
      <c r="A207" s="163" t="s">
        <v>439</v>
      </c>
      <c r="B207" s="37" t="s">
        <v>440</v>
      </c>
      <c r="C207" s="28">
        <v>0</v>
      </c>
      <c r="E207" s="37" t="s">
        <v>440</v>
      </c>
      <c r="F207" s="28">
        <v>10</v>
      </c>
      <c r="G207" t="b">
        <f>IF(B207=E207,TRUE,FALSE)</f>
        <v>1</v>
      </c>
      <c r="J207" s="25">
        <f>F207-C207</f>
        <v>10</v>
      </c>
      <c r="K207" s="4" t="e">
        <f>F207/C207-1</f>
        <v>#DIV/0!</v>
      </c>
      <c r="M207" s="5">
        <v>0</v>
      </c>
      <c r="N207" s="5">
        <v>8.5299999999999994</v>
      </c>
      <c r="Q207" s="158">
        <v>86.89</v>
      </c>
      <c r="T207" s="174">
        <f>N207/F207</f>
        <v>0.85299999999999998</v>
      </c>
      <c r="U207" s="146">
        <f>N207-M207</f>
        <v>8.5299999999999994</v>
      </c>
      <c r="V207" s="4">
        <f>IF(M207=0,0,N207/M207-1)</f>
        <v>0</v>
      </c>
      <c r="W207" s="18"/>
      <c r="X207" s="18">
        <v>359.62</v>
      </c>
      <c r="Y207" s="4"/>
    </row>
    <row r="208" spans="1:25" ht="15" customHeight="1">
      <c r="A208" t="s">
        <v>441</v>
      </c>
      <c r="B208" t="s">
        <v>442</v>
      </c>
      <c r="C208" s="28">
        <v>430</v>
      </c>
      <c r="E208" t="s">
        <v>442</v>
      </c>
      <c r="F208" s="28">
        <v>470</v>
      </c>
      <c r="G208" t="b">
        <f>IF(B208=E208,TRUE,FALSE)</f>
        <v>1</v>
      </c>
      <c r="J208" s="25">
        <f>F208-C208</f>
        <v>40</v>
      </c>
      <c r="K208" s="4">
        <f>F208/C208-1</f>
        <v>9.3023255813953432E-2</v>
      </c>
      <c r="M208" s="5">
        <v>332.4</v>
      </c>
      <c r="N208" s="5">
        <v>339.67</v>
      </c>
      <c r="Q208" s="159">
        <v>1877.11</v>
      </c>
      <c r="T208" s="174">
        <f>N208/F208</f>
        <v>0.72270212765957453</v>
      </c>
      <c r="U208" s="146">
        <f>N208-M208</f>
        <v>7.2700000000000387</v>
      </c>
      <c r="V208" s="4">
        <f>IF(M208=0,0,N208/M208-1)</f>
        <v>2.1871239470517612E-2</v>
      </c>
      <c r="W208" s="18">
        <v>9885.7000000000007</v>
      </c>
      <c r="X208" s="18">
        <v>10805.3</v>
      </c>
      <c r="Y208" s="4">
        <f>X208/W208-1</f>
        <v>9.3023255813953432E-2</v>
      </c>
    </row>
    <row r="209" spans="1:25" ht="15" customHeight="1">
      <c r="A209" s="55" t="s">
        <v>443</v>
      </c>
      <c r="B209" s="37" t="s">
        <v>444</v>
      </c>
      <c r="C209" s="28">
        <v>0</v>
      </c>
      <c r="E209" s="37" t="s">
        <v>444</v>
      </c>
      <c r="F209" s="28">
        <v>0</v>
      </c>
      <c r="G209" t="b">
        <f>IF(B209=E209,TRUE,FALSE)</f>
        <v>1</v>
      </c>
      <c r="J209" s="25">
        <f>F209-C209</f>
        <v>0</v>
      </c>
      <c r="K209" s="4" t="e">
        <f>F209/C209-1</f>
        <v>#DIV/0!</v>
      </c>
      <c r="M209" s="5">
        <v>0</v>
      </c>
      <c r="N209" s="5">
        <v>5.98</v>
      </c>
      <c r="Q209" s="158">
        <v>49.9</v>
      </c>
      <c r="U209" s="146">
        <f>N209-M209</f>
        <v>5.98</v>
      </c>
      <c r="V209" s="4">
        <f>IF(M209=0,0,N209/M209-1)</f>
        <v>0</v>
      </c>
      <c r="W209" s="18"/>
      <c r="X209" s="18">
        <v>0</v>
      </c>
      <c r="Y209" s="4"/>
    </row>
    <row r="210" spans="1:25" ht="15" customHeight="1">
      <c r="A210" s="55" t="s">
        <v>445</v>
      </c>
      <c r="B210" s="37" t="s">
        <v>446</v>
      </c>
      <c r="C210" s="28">
        <v>0</v>
      </c>
      <c r="E210" s="37" t="s">
        <v>446</v>
      </c>
      <c r="F210" s="28">
        <v>33</v>
      </c>
      <c r="G210" t="b">
        <f>IF(B210=E210,TRUE,FALSE)</f>
        <v>1</v>
      </c>
      <c r="J210" s="25">
        <f>F210-C210</f>
        <v>33</v>
      </c>
      <c r="K210" s="4" t="e">
        <f>F210/C210-1</f>
        <v>#DIV/0!</v>
      </c>
      <c r="M210" s="5">
        <v>0</v>
      </c>
      <c r="N210" s="5">
        <v>4.1500000000000004</v>
      </c>
      <c r="Q210" s="158">
        <v>0</v>
      </c>
      <c r="T210" s="174">
        <f>N210/F210</f>
        <v>0.12575757575757576</v>
      </c>
      <c r="U210" s="146">
        <f>N210-M210</f>
        <v>4.1500000000000004</v>
      </c>
      <c r="V210" s="4">
        <f>IF(M210=0,0,N210/M210-1)</f>
        <v>0</v>
      </c>
      <c r="W210" s="18"/>
      <c r="X210" s="18">
        <v>849.67</v>
      </c>
      <c r="Y210" s="4"/>
    </row>
    <row r="211" spans="1:25" ht="15" customHeight="1">
      <c r="A211" t="s">
        <v>447</v>
      </c>
      <c r="B211" t="s">
        <v>448</v>
      </c>
      <c r="C211" s="28">
        <v>1063</v>
      </c>
      <c r="E211" t="s">
        <v>448</v>
      </c>
      <c r="F211" s="28">
        <v>909</v>
      </c>
      <c r="G211" t="b">
        <f>IF(B211=E211,TRUE,FALSE)</f>
        <v>1</v>
      </c>
      <c r="J211" s="25">
        <f>F211-C211</f>
        <v>-154</v>
      </c>
      <c r="K211" s="4">
        <f>F211/C211-1</f>
        <v>-0.14487300094073374</v>
      </c>
      <c r="M211" s="5">
        <v>1303.21</v>
      </c>
      <c r="N211" s="5">
        <v>1306.32</v>
      </c>
      <c r="Q211" s="159">
        <v>10708.46</v>
      </c>
      <c r="T211" s="174">
        <f>N211/F211</f>
        <v>1.4370957095709571</v>
      </c>
      <c r="U211" s="146">
        <f>N211-M211</f>
        <v>3.1099999999999</v>
      </c>
      <c r="V211" s="4">
        <f>IF(M211=0,0,N211/M211-1)</f>
        <v>2.3864150827570541E-3</v>
      </c>
      <c r="W211" s="18">
        <v>29583.03</v>
      </c>
      <c r="X211" s="18">
        <v>27221.25</v>
      </c>
      <c r="Y211" s="4">
        <f>X211/W211-1</f>
        <v>-7.9835635497783608E-2</v>
      </c>
    </row>
    <row r="212" spans="1:25" ht="15" customHeight="1">
      <c r="A212" s="163" t="s">
        <v>449</v>
      </c>
      <c r="B212" s="37" t="s">
        <v>450</v>
      </c>
      <c r="C212" s="28">
        <v>0</v>
      </c>
      <c r="E212" s="37" t="s">
        <v>450</v>
      </c>
      <c r="F212" s="28">
        <v>4</v>
      </c>
      <c r="G212" t="b">
        <f>IF(B212=E212,TRUE,FALSE)</f>
        <v>1</v>
      </c>
      <c r="J212" s="25">
        <f>F212-C212</f>
        <v>4</v>
      </c>
      <c r="K212" s="4" t="e">
        <f>F212/C212-1</f>
        <v>#DIV/0!</v>
      </c>
      <c r="M212" s="5">
        <v>0</v>
      </c>
      <c r="N212" s="5">
        <v>1.08</v>
      </c>
      <c r="Q212" s="158">
        <v>74.87</v>
      </c>
      <c r="T212" s="174">
        <f>N212/F212</f>
        <v>0.27</v>
      </c>
      <c r="U212" s="146">
        <f>N212-M212</f>
        <v>1.08</v>
      </c>
      <c r="V212" s="4">
        <f>IF(M212=0,0,N212/M212-1)</f>
        <v>0</v>
      </c>
      <c r="W212" s="18"/>
      <c r="X212" s="18">
        <v>199.96</v>
      </c>
      <c r="Y212" s="4"/>
    </row>
    <row r="213" spans="1:25" ht="15" customHeight="1">
      <c r="A213" t="s">
        <v>451</v>
      </c>
      <c r="B213" t="s">
        <v>452</v>
      </c>
      <c r="C213" s="28">
        <v>672</v>
      </c>
      <c r="E213" t="s">
        <v>452</v>
      </c>
      <c r="F213" s="28">
        <v>581</v>
      </c>
      <c r="G213" t="b">
        <f>IF(B213=E213,TRUE,FALSE)</f>
        <v>1</v>
      </c>
      <c r="J213" s="25">
        <f>F213-C213</f>
        <v>-91</v>
      </c>
      <c r="K213" s="4">
        <f>F213/C213-1</f>
        <v>-0.13541666666666663</v>
      </c>
      <c r="M213" s="5">
        <v>998.75</v>
      </c>
      <c r="N213" s="5">
        <v>999.3</v>
      </c>
      <c r="Q213" s="159">
        <v>5935.37</v>
      </c>
      <c r="T213" s="174">
        <f>N213/F213</f>
        <v>1.7199655765920825</v>
      </c>
      <c r="U213" s="146">
        <f>N213-M213</f>
        <v>0.54999999999995453</v>
      </c>
      <c r="V213" s="4">
        <f>IF(M213=0,0,N213/M213-1)</f>
        <v>5.5068836045046865E-4</v>
      </c>
      <c r="W213" s="18">
        <v>18569.810000000001</v>
      </c>
      <c r="X213" s="18">
        <v>16838.84</v>
      </c>
      <c r="Y213" s="4">
        <f>X213/W213-1</f>
        <v>-9.3214200899201516E-2</v>
      </c>
    </row>
    <row r="214" spans="1:25" ht="15" customHeight="1">
      <c r="A214" t="s">
        <v>453</v>
      </c>
      <c r="B214" t="s">
        <v>454</v>
      </c>
      <c r="C214" s="28">
        <v>421</v>
      </c>
      <c r="E214" t="s">
        <v>454</v>
      </c>
      <c r="F214" s="28">
        <v>414</v>
      </c>
      <c r="G214" t="b">
        <f>IF(B214=E214,TRUE,FALSE)</f>
        <v>1</v>
      </c>
      <c r="J214" s="25">
        <f>F214-C214</f>
        <v>-7</v>
      </c>
      <c r="K214" s="4">
        <f>F214/C214-1</f>
        <v>-1.6627078384798155E-2</v>
      </c>
      <c r="M214" s="5">
        <v>0</v>
      </c>
      <c r="N214" s="5">
        <v>0</v>
      </c>
      <c r="Q214" s="159">
        <v>0</v>
      </c>
      <c r="T214" s="174">
        <f>N214/F214</f>
        <v>0</v>
      </c>
      <c r="U214" s="146">
        <f>N214-M214</f>
        <v>0</v>
      </c>
      <c r="V214" s="4">
        <f>IF(M214=0,0,N214/M214-1)</f>
        <v>0</v>
      </c>
      <c r="W214" s="18">
        <v>8398.9500000000007</v>
      </c>
      <c r="X214" s="18">
        <v>8259.2999999999993</v>
      </c>
      <c r="Y214" s="4">
        <f>X214/W214-1</f>
        <v>-1.6627078384798266E-2</v>
      </c>
    </row>
    <row r="215" spans="1:25" ht="15" customHeight="1">
      <c r="A215" s="163" t="s">
        <v>455</v>
      </c>
      <c r="B215" s="37" t="s">
        <v>456</v>
      </c>
      <c r="C215" s="28">
        <v>0</v>
      </c>
      <c r="E215" s="37" t="s">
        <v>456</v>
      </c>
      <c r="F215" s="28">
        <v>0</v>
      </c>
      <c r="G215" t="b">
        <f>IF(B215=E215,TRUE,FALSE)</f>
        <v>1</v>
      </c>
      <c r="J215" s="25">
        <f>F215-C215</f>
        <v>0</v>
      </c>
      <c r="K215" s="4" t="e">
        <f>F215/C215-1</f>
        <v>#DIV/0!</v>
      </c>
      <c r="M215" s="5">
        <v>0</v>
      </c>
      <c r="N215" s="5">
        <v>0</v>
      </c>
      <c r="Q215" s="158">
        <v>0</v>
      </c>
      <c r="U215" s="146">
        <f>N215-M215</f>
        <v>0</v>
      </c>
      <c r="V215" s="4">
        <f>IF(M215=0,0,N215/M215-1)</f>
        <v>0</v>
      </c>
      <c r="W215" s="18"/>
      <c r="X215" s="18">
        <v>0</v>
      </c>
      <c r="Y215" s="4"/>
    </row>
    <row r="216" spans="1:25" ht="15" customHeight="1">
      <c r="A216" s="55" t="s">
        <v>457</v>
      </c>
      <c r="B216" s="37" t="s">
        <v>458</v>
      </c>
      <c r="C216" s="28">
        <v>0</v>
      </c>
      <c r="E216" s="37" t="s">
        <v>458</v>
      </c>
      <c r="F216" s="28">
        <v>0</v>
      </c>
      <c r="G216" t="b">
        <f>IF(B216=E216,TRUE,FALSE)</f>
        <v>1</v>
      </c>
      <c r="J216" s="25">
        <f>F216-C216</f>
        <v>0</v>
      </c>
      <c r="K216" s="4" t="e">
        <f>F216/C216-1</f>
        <v>#DIV/0!</v>
      </c>
      <c r="M216" s="5">
        <v>0</v>
      </c>
      <c r="N216" s="5">
        <v>0</v>
      </c>
      <c r="Q216" s="158">
        <v>0</v>
      </c>
      <c r="U216" s="146">
        <f>N216-M216</f>
        <v>0</v>
      </c>
      <c r="V216" s="4">
        <f>IF(M216=0,0,N216/M216-1)</f>
        <v>0</v>
      </c>
      <c r="W216" s="18"/>
      <c r="X216" s="18">
        <v>0</v>
      </c>
      <c r="Y216" s="4"/>
    </row>
    <row r="217" spans="1:25" ht="15" customHeight="1">
      <c r="A217" s="162" t="s">
        <v>459</v>
      </c>
      <c r="B217" s="162" t="s">
        <v>460</v>
      </c>
      <c r="C217" s="28">
        <v>0</v>
      </c>
      <c r="E217" s="162" t="s">
        <v>460</v>
      </c>
      <c r="F217" s="28">
        <v>0</v>
      </c>
      <c r="G217" t="b">
        <f>IF(B217=E217,TRUE,FALSE)</f>
        <v>1</v>
      </c>
      <c r="J217" s="25">
        <f>F217-C217</f>
        <v>0</v>
      </c>
      <c r="K217" s="4" t="e">
        <f>F217/C217-1</f>
        <v>#DIV/0!</v>
      </c>
      <c r="M217" s="5">
        <v>0</v>
      </c>
      <c r="N217" s="5">
        <v>0</v>
      </c>
      <c r="Q217" s="158">
        <v>0</v>
      </c>
      <c r="U217" s="146">
        <f>N217-M217</f>
        <v>0</v>
      </c>
      <c r="V217" s="4">
        <f>IF(M217=0,0,N217/M217-1)</f>
        <v>0</v>
      </c>
      <c r="W217" s="18"/>
      <c r="X217" s="18">
        <v>0</v>
      </c>
      <c r="Y217" s="4"/>
    </row>
    <row r="218" spans="1:25" ht="15" customHeight="1">
      <c r="A218" t="s">
        <v>461</v>
      </c>
      <c r="B218" t="s">
        <v>462</v>
      </c>
      <c r="C218" s="28">
        <v>380</v>
      </c>
      <c r="E218" t="s">
        <v>462</v>
      </c>
      <c r="F218" s="28">
        <v>385</v>
      </c>
      <c r="G218" t="b">
        <f>IF(B218=E218,TRUE,FALSE)</f>
        <v>1</v>
      </c>
      <c r="J218" s="25">
        <f>F218-C218</f>
        <v>5</v>
      </c>
      <c r="K218" s="4">
        <f>F218/C218-1</f>
        <v>1.3157894736842035E-2</v>
      </c>
      <c r="M218" s="5">
        <v>0</v>
      </c>
      <c r="N218" s="5">
        <v>0</v>
      </c>
      <c r="Q218" s="159">
        <v>0</v>
      </c>
      <c r="T218" s="174">
        <f>N218/F218</f>
        <v>0</v>
      </c>
      <c r="U218" s="146">
        <f>N218-M218</f>
        <v>0</v>
      </c>
      <c r="V218" s="4">
        <f>IF(M218=0,0,N218/M218-1)</f>
        <v>0</v>
      </c>
      <c r="W218" s="18">
        <v>6836.16</v>
      </c>
      <c r="X218" s="18">
        <v>6926.15</v>
      </c>
      <c r="Y218" s="4">
        <f>X218/W218-1</f>
        <v>1.3163822964939342E-2</v>
      </c>
    </row>
    <row r="219" spans="1:25" ht="15" customHeight="1">
      <c r="A219" s="163" t="s">
        <v>463</v>
      </c>
      <c r="B219" s="37" t="s">
        <v>464</v>
      </c>
      <c r="C219" s="28">
        <v>0</v>
      </c>
      <c r="E219" s="37" t="s">
        <v>464</v>
      </c>
      <c r="F219" s="28">
        <v>10</v>
      </c>
      <c r="G219" t="b">
        <f>IF(B219=E219,TRUE,FALSE)</f>
        <v>1</v>
      </c>
      <c r="J219" s="25">
        <f>F219-C219</f>
        <v>10</v>
      </c>
      <c r="K219" s="4" t="e">
        <f>F219/C219-1</f>
        <v>#DIV/0!</v>
      </c>
      <c r="M219" s="5">
        <v>0</v>
      </c>
      <c r="N219" s="5">
        <v>0</v>
      </c>
      <c r="Q219" s="158">
        <v>0</v>
      </c>
      <c r="T219" s="174">
        <f>N219/F219</f>
        <v>0</v>
      </c>
      <c r="U219" s="146">
        <f>N219-M219</f>
        <v>0</v>
      </c>
      <c r="V219" s="4">
        <f>IF(M219=0,0,N219/M219-1)</f>
        <v>0</v>
      </c>
      <c r="W219" s="18"/>
      <c r="X219" s="18">
        <v>499.9</v>
      </c>
      <c r="Y219" s="4"/>
    </row>
    <row r="220" spans="1:25" ht="15" customHeight="1">
      <c r="A220" t="s">
        <v>465</v>
      </c>
      <c r="B220" t="s">
        <v>466</v>
      </c>
      <c r="C220" s="28">
        <v>991</v>
      </c>
      <c r="E220" t="s">
        <v>466</v>
      </c>
      <c r="F220" s="28">
        <v>871</v>
      </c>
      <c r="G220" t="b">
        <f>IF(B220=E220,TRUE,FALSE)</f>
        <v>1</v>
      </c>
      <c r="J220" s="25">
        <f>F220-C220</f>
        <v>-120</v>
      </c>
      <c r="K220" s="4">
        <f>F220/C220-1</f>
        <v>-0.12108980827447025</v>
      </c>
      <c r="M220" s="5">
        <v>1641.08</v>
      </c>
      <c r="N220" s="5">
        <v>1640.21</v>
      </c>
      <c r="Q220" s="159">
        <v>11022.5</v>
      </c>
      <c r="T220" s="174">
        <f>N220/F220</f>
        <v>1.8831343283582089</v>
      </c>
      <c r="U220" s="146">
        <f>N220-M220</f>
        <v>-0.86999999999989086</v>
      </c>
      <c r="V220" s="4">
        <f>IF(M220=0,0,N220/M220-1)</f>
        <v>-5.3013868915585682E-4</v>
      </c>
      <c r="W220" s="18">
        <v>23254.86</v>
      </c>
      <c r="X220" s="18">
        <v>20010.95</v>
      </c>
      <c r="Y220" s="4">
        <f>X220/W220-1</f>
        <v>-0.13949385203781062</v>
      </c>
    </row>
    <row r="221" spans="1:25" ht="15" customHeight="1">
      <c r="A221" t="s">
        <v>467</v>
      </c>
      <c r="B221" t="s">
        <v>468</v>
      </c>
      <c r="C221" s="28">
        <v>575</v>
      </c>
      <c r="E221" t="s">
        <v>468</v>
      </c>
      <c r="F221" s="28">
        <v>441</v>
      </c>
      <c r="G221" t="b">
        <f>IF(B221=E221,TRUE,FALSE)</f>
        <v>1</v>
      </c>
      <c r="J221" s="25">
        <f>F221-C221</f>
        <v>-134</v>
      </c>
      <c r="K221" s="4">
        <f>F221/C221-1</f>
        <v>-0.23304347826086957</v>
      </c>
      <c r="M221" s="5">
        <v>1.1499999999999999</v>
      </c>
      <c r="N221" s="5">
        <v>0</v>
      </c>
      <c r="Q221" s="159">
        <v>0</v>
      </c>
      <c r="T221" s="174">
        <f>N221/F221</f>
        <v>0</v>
      </c>
      <c r="U221" s="146">
        <f>N221-M221</f>
        <v>-1.1499999999999999</v>
      </c>
      <c r="V221" s="4">
        <f>IF(M221=0,0,N221/M221-1)</f>
        <v>-1</v>
      </c>
      <c r="W221" s="18">
        <v>12814.49</v>
      </c>
      <c r="X221" s="18">
        <v>10561.95</v>
      </c>
      <c r="Y221" s="4">
        <f>X221/W221-1</f>
        <v>-0.17578069825642684</v>
      </c>
    </row>
    <row r="222" spans="1:25" ht="15" customHeight="1">
      <c r="A222" s="55" t="s">
        <v>469</v>
      </c>
      <c r="B222" s="37" t="s">
        <v>470</v>
      </c>
      <c r="C222" s="19">
        <v>885</v>
      </c>
      <c r="E222" s="37" t="s">
        <v>470</v>
      </c>
      <c r="F222" s="19">
        <v>1228</v>
      </c>
      <c r="G222" t="b">
        <f>IF(B222=E222,TRUE,FALSE)</f>
        <v>1</v>
      </c>
      <c r="J222" s="25">
        <f>F222-C222</f>
        <v>343</v>
      </c>
      <c r="K222" s="4">
        <f>F222/C222-1</f>
        <v>0.38757062146892651</v>
      </c>
      <c r="M222" s="5">
        <v>1718.61</v>
      </c>
      <c r="N222" s="5">
        <v>1715.8</v>
      </c>
      <c r="Q222" s="158">
        <v>8393.52</v>
      </c>
      <c r="T222" s="174">
        <f>N222/F222</f>
        <v>1.3972312703583061</v>
      </c>
      <c r="U222" s="146">
        <f>N222-M222</f>
        <v>-2.8099999999999454</v>
      </c>
      <c r="V222" s="4">
        <f>IF(M222=0,0,N222/M222-1)</f>
        <v>-1.6350422725341929E-3</v>
      </c>
      <c r="W222">
        <v>13911.12</v>
      </c>
      <c r="X222">
        <v>16968.63</v>
      </c>
      <c r="Y222" s="4">
        <f>X222/W222-1</f>
        <v>0.21978891706778469</v>
      </c>
    </row>
    <row r="223" spans="1:25" ht="15" customHeight="1">
      <c r="A223" t="s">
        <v>471</v>
      </c>
      <c r="B223" t="s">
        <v>472</v>
      </c>
      <c r="C223" s="28">
        <v>920</v>
      </c>
      <c r="E223" t="s">
        <v>472</v>
      </c>
      <c r="F223" s="28">
        <v>1035</v>
      </c>
      <c r="G223" t="b">
        <f>IF(B223=E223,TRUE,FALSE)</f>
        <v>1</v>
      </c>
      <c r="J223" s="25">
        <f>F223-C223</f>
        <v>115</v>
      </c>
      <c r="K223" s="4">
        <f>F223/C223-1</f>
        <v>0.125</v>
      </c>
      <c r="M223" s="5">
        <v>1376.71</v>
      </c>
      <c r="N223" s="5">
        <v>1373.51</v>
      </c>
      <c r="Q223" s="159">
        <v>4871.32</v>
      </c>
      <c r="T223" s="174">
        <f>N223/F223</f>
        <v>1.3270628019323671</v>
      </c>
      <c r="U223" s="146">
        <f>N223-M223</f>
        <v>-3.2000000000000455</v>
      </c>
      <c r="V223" s="4">
        <f>IF(M223=0,0,N223/M223-1)</f>
        <v>-2.3243820412433003E-3</v>
      </c>
      <c r="W223" s="18">
        <v>14658.05</v>
      </c>
      <c r="X223" s="18">
        <v>16508.25</v>
      </c>
      <c r="Y223" s="4">
        <f>X223/W223-1</f>
        <v>0.12622415669205655</v>
      </c>
    </row>
    <row r="224" spans="1:25" ht="15" customHeight="1">
      <c r="A224" t="s">
        <v>473</v>
      </c>
      <c r="B224" t="s">
        <v>474</v>
      </c>
      <c r="C224" s="28">
        <v>953</v>
      </c>
      <c r="E224" t="s">
        <v>474</v>
      </c>
      <c r="F224" s="28">
        <v>810</v>
      </c>
      <c r="G224" t="b">
        <f>IF(B224=E224,TRUE,FALSE)</f>
        <v>1</v>
      </c>
      <c r="J224" s="25">
        <f>F224-C224</f>
        <v>-143</v>
      </c>
      <c r="K224" s="4">
        <f>F224/C224-1</f>
        <v>-0.15005246589716681</v>
      </c>
      <c r="M224" s="5">
        <v>799.38</v>
      </c>
      <c r="N224" s="5">
        <v>794.84</v>
      </c>
      <c r="Q224" s="159">
        <v>5480.37</v>
      </c>
      <c r="T224" s="174">
        <f>N224/F224</f>
        <v>0.98128395061728402</v>
      </c>
      <c r="U224" s="146">
        <f>N224-M224</f>
        <v>-4.5399999999999636</v>
      </c>
      <c r="V224" s="4">
        <f>IF(M224=0,0,N224/M224-1)</f>
        <v>-5.6794015361905092E-3</v>
      </c>
      <c r="W224" s="18">
        <v>24066.080000000002</v>
      </c>
      <c r="X224" s="18">
        <v>21824.639999999999</v>
      </c>
      <c r="Y224" s="4">
        <f>X224/W224-1</f>
        <v>-9.3136896411879389E-2</v>
      </c>
    </row>
    <row r="225" spans="1:25" ht="15" customHeight="1">
      <c r="A225" t="s">
        <v>475</v>
      </c>
      <c r="B225" t="s">
        <v>476</v>
      </c>
      <c r="C225" s="28">
        <v>349</v>
      </c>
      <c r="E225" t="s">
        <v>476</v>
      </c>
      <c r="F225" s="28">
        <v>357</v>
      </c>
      <c r="G225" t="b">
        <f>IF(B225=E225,TRUE,FALSE)</f>
        <v>1</v>
      </c>
      <c r="J225" s="25">
        <f>F225-C225</f>
        <v>8</v>
      </c>
      <c r="K225" s="4">
        <f>F225/C225-1</f>
        <v>2.2922636103151817E-2</v>
      </c>
      <c r="M225" s="5">
        <v>422.34000000000003</v>
      </c>
      <c r="N225" s="5">
        <v>416.79999999999995</v>
      </c>
      <c r="Q225" s="159">
        <v>2707.62</v>
      </c>
      <c r="T225" s="174">
        <f>N225/F225</f>
        <v>1.1675070028011203</v>
      </c>
      <c r="U225" s="146">
        <f>N225-M225</f>
        <v>-5.5400000000000773</v>
      </c>
      <c r="V225" s="4">
        <f>IF(M225=0,0,N225/M225-1)</f>
        <v>-1.3117393569162417E-2</v>
      </c>
      <c r="W225" s="18">
        <v>7646.44</v>
      </c>
      <c r="X225" s="18">
        <v>7844.99</v>
      </c>
      <c r="Y225" s="4">
        <f>X225/W225-1</f>
        <v>2.5966332044716323E-2</v>
      </c>
    </row>
    <row r="226" spans="1:25" ht="15" customHeight="1">
      <c r="A226" t="s">
        <v>477</v>
      </c>
      <c r="B226" t="s">
        <v>478</v>
      </c>
      <c r="C226" s="28">
        <v>268</v>
      </c>
      <c r="E226" t="s">
        <v>478</v>
      </c>
      <c r="F226" s="28">
        <v>330</v>
      </c>
      <c r="G226" t="b">
        <f>IF(B226=E226,TRUE,FALSE)</f>
        <v>1</v>
      </c>
      <c r="J226" s="25">
        <f>F226-C226</f>
        <v>62</v>
      </c>
      <c r="K226" s="4">
        <f>F226/C226-1</f>
        <v>0.23134328358208944</v>
      </c>
      <c r="M226" s="5">
        <v>394.45</v>
      </c>
      <c r="N226" s="5">
        <v>388.43</v>
      </c>
      <c r="Q226" s="159">
        <v>1595.84</v>
      </c>
      <c r="T226" s="174">
        <f>N226/F226</f>
        <v>1.1770606060606061</v>
      </c>
      <c r="U226" s="146">
        <f>N226-M226</f>
        <v>-6.0199999999999818</v>
      </c>
      <c r="V226" s="4">
        <f>IF(M226=0,0,N226/M226-1)</f>
        <v>-1.5261756876663646E-2</v>
      </c>
      <c r="W226" s="18">
        <v>6418.6</v>
      </c>
      <c r="X226" s="18">
        <v>7903.5</v>
      </c>
      <c r="Y226" s="4">
        <f>X226/W226-1</f>
        <v>0.23134328358208944</v>
      </c>
    </row>
    <row r="227" spans="1:25" ht="15" customHeight="1">
      <c r="A227" t="s">
        <v>479</v>
      </c>
      <c r="B227" t="s">
        <v>480</v>
      </c>
      <c r="C227" s="28">
        <v>480</v>
      </c>
      <c r="E227" t="s">
        <v>480</v>
      </c>
      <c r="F227" s="28">
        <v>495</v>
      </c>
      <c r="G227" t="b">
        <f>IF(B227=E227,TRUE,FALSE)</f>
        <v>1</v>
      </c>
      <c r="J227" s="25">
        <f>F227-C227</f>
        <v>15</v>
      </c>
      <c r="K227" s="4">
        <f>F227/C227-1</f>
        <v>3.125E-2</v>
      </c>
      <c r="M227" s="5">
        <v>461.1</v>
      </c>
      <c r="N227" s="5">
        <v>452.33</v>
      </c>
      <c r="Q227" s="159">
        <v>2932.34</v>
      </c>
      <c r="T227" s="174">
        <f>N227/F227</f>
        <v>0.91379797979797972</v>
      </c>
      <c r="U227" s="146">
        <f>N227-M227</f>
        <v>-8.7700000000000387</v>
      </c>
      <c r="V227" s="4">
        <f>IF(M227=0,0,N227/M227-1)</f>
        <v>-1.9019735415311323E-2</v>
      </c>
      <c r="W227" s="18">
        <v>9096</v>
      </c>
      <c r="X227" s="18">
        <v>9380.25</v>
      </c>
      <c r="Y227" s="4">
        <f>X227/W227-1</f>
        <v>3.125E-2</v>
      </c>
    </row>
    <row r="228" spans="1:25" ht="15" customHeight="1">
      <c r="A228" s="37" t="s">
        <v>481</v>
      </c>
      <c r="B228" s="37" t="s">
        <v>482</v>
      </c>
      <c r="C228" s="28">
        <v>1201</v>
      </c>
      <c r="E228" s="37" t="s">
        <v>482</v>
      </c>
      <c r="F228" s="28">
        <v>1307</v>
      </c>
      <c r="G228" t="b">
        <f>IF(B228=E228,TRUE,FALSE)</f>
        <v>1</v>
      </c>
      <c r="J228" s="25">
        <f>F228-C228</f>
        <v>106</v>
      </c>
      <c r="K228" s="4">
        <f>F228/C228-1</f>
        <v>8.8259783513738643E-2</v>
      </c>
      <c r="M228" s="5">
        <v>3116.3</v>
      </c>
      <c r="N228" s="5">
        <v>3104.91</v>
      </c>
      <c r="Q228" s="159">
        <v>18390.29</v>
      </c>
      <c r="T228" s="174">
        <f>N228/F228</f>
        <v>2.3756006120887529</v>
      </c>
      <c r="U228" s="146">
        <f>N228-M228</f>
        <v>-11.390000000000327</v>
      </c>
      <c r="V228" s="4">
        <f>IF(M228=0,0,N228/M228-1)</f>
        <v>-3.6549754516574939E-3</v>
      </c>
      <c r="W228" s="18">
        <v>22960.32</v>
      </c>
      <c r="X228" s="18">
        <v>24380.46</v>
      </c>
      <c r="Y228" s="4">
        <f>X228/W228-1</f>
        <v>6.18519254087051E-2</v>
      </c>
    </row>
    <row r="229" spans="1:25" ht="15" customHeight="1">
      <c r="A229" t="s">
        <v>483</v>
      </c>
      <c r="B229" t="s">
        <v>484</v>
      </c>
      <c r="C229" s="28">
        <v>566</v>
      </c>
      <c r="E229" t="s">
        <v>484</v>
      </c>
      <c r="F229" s="28">
        <v>518</v>
      </c>
      <c r="G229" t="b">
        <f>IF(B229=E229,TRUE,FALSE)</f>
        <v>1</v>
      </c>
      <c r="J229" s="25">
        <f>F229-C229</f>
        <v>-48</v>
      </c>
      <c r="K229" s="4">
        <f>F229/C229-1</f>
        <v>-8.4805653710247397E-2</v>
      </c>
      <c r="M229" s="5">
        <v>1111.3800000000001</v>
      </c>
      <c r="N229" s="5">
        <v>1098.99</v>
      </c>
      <c r="Q229" s="159">
        <v>6228.46</v>
      </c>
      <c r="T229" s="174">
        <f>N229/F229</f>
        <v>2.1216023166023166</v>
      </c>
      <c r="U229" s="146">
        <f>N229-M229</f>
        <v>-12.3900000000001</v>
      </c>
      <c r="V229" s="4">
        <f>IF(M229=0,0,N229/M229-1)</f>
        <v>-1.1148302110889241E-2</v>
      </c>
      <c r="W229" s="18">
        <v>14580.44</v>
      </c>
      <c r="X229" s="18">
        <v>13209.45</v>
      </c>
      <c r="Y229" s="4">
        <f>X229/W229-1</f>
        <v>-9.4029398289763533E-2</v>
      </c>
    </row>
    <row r="230" spans="1:25" ht="15" customHeight="1">
      <c r="A230" t="s">
        <v>485</v>
      </c>
      <c r="B230" t="s">
        <v>486</v>
      </c>
      <c r="C230" s="28">
        <v>845</v>
      </c>
      <c r="E230" t="s">
        <v>486</v>
      </c>
      <c r="F230" s="28">
        <v>728</v>
      </c>
      <c r="G230" t="b">
        <f>IF(B230=E230,TRUE,FALSE)</f>
        <v>1</v>
      </c>
      <c r="J230" s="25">
        <f>F230-C230</f>
        <v>-117</v>
      </c>
      <c r="K230" s="4">
        <f>F230/C230-1</f>
        <v>-0.13846153846153841</v>
      </c>
      <c r="M230" s="5">
        <v>1154.71</v>
      </c>
      <c r="N230" s="5">
        <v>1139.0999999999999</v>
      </c>
      <c r="Q230" s="159">
        <v>8613.5300000000007</v>
      </c>
      <c r="T230" s="174">
        <f>N230/F230</f>
        <v>1.564697802197802</v>
      </c>
      <c r="U230" s="146">
        <f>N230-M230</f>
        <v>-15.610000000000127</v>
      </c>
      <c r="V230" s="4">
        <f>IF(M230=0,0,N230/M230-1)</f>
        <v>-1.3518545782057911E-2</v>
      </c>
      <c r="W230" s="18">
        <v>21057.3</v>
      </c>
      <c r="X230" s="18">
        <v>18610.349999999999</v>
      </c>
      <c r="Y230" s="4">
        <f>X230/W230-1</f>
        <v>-0.11620435668390539</v>
      </c>
    </row>
    <row r="231" spans="1:25" ht="15" customHeight="1">
      <c r="A231" t="s">
        <v>487</v>
      </c>
      <c r="B231" t="s">
        <v>488</v>
      </c>
      <c r="C231" s="28">
        <v>2836</v>
      </c>
      <c r="E231" t="s">
        <v>488</v>
      </c>
      <c r="F231" s="28">
        <v>2014</v>
      </c>
      <c r="G231" t="b">
        <f>IF(B231=E231,TRUE,FALSE)</f>
        <v>1</v>
      </c>
      <c r="J231" s="25">
        <f>F231-C231</f>
        <v>-822</v>
      </c>
      <c r="K231" s="4">
        <f>F231/C231-1</f>
        <v>-0.28984485190409026</v>
      </c>
      <c r="M231" s="5">
        <v>5001.5200000000004</v>
      </c>
      <c r="N231" s="5">
        <v>4983.3999999999996</v>
      </c>
      <c r="Q231" s="159">
        <v>24445.32</v>
      </c>
      <c r="T231" s="174">
        <f>N231/F231</f>
        <v>2.4743793445878848</v>
      </c>
      <c r="U231" s="146">
        <f>N231-M231</f>
        <v>-18.1200000000008</v>
      </c>
      <c r="V231" s="4">
        <f>IF(M231=0,0,N231/M231-1)</f>
        <v>-3.6228986388139317E-3</v>
      </c>
      <c r="W231" s="18">
        <v>79014.740000000005</v>
      </c>
      <c r="X231" s="18">
        <v>60391.16</v>
      </c>
      <c r="Y231" s="4">
        <f>X231/W231-1</f>
        <v>-0.23569754200292248</v>
      </c>
    </row>
    <row r="232" spans="1:25" ht="15" customHeight="1">
      <c r="A232" t="s">
        <v>489</v>
      </c>
      <c r="B232" t="s">
        <v>490</v>
      </c>
      <c r="C232" s="28">
        <v>317</v>
      </c>
      <c r="E232" t="s">
        <v>490</v>
      </c>
      <c r="F232" s="28">
        <v>314</v>
      </c>
      <c r="G232" t="b">
        <f>IF(B232=E232,TRUE,FALSE)</f>
        <v>1</v>
      </c>
      <c r="J232" s="25">
        <f>F232-C232</f>
        <v>-3</v>
      </c>
      <c r="K232" s="4">
        <f>F232/C232-1</f>
        <v>-9.4637223974763929E-3</v>
      </c>
      <c r="M232" s="5">
        <v>1082.57</v>
      </c>
      <c r="N232" s="5">
        <v>1062.33</v>
      </c>
      <c r="Q232" s="159">
        <v>7047.9</v>
      </c>
      <c r="T232" s="174">
        <f>N232/F232</f>
        <v>3.3832165605095539</v>
      </c>
      <c r="U232" s="146">
        <f>N232-M232</f>
        <v>-20.240000000000009</v>
      </c>
      <c r="V232" s="4">
        <f>IF(M232=0,0,N232/M232-1)</f>
        <v>-1.8696250588876473E-2</v>
      </c>
      <c r="W232" s="18">
        <v>6324.15</v>
      </c>
      <c r="X232" s="18">
        <v>6264.3</v>
      </c>
      <c r="Y232" s="4">
        <f>X232/W232-1</f>
        <v>-9.4637223974762819E-3</v>
      </c>
    </row>
    <row r="233" spans="1:25" ht="15" customHeight="1">
      <c r="A233" s="55" t="s">
        <v>491</v>
      </c>
      <c r="B233" s="37" t="s">
        <v>492</v>
      </c>
      <c r="C233" s="28">
        <v>951</v>
      </c>
      <c r="E233" s="37" t="s">
        <v>492</v>
      </c>
      <c r="F233" s="28">
        <v>1069</v>
      </c>
      <c r="G233" t="b">
        <f>IF(B233=E233,TRUE,FALSE)</f>
        <v>1</v>
      </c>
      <c r="J233" s="25">
        <f>F233-C233</f>
        <v>118</v>
      </c>
      <c r="K233" s="4">
        <f>F233/C233-1</f>
        <v>0.12407991587802303</v>
      </c>
      <c r="M233" s="5">
        <v>2669.95</v>
      </c>
      <c r="N233" s="5">
        <v>2645.12</v>
      </c>
      <c r="Q233" s="159">
        <v>12996.99</v>
      </c>
      <c r="T233" s="174">
        <f>N233/F233</f>
        <v>2.4743872778297473</v>
      </c>
      <c r="U233" s="146">
        <f>N233-M233</f>
        <v>-24.829999999999927</v>
      </c>
      <c r="V233" s="4">
        <f>IF(M233=0,0,N233/M233-1)</f>
        <v>-9.2997996217157874E-3</v>
      </c>
      <c r="W233" s="18">
        <v>20912.05</v>
      </c>
      <c r="X233" s="18">
        <v>23457.83</v>
      </c>
      <c r="Y233" s="4">
        <f>X233/W233-1</f>
        <v>0.12173746715410516</v>
      </c>
    </row>
    <row r="234" spans="1:25" ht="15" customHeight="1">
      <c r="A234" t="s">
        <v>493</v>
      </c>
      <c r="B234" t="s">
        <v>494</v>
      </c>
      <c r="C234" s="28">
        <v>3681</v>
      </c>
      <c r="E234" t="s">
        <v>494</v>
      </c>
      <c r="F234" s="28">
        <v>2745</v>
      </c>
      <c r="G234" t="b">
        <f>IF(B234=E234,TRUE,FALSE)</f>
        <v>1</v>
      </c>
      <c r="J234" s="25">
        <f>F234-C234</f>
        <v>-936</v>
      </c>
      <c r="K234" s="4">
        <f>F234/C234-1</f>
        <v>-0.25427872860635692</v>
      </c>
      <c r="M234" s="5">
        <v>5875.01</v>
      </c>
      <c r="N234" s="5">
        <v>5848.52</v>
      </c>
      <c r="Q234" s="159">
        <v>34068.81</v>
      </c>
      <c r="T234" s="174">
        <f>N234/F234</f>
        <v>2.130608378870674</v>
      </c>
      <c r="U234" s="146">
        <f>N234-M234</f>
        <v>-26.489999999999782</v>
      </c>
      <c r="V234" s="4">
        <f>IF(M234=0,0,N234/M234-1)</f>
        <v>-4.5089284954408226E-3</v>
      </c>
      <c r="W234" s="18">
        <v>101546.69</v>
      </c>
      <c r="X234" s="18">
        <v>79569.14</v>
      </c>
      <c r="Y234" s="4">
        <f>X234/W234-1</f>
        <v>-0.21642802931341243</v>
      </c>
    </row>
    <row r="235" spans="1:25" ht="15" customHeight="1">
      <c r="A235" t="s">
        <v>495</v>
      </c>
      <c r="B235" t="s">
        <v>496</v>
      </c>
      <c r="C235" s="28">
        <v>1238</v>
      </c>
      <c r="E235" t="s">
        <v>496</v>
      </c>
      <c r="F235" s="28">
        <v>1263</v>
      </c>
      <c r="G235" t="b">
        <f>IF(B235=E235,TRUE,FALSE)</f>
        <v>1</v>
      </c>
      <c r="J235" s="25">
        <f>F235-C235</f>
        <v>25</v>
      </c>
      <c r="K235" s="4">
        <f>F235/C235-1</f>
        <v>2.0193861066235774E-2</v>
      </c>
      <c r="L235" s="5"/>
      <c r="M235" s="5">
        <v>2325.92</v>
      </c>
      <c r="N235" s="5">
        <v>2299.21</v>
      </c>
      <c r="O235" s="5"/>
      <c r="P235" s="5"/>
      <c r="Q235" s="159">
        <v>12636.02</v>
      </c>
      <c r="R235" s="5"/>
      <c r="S235" s="5"/>
      <c r="T235" s="174">
        <f>N235/F235</f>
        <v>1.8204354711005544</v>
      </c>
      <c r="U235" s="146">
        <f>N235-M235</f>
        <v>-26.710000000000036</v>
      </c>
      <c r="V235" s="4">
        <f>IF(M235=0,0,N235/M235-1)</f>
        <v>-1.1483627983765565E-2</v>
      </c>
      <c r="W235" s="18">
        <v>29649.86</v>
      </c>
      <c r="X235" s="18">
        <v>30246.45</v>
      </c>
      <c r="Y235" s="4">
        <f>X235/W235-1</f>
        <v>2.012117426524096E-2</v>
      </c>
    </row>
    <row r="236" spans="1:25" ht="15" customHeight="1">
      <c r="A236" t="s">
        <v>497</v>
      </c>
      <c r="B236" t="s">
        <v>498</v>
      </c>
      <c r="C236" s="28">
        <v>440</v>
      </c>
      <c r="E236" t="s">
        <v>498</v>
      </c>
      <c r="F236" s="28">
        <v>482</v>
      </c>
      <c r="G236" t="b">
        <f>IF(B236=E236,TRUE,FALSE)</f>
        <v>1</v>
      </c>
      <c r="J236" s="25">
        <f>F236-C236</f>
        <v>42</v>
      </c>
      <c r="K236" s="4">
        <f>F236/C236-1</f>
        <v>9.5454545454545459E-2</v>
      </c>
      <c r="M236" s="5">
        <v>725.56</v>
      </c>
      <c r="N236" s="5">
        <v>698.54</v>
      </c>
      <c r="Q236" s="159">
        <v>2419.27</v>
      </c>
      <c r="T236" s="174">
        <f>N236/F236</f>
        <v>1.4492531120331948</v>
      </c>
      <c r="U236" s="146">
        <f>N236-M236</f>
        <v>-27.019999999999982</v>
      </c>
      <c r="V236" s="4">
        <f>IF(M236=0,0,N236/M236-1)</f>
        <v>-3.7240200672583934E-2</v>
      </c>
      <c r="W236" s="18">
        <v>8338</v>
      </c>
      <c r="X236" s="18">
        <v>9133.9</v>
      </c>
      <c r="Y236" s="4">
        <f>X236/W236-1</f>
        <v>9.5454545454545459E-2</v>
      </c>
    </row>
    <row r="237" spans="1:25" ht="15" customHeight="1">
      <c r="A237" t="s">
        <v>499</v>
      </c>
      <c r="B237" t="s">
        <v>500</v>
      </c>
      <c r="C237" s="28">
        <v>703</v>
      </c>
      <c r="E237" t="s">
        <v>500</v>
      </c>
      <c r="F237" s="28">
        <v>701</v>
      </c>
      <c r="G237" t="b">
        <f>IF(B237=E237,TRUE,FALSE)</f>
        <v>1</v>
      </c>
      <c r="J237" s="25">
        <f>F237-C237</f>
        <v>-2</v>
      </c>
      <c r="K237" s="4">
        <f>F237/C237-1</f>
        <v>-2.8449502133712778E-3</v>
      </c>
      <c r="M237" s="5">
        <v>684.87</v>
      </c>
      <c r="N237" s="5">
        <v>657.64</v>
      </c>
      <c r="Q237" s="159">
        <v>5729.69</v>
      </c>
      <c r="T237" s="174">
        <f>N237/F237</f>
        <v>0.93814550641940087</v>
      </c>
      <c r="U237" s="146">
        <f>N237-M237</f>
        <v>-27.230000000000018</v>
      </c>
      <c r="V237" s="4">
        <f>IF(M237=0,0,N237/M237-1)</f>
        <v>-3.9759370391461157E-2</v>
      </c>
      <c r="W237" s="18">
        <v>17503.900000000001</v>
      </c>
      <c r="X237" s="18">
        <v>17476.95</v>
      </c>
      <c r="Y237" s="4">
        <f>X237/W237-1</f>
        <v>-1.5396568764676211E-3</v>
      </c>
    </row>
    <row r="238" spans="1:25" ht="15" customHeight="1">
      <c r="A238" t="s">
        <v>501</v>
      </c>
      <c r="B238" t="s">
        <v>502</v>
      </c>
      <c r="C238" s="28">
        <v>115</v>
      </c>
      <c r="E238" t="s">
        <v>502</v>
      </c>
      <c r="F238" s="28">
        <v>105</v>
      </c>
      <c r="G238" t="b">
        <f>IF(B238=E238,TRUE,FALSE)</f>
        <v>1</v>
      </c>
      <c r="J238" s="25">
        <f>F238-C238</f>
        <v>-10</v>
      </c>
      <c r="K238" s="4">
        <f>F238/C238-1</f>
        <v>-8.6956521739130488E-2</v>
      </c>
      <c r="M238" s="5">
        <v>221.44</v>
      </c>
      <c r="N238" s="5">
        <v>184.73</v>
      </c>
      <c r="Q238" s="159">
        <v>1292.4100000000001</v>
      </c>
      <c r="T238" s="174">
        <f>N238/F238</f>
        <v>1.7593333333333332</v>
      </c>
      <c r="U238" s="146">
        <f>N238-M238</f>
        <v>-36.710000000000008</v>
      </c>
      <c r="V238" s="4">
        <f>IF(M238=0,0,N238/M238-1)</f>
        <v>-0.16577854046242779</v>
      </c>
      <c r="W238" s="18">
        <v>3329.25</v>
      </c>
      <c r="X238" s="18">
        <v>3039.75</v>
      </c>
      <c r="Y238" s="4">
        <f>X238/W238-1</f>
        <v>-8.6956521739130488E-2</v>
      </c>
    </row>
    <row r="239" spans="1:25" ht="15" customHeight="1">
      <c r="A239" t="s">
        <v>503</v>
      </c>
      <c r="B239" t="s">
        <v>504</v>
      </c>
      <c r="C239" s="28">
        <v>1262</v>
      </c>
      <c r="E239" t="s">
        <v>504</v>
      </c>
      <c r="F239" s="28">
        <v>1307</v>
      </c>
      <c r="G239" t="b">
        <f>IF(B239=E239,TRUE,FALSE)</f>
        <v>1</v>
      </c>
      <c r="J239" s="25">
        <f>F239-C239</f>
        <v>45</v>
      </c>
      <c r="K239" s="4">
        <f>F239/C239-1</f>
        <v>3.5657686212361428E-2</v>
      </c>
      <c r="M239" s="5">
        <v>450.35</v>
      </c>
      <c r="N239" s="5">
        <v>412.16</v>
      </c>
      <c r="Q239" s="159">
        <v>1759.2</v>
      </c>
      <c r="T239" s="174">
        <f>N239/F239</f>
        <v>0.31534812547819435</v>
      </c>
      <c r="U239" s="146">
        <f>N239-M239</f>
        <v>-38.19</v>
      </c>
      <c r="V239" s="4">
        <f>IF(M239=0,0,N239/M239-1)</f>
        <v>-8.4800710558454506E-2</v>
      </c>
      <c r="W239" s="18">
        <v>25034.11</v>
      </c>
      <c r="X239" s="18">
        <v>26074.65</v>
      </c>
      <c r="Y239" s="4">
        <f>X239/W239-1</f>
        <v>4.1564888865631699E-2</v>
      </c>
    </row>
    <row r="240" spans="1:25" ht="15" customHeight="1">
      <c r="A240" t="s">
        <v>505</v>
      </c>
      <c r="B240" t="s">
        <v>506</v>
      </c>
      <c r="C240" s="28">
        <v>349</v>
      </c>
      <c r="E240" t="s">
        <v>506</v>
      </c>
      <c r="F240" s="28">
        <v>357</v>
      </c>
      <c r="G240" t="b">
        <f>IF(B240=E240,TRUE,FALSE)</f>
        <v>1</v>
      </c>
      <c r="J240" s="25">
        <f>F240-C240</f>
        <v>8</v>
      </c>
      <c r="K240" s="4">
        <f>F240/C240-1</f>
        <v>2.2922636103151817E-2</v>
      </c>
      <c r="M240" s="5">
        <v>507.77</v>
      </c>
      <c r="N240" s="5">
        <v>461.04</v>
      </c>
      <c r="Q240" s="159">
        <v>2547.4299999999998</v>
      </c>
      <c r="T240" s="174">
        <f>N240/F240</f>
        <v>1.2914285714285716</v>
      </c>
      <c r="U240" s="146">
        <f>N240-M240</f>
        <v>-46.729999999999961</v>
      </c>
      <c r="V240" s="4">
        <f>IF(M240=0,0,N240/M240-1)</f>
        <v>-9.2029856037182167E-2</v>
      </c>
      <c r="W240" s="18">
        <v>17432.55</v>
      </c>
      <c r="X240" s="18">
        <v>17832.150000000001</v>
      </c>
      <c r="Y240" s="4">
        <f>X240/W240-1</f>
        <v>2.2922636103152039E-2</v>
      </c>
    </row>
    <row r="241" spans="1:25" ht="15" customHeight="1">
      <c r="A241" s="55" t="s">
        <v>507</v>
      </c>
      <c r="B241" s="37" t="s">
        <v>508</v>
      </c>
      <c r="C241" s="28">
        <v>801</v>
      </c>
      <c r="E241" s="37" t="s">
        <v>508</v>
      </c>
      <c r="F241" s="28">
        <v>661</v>
      </c>
      <c r="G241" t="b">
        <f>IF(B241=E241,TRUE,FALSE)</f>
        <v>1</v>
      </c>
      <c r="J241" s="25">
        <f>F241-C241</f>
        <v>-140</v>
      </c>
      <c r="K241" s="4">
        <f>F241/C241-1</f>
        <v>-0.17478152309612982</v>
      </c>
      <c r="M241" s="5">
        <v>1784.39</v>
      </c>
      <c r="N241" s="5">
        <v>1736.54</v>
      </c>
      <c r="Q241" s="158">
        <v>7681.01</v>
      </c>
      <c r="T241" s="174">
        <f>N241/F241</f>
        <v>2.6271406959152799</v>
      </c>
      <c r="U241" s="146">
        <f>N241-M241</f>
        <v>-47.850000000000136</v>
      </c>
      <c r="V241" s="4">
        <f>IF(M241=0,0,N241/M241-1)</f>
        <v>-2.6815886661548327E-2</v>
      </c>
      <c r="W241" s="18">
        <v>11205.99</v>
      </c>
      <c r="X241" s="18">
        <v>9247.39</v>
      </c>
      <c r="Y241" s="4">
        <f>X241/W241-1</f>
        <v>-0.17478152309612982</v>
      </c>
    </row>
    <row r="242" spans="1:25" ht="15" customHeight="1">
      <c r="A242" t="s">
        <v>509</v>
      </c>
      <c r="B242" t="s">
        <v>510</v>
      </c>
      <c r="C242" s="28">
        <v>2085</v>
      </c>
      <c r="E242" t="s">
        <v>510</v>
      </c>
      <c r="F242" s="28">
        <v>2054</v>
      </c>
      <c r="G242" t="b">
        <f>IF(B242=E242,TRUE,FALSE)</f>
        <v>1</v>
      </c>
      <c r="J242" s="25">
        <f>F242-C242</f>
        <v>-31</v>
      </c>
      <c r="K242" s="4">
        <f>F242/C242-1</f>
        <v>-1.4868105515587482E-2</v>
      </c>
      <c r="M242" s="5">
        <v>3281.85</v>
      </c>
      <c r="N242" s="5">
        <v>3229.93</v>
      </c>
      <c r="Q242" s="159">
        <v>18614.09</v>
      </c>
      <c r="T242" s="174">
        <f>N242/F242</f>
        <v>1.5725073028237584</v>
      </c>
      <c r="U242" s="146">
        <f>N242-M242</f>
        <v>-51.920000000000073</v>
      </c>
      <c r="V242" s="4">
        <f>IF(M242=0,0,N242/M242-1)</f>
        <v>-1.5820345232109956E-2</v>
      </c>
      <c r="W242" s="18">
        <v>46492.44</v>
      </c>
      <c r="X242" s="18">
        <v>46431.199999999997</v>
      </c>
      <c r="Y242" s="4">
        <f>X242/W242-1</f>
        <v>-1.3172033990903609E-3</v>
      </c>
    </row>
    <row r="243" spans="1:25" ht="15" customHeight="1">
      <c r="A243" s="27" t="s">
        <v>511</v>
      </c>
      <c r="B243" t="s">
        <v>512</v>
      </c>
      <c r="C243" s="28">
        <v>2569</v>
      </c>
      <c r="E243" t="s">
        <v>512</v>
      </c>
      <c r="F243" s="28">
        <v>2240</v>
      </c>
      <c r="G243" t="b">
        <f>IF(B243=E243,TRUE,FALSE)</f>
        <v>1</v>
      </c>
      <c r="J243" s="25">
        <f>F243-C243</f>
        <v>-329</v>
      </c>
      <c r="K243" s="4">
        <f>F243/C243-1</f>
        <v>-0.12806539509536785</v>
      </c>
      <c r="M243" s="5">
        <v>3750.82</v>
      </c>
      <c r="N243" s="5">
        <v>3698.82</v>
      </c>
      <c r="Q243" s="159">
        <v>19035.07</v>
      </c>
      <c r="T243" s="174">
        <f>N243/F243</f>
        <v>1.6512589285714288</v>
      </c>
      <c r="U243" s="146">
        <f>N243-M243</f>
        <v>-52</v>
      </c>
      <c r="V243" s="4">
        <f>IF(M243=0,0,N243/M243-1)</f>
        <v>-1.3863635151780129E-2</v>
      </c>
      <c r="W243" s="18">
        <v>71778.64</v>
      </c>
      <c r="X243" s="18">
        <v>66729.350000000006</v>
      </c>
      <c r="Y243" s="4">
        <f>X243/W243-1</f>
        <v>-7.0345300496080676E-2</v>
      </c>
    </row>
    <row r="244" spans="1:25" ht="15" customHeight="1">
      <c r="A244" t="s">
        <v>513</v>
      </c>
      <c r="B244" t="s">
        <v>514</v>
      </c>
      <c r="C244" s="28">
        <v>1206</v>
      </c>
      <c r="E244" t="s">
        <v>514</v>
      </c>
      <c r="F244" s="28">
        <v>1039</v>
      </c>
      <c r="G244" t="b">
        <f>IF(B244=E244,TRUE,FALSE)</f>
        <v>1</v>
      </c>
      <c r="J244" s="25">
        <f>F244-C244</f>
        <v>-167</v>
      </c>
      <c r="K244" s="4">
        <f>F244/C244-1</f>
        <v>-0.13847429519071308</v>
      </c>
      <c r="M244" s="5">
        <v>735.91</v>
      </c>
      <c r="N244" s="5">
        <v>672.44</v>
      </c>
      <c r="Q244" s="159">
        <v>5858.99</v>
      </c>
      <c r="T244" s="174">
        <f>N244/F244</f>
        <v>0.64719923002887392</v>
      </c>
      <c r="U244" s="146">
        <f>N244-M244</f>
        <v>-63.469999999999914</v>
      </c>
      <c r="V244" s="4">
        <f>IF(M244=0,0,N244/M244-1)</f>
        <v>-8.6246959546683599E-2</v>
      </c>
      <c r="W244" s="18">
        <v>34169.94</v>
      </c>
      <c r="X244" s="18">
        <v>31010.19</v>
      </c>
      <c r="Y244" s="4">
        <f>X244/W244-1</f>
        <v>-9.2471628571779818E-2</v>
      </c>
    </row>
    <row r="245" spans="1:25" ht="15" customHeight="1">
      <c r="A245" t="s">
        <v>515</v>
      </c>
      <c r="B245" t="s">
        <v>516</v>
      </c>
      <c r="C245" s="28">
        <v>664</v>
      </c>
      <c r="E245" t="s">
        <v>516</v>
      </c>
      <c r="F245" s="28">
        <v>654</v>
      </c>
      <c r="G245" t="b">
        <f>IF(B245=E245,TRUE,FALSE)</f>
        <v>1</v>
      </c>
      <c r="J245" s="25">
        <f>F245-C245</f>
        <v>-10</v>
      </c>
      <c r="K245" s="4">
        <f>F245/C245-1</f>
        <v>-1.5060240963855387E-2</v>
      </c>
      <c r="M245" s="5">
        <v>813.56</v>
      </c>
      <c r="N245" s="5">
        <v>744.51</v>
      </c>
      <c r="Q245" s="159">
        <v>4255.5200000000004</v>
      </c>
      <c r="T245" s="174">
        <f>N245/F245</f>
        <v>1.138394495412844</v>
      </c>
      <c r="U245" s="146">
        <f>N245-M245</f>
        <v>-69.049999999999955</v>
      </c>
      <c r="V245" s="4">
        <f>IF(M245=0,0,N245/M245-1)</f>
        <v>-8.4873887605093623E-2</v>
      </c>
      <c r="W245" s="18">
        <v>17921.36</v>
      </c>
      <c r="X245" s="18">
        <v>17651.46</v>
      </c>
      <c r="Y245" s="4">
        <f>X245/W245-1</f>
        <v>-1.5060240963855498E-2</v>
      </c>
    </row>
    <row r="246" spans="1:25" ht="15" customHeight="1">
      <c r="A246" t="s">
        <v>517</v>
      </c>
      <c r="B246" t="s">
        <v>518</v>
      </c>
      <c r="C246" s="28">
        <v>1046</v>
      </c>
      <c r="E246" t="s">
        <v>518</v>
      </c>
      <c r="F246" s="28">
        <v>878</v>
      </c>
      <c r="G246" t="b">
        <f>IF(B246=E246,TRUE,FALSE)</f>
        <v>1</v>
      </c>
      <c r="J246" s="25">
        <f>F246-C246</f>
        <v>-168</v>
      </c>
      <c r="K246" s="4">
        <f>F246/C246-1</f>
        <v>-0.16061185468451245</v>
      </c>
      <c r="M246" s="5">
        <v>2609.1999999999998</v>
      </c>
      <c r="N246" s="5">
        <v>2532.21</v>
      </c>
      <c r="Q246" s="159">
        <v>15837.98</v>
      </c>
      <c r="T246" s="174">
        <f>N246/F246</f>
        <v>2.8840660592255127</v>
      </c>
      <c r="U246" s="146">
        <f>N246-M246</f>
        <v>-76.989999999999782</v>
      </c>
      <c r="V246" s="4">
        <f>IF(M246=0,0,N246/M246-1)</f>
        <v>-2.9507128621799716E-2</v>
      </c>
      <c r="W246" s="18">
        <v>31219.759999999998</v>
      </c>
      <c r="X246" s="18">
        <v>26291</v>
      </c>
      <c r="Y246" s="4">
        <f>X246/W246-1</f>
        <v>-0.15787309063234312</v>
      </c>
    </row>
    <row r="247" spans="1:25" ht="15" customHeight="1">
      <c r="A247" t="s">
        <v>519</v>
      </c>
      <c r="B247" t="s">
        <v>520</v>
      </c>
      <c r="C247" s="28">
        <v>4196</v>
      </c>
      <c r="E247" t="s">
        <v>520</v>
      </c>
      <c r="F247" s="28">
        <v>3345</v>
      </c>
      <c r="G247" t="b">
        <f>IF(B247=E247,TRUE,FALSE)</f>
        <v>1</v>
      </c>
      <c r="J247" s="25">
        <f>F247-C247</f>
        <v>-851</v>
      </c>
      <c r="K247" s="4">
        <f>F247/C247-1</f>
        <v>-0.20281220209723549</v>
      </c>
      <c r="M247" s="5">
        <v>2627.55</v>
      </c>
      <c r="N247" s="5">
        <v>2535.81</v>
      </c>
      <c r="Q247" s="159">
        <v>22810.02</v>
      </c>
      <c r="T247" s="174">
        <f>N247/F247</f>
        <v>0.75808968609865468</v>
      </c>
      <c r="U247" s="146">
        <f>N247-M247</f>
        <v>-91.740000000000236</v>
      </c>
      <c r="V247" s="4">
        <f>IF(M247=0,0,N247/M247-1)</f>
        <v>-3.491465433578822E-2</v>
      </c>
      <c r="W247" s="18">
        <v>128664.23999999999</v>
      </c>
      <c r="X247" s="18">
        <v>110191.1</v>
      </c>
      <c r="Y247" s="4">
        <f>X247/W247-1</f>
        <v>-0.14357633480755794</v>
      </c>
    </row>
    <row r="248" spans="1:25" ht="13.5" customHeight="1">
      <c r="A248" t="s">
        <v>521</v>
      </c>
      <c r="B248" t="s">
        <v>522</v>
      </c>
      <c r="C248" s="28">
        <v>1796</v>
      </c>
      <c r="E248" t="s">
        <v>522</v>
      </c>
      <c r="F248" s="28">
        <v>1741</v>
      </c>
      <c r="G248" t="b">
        <f>IF(B248=E248,TRUE,FALSE)</f>
        <v>1</v>
      </c>
      <c r="J248" s="25">
        <f>F248-C248</f>
        <v>-55</v>
      </c>
      <c r="K248" s="4">
        <f>F248/C248-1</f>
        <v>-3.0623608017817383E-2</v>
      </c>
      <c r="M248" s="5">
        <v>2867.69</v>
      </c>
      <c r="N248" s="5">
        <v>2775.04</v>
      </c>
      <c r="Q248" s="159">
        <v>16722.96</v>
      </c>
      <c r="T248" s="174">
        <f>N248/F248</f>
        <v>1.5939345203905801</v>
      </c>
      <c r="U248" s="146">
        <f>N248-M248</f>
        <v>-92.650000000000091</v>
      </c>
      <c r="V248" s="4">
        <f>IF(M248=0,0,N248/M248-1)</f>
        <v>-3.230823415362194E-2</v>
      </c>
      <c r="W248" s="18">
        <v>53788.399999999994</v>
      </c>
      <c r="X248" s="18">
        <v>52137.55</v>
      </c>
      <c r="Y248" s="4">
        <f>X248/W248-1</f>
        <v>-3.0691561749373264E-2</v>
      </c>
    </row>
    <row r="249" spans="1:25" ht="17.25" customHeight="1">
      <c r="A249" t="s">
        <v>523</v>
      </c>
      <c r="B249" t="s">
        <v>524</v>
      </c>
      <c r="C249" s="28">
        <v>1913</v>
      </c>
      <c r="E249" t="s">
        <v>524</v>
      </c>
      <c r="F249" s="28">
        <v>1608</v>
      </c>
      <c r="G249" t="b">
        <f>IF(B249=E249,TRUE,FALSE)</f>
        <v>1</v>
      </c>
      <c r="J249" s="25">
        <f>F249-C249</f>
        <v>-305</v>
      </c>
      <c r="K249" s="4">
        <f>F249/C249-1</f>
        <v>-0.15943544171458446</v>
      </c>
      <c r="M249" s="5">
        <v>1562.02</v>
      </c>
      <c r="N249" s="5">
        <v>1467.76</v>
      </c>
      <c r="Q249" s="159">
        <v>10723.97</v>
      </c>
      <c r="T249" s="174">
        <f>N249/F249</f>
        <v>0.91278606965174125</v>
      </c>
      <c r="U249" s="146">
        <f>N249-M249</f>
        <v>-94.259999999999991</v>
      </c>
      <c r="V249" s="4">
        <f>IF(M249=0,0,N249/M249-1)</f>
        <v>-6.034493796494278E-2</v>
      </c>
      <c r="W249" s="18">
        <v>53754.26</v>
      </c>
      <c r="X249" s="18">
        <v>48122.75</v>
      </c>
      <c r="Y249" s="4">
        <f>X249/W249-1</f>
        <v>-0.10476397591558329</v>
      </c>
    </row>
    <row r="250" spans="1:25" ht="17.25" customHeight="1">
      <c r="A250" t="s">
        <v>525</v>
      </c>
      <c r="B250" t="s">
        <v>526</v>
      </c>
      <c r="C250" s="28">
        <v>611</v>
      </c>
      <c r="E250" t="s">
        <v>526</v>
      </c>
      <c r="F250" s="28">
        <v>473</v>
      </c>
      <c r="G250" t="b">
        <f>IF(B250=E250,TRUE,FALSE)</f>
        <v>1</v>
      </c>
      <c r="J250" s="25">
        <f>F250-C250</f>
        <v>-138</v>
      </c>
      <c r="K250" s="4">
        <f>F250/C250-1</f>
        <v>-0.22585924713584293</v>
      </c>
      <c r="M250" s="5">
        <v>1485.62</v>
      </c>
      <c r="N250" s="5">
        <v>1389.51</v>
      </c>
      <c r="Q250" s="159">
        <v>7584.43</v>
      </c>
      <c r="T250" s="174">
        <f>N250/F250</f>
        <v>2.9376532769556025</v>
      </c>
      <c r="U250" s="146">
        <f>N250-M250</f>
        <v>-96.1099999999999</v>
      </c>
      <c r="V250" s="4">
        <f>IF(M250=0,0,N250/M250-1)</f>
        <v>-6.4693528627778218E-2</v>
      </c>
      <c r="W250" s="18">
        <v>15268.89</v>
      </c>
      <c r="X250" s="18">
        <v>11820.27</v>
      </c>
      <c r="Y250" s="4">
        <f>X250/W250-1</f>
        <v>-0.22585924713584282</v>
      </c>
    </row>
    <row r="251" spans="1:25" ht="17.25" customHeight="1">
      <c r="A251" s="55" t="s">
        <v>527</v>
      </c>
      <c r="B251" s="37" t="s">
        <v>528</v>
      </c>
      <c r="C251" s="19">
        <v>1398</v>
      </c>
      <c r="E251" s="37" t="s">
        <v>528</v>
      </c>
      <c r="F251" s="19">
        <v>1436</v>
      </c>
      <c r="G251" t="b">
        <f>IF(B251=E251,TRUE,FALSE)</f>
        <v>1</v>
      </c>
      <c r="J251" s="25">
        <f>F251-C251</f>
        <v>38</v>
      </c>
      <c r="K251" s="4">
        <f>F251/C251-1</f>
        <v>2.7181688125894166E-2</v>
      </c>
      <c r="M251" s="5">
        <v>3346.69</v>
      </c>
      <c r="N251" s="5">
        <v>3249.07</v>
      </c>
      <c r="Q251" s="158">
        <v>16004.39</v>
      </c>
      <c r="T251" s="174">
        <f>N251/F251</f>
        <v>2.26258356545961</v>
      </c>
      <c r="U251" s="146">
        <f>N251-M251</f>
        <v>-97.619999999999891</v>
      </c>
      <c r="V251" s="4">
        <f>IF(M251=0,0,N251/M251-1)</f>
        <v>-2.9169119338809391E-2</v>
      </c>
      <c r="W251">
        <v>22680.02</v>
      </c>
      <c r="X251">
        <v>23358.84</v>
      </c>
      <c r="Y251" s="4">
        <f>X251/W251-1</f>
        <v>2.9930308703431496E-2</v>
      </c>
    </row>
    <row r="252" spans="1:25" ht="17.25" customHeight="1">
      <c r="A252" t="s">
        <v>529</v>
      </c>
      <c r="B252" t="s">
        <v>530</v>
      </c>
      <c r="C252" s="28">
        <v>464</v>
      </c>
      <c r="E252" t="s">
        <v>530</v>
      </c>
      <c r="F252" s="28">
        <v>359</v>
      </c>
      <c r="G252" t="b">
        <f>IF(B252=E252,TRUE,FALSE)</f>
        <v>1</v>
      </c>
      <c r="J252" s="25">
        <f>F252-C252</f>
        <v>-105</v>
      </c>
      <c r="K252" s="4">
        <f>F252/C252-1</f>
        <v>-0.22629310344827591</v>
      </c>
      <c r="M252" s="5">
        <v>514.92999999999995</v>
      </c>
      <c r="N252" s="5">
        <v>416.77</v>
      </c>
      <c r="Q252" s="159">
        <v>1967.76</v>
      </c>
      <c r="T252" s="174">
        <f>N252/F252</f>
        <v>1.1609192200557104</v>
      </c>
      <c r="U252" s="146">
        <f>N252-M252</f>
        <v>-98.159999999999968</v>
      </c>
      <c r="V252" s="4">
        <f>IF(M252=0,0,N252/M252-1)</f>
        <v>-0.19062785232944279</v>
      </c>
      <c r="W252" s="18">
        <v>10184.799999999999</v>
      </c>
      <c r="X252" s="18">
        <v>7880.05</v>
      </c>
      <c r="Y252" s="4">
        <f>X252/W252-1</f>
        <v>-0.2262931034482758</v>
      </c>
    </row>
    <row r="253" spans="1:25" ht="17.25" customHeight="1">
      <c r="A253" t="s">
        <v>531</v>
      </c>
      <c r="B253" t="s">
        <v>532</v>
      </c>
      <c r="C253" s="28">
        <v>4825</v>
      </c>
      <c r="E253" t="s">
        <v>532</v>
      </c>
      <c r="F253" s="28">
        <v>4168</v>
      </c>
      <c r="G253" t="b">
        <f>IF(B253=E253,TRUE,FALSE)</f>
        <v>1</v>
      </c>
      <c r="J253" s="25">
        <f>F253-C253</f>
        <v>-657</v>
      </c>
      <c r="K253" s="4">
        <f>F253/C253-1</f>
        <v>-0.13616580310880833</v>
      </c>
      <c r="M253" s="5">
        <v>6647.08</v>
      </c>
      <c r="N253" s="5">
        <v>6548.89</v>
      </c>
      <c r="Q253" s="159">
        <v>34515.26</v>
      </c>
      <c r="T253" s="174">
        <f>N253/F253</f>
        <v>1.5712308061420346</v>
      </c>
      <c r="U253" s="146">
        <f>N253-M253</f>
        <v>-98.1899999999996</v>
      </c>
      <c r="V253" s="4">
        <f>IF(M253=0,0,N253/M253-1)</f>
        <v>-1.4771899841734992E-2</v>
      </c>
      <c r="W253" s="18">
        <v>125062.46</v>
      </c>
      <c r="X253" s="18">
        <v>112334.39</v>
      </c>
      <c r="Y253" s="4">
        <f>X253/W253-1</f>
        <v>-0.10177370571472855</v>
      </c>
    </row>
    <row r="254" spans="1:25" ht="17.25" customHeight="1">
      <c r="A254" t="s">
        <v>533</v>
      </c>
      <c r="B254" t="s">
        <v>534</v>
      </c>
      <c r="C254" s="28">
        <v>2309</v>
      </c>
      <c r="E254" t="s">
        <v>534</v>
      </c>
      <c r="F254" s="28">
        <v>2055</v>
      </c>
      <c r="G254" t="b">
        <f>IF(B254=E254,TRUE,FALSE)</f>
        <v>1</v>
      </c>
      <c r="J254" s="25">
        <f>F254-C254</f>
        <v>-254</v>
      </c>
      <c r="K254" s="4">
        <f>F254/C254-1</f>
        <v>-0.1100043308791685</v>
      </c>
      <c r="M254" s="5">
        <v>2909.09</v>
      </c>
      <c r="N254" s="5">
        <v>2808.11</v>
      </c>
      <c r="Q254" s="159">
        <v>17035.86</v>
      </c>
      <c r="T254" s="174">
        <f>N254/F254</f>
        <v>1.3664768856447689</v>
      </c>
      <c r="U254" s="146">
        <f>N254-M254</f>
        <v>-100.98000000000002</v>
      </c>
      <c r="V254" s="4">
        <f>IF(M254=0,0,N254/M254-1)</f>
        <v>-3.4711885847464319E-2</v>
      </c>
      <c r="W254" s="18">
        <v>64762.38</v>
      </c>
      <c r="X254" s="18">
        <v>61534.37</v>
      </c>
      <c r="Y254" s="4">
        <f>X254/W254-1</f>
        <v>-4.984390629251112E-2</v>
      </c>
    </row>
    <row r="255" spans="1:25" ht="13.5" customHeight="1">
      <c r="A255" s="27" t="s">
        <v>535</v>
      </c>
      <c r="B255" s="27" t="s">
        <v>536</v>
      </c>
      <c r="C255" s="28">
        <v>1820</v>
      </c>
      <c r="D255" s="19"/>
      <c r="E255" s="27" t="s">
        <v>536</v>
      </c>
      <c r="F255" s="28">
        <v>1569</v>
      </c>
      <c r="G255" t="b">
        <f>IF(B255=E255,TRUE,FALSE)</f>
        <v>1</v>
      </c>
      <c r="H255" s="19"/>
      <c r="I255" s="19"/>
      <c r="J255" s="25">
        <f>F255-C255</f>
        <v>-251</v>
      </c>
      <c r="K255" s="4">
        <f>F255/C255-1</f>
        <v>-0.13791208791208787</v>
      </c>
      <c r="M255" s="18">
        <v>2329.9899999999998</v>
      </c>
      <c r="N255" s="18">
        <v>2215.65</v>
      </c>
      <c r="O255" s="18"/>
      <c r="P255" s="18"/>
      <c r="Q255" s="159">
        <v>15123.97</v>
      </c>
      <c r="T255" s="174">
        <f>N255/F255</f>
        <v>1.4121414913957935</v>
      </c>
      <c r="U255" s="146">
        <f>N255-M255</f>
        <v>-114.33999999999969</v>
      </c>
      <c r="V255" s="4">
        <f>IF(M255=0,0,N255/M255-1)</f>
        <v>-4.907317198786243E-2</v>
      </c>
      <c r="W255" s="18">
        <v>40992.28</v>
      </c>
      <c r="X255" s="18">
        <v>37575.83</v>
      </c>
      <c r="Y255" s="4">
        <f>X255/W255-1</f>
        <v>-8.3343741797235915E-2</v>
      </c>
    </row>
    <row r="256" spans="1:25" ht="15" customHeight="1">
      <c r="A256" t="s">
        <v>537</v>
      </c>
      <c r="B256" t="s">
        <v>538</v>
      </c>
      <c r="C256" s="28">
        <v>4295</v>
      </c>
      <c r="E256" t="s">
        <v>538</v>
      </c>
      <c r="F256" s="28">
        <v>3156</v>
      </c>
      <c r="G256" t="b">
        <f>IF(B256=E256,TRUE,FALSE)</f>
        <v>1</v>
      </c>
      <c r="J256" s="25">
        <f>F256-C256</f>
        <v>-1139</v>
      </c>
      <c r="K256" s="4">
        <f>F256/C256-1</f>
        <v>-0.26519208381839343</v>
      </c>
      <c r="M256" s="5">
        <v>3985.46</v>
      </c>
      <c r="N256" s="5">
        <v>3868.94</v>
      </c>
      <c r="Q256" s="159">
        <v>24438.81</v>
      </c>
      <c r="T256" s="174">
        <f>N256/F256</f>
        <v>1.2258998732572877</v>
      </c>
      <c r="U256" s="146">
        <f>N256-M256</f>
        <v>-116.51999999999998</v>
      </c>
      <c r="V256" s="4">
        <f>IF(M256=0,0,N256/M256-1)</f>
        <v>-2.9236273855464567E-2</v>
      </c>
      <c r="W256" s="18">
        <v>119277.67</v>
      </c>
      <c r="X256" s="18">
        <v>94509.9</v>
      </c>
      <c r="Y256" s="4">
        <f>X256/W256-1</f>
        <v>-0.20764800318450216</v>
      </c>
    </row>
    <row r="257" spans="1:25" ht="15" customHeight="1">
      <c r="A257" t="s">
        <v>539</v>
      </c>
      <c r="B257" t="s">
        <v>540</v>
      </c>
      <c r="C257" s="28">
        <v>688</v>
      </c>
      <c r="E257" t="s">
        <v>540</v>
      </c>
      <c r="F257" s="28">
        <v>704</v>
      </c>
      <c r="G257" t="b">
        <f>IF(B257=E257,TRUE,FALSE)</f>
        <v>1</v>
      </c>
      <c r="J257" s="25">
        <f>F257-C257</f>
        <v>16</v>
      </c>
      <c r="K257" s="4">
        <f>F257/C257-1</f>
        <v>2.3255813953488413E-2</v>
      </c>
      <c r="M257" s="5">
        <v>656.43</v>
      </c>
      <c r="N257" s="5">
        <v>533.71</v>
      </c>
      <c r="Q257" s="159">
        <v>2606.92</v>
      </c>
      <c r="T257" s="174">
        <f>N257/F257</f>
        <v>0.75811079545454552</v>
      </c>
      <c r="U257" s="146">
        <f>N257-M257</f>
        <v>-122.71999999999991</v>
      </c>
      <c r="V257" s="4">
        <f>IF(M257=0,0,N257/M257-1)</f>
        <v>-0.18695062687567587</v>
      </c>
      <c r="W257" s="18">
        <v>20633.12</v>
      </c>
      <c r="X257" s="18">
        <v>21111.96</v>
      </c>
      <c r="Y257" s="4">
        <f>X257/W257-1</f>
        <v>2.3207348185829479E-2</v>
      </c>
    </row>
    <row r="258" spans="1:25" ht="15" customHeight="1">
      <c r="A258" t="s">
        <v>541</v>
      </c>
      <c r="B258" t="s">
        <v>542</v>
      </c>
      <c r="C258" s="28">
        <v>856</v>
      </c>
      <c r="E258" t="s">
        <v>542</v>
      </c>
      <c r="F258" s="28">
        <v>566</v>
      </c>
      <c r="G258" t="b">
        <f>IF(B258=E258,TRUE,FALSE)</f>
        <v>1</v>
      </c>
      <c r="J258" s="25">
        <f>F258-C258</f>
        <v>-290</v>
      </c>
      <c r="K258" s="4">
        <f>F258/C258-1</f>
        <v>-0.33878504672897192</v>
      </c>
      <c r="M258" s="5">
        <v>1506.92</v>
      </c>
      <c r="N258" s="5">
        <v>1376.45</v>
      </c>
      <c r="Q258" s="159">
        <v>7143.25</v>
      </c>
      <c r="T258" s="174">
        <f>N258/F258</f>
        <v>2.4318904593639576</v>
      </c>
      <c r="U258" s="146">
        <f>N258-M258</f>
        <v>-130.47000000000003</v>
      </c>
      <c r="V258" s="4">
        <f>IF(M258=0,0,N258/M258-1)</f>
        <v>-8.6580574947575206E-2</v>
      </c>
      <c r="W258" s="18">
        <v>37159.040000000001</v>
      </c>
      <c r="X258" s="18">
        <v>26596.34</v>
      </c>
      <c r="Y258" s="4">
        <f>X258/W258-1</f>
        <v>-0.28425653622913838</v>
      </c>
    </row>
    <row r="259" spans="1:25" ht="15" customHeight="1">
      <c r="A259" t="s">
        <v>543</v>
      </c>
      <c r="B259" t="s">
        <v>544</v>
      </c>
      <c r="C259" s="28">
        <v>1057</v>
      </c>
      <c r="E259" t="s">
        <v>544</v>
      </c>
      <c r="F259" s="28">
        <v>741</v>
      </c>
      <c r="G259" t="b">
        <f>IF(B259=E259,TRUE,FALSE)</f>
        <v>1</v>
      </c>
      <c r="J259" s="25">
        <f>F259-C259</f>
        <v>-316</v>
      </c>
      <c r="K259" s="4">
        <f>F259/C259-1</f>
        <v>-0.29895931882686855</v>
      </c>
      <c r="M259" s="5">
        <v>783.64</v>
      </c>
      <c r="N259" s="5">
        <v>652.9</v>
      </c>
      <c r="Q259" s="159">
        <v>5818.24</v>
      </c>
      <c r="T259" s="174">
        <f>N259/F259</f>
        <v>0.88110661268556001</v>
      </c>
      <c r="U259" s="146">
        <f>N259-M259</f>
        <v>-130.74</v>
      </c>
      <c r="V259" s="4">
        <f>IF(M259=0,0,N259/M259-1)</f>
        <v>-0.1668368128222143</v>
      </c>
      <c r="W259" s="18">
        <v>29491.56</v>
      </c>
      <c r="X259" s="18">
        <v>22185.15</v>
      </c>
      <c r="Y259" s="4">
        <f>X259/W259-1</f>
        <v>-0.24774579574630839</v>
      </c>
    </row>
    <row r="260" spans="1:25" ht="15" customHeight="1">
      <c r="A260" t="s">
        <v>545</v>
      </c>
      <c r="B260" t="s">
        <v>546</v>
      </c>
      <c r="C260" s="28">
        <v>701</v>
      </c>
      <c r="E260" t="s">
        <v>546</v>
      </c>
      <c r="F260" s="28">
        <v>669</v>
      </c>
      <c r="G260" t="b">
        <f>IF(B260=E260,TRUE,FALSE)</f>
        <v>1</v>
      </c>
      <c r="J260" s="25">
        <f>F260-C260</f>
        <v>-32</v>
      </c>
      <c r="K260" s="4">
        <f>F260/C260-1</f>
        <v>-4.564907275320973E-2</v>
      </c>
      <c r="M260" s="5">
        <v>1475.78</v>
      </c>
      <c r="N260" s="5">
        <v>1343.5</v>
      </c>
      <c r="Q260" s="159">
        <v>9782.7999999999993</v>
      </c>
      <c r="T260" s="174">
        <f>N260/F260</f>
        <v>2.0082212257100149</v>
      </c>
      <c r="U260" s="146">
        <f>N260-M260</f>
        <v>-132.27999999999997</v>
      </c>
      <c r="V260" s="4">
        <f>IF(M260=0,0,N260/M260-1)</f>
        <v>-8.9633956280746441E-2</v>
      </c>
      <c r="W260" s="18">
        <v>17517.490000000002</v>
      </c>
      <c r="X260" s="18">
        <v>16713.310000000001</v>
      </c>
      <c r="Y260" s="4">
        <f>X260/W260-1</f>
        <v>-4.5907261828035839E-2</v>
      </c>
    </row>
    <row r="261" spans="1:25" ht="15" customHeight="1">
      <c r="A261" t="s">
        <v>547</v>
      </c>
      <c r="B261" t="s">
        <v>548</v>
      </c>
      <c r="C261" s="28">
        <v>690</v>
      </c>
      <c r="E261" t="s">
        <v>548</v>
      </c>
      <c r="F261" s="28">
        <v>613</v>
      </c>
      <c r="G261" t="b">
        <f>IF(B261=E261,TRUE,FALSE)</f>
        <v>1</v>
      </c>
      <c r="J261" s="25">
        <f>F261-C261</f>
        <v>-77</v>
      </c>
      <c r="K261" s="4">
        <f>F261/C261-1</f>
        <v>-0.11159420289855071</v>
      </c>
      <c r="M261" s="5">
        <v>929.87</v>
      </c>
      <c r="N261" s="5">
        <v>787.29</v>
      </c>
      <c r="Q261" s="159">
        <v>6255.86</v>
      </c>
      <c r="T261" s="174">
        <f>N261/F261</f>
        <v>1.2843230016313214</v>
      </c>
      <c r="U261" s="146">
        <f>N261-M261</f>
        <v>-142.58000000000004</v>
      </c>
      <c r="V261" s="4">
        <f>IF(M261=0,0,N261/M261-1)</f>
        <v>-0.15333326163872374</v>
      </c>
      <c r="W261" s="18">
        <v>17676.310000000001</v>
      </c>
      <c r="X261" s="18">
        <v>16497.740000000002</v>
      </c>
      <c r="Y261" s="4">
        <f>X261/W261-1</f>
        <v>-6.6675114885403119E-2</v>
      </c>
    </row>
    <row r="262" spans="1:25" ht="15" customHeight="1">
      <c r="A262" s="55" t="s">
        <v>549</v>
      </c>
      <c r="B262" s="37" t="s">
        <v>550</v>
      </c>
      <c r="C262" s="28">
        <v>1502</v>
      </c>
      <c r="E262" s="37" t="s">
        <v>550</v>
      </c>
      <c r="F262" s="28">
        <v>1300</v>
      </c>
      <c r="G262" t="b">
        <f>IF(B262=E262,TRUE,FALSE)</f>
        <v>1</v>
      </c>
      <c r="J262" s="25">
        <f>F262-C262</f>
        <v>-202</v>
      </c>
      <c r="K262" s="4">
        <f>F262/C262-1</f>
        <v>-0.13448735019973368</v>
      </c>
      <c r="M262" s="5">
        <v>2888.65</v>
      </c>
      <c r="N262" s="5">
        <v>2742.71</v>
      </c>
      <c r="Q262" s="158">
        <v>15111.34</v>
      </c>
      <c r="T262" s="174">
        <f>N262/F262</f>
        <v>2.109776923076923</v>
      </c>
      <c r="U262" s="146">
        <f>N262-M262</f>
        <v>-145.94000000000005</v>
      </c>
      <c r="V262" s="4">
        <f>IF(M262=0,0,N262/M262-1)</f>
        <v>-5.0521870077718023E-2</v>
      </c>
      <c r="W262" s="18">
        <v>15104.98</v>
      </c>
      <c r="X262" s="18">
        <v>19399</v>
      </c>
      <c r="Y262" s="4">
        <f>X262/W262-1</f>
        <v>0.2842784300277128</v>
      </c>
    </row>
    <row r="263" spans="1:25" ht="15" customHeight="1">
      <c r="A263" s="55" t="s">
        <v>551</v>
      </c>
      <c r="B263" s="37" t="s">
        <v>552</v>
      </c>
      <c r="C263" s="28">
        <v>1168</v>
      </c>
      <c r="E263" s="37" t="s">
        <v>552</v>
      </c>
      <c r="F263" s="28">
        <v>1027</v>
      </c>
      <c r="G263" t="b">
        <f>IF(B263=E263,TRUE,FALSE)</f>
        <v>1</v>
      </c>
      <c r="J263" s="25">
        <f>F263-C263</f>
        <v>-141</v>
      </c>
      <c r="K263" s="4">
        <f>F263/C263-1</f>
        <v>-0.12071917808219179</v>
      </c>
      <c r="M263" s="5">
        <v>3131.9</v>
      </c>
      <c r="N263" s="5">
        <v>2985.73</v>
      </c>
      <c r="Q263" s="158">
        <v>16714.27</v>
      </c>
      <c r="T263" s="174">
        <f>N263/F263</f>
        <v>2.9072346640701072</v>
      </c>
      <c r="U263" s="146">
        <f>N263-M263</f>
        <v>-146.17000000000007</v>
      </c>
      <c r="V263" s="4">
        <f>IF(M263=0,0,N263/M263-1)</f>
        <v>-4.66713496599509E-2</v>
      </c>
      <c r="W263" s="18">
        <v>17418.32</v>
      </c>
      <c r="X263" s="18">
        <v>17946.73</v>
      </c>
      <c r="Y263" s="4">
        <f>X263/W263-1</f>
        <v>3.0336450358013911E-2</v>
      </c>
    </row>
    <row r="264" spans="1:25" ht="15" customHeight="1">
      <c r="A264" t="s">
        <v>553</v>
      </c>
      <c r="B264" t="s">
        <v>554</v>
      </c>
      <c r="C264" s="28">
        <v>4563</v>
      </c>
      <c r="E264" t="s">
        <v>554</v>
      </c>
      <c r="F264" s="28">
        <v>3652</v>
      </c>
      <c r="G264" t="b">
        <f>IF(B264=E264,TRUE,FALSE)</f>
        <v>1</v>
      </c>
      <c r="J264" s="25">
        <f>F264-C264</f>
        <v>-911</v>
      </c>
      <c r="K264" s="4">
        <f>F264/C264-1</f>
        <v>-0.19964935349550739</v>
      </c>
      <c r="M264" s="5">
        <v>5429.64</v>
      </c>
      <c r="N264" s="5">
        <v>5282.07</v>
      </c>
      <c r="Q264" s="159">
        <v>27654.03</v>
      </c>
      <c r="T264" s="174">
        <f>N264/F264</f>
        <v>1.4463499452354873</v>
      </c>
      <c r="U264" s="146">
        <f>N264-M264</f>
        <v>-147.57000000000062</v>
      </c>
      <c r="V264" s="4">
        <f>IF(M264=0,0,N264/M264-1)</f>
        <v>-2.7178597476075872E-2</v>
      </c>
      <c r="W264" s="18">
        <v>111438.45</v>
      </c>
      <c r="X264" s="18">
        <v>94871.57</v>
      </c>
      <c r="Y264" s="4">
        <f>X264/W264-1</f>
        <v>-0.14866394857430254</v>
      </c>
    </row>
    <row r="265" spans="1:25" ht="15" customHeight="1">
      <c r="A265" t="s">
        <v>555</v>
      </c>
      <c r="B265" t="s">
        <v>556</v>
      </c>
      <c r="C265" s="28">
        <v>322</v>
      </c>
      <c r="E265" t="s">
        <v>556</v>
      </c>
      <c r="F265" s="28">
        <v>6</v>
      </c>
      <c r="G265" t="b">
        <f>IF(B265=E265,TRUE,FALSE)</f>
        <v>1</v>
      </c>
      <c r="J265" s="25">
        <f>F265-C265</f>
        <v>-316</v>
      </c>
      <c r="K265" s="4">
        <f>F265/C265-1</f>
        <v>-0.98136645962732916</v>
      </c>
      <c r="M265" s="5">
        <v>147.97</v>
      </c>
      <c r="N265" s="5">
        <v>0</v>
      </c>
      <c r="Q265" s="159">
        <v>0</v>
      </c>
      <c r="T265" s="174">
        <f>N265/F265</f>
        <v>0</v>
      </c>
      <c r="U265" s="146">
        <f>N265-M265</f>
        <v>-147.97</v>
      </c>
      <c r="V265" s="4">
        <f>IF(M265=0,0,N265/M265-1)</f>
        <v>-1</v>
      </c>
      <c r="W265" s="18">
        <v>9613.9500000000007</v>
      </c>
      <c r="X265" s="18">
        <v>179.7</v>
      </c>
      <c r="Y265" s="4">
        <f>X265/W265-1</f>
        <v>-0.98130841121495327</v>
      </c>
    </row>
    <row r="266" spans="1:25" ht="15" customHeight="1">
      <c r="A266" t="s">
        <v>557</v>
      </c>
      <c r="B266" t="s">
        <v>558</v>
      </c>
      <c r="C266" s="28">
        <v>1139</v>
      </c>
      <c r="E266" t="s">
        <v>558</v>
      </c>
      <c r="F266" s="28">
        <v>919</v>
      </c>
      <c r="G266" t="b">
        <f>IF(B266=E266,TRUE,FALSE)</f>
        <v>1</v>
      </c>
      <c r="J266" s="25">
        <f>F266-C266</f>
        <v>-220</v>
      </c>
      <c r="K266" s="4">
        <f>F266/C266-1</f>
        <v>-0.19315188762071989</v>
      </c>
      <c r="M266" s="5">
        <v>1625.62</v>
      </c>
      <c r="N266" s="5">
        <v>1474.74</v>
      </c>
      <c r="Q266" s="159">
        <v>11760.57</v>
      </c>
      <c r="T266" s="174">
        <f>N266/F266</f>
        <v>1.6047225244831338</v>
      </c>
      <c r="U266" s="146">
        <f>N266-M266</f>
        <v>-150.87999999999988</v>
      </c>
      <c r="V266" s="4">
        <f>IF(M266=0,0,N266/M266-1)</f>
        <v>-9.2813818727623842E-2</v>
      </c>
      <c r="W266" s="18">
        <v>41713.89</v>
      </c>
      <c r="X266" s="18">
        <v>35789.980000000003</v>
      </c>
      <c r="Y266" s="4">
        <f>X266/W266-1</f>
        <v>-0.14201288827294689</v>
      </c>
    </row>
    <row r="267" spans="1:25" ht="15" customHeight="1">
      <c r="A267" t="s">
        <v>559</v>
      </c>
      <c r="B267" t="s">
        <v>560</v>
      </c>
      <c r="C267" s="28">
        <v>1061</v>
      </c>
      <c r="E267" t="s">
        <v>560</v>
      </c>
      <c r="F267" s="28">
        <v>994</v>
      </c>
      <c r="G267" t="b">
        <f>IF(B267=E267,TRUE,FALSE)</f>
        <v>1</v>
      </c>
      <c r="J267" s="25">
        <f>F267-C267</f>
        <v>-67</v>
      </c>
      <c r="K267" s="4">
        <f>F267/C267-1</f>
        <v>-6.3147973609802066E-2</v>
      </c>
      <c r="M267" s="5">
        <v>1630.5</v>
      </c>
      <c r="N267" s="5">
        <v>1475.03</v>
      </c>
      <c r="Q267" s="159">
        <v>10670.71</v>
      </c>
      <c r="T267" s="174">
        <f>N267/F267</f>
        <v>1.4839336016096578</v>
      </c>
      <c r="U267" s="146">
        <f>N267-M267</f>
        <v>-155.47000000000003</v>
      </c>
      <c r="V267" s="4">
        <f>IF(M267=0,0,N267/M267-1)</f>
        <v>-9.535111928856177E-2</v>
      </c>
      <c r="W267" s="18">
        <v>31776.35</v>
      </c>
      <c r="X267" s="18">
        <v>29609.33</v>
      </c>
      <c r="Y267" s="4">
        <f>X267/W267-1</f>
        <v>-6.8196001114036009E-2</v>
      </c>
    </row>
    <row r="268" spans="1:25" ht="15" customHeight="1">
      <c r="A268" s="57" t="s">
        <v>561</v>
      </c>
      <c r="B268" s="37" t="s">
        <v>562</v>
      </c>
      <c r="C268" s="28">
        <v>241</v>
      </c>
      <c r="E268" s="37" t="s">
        <v>562</v>
      </c>
      <c r="F268" s="28">
        <v>195</v>
      </c>
      <c r="G268" t="b">
        <f>IF(B268=E268,TRUE,FALSE)</f>
        <v>1</v>
      </c>
      <c r="J268" s="25">
        <f>F268-C268</f>
        <v>-46</v>
      </c>
      <c r="K268" s="4">
        <f>F268/C268-1</f>
        <v>-0.1908713692946058</v>
      </c>
      <c r="M268" s="5">
        <v>841.24</v>
      </c>
      <c r="N268" s="5">
        <v>675.68</v>
      </c>
      <c r="Q268" s="159">
        <v>3043.75</v>
      </c>
      <c r="T268" s="174">
        <f>N268/F268</f>
        <v>3.4650256410256408</v>
      </c>
      <c r="U268" s="146">
        <f>N268-M268</f>
        <v>-165.56000000000006</v>
      </c>
      <c r="V268" s="4">
        <f>IF(M268=0,0,N268/M268-1)</f>
        <v>-0.19680471684655987</v>
      </c>
      <c r="W268" s="18">
        <v>4067.83</v>
      </c>
      <c r="X268" s="18">
        <v>3248.84</v>
      </c>
      <c r="Y268" s="4">
        <f>X268/W268-1</f>
        <v>-0.20133338905509812</v>
      </c>
    </row>
    <row r="269" spans="1:25" ht="15" customHeight="1">
      <c r="A269" t="s">
        <v>563</v>
      </c>
      <c r="B269" t="s">
        <v>564</v>
      </c>
      <c r="C269" s="28">
        <v>1708</v>
      </c>
      <c r="E269" t="s">
        <v>564</v>
      </c>
      <c r="F269" s="28">
        <v>1385</v>
      </c>
      <c r="G269" t="b">
        <f>IF(B269=E269,TRUE,FALSE)</f>
        <v>1</v>
      </c>
      <c r="J269" s="25">
        <f>F269-C269</f>
        <v>-323</v>
      </c>
      <c r="K269" s="4">
        <f>F269/C269-1</f>
        <v>-0.18911007025761128</v>
      </c>
      <c r="M269" s="5">
        <v>1965.5</v>
      </c>
      <c r="N269" s="5">
        <v>1799.84</v>
      </c>
      <c r="Q269" s="159">
        <v>14544.21</v>
      </c>
      <c r="T269" s="174">
        <f>N269/F269</f>
        <v>1.2995234657039711</v>
      </c>
      <c r="U269" s="146">
        <f>N269-M269</f>
        <v>-165.66000000000008</v>
      </c>
      <c r="V269" s="4">
        <f>IF(M269=0,0,N269/M269-1)</f>
        <v>-8.4283897227168669E-2</v>
      </c>
      <c r="W269" s="18">
        <v>47226.81</v>
      </c>
      <c r="X269" s="18">
        <v>41541.93</v>
      </c>
      <c r="Y269" s="4">
        <f>X269/W269-1</f>
        <v>-0.12037399942956128</v>
      </c>
    </row>
    <row r="270" spans="1:25" ht="15" customHeight="1">
      <c r="A270" t="s">
        <v>565</v>
      </c>
      <c r="B270" t="s">
        <v>566</v>
      </c>
      <c r="C270" s="28">
        <v>542</v>
      </c>
      <c r="E270" t="s">
        <v>566</v>
      </c>
      <c r="F270" s="28">
        <v>515</v>
      </c>
      <c r="G270" t="b">
        <f>IF(B270=E270,TRUE,FALSE)</f>
        <v>1</v>
      </c>
      <c r="J270" s="25">
        <f>F270-C270</f>
        <v>-27</v>
      </c>
      <c r="K270" s="4">
        <f>F270/C270-1</f>
        <v>-4.9815498154981541E-2</v>
      </c>
      <c r="M270" s="5">
        <v>451.59</v>
      </c>
      <c r="N270" s="5">
        <v>280.41000000000003</v>
      </c>
      <c r="Q270" s="159">
        <v>2011.16</v>
      </c>
      <c r="T270" s="174">
        <f>N270/F270</f>
        <v>0.54448543689320394</v>
      </c>
      <c r="U270" s="146">
        <f>N270-M270</f>
        <v>-171.17999999999995</v>
      </c>
      <c r="V270" s="4">
        <f>IF(M270=0,0,N270/M270-1)</f>
        <v>-0.37906065236165543</v>
      </c>
      <c r="W270" s="18">
        <v>16254.58</v>
      </c>
      <c r="X270" s="18">
        <v>15444.85</v>
      </c>
      <c r="Y270" s="4">
        <f>X270/W270-1</f>
        <v>-4.9815498154981541E-2</v>
      </c>
    </row>
    <row r="271" spans="1:25" ht="15" customHeight="1">
      <c r="A271" t="s">
        <v>567</v>
      </c>
      <c r="B271" t="s">
        <v>568</v>
      </c>
      <c r="C271" s="28">
        <v>482</v>
      </c>
      <c r="E271" t="s">
        <v>568</v>
      </c>
      <c r="F271" s="28">
        <v>463</v>
      </c>
      <c r="G271" t="b">
        <f>IF(B271=E271,TRUE,FALSE)</f>
        <v>1</v>
      </c>
      <c r="J271" s="25">
        <f>F271-C271</f>
        <v>-19</v>
      </c>
      <c r="K271" s="4">
        <f>F271/C271-1</f>
        <v>-3.9419087136929432E-2</v>
      </c>
      <c r="M271" s="5">
        <v>1067.6600000000001</v>
      </c>
      <c r="N271" s="5">
        <v>895.99</v>
      </c>
      <c r="Q271" s="159">
        <v>5154.8599999999997</v>
      </c>
      <c r="T271" s="174">
        <f>N271/F271</f>
        <v>1.9351835853131749</v>
      </c>
      <c r="U271" s="146">
        <f>N271-M271</f>
        <v>-171.67000000000007</v>
      </c>
      <c r="V271" s="4">
        <f>IF(M271=0,0,N271/M271-1)</f>
        <v>-0.16079088848509826</v>
      </c>
      <c r="W271" s="18">
        <v>7707.18</v>
      </c>
      <c r="X271" s="18">
        <v>7403.37</v>
      </c>
      <c r="Y271" s="4">
        <f>X271/W271-1</f>
        <v>-3.9419087136929543E-2</v>
      </c>
    </row>
    <row r="272" spans="1:25" ht="15" customHeight="1">
      <c r="A272" t="s">
        <v>569</v>
      </c>
      <c r="B272" t="s">
        <v>570</v>
      </c>
      <c r="C272" s="28">
        <v>1701</v>
      </c>
      <c r="E272" t="s">
        <v>570</v>
      </c>
      <c r="F272" s="28">
        <v>1709</v>
      </c>
      <c r="G272" t="b">
        <f>IF(B272=E272,TRUE,FALSE)</f>
        <v>1</v>
      </c>
      <c r="J272" s="25">
        <f>F272-C272</f>
        <v>8</v>
      </c>
      <c r="K272" s="4">
        <f>F272/C272-1</f>
        <v>4.7031158142269991E-3</v>
      </c>
      <c r="M272" s="5">
        <v>2210.61</v>
      </c>
      <c r="N272" s="5">
        <v>2033.23</v>
      </c>
      <c r="Q272" s="159">
        <v>16337.76</v>
      </c>
      <c r="T272" s="174">
        <f>N272/F272</f>
        <v>1.1897191339964892</v>
      </c>
      <c r="U272" s="146">
        <f>N272-M272</f>
        <v>-177.38000000000011</v>
      </c>
      <c r="V272" s="4">
        <f>IF(M272=0,0,N272/M272-1)</f>
        <v>-8.0240295664997463E-2</v>
      </c>
      <c r="W272" s="18">
        <v>63242.13</v>
      </c>
      <c r="X272" s="18">
        <v>64735.42</v>
      </c>
      <c r="Y272" s="4">
        <f>X272/W272-1</f>
        <v>2.3612266063777421E-2</v>
      </c>
    </row>
    <row r="273" spans="1:25" ht="15" customHeight="1">
      <c r="A273" t="s">
        <v>571</v>
      </c>
      <c r="B273" t="s">
        <v>572</v>
      </c>
      <c r="C273" s="28">
        <v>562</v>
      </c>
      <c r="E273" t="s">
        <v>572</v>
      </c>
      <c r="F273" s="28">
        <v>350</v>
      </c>
      <c r="G273" t="b">
        <f>IF(B273=E273,TRUE,FALSE)</f>
        <v>1</v>
      </c>
      <c r="J273" s="25">
        <f>F273-C273</f>
        <v>-212</v>
      </c>
      <c r="K273" s="4">
        <f>F273/C273-1</f>
        <v>-0.37722419928825623</v>
      </c>
      <c r="M273" s="5">
        <v>1148.8599999999999</v>
      </c>
      <c r="N273" s="5">
        <v>969.98</v>
      </c>
      <c r="Q273" s="159">
        <v>4082.48</v>
      </c>
      <c r="T273" s="174">
        <f>N273/F273</f>
        <v>2.7713714285714288</v>
      </c>
      <c r="U273" s="146">
        <f>N273-M273</f>
        <v>-178.87999999999988</v>
      </c>
      <c r="V273" s="4">
        <f>IF(M273=0,0,N273/M273-1)</f>
        <v>-0.15570217432933509</v>
      </c>
      <c r="W273" s="18">
        <v>12737.18</v>
      </c>
      <c r="X273" s="18">
        <v>8388.34</v>
      </c>
      <c r="Y273" s="4">
        <f>X273/W273-1</f>
        <v>-0.34142879350060218</v>
      </c>
    </row>
    <row r="274" spans="1:25" ht="15" customHeight="1">
      <c r="A274" s="57" t="s">
        <v>573</v>
      </c>
      <c r="B274" s="37" t="s">
        <v>574</v>
      </c>
      <c r="C274" s="28">
        <v>669</v>
      </c>
      <c r="E274" s="37" t="s">
        <v>574</v>
      </c>
      <c r="F274" s="28">
        <v>588</v>
      </c>
      <c r="G274" t="b">
        <f>IF(B274=E274,TRUE,FALSE)</f>
        <v>1</v>
      </c>
      <c r="J274" s="25">
        <f>F274-C274</f>
        <v>-81</v>
      </c>
      <c r="K274" s="4">
        <f>F274/C274-1</f>
        <v>-0.12107623318385652</v>
      </c>
      <c r="M274" s="5">
        <v>1596.27</v>
      </c>
      <c r="N274" s="5">
        <v>1414.67</v>
      </c>
      <c r="Q274" s="159">
        <v>6264.8</v>
      </c>
      <c r="T274" s="174">
        <f>N274/F274</f>
        <v>2.4059013605442177</v>
      </c>
      <c r="U274" s="146">
        <f>N274-M274</f>
        <v>-181.59999999999991</v>
      </c>
      <c r="V274" s="4">
        <f>IF(M274=0,0,N274/M274-1)</f>
        <v>-0.11376521515783666</v>
      </c>
      <c r="W274" s="18">
        <v>11366.140000000001</v>
      </c>
      <c r="X274" s="18">
        <v>9988.93</v>
      </c>
      <c r="Y274" s="4">
        <f>X274/W274-1</f>
        <v>-0.12116778431376007</v>
      </c>
    </row>
    <row r="275" spans="1:25" ht="15" customHeight="1">
      <c r="A275" t="s">
        <v>575</v>
      </c>
      <c r="B275" t="s">
        <v>576</v>
      </c>
      <c r="C275" s="28">
        <v>1035</v>
      </c>
      <c r="E275" t="s">
        <v>576</v>
      </c>
      <c r="F275" s="28">
        <v>870</v>
      </c>
      <c r="G275" t="b">
        <f>IF(B275=E275,TRUE,FALSE)</f>
        <v>1</v>
      </c>
      <c r="J275" s="25">
        <f>F275-C275</f>
        <v>-165</v>
      </c>
      <c r="K275" s="4">
        <f>F275/C275-1</f>
        <v>-0.15942028985507251</v>
      </c>
      <c r="M275" s="5">
        <v>1958.29</v>
      </c>
      <c r="N275" s="5">
        <v>1773.8600000000001</v>
      </c>
      <c r="Q275" s="159">
        <v>12887.529999999999</v>
      </c>
      <c r="T275" s="174">
        <f>N275/F275</f>
        <v>2.0389195402298852</v>
      </c>
      <c r="U275" s="146">
        <f>N275-M275</f>
        <v>-184.42999999999984</v>
      </c>
      <c r="V275" s="4">
        <f>IF(M275=0,0,N275/M275-1)</f>
        <v>-9.4179105239775462E-2</v>
      </c>
      <c r="W275" s="18">
        <v>24383.32</v>
      </c>
      <c r="X275" s="18">
        <v>21683.33</v>
      </c>
      <c r="Y275" s="4">
        <f>X275/W275-1</f>
        <v>-0.11073102432318482</v>
      </c>
    </row>
    <row r="276" spans="1:25" ht="15" customHeight="1">
      <c r="A276" t="s">
        <v>577</v>
      </c>
      <c r="B276" t="s">
        <v>578</v>
      </c>
      <c r="C276" s="28">
        <v>546</v>
      </c>
      <c r="E276" t="s">
        <v>578</v>
      </c>
      <c r="F276" s="28">
        <v>550</v>
      </c>
      <c r="G276" t="b">
        <f>IF(B276=E276,TRUE,FALSE)</f>
        <v>1</v>
      </c>
      <c r="J276" s="25">
        <f>F276-C276</f>
        <v>4</v>
      </c>
      <c r="K276" s="4">
        <f>F276/C276-1</f>
        <v>7.3260073260073E-3</v>
      </c>
      <c r="M276" s="5">
        <v>607.29999999999995</v>
      </c>
      <c r="N276" s="5">
        <v>410.36</v>
      </c>
      <c r="Q276" s="159">
        <v>2839.72</v>
      </c>
      <c r="T276" s="174">
        <f>N276/F276</f>
        <v>0.74610909090909094</v>
      </c>
      <c r="U276" s="146">
        <f>N276-M276</f>
        <v>-196.93999999999994</v>
      </c>
      <c r="V276" s="4">
        <f>IF(M276=0,0,N276/M276-1)</f>
        <v>-0.32428783138481798</v>
      </c>
      <c r="W276" s="18">
        <v>14190.54</v>
      </c>
      <c r="X276" s="18">
        <v>14294.5</v>
      </c>
      <c r="Y276" s="4">
        <f>X276/W276-1</f>
        <v>7.3260073260073E-3</v>
      </c>
    </row>
    <row r="277" spans="1:25" ht="15" customHeight="1">
      <c r="A277" t="s">
        <v>579</v>
      </c>
      <c r="B277" s="27" t="s">
        <v>580</v>
      </c>
      <c r="C277" s="28">
        <v>2266</v>
      </c>
      <c r="D277" s="19"/>
      <c r="E277" s="27" t="s">
        <v>580</v>
      </c>
      <c r="F277" s="28">
        <v>1872</v>
      </c>
      <c r="G277" t="b">
        <f>IF(B277=E277,TRUE,FALSE)</f>
        <v>1</v>
      </c>
      <c r="H277" s="19"/>
      <c r="I277" s="19"/>
      <c r="J277" s="25">
        <f>F277-C277</f>
        <v>-394</v>
      </c>
      <c r="K277" s="4">
        <f>F277/C277-1</f>
        <v>-0.17387466902030013</v>
      </c>
      <c r="M277" s="5">
        <v>3755.64</v>
      </c>
      <c r="N277" s="5">
        <v>3558.03</v>
      </c>
      <c r="Q277" s="159">
        <v>20882.39</v>
      </c>
      <c r="T277" s="174">
        <f>N277/F277</f>
        <v>1.9006570512820513</v>
      </c>
      <c r="U277" s="146">
        <f>N277-M277</f>
        <v>-197.60999999999967</v>
      </c>
      <c r="V277" s="4">
        <f>IF(M277=0,0,N277/M277-1)</f>
        <v>-5.2616864236188721E-2</v>
      </c>
      <c r="W277" s="18">
        <v>51369.26</v>
      </c>
      <c r="X277" s="18">
        <v>44820.480000000003</v>
      </c>
      <c r="Y277" s="4">
        <f>X277/W277-1</f>
        <v>-0.12748441383037246</v>
      </c>
    </row>
    <row r="278" spans="1:25" ht="15" customHeight="1">
      <c r="A278" t="s">
        <v>581</v>
      </c>
      <c r="B278" t="s">
        <v>582</v>
      </c>
      <c r="C278" s="28">
        <v>1216</v>
      </c>
      <c r="E278" t="s">
        <v>582</v>
      </c>
      <c r="F278" s="28">
        <v>1190</v>
      </c>
      <c r="G278" t="b">
        <f>IF(B278=E278,TRUE,FALSE)</f>
        <v>1</v>
      </c>
      <c r="J278" s="25">
        <f>F278-C278</f>
        <v>-26</v>
      </c>
      <c r="K278" s="4">
        <f>F278/C278-1</f>
        <v>-2.1381578947368474E-2</v>
      </c>
      <c r="M278" s="5">
        <v>1014.25</v>
      </c>
      <c r="N278" s="5">
        <v>797.65</v>
      </c>
      <c r="Q278" s="159">
        <v>4434.74</v>
      </c>
      <c r="T278" s="174">
        <f>N278/F278</f>
        <v>0.67029411764705882</v>
      </c>
      <c r="U278" s="146">
        <f>N278-M278</f>
        <v>-216.60000000000002</v>
      </c>
      <c r="V278" s="4">
        <f>IF(M278=0,0,N278/M278-1)</f>
        <v>-0.21355681538082327</v>
      </c>
      <c r="W278" s="18">
        <v>32823.760000000002</v>
      </c>
      <c r="X278" s="18">
        <v>32169.75</v>
      </c>
      <c r="Y278" s="4">
        <f>X278/W278-1</f>
        <v>-1.9924895868115078E-2</v>
      </c>
    </row>
    <row r="279" spans="1:25" ht="15" customHeight="1">
      <c r="A279" t="s">
        <v>583</v>
      </c>
      <c r="B279" t="s">
        <v>584</v>
      </c>
      <c r="C279" s="28">
        <v>356</v>
      </c>
      <c r="E279" t="s">
        <v>584</v>
      </c>
      <c r="F279" s="28">
        <v>322</v>
      </c>
      <c r="G279" t="b">
        <f>IF(B279=E279,TRUE,FALSE)</f>
        <v>1</v>
      </c>
      <c r="J279" s="25">
        <f>F279-C279</f>
        <v>-34</v>
      </c>
      <c r="K279" s="4">
        <f>F279/C279-1</f>
        <v>-9.5505617977528101E-2</v>
      </c>
      <c r="M279" s="5">
        <v>682.51</v>
      </c>
      <c r="N279" s="5">
        <v>462.51</v>
      </c>
      <c r="Q279" s="159">
        <v>2010.37</v>
      </c>
      <c r="T279" s="174">
        <f>N279/F279</f>
        <v>1.4363664596273291</v>
      </c>
      <c r="U279" s="146">
        <f>N279-M279</f>
        <v>-220</v>
      </c>
      <c r="V279" s="4">
        <f>IF(M279=0,0,N279/M279-1)</f>
        <v>-0.32233959941978874</v>
      </c>
      <c r="W279" s="18">
        <v>9594.2000000000007</v>
      </c>
      <c r="X279" s="18">
        <v>8677.9</v>
      </c>
      <c r="Y279" s="4">
        <f>X279/W279-1</f>
        <v>-9.5505617977528212E-2</v>
      </c>
    </row>
    <row r="280" spans="1:25" ht="15" customHeight="1">
      <c r="A280" s="55" t="s">
        <v>585</v>
      </c>
      <c r="B280" s="37" t="s">
        <v>586</v>
      </c>
      <c r="C280" s="28">
        <v>808</v>
      </c>
      <c r="E280" s="37" t="s">
        <v>586</v>
      </c>
      <c r="F280" s="28">
        <v>719</v>
      </c>
      <c r="G280" t="b">
        <f>IF(B280=E280,TRUE,FALSE)</f>
        <v>1</v>
      </c>
      <c r="J280" s="25">
        <f>F280-C280</f>
        <v>-89</v>
      </c>
      <c r="K280" s="4">
        <f>F280/C280-1</f>
        <v>-0.11014851485148514</v>
      </c>
      <c r="M280" s="5">
        <v>1637.79</v>
      </c>
      <c r="N280" s="5">
        <v>1414.75</v>
      </c>
      <c r="Q280" s="158">
        <v>6059.77</v>
      </c>
      <c r="T280" s="174">
        <f>N280/F280</f>
        <v>1.967663421418637</v>
      </c>
      <c r="U280" s="146">
        <f>N280-M280</f>
        <v>-223.03999999999996</v>
      </c>
      <c r="V280" s="4">
        <f>IF(M280=0,0,N280/M280-1)</f>
        <v>-0.13618351559113195</v>
      </c>
      <c r="W280" s="18">
        <v>8071.92</v>
      </c>
      <c r="X280" s="18">
        <v>8446.81</v>
      </c>
      <c r="Y280" s="4">
        <f>X280/W280-1</f>
        <v>4.6443720948671441E-2</v>
      </c>
    </row>
    <row r="281" spans="1:25" ht="15" customHeight="1">
      <c r="A281" t="s">
        <v>587</v>
      </c>
      <c r="B281" t="s">
        <v>588</v>
      </c>
      <c r="C281" s="28">
        <v>996</v>
      </c>
      <c r="E281" t="s">
        <v>588</v>
      </c>
      <c r="F281" s="28">
        <v>716</v>
      </c>
      <c r="G281" t="b">
        <f>IF(B281=E281,TRUE,FALSE)</f>
        <v>1</v>
      </c>
      <c r="J281" s="25">
        <f>F281-C281</f>
        <v>-280</v>
      </c>
      <c r="K281" s="4">
        <f>F281/C281-1</f>
        <v>-0.28112449799196793</v>
      </c>
      <c r="M281" s="5">
        <v>979.07</v>
      </c>
      <c r="N281" s="5">
        <v>754.86</v>
      </c>
      <c r="Q281" s="159">
        <v>4838.28</v>
      </c>
      <c r="T281" s="174">
        <f>N281/F281</f>
        <v>1.0542737430167597</v>
      </c>
      <c r="U281" s="146">
        <f>N281-M281</f>
        <v>-224.21000000000004</v>
      </c>
      <c r="V281" s="4">
        <f>IF(M281=0,0,N281/M281-1)</f>
        <v>-0.22900303349096596</v>
      </c>
      <c r="W281" s="18">
        <v>22319.64</v>
      </c>
      <c r="X281" s="18">
        <v>17159.04</v>
      </c>
      <c r="Y281" s="4">
        <f>X281/W281-1</f>
        <v>-0.2312134066678494</v>
      </c>
    </row>
    <row r="282" spans="1:25" ht="15" customHeight="1">
      <c r="A282" t="s">
        <v>589</v>
      </c>
      <c r="B282" t="s">
        <v>590</v>
      </c>
      <c r="C282" s="28">
        <v>1278</v>
      </c>
      <c r="E282" t="s">
        <v>590</v>
      </c>
      <c r="F282" s="28">
        <v>1007</v>
      </c>
      <c r="G282" t="b">
        <f>IF(B282=E282,TRUE,FALSE)</f>
        <v>1</v>
      </c>
      <c r="J282" s="25">
        <f>F282-C282</f>
        <v>-271</v>
      </c>
      <c r="K282" s="4">
        <f>F282/C282-1</f>
        <v>-0.2120500782472613</v>
      </c>
      <c r="M282" s="5">
        <v>1837.6599999999999</v>
      </c>
      <c r="N282" s="5">
        <v>1611.94</v>
      </c>
      <c r="Q282" s="159">
        <v>10538.45</v>
      </c>
      <c r="T282" s="174">
        <f>N282/F282</f>
        <v>1.6007348560079444</v>
      </c>
      <c r="U282" s="146">
        <f>N282-M282</f>
        <v>-225.7199999999998</v>
      </c>
      <c r="V282" s="4">
        <f>IF(M282=0,0,N282/M282-1)</f>
        <v>-0.12283012091464129</v>
      </c>
      <c r="W282" s="18">
        <v>36286.76</v>
      </c>
      <c r="X282" s="18">
        <v>29729.99</v>
      </c>
      <c r="Y282" s="4">
        <f>X282/W282-1</f>
        <v>-0.18069317844855814</v>
      </c>
    </row>
    <row r="283" spans="1:25" ht="15" customHeight="1">
      <c r="A283" s="55" t="s">
        <v>591</v>
      </c>
      <c r="B283" s="37" t="s">
        <v>592</v>
      </c>
      <c r="C283" s="28">
        <v>1090</v>
      </c>
      <c r="E283" s="37" t="s">
        <v>592</v>
      </c>
      <c r="F283" s="28">
        <v>1088</v>
      </c>
      <c r="G283" t="b">
        <f>IF(B283=E283,TRUE,FALSE)</f>
        <v>1</v>
      </c>
      <c r="J283" s="25">
        <f>F283-C283</f>
        <v>-2</v>
      </c>
      <c r="K283" s="4">
        <f>F283/C283-1</f>
        <v>-1.8348623853210455E-3</v>
      </c>
      <c r="M283" s="5">
        <v>2630.19</v>
      </c>
      <c r="N283" s="5">
        <v>2403.79</v>
      </c>
      <c r="Q283" s="159">
        <v>10950.7</v>
      </c>
      <c r="T283" s="174">
        <f>N283/F283</f>
        <v>2.2093658088235295</v>
      </c>
      <c r="U283" s="146">
        <f>N283-M283</f>
        <v>-226.40000000000009</v>
      </c>
      <c r="V283" s="4">
        <f>IF(M283=0,0,N283/M283-1)</f>
        <v>-8.6077431668434623E-2</v>
      </c>
      <c r="W283" s="18">
        <v>19664.79</v>
      </c>
      <c r="X283" s="18">
        <v>18707.8</v>
      </c>
      <c r="Y283" s="4">
        <f>X283/W283-1</f>
        <v>-4.8665152284870672E-2</v>
      </c>
    </row>
    <row r="284" spans="1:25" ht="15" customHeight="1">
      <c r="A284" s="56" t="s">
        <v>593</v>
      </c>
      <c r="B284" s="37" t="s">
        <v>594</v>
      </c>
      <c r="C284" s="28">
        <v>1077</v>
      </c>
      <c r="E284" s="37" t="s">
        <v>594</v>
      </c>
      <c r="F284" s="28">
        <v>982</v>
      </c>
      <c r="G284" t="b">
        <f>IF(B284=E284,TRUE,FALSE)</f>
        <v>1</v>
      </c>
      <c r="J284" s="25">
        <f>F284-C284</f>
        <v>-95</v>
      </c>
      <c r="K284" s="4">
        <f>F284/C284-1</f>
        <v>-8.8207985143918255E-2</v>
      </c>
      <c r="M284" s="5">
        <v>2268.12</v>
      </c>
      <c r="N284" s="5">
        <v>2040.27</v>
      </c>
      <c r="Q284" s="159">
        <v>17390.21</v>
      </c>
      <c r="T284" s="174">
        <f>N284/F284</f>
        <v>2.0776680244399186</v>
      </c>
      <c r="U284" s="146">
        <f>N284-M284</f>
        <v>-227.84999999999991</v>
      </c>
      <c r="V284" s="4">
        <f>IF(M284=0,0,N284/M284-1)</f>
        <v>-0.10045764774350563</v>
      </c>
      <c r="W284" s="18">
        <v>31222.23</v>
      </c>
      <c r="X284" s="18">
        <v>28468.18</v>
      </c>
      <c r="Y284" s="4">
        <f>X284/W284-1</f>
        <v>-8.8207985143918255E-2</v>
      </c>
    </row>
    <row r="285" spans="1:25" ht="15" customHeight="1">
      <c r="A285" t="s">
        <v>595</v>
      </c>
      <c r="B285" t="s">
        <v>596</v>
      </c>
      <c r="C285" s="28">
        <v>1219</v>
      </c>
      <c r="E285" t="s">
        <v>596</v>
      </c>
      <c r="F285" s="28">
        <v>1255</v>
      </c>
      <c r="G285" t="b">
        <f>IF(B285=E285,TRUE,FALSE)</f>
        <v>1</v>
      </c>
      <c r="J285" s="25">
        <f>F285-C285</f>
        <v>36</v>
      </c>
      <c r="K285" s="4">
        <f>F285/C285-1</f>
        <v>2.9532403609515923E-2</v>
      </c>
      <c r="M285" s="5">
        <v>2078.7799999999997</v>
      </c>
      <c r="N285" s="5">
        <v>1848.64</v>
      </c>
      <c r="Q285" s="159">
        <v>10414.1</v>
      </c>
      <c r="T285" s="174">
        <f>N285/F285</f>
        <v>1.4730199203187251</v>
      </c>
      <c r="U285" s="146">
        <f>N285-M285</f>
        <v>-230.13999999999965</v>
      </c>
      <c r="V285" s="4">
        <f>IF(M285=0,0,N285/M285-1)</f>
        <v>-0.11070916595310698</v>
      </c>
      <c r="W285" s="18">
        <v>36551.769999999997</v>
      </c>
      <c r="X285" s="18">
        <v>37637.449999999997</v>
      </c>
      <c r="Y285" s="4">
        <f>X285/W285-1</f>
        <v>2.970252876946855E-2</v>
      </c>
    </row>
    <row r="286" spans="1:25" ht="15" customHeight="1">
      <c r="A286" t="s">
        <v>597</v>
      </c>
      <c r="B286" t="s">
        <v>598</v>
      </c>
      <c r="C286" s="28">
        <v>1229</v>
      </c>
      <c r="E286" t="s">
        <v>598</v>
      </c>
      <c r="F286" s="28">
        <v>1114</v>
      </c>
      <c r="G286" t="b">
        <f>IF(B286=E286,TRUE,FALSE)</f>
        <v>1</v>
      </c>
      <c r="J286" s="25">
        <f>F286-C286</f>
        <v>-115</v>
      </c>
      <c r="K286" s="4">
        <f>F286/C286-1</f>
        <v>-9.3572009764035791E-2</v>
      </c>
      <c r="M286" s="5">
        <v>1120.8800000000001</v>
      </c>
      <c r="N286" s="5">
        <v>881.88</v>
      </c>
      <c r="Q286" s="159">
        <v>10067.459999999999</v>
      </c>
      <c r="T286" s="174">
        <f>N286/F286</f>
        <v>0.79163375224416521</v>
      </c>
      <c r="U286" s="146">
        <f>N286-M286</f>
        <v>-239.00000000000011</v>
      </c>
      <c r="V286" s="4">
        <f>IF(M286=0,0,N286/M286-1)</f>
        <v>-0.21322532296053109</v>
      </c>
      <c r="W286" s="18">
        <v>30968.86</v>
      </c>
      <c r="X286" s="18">
        <v>29993.95</v>
      </c>
      <c r="Y286" s="4">
        <f>X286/W286-1</f>
        <v>-3.1480332178840276E-2</v>
      </c>
    </row>
    <row r="287" spans="1:25" ht="15" customHeight="1">
      <c r="A287" t="s">
        <v>599</v>
      </c>
      <c r="B287" t="s">
        <v>600</v>
      </c>
      <c r="C287" s="28">
        <v>408</v>
      </c>
      <c r="E287" t="s">
        <v>600</v>
      </c>
      <c r="F287" s="28">
        <v>0</v>
      </c>
      <c r="G287" t="b">
        <f>IF(B287=E287,TRUE,FALSE)</f>
        <v>1</v>
      </c>
      <c r="J287" s="25">
        <f>F287-C287</f>
        <v>-408</v>
      </c>
      <c r="K287" s="4">
        <f>F287/C287-1</f>
        <v>-1</v>
      </c>
      <c r="M287" s="5">
        <v>246.22</v>
      </c>
      <c r="N287" s="5">
        <v>0</v>
      </c>
      <c r="Q287" s="159">
        <v>0</v>
      </c>
      <c r="U287" s="146">
        <f>N287-M287</f>
        <v>-246.22</v>
      </c>
      <c r="V287" s="4">
        <f>IF(M287=0,0,N287/M287-1)</f>
        <v>-1</v>
      </c>
      <c r="W287" s="18">
        <v>10449.92</v>
      </c>
      <c r="X287" s="18">
        <v>0</v>
      </c>
      <c r="Y287" s="4">
        <f>X287/W287-1</f>
        <v>-1</v>
      </c>
    </row>
    <row r="288" spans="1:25" ht="15" customHeight="1">
      <c r="A288" t="s">
        <v>601</v>
      </c>
      <c r="B288" t="s">
        <v>602</v>
      </c>
      <c r="C288" s="28">
        <v>403</v>
      </c>
      <c r="E288" t="s">
        <v>602</v>
      </c>
      <c r="F288" s="28">
        <v>300</v>
      </c>
      <c r="G288" t="b">
        <f>IF(B288=E288,TRUE,FALSE)</f>
        <v>1</v>
      </c>
      <c r="J288" s="25">
        <f>F288-C288</f>
        <v>-103</v>
      </c>
      <c r="K288" s="4">
        <f>F288/C288-1</f>
        <v>-0.25558312655086846</v>
      </c>
      <c r="M288" s="5">
        <v>786.34</v>
      </c>
      <c r="N288" s="5">
        <v>533.17999999999995</v>
      </c>
      <c r="Q288" s="159">
        <v>3214.44</v>
      </c>
      <c r="T288" s="174">
        <f>N288/F288</f>
        <v>1.7772666666666666</v>
      </c>
      <c r="U288" s="146">
        <f>N288-M288</f>
        <v>-253.16000000000008</v>
      </c>
      <c r="V288" s="4">
        <f>IF(M288=0,0,N288/M288-1)</f>
        <v>-0.32194724928148133</v>
      </c>
      <c r="W288" s="18">
        <v>11613.97</v>
      </c>
      <c r="X288" s="18">
        <v>8686.56</v>
      </c>
      <c r="Y288" s="4">
        <f>X288/W288-1</f>
        <v>-0.25205937332367834</v>
      </c>
    </row>
    <row r="289" spans="1:25" ht="15" customHeight="1">
      <c r="A289" t="s">
        <v>603</v>
      </c>
      <c r="B289" t="s">
        <v>604</v>
      </c>
      <c r="C289" s="28">
        <v>1136</v>
      </c>
      <c r="E289" t="s">
        <v>604</v>
      </c>
      <c r="F289" s="28">
        <v>1095</v>
      </c>
      <c r="G289" t="b">
        <f>IF(B289=E289,TRUE,FALSE)</f>
        <v>1</v>
      </c>
      <c r="J289" s="25">
        <f>F289-C289</f>
        <v>-41</v>
      </c>
      <c r="K289" s="4">
        <f>F289/C289-1</f>
        <v>-3.6091549295774628E-2</v>
      </c>
      <c r="M289" s="5">
        <v>802.04</v>
      </c>
      <c r="N289" s="5">
        <v>541.59</v>
      </c>
      <c r="Q289" s="159">
        <v>2987.17</v>
      </c>
      <c r="T289" s="174">
        <f>N289/F289</f>
        <v>0.49460273972602742</v>
      </c>
      <c r="U289" s="146">
        <f>N289-M289</f>
        <v>-260.44999999999993</v>
      </c>
      <c r="V289" s="4">
        <f>IF(M289=0,0,N289/M289-1)</f>
        <v>-0.32473442721061285</v>
      </c>
      <c r="W289" s="18">
        <v>40884.639999999999</v>
      </c>
      <c r="X289" s="18">
        <v>39409.050000000003</v>
      </c>
      <c r="Y289" s="4">
        <f>X289/W289-1</f>
        <v>-3.6091549295774517E-2</v>
      </c>
    </row>
    <row r="290" spans="1:25" ht="15" customHeight="1">
      <c r="A290" s="55" t="s">
        <v>605</v>
      </c>
      <c r="B290" s="37" t="s">
        <v>606</v>
      </c>
      <c r="C290" s="28">
        <v>1073</v>
      </c>
      <c r="E290" s="37" t="s">
        <v>606</v>
      </c>
      <c r="F290" s="28">
        <v>882</v>
      </c>
      <c r="G290" t="b">
        <f>IF(B290=E290,TRUE,FALSE)</f>
        <v>1</v>
      </c>
      <c r="J290" s="25">
        <f>F290-C290</f>
        <v>-191</v>
      </c>
      <c r="K290" s="4">
        <f>F290/C290-1</f>
        <v>-0.17800559179869524</v>
      </c>
      <c r="M290" s="5">
        <v>3452.91</v>
      </c>
      <c r="N290" s="5">
        <v>3187.24</v>
      </c>
      <c r="Q290" s="159">
        <v>18087.810000000001</v>
      </c>
      <c r="T290" s="174">
        <f>N290/F290</f>
        <v>3.6136507936507933</v>
      </c>
      <c r="U290" s="146">
        <f>N290-M290</f>
        <v>-265.67000000000007</v>
      </c>
      <c r="V290" s="4">
        <f>IF(M290=0,0,N290/M290-1)</f>
        <v>-7.6940899125665041E-2</v>
      </c>
      <c r="W290" s="18">
        <v>25410.079999999998</v>
      </c>
      <c r="X290" s="18">
        <v>19857.419999999998</v>
      </c>
      <c r="Y290" s="4">
        <f>X290/W290-1</f>
        <v>-0.21852194089904475</v>
      </c>
    </row>
    <row r="291" spans="1:25" ht="15" customHeight="1">
      <c r="A291" s="55" t="s">
        <v>607</v>
      </c>
      <c r="B291" s="37" t="s">
        <v>608</v>
      </c>
      <c r="C291" s="28">
        <v>710</v>
      </c>
      <c r="E291" s="37" t="s">
        <v>608</v>
      </c>
      <c r="F291" s="28">
        <v>696</v>
      </c>
      <c r="G291" t="b">
        <f>IF(B291=E291,TRUE,FALSE)</f>
        <v>1</v>
      </c>
      <c r="J291" s="25">
        <f>F291-C291</f>
        <v>-14</v>
      </c>
      <c r="K291" s="4">
        <f>F291/C291-1</f>
        <v>-1.9718309859154903E-2</v>
      </c>
      <c r="M291" s="5">
        <v>1531.94</v>
      </c>
      <c r="N291" s="5">
        <v>1257.1099999999999</v>
      </c>
      <c r="Q291" s="158">
        <v>5976.09</v>
      </c>
      <c r="T291" s="174">
        <f>N291/F291</f>
        <v>1.806192528735632</v>
      </c>
      <c r="U291" s="146">
        <f>N291-M291</f>
        <v>-274.83000000000015</v>
      </c>
      <c r="V291" s="4">
        <f>IF(M291=0,0,N291/M291-1)</f>
        <v>-0.17939997650038519</v>
      </c>
      <c r="W291" s="18">
        <v>11606.9</v>
      </c>
      <c r="X291" s="18">
        <v>12521.04</v>
      </c>
      <c r="Y291" s="4">
        <f>X291/W291-1</f>
        <v>7.8758324789564904E-2</v>
      </c>
    </row>
    <row r="292" spans="1:25" ht="15" customHeight="1">
      <c r="A292" t="s">
        <v>609</v>
      </c>
      <c r="B292" t="s">
        <v>610</v>
      </c>
      <c r="C292" s="28">
        <v>438</v>
      </c>
      <c r="E292" t="s">
        <v>610</v>
      </c>
      <c r="F292" s="28">
        <v>451</v>
      </c>
      <c r="G292" t="b">
        <f>IF(B292=E292,TRUE,FALSE)</f>
        <v>1</v>
      </c>
      <c r="J292" s="25">
        <f>F292-C292</f>
        <v>13</v>
      </c>
      <c r="K292" s="4">
        <f>F292/C292-1</f>
        <v>2.9680365296803624E-2</v>
      </c>
      <c r="M292" s="5">
        <v>1051.29</v>
      </c>
      <c r="N292" s="5">
        <v>776.23</v>
      </c>
      <c r="Q292" s="159">
        <v>4494.92</v>
      </c>
      <c r="T292" s="174">
        <f>N292/F292</f>
        <v>1.7211308203991131</v>
      </c>
      <c r="U292" s="146">
        <f>N292-M292</f>
        <v>-275.05999999999995</v>
      </c>
      <c r="V292" s="4">
        <f>IF(M292=0,0,N292/M292-1)</f>
        <v>-0.26164046076724778</v>
      </c>
      <c r="W292" s="18">
        <v>12696.17</v>
      </c>
      <c r="X292" s="18">
        <v>13070.43</v>
      </c>
      <c r="Y292" s="4">
        <f>X292/W292-1</f>
        <v>2.9478181215280008E-2</v>
      </c>
    </row>
    <row r="293" spans="1:25" ht="15" customHeight="1">
      <c r="A293" s="55" t="s">
        <v>611</v>
      </c>
      <c r="B293" s="37" t="s">
        <v>612</v>
      </c>
      <c r="C293" s="28">
        <v>726</v>
      </c>
      <c r="E293" s="37" t="s">
        <v>612</v>
      </c>
      <c r="F293" s="28">
        <v>704</v>
      </c>
      <c r="G293" t="b">
        <f>IF(B293=E293,TRUE,FALSE)</f>
        <v>1</v>
      </c>
      <c r="J293" s="25">
        <f>F293-C293</f>
        <v>-22</v>
      </c>
      <c r="K293" s="4">
        <f>F293/C293-1</f>
        <v>-3.0303030303030276E-2</v>
      </c>
      <c r="M293" s="5">
        <v>1332.94</v>
      </c>
      <c r="N293" s="5">
        <v>1051.6300000000001</v>
      </c>
      <c r="Q293" s="159">
        <v>4499.3599999999997</v>
      </c>
      <c r="T293" s="174">
        <f>N293/F293</f>
        <v>1.4937926136363637</v>
      </c>
      <c r="U293" s="146">
        <f>N293-M293</f>
        <v>-281.30999999999995</v>
      </c>
      <c r="V293" s="4">
        <f>IF(M293=0,0,N293/M293-1)</f>
        <v>-0.21104475820367008</v>
      </c>
      <c r="W293" s="18">
        <v>11608.74</v>
      </c>
      <c r="X293" s="18">
        <v>10594.56</v>
      </c>
      <c r="Y293" s="4">
        <f>X293/W293-1</f>
        <v>-8.7363486476568553E-2</v>
      </c>
    </row>
    <row r="294" spans="1:25" ht="15" customHeight="1">
      <c r="A294" t="s">
        <v>613</v>
      </c>
      <c r="B294" t="s">
        <v>614</v>
      </c>
      <c r="C294" s="28">
        <v>947</v>
      </c>
      <c r="E294" t="s">
        <v>614</v>
      </c>
      <c r="F294" s="28">
        <v>776</v>
      </c>
      <c r="G294" t="b">
        <f>IF(B294=E294,TRUE,FALSE)</f>
        <v>1</v>
      </c>
      <c r="J294" s="25">
        <f>F294-C294</f>
        <v>-171</v>
      </c>
      <c r="K294" s="4">
        <f>F294/C294-1</f>
        <v>-0.18057022175290394</v>
      </c>
      <c r="M294" s="5">
        <v>1486.2</v>
      </c>
      <c r="N294" s="5">
        <v>1202.67</v>
      </c>
      <c r="Q294" s="159">
        <v>7917.67</v>
      </c>
      <c r="T294" s="174">
        <f>N294/F294</f>
        <v>1.5498324742268041</v>
      </c>
      <c r="U294" s="146">
        <f>N294-M294</f>
        <v>-283.52999999999997</v>
      </c>
      <c r="V294" s="4">
        <f>IF(M294=0,0,N294/M294-1)</f>
        <v>-0.19077513120710532</v>
      </c>
      <c r="W294" s="18">
        <v>26780.55</v>
      </c>
      <c r="X294" s="18">
        <v>23329.52</v>
      </c>
      <c r="Y294" s="4">
        <f>X294/W294-1</f>
        <v>-0.12886329817722186</v>
      </c>
    </row>
    <row r="295" spans="1:25" ht="15" customHeight="1">
      <c r="A295" t="s">
        <v>615</v>
      </c>
      <c r="B295" t="s">
        <v>616</v>
      </c>
      <c r="C295" s="28">
        <v>1198</v>
      </c>
      <c r="E295" t="s">
        <v>616</v>
      </c>
      <c r="F295" s="28">
        <v>1095</v>
      </c>
      <c r="G295" t="b">
        <f>IF(B295=E295,TRUE,FALSE)</f>
        <v>1</v>
      </c>
      <c r="J295" s="25">
        <f>F295-C295</f>
        <v>-103</v>
      </c>
      <c r="K295" s="4">
        <f>F295/C295-1</f>
        <v>-8.5976627712854747E-2</v>
      </c>
      <c r="M295" s="5">
        <v>1838.45</v>
      </c>
      <c r="N295" s="5">
        <v>1512.69</v>
      </c>
      <c r="Q295" s="159">
        <v>6345.11</v>
      </c>
      <c r="T295" s="174">
        <f>N295/F295</f>
        <v>1.3814520547945206</v>
      </c>
      <c r="U295" s="146">
        <f>N295-M295</f>
        <v>-325.76</v>
      </c>
      <c r="V295" s="4">
        <f>IF(M295=0,0,N295/M295-1)</f>
        <v>-0.17719274388751394</v>
      </c>
      <c r="W295" s="18">
        <v>29887.79</v>
      </c>
      <c r="X295" s="18">
        <v>27310.07</v>
      </c>
      <c r="Y295" s="4">
        <f>X295/W295-1</f>
        <v>-8.6246590999200734E-2</v>
      </c>
    </row>
    <row r="296" spans="1:25" ht="15" customHeight="1">
      <c r="A296" t="s">
        <v>617</v>
      </c>
      <c r="B296" t="s">
        <v>618</v>
      </c>
      <c r="C296" s="28">
        <v>1520</v>
      </c>
      <c r="E296" t="s">
        <v>618</v>
      </c>
      <c r="F296" s="28">
        <v>1207</v>
      </c>
      <c r="G296" t="b">
        <f>IF(B296=E296,TRUE,FALSE)</f>
        <v>1</v>
      </c>
      <c r="J296" s="25">
        <f>F296-C296</f>
        <v>-313</v>
      </c>
      <c r="K296" s="4">
        <f>F296/C296-1</f>
        <v>-0.20592105263157889</v>
      </c>
      <c r="M296" s="5">
        <v>1817.29</v>
      </c>
      <c r="N296" s="5">
        <v>1487.28</v>
      </c>
      <c r="Q296" s="159">
        <v>12335.58</v>
      </c>
      <c r="T296" s="174">
        <f>N296/F296</f>
        <v>1.2322120961060481</v>
      </c>
      <c r="U296" s="146">
        <f>N296-M296</f>
        <v>-330.01</v>
      </c>
      <c r="V296" s="4">
        <f>IF(M296=0,0,N296/M296-1)</f>
        <v>-0.18159457213763353</v>
      </c>
      <c r="W296" s="18">
        <v>42967.3</v>
      </c>
      <c r="X296" s="18">
        <v>36182.629999999997</v>
      </c>
      <c r="Y296" s="4">
        <f>X296/W296-1</f>
        <v>-0.15790310305744149</v>
      </c>
    </row>
    <row r="297" spans="1:25" ht="15" customHeight="1">
      <c r="A297" t="s">
        <v>619</v>
      </c>
      <c r="B297" t="s">
        <v>620</v>
      </c>
      <c r="C297" s="28">
        <v>846</v>
      </c>
      <c r="E297" t="s">
        <v>620</v>
      </c>
      <c r="F297" s="28">
        <v>1590</v>
      </c>
      <c r="G297" t="b">
        <f>IF(B297=E297,TRUE,FALSE)</f>
        <v>1</v>
      </c>
      <c r="J297" s="25">
        <f>F297-C297</f>
        <v>744</v>
      </c>
      <c r="K297" s="4">
        <f>F297/C297-1</f>
        <v>0.87943262411347511</v>
      </c>
      <c r="M297" s="5">
        <v>744.41</v>
      </c>
      <c r="N297" s="5">
        <v>411.44</v>
      </c>
      <c r="Q297" s="159">
        <v>5379.4</v>
      </c>
      <c r="T297" s="174">
        <f>N297/F297</f>
        <v>0.25876729559748429</v>
      </c>
      <c r="U297" s="146">
        <f>N297-M297</f>
        <v>-332.96999999999997</v>
      </c>
      <c r="V297" s="4">
        <f>IF(M297=0,0,N297/M297-1)</f>
        <v>-0.44729383001303047</v>
      </c>
      <c r="W297" s="18">
        <v>33861.54</v>
      </c>
      <c r="X297" s="18">
        <v>61610.5</v>
      </c>
      <c r="Y297" s="4">
        <f>X297/W297-1</f>
        <v>0.81948310679313452</v>
      </c>
    </row>
    <row r="298" spans="1:25" ht="15" customHeight="1">
      <c r="A298" t="s">
        <v>621</v>
      </c>
      <c r="B298" t="s">
        <v>622</v>
      </c>
      <c r="C298" s="28">
        <v>1115</v>
      </c>
      <c r="E298" t="s">
        <v>622</v>
      </c>
      <c r="F298" s="28">
        <v>739</v>
      </c>
      <c r="G298" t="b">
        <f>IF(B298=E298,TRUE,FALSE)</f>
        <v>1</v>
      </c>
      <c r="J298" s="25">
        <f>F298-C298</f>
        <v>-376</v>
      </c>
      <c r="K298" s="4">
        <f>F298/C298-1</f>
        <v>-0.33721973094170399</v>
      </c>
      <c r="M298" s="5">
        <v>1030.47</v>
      </c>
      <c r="N298" s="5">
        <v>684.82</v>
      </c>
      <c r="Q298" s="159">
        <v>5948.91</v>
      </c>
      <c r="T298" s="174">
        <f>N298/F298</f>
        <v>0.92668470906630585</v>
      </c>
      <c r="U298" s="146">
        <f>N298-M298</f>
        <v>-345.65</v>
      </c>
      <c r="V298" s="4">
        <f>IF(M298=0,0,N298/M298-1)</f>
        <v>-0.33542946422506237</v>
      </c>
      <c r="W298" s="18">
        <v>26072.880000000001</v>
      </c>
      <c r="X298" s="18">
        <v>18440.599999999999</v>
      </c>
      <c r="Y298" s="4">
        <f>X298/W298-1</f>
        <v>-0.2927286897343141</v>
      </c>
    </row>
    <row r="299" spans="1:25" ht="15" customHeight="1">
      <c r="A299" s="57" t="s">
        <v>623</v>
      </c>
      <c r="B299" s="37" t="s">
        <v>624</v>
      </c>
      <c r="C299" s="28">
        <v>1563</v>
      </c>
      <c r="E299" s="37" t="s">
        <v>624</v>
      </c>
      <c r="F299" s="28">
        <v>1407</v>
      </c>
      <c r="G299" t="b">
        <f>IF(B299=E299,TRUE,FALSE)</f>
        <v>1</v>
      </c>
      <c r="J299" s="25">
        <f>F299-C299</f>
        <v>-156</v>
      </c>
      <c r="K299" s="4">
        <f>F299/C299-1</f>
        <v>-9.9808061420345484E-2</v>
      </c>
      <c r="M299" s="5">
        <v>3761.82</v>
      </c>
      <c r="N299" s="5">
        <v>3403.57</v>
      </c>
      <c r="Q299" s="159">
        <v>20692.86</v>
      </c>
      <c r="T299" s="174">
        <f>N299/F299</f>
        <v>2.4190262970859986</v>
      </c>
      <c r="U299" s="146">
        <f>N299-M299</f>
        <v>-358.25</v>
      </c>
      <c r="V299" s="4">
        <f>IF(M299=0,0,N299/M299-1)</f>
        <v>-9.5233158417999841E-2</v>
      </c>
      <c r="W299" s="18">
        <v>31457.969999999998</v>
      </c>
      <c r="X299" s="18">
        <v>27263.13</v>
      </c>
      <c r="Y299" s="4">
        <f>X299/W299-1</f>
        <v>-0.1333474474036308</v>
      </c>
    </row>
    <row r="300" spans="1:25" ht="15" customHeight="1">
      <c r="A300" s="37" t="s">
        <v>623</v>
      </c>
      <c r="B300" s="37" t="s">
        <v>624</v>
      </c>
      <c r="C300" s="28">
        <v>1563</v>
      </c>
      <c r="E300" s="37" t="s">
        <v>624</v>
      </c>
      <c r="F300" s="28">
        <v>1407</v>
      </c>
      <c r="G300" t="b">
        <f>IF(B300=E300,TRUE,FALSE)</f>
        <v>1</v>
      </c>
      <c r="J300" s="25">
        <f>F300-C300</f>
        <v>-156</v>
      </c>
      <c r="K300" s="4">
        <f>F300/C300-1</f>
        <v>-9.9808061420345484E-2</v>
      </c>
      <c r="M300" s="5">
        <v>3761.82</v>
      </c>
      <c r="N300" s="5">
        <v>3403.57</v>
      </c>
      <c r="Q300" s="159">
        <v>20692.86</v>
      </c>
      <c r="T300" s="174">
        <f>N300/F300</f>
        <v>2.4190262970859986</v>
      </c>
      <c r="U300" s="146">
        <f>N300-M300</f>
        <v>-358.25</v>
      </c>
      <c r="V300" s="4">
        <f>IF(M300=0,0,N300/M300-1)</f>
        <v>-9.5233158417999841E-2</v>
      </c>
      <c r="W300" s="18">
        <v>31457.969999999998</v>
      </c>
      <c r="X300" s="18">
        <v>27263.13</v>
      </c>
      <c r="Y300" s="4">
        <f>X300/W300-1</f>
        <v>-0.1333474474036308</v>
      </c>
    </row>
    <row r="301" spans="1:25" ht="15" customHeight="1">
      <c r="A301" s="55" t="s">
        <v>625</v>
      </c>
      <c r="B301" s="37" t="s">
        <v>626</v>
      </c>
      <c r="C301" s="28">
        <v>1142</v>
      </c>
      <c r="E301" s="37" t="s">
        <v>626</v>
      </c>
      <c r="F301" s="28">
        <v>757</v>
      </c>
      <c r="G301" t="b">
        <f>IF(B301=E301,TRUE,FALSE)</f>
        <v>1</v>
      </c>
      <c r="J301" s="25">
        <f>F301-C301</f>
        <v>-385</v>
      </c>
      <c r="K301" s="4">
        <f>F301/C301-1</f>
        <v>-0.33712784588441336</v>
      </c>
      <c r="M301" s="5">
        <v>1950.15</v>
      </c>
      <c r="N301" s="5">
        <v>1590.59</v>
      </c>
      <c r="Q301" s="158">
        <v>5453.25</v>
      </c>
      <c r="T301" s="174">
        <f>N301/F301</f>
        <v>2.1011756935270807</v>
      </c>
      <c r="U301" s="146">
        <f>N301-M301</f>
        <v>-359.56000000000017</v>
      </c>
      <c r="V301" s="4">
        <f>IF(M301=0,0,N301/M301-1)</f>
        <v>-0.1843755608542933</v>
      </c>
      <c r="W301" s="18">
        <v>11468.58</v>
      </c>
      <c r="X301" s="18">
        <v>10576.44</v>
      </c>
      <c r="Y301" s="4">
        <f>X301/W301-1</f>
        <v>-7.7789926913358065E-2</v>
      </c>
    </row>
    <row r="302" spans="1:25" ht="15" customHeight="1">
      <c r="A302" t="s">
        <v>627</v>
      </c>
      <c r="B302" t="s">
        <v>628</v>
      </c>
      <c r="C302" s="28">
        <v>802</v>
      </c>
      <c r="E302" t="s">
        <v>628</v>
      </c>
      <c r="F302" s="28">
        <v>681</v>
      </c>
      <c r="G302" t="b">
        <f>IF(B302=E302,TRUE,FALSE)</f>
        <v>1</v>
      </c>
      <c r="J302" s="25">
        <f>F302-C302</f>
        <v>-121</v>
      </c>
      <c r="K302" s="4">
        <f>F302/C302-1</f>
        <v>-0.1508728179551122</v>
      </c>
      <c r="M302" s="5">
        <v>1323.91</v>
      </c>
      <c r="N302" s="5">
        <v>930.38</v>
      </c>
      <c r="Q302" s="159">
        <v>4404.05</v>
      </c>
      <c r="T302" s="174">
        <f>N302/F302</f>
        <v>1.3661967694566814</v>
      </c>
      <c r="U302" s="146">
        <f>N302-M302</f>
        <v>-393.53000000000009</v>
      </c>
      <c r="V302" s="4">
        <f>IF(M302=0,0,N302/M302-1)</f>
        <v>-0.2972483023770498</v>
      </c>
      <c r="W302" s="18">
        <v>20041.98</v>
      </c>
      <c r="X302" s="18">
        <v>17018.189999999999</v>
      </c>
      <c r="Y302" s="4">
        <f>X302/W302-1</f>
        <v>-0.15087281795511231</v>
      </c>
    </row>
    <row r="303" spans="1:25" ht="15" customHeight="1">
      <c r="A303" s="55" t="s">
        <v>629</v>
      </c>
      <c r="B303" s="37" t="s">
        <v>630</v>
      </c>
      <c r="C303" s="19">
        <v>1468</v>
      </c>
      <c r="E303" s="37" t="s">
        <v>630</v>
      </c>
      <c r="F303" s="19">
        <v>1361</v>
      </c>
      <c r="G303" t="b">
        <f>IF(B303=E303,TRUE,FALSE)</f>
        <v>1</v>
      </c>
      <c r="J303" s="25">
        <f>F303-C303</f>
        <v>-107</v>
      </c>
      <c r="K303" s="4">
        <f>F303/C303-1</f>
        <v>-7.2888283378746643E-2</v>
      </c>
      <c r="M303" s="5">
        <v>3468.07</v>
      </c>
      <c r="N303" s="5">
        <v>3045.67</v>
      </c>
      <c r="Q303" s="158">
        <v>13930.36</v>
      </c>
      <c r="T303" s="174">
        <f>N303/F303</f>
        <v>2.2378177810433506</v>
      </c>
      <c r="U303" s="146">
        <f>N303-M303</f>
        <v>-422.40000000000009</v>
      </c>
      <c r="V303" s="4">
        <f>IF(M303=0,0,N303/M303-1)</f>
        <v>-0.12179684954455938</v>
      </c>
      <c r="W303">
        <v>25819.469999999998</v>
      </c>
      <c r="X303">
        <v>26554.07</v>
      </c>
      <c r="Y303" s="4">
        <f>X303/W303-1</f>
        <v>2.8451397336970885E-2</v>
      </c>
    </row>
    <row r="304" spans="1:25" ht="15" customHeight="1">
      <c r="A304" t="s">
        <v>631</v>
      </c>
      <c r="B304" t="s">
        <v>632</v>
      </c>
      <c r="C304" s="28">
        <v>697</v>
      </c>
      <c r="E304" t="s">
        <v>632</v>
      </c>
      <c r="F304" s="28">
        <v>531</v>
      </c>
      <c r="G304" t="b">
        <f>IF(B304=E304,TRUE,FALSE)</f>
        <v>1</v>
      </c>
      <c r="J304" s="25">
        <f>F304-C304</f>
        <v>-166</v>
      </c>
      <c r="K304" s="4">
        <f>F304/C304-1</f>
        <v>-0.23816355810616929</v>
      </c>
      <c r="M304" s="5">
        <v>1242.77</v>
      </c>
      <c r="N304" s="5">
        <v>796.56</v>
      </c>
      <c r="Q304" s="159">
        <v>3262.3</v>
      </c>
      <c r="T304" s="174">
        <f>N304/F304</f>
        <v>1.5001129943502824</v>
      </c>
      <c r="U304" s="146">
        <f>N304-M304</f>
        <v>-446.21000000000004</v>
      </c>
      <c r="V304" s="4">
        <f>IF(M304=0,0,N304/M304-1)</f>
        <v>-0.35904471462941656</v>
      </c>
      <c r="W304" s="18">
        <v>15256.63</v>
      </c>
      <c r="X304" s="18">
        <v>13269.69</v>
      </c>
      <c r="Y304" s="4">
        <f>X304/W304-1</f>
        <v>-0.13023452754638465</v>
      </c>
    </row>
    <row r="305" spans="1:25" ht="15" customHeight="1">
      <c r="A305" s="55" t="s">
        <v>633</v>
      </c>
      <c r="B305" s="37" t="s">
        <v>634</v>
      </c>
      <c r="C305" s="28">
        <v>813</v>
      </c>
      <c r="E305" s="37" t="s">
        <v>634</v>
      </c>
      <c r="F305" s="28">
        <v>748</v>
      </c>
      <c r="G305" t="b">
        <f>IF(B305=E305,TRUE,FALSE)</f>
        <v>1</v>
      </c>
      <c r="J305" s="25">
        <f>F305-C305</f>
        <v>-65</v>
      </c>
      <c r="K305" s="4">
        <f>F305/C305-1</f>
        <v>-7.9950799507995107E-2</v>
      </c>
      <c r="M305" s="5">
        <v>2077.21</v>
      </c>
      <c r="N305" s="5">
        <v>1629.38</v>
      </c>
      <c r="Q305" s="159">
        <v>8287.01</v>
      </c>
      <c r="T305" s="174">
        <f>N305/F305</f>
        <v>2.1783155080213907</v>
      </c>
      <c r="U305" s="146">
        <f>N305-M305</f>
        <v>-447.82999999999993</v>
      </c>
      <c r="V305" s="4">
        <f>IF(M305=0,0,N305/M305-1)</f>
        <v>-0.2155920682068736</v>
      </c>
      <c r="W305" s="18">
        <v>17833.89</v>
      </c>
      <c r="X305" s="18">
        <v>16359.24</v>
      </c>
      <c r="Y305" s="4">
        <f>X305/W305-1</f>
        <v>-8.2688073101269577E-2</v>
      </c>
    </row>
    <row r="306" spans="1:25" ht="15" customHeight="1">
      <c r="A306" s="55" t="s">
        <v>635</v>
      </c>
      <c r="B306" s="37" t="s">
        <v>636</v>
      </c>
      <c r="C306" s="19">
        <v>2537</v>
      </c>
      <c r="E306" s="37" t="s">
        <v>636</v>
      </c>
      <c r="F306" s="19">
        <v>1941</v>
      </c>
      <c r="G306" t="b">
        <f>IF(B306=E306,TRUE,FALSE)</f>
        <v>1</v>
      </c>
      <c r="J306" s="25">
        <f>F306-C306</f>
        <v>-596</v>
      </c>
      <c r="K306" s="4">
        <f>F306/C306-1</f>
        <v>-0.23492313756405203</v>
      </c>
      <c r="M306" s="5">
        <v>4863.33</v>
      </c>
      <c r="N306" s="5">
        <v>4381.32</v>
      </c>
      <c r="Q306" s="158">
        <v>29580.240000000002</v>
      </c>
      <c r="T306" s="174">
        <f>N306/F306</f>
        <v>2.2572488408037095</v>
      </c>
      <c r="U306" s="146">
        <f>N306-M306</f>
        <v>-482.01000000000022</v>
      </c>
      <c r="V306" s="4">
        <f>IF(M306=0,0,N306/M306-1)</f>
        <v>-9.9111102886293989E-2</v>
      </c>
      <c r="W306">
        <v>58916.26</v>
      </c>
      <c r="X306">
        <v>45583.18</v>
      </c>
      <c r="Y306" s="4">
        <f>X306/W306-1</f>
        <v>-0.22630560731451732</v>
      </c>
    </row>
    <row r="307" spans="1:25" ht="15" customHeight="1">
      <c r="A307" t="s">
        <v>637</v>
      </c>
      <c r="B307" t="s">
        <v>638</v>
      </c>
      <c r="C307" s="28">
        <v>3912</v>
      </c>
      <c r="E307" t="s">
        <v>638</v>
      </c>
      <c r="F307" s="28">
        <v>2767</v>
      </c>
      <c r="G307" t="b">
        <f>IF(B307=E307,TRUE,FALSE)</f>
        <v>1</v>
      </c>
      <c r="J307" s="25">
        <f>F307-C307</f>
        <v>-1145</v>
      </c>
      <c r="K307" s="4">
        <f>F307/C307-1</f>
        <v>-0.29268916155419222</v>
      </c>
      <c r="M307" s="5">
        <v>4416.4399999999996</v>
      </c>
      <c r="N307" s="5">
        <v>3919.87</v>
      </c>
      <c r="Q307" s="159">
        <v>30621.46</v>
      </c>
      <c r="T307" s="174">
        <f>N307/F307</f>
        <v>1.4166498012287676</v>
      </c>
      <c r="U307" s="146">
        <f>N307-M307</f>
        <v>-496.56999999999971</v>
      </c>
      <c r="V307" s="4">
        <f>IF(M307=0,0,N307/M307-1)</f>
        <v>-0.11243671373323305</v>
      </c>
      <c r="W307" s="18">
        <v>109272.26</v>
      </c>
      <c r="X307" s="18">
        <v>82871.649999999994</v>
      </c>
      <c r="Y307" s="4">
        <f>X307/W307-1</f>
        <v>-0.24160395328146411</v>
      </c>
    </row>
    <row r="308" spans="1:25" ht="15" customHeight="1">
      <c r="A308" s="55" t="s">
        <v>639</v>
      </c>
      <c r="B308" s="37" t="s">
        <v>640</v>
      </c>
      <c r="C308" s="19">
        <v>1770</v>
      </c>
      <c r="E308" s="37" t="s">
        <v>640</v>
      </c>
      <c r="F308" s="19">
        <v>2730</v>
      </c>
      <c r="G308" t="b">
        <f>IF(B308=E308,TRUE,FALSE)</f>
        <v>1</v>
      </c>
      <c r="J308" s="25">
        <f>F308-C308</f>
        <v>960</v>
      </c>
      <c r="K308" s="4">
        <f>F308/C308-1</f>
        <v>0.54237288135593231</v>
      </c>
      <c r="M308" s="5">
        <v>2061.86</v>
      </c>
      <c r="N308" s="5">
        <v>1562.66</v>
      </c>
      <c r="Q308" s="158">
        <v>11711.41</v>
      </c>
      <c r="T308" s="174">
        <f>N308/F308</f>
        <v>0.57240293040293044</v>
      </c>
      <c r="U308" s="146">
        <f>N308-M308</f>
        <v>-499.20000000000005</v>
      </c>
      <c r="V308" s="4">
        <f>IF(M308=0,0,N308/M308-1)</f>
        <v>-0.24211149156586775</v>
      </c>
      <c r="W308">
        <v>68605.899999999994</v>
      </c>
      <c r="X308">
        <v>101596.3</v>
      </c>
      <c r="Y308" s="4">
        <f>X308/W308-1</f>
        <v>0.48086826351669476</v>
      </c>
    </row>
    <row r="309" spans="1:25" ht="15" customHeight="1">
      <c r="A309" s="55" t="s">
        <v>641</v>
      </c>
      <c r="B309" s="37" t="s">
        <v>642</v>
      </c>
      <c r="C309" s="28">
        <v>1621</v>
      </c>
      <c r="E309" s="37" t="s">
        <v>642</v>
      </c>
      <c r="F309" s="28">
        <v>1632</v>
      </c>
      <c r="G309" t="b">
        <f>IF(B309=E309,TRUE,FALSE)</f>
        <v>1</v>
      </c>
      <c r="J309" s="25">
        <f>F309-C309</f>
        <v>11</v>
      </c>
      <c r="K309" s="4">
        <f>F309/C309-1</f>
        <v>6.7859346082665972E-3</v>
      </c>
      <c r="M309" s="5">
        <v>3654.11</v>
      </c>
      <c r="N309" s="5">
        <v>3119.3</v>
      </c>
      <c r="Q309" s="158">
        <v>20248.689999999999</v>
      </c>
      <c r="T309" s="174">
        <f>N309/F309</f>
        <v>1.9113357843137255</v>
      </c>
      <c r="U309" s="146">
        <f>N309-M309</f>
        <v>-534.80999999999995</v>
      </c>
      <c r="V309" s="4">
        <f>IF(M309=0,0,N309/M309-1)</f>
        <v>-0.14635848400841789</v>
      </c>
      <c r="W309" s="18">
        <v>32403.39</v>
      </c>
      <c r="X309" s="18">
        <v>31125.48</v>
      </c>
      <c r="Y309" s="4">
        <f>X309/W309-1</f>
        <v>-3.9437540331428322E-2</v>
      </c>
    </row>
    <row r="310" spans="1:25" ht="15" customHeight="1">
      <c r="A310" s="55" t="s">
        <v>643</v>
      </c>
      <c r="B310" s="37" t="s">
        <v>644</v>
      </c>
      <c r="C310" s="28">
        <v>1589</v>
      </c>
      <c r="E310" s="37" t="s">
        <v>644</v>
      </c>
      <c r="F310" s="28">
        <v>1778</v>
      </c>
      <c r="G310" t="b">
        <f>IF(B310=E310,TRUE,FALSE)</f>
        <v>1</v>
      </c>
      <c r="J310" s="25">
        <f>F310-C310</f>
        <v>189</v>
      </c>
      <c r="K310" s="4">
        <f>F310/C310-1</f>
        <v>0.11894273127753308</v>
      </c>
      <c r="M310" s="5">
        <v>3655.84</v>
      </c>
      <c r="N310" s="5">
        <v>3102.59</v>
      </c>
      <c r="Q310" s="158">
        <v>18437.36</v>
      </c>
      <c r="T310" s="174">
        <f>N310/F310</f>
        <v>1.7449887514060742</v>
      </c>
      <c r="U310" s="146">
        <f>N310-M310</f>
        <v>-553.25</v>
      </c>
      <c r="V310" s="4">
        <f>IF(M310=0,0,N310/M310-1)</f>
        <v>-0.15133320933082406</v>
      </c>
      <c r="W310" s="18">
        <v>37173.74</v>
      </c>
      <c r="X310" s="18">
        <v>51370.18</v>
      </c>
      <c r="Y310" s="4">
        <f>X310/W310-1</f>
        <v>0.38189431571856924</v>
      </c>
    </row>
    <row r="311" spans="1:25" ht="15" customHeight="1">
      <c r="A311" s="55" t="s">
        <v>645</v>
      </c>
      <c r="B311" s="37" t="s">
        <v>646</v>
      </c>
      <c r="C311" s="19">
        <v>1013</v>
      </c>
      <c r="E311" s="37" t="s">
        <v>646</v>
      </c>
      <c r="F311" s="19">
        <v>783</v>
      </c>
      <c r="G311" t="b">
        <f>IF(B311=E311,TRUE,FALSE)</f>
        <v>1</v>
      </c>
      <c r="J311" s="25">
        <f>F311-C311</f>
        <v>-230</v>
      </c>
      <c r="K311" s="4">
        <f>F311/C311-1</f>
        <v>-0.22704837117472854</v>
      </c>
      <c r="M311" s="5">
        <v>2159.77</v>
      </c>
      <c r="N311" s="5">
        <v>1605.37</v>
      </c>
      <c r="Q311" s="158">
        <v>6844.29</v>
      </c>
      <c r="T311" s="174">
        <f>N311/F311</f>
        <v>2.0502809706257983</v>
      </c>
      <c r="U311" s="146">
        <f>N311-M311</f>
        <v>-554.40000000000009</v>
      </c>
      <c r="V311" s="4">
        <f>IF(M311=0,0,N311/M311-1)</f>
        <v>-0.25669399982405539</v>
      </c>
      <c r="W311">
        <v>10119.870000000001</v>
      </c>
      <c r="X311">
        <v>10254.17</v>
      </c>
      <c r="Y311" s="4">
        <f>X311/W311-1</f>
        <v>1.3270921464406005E-2</v>
      </c>
    </row>
    <row r="312" spans="1:25" ht="15" customHeight="1">
      <c r="A312" t="s">
        <v>647</v>
      </c>
      <c r="B312" t="s">
        <v>648</v>
      </c>
      <c r="C312" s="28">
        <v>1099</v>
      </c>
      <c r="E312" t="s">
        <v>648</v>
      </c>
      <c r="F312" s="28">
        <v>1019</v>
      </c>
      <c r="G312" t="b">
        <f>IF(B312=E312,TRUE,FALSE)</f>
        <v>1</v>
      </c>
      <c r="J312" s="25">
        <f>F312-C312</f>
        <v>-80</v>
      </c>
      <c r="K312" s="4">
        <f>F312/C312-1</f>
        <v>-7.2793448589626886E-2</v>
      </c>
      <c r="M312" s="5">
        <v>2288.0100000000002</v>
      </c>
      <c r="N312" s="5">
        <v>1722.82</v>
      </c>
      <c r="Q312" s="159">
        <v>8825.4500000000007</v>
      </c>
      <c r="T312" s="174">
        <f>N312/F312</f>
        <v>1.6906967615309125</v>
      </c>
      <c r="U312" s="146">
        <f>N312-M312</f>
        <v>-565.19000000000028</v>
      </c>
      <c r="V312" s="4">
        <f>IF(M312=0,0,N312/M312-1)</f>
        <v>-0.24702252175471273</v>
      </c>
      <c r="W312" s="18">
        <v>32959.01</v>
      </c>
      <c r="X312" s="18">
        <v>30589.8</v>
      </c>
      <c r="Y312" s="4">
        <f>X312/W312-1</f>
        <v>-7.1883530482256708E-2</v>
      </c>
    </row>
    <row r="313" spans="1:25" ht="15" customHeight="1">
      <c r="A313" t="s">
        <v>649</v>
      </c>
      <c r="B313" t="s">
        <v>650</v>
      </c>
      <c r="C313" s="28">
        <v>1400</v>
      </c>
      <c r="E313" t="s">
        <v>650</v>
      </c>
      <c r="F313" s="28">
        <v>1193</v>
      </c>
      <c r="G313" t="b">
        <f>IF(B313=E313,TRUE,FALSE)</f>
        <v>1</v>
      </c>
      <c r="J313" s="25">
        <f>F313-C313</f>
        <v>-207</v>
      </c>
      <c r="K313" s="4">
        <f>F313/C313-1</f>
        <v>-0.14785714285714291</v>
      </c>
      <c r="M313" s="5">
        <v>1441.01</v>
      </c>
      <c r="N313" s="5">
        <v>846.16</v>
      </c>
      <c r="Q313" s="159">
        <v>9218.77</v>
      </c>
      <c r="T313" s="174">
        <f>N313/F313</f>
        <v>0.70927074601844087</v>
      </c>
      <c r="U313" s="146">
        <f>N313-M313</f>
        <v>-594.85</v>
      </c>
      <c r="V313" s="4">
        <f>IF(M313=0,0,N313/M313-1)</f>
        <v>-0.41280074392266541</v>
      </c>
      <c r="W313" s="18">
        <v>51728.89</v>
      </c>
      <c r="X313" s="18">
        <v>41907.58</v>
      </c>
      <c r="Y313" s="4">
        <f>X313/W313-1</f>
        <v>-0.1898612168171403</v>
      </c>
    </row>
    <row r="314" spans="1:25" ht="15" customHeight="1">
      <c r="A314" s="55" t="s">
        <v>651</v>
      </c>
      <c r="B314" s="37" t="s">
        <v>652</v>
      </c>
      <c r="C314" s="28">
        <v>3146</v>
      </c>
      <c r="E314" s="37" t="s">
        <v>652</v>
      </c>
      <c r="F314" s="28">
        <v>3384</v>
      </c>
      <c r="G314" t="b">
        <f>IF(B314=E314,TRUE,FALSE)</f>
        <v>1</v>
      </c>
      <c r="J314" s="25">
        <f>F314-C314</f>
        <v>238</v>
      </c>
      <c r="K314" s="4">
        <f>F314/C314-1</f>
        <v>7.5651621106166633E-2</v>
      </c>
      <c r="M314" s="5">
        <v>7142.23</v>
      </c>
      <c r="N314" s="5">
        <v>6490.69</v>
      </c>
      <c r="Q314" s="158">
        <v>53549.95</v>
      </c>
      <c r="T314" s="174">
        <f>N314/F314</f>
        <v>1.9180526004728131</v>
      </c>
      <c r="U314" s="146">
        <f>N314-M314</f>
        <v>-651.54</v>
      </c>
      <c r="V314" s="4">
        <f>IF(M314=0,0,N314/M314-1)</f>
        <v>-9.1223609432908193E-2</v>
      </c>
      <c r="W314" s="18">
        <v>78568.56</v>
      </c>
      <c r="X314" s="18">
        <v>84566.16</v>
      </c>
      <c r="Y314" s="4">
        <f>X314/W314-1</f>
        <v>7.6335877862595547E-2</v>
      </c>
    </row>
    <row r="315" spans="1:25" ht="15" customHeight="1">
      <c r="A315" t="s">
        <v>653</v>
      </c>
      <c r="B315" t="s">
        <v>654</v>
      </c>
      <c r="C315" s="28">
        <v>1221</v>
      </c>
      <c r="E315" t="s">
        <v>654</v>
      </c>
      <c r="F315" s="28">
        <v>1211</v>
      </c>
      <c r="G315" t="b">
        <f>IF(B315=E315,TRUE,FALSE)</f>
        <v>1</v>
      </c>
      <c r="J315" s="25">
        <f>F315-C315</f>
        <v>-10</v>
      </c>
      <c r="K315" s="4">
        <f>F315/C315-1</f>
        <v>-8.1900081900081467E-3</v>
      </c>
      <c r="M315" s="5">
        <v>2754.97</v>
      </c>
      <c r="N315" s="5">
        <v>2042.55</v>
      </c>
      <c r="Q315" s="159">
        <v>10740.81</v>
      </c>
      <c r="T315" s="174">
        <f>N315/F315</f>
        <v>1.6866639141205615</v>
      </c>
      <c r="U315" s="146">
        <f>N315-M315</f>
        <v>-712.41999999999985</v>
      </c>
      <c r="V315" s="4">
        <f>IF(M315=0,0,N315/M315-1)</f>
        <v>-0.25859446745336601</v>
      </c>
      <c r="W315" s="18">
        <v>34156.81</v>
      </c>
      <c r="X315" s="18">
        <v>32684.89</v>
      </c>
      <c r="Y315" s="4">
        <f>X315/W315-1</f>
        <v>-4.3093017175784176E-2</v>
      </c>
    </row>
    <row r="316" spans="1:25" ht="15" customHeight="1">
      <c r="A316" s="55" t="s">
        <v>655</v>
      </c>
      <c r="B316" s="37" t="s">
        <v>656</v>
      </c>
      <c r="C316" s="19">
        <v>1290</v>
      </c>
      <c r="E316" s="37" t="s">
        <v>656</v>
      </c>
      <c r="F316" s="19">
        <v>1026</v>
      </c>
      <c r="G316" t="b">
        <f>IF(B316=E316,TRUE,FALSE)</f>
        <v>1</v>
      </c>
      <c r="J316" s="25">
        <f>F316-C316</f>
        <v>-264</v>
      </c>
      <c r="K316" s="4">
        <f>F316/C316-1</f>
        <v>-0.20465116279069773</v>
      </c>
      <c r="M316" s="5">
        <v>2036.72</v>
      </c>
      <c r="N316" s="5">
        <v>1312.06</v>
      </c>
      <c r="Q316" s="158">
        <v>4932.24</v>
      </c>
      <c r="T316" s="174">
        <f>N316/F316</f>
        <v>1.2788109161793373</v>
      </c>
      <c r="U316" s="146">
        <f>N316-M316</f>
        <v>-724.66000000000008</v>
      </c>
      <c r="V316" s="4">
        <f>IF(M316=0,0,N316/M316-1)</f>
        <v>-0.35579755685612169</v>
      </c>
      <c r="W316">
        <v>18033.11</v>
      </c>
      <c r="X316">
        <v>14353.74</v>
      </c>
      <c r="Y316" s="4">
        <f>X316/W316-1</f>
        <v>-0.20403413498836309</v>
      </c>
    </row>
    <row r="317" spans="1:25" ht="15" customHeight="1">
      <c r="A317" s="55" t="s">
        <v>657</v>
      </c>
      <c r="B317" s="37" t="s">
        <v>658</v>
      </c>
      <c r="C317" s="19">
        <v>1584</v>
      </c>
      <c r="E317" s="37" t="s">
        <v>658</v>
      </c>
      <c r="F317" s="19">
        <v>965</v>
      </c>
      <c r="G317" t="b">
        <f>IF(B317=E317,TRUE,FALSE)</f>
        <v>1</v>
      </c>
      <c r="J317" s="25">
        <f>F317-C317</f>
        <v>-619</v>
      </c>
      <c r="K317" s="4">
        <f>F317/C317-1</f>
        <v>-0.39078282828282829</v>
      </c>
      <c r="M317" s="5">
        <v>3454.92</v>
      </c>
      <c r="N317" s="5">
        <v>2680.93</v>
      </c>
      <c r="Q317" s="158">
        <v>16700.32</v>
      </c>
      <c r="T317" s="174">
        <f>N317/F317</f>
        <v>2.7781658031088083</v>
      </c>
      <c r="U317" s="146">
        <f>N317-M317</f>
        <v>-773.99000000000024</v>
      </c>
      <c r="V317" s="4">
        <f>IF(M317=0,0,N317/M317-1)</f>
        <v>-0.22402544776724209</v>
      </c>
      <c r="W317">
        <v>26032.16</v>
      </c>
      <c r="X317">
        <v>20841.89</v>
      </c>
      <c r="Y317" s="4">
        <f>X317/W317-1</f>
        <v>-0.19937915255591543</v>
      </c>
    </row>
    <row r="318" spans="1:25" ht="15" customHeight="1">
      <c r="A318" t="s">
        <v>659</v>
      </c>
      <c r="B318" t="s">
        <v>660</v>
      </c>
      <c r="C318" s="28">
        <v>1046</v>
      </c>
      <c r="E318" t="s">
        <v>660</v>
      </c>
      <c r="F318" s="28">
        <v>724</v>
      </c>
      <c r="G318" t="b">
        <f>IF(B318=E318,TRUE,FALSE)</f>
        <v>1</v>
      </c>
      <c r="J318" s="25">
        <f>F318-C318</f>
        <v>-322</v>
      </c>
      <c r="K318" s="4">
        <f>F318/C318-1</f>
        <v>-0.30783938814531553</v>
      </c>
      <c r="M318" s="5">
        <v>1369.62</v>
      </c>
      <c r="N318" s="5">
        <v>569.55999999999995</v>
      </c>
      <c r="Q318" s="159">
        <v>3720.86</v>
      </c>
      <c r="T318" s="174">
        <f>N318/F318</f>
        <v>0.78668508287292815</v>
      </c>
      <c r="U318" s="146">
        <f>N318-M318</f>
        <v>-800.06</v>
      </c>
      <c r="V318" s="4">
        <f>IF(M318=0,0,N318/M318-1)</f>
        <v>-0.58414742775368356</v>
      </c>
      <c r="W318" s="18">
        <v>38691.54</v>
      </c>
      <c r="X318" s="18">
        <v>26780.76</v>
      </c>
      <c r="Y318" s="4">
        <f>X318/W318-1</f>
        <v>-0.30783938814531553</v>
      </c>
    </row>
    <row r="319" spans="1:25" ht="15" customHeight="1">
      <c r="A319" t="s">
        <v>661</v>
      </c>
      <c r="B319" t="s">
        <v>662</v>
      </c>
      <c r="C319" s="28">
        <v>2906</v>
      </c>
      <c r="E319" t="s">
        <v>662</v>
      </c>
      <c r="F319" s="28">
        <v>2311</v>
      </c>
      <c r="G319" t="b">
        <f>IF(B319=E319,TRUE,FALSE)</f>
        <v>1</v>
      </c>
      <c r="J319" s="25">
        <f>F319-C319</f>
        <v>-595</v>
      </c>
      <c r="K319" s="4">
        <f>F319/C319-1</f>
        <v>-0.20474879559532</v>
      </c>
      <c r="M319" s="5">
        <v>3116.98</v>
      </c>
      <c r="N319" s="5">
        <v>2297.11</v>
      </c>
      <c r="Q319" s="159">
        <v>20878.5</v>
      </c>
      <c r="T319" s="174">
        <f>N319/F319</f>
        <v>0.99398961488533111</v>
      </c>
      <c r="U319" s="146">
        <f>N319-M319</f>
        <v>-819.86999999999989</v>
      </c>
      <c r="V319" s="4">
        <f>IF(M319=0,0,N319/M319-1)</f>
        <v>-0.26303344904362558</v>
      </c>
      <c r="W319" s="18">
        <v>81515.8</v>
      </c>
      <c r="X319" s="18">
        <v>64905.74</v>
      </c>
      <c r="Y319" s="4">
        <f>X319/W319-1</f>
        <v>-0.20376491428655552</v>
      </c>
    </row>
    <row r="320" spans="1:25" ht="15" customHeight="1">
      <c r="A320" t="s">
        <v>663</v>
      </c>
      <c r="B320" t="s">
        <v>664</v>
      </c>
      <c r="C320" s="28">
        <v>3751</v>
      </c>
      <c r="E320" t="s">
        <v>664</v>
      </c>
      <c r="F320" s="28">
        <v>2458</v>
      </c>
      <c r="G320" t="b">
        <f>IF(B320=E320,TRUE,FALSE)</f>
        <v>1</v>
      </c>
      <c r="J320" s="25">
        <f>F320-C320</f>
        <v>-1293</v>
      </c>
      <c r="K320" s="4">
        <f>F320/C320-1</f>
        <v>-0.34470807784590773</v>
      </c>
      <c r="M320" s="5">
        <v>3196.15</v>
      </c>
      <c r="N320" s="5">
        <v>2333.2800000000002</v>
      </c>
      <c r="Q320" s="159">
        <v>14881.96</v>
      </c>
      <c r="T320" s="174">
        <f>N320/F320</f>
        <v>0.94925956061838901</v>
      </c>
      <c r="U320" s="146">
        <f>N320-M320</f>
        <v>-862.86999999999989</v>
      </c>
      <c r="V320" s="4">
        <f>IF(M320=0,0,N320/M320-1)</f>
        <v>-0.26997168468313437</v>
      </c>
      <c r="W320" s="18">
        <v>103985.68999999999</v>
      </c>
      <c r="X320" s="18">
        <v>73520.479999999996</v>
      </c>
      <c r="Y320" s="4">
        <f>X320/W320-1</f>
        <v>-0.29297502377490592</v>
      </c>
    </row>
    <row r="321" spans="1:25" ht="15" customHeight="1">
      <c r="A321" t="s">
        <v>665</v>
      </c>
      <c r="B321" t="s">
        <v>666</v>
      </c>
      <c r="C321" s="28">
        <v>1688</v>
      </c>
      <c r="E321" t="s">
        <v>666</v>
      </c>
      <c r="F321" s="28">
        <v>1388</v>
      </c>
      <c r="G321" t="b">
        <f>IF(B321=E321,TRUE,FALSE)</f>
        <v>1</v>
      </c>
      <c r="J321" s="25">
        <f>F321-C321</f>
        <v>-300</v>
      </c>
      <c r="K321" s="4">
        <f>F321/C321-1</f>
        <v>-0.17772511848341233</v>
      </c>
      <c r="M321" s="5">
        <v>2775.83</v>
      </c>
      <c r="N321" s="5">
        <v>1910.23</v>
      </c>
      <c r="Q321" s="159">
        <v>13856.18</v>
      </c>
      <c r="T321" s="174">
        <f>N321/F321</f>
        <v>1.3762463976945245</v>
      </c>
      <c r="U321" s="146">
        <f>N321-M321</f>
        <v>-865.59999999999991</v>
      </c>
      <c r="V321" s="4">
        <f>IF(M321=0,0,N321/M321-1)</f>
        <v>-0.3118346584625139</v>
      </c>
      <c r="W321" s="18">
        <v>40190.199999999997</v>
      </c>
      <c r="X321" s="18">
        <v>33298.120000000003</v>
      </c>
      <c r="Y321" s="4">
        <f>X321/W321-1</f>
        <v>-0.17148658130589034</v>
      </c>
    </row>
    <row r="322" spans="1:25" ht="15" customHeight="1">
      <c r="A322" t="s">
        <v>667</v>
      </c>
      <c r="B322" t="s">
        <v>668</v>
      </c>
      <c r="C322" s="28">
        <v>1963</v>
      </c>
      <c r="E322" t="s">
        <v>668</v>
      </c>
      <c r="F322" s="28">
        <v>1176</v>
      </c>
      <c r="G322" t="b">
        <f>IF(B322=E322,TRUE,FALSE)</f>
        <v>1</v>
      </c>
      <c r="J322" s="25">
        <f>F322-C322</f>
        <v>-787</v>
      </c>
      <c r="K322" s="4">
        <f>F322/C322-1</f>
        <v>-0.40091696383087116</v>
      </c>
      <c r="M322" s="5">
        <v>3860.49</v>
      </c>
      <c r="N322" s="5">
        <v>2689.51</v>
      </c>
      <c r="Q322" s="159">
        <v>16836.77</v>
      </c>
      <c r="T322" s="174">
        <f>N322/F322</f>
        <v>2.2869982993197282</v>
      </c>
      <c r="U322" s="146">
        <f>N322-M322</f>
        <v>-1170.9799999999996</v>
      </c>
      <c r="V322" s="4">
        <f>IF(M322=0,0,N322/M322-1)</f>
        <v>-0.30332418941636929</v>
      </c>
      <c r="W322" s="18">
        <v>54511.67</v>
      </c>
      <c r="X322" s="18">
        <v>35218.199999999997</v>
      </c>
      <c r="Y322" s="4">
        <f>X322/W322-1</f>
        <v>-0.35393283676687948</v>
      </c>
    </row>
    <row r="323" spans="1:25" ht="15" customHeight="1">
      <c r="A323" t="s">
        <v>669</v>
      </c>
      <c r="B323" t="s">
        <v>670</v>
      </c>
      <c r="C323" s="28">
        <v>3012</v>
      </c>
      <c r="E323" t="s">
        <v>670</v>
      </c>
      <c r="F323" s="28">
        <v>1691</v>
      </c>
      <c r="G323" t="b">
        <f>IF(B323=E323,TRUE,FALSE)</f>
        <v>1</v>
      </c>
      <c r="J323" s="25">
        <f>F323-C323</f>
        <v>-1321</v>
      </c>
      <c r="K323" s="4">
        <f>F323/C323-1</f>
        <v>-0.43857901726427628</v>
      </c>
      <c r="M323" s="5">
        <v>2839.51</v>
      </c>
      <c r="N323" s="5">
        <v>1576.2</v>
      </c>
      <c r="Q323" s="159">
        <v>12344.92</v>
      </c>
      <c r="T323" s="174">
        <f>N323/F323</f>
        <v>0.93211117681845068</v>
      </c>
      <c r="U323" s="146">
        <f>N323-M323</f>
        <v>-1263.3100000000002</v>
      </c>
      <c r="V323" s="4">
        <f>IF(M323=0,0,N323/M323-1)</f>
        <v>-0.44490422643343397</v>
      </c>
      <c r="W323" s="18">
        <v>107825.41</v>
      </c>
      <c r="X323" s="18">
        <v>65713.25</v>
      </c>
      <c r="Y323" s="4">
        <f>X323/W323-1</f>
        <v>-0.39055877459682276</v>
      </c>
    </row>
    <row r="324" spans="1:25" ht="15" customHeight="1">
      <c r="A324" t="s">
        <v>671</v>
      </c>
      <c r="B324" t="s">
        <v>672</v>
      </c>
      <c r="C324" s="28">
        <v>2134</v>
      </c>
      <c r="E324" t="s">
        <v>672</v>
      </c>
      <c r="F324" s="28">
        <v>1576</v>
      </c>
      <c r="G324" t="b">
        <f>IF(B324=E324,TRUE,FALSE)</f>
        <v>1</v>
      </c>
      <c r="J324" s="25">
        <f>F324-C324</f>
        <v>-558</v>
      </c>
      <c r="K324" s="4">
        <f>F324/C324-1</f>
        <v>-0.26148078725398316</v>
      </c>
      <c r="M324" s="5">
        <v>2280.6799999999998</v>
      </c>
      <c r="N324" s="5">
        <v>956.47</v>
      </c>
      <c r="Q324" s="159">
        <v>5493.51</v>
      </c>
      <c r="T324" s="174">
        <f>N324/F324</f>
        <v>0.60689720812182746</v>
      </c>
      <c r="U324" s="146">
        <f>N324-M324</f>
        <v>-1324.2099999999998</v>
      </c>
      <c r="V324" s="4">
        <f>IF(M324=0,0,N324/M324-1)</f>
        <v>-0.58062069207429357</v>
      </c>
      <c r="W324" s="18">
        <v>61841.66</v>
      </c>
      <c r="X324" s="18">
        <v>44589.440000000002</v>
      </c>
      <c r="Y324" s="4">
        <f>X324/W324-1</f>
        <v>-0.27897407669845864</v>
      </c>
    </row>
    <row r="325" spans="1:25" ht="15" customHeight="1">
      <c r="A325" t="s">
        <v>673</v>
      </c>
      <c r="B325" t="s">
        <v>674</v>
      </c>
      <c r="C325" s="28">
        <v>3610</v>
      </c>
      <c r="E325" t="s">
        <v>674</v>
      </c>
      <c r="F325" s="28">
        <v>1929</v>
      </c>
      <c r="G325" t="b">
        <f>IF(B325=E325,TRUE,FALSE)</f>
        <v>1</v>
      </c>
      <c r="J325" s="25">
        <f>F325-C325</f>
        <v>-1681</v>
      </c>
      <c r="K325" s="4">
        <f>F325/C325-1</f>
        <v>-0.46565096952908591</v>
      </c>
      <c r="M325" s="5">
        <v>3849.8</v>
      </c>
      <c r="N325" s="5">
        <v>2473.38</v>
      </c>
      <c r="Q325" s="159">
        <v>19255.02</v>
      </c>
      <c r="T325" s="174">
        <f>N325/F325</f>
        <v>1.2822083981337482</v>
      </c>
      <c r="U325" s="146">
        <f>N325-M325</f>
        <v>-1376.42</v>
      </c>
      <c r="V325" s="4">
        <f>IF(M325=0,0,N325/M325-1)</f>
        <v>-0.35753026131227594</v>
      </c>
      <c r="W325" s="18">
        <v>122100.12000000001</v>
      </c>
      <c r="X325" s="18">
        <v>71342.98</v>
      </c>
      <c r="Y325" s="4">
        <f>X325/W325-1</f>
        <v>-0.41570098375005704</v>
      </c>
    </row>
    <row r="326" spans="1:25" ht="15" customHeight="1">
      <c r="A326" t="s">
        <v>675</v>
      </c>
      <c r="B326" t="s">
        <v>676</v>
      </c>
      <c r="C326" s="28">
        <v>2460</v>
      </c>
      <c r="E326" t="s">
        <v>676</v>
      </c>
      <c r="F326" s="28">
        <v>1489</v>
      </c>
      <c r="G326" t="b">
        <f>IF(B326=E326,TRUE,FALSE)</f>
        <v>1</v>
      </c>
      <c r="J326" s="25">
        <f>F326-C326</f>
        <v>-971</v>
      </c>
      <c r="K326" s="4">
        <f>F326/C326-1</f>
        <v>-0.3947154471544716</v>
      </c>
      <c r="M326" s="5">
        <v>3320.31</v>
      </c>
      <c r="N326" s="5">
        <v>1941.73</v>
      </c>
      <c r="Q326" s="159">
        <v>15026.01</v>
      </c>
      <c r="T326" s="174">
        <f>N326/F326</f>
        <v>1.3040496977837475</v>
      </c>
      <c r="U326" s="146">
        <f>N326-M326</f>
        <v>-1378.58</v>
      </c>
      <c r="V326" s="4">
        <f>IF(M326=0,0,N326/M326-1)</f>
        <v>-0.41519617144182319</v>
      </c>
      <c r="W326" s="18">
        <v>41794.720000000001</v>
      </c>
      <c r="X326" s="18">
        <v>26766.05</v>
      </c>
      <c r="Y326" s="4">
        <f>X326/W326-1</f>
        <v>-0.35958298081671569</v>
      </c>
    </row>
    <row r="327" spans="1:25" ht="15" customHeight="1">
      <c r="A327" t="s">
        <v>677</v>
      </c>
      <c r="B327" t="s">
        <v>678</v>
      </c>
      <c r="C327" s="28">
        <v>7632</v>
      </c>
      <c r="E327" t="s">
        <v>678</v>
      </c>
      <c r="F327" s="28">
        <v>5332</v>
      </c>
      <c r="G327" t="b">
        <f>IF(B327=E327,TRUE,FALSE)</f>
        <v>1</v>
      </c>
      <c r="J327" s="25">
        <f>F327-C327</f>
        <v>-2300</v>
      </c>
      <c r="K327" s="4">
        <f>F327/C327-1</f>
        <v>-0.30136268343815509</v>
      </c>
      <c r="M327" s="5">
        <v>6764.32</v>
      </c>
      <c r="N327" s="5">
        <v>5370.41</v>
      </c>
      <c r="Q327" s="159">
        <v>36221.54</v>
      </c>
      <c r="T327" s="174">
        <f>N327/F327</f>
        <v>1.0072036759189797</v>
      </c>
      <c r="U327" s="146">
        <f>N327-M327</f>
        <v>-1393.9099999999999</v>
      </c>
      <c r="V327" s="4">
        <f>IF(M327=0,0,N327/M327-1)</f>
        <v>-0.20606801570593936</v>
      </c>
      <c r="W327" s="18">
        <v>214950.68000000002</v>
      </c>
      <c r="X327" s="18">
        <v>159350.45000000001</v>
      </c>
      <c r="Y327" s="4">
        <f>X327/W327-1</f>
        <v>-0.25866505749132784</v>
      </c>
    </row>
    <row r="328" spans="1:25" ht="15" customHeight="1">
      <c r="A328" t="s">
        <v>679</v>
      </c>
      <c r="B328" t="s">
        <v>680</v>
      </c>
      <c r="C328" s="28">
        <v>2268</v>
      </c>
      <c r="E328" t="s">
        <v>680</v>
      </c>
      <c r="F328" s="28">
        <v>2232</v>
      </c>
      <c r="G328" t="b">
        <f>IF(B328=E328,TRUE,FALSE)</f>
        <v>1</v>
      </c>
      <c r="J328" s="25">
        <f>F328-C328</f>
        <v>-36</v>
      </c>
      <c r="K328" s="4">
        <f>F328/C328-1</f>
        <v>-1.5873015873015928E-2</v>
      </c>
      <c r="M328" s="5">
        <v>4229.28</v>
      </c>
      <c r="N328" s="5">
        <v>2746.43</v>
      </c>
      <c r="Q328" s="159">
        <v>18848.71</v>
      </c>
      <c r="T328" s="174">
        <f>N328/F328</f>
        <v>1.2304793906810034</v>
      </c>
      <c r="U328" s="146">
        <f>N328-M328</f>
        <v>-1482.85</v>
      </c>
      <c r="V328" s="4">
        <f>IF(M328=0,0,N328/M328-1)</f>
        <v>-0.35061523474444822</v>
      </c>
      <c r="W328" s="18">
        <v>61211.7</v>
      </c>
      <c r="X328" s="18">
        <v>60226.29</v>
      </c>
      <c r="Y328" s="4">
        <f>X328/W328-1</f>
        <v>-1.6098392954288054E-2</v>
      </c>
    </row>
    <row r="329" spans="1:25" ht="15" customHeight="1">
      <c r="A329" t="s">
        <v>681</v>
      </c>
      <c r="B329" t="s">
        <v>682</v>
      </c>
      <c r="C329" s="28">
        <v>4765</v>
      </c>
      <c r="E329" t="s">
        <v>682</v>
      </c>
      <c r="F329" s="28">
        <v>4989</v>
      </c>
      <c r="G329" t="b">
        <f>IF(B329=E329,TRUE,FALSE)</f>
        <v>1</v>
      </c>
      <c r="J329" s="25">
        <f>F329-C329</f>
        <v>224</v>
      </c>
      <c r="K329" s="4">
        <f>F329/C329-1</f>
        <v>4.7009443861490086E-2</v>
      </c>
      <c r="M329" s="5">
        <v>5971.09</v>
      </c>
      <c r="N329" s="5">
        <v>4445.04</v>
      </c>
      <c r="Q329" s="159">
        <v>39880.69</v>
      </c>
      <c r="T329" s="174">
        <f>N329/F329</f>
        <v>0.89096812988574869</v>
      </c>
      <c r="U329" s="146">
        <f>N329-M329</f>
        <v>-1526.0500000000002</v>
      </c>
      <c r="V329" s="4">
        <f>IF(M329=0,0,N329/M329-1)</f>
        <v>-0.25557310306828407</v>
      </c>
      <c r="W329" s="18">
        <v>176154.43</v>
      </c>
      <c r="X329" s="18">
        <v>175192.29</v>
      </c>
      <c r="Y329" s="4">
        <f>X329/W329-1</f>
        <v>-5.4619120279858491E-3</v>
      </c>
    </row>
    <row r="330" spans="1:25" ht="15" customHeight="1">
      <c r="A330" t="s">
        <v>683</v>
      </c>
      <c r="B330" t="s">
        <v>684</v>
      </c>
      <c r="C330" s="28">
        <v>3562</v>
      </c>
      <c r="E330" t="s">
        <v>684</v>
      </c>
      <c r="F330" s="28">
        <v>3075</v>
      </c>
      <c r="G330" t="b">
        <f>IF(B330=E330,TRUE,FALSE)</f>
        <v>1</v>
      </c>
      <c r="J330" s="25">
        <f>F330-C330</f>
        <v>-487</v>
      </c>
      <c r="K330" s="4">
        <f>F330/C330-1</f>
        <v>-0.13672094329028639</v>
      </c>
      <c r="M330" s="5">
        <v>5592.64</v>
      </c>
      <c r="N330" s="5">
        <v>3846.18</v>
      </c>
      <c r="Q330" s="159">
        <v>29404.18</v>
      </c>
      <c r="T330" s="174">
        <f>N330/F330</f>
        <v>1.250790243902439</v>
      </c>
      <c r="U330" s="146">
        <f>N330-M330</f>
        <v>-1746.4600000000005</v>
      </c>
      <c r="V330" s="4">
        <f>IF(M330=0,0,N330/M330-1)</f>
        <v>-0.31227828002517599</v>
      </c>
      <c r="W330" s="18">
        <v>106821.38</v>
      </c>
      <c r="X330" s="18">
        <v>92191.05</v>
      </c>
      <c r="Y330" s="4">
        <f>X330/W330-1</f>
        <v>-0.13696069082799722</v>
      </c>
    </row>
    <row r="331" spans="1:25" ht="15" customHeight="1">
      <c r="A331" t="s">
        <v>685</v>
      </c>
      <c r="B331" t="s">
        <v>686</v>
      </c>
      <c r="C331" s="28">
        <v>1588</v>
      </c>
      <c r="E331" t="s">
        <v>686</v>
      </c>
      <c r="F331" s="28">
        <v>493</v>
      </c>
      <c r="G331" t="b">
        <f>IF(B331=E331,TRUE,FALSE)</f>
        <v>1</v>
      </c>
      <c r="J331" s="25">
        <f>F331-C331</f>
        <v>-1095</v>
      </c>
      <c r="K331" s="4">
        <f>F331/C331-1</f>
        <v>-0.68954659949622166</v>
      </c>
      <c r="M331" s="5">
        <v>2935.36</v>
      </c>
      <c r="N331" s="5">
        <v>1142.6400000000001</v>
      </c>
      <c r="Q331" s="159">
        <v>7411.59</v>
      </c>
      <c r="T331" s="174">
        <f>N331/F331</f>
        <v>2.3177281947261665</v>
      </c>
      <c r="U331" s="146">
        <f>N331-M331</f>
        <v>-1792.72</v>
      </c>
      <c r="V331" s="4">
        <f>IF(M331=0,0,N331/M331-1)</f>
        <v>-0.61073258475962056</v>
      </c>
      <c r="W331" s="18">
        <v>42857.69</v>
      </c>
      <c r="X331" s="18">
        <v>13302.29</v>
      </c>
      <c r="Y331" s="4">
        <f>X331/W331-1</f>
        <v>-0.68961719588713244</v>
      </c>
    </row>
    <row r="332" spans="1:25" ht="15" customHeight="1">
      <c r="A332" t="s">
        <v>687</v>
      </c>
      <c r="B332" t="s">
        <v>688</v>
      </c>
      <c r="C332" s="28">
        <v>2919</v>
      </c>
      <c r="E332" t="s">
        <v>688</v>
      </c>
      <c r="F332" s="28">
        <v>2123</v>
      </c>
      <c r="G332" t="b">
        <f>IF(B332=E332,TRUE,FALSE)</f>
        <v>1</v>
      </c>
      <c r="J332" s="25">
        <f>F332-C332</f>
        <v>-796</v>
      </c>
      <c r="K332" s="4">
        <f>F332/C332-1</f>
        <v>-0.27269612881123673</v>
      </c>
      <c r="M332" s="5">
        <v>4300.84</v>
      </c>
      <c r="N332" s="5">
        <v>2416.31</v>
      </c>
      <c r="Q332" s="159">
        <v>15256.78</v>
      </c>
      <c r="T332" s="174">
        <f>N332/F332</f>
        <v>1.1381582666038623</v>
      </c>
      <c r="U332" s="146">
        <f>N332-M332</f>
        <v>-1884.5300000000002</v>
      </c>
      <c r="V332" s="4">
        <f>IF(M332=0,0,N332/M332-1)</f>
        <v>-0.43817719329247318</v>
      </c>
      <c r="W332" s="18">
        <v>77599.929999999993</v>
      </c>
      <c r="X332" s="18">
        <v>59296.97</v>
      </c>
      <c r="Y332" s="4">
        <f>X332/W332-1</f>
        <v>-0.2358630993610431</v>
      </c>
    </row>
    <row r="333" spans="1:25" ht="15" customHeight="1">
      <c r="A333" t="s">
        <v>689</v>
      </c>
      <c r="B333" t="s">
        <v>690</v>
      </c>
      <c r="C333" s="28">
        <v>9161</v>
      </c>
      <c r="E333" t="s">
        <v>690</v>
      </c>
      <c r="F333" s="28">
        <v>6784</v>
      </c>
      <c r="G333" t="b">
        <f>IF(B333=E333,TRUE,FALSE)</f>
        <v>1</v>
      </c>
      <c r="J333" s="25">
        <f>F333-C333</f>
        <v>-2377</v>
      </c>
      <c r="K333" s="4">
        <f>F333/C333-1</f>
        <v>-0.25946949023032417</v>
      </c>
      <c r="M333" s="5">
        <v>10246.27</v>
      </c>
      <c r="N333" s="5">
        <v>8221.2199999999993</v>
      </c>
      <c r="Q333" s="159">
        <v>71504.03</v>
      </c>
      <c r="T333" s="174">
        <f>N333/F333</f>
        <v>1.2118543632075471</v>
      </c>
      <c r="U333" s="146">
        <f>N333-M333</f>
        <v>-2025.0500000000011</v>
      </c>
      <c r="V333" s="4">
        <f>IF(M333=0,0,N333/M333-1)</f>
        <v>-0.19763777452673026</v>
      </c>
      <c r="W333" s="18">
        <v>254230.40999999997</v>
      </c>
      <c r="X333" s="18">
        <v>203152.3</v>
      </c>
      <c r="Y333" s="4">
        <f>X333/W333-1</f>
        <v>-0.20091266815799103</v>
      </c>
    </row>
    <row r="334" spans="1:25" ht="15" customHeight="1">
      <c r="A334" t="s">
        <v>691</v>
      </c>
      <c r="B334" t="s">
        <v>692</v>
      </c>
      <c r="C334" s="28">
        <v>56634</v>
      </c>
      <c r="E334" t="s">
        <v>692</v>
      </c>
      <c r="F334" s="28">
        <v>57049</v>
      </c>
      <c r="G334" t="b">
        <f>IF(B334=E334,TRUE,FALSE)</f>
        <v>1</v>
      </c>
      <c r="J334" s="25">
        <f>F334-C334</f>
        <v>415</v>
      </c>
      <c r="K334" s="4">
        <f>F334/C334-1</f>
        <v>7.3277536462195147E-3</v>
      </c>
      <c r="M334" s="5">
        <v>71931.490000000005</v>
      </c>
      <c r="N334" s="5">
        <v>68750.289999999994</v>
      </c>
      <c r="Q334" s="159">
        <v>674948.18</v>
      </c>
      <c r="T334" s="174">
        <f>N334/F334</f>
        <v>1.2051094673000402</v>
      </c>
      <c r="U334" s="146">
        <f>N334-M334</f>
        <v>-3181.2000000000116</v>
      </c>
      <c r="V334" s="4">
        <f>IF(M334=0,0,N334/M334-1)</f>
        <v>-4.4225415044231831E-2</v>
      </c>
      <c r="W334" s="18">
        <v>1790213.6900000002</v>
      </c>
      <c r="X334" s="18">
        <v>1892514.13</v>
      </c>
      <c r="Y334" s="4">
        <f>X334/W334-1</f>
        <v>5.7144261923278927E-2</v>
      </c>
    </row>
    <row r="335" spans="1:25" ht="15" customHeight="1">
      <c r="A335" t="s">
        <v>693</v>
      </c>
      <c r="B335" t="s">
        <v>694</v>
      </c>
      <c r="C335" s="28">
        <v>9857</v>
      </c>
      <c r="E335" t="s">
        <v>694</v>
      </c>
      <c r="F335" s="28">
        <v>7272</v>
      </c>
      <c r="G335" t="b">
        <f>IF(B335=E335,TRUE,FALSE)</f>
        <v>1</v>
      </c>
      <c r="J335" s="25">
        <f>F335-C335</f>
        <v>-2585</v>
      </c>
      <c r="K335" s="4">
        <f>F335/C335-1</f>
        <v>-0.26225017753880486</v>
      </c>
      <c r="M335" s="5">
        <v>14796.09</v>
      </c>
      <c r="N335" s="5">
        <v>11158.54</v>
      </c>
      <c r="Q335" s="159">
        <v>104639.8</v>
      </c>
      <c r="T335" s="174">
        <f>N335/F335</f>
        <v>1.534452695269527</v>
      </c>
      <c r="U335" s="146">
        <f>N335-M335</f>
        <v>-3637.5499999999993</v>
      </c>
      <c r="V335" s="4">
        <f>IF(M335=0,0,N335/M335-1)</f>
        <v>-0.24584535509043259</v>
      </c>
      <c r="W335" s="18">
        <v>322572.65999999997</v>
      </c>
      <c r="X335" s="18">
        <v>253602.43</v>
      </c>
      <c r="Y335" s="4">
        <f>X335/W335-1</f>
        <v>-0.21381300572714368</v>
      </c>
    </row>
    <row r="336" spans="1:25" ht="15" customHeight="1">
      <c r="A336" s="55" t="s">
        <v>695</v>
      </c>
      <c r="B336" s="37" t="s">
        <v>696</v>
      </c>
      <c r="C336" s="28">
        <v>15640</v>
      </c>
      <c r="E336" s="37" t="s">
        <v>696</v>
      </c>
      <c r="F336" s="28">
        <v>9475</v>
      </c>
      <c r="G336" t="b">
        <f>IF(B336=E336,TRUE,FALSE)</f>
        <v>1</v>
      </c>
      <c r="J336" s="25">
        <f>F336-C336</f>
        <v>-6165</v>
      </c>
      <c r="K336" s="4">
        <f>F336/C336-1</f>
        <v>-0.39418158567774941</v>
      </c>
      <c r="M336" s="5">
        <v>16801.330000000002</v>
      </c>
      <c r="N336" s="5">
        <v>12292.46</v>
      </c>
      <c r="Q336" s="158">
        <v>107250.12</v>
      </c>
      <c r="T336" s="174">
        <f>N336/F336</f>
        <v>1.2973572559366753</v>
      </c>
      <c r="U336" s="146">
        <f>N336-M336</f>
        <v>-4508.8700000000026</v>
      </c>
      <c r="V336" s="4">
        <f>IF(M336=0,0,N336/M336-1)</f>
        <v>-0.26836387357429459</v>
      </c>
      <c r="W336" s="18">
        <v>356313.67</v>
      </c>
      <c r="X336" s="18">
        <v>248898.21</v>
      </c>
      <c r="Y336" s="4">
        <f>X336/W336-1</f>
        <v>-0.30146320235201751</v>
      </c>
    </row>
    <row r="337" spans="1:25" ht="15" customHeight="1">
      <c r="A337" t="s">
        <v>697</v>
      </c>
      <c r="B337" t="s">
        <v>698</v>
      </c>
      <c r="C337" s="28">
        <v>0</v>
      </c>
      <c r="E337" t="s">
        <v>698</v>
      </c>
      <c r="F337" s="28">
        <v>369</v>
      </c>
      <c r="G337" t="b">
        <f>IF(B337=E337,TRUE,FALSE)</f>
        <v>1</v>
      </c>
      <c r="J337" s="25">
        <f>F337-C337</f>
        <v>369</v>
      </c>
      <c r="K337" s="4" t="e">
        <f>F337/C337-1</f>
        <v>#DIV/0!</v>
      </c>
      <c r="M337" s="5">
        <v>0</v>
      </c>
      <c r="N337" s="5">
        <v>1178.3800000000001</v>
      </c>
      <c r="Q337" s="159">
        <v>7498.22</v>
      </c>
      <c r="T337" s="174">
        <f>N337/F337</f>
        <v>3.1934417344173447</v>
      </c>
      <c r="V337" s="4"/>
      <c r="W337" s="18">
        <v>0</v>
      </c>
      <c r="X337" s="18">
        <v>6361.59</v>
      </c>
      <c r="Y337" s="4" t="e">
        <f>X337/W337-1</f>
        <v>#DIV/0!</v>
      </c>
    </row>
    <row r="338" spans="1:25" ht="15" customHeight="1">
      <c r="A338" s="55"/>
      <c r="B338" s="37"/>
      <c r="E338" s="37"/>
    </row>
    <row r="339" spans="1:25" ht="15" customHeight="1">
      <c r="C339" s="3" t="s">
        <v>699</v>
      </c>
      <c r="D339" s="3"/>
      <c r="E339" s="3"/>
      <c r="F339" s="3" t="s">
        <v>699</v>
      </c>
      <c r="G339" s="3"/>
      <c r="H339" s="3"/>
      <c r="I339" s="3"/>
      <c r="J339" s="3" t="s">
        <v>700</v>
      </c>
      <c r="K339" s="31"/>
      <c r="L339" s="3"/>
      <c r="M339" s="33" t="s">
        <v>701</v>
      </c>
      <c r="N339" s="33" t="s">
        <v>701</v>
      </c>
      <c r="O339" s="3"/>
      <c r="Q339" s="33" t="s">
        <v>702</v>
      </c>
      <c r="R339" s="3"/>
      <c r="U339" s="147" t="s">
        <v>703</v>
      </c>
      <c r="V339" s="3"/>
      <c r="W339" s="35" t="s">
        <v>3</v>
      </c>
      <c r="X339" s="35" t="s">
        <v>3</v>
      </c>
      <c r="Y339" s="35"/>
    </row>
    <row r="340" spans="1:25" ht="15" customHeight="1">
      <c r="A340" s="20"/>
      <c r="C340" s="25">
        <f>SUM(C3:C337)</f>
        <v>689495</v>
      </c>
      <c r="F340" s="25">
        <f>SUM(F3:F337)</f>
        <v>689517</v>
      </c>
      <c r="J340" s="25">
        <f>SUM(J3:J337)</f>
        <v>22</v>
      </c>
      <c r="M340" s="18">
        <f>SUM(M3:M337)</f>
        <v>879983.59999999974</v>
      </c>
      <c r="N340" s="18">
        <f>SUM(N3:N337)</f>
        <v>999082.42</v>
      </c>
      <c r="Q340" s="18">
        <f>SUM(Q3:Q337)</f>
        <v>6672753.96</v>
      </c>
      <c r="U340" s="146">
        <f>N340-M340</f>
        <v>119098.8200000003</v>
      </c>
      <c r="V340" s="4">
        <f>IF(M340=0,0,N340/M340-1)</f>
        <v>0.13534209046623169</v>
      </c>
      <c r="W340" s="30">
        <f>SUM(W3:W337)</f>
        <v>18949710.699999999</v>
      </c>
      <c r="X340" s="30">
        <f>SUM(X3:X337)</f>
        <v>19163616.800000008</v>
      </c>
      <c r="Y340" s="31">
        <f>X340/W340-1</f>
        <v>1.1288093173897895E-2</v>
      </c>
    </row>
    <row r="342" spans="1:25" ht="15" customHeight="1">
      <c r="F342" s="19">
        <f>F340-C340</f>
        <v>22</v>
      </c>
      <c r="N342" s="33" t="s">
        <v>704</v>
      </c>
      <c r="Q342" s="26">
        <f>N340/Q340</f>
        <v>0.14972564940787958</v>
      </c>
      <c r="W342" s="3" t="s">
        <v>705</v>
      </c>
      <c r="X342" s="3" t="s">
        <v>705</v>
      </c>
    </row>
    <row r="343" spans="1:25" ht="15" customHeight="1">
      <c r="F343" s="4">
        <f>F340/C340-1</f>
        <v>3.190741049619028E-5</v>
      </c>
      <c r="W343" s="32">
        <f>M340/W340</f>
        <v>4.6437838230427429E-2</v>
      </c>
      <c r="X343" s="32">
        <f>N340/X340</f>
        <v>5.2134335101085907E-2</v>
      </c>
    </row>
    <row r="346" spans="1:25" ht="15" customHeight="1">
      <c r="W346" s="35"/>
      <c r="X346" s="35"/>
    </row>
    <row r="347" spans="1:25" ht="15" customHeight="1">
      <c r="V347" s="3"/>
      <c r="W347" s="30"/>
      <c r="X347" s="30"/>
    </row>
    <row r="348" spans="1:25" ht="15" customHeight="1">
      <c r="V348" s="3"/>
    </row>
    <row r="349" spans="1:25" ht="15" customHeight="1">
      <c r="V349" s="3"/>
    </row>
    <row r="353" spans="23:24" ht="15" customHeight="1">
      <c r="W353" s="3"/>
      <c r="X353" s="3"/>
    </row>
  </sheetData>
  <autoFilter ref="A2:AA294" xr:uid="{00000000-0001-0000-0000-000000000000}">
    <sortState xmlns:xlrd2="http://schemas.microsoft.com/office/spreadsheetml/2017/richdata2" ref="A3:AA337">
      <sortCondition descending="1" ref="U2:U294"/>
    </sortState>
  </autoFilter>
  <sortState xmlns:xlrd2="http://schemas.microsoft.com/office/spreadsheetml/2017/richdata2" ref="J3:K220">
    <sortCondition descending="1" ref="J3:J220"/>
  </sortState>
  <mergeCells count="6">
    <mergeCell ref="W1:X1"/>
    <mergeCell ref="U1:V1"/>
    <mergeCell ref="B1:C1"/>
    <mergeCell ref="J1:K1"/>
    <mergeCell ref="M1:N1"/>
    <mergeCell ref="E1:F1"/>
  </mergeCells>
  <phoneticPr fontId="3" type="noConversion"/>
  <conditionalFormatting sqref="D172 H172:I172 L172 O172:P172 R172:S172 J339:J343 J347:J1048576 J2:J337">
    <cfRule type="cellIs" dxfId="43" priority="23" operator="greaterThan">
      <formula>500</formula>
    </cfRule>
  </conditionalFormatting>
  <conditionalFormatting sqref="J3:J337">
    <cfRule type="cellIs" dxfId="42" priority="29" operator="lessThan">
      <formula>-100</formula>
    </cfRule>
  </conditionalFormatting>
  <conditionalFormatting sqref="J339">
    <cfRule type="cellIs" dxfId="41" priority="2" operator="lessThan">
      <formula>-100</formula>
    </cfRule>
  </conditionalFormatting>
  <conditionalFormatting sqref="K339:K1048576 K3:K337">
    <cfRule type="cellIs" dxfId="40" priority="3" operator="lessThan">
      <formula>-0.2</formula>
    </cfRule>
  </conditionalFormatting>
  <conditionalFormatting sqref="K3:K337">
    <cfRule type="cellIs" dxfId="39" priority="15" operator="lessThan">
      <formula>-10%</formula>
    </cfRule>
    <cfRule type="cellIs" dxfId="38" priority="46" operator="greaterThan">
      <formula>0.2</formula>
    </cfRule>
  </conditionalFormatting>
  <conditionalFormatting sqref="K339">
    <cfRule type="cellIs" dxfId="37" priority="5" operator="greaterThan">
      <formula>0.2</formula>
    </cfRule>
  </conditionalFormatting>
  <conditionalFormatting sqref="V340 V3:V337">
    <cfRule type="cellIs" dxfId="36" priority="14" operator="greaterThan">
      <formula>0.5</formula>
    </cfRule>
  </conditionalFormatting>
  <conditionalFormatting sqref="Y3:Y337">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340">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D211"/>
  <sheetViews>
    <sheetView zoomScaleNormal="100" workbookViewId="0">
      <pane xSplit="2" ySplit="2" topLeftCell="K3" activePane="bottomRight" state="frozen"/>
      <selection pane="bottomRight" activeCell="AF18" sqref="AF18"/>
      <selection pane="bottomLeft"/>
      <selection pane="topRight"/>
    </sheetView>
  </sheetViews>
  <sheetFormatPr defaultRowHeight="15" customHeight="1"/>
  <cols>
    <col min="1" max="1" width="66.42578125" customWidth="1"/>
    <col min="2" max="2" width="13.85546875" bestFit="1"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158" customWidth="1"/>
    <col min="18" max="18" width="0.85546875" customWidth="1"/>
    <col min="19" max="19" width="10.7109375" style="173" customWidth="1"/>
    <col min="20" max="20" width="11.85546875" style="134" bestFit="1" customWidth="1"/>
    <col min="22" max="22" width="0.85546875" customWidth="1"/>
    <col min="23" max="24" width="7" hidden="1" customWidth="1"/>
    <col min="25" max="25" width="13.7109375" hidden="1" customWidth="1"/>
    <col min="26" max="26" width="7.42578125" style="14" hidden="1" customWidth="1"/>
    <col min="27" max="28" width="13.28515625" customWidth="1"/>
  </cols>
  <sheetData>
    <row r="1" spans="1:30">
      <c r="B1" s="188">
        <v>45839</v>
      </c>
      <c r="C1" s="187"/>
      <c r="E1" s="188">
        <v>45870</v>
      </c>
      <c r="F1" s="187"/>
      <c r="J1" s="189"/>
      <c r="K1" s="189"/>
      <c r="M1" s="190" t="s">
        <v>0</v>
      </c>
      <c r="N1" s="190"/>
      <c r="O1" s="1"/>
      <c r="Q1" s="157" t="s">
        <v>1</v>
      </c>
      <c r="R1" s="1"/>
      <c r="T1" s="187" t="s">
        <v>2</v>
      </c>
      <c r="U1" s="187"/>
      <c r="W1" s="189" t="s">
        <v>706</v>
      </c>
      <c r="X1" s="189"/>
      <c r="Y1" s="189"/>
      <c r="Z1" s="189"/>
      <c r="AA1" s="187" t="s">
        <v>3</v>
      </c>
      <c r="AB1" s="187"/>
    </row>
    <row r="2" spans="1:30">
      <c r="A2" t="s">
        <v>4</v>
      </c>
      <c r="B2" s="3" t="s">
        <v>5</v>
      </c>
      <c r="C2" s="3" t="s">
        <v>6</v>
      </c>
      <c r="E2" s="3" t="s">
        <v>5</v>
      </c>
      <c r="F2" s="3" t="s">
        <v>6</v>
      </c>
      <c r="G2" t="s">
        <v>7</v>
      </c>
      <c r="J2" t="s">
        <v>8</v>
      </c>
      <c r="K2" t="s">
        <v>9</v>
      </c>
      <c r="M2" t="s">
        <v>10</v>
      </c>
      <c r="N2" t="s">
        <v>11</v>
      </c>
      <c r="Q2" s="158" t="s">
        <v>12</v>
      </c>
      <c r="S2" s="173" t="s">
        <v>13</v>
      </c>
      <c r="T2" s="134" t="s">
        <v>14</v>
      </c>
      <c r="U2" t="s">
        <v>9</v>
      </c>
      <c r="W2" t="s">
        <v>16</v>
      </c>
      <c r="X2" t="s">
        <v>707</v>
      </c>
      <c r="Y2" t="s">
        <v>708</v>
      </c>
      <c r="Z2" s="14" t="s">
        <v>709</v>
      </c>
      <c r="AA2" t="s">
        <v>10</v>
      </c>
      <c r="AB2" t="s">
        <v>11</v>
      </c>
      <c r="AC2" t="s">
        <v>9</v>
      </c>
      <c r="AD2" t="s">
        <v>15</v>
      </c>
    </row>
    <row r="3" spans="1:30" ht="13.5" customHeight="1">
      <c r="A3" t="s">
        <v>710</v>
      </c>
      <c r="B3" t="s">
        <v>711</v>
      </c>
      <c r="C3">
        <v>56071</v>
      </c>
      <c r="E3" t="s">
        <v>711</v>
      </c>
      <c r="F3">
        <v>60107</v>
      </c>
      <c r="G3" t="b">
        <f>IF(B3=E3,TRUE,FALSE)</f>
        <v>1</v>
      </c>
      <c r="J3" s="25">
        <f>F3-C3</f>
        <v>4036</v>
      </c>
      <c r="K3" s="4">
        <f>F6/C3-1</f>
        <v>-0.84617716823313294</v>
      </c>
      <c r="M3" s="5">
        <v>35185.050000000003</v>
      </c>
      <c r="N3" s="5">
        <v>58978.720000000001</v>
      </c>
      <c r="Q3" s="159">
        <v>244071.13</v>
      </c>
      <c r="S3" s="173">
        <f>N3/F3</f>
        <v>0.98122880862461948</v>
      </c>
      <c r="T3" s="132">
        <f>N3-M3</f>
        <v>23793.67</v>
      </c>
      <c r="U3" s="4">
        <f>IF(M3=0,0,N3/M3-1)</f>
        <v>0.67624374556807498</v>
      </c>
      <c r="W3" t="s">
        <v>712</v>
      </c>
      <c r="AA3" s="18">
        <v>961789.88</v>
      </c>
      <c r="AB3" s="18">
        <v>1055869.27</v>
      </c>
      <c r="AC3" s="4">
        <f>AB3/AA3-1</f>
        <v>9.7816988883268285E-2</v>
      </c>
    </row>
    <row r="4" spans="1:30" ht="13.9" customHeight="1">
      <c r="A4" s="149" t="s">
        <v>713</v>
      </c>
      <c r="B4" s="37" t="s">
        <v>714</v>
      </c>
      <c r="C4">
        <v>377</v>
      </c>
      <c r="E4" s="37" t="s">
        <v>714</v>
      </c>
      <c r="F4">
        <v>2783</v>
      </c>
      <c r="G4" t="b">
        <f>IF(B4=E4,TRUE,FALSE)</f>
        <v>1</v>
      </c>
      <c r="J4" s="25">
        <f>F4-C4</f>
        <v>2406</v>
      </c>
      <c r="K4" s="4">
        <f>F4/C4-1</f>
        <v>6.3819628647214852</v>
      </c>
      <c r="M4" s="151">
        <v>424.15</v>
      </c>
      <c r="N4" s="151">
        <v>3593.65</v>
      </c>
      <c r="Q4" s="159">
        <v>28985.18</v>
      </c>
      <c r="S4" s="173">
        <f>N4/F4</f>
        <v>1.2912863816025872</v>
      </c>
      <c r="T4" s="132">
        <f>N4-M4</f>
        <v>3169.5</v>
      </c>
      <c r="U4" s="4">
        <f>IF(M4=0,0,N4/M4-1)</f>
        <v>7.4725922433101513</v>
      </c>
      <c r="AA4">
        <v>9491.43</v>
      </c>
      <c r="AB4">
        <v>69954.5</v>
      </c>
      <c r="AC4" s="4">
        <f>AB4/AA4-1</f>
        <v>6.3702803476399232</v>
      </c>
    </row>
    <row r="5" spans="1:30" ht="14.25" customHeight="1">
      <c r="A5" t="s">
        <v>715</v>
      </c>
      <c r="B5" t="s">
        <v>716</v>
      </c>
      <c r="C5" s="19">
        <v>7893</v>
      </c>
      <c r="E5" t="s">
        <v>716</v>
      </c>
      <c r="F5" s="19">
        <v>8582</v>
      </c>
      <c r="G5" t="b">
        <f>IF(B5=E5,TRUE,FALSE)</f>
        <v>1</v>
      </c>
      <c r="J5" s="25">
        <f>F5-C5</f>
        <v>689</v>
      </c>
      <c r="K5" s="4">
        <f>F5/C5-1</f>
        <v>8.7292537691625594E-2</v>
      </c>
      <c r="M5" s="5">
        <v>9410.9599999999991</v>
      </c>
      <c r="N5" s="5">
        <v>11942.77</v>
      </c>
      <c r="Q5" s="159">
        <v>54168.62</v>
      </c>
      <c r="S5" s="173">
        <f>N5/F5</f>
        <v>1.3916068515497553</v>
      </c>
      <c r="T5" s="132">
        <f>N5-M5</f>
        <v>2531.8100000000013</v>
      </c>
      <c r="U5" s="4">
        <f>IF(M5=0,0,N5/M5-1)</f>
        <v>0.2690278143781295</v>
      </c>
      <c r="AA5" s="18">
        <v>155450.03</v>
      </c>
      <c r="AB5" s="18">
        <v>171168.91</v>
      </c>
      <c r="AC5" s="4">
        <f>AB5/AA5-1</f>
        <v>0.10111853950751892</v>
      </c>
    </row>
    <row r="6" spans="1:30" ht="13.9" customHeight="1">
      <c r="A6" t="s">
        <v>717</v>
      </c>
      <c r="B6" t="s">
        <v>718</v>
      </c>
      <c r="C6" s="19">
        <v>8848</v>
      </c>
      <c r="E6" t="s">
        <v>718</v>
      </c>
      <c r="F6" s="19">
        <v>8625</v>
      </c>
      <c r="G6" t="b">
        <f>IF(B6=E6,TRUE,FALSE)</f>
        <v>1</v>
      </c>
      <c r="J6" s="25">
        <f>F6-C6</f>
        <v>-223</v>
      </c>
      <c r="K6" s="4">
        <f>F6/C6-1</f>
        <v>-2.5203435804701635E-2</v>
      </c>
      <c r="M6" s="5">
        <v>4514.4399999999996</v>
      </c>
      <c r="N6" s="5">
        <v>6940.6</v>
      </c>
      <c r="Q6" s="159">
        <v>35281</v>
      </c>
      <c r="S6" s="173">
        <f>N6/F6</f>
        <v>0.80470724637681168</v>
      </c>
      <c r="T6" s="132">
        <f>N6-M6</f>
        <v>2426.1600000000008</v>
      </c>
      <c r="U6" s="4">
        <f>IF(M6=0,0,N6/M6-1)</f>
        <v>0.53742213873703082</v>
      </c>
      <c r="W6" t="s">
        <v>719</v>
      </c>
      <c r="Y6" t="s">
        <v>720</v>
      </c>
      <c r="AA6" s="18">
        <v>171271.47</v>
      </c>
      <c r="AB6" s="18">
        <v>165167.60999999999</v>
      </c>
      <c r="AC6" s="4">
        <f>AB6/AA6-1</f>
        <v>-3.563851002154661E-2</v>
      </c>
    </row>
    <row r="7" spans="1:30" ht="13.9" customHeight="1">
      <c r="A7" t="s">
        <v>721</v>
      </c>
      <c r="B7" t="s">
        <v>722</v>
      </c>
      <c r="C7" s="19">
        <v>1038</v>
      </c>
      <c r="E7" t="s">
        <v>722</v>
      </c>
      <c r="F7" s="19">
        <v>1312</v>
      </c>
      <c r="G7" t="b">
        <f>IF(B7=E7,TRUE,FALSE)</f>
        <v>1</v>
      </c>
      <c r="J7" s="25">
        <f>F7-C7</f>
        <v>274</v>
      </c>
      <c r="K7" s="4">
        <f>F7/C7-1</f>
        <v>0.26396917148362231</v>
      </c>
      <c r="M7" s="5">
        <v>521.24</v>
      </c>
      <c r="N7" s="5">
        <v>1798.33</v>
      </c>
      <c r="Q7" s="159">
        <v>7240.96</v>
      </c>
      <c r="S7" s="173">
        <f>N7/F7</f>
        <v>1.3706783536585365</v>
      </c>
      <c r="T7" s="132">
        <f>N7-M7</f>
        <v>1277.0899999999999</v>
      </c>
      <c r="U7" s="4">
        <f>IF(M7=0,0,N7/M7-1)</f>
        <v>2.4500997621057476</v>
      </c>
      <c r="Y7" t="s">
        <v>723</v>
      </c>
      <c r="AA7" s="18">
        <v>17460.52</v>
      </c>
      <c r="AB7" s="18">
        <v>23274.78</v>
      </c>
      <c r="AC7" s="4">
        <f>AB7/AA7-1</f>
        <v>0.33299466453461868</v>
      </c>
    </row>
    <row r="8" spans="1:30" ht="13.5" customHeight="1">
      <c r="A8" t="s">
        <v>724</v>
      </c>
      <c r="B8" t="s">
        <v>725</v>
      </c>
      <c r="C8" s="19">
        <v>4940</v>
      </c>
      <c r="E8" t="s">
        <v>725</v>
      </c>
      <c r="F8" s="19">
        <v>4142</v>
      </c>
      <c r="G8" t="b">
        <f>IF(B8=E8,TRUE,FALSE)</f>
        <v>1</v>
      </c>
      <c r="J8" s="25">
        <f>F8-C8</f>
        <v>-798</v>
      </c>
      <c r="K8" s="4">
        <f>F8/C8-1</f>
        <v>-0.16153846153846152</v>
      </c>
      <c r="M8" s="5">
        <v>4703.9799999999996</v>
      </c>
      <c r="N8" s="5">
        <v>5934.74</v>
      </c>
      <c r="Q8" s="159">
        <v>30134.47</v>
      </c>
      <c r="S8" s="173">
        <f>N8/F8</f>
        <v>1.432819893771125</v>
      </c>
      <c r="T8" s="132">
        <f>N8-M8</f>
        <v>1230.7600000000002</v>
      </c>
      <c r="U8" s="4">
        <f>IF(M8=0,0,N8/M8-1)</f>
        <v>0.26164226888719777</v>
      </c>
      <c r="AA8" s="18">
        <v>134470.9</v>
      </c>
      <c r="AB8" s="18">
        <v>119951.32</v>
      </c>
      <c r="AC8" s="4">
        <f>AB8/AA8-1</f>
        <v>-0.10797562892789436</v>
      </c>
    </row>
    <row r="9" spans="1:30" ht="12.75" customHeight="1">
      <c r="A9" t="s">
        <v>726</v>
      </c>
      <c r="B9" t="s">
        <v>727</v>
      </c>
      <c r="C9" s="19">
        <v>1531</v>
      </c>
      <c r="E9" t="s">
        <v>727</v>
      </c>
      <c r="F9" s="19">
        <v>1949</v>
      </c>
      <c r="G9" t="b">
        <f>IF(B9=E9,TRUE,FALSE)</f>
        <v>1</v>
      </c>
      <c r="J9" s="25">
        <f>F9-C9</f>
        <v>418</v>
      </c>
      <c r="K9" s="4">
        <f>F9/C9-1</f>
        <v>0.27302416721097322</v>
      </c>
      <c r="M9" s="5">
        <v>1335.46</v>
      </c>
      <c r="N9" s="5">
        <v>2463.4699999999998</v>
      </c>
      <c r="Q9" s="159">
        <v>8862.8700000000008</v>
      </c>
      <c r="S9" s="173">
        <f>N9/F9</f>
        <v>1.2639661364802461</v>
      </c>
      <c r="T9" s="132">
        <f>N9-M9</f>
        <v>1128.0099999999998</v>
      </c>
      <c r="U9" s="4">
        <f>IF(M9=0,0,N9/M9-1)</f>
        <v>0.84466026687433526</v>
      </c>
      <c r="AA9" s="18">
        <v>28455.97</v>
      </c>
      <c r="AB9" s="18">
        <v>34762.04</v>
      </c>
      <c r="AC9" s="4">
        <f>AB9/AA9-1</f>
        <v>0.2216079789232277</v>
      </c>
      <c r="AD9" t="s">
        <v>728</v>
      </c>
    </row>
    <row r="10" spans="1:30" ht="13.9" customHeight="1">
      <c r="A10" t="s">
        <v>729</v>
      </c>
      <c r="B10" t="s">
        <v>730</v>
      </c>
      <c r="C10" s="19">
        <v>3838</v>
      </c>
      <c r="E10" t="s">
        <v>730</v>
      </c>
      <c r="F10" s="19">
        <v>3925</v>
      </c>
      <c r="G10" t="b">
        <f>IF(B10=E10,TRUE,FALSE)</f>
        <v>1</v>
      </c>
      <c r="J10" s="25">
        <f>F10-C10</f>
        <v>87</v>
      </c>
      <c r="K10" s="4">
        <f>F10/C10-1</f>
        <v>2.2668056279312232E-2</v>
      </c>
      <c r="M10" s="5">
        <v>4747.54</v>
      </c>
      <c r="N10" s="5">
        <v>5806.95</v>
      </c>
      <c r="Q10" s="159">
        <v>29694.59</v>
      </c>
      <c r="S10" s="173">
        <f>N10/F10</f>
        <v>1.4794777070063694</v>
      </c>
      <c r="T10" s="132">
        <f>N10-M10</f>
        <v>1059.4099999999999</v>
      </c>
      <c r="U10" s="4">
        <f>IF(M10=0,0,N10/M10-1)</f>
        <v>0.22314925203368485</v>
      </c>
      <c r="AA10" s="18">
        <v>96691.82</v>
      </c>
      <c r="AB10" s="18">
        <v>98705.15</v>
      </c>
      <c r="AC10" s="4">
        <f>AB10/AA10-1</f>
        <v>2.08221336613581E-2</v>
      </c>
    </row>
    <row r="11" spans="1:30" ht="13.9" customHeight="1">
      <c r="A11" t="s">
        <v>731</v>
      </c>
      <c r="B11" t="s">
        <v>732</v>
      </c>
      <c r="C11" s="19">
        <v>3200</v>
      </c>
      <c r="E11" t="s">
        <v>732</v>
      </c>
      <c r="F11" s="19">
        <v>3016</v>
      </c>
      <c r="G11" t="b">
        <f>IF(B11=E11,TRUE,FALSE)</f>
        <v>1</v>
      </c>
      <c r="J11" s="25">
        <f>F11-C11</f>
        <v>-184</v>
      </c>
      <c r="K11" s="4">
        <f>F11/C11-1</f>
        <v>-5.7499999999999996E-2</v>
      </c>
      <c r="M11" s="5">
        <v>4135.46</v>
      </c>
      <c r="N11" s="5">
        <v>5139.09</v>
      </c>
      <c r="Q11" s="159">
        <v>27238.87</v>
      </c>
      <c r="S11" s="173">
        <f>N11/F11</f>
        <v>1.7039423076923077</v>
      </c>
      <c r="T11" s="132">
        <f>N11-M11</f>
        <v>1003.6300000000001</v>
      </c>
      <c r="U11" s="4">
        <f>IF(M11=0,0,N11/M11-1)</f>
        <v>0.24268884235369215</v>
      </c>
      <c r="W11" t="s">
        <v>733</v>
      </c>
      <c r="AA11" s="18">
        <v>78759.399999999994</v>
      </c>
      <c r="AB11" s="18">
        <v>75278.240000000005</v>
      </c>
      <c r="AC11" s="4">
        <f>AB11/AA11-1</f>
        <v>-4.4199930421003564E-2</v>
      </c>
    </row>
    <row r="12" spans="1:30" ht="13.9" customHeight="1">
      <c r="A12" s="27" t="s">
        <v>734</v>
      </c>
      <c r="B12" s="37" t="s">
        <v>735</v>
      </c>
      <c r="C12" s="19">
        <v>915</v>
      </c>
      <c r="E12" s="37" t="s">
        <v>735</v>
      </c>
      <c r="F12" s="19">
        <v>1146</v>
      </c>
      <c r="G12" t="b">
        <f>IF(B12=E12,TRUE,FALSE)</f>
        <v>1</v>
      </c>
      <c r="J12" s="25">
        <f>F12-C12</f>
        <v>231</v>
      </c>
      <c r="K12" s="4">
        <f>F12/C12-1</f>
        <v>0.25245901639344259</v>
      </c>
      <c r="M12" s="5">
        <v>1591.92</v>
      </c>
      <c r="N12" s="5">
        <v>2491.85</v>
      </c>
      <c r="Q12" s="159">
        <v>14178.03</v>
      </c>
      <c r="S12" s="173">
        <f>N12/F12</f>
        <v>2.1743891797556718</v>
      </c>
      <c r="T12" s="132">
        <f>N12-M12</f>
        <v>899.92999999999984</v>
      </c>
      <c r="U12" s="4">
        <f>IF(M12=0,0,N12/M12-1)</f>
        <v>0.56531107090808574</v>
      </c>
      <c r="AA12" s="18">
        <v>27428.85</v>
      </c>
      <c r="AB12" s="18">
        <v>33222.54</v>
      </c>
      <c r="AC12" s="4">
        <f>AB12/AA12-1</f>
        <v>0.21122613598455642</v>
      </c>
      <c r="AD12" t="s">
        <v>736</v>
      </c>
    </row>
    <row r="13" spans="1:30" ht="13.9" customHeight="1">
      <c r="A13" t="s">
        <v>737</v>
      </c>
      <c r="B13" t="s">
        <v>738</v>
      </c>
      <c r="C13" s="19">
        <v>266</v>
      </c>
      <c r="E13" t="s">
        <v>738</v>
      </c>
      <c r="F13" s="19">
        <v>586</v>
      </c>
      <c r="G13" t="b">
        <f>IF(B13=E13,TRUE,FALSE)</f>
        <v>1</v>
      </c>
      <c r="J13" s="25">
        <f>F13-C13</f>
        <v>320</v>
      </c>
      <c r="K13" s="4">
        <f>F13/C13-1</f>
        <v>1.2030075187969924</v>
      </c>
      <c r="M13" s="5">
        <v>104.78</v>
      </c>
      <c r="N13" s="5">
        <v>989.65</v>
      </c>
      <c r="Q13" s="159">
        <v>4219.8999999999996</v>
      </c>
      <c r="S13" s="173">
        <f>N13/F13</f>
        <v>1.6888225255972695</v>
      </c>
      <c r="T13" s="132">
        <f>N13-M13</f>
        <v>884.87</v>
      </c>
      <c r="U13" s="4">
        <f>IF(M13=0,0,N13/M13-1)</f>
        <v>8.4450276770376025</v>
      </c>
      <c r="AA13" s="18">
        <v>5317.34</v>
      </c>
      <c r="AB13" s="18">
        <v>11654.17</v>
      </c>
      <c r="AC13" s="4">
        <f>AB13/AA13-1</f>
        <v>1.1917293233082704</v>
      </c>
      <c r="AD13" t="s">
        <v>739</v>
      </c>
    </row>
    <row r="14" spans="1:30" ht="13.9" customHeight="1">
      <c r="A14" t="s">
        <v>740</v>
      </c>
      <c r="B14" t="s">
        <v>741</v>
      </c>
      <c r="C14" s="19">
        <v>3011</v>
      </c>
      <c r="E14" t="s">
        <v>741</v>
      </c>
      <c r="F14" s="19">
        <v>2941</v>
      </c>
      <c r="G14" t="b">
        <f>IF(B14=E14,TRUE,FALSE)</f>
        <v>1</v>
      </c>
      <c r="J14" s="25">
        <f>F14-C14</f>
        <v>-70</v>
      </c>
      <c r="K14" s="4">
        <f>F14/C14-1</f>
        <v>-2.3248090335436733E-2</v>
      </c>
      <c r="M14" s="5">
        <v>2616.86</v>
      </c>
      <c r="N14" s="5">
        <v>3387.76</v>
      </c>
      <c r="Q14" s="159">
        <v>15906.79</v>
      </c>
      <c r="S14" s="173">
        <f>N14/F14</f>
        <v>1.151907514450867</v>
      </c>
      <c r="T14" s="132">
        <f>N14-M14</f>
        <v>770.90000000000009</v>
      </c>
      <c r="U14" s="4">
        <f>IF(M14=0,0,N14/M14-1)</f>
        <v>0.2945896991050343</v>
      </c>
      <c r="W14" t="s">
        <v>742</v>
      </c>
      <c r="AA14" s="18">
        <v>52334.6</v>
      </c>
      <c r="AB14" s="18">
        <v>49678.39</v>
      </c>
      <c r="AC14" s="4">
        <f>AB14/AA14-1</f>
        <v>-5.0754376645660737E-2</v>
      </c>
    </row>
    <row r="15" spans="1:30" ht="13.9" customHeight="1">
      <c r="A15" t="s">
        <v>743</v>
      </c>
      <c r="B15" t="s">
        <v>744</v>
      </c>
      <c r="C15" s="19">
        <v>769</v>
      </c>
      <c r="E15" t="s">
        <v>744</v>
      </c>
      <c r="F15" s="19">
        <v>947</v>
      </c>
      <c r="G15" t="b">
        <f>IF(B15=E15,TRUE,FALSE)</f>
        <v>1</v>
      </c>
      <c r="J15" s="25">
        <f>F15-C15</f>
        <v>178</v>
      </c>
      <c r="K15" s="4">
        <f>F15/C15-1</f>
        <v>0.23146944083224974</v>
      </c>
      <c r="M15" s="5">
        <v>1478.22</v>
      </c>
      <c r="N15" s="5">
        <v>2211.0500000000002</v>
      </c>
      <c r="Q15" s="159">
        <v>8701.76</v>
      </c>
      <c r="S15" s="173">
        <f>N15/F15</f>
        <v>2.3347940865892292</v>
      </c>
      <c r="T15" s="132">
        <f>N15-M15</f>
        <v>732.83000000000015</v>
      </c>
      <c r="U15" s="4">
        <f>IF(M15=0,0,N15/M15-1)</f>
        <v>0.49575164725142407</v>
      </c>
      <c r="AA15" s="18">
        <v>8776.31</v>
      </c>
      <c r="AB15" s="18">
        <v>13923.53</v>
      </c>
      <c r="AC15" s="4">
        <f>AB15/AA15-1</f>
        <v>0.58649022197256029</v>
      </c>
    </row>
    <row r="16" spans="1:30" ht="13.9" customHeight="1">
      <c r="A16" s="150" t="s">
        <v>745</v>
      </c>
      <c r="B16" s="37" t="s">
        <v>746</v>
      </c>
      <c r="C16">
        <v>825</v>
      </c>
      <c r="E16" s="37" t="s">
        <v>746</v>
      </c>
      <c r="F16">
        <v>1429</v>
      </c>
      <c r="G16" t="b">
        <f>IF(B16=E16,TRUE,FALSE)</f>
        <v>1</v>
      </c>
      <c r="J16" s="25">
        <f>F16-C16</f>
        <v>604</v>
      </c>
      <c r="K16" s="4">
        <f>F16/C16-1</f>
        <v>0.73212121212121217</v>
      </c>
      <c r="M16" s="151">
        <v>1468.79</v>
      </c>
      <c r="N16" s="151">
        <v>2141.7600000000002</v>
      </c>
      <c r="Q16" s="159">
        <v>8721.44</v>
      </c>
      <c r="S16" s="173">
        <f>N16/F16</f>
        <v>1.4987823652904131</v>
      </c>
      <c r="T16" s="134">
        <f>N16-M16</f>
        <v>672.97000000000025</v>
      </c>
      <c r="U16" s="4">
        <f>IF(M16=0,0,N16/M16-1)</f>
        <v>0.45817986233566432</v>
      </c>
      <c r="AA16">
        <v>11359.76</v>
      </c>
      <c r="AB16">
        <v>18217.71</v>
      </c>
      <c r="AC16" s="4">
        <f>AB16/AA16-1</f>
        <v>0.60370553603245125</v>
      </c>
    </row>
    <row r="17" spans="1:29" ht="13.9" customHeight="1">
      <c r="A17" t="s">
        <v>747</v>
      </c>
      <c r="B17" t="s">
        <v>748</v>
      </c>
      <c r="C17" s="19">
        <v>1713</v>
      </c>
      <c r="E17" t="s">
        <v>748</v>
      </c>
      <c r="F17" s="19">
        <v>1469</v>
      </c>
      <c r="G17" t="b">
        <f>IF(B17=E17,TRUE,FALSE)</f>
        <v>1</v>
      </c>
      <c r="J17" s="25">
        <f>F17-C17</f>
        <v>-244</v>
      </c>
      <c r="K17" s="4">
        <f>F17/C17-1</f>
        <v>-0.14244016345592525</v>
      </c>
      <c r="M17" s="5">
        <v>597.97</v>
      </c>
      <c r="N17" s="5">
        <v>1249.32</v>
      </c>
      <c r="Q17" s="159">
        <v>5375.83</v>
      </c>
      <c r="S17" s="173">
        <f>N17/F17</f>
        <v>0.85045609257998633</v>
      </c>
      <c r="T17" s="132">
        <f>N17-M17</f>
        <v>651.34999999999991</v>
      </c>
      <c r="U17" s="4">
        <f>IF(M17=0,0,N17/M17-1)</f>
        <v>1.089268692409318</v>
      </c>
      <c r="AA17" s="18">
        <v>29698.870000000003</v>
      </c>
      <c r="AB17" s="18">
        <v>26288.71</v>
      </c>
      <c r="AC17" s="4">
        <f>AB17/AA17-1</f>
        <v>-0.11482457076649732</v>
      </c>
    </row>
    <row r="18" spans="1:29" ht="13.9" customHeight="1">
      <c r="A18" t="s">
        <v>749</v>
      </c>
      <c r="B18" t="s">
        <v>750</v>
      </c>
      <c r="C18" s="19">
        <v>1461</v>
      </c>
      <c r="D18" s="5"/>
      <c r="E18" t="s">
        <v>750</v>
      </c>
      <c r="F18" s="19">
        <v>1276</v>
      </c>
      <c r="G18" t="b">
        <f>IF(B18=E18,TRUE,FALSE)</f>
        <v>1</v>
      </c>
      <c r="H18" s="5"/>
      <c r="I18" s="5"/>
      <c r="J18" s="25">
        <f>F18-C18</f>
        <v>-185</v>
      </c>
      <c r="K18" s="4">
        <f>F18/C18-1</f>
        <v>-0.12662559890485969</v>
      </c>
      <c r="L18" s="5"/>
      <c r="M18" s="5">
        <v>1345.92</v>
      </c>
      <c r="N18" s="5">
        <v>1996.12</v>
      </c>
      <c r="O18" s="5"/>
      <c r="P18" s="5"/>
      <c r="Q18" s="159">
        <v>13868.36</v>
      </c>
      <c r="R18" s="5"/>
      <c r="S18" s="173">
        <f>N18/F18</f>
        <v>1.5643573667711599</v>
      </c>
      <c r="T18" s="132">
        <f>N18-M18</f>
        <v>650.19999999999982</v>
      </c>
      <c r="U18" s="4">
        <f>IF(M18=0,0,N18/M18-1)</f>
        <v>0.48308963385639547</v>
      </c>
      <c r="V18" s="5"/>
      <c r="W18" s="5"/>
      <c r="X18" s="5"/>
      <c r="Y18" s="5"/>
      <c r="Z18" s="15"/>
      <c r="AA18" s="18">
        <v>32914.82</v>
      </c>
      <c r="AB18" s="18">
        <v>30555.42</v>
      </c>
      <c r="AC18" s="4">
        <f>AB18/AA18-1</f>
        <v>-7.1681996134264181E-2</v>
      </c>
    </row>
    <row r="19" spans="1:29" ht="13.9" customHeight="1">
      <c r="A19" t="s">
        <v>751</v>
      </c>
      <c r="B19" t="s">
        <v>752</v>
      </c>
      <c r="C19" s="19">
        <v>1634</v>
      </c>
      <c r="E19" t="s">
        <v>752</v>
      </c>
      <c r="F19" s="19">
        <v>1782</v>
      </c>
      <c r="G19" t="b">
        <f>IF(B19=E19,TRUE,FALSE)</f>
        <v>1</v>
      </c>
      <c r="J19" s="25">
        <f>F19-C19</f>
        <v>148</v>
      </c>
      <c r="K19" s="4">
        <f>F19/C19-1</f>
        <v>9.0575275397796862E-2</v>
      </c>
      <c r="M19" s="5">
        <v>1222.8</v>
      </c>
      <c r="N19" s="5">
        <v>1850.96</v>
      </c>
      <c r="Q19" s="159">
        <v>10615.039999999999</v>
      </c>
      <c r="S19" s="173">
        <f>N19/F19</f>
        <v>1.0386980920314255</v>
      </c>
      <c r="T19" s="132">
        <f>N19-M19</f>
        <v>628.16000000000008</v>
      </c>
      <c r="U19" s="4">
        <f>IF(M19=0,0,N19/M19-1)</f>
        <v>0.51370624795551212</v>
      </c>
      <c r="AA19" s="18">
        <v>33749.5</v>
      </c>
      <c r="AB19" s="18">
        <v>39141.879999999997</v>
      </c>
      <c r="AC19" s="4">
        <f>AB19/AA19-1</f>
        <v>0.15977658928280403</v>
      </c>
    </row>
    <row r="20" spans="1:29" ht="13.9" customHeight="1">
      <c r="A20" t="s">
        <v>753</v>
      </c>
      <c r="B20" t="s">
        <v>754</v>
      </c>
      <c r="C20" s="19">
        <v>2429</v>
      </c>
      <c r="E20" t="s">
        <v>754</v>
      </c>
      <c r="F20" s="19">
        <v>2627</v>
      </c>
      <c r="G20" t="b">
        <f>IF(B20=E20,TRUE,FALSE)</f>
        <v>1</v>
      </c>
      <c r="J20" s="25">
        <f>F20-C20</f>
        <v>198</v>
      </c>
      <c r="K20" s="4">
        <f>F20/C20-1</f>
        <v>8.1515026759983567E-2</v>
      </c>
      <c r="M20" s="5">
        <v>2854.78</v>
      </c>
      <c r="N20" s="5">
        <v>3471.99</v>
      </c>
      <c r="Q20" s="159">
        <v>13844.91</v>
      </c>
      <c r="S20" s="173">
        <f>N20/F20</f>
        <v>1.3216558812333459</v>
      </c>
      <c r="T20" s="132">
        <f>N20-M20</f>
        <v>617.20999999999958</v>
      </c>
      <c r="U20" s="4">
        <f>IF(M20=0,0,N20/M20-1)</f>
        <v>0.21620229930152224</v>
      </c>
      <c r="AA20" s="18">
        <v>70124.929999999993</v>
      </c>
      <c r="AB20" s="18">
        <v>78528.899999999994</v>
      </c>
      <c r="AC20" s="4">
        <f>AB20/AA20-1</f>
        <v>0.11984282907662092</v>
      </c>
    </row>
    <row r="21" spans="1:29" ht="13.9" customHeight="1">
      <c r="A21" s="5" t="s">
        <v>755</v>
      </c>
      <c r="B21" t="s">
        <v>756</v>
      </c>
      <c r="C21" s="19">
        <v>889</v>
      </c>
      <c r="D21" s="5"/>
      <c r="E21" t="s">
        <v>756</v>
      </c>
      <c r="F21" s="19">
        <v>1242</v>
      </c>
      <c r="G21" t="b">
        <f>IF(B21=E21,TRUE,FALSE)</f>
        <v>1</v>
      </c>
      <c r="H21" s="5"/>
      <c r="I21" s="5"/>
      <c r="J21" s="25">
        <f>F21-C21</f>
        <v>353</v>
      </c>
      <c r="K21" s="4">
        <f>F21/C21-1</f>
        <v>0.39707536557930267</v>
      </c>
      <c r="L21" s="5"/>
      <c r="M21" s="5">
        <v>1470.38</v>
      </c>
      <c r="N21" s="5">
        <v>1988.9</v>
      </c>
      <c r="O21" s="5"/>
      <c r="P21" s="5"/>
      <c r="Q21" s="159">
        <v>9667.2999999999993</v>
      </c>
      <c r="R21" s="5"/>
      <c r="S21" s="173">
        <f>N21/F21</f>
        <v>1.6013687600644124</v>
      </c>
      <c r="T21" s="132">
        <f>N21-M21</f>
        <v>518.52</v>
      </c>
      <c r="U21" s="4">
        <f>IF(M21=0,0,N21/M21-1)</f>
        <v>0.35264353432446027</v>
      </c>
      <c r="V21" s="5"/>
      <c r="W21" s="5"/>
      <c r="X21" s="5"/>
      <c r="Y21" s="5"/>
      <c r="Z21" s="15"/>
      <c r="AA21" s="18">
        <v>15949.91</v>
      </c>
      <c r="AB21" s="18">
        <v>22789.18</v>
      </c>
      <c r="AC21" s="4">
        <f>AB21/AA21-1</f>
        <v>0.42879677690971296</v>
      </c>
    </row>
    <row r="22" spans="1:29" ht="13.9" customHeight="1">
      <c r="A22" t="s">
        <v>757</v>
      </c>
      <c r="B22" t="s">
        <v>758</v>
      </c>
      <c r="C22" s="19">
        <v>1582</v>
      </c>
      <c r="E22" t="s">
        <v>758</v>
      </c>
      <c r="F22" s="19">
        <v>1562</v>
      </c>
      <c r="G22" t="b">
        <f>IF(B22=E22,TRUE,FALSE)</f>
        <v>1</v>
      </c>
      <c r="J22" s="25">
        <f>F22-C22</f>
        <v>-20</v>
      </c>
      <c r="K22" s="4">
        <f>F22/C22-1</f>
        <v>-1.2642225031605614E-2</v>
      </c>
      <c r="M22" s="5">
        <v>430.32</v>
      </c>
      <c r="N22" s="5">
        <v>944.77</v>
      </c>
      <c r="Q22" s="159">
        <v>5285.25</v>
      </c>
      <c r="S22" s="173">
        <f>N22/F22</f>
        <v>0.60484635083226634</v>
      </c>
      <c r="T22" s="132">
        <f>N22-M22</f>
        <v>514.45000000000005</v>
      </c>
      <c r="U22" s="4">
        <f>IF(M22=0,0,N22/M22-1)</f>
        <v>1.1955056701989215</v>
      </c>
      <c r="AA22" s="18">
        <v>29123.18</v>
      </c>
      <c r="AB22" s="18">
        <v>28024.39</v>
      </c>
      <c r="AC22" s="4">
        <f>AB22/AA22-1</f>
        <v>-3.7729052939960539E-2</v>
      </c>
    </row>
    <row r="23" spans="1:29" ht="13.9" customHeight="1">
      <c r="A23" t="s">
        <v>759</v>
      </c>
      <c r="B23" t="s">
        <v>760</v>
      </c>
      <c r="C23" s="19">
        <v>754</v>
      </c>
      <c r="E23" t="s">
        <v>760</v>
      </c>
      <c r="F23" s="19">
        <v>771</v>
      </c>
      <c r="G23" t="b">
        <f>IF(B23=E23,TRUE,FALSE)</f>
        <v>1</v>
      </c>
      <c r="J23" s="25">
        <f>F23-C23</f>
        <v>17</v>
      </c>
      <c r="K23" s="4">
        <f>F23/C23-1</f>
        <v>2.2546419098143256E-2</v>
      </c>
      <c r="M23" s="5">
        <v>621.89</v>
      </c>
      <c r="N23" s="5">
        <v>1109.6099999999999</v>
      </c>
      <c r="Q23" s="159">
        <v>5753.74</v>
      </c>
      <c r="S23" s="173">
        <f>N23/F23</f>
        <v>1.4391828793774317</v>
      </c>
      <c r="T23" s="132">
        <f>N23-M23</f>
        <v>487.71999999999991</v>
      </c>
      <c r="U23" s="4">
        <f>IF(M23=0,0,N23/M23-1)</f>
        <v>0.78425445014391593</v>
      </c>
      <c r="AA23" s="18">
        <v>14318.46</v>
      </c>
      <c r="AB23" s="18">
        <v>14641.29</v>
      </c>
      <c r="AC23" s="4">
        <f>AB23/AA23-1</f>
        <v>2.2546419098143256E-2</v>
      </c>
    </row>
    <row r="24" spans="1:29" ht="13.9" customHeight="1">
      <c r="A24" s="55" t="s">
        <v>761</v>
      </c>
      <c r="B24" s="37" t="s">
        <v>762</v>
      </c>
      <c r="C24" s="19">
        <v>0</v>
      </c>
      <c r="E24" s="37" t="s">
        <v>762</v>
      </c>
      <c r="F24" s="19">
        <v>198</v>
      </c>
      <c r="G24" t="b">
        <f>IF(B24=E24,TRUE,FALSE)</f>
        <v>1</v>
      </c>
      <c r="J24" s="25">
        <f>F24-C24</f>
        <v>198</v>
      </c>
      <c r="K24" s="4" t="e">
        <f>F24/C24-1</f>
        <v>#DIV/0!</v>
      </c>
      <c r="M24" s="5">
        <v>0</v>
      </c>
      <c r="N24" s="5">
        <v>467.95</v>
      </c>
      <c r="Q24" s="159">
        <v>6313.78</v>
      </c>
      <c r="T24" s="132">
        <f>N24-M24</f>
        <v>467.95</v>
      </c>
      <c r="U24" s="4">
        <f>IF(M24=0,0,N24/M24-1)</f>
        <v>0</v>
      </c>
      <c r="AA24" s="18">
        <v>0</v>
      </c>
      <c r="AB24" s="18">
        <v>5033.0200000000004</v>
      </c>
      <c r="AC24" s="4" t="e">
        <f>AB24/AA24-1</f>
        <v>#DIV/0!</v>
      </c>
    </row>
    <row r="25" spans="1:29" ht="13.9" customHeight="1">
      <c r="A25" s="55" t="s">
        <v>763</v>
      </c>
      <c r="B25" s="37" t="s">
        <v>764</v>
      </c>
      <c r="C25" s="19">
        <v>687</v>
      </c>
      <c r="E25" s="37" t="s">
        <v>764</v>
      </c>
      <c r="F25" s="19">
        <v>734</v>
      </c>
      <c r="G25" t="b">
        <f>IF(B25=E25,TRUE,FALSE)</f>
        <v>1</v>
      </c>
      <c r="J25" s="25">
        <f>F25-C25</f>
        <v>47</v>
      </c>
      <c r="K25" s="4">
        <f>F25/C26-1</f>
        <v>-0.73701182371909713</v>
      </c>
      <c r="M25" s="5">
        <v>1342.13</v>
      </c>
      <c r="N25" s="5">
        <v>1798.78</v>
      </c>
      <c r="Q25" s="159">
        <v>7823.76</v>
      </c>
      <c r="S25" s="173">
        <f>N25/F25</f>
        <v>2.4506539509536784</v>
      </c>
      <c r="T25" s="132">
        <f>N25-M25</f>
        <v>456.64999999999986</v>
      </c>
      <c r="U25" s="4">
        <f>IF(M25=0,0,N25/M25-1)</f>
        <v>0.34024274846698899</v>
      </c>
      <c r="AA25" s="18">
        <v>9597.14</v>
      </c>
      <c r="AB25" s="18">
        <v>10268.66</v>
      </c>
      <c r="AC25" s="4">
        <f>AB25/AA25-1</f>
        <v>6.9970845481049704E-2</v>
      </c>
    </row>
    <row r="26" spans="1:29" ht="13.9" customHeight="1">
      <c r="A26" t="s">
        <v>765</v>
      </c>
      <c r="B26" t="s">
        <v>766</v>
      </c>
      <c r="C26" s="19">
        <v>2791</v>
      </c>
      <c r="D26" s="5"/>
      <c r="E26" t="s">
        <v>766</v>
      </c>
      <c r="F26" s="19">
        <v>2508</v>
      </c>
      <c r="G26" t="b">
        <f>IF(B26=E26,TRUE,FALSE)</f>
        <v>1</v>
      </c>
      <c r="H26" s="5"/>
      <c r="I26" s="5"/>
      <c r="J26" s="25">
        <f>F26-C26</f>
        <v>-283</v>
      </c>
      <c r="K26" s="4">
        <f>F26/C26-1</f>
        <v>-0.10139734862056615</v>
      </c>
      <c r="L26" s="5"/>
      <c r="M26" s="5">
        <v>2061.1799999999998</v>
      </c>
      <c r="N26" s="5">
        <v>2510.1799999999998</v>
      </c>
      <c r="O26" s="5"/>
      <c r="P26" s="5"/>
      <c r="Q26" s="159">
        <v>18619.88</v>
      </c>
      <c r="R26" s="5"/>
      <c r="S26" s="173">
        <f>N26/F26</f>
        <v>1.0008692185007975</v>
      </c>
      <c r="T26" s="132">
        <f>N26-M26</f>
        <v>449</v>
      </c>
      <c r="U26" s="4">
        <f>IF(M26=0,0,N26/M26-1)</f>
        <v>0.21783638498335911</v>
      </c>
      <c r="V26" s="5"/>
      <c r="W26" s="5"/>
      <c r="X26" s="5"/>
      <c r="Y26" s="5"/>
      <c r="Z26" s="15"/>
      <c r="AA26" s="18">
        <v>55598.84</v>
      </c>
      <c r="AB26" s="18">
        <v>49585.05</v>
      </c>
      <c r="AC26" s="4">
        <f>AB26/AA26-1</f>
        <v>-0.10816394730537537</v>
      </c>
    </row>
    <row r="27" spans="1:29" ht="13.9" customHeight="1">
      <c r="A27" t="s">
        <v>767</v>
      </c>
      <c r="B27" s="27" t="s">
        <v>768</v>
      </c>
      <c r="C27" s="19">
        <v>414</v>
      </c>
      <c r="E27" t="s">
        <v>768</v>
      </c>
      <c r="F27" s="19">
        <v>751</v>
      </c>
      <c r="G27" t="b">
        <f>IF(B27=E27,TRUE,FALSE)</f>
        <v>1</v>
      </c>
      <c r="J27" s="25">
        <f>F27-C27</f>
        <v>337</v>
      </c>
      <c r="K27" s="4">
        <f>F27/C27-1</f>
        <v>0.81400966183574885</v>
      </c>
      <c r="M27" s="5">
        <v>958.89</v>
      </c>
      <c r="N27" s="5">
        <v>1398</v>
      </c>
      <c r="Q27" s="159">
        <v>5906.57</v>
      </c>
      <c r="S27" s="173">
        <f>N27/F27</f>
        <v>1.8615179760319573</v>
      </c>
      <c r="T27" s="132">
        <f>N27-M27</f>
        <v>439.11</v>
      </c>
      <c r="U27" s="4">
        <f>IF(M27=0,0,N27/M27-1)</f>
        <v>0.45793573819729061</v>
      </c>
      <c r="AA27" s="18">
        <v>4579.8599999999997</v>
      </c>
      <c r="AB27" s="18">
        <v>7929.05</v>
      </c>
      <c r="AC27" s="4">
        <f>AB27/AA27-1</f>
        <v>0.73128654587694841</v>
      </c>
    </row>
    <row r="28" spans="1:29" ht="13.9" customHeight="1">
      <c r="A28" t="s">
        <v>769</v>
      </c>
      <c r="B28" t="s">
        <v>770</v>
      </c>
      <c r="C28" s="19">
        <v>1545</v>
      </c>
      <c r="D28" s="5"/>
      <c r="E28" t="s">
        <v>770</v>
      </c>
      <c r="F28" s="19">
        <v>1646</v>
      </c>
      <c r="G28" t="b">
        <f>IF(B28=E28,TRUE,FALSE)</f>
        <v>1</v>
      </c>
      <c r="H28" s="5"/>
      <c r="I28" s="5"/>
      <c r="J28" s="25">
        <f>F28-C28</f>
        <v>101</v>
      </c>
      <c r="K28" s="4">
        <f>F28/C28-1</f>
        <v>6.5372168284789645E-2</v>
      </c>
      <c r="L28" s="5"/>
      <c r="M28" s="5">
        <v>2271.46</v>
      </c>
      <c r="N28" s="5">
        <v>2691.01</v>
      </c>
      <c r="O28" s="5"/>
      <c r="P28" s="5"/>
      <c r="Q28" s="159">
        <v>14364.5</v>
      </c>
      <c r="R28" s="5"/>
      <c r="S28" s="173">
        <f>N28/F28</f>
        <v>1.6348784933171325</v>
      </c>
      <c r="T28" s="132">
        <f>N28-M28</f>
        <v>419.55000000000018</v>
      </c>
      <c r="U28" s="4">
        <f>IF(M28=0,0,N28/M28-1)</f>
        <v>0.18470499150326236</v>
      </c>
      <c r="V28" s="5"/>
      <c r="W28" s="5"/>
      <c r="X28" s="5"/>
      <c r="Y28" s="5"/>
      <c r="Z28" s="15"/>
      <c r="AA28" s="18">
        <v>30864.559999999998</v>
      </c>
      <c r="AB28" s="18">
        <v>32903.54</v>
      </c>
      <c r="AC28" s="4">
        <f>AB28/AA28-1</f>
        <v>6.6062176165803121E-2</v>
      </c>
    </row>
    <row r="29" spans="1:29" ht="13.9" customHeight="1">
      <c r="A29" s="27" t="s">
        <v>771</v>
      </c>
      <c r="B29" s="27" t="s">
        <v>772</v>
      </c>
      <c r="C29" s="19">
        <v>967</v>
      </c>
      <c r="E29" s="27" t="s">
        <v>772</v>
      </c>
      <c r="F29" s="19">
        <v>1006</v>
      </c>
      <c r="G29" t="b">
        <f>IF(B29=E29,TRUE,FALSE)</f>
        <v>1</v>
      </c>
      <c r="J29" s="25">
        <f>F29-C29</f>
        <v>39</v>
      </c>
      <c r="K29" s="4">
        <f>F29/C29-1</f>
        <v>4.0330920372285473E-2</v>
      </c>
      <c r="M29" s="5">
        <v>1079.6600000000001</v>
      </c>
      <c r="N29" s="5">
        <v>1481.99</v>
      </c>
      <c r="Q29" s="159">
        <v>5209.43</v>
      </c>
      <c r="S29" s="173">
        <f>N29/F29</f>
        <v>1.4731510934393639</v>
      </c>
      <c r="T29" s="132">
        <f>N29-M29</f>
        <v>402.32999999999993</v>
      </c>
      <c r="U29" s="4">
        <f>IF(M29=0,0,N29/M29-1)</f>
        <v>0.37264509197339901</v>
      </c>
      <c r="AA29" s="18">
        <v>13450.56</v>
      </c>
      <c r="AB29" s="18">
        <v>14001.12</v>
      </c>
      <c r="AC29" s="4">
        <f>AB29/AA29-1</f>
        <v>4.0932124759117894E-2</v>
      </c>
    </row>
    <row r="30" spans="1:29" ht="13.9" customHeight="1">
      <c r="A30" s="27" t="s">
        <v>773</v>
      </c>
      <c r="B30" s="27" t="s">
        <v>774</v>
      </c>
      <c r="C30" s="19">
        <v>3585</v>
      </c>
      <c r="E30" s="27" t="s">
        <v>774</v>
      </c>
      <c r="F30" s="19">
        <v>3685</v>
      </c>
      <c r="G30" t="b">
        <f>IF(B30=E30,TRUE,FALSE)</f>
        <v>1</v>
      </c>
      <c r="J30" s="25">
        <f>F30-C30</f>
        <v>100</v>
      </c>
      <c r="K30" s="4">
        <f>F30/C30-1</f>
        <v>2.7894002789400352E-2</v>
      </c>
      <c r="M30" s="5">
        <v>3899.79</v>
      </c>
      <c r="N30" s="5">
        <v>4231.2</v>
      </c>
      <c r="Q30" s="159">
        <v>26631.74</v>
      </c>
      <c r="S30" s="173">
        <f>N30/F30</f>
        <v>1.1482225237449117</v>
      </c>
      <c r="T30" s="132">
        <f>N30-M30</f>
        <v>331.40999999999985</v>
      </c>
      <c r="U30" s="4">
        <f>IF(M30=0,0,N30/M30-1)</f>
        <v>8.4981499003792482E-2</v>
      </c>
      <c r="AA30" s="18">
        <v>82058.149999999994</v>
      </c>
      <c r="AB30" s="18">
        <v>83968.15</v>
      </c>
      <c r="AC30" s="4">
        <f>AB30/AA30-1</f>
        <v>2.3276176711271246E-2</v>
      </c>
    </row>
    <row r="31" spans="1:29" ht="13.9" customHeight="1">
      <c r="A31" s="24" t="s">
        <v>775</v>
      </c>
      <c r="B31" s="23" t="s">
        <v>776</v>
      </c>
      <c r="C31" s="19">
        <v>1893</v>
      </c>
      <c r="D31" s="5"/>
      <c r="E31" s="23" t="s">
        <v>776</v>
      </c>
      <c r="F31" s="19">
        <v>2182</v>
      </c>
      <c r="G31" t="b">
        <f>IF(B31=E31,TRUE,FALSE)</f>
        <v>1</v>
      </c>
      <c r="H31" s="5"/>
      <c r="I31" s="5"/>
      <c r="J31" s="25">
        <f>F31-C31</f>
        <v>289</v>
      </c>
      <c r="K31" s="4">
        <f>F31/C31-1</f>
        <v>0.15266772319070254</v>
      </c>
      <c r="L31" s="5"/>
      <c r="M31" s="5">
        <v>1220.03</v>
      </c>
      <c r="N31" s="5">
        <v>1541.99</v>
      </c>
      <c r="O31" s="5"/>
      <c r="P31" s="5"/>
      <c r="Q31" s="159">
        <v>7803.13</v>
      </c>
      <c r="R31" s="5"/>
      <c r="S31" s="173">
        <f>N31/F31</f>
        <v>0.70668652612282312</v>
      </c>
      <c r="T31" s="132">
        <f>N31-M31</f>
        <v>321.96000000000004</v>
      </c>
      <c r="U31" s="4">
        <f>IF(M31=0,0,N31/M31-1)</f>
        <v>0.26389515011925946</v>
      </c>
      <c r="V31" s="5"/>
      <c r="W31" s="5"/>
      <c r="X31" s="5"/>
      <c r="Y31" s="5"/>
      <c r="Z31" s="15"/>
      <c r="AA31" s="18">
        <v>52993.35</v>
      </c>
      <c r="AB31" s="18">
        <v>56968.49</v>
      </c>
      <c r="AC31" s="4">
        <f>AB31/AA31-1</f>
        <v>7.5012053399152956E-2</v>
      </c>
    </row>
    <row r="32" spans="1:29" ht="13.9" customHeight="1">
      <c r="A32" t="s">
        <v>777</v>
      </c>
      <c r="B32" t="s">
        <v>778</v>
      </c>
      <c r="C32" s="19">
        <v>484</v>
      </c>
      <c r="E32" t="s">
        <v>778</v>
      </c>
      <c r="F32" s="19">
        <v>540</v>
      </c>
      <c r="G32" t="b">
        <f>IF(B32=E32,TRUE,FALSE)</f>
        <v>1</v>
      </c>
      <c r="J32" s="25">
        <f>F32-C32</f>
        <v>56</v>
      </c>
      <c r="K32" s="4">
        <f>F32/C32-1</f>
        <v>0.11570247933884303</v>
      </c>
      <c r="M32" s="5">
        <v>750.26</v>
      </c>
      <c r="N32" s="5">
        <v>1049.3399999999999</v>
      </c>
      <c r="Q32" s="159">
        <v>3319.07</v>
      </c>
      <c r="S32" s="173">
        <f>N32/F32</f>
        <v>1.943222222222222</v>
      </c>
      <c r="T32" s="132">
        <f>N32-M32</f>
        <v>299.07999999999993</v>
      </c>
      <c r="U32" s="4">
        <f>IF(M32=0,0,N32/M32-1)</f>
        <v>0.3986351398181962</v>
      </c>
      <c r="AA32" s="18">
        <v>9655.7999999999993</v>
      </c>
      <c r="AB32" s="18">
        <v>10350.6</v>
      </c>
      <c r="AC32" s="4">
        <f>AB32/AA32-1</f>
        <v>7.1956751382588724E-2</v>
      </c>
    </row>
    <row r="33" spans="1:29">
      <c r="A33" t="s">
        <v>779</v>
      </c>
      <c r="B33" t="s">
        <v>780</v>
      </c>
      <c r="C33" s="19">
        <v>1007</v>
      </c>
      <c r="E33" t="s">
        <v>780</v>
      </c>
      <c r="F33" s="19">
        <v>1006</v>
      </c>
      <c r="G33" t="b">
        <f>IF(B33=E33,TRUE,FALSE)</f>
        <v>1</v>
      </c>
      <c r="J33" s="25">
        <f>F33-C33</f>
        <v>-1</v>
      </c>
      <c r="K33" s="4">
        <f>F33/C33-1</f>
        <v>-9.930486593843213E-4</v>
      </c>
      <c r="M33" s="5">
        <v>1193.3699999999999</v>
      </c>
      <c r="N33" s="5">
        <v>1483.04</v>
      </c>
      <c r="Q33" s="159">
        <v>5748.65</v>
      </c>
      <c r="S33" s="173">
        <f>N33/F33</f>
        <v>1.4741948310139166</v>
      </c>
      <c r="T33" s="132">
        <f>N33-M33</f>
        <v>289.67000000000007</v>
      </c>
      <c r="U33" s="4">
        <f>IF(M33=0,0,N33/M33-1)</f>
        <v>0.2427327651943656</v>
      </c>
      <c r="W33" t="s">
        <v>781</v>
      </c>
      <c r="Y33" t="s">
        <v>782</v>
      </c>
      <c r="AA33" s="18">
        <v>19989.900000000001</v>
      </c>
      <c r="AB33" s="18">
        <v>20069.7</v>
      </c>
      <c r="AC33" s="4">
        <f>AB33/AA33-1</f>
        <v>3.9920159680637557E-3</v>
      </c>
    </row>
    <row r="34" spans="1:29">
      <c r="A34" t="s">
        <v>783</v>
      </c>
      <c r="B34" t="s">
        <v>784</v>
      </c>
      <c r="C34" s="19">
        <v>4077</v>
      </c>
      <c r="E34" t="s">
        <v>784</v>
      </c>
      <c r="F34" s="19">
        <v>3727</v>
      </c>
      <c r="G34" t="b">
        <f>IF(B34=E34,TRUE,FALSE)</f>
        <v>1</v>
      </c>
      <c r="J34" s="25">
        <f>F34-C34</f>
        <v>-350</v>
      </c>
      <c r="K34" s="4">
        <f>F34/C34-1</f>
        <v>-8.5847436840814306E-2</v>
      </c>
      <c r="M34" s="5">
        <v>3988.34</v>
      </c>
      <c r="N34" s="5">
        <v>4253.92</v>
      </c>
      <c r="Q34" s="159">
        <v>17102.419999999998</v>
      </c>
      <c r="S34" s="173">
        <f>N34/F34</f>
        <v>1.1413791253018515</v>
      </c>
      <c r="T34" s="132">
        <f>N34-M34</f>
        <v>265.57999999999993</v>
      </c>
      <c r="U34" s="4">
        <f>IF(M34=0,0,N34/M34-1)</f>
        <v>6.6589107247626789E-2</v>
      </c>
      <c r="AA34" s="18">
        <v>89916.03</v>
      </c>
      <c r="AB34" s="18">
        <v>83117.929999999993</v>
      </c>
      <c r="AC34" s="4">
        <f>AB34/AA34-1</f>
        <v>-7.5604983894418054E-2</v>
      </c>
    </row>
    <row r="35" spans="1:29">
      <c r="A35" t="s">
        <v>785</v>
      </c>
      <c r="B35" t="s">
        <v>786</v>
      </c>
      <c r="C35" s="19">
        <v>933</v>
      </c>
      <c r="D35" s="5"/>
      <c r="E35" t="s">
        <v>786</v>
      </c>
      <c r="F35" s="19">
        <v>1110</v>
      </c>
      <c r="G35" t="b">
        <f>IF(B35=E35,TRUE,FALSE)</f>
        <v>1</v>
      </c>
      <c r="H35" s="5"/>
      <c r="I35" s="5"/>
      <c r="J35" s="25">
        <f>F35-C35</f>
        <v>177</v>
      </c>
      <c r="K35" s="4">
        <f>F35/C35-1</f>
        <v>0.18971061093247599</v>
      </c>
      <c r="L35" s="5"/>
      <c r="M35" s="5">
        <v>638.74</v>
      </c>
      <c r="N35" s="5">
        <v>875.08</v>
      </c>
      <c r="O35" s="5"/>
      <c r="P35" s="5"/>
      <c r="Q35" s="159">
        <v>4766.54</v>
      </c>
      <c r="R35" s="5"/>
      <c r="S35" s="173">
        <f>N35/F35</f>
        <v>0.78836036036036039</v>
      </c>
      <c r="T35" s="132">
        <f>N35-M35</f>
        <v>236.34000000000003</v>
      </c>
      <c r="U35" s="4">
        <f>IF(M35=0,0,N35/M35-1)</f>
        <v>0.37000970660988819</v>
      </c>
      <c r="V35" s="5"/>
      <c r="W35" s="5"/>
      <c r="X35" s="5"/>
      <c r="Y35" s="5"/>
      <c r="Z35" s="15"/>
      <c r="AA35" s="18">
        <v>23253.48</v>
      </c>
      <c r="AB35" s="18">
        <v>26200.11</v>
      </c>
      <c r="AC35" s="4">
        <f>AB35/AA35-1</f>
        <v>0.12671780739915062</v>
      </c>
    </row>
    <row r="36" spans="1:29">
      <c r="A36" s="55" t="s">
        <v>787</v>
      </c>
      <c r="B36" s="37" t="s">
        <v>788</v>
      </c>
      <c r="C36" s="19">
        <v>0</v>
      </c>
      <c r="E36" s="37" t="s">
        <v>788</v>
      </c>
      <c r="F36" s="19">
        <v>62</v>
      </c>
      <c r="G36" t="b">
        <f>IF(B36=E36,TRUE,FALSE)</f>
        <v>1</v>
      </c>
      <c r="J36" s="25">
        <f>F36-C36</f>
        <v>62</v>
      </c>
      <c r="K36" s="4" t="e">
        <f>F36/C36-1</f>
        <v>#DIV/0!</v>
      </c>
      <c r="M36" s="5">
        <v>0</v>
      </c>
      <c r="N36" s="5">
        <v>219.09</v>
      </c>
      <c r="Q36" s="159">
        <v>599.64</v>
      </c>
      <c r="T36" s="132">
        <f>N36-M36</f>
        <v>219.09</v>
      </c>
      <c r="U36" s="4">
        <f>IF(M36=0,0,N36/M36-1)</f>
        <v>0</v>
      </c>
      <c r="AA36" s="18">
        <v>0</v>
      </c>
      <c r="AB36" s="18">
        <v>1419.32</v>
      </c>
      <c r="AC36" s="4" t="e">
        <f>AB36/AA36-1</f>
        <v>#DIV/0!</v>
      </c>
    </row>
    <row r="37" spans="1:29">
      <c r="A37" t="s">
        <v>789</v>
      </c>
      <c r="B37" t="s">
        <v>790</v>
      </c>
      <c r="C37" s="19">
        <v>917</v>
      </c>
      <c r="E37" t="s">
        <v>790</v>
      </c>
      <c r="F37" s="19">
        <v>1166</v>
      </c>
      <c r="G37" t="b">
        <f>IF(B37=E37,TRUE,FALSE)</f>
        <v>1</v>
      </c>
      <c r="J37" s="25">
        <f>F37-C37</f>
        <v>249</v>
      </c>
      <c r="K37" s="4">
        <f>F37/C37-1</f>
        <v>0.27153762268266091</v>
      </c>
      <c r="M37" s="5">
        <v>1150.79</v>
      </c>
      <c r="N37" s="5">
        <v>1363.33</v>
      </c>
      <c r="Q37" s="159">
        <v>12814.78</v>
      </c>
      <c r="S37" s="173">
        <f>N37/F37</f>
        <v>1.1692367066895368</v>
      </c>
      <c r="T37" s="132">
        <f>N37-M37</f>
        <v>212.53999999999996</v>
      </c>
      <c r="U37" s="4">
        <f>IF(M37=0,0,N37/M37-1)</f>
        <v>0.18469051694922611</v>
      </c>
      <c r="AA37" s="18">
        <v>26583.829999999998</v>
      </c>
      <c r="AB37" s="18">
        <v>33802.339999999997</v>
      </c>
      <c r="AC37" s="4">
        <f>AB37/AA37-1</f>
        <v>0.27153762268266091</v>
      </c>
    </row>
    <row r="38" spans="1:29">
      <c r="A38" t="s">
        <v>791</v>
      </c>
      <c r="B38" t="s">
        <v>792</v>
      </c>
      <c r="C38" s="19">
        <v>5783</v>
      </c>
      <c r="E38" t="s">
        <v>792</v>
      </c>
      <c r="F38" s="19">
        <v>5417</v>
      </c>
      <c r="G38" t="b">
        <f>IF(B38=E38,TRUE,FALSE)</f>
        <v>1</v>
      </c>
      <c r="J38" s="25">
        <f>F38-C38</f>
        <v>-366</v>
      </c>
      <c r="K38" s="4">
        <f>F38/C38-1</f>
        <v>-6.3288950371779396E-2</v>
      </c>
      <c r="M38" s="5">
        <v>7055.14</v>
      </c>
      <c r="N38" s="5">
        <v>7264.3</v>
      </c>
      <c r="Q38" s="159">
        <v>44763.12</v>
      </c>
      <c r="S38" s="173">
        <f>N38/F38</f>
        <v>1.34101901421451</v>
      </c>
      <c r="T38" s="132">
        <f>N38-M38</f>
        <v>209.15999999999985</v>
      </c>
      <c r="U38" s="4">
        <f>IF(M38=0,0,N38/M38-1)</f>
        <v>2.9646470516531132E-2</v>
      </c>
      <c r="W38" t="s">
        <v>793</v>
      </c>
      <c r="AA38" s="18">
        <v>137661.09</v>
      </c>
      <c r="AB38" s="18">
        <v>135265.20000000001</v>
      </c>
      <c r="AC38" s="4">
        <f>AB38/AA38-1</f>
        <v>-1.7404264342233411E-2</v>
      </c>
    </row>
    <row r="39" spans="1:29">
      <c r="A39" t="s">
        <v>794</v>
      </c>
      <c r="B39" t="s">
        <v>795</v>
      </c>
      <c r="C39" s="19">
        <v>1802</v>
      </c>
      <c r="D39" s="5"/>
      <c r="E39" t="s">
        <v>795</v>
      </c>
      <c r="F39" s="19">
        <v>1620</v>
      </c>
      <c r="G39" t="b">
        <f>IF(B39=E39,TRUE,FALSE)</f>
        <v>1</v>
      </c>
      <c r="H39" s="5"/>
      <c r="I39" s="5"/>
      <c r="J39" s="25">
        <f>F39-C39</f>
        <v>-182</v>
      </c>
      <c r="K39" s="4">
        <f>F39/C39-1</f>
        <v>-0.10099889012208652</v>
      </c>
      <c r="L39" s="5"/>
      <c r="M39" s="5">
        <v>2773.72</v>
      </c>
      <c r="N39" s="5">
        <v>2952.18</v>
      </c>
      <c r="O39" s="5"/>
      <c r="P39" s="5"/>
      <c r="Q39" s="159">
        <v>17140.12</v>
      </c>
      <c r="R39" s="5"/>
      <c r="S39" s="173">
        <f>N39/F39</f>
        <v>1.8223333333333331</v>
      </c>
      <c r="T39" s="132">
        <f>N39-M39</f>
        <v>178.46000000000004</v>
      </c>
      <c r="U39" s="4">
        <f>IF(M39=0,0,N39/M39-1)</f>
        <v>6.4339587269082621E-2</v>
      </c>
      <c r="V39" s="5"/>
      <c r="W39" s="5"/>
      <c r="X39" s="5"/>
      <c r="Y39" s="5"/>
      <c r="Z39" s="15"/>
      <c r="AA39" s="18">
        <v>42131.97</v>
      </c>
      <c r="AB39" s="18">
        <v>40483.800000000003</v>
      </c>
      <c r="AC39" s="4">
        <f>AB39/AA39-1</f>
        <v>-3.9119224664785346E-2</v>
      </c>
    </row>
    <row r="40" spans="1:29">
      <c r="A40" t="s">
        <v>796</v>
      </c>
      <c r="B40" t="s">
        <v>797</v>
      </c>
      <c r="C40" s="19">
        <v>2583</v>
      </c>
      <c r="E40" t="s">
        <v>797</v>
      </c>
      <c r="F40" s="19">
        <v>1809</v>
      </c>
      <c r="G40" t="b">
        <f>IF(B40=E40,TRUE,FALSE)</f>
        <v>1</v>
      </c>
      <c r="J40" s="25">
        <f>F40-C40</f>
        <v>-774</v>
      </c>
      <c r="K40" s="4">
        <f>F40/C40-1</f>
        <v>-0.29965156794425085</v>
      </c>
      <c r="M40" s="5">
        <v>1654.13</v>
      </c>
      <c r="N40" s="5">
        <v>1821.01</v>
      </c>
      <c r="Q40" s="159">
        <v>16870.57</v>
      </c>
      <c r="S40" s="173">
        <f>N40/F40</f>
        <v>1.0066390270867882</v>
      </c>
      <c r="T40" s="132">
        <f>N40-M40</f>
        <v>166.87999999999988</v>
      </c>
      <c r="U40" s="4">
        <f>IF(M40=0,0,N40/M40-1)</f>
        <v>0.10088687104399274</v>
      </c>
      <c r="AA40" s="18">
        <v>70142.899999999994</v>
      </c>
      <c r="AB40" s="18">
        <v>54419.15</v>
      </c>
      <c r="AC40" s="4">
        <f>AB40/AA40-1</f>
        <v>-0.22416737830913736</v>
      </c>
    </row>
    <row r="41" spans="1:29">
      <c r="A41" t="s">
        <v>798</v>
      </c>
      <c r="B41" t="s">
        <v>799</v>
      </c>
      <c r="C41" s="19">
        <v>551</v>
      </c>
      <c r="E41" t="s">
        <v>799</v>
      </c>
      <c r="F41" s="19">
        <v>610</v>
      </c>
      <c r="G41" t="b">
        <f>IF(B41=E41,TRUE,FALSE)</f>
        <v>1</v>
      </c>
      <c r="J41" s="25">
        <f>F41-C41</f>
        <v>59</v>
      </c>
      <c r="K41" s="4">
        <f>F41/C41-1</f>
        <v>0.10707803992740472</v>
      </c>
      <c r="M41" s="5">
        <v>414.74</v>
      </c>
      <c r="N41" s="5">
        <v>577.24</v>
      </c>
      <c r="Q41" s="159">
        <v>2222.9299999999998</v>
      </c>
      <c r="S41" s="173">
        <f>N41/F41</f>
        <v>0.94629508196721313</v>
      </c>
      <c r="T41" s="132">
        <f>N41-M41</f>
        <v>162.5</v>
      </c>
      <c r="U41" s="4">
        <f>IF(M41=0,0,N41/M41-1)</f>
        <v>0.39181173747408016</v>
      </c>
      <c r="AA41" s="18">
        <v>12116.49</v>
      </c>
      <c r="AB41" s="18">
        <v>13413.9</v>
      </c>
      <c r="AC41" s="4">
        <f>AB41/AA41-1</f>
        <v>0.10707803992740472</v>
      </c>
    </row>
    <row r="42" spans="1:29">
      <c r="A42" t="s">
        <v>800</v>
      </c>
      <c r="B42" t="s">
        <v>801</v>
      </c>
      <c r="C42" s="19">
        <v>627</v>
      </c>
      <c r="E42" t="s">
        <v>801</v>
      </c>
      <c r="F42" s="19">
        <v>636</v>
      </c>
      <c r="G42" t="b">
        <f>IF(B42=E42,TRUE,FALSE)</f>
        <v>1</v>
      </c>
      <c r="J42" s="25">
        <f>F42-C42</f>
        <v>9</v>
      </c>
      <c r="K42" s="4">
        <f>F42/C42-1</f>
        <v>1.4354066985645897E-2</v>
      </c>
      <c r="M42" s="5">
        <v>732.44</v>
      </c>
      <c r="N42" s="5">
        <v>880.95</v>
      </c>
      <c r="Q42" s="159">
        <v>4187.29</v>
      </c>
      <c r="S42" s="173">
        <f>N42/F42</f>
        <v>1.3851415094339623</v>
      </c>
      <c r="T42" s="132">
        <f>N42-M42</f>
        <v>148.51</v>
      </c>
      <c r="U42" s="4">
        <f>IF(M42=0,0,N42/M42-1)</f>
        <v>0.20276063568346903</v>
      </c>
      <c r="AA42" s="18">
        <v>15016.65</v>
      </c>
      <c r="AB42" s="18">
        <v>15232.2</v>
      </c>
      <c r="AC42" s="4">
        <f>AB42/AA42-1</f>
        <v>1.4354066985645897E-2</v>
      </c>
    </row>
    <row r="43" spans="1:29">
      <c r="A43" t="s">
        <v>802</v>
      </c>
      <c r="B43" t="s">
        <v>803</v>
      </c>
      <c r="C43" s="19">
        <v>726</v>
      </c>
      <c r="E43" t="s">
        <v>803</v>
      </c>
      <c r="F43" s="19">
        <v>823</v>
      </c>
      <c r="G43" t="b">
        <f>IF(B43=E43,TRUE,FALSE)</f>
        <v>1</v>
      </c>
      <c r="J43" s="25">
        <f>F43-C43</f>
        <v>97</v>
      </c>
      <c r="K43" s="4">
        <f>F43/C43-1</f>
        <v>0.13360881542699721</v>
      </c>
      <c r="M43" s="5">
        <v>200.68</v>
      </c>
      <c r="N43" s="5">
        <v>343.05</v>
      </c>
      <c r="Q43" s="159">
        <v>2914.92</v>
      </c>
      <c r="S43" s="173">
        <f>N43/F43</f>
        <v>0.41682867557715675</v>
      </c>
      <c r="T43" s="132">
        <f>N43-M43</f>
        <v>142.37</v>
      </c>
      <c r="U43" s="4">
        <f>IF(M43=0,0,N43/M43-1)</f>
        <v>0.70943791110225241</v>
      </c>
      <c r="AA43" s="18">
        <v>25781.88</v>
      </c>
      <c r="AB43" s="18">
        <v>28210.63</v>
      </c>
      <c r="AC43" s="4">
        <f>AB43/AA43-1</f>
        <v>9.4203758608759403E-2</v>
      </c>
    </row>
    <row r="44" spans="1:29">
      <c r="A44" t="s">
        <v>804</v>
      </c>
      <c r="B44" t="s">
        <v>805</v>
      </c>
      <c r="C44" s="19">
        <v>761</v>
      </c>
      <c r="E44" t="s">
        <v>805</v>
      </c>
      <c r="F44" s="19">
        <v>759</v>
      </c>
      <c r="G44" t="b">
        <f>IF(B44=E44,TRUE,FALSE)</f>
        <v>1</v>
      </c>
      <c r="J44" s="25">
        <f>F44-C44</f>
        <v>-2</v>
      </c>
      <c r="K44" s="4">
        <f>F44/C44-1</f>
        <v>-2.6281208935611255E-3</v>
      </c>
      <c r="M44" s="5">
        <v>629.29999999999995</v>
      </c>
      <c r="N44" s="5">
        <v>764.71</v>
      </c>
      <c r="Q44" s="159">
        <v>3141.06</v>
      </c>
      <c r="S44" s="173">
        <f>N44/F44</f>
        <v>1.0075230566534914</v>
      </c>
      <c r="T44" s="132">
        <f>N44-M44</f>
        <v>135.41000000000008</v>
      </c>
      <c r="U44" s="4">
        <f>IF(M44=0,0,N44/M44-1)</f>
        <v>0.21517559192753866</v>
      </c>
      <c r="AA44" s="18">
        <v>12172.39</v>
      </c>
      <c r="AB44" s="18">
        <v>12136.41</v>
      </c>
      <c r="AC44" s="4">
        <f>AB44/AA44-1</f>
        <v>-2.9558698004253925E-3</v>
      </c>
    </row>
    <row r="45" spans="1:29">
      <c r="A45" t="s">
        <v>806</v>
      </c>
      <c r="B45" t="s">
        <v>807</v>
      </c>
      <c r="C45" s="19">
        <v>1080</v>
      </c>
      <c r="E45" t="s">
        <v>807</v>
      </c>
      <c r="F45" s="19">
        <v>1027</v>
      </c>
      <c r="G45" t="b">
        <f>IF(B45=E45,TRUE,FALSE)</f>
        <v>1</v>
      </c>
      <c r="J45" s="25">
        <f>F45-C45</f>
        <v>-53</v>
      </c>
      <c r="K45" s="4">
        <f>F45/C45-1</f>
        <v>-4.9074074074074048E-2</v>
      </c>
      <c r="M45" s="5">
        <v>728.29</v>
      </c>
      <c r="N45" s="5">
        <v>859.84</v>
      </c>
      <c r="Q45" s="159">
        <v>5374.71</v>
      </c>
      <c r="S45" s="173">
        <f>N45/F45</f>
        <v>0.83723466407010716</v>
      </c>
      <c r="T45" s="132">
        <f>N45-M45</f>
        <v>131.55000000000007</v>
      </c>
      <c r="U45" s="4">
        <f>IF(M45=0,0,N45/M45-1)</f>
        <v>0.18062859575169243</v>
      </c>
      <c r="AA45" s="18">
        <v>18349.2</v>
      </c>
      <c r="AB45" s="18">
        <v>17448.73</v>
      </c>
      <c r="AC45" s="4">
        <f>AB45/AA45-1</f>
        <v>-4.9074074074074159E-2</v>
      </c>
    </row>
    <row r="46" spans="1:29">
      <c r="A46" t="s">
        <v>808</v>
      </c>
      <c r="B46" t="s">
        <v>809</v>
      </c>
      <c r="C46" s="19">
        <v>1458</v>
      </c>
      <c r="E46" t="s">
        <v>809</v>
      </c>
      <c r="F46" s="19">
        <v>1287</v>
      </c>
      <c r="G46" t="b">
        <f>IF(B46=E46,TRUE,FALSE)</f>
        <v>1</v>
      </c>
      <c r="J46" s="25">
        <f>F46-C46</f>
        <v>-171</v>
      </c>
      <c r="K46" s="4">
        <f>F46/C46-1</f>
        <v>-0.11728395061728392</v>
      </c>
      <c r="M46" s="5">
        <v>1045.67</v>
      </c>
      <c r="N46" s="5">
        <v>1176.78</v>
      </c>
      <c r="Q46" s="159">
        <v>9608.42</v>
      </c>
      <c r="S46" s="173">
        <f>N46/F46</f>
        <v>0.91435897435897429</v>
      </c>
      <c r="T46" s="132">
        <f>N46-M46</f>
        <v>131.1099999999999</v>
      </c>
      <c r="U46" s="4">
        <f>IF(M46=0,0,N46/M46-1)</f>
        <v>0.12538372526705355</v>
      </c>
      <c r="AA46" s="18">
        <v>39702.03</v>
      </c>
      <c r="AB46" s="18">
        <v>37258.65</v>
      </c>
      <c r="AC46" s="4">
        <f>AB46/AA46-1</f>
        <v>-6.1542948811433518E-2</v>
      </c>
    </row>
    <row r="47" spans="1:29">
      <c r="A47" t="s">
        <v>810</v>
      </c>
      <c r="B47" t="s">
        <v>811</v>
      </c>
      <c r="C47" s="19">
        <v>976</v>
      </c>
      <c r="D47" s="5"/>
      <c r="E47" t="s">
        <v>811</v>
      </c>
      <c r="F47" s="19">
        <v>1051</v>
      </c>
      <c r="G47" t="b">
        <f>IF(B47=E47,TRUE,FALSE)</f>
        <v>1</v>
      </c>
      <c r="H47" s="5"/>
      <c r="I47" s="5"/>
      <c r="J47" s="25">
        <f>F47-C47</f>
        <v>75</v>
      </c>
      <c r="K47" s="4">
        <f>F47/C47-1</f>
        <v>7.6844262295082011E-2</v>
      </c>
      <c r="L47" s="5"/>
      <c r="M47" s="5">
        <v>1878.46</v>
      </c>
      <c r="N47" s="5">
        <v>2004.94</v>
      </c>
      <c r="O47" s="5"/>
      <c r="P47" s="5"/>
      <c r="Q47" s="159">
        <v>12401.06</v>
      </c>
      <c r="R47" s="5"/>
      <c r="S47" s="173">
        <f>N47/F47</f>
        <v>1.9076498572787821</v>
      </c>
      <c r="T47" s="132">
        <f>N47-M47</f>
        <v>126.48000000000002</v>
      </c>
      <c r="U47" s="4">
        <f>IF(M47=0,0,N47/M47-1)</f>
        <v>6.7331750476454122E-2</v>
      </c>
      <c r="V47" s="5"/>
      <c r="W47" s="5"/>
      <c r="X47" s="5"/>
      <c r="Y47" s="5"/>
      <c r="Z47" s="15"/>
      <c r="AA47" s="18">
        <v>15606.24</v>
      </c>
      <c r="AB47" s="18">
        <v>16805.490000000002</v>
      </c>
      <c r="AC47" s="4">
        <f>AB47/AA47-1</f>
        <v>7.6844262295082011E-2</v>
      </c>
    </row>
    <row r="48" spans="1:29">
      <c r="A48" t="s">
        <v>812</v>
      </c>
      <c r="B48" t="s">
        <v>813</v>
      </c>
      <c r="C48" s="19">
        <v>3452</v>
      </c>
      <c r="E48" t="s">
        <v>813</v>
      </c>
      <c r="F48" s="19">
        <v>2607</v>
      </c>
      <c r="G48" t="b">
        <f>IF(B48=E48,TRUE,FALSE)</f>
        <v>1</v>
      </c>
      <c r="J48" s="25">
        <f>F48-C48</f>
        <v>-845</v>
      </c>
      <c r="K48" s="4">
        <f>F48/C48-1</f>
        <v>-0.24478563151796062</v>
      </c>
      <c r="M48" s="5">
        <v>1769.51</v>
      </c>
      <c r="N48" s="5">
        <v>1877.32</v>
      </c>
      <c r="Q48" s="159">
        <v>16424.060000000001</v>
      </c>
      <c r="S48" s="173">
        <f>N48/F48</f>
        <v>0.7201074031453778</v>
      </c>
      <c r="T48" s="132">
        <f>N48-M48</f>
        <v>107.80999999999995</v>
      </c>
      <c r="U48" s="4">
        <f>IF(M48=0,0,N48/M48-1)</f>
        <v>6.0926471169984842E-2</v>
      </c>
      <c r="AA48" s="18">
        <v>72325.75</v>
      </c>
      <c r="AB48" s="18">
        <v>59257.11</v>
      </c>
      <c r="AC48" s="4">
        <f>AB48/AA48-1</f>
        <v>-0.18069138584805544</v>
      </c>
    </row>
    <row r="49" spans="1:29">
      <c r="A49" t="s">
        <v>814</v>
      </c>
      <c r="B49" t="s">
        <v>815</v>
      </c>
      <c r="C49" s="19">
        <v>3695</v>
      </c>
      <c r="D49" s="5"/>
      <c r="E49" t="s">
        <v>815</v>
      </c>
      <c r="F49" s="19">
        <v>3532</v>
      </c>
      <c r="G49" t="b">
        <f>IF(B49=E49,TRUE,FALSE)</f>
        <v>1</v>
      </c>
      <c r="H49" s="5"/>
      <c r="I49" s="5"/>
      <c r="J49" s="25">
        <f>F49-C49</f>
        <v>-163</v>
      </c>
      <c r="K49" s="4">
        <f>F49/C49-1</f>
        <v>-4.4113667117726685E-2</v>
      </c>
      <c r="L49" s="5"/>
      <c r="M49" s="5">
        <v>3664.55</v>
      </c>
      <c r="N49" s="5">
        <v>3761.54</v>
      </c>
      <c r="O49" s="5"/>
      <c r="P49" s="5"/>
      <c r="Q49" s="159">
        <v>18712.240000000002</v>
      </c>
      <c r="R49" s="5"/>
      <c r="S49" s="173">
        <f>N49/F49</f>
        <v>1.0649886749716875</v>
      </c>
      <c r="T49" s="132">
        <f>N49-M49</f>
        <v>96.989999999999782</v>
      </c>
      <c r="U49" s="4">
        <f>IF(M49=0,0,N49/M49-1)</f>
        <v>2.6467096915037347E-2</v>
      </c>
      <c r="V49" s="5"/>
      <c r="W49" s="5"/>
      <c r="X49" s="5"/>
      <c r="Y49" s="5"/>
      <c r="Z49" s="15"/>
      <c r="AA49" s="18">
        <v>80606.459999999992</v>
      </c>
      <c r="AB49" s="18">
        <v>78443.78</v>
      </c>
      <c r="AC49" s="4">
        <f>AB49/AA49-1</f>
        <v>-2.6830107661346192E-2</v>
      </c>
    </row>
    <row r="50" spans="1:29">
      <c r="A50" t="s">
        <v>816</v>
      </c>
      <c r="B50" t="s">
        <v>817</v>
      </c>
      <c r="C50" s="19">
        <v>495</v>
      </c>
      <c r="E50" t="s">
        <v>817</v>
      </c>
      <c r="F50" s="19">
        <v>755</v>
      </c>
      <c r="G50" t="b">
        <f>IF(B50=E50,TRUE,FALSE)</f>
        <v>1</v>
      </c>
      <c r="J50" s="25">
        <f>F50-C50</f>
        <v>260</v>
      </c>
      <c r="K50" s="4">
        <f>F50/C50-1</f>
        <v>0.5252525252525253</v>
      </c>
      <c r="M50" s="5">
        <v>133.63999999999999</v>
      </c>
      <c r="N50" s="5">
        <v>229.5</v>
      </c>
      <c r="Q50" s="159">
        <v>1527.39</v>
      </c>
      <c r="S50" s="173">
        <f>N50/F50</f>
        <v>0.30397350993377481</v>
      </c>
      <c r="T50" s="132">
        <f>N50-M50</f>
        <v>95.860000000000014</v>
      </c>
      <c r="U50" s="4">
        <f>IF(M50=0,0,N50/M50-1)</f>
        <v>0.71730020951810847</v>
      </c>
      <c r="AA50" s="18">
        <v>6925.05</v>
      </c>
      <c r="AB50" s="18">
        <v>8030.45</v>
      </c>
      <c r="AC50" s="4">
        <f>AB50/AA50-1</f>
        <v>0.15962339622096589</v>
      </c>
    </row>
    <row r="51" spans="1:29">
      <c r="A51" t="s">
        <v>818</v>
      </c>
      <c r="B51" t="s">
        <v>819</v>
      </c>
      <c r="C51" s="19">
        <v>1107</v>
      </c>
      <c r="E51" t="s">
        <v>819</v>
      </c>
      <c r="F51" s="19">
        <v>1105</v>
      </c>
      <c r="G51" t="b">
        <f>IF(B51=E51,TRUE,FALSE)</f>
        <v>1</v>
      </c>
      <c r="J51" s="25">
        <f>F51-C51</f>
        <v>-2</v>
      </c>
      <c r="K51" s="4">
        <f>F51/C51-1</f>
        <v>-1.8066847335139746E-3</v>
      </c>
      <c r="M51" s="5">
        <v>1156.74</v>
      </c>
      <c r="N51" s="5">
        <v>1245.75</v>
      </c>
      <c r="Q51" s="159">
        <v>5073.88</v>
      </c>
      <c r="S51" s="173">
        <f>N51/F51</f>
        <v>1.1273755656108597</v>
      </c>
      <c r="T51" s="132">
        <f>N51-M51</f>
        <v>89.009999999999991</v>
      </c>
      <c r="U51" s="4">
        <f>IF(M51=0,0,N51/M51-1)</f>
        <v>7.6949011878209461E-2</v>
      </c>
      <c r="X51" t="s">
        <v>820</v>
      </c>
      <c r="Y51" t="s">
        <v>821</v>
      </c>
      <c r="Z51" s="14" t="s">
        <v>822</v>
      </c>
      <c r="AA51" s="18">
        <v>21040.920000000002</v>
      </c>
      <c r="AB51" s="18">
        <v>20983.95</v>
      </c>
      <c r="AC51" s="4">
        <f>AB51/AA51-1</f>
        <v>-2.7075812274368616E-3</v>
      </c>
    </row>
    <row r="52" spans="1:29">
      <c r="A52" t="s">
        <v>823</v>
      </c>
      <c r="B52" t="s">
        <v>824</v>
      </c>
      <c r="C52" s="19">
        <v>961</v>
      </c>
      <c r="E52" t="s">
        <v>824</v>
      </c>
      <c r="F52" s="19">
        <v>1030</v>
      </c>
      <c r="G52" t="b">
        <f>IF(B52=E52,TRUE,FALSE)</f>
        <v>1</v>
      </c>
      <c r="J52" s="25">
        <f>F52-C52</f>
        <v>69</v>
      </c>
      <c r="K52" s="4">
        <f>F52/C52-1</f>
        <v>7.1800208116545194E-2</v>
      </c>
      <c r="M52" s="5">
        <v>1602.86</v>
      </c>
      <c r="N52" s="5">
        <v>1686.7</v>
      </c>
      <c r="Q52" s="159">
        <v>9424.81</v>
      </c>
      <c r="S52" s="173">
        <f>N52/F52</f>
        <v>1.6375728155339806</v>
      </c>
      <c r="T52" s="132">
        <f>N52-M52</f>
        <v>83.840000000000146</v>
      </c>
      <c r="U52" s="4">
        <f>IF(M52=0,0,N52/M52-1)</f>
        <v>5.2306502127447363E-2</v>
      </c>
      <c r="AA52" s="18">
        <v>16327.39</v>
      </c>
      <c r="AB52" s="18">
        <v>17499.7</v>
      </c>
      <c r="AC52" s="4">
        <f>AB52/AA52-1</f>
        <v>7.1800208116545416E-2</v>
      </c>
    </row>
    <row r="53" spans="1:29">
      <c r="A53" s="27" t="s">
        <v>825</v>
      </c>
      <c r="B53" s="27" t="s">
        <v>826</v>
      </c>
      <c r="C53" s="19">
        <v>438</v>
      </c>
      <c r="E53" s="27" t="s">
        <v>826</v>
      </c>
      <c r="F53" s="19">
        <v>470</v>
      </c>
      <c r="G53" t="b">
        <f>IF(B53=E53,TRUE,FALSE)</f>
        <v>1</v>
      </c>
      <c r="J53" s="25">
        <f>F53-C53</f>
        <v>32</v>
      </c>
      <c r="K53" s="4">
        <f>F53/C53-1</f>
        <v>7.3059360730593603E-2</v>
      </c>
      <c r="M53" s="5">
        <v>844.15</v>
      </c>
      <c r="N53" s="5">
        <v>920.91</v>
      </c>
      <c r="Q53" s="159">
        <v>4242.09</v>
      </c>
      <c r="S53" s="173">
        <f>N53/F53</f>
        <v>1.9593829787234043</v>
      </c>
      <c r="T53" s="132">
        <f>N53-M53</f>
        <v>76.759999999999991</v>
      </c>
      <c r="U53" s="4">
        <f>IF(M53=0,0,N53/M53-1)</f>
        <v>9.0931706450275485E-2</v>
      </c>
      <c r="AA53" s="18">
        <v>5858.46</v>
      </c>
      <c r="AB53" s="18">
        <v>6339.47</v>
      </c>
      <c r="AC53" s="4">
        <f>AB53/AA53-1</f>
        <v>8.2105194880566001E-2</v>
      </c>
    </row>
    <row r="54" spans="1:29">
      <c r="A54" t="s">
        <v>827</v>
      </c>
      <c r="B54" t="s">
        <v>828</v>
      </c>
      <c r="C54" s="19">
        <v>921</v>
      </c>
      <c r="E54" t="s">
        <v>828</v>
      </c>
      <c r="F54" s="19">
        <v>899</v>
      </c>
      <c r="G54" t="b">
        <f>IF(B54=E54,TRUE,FALSE)</f>
        <v>1</v>
      </c>
      <c r="J54" s="25">
        <f>F54-C54</f>
        <v>-22</v>
      </c>
      <c r="K54" s="4">
        <f>F54/C54-1</f>
        <v>-2.3887079261672106E-2</v>
      </c>
      <c r="M54" s="5">
        <v>1794.01</v>
      </c>
      <c r="N54" s="5">
        <v>1853.17</v>
      </c>
      <c r="Q54" s="159">
        <v>12061.64</v>
      </c>
      <c r="S54" s="173">
        <f>N54/F54</f>
        <v>2.0613681868743048</v>
      </c>
      <c r="T54" s="132">
        <f>N54-M54</f>
        <v>59.160000000000082</v>
      </c>
      <c r="U54" s="4">
        <f>IF(M54=0,0,N54/M54-1)</f>
        <v>3.2976404813797044E-2</v>
      </c>
      <c r="Y54" t="s">
        <v>829</v>
      </c>
      <c r="AA54" s="18">
        <v>27583.95</v>
      </c>
      <c r="AB54" s="18">
        <v>26925.05</v>
      </c>
      <c r="AC54" s="4">
        <f>AB54/AA54-1</f>
        <v>-2.3887079261672106E-2</v>
      </c>
    </row>
    <row r="55" spans="1:29">
      <c r="A55" s="55" t="s">
        <v>830</v>
      </c>
      <c r="B55" s="37" t="s">
        <v>831</v>
      </c>
      <c r="C55">
        <v>139</v>
      </c>
      <c r="E55" s="37" t="s">
        <v>831</v>
      </c>
      <c r="F55">
        <v>168</v>
      </c>
      <c r="G55" t="b">
        <f>IF(B55=E55,TRUE,FALSE)</f>
        <v>1</v>
      </c>
      <c r="J55" s="25">
        <f>F55-C55</f>
        <v>29</v>
      </c>
      <c r="K55" s="4">
        <f>F55/C55-1</f>
        <v>0.20863309352517989</v>
      </c>
      <c r="M55" s="151">
        <v>284.32</v>
      </c>
      <c r="N55" s="151">
        <v>337.75</v>
      </c>
      <c r="Q55" s="159">
        <v>1016.2</v>
      </c>
      <c r="S55" s="173">
        <f>N55/F55</f>
        <v>2.0104166666666665</v>
      </c>
      <c r="T55" s="132">
        <f>N55-M55</f>
        <v>53.430000000000007</v>
      </c>
      <c r="U55" s="4">
        <f>IF(M55=0,0,N55/M55-1)</f>
        <v>0.18792205965109732</v>
      </c>
      <c r="AA55">
        <v>2222.61</v>
      </c>
      <c r="AB55">
        <v>2560.3200000000002</v>
      </c>
      <c r="AC55" s="4">
        <f>AB55/AA55-1</f>
        <v>0.15194298594895184</v>
      </c>
    </row>
    <row r="56" spans="1:29">
      <c r="A56" t="s">
        <v>832</v>
      </c>
      <c r="B56" t="s">
        <v>833</v>
      </c>
      <c r="C56" s="19">
        <v>1177</v>
      </c>
      <c r="E56" t="s">
        <v>833</v>
      </c>
      <c r="F56" s="19">
        <v>1026</v>
      </c>
      <c r="G56" t="b">
        <f>IF(B56=E56,TRUE,FALSE)</f>
        <v>1</v>
      </c>
      <c r="J56" s="25">
        <f>F56-C56</f>
        <v>-151</v>
      </c>
      <c r="K56" s="4">
        <f>F56/C56-1</f>
        <v>-0.1282922684791844</v>
      </c>
      <c r="M56" s="5">
        <v>1575.2</v>
      </c>
      <c r="N56" s="5">
        <v>1628.08</v>
      </c>
      <c r="Q56" s="159">
        <v>7212.93</v>
      </c>
      <c r="S56" s="173">
        <f>N56/F56</f>
        <v>1.5868226120857698</v>
      </c>
      <c r="T56" s="132">
        <f>N56-M56</f>
        <v>52.879999999999882</v>
      </c>
      <c r="U56" s="4">
        <f>IF(M56=0,0,N56/M56-1)</f>
        <v>3.3570340274250876E-2</v>
      </c>
      <c r="AA56" s="18">
        <v>21837.27</v>
      </c>
      <c r="AB56" s="18">
        <v>20468.7</v>
      </c>
      <c r="AC56" s="4">
        <f>AB56/AA56-1</f>
        <v>-6.267129545039285E-2</v>
      </c>
    </row>
    <row r="57" spans="1:29">
      <c r="A57" t="s">
        <v>834</v>
      </c>
      <c r="B57" t="s">
        <v>835</v>
      </c>
      <c r="C57" s="19">
        <v>580</v>
      </c>
      <c r="E57" t="s">
        <v>835</v>
      </c>
      <c r="F57" s="19">
        <v>594</v>
      </c>
      <c r="G57" t="b">
        <f>IF(B57=E57,TRUE,FALSE)</f>
        <v>1</v>
      </c>
      <c r="J57" s="25">
        <f>F57-C57</f>
        <v>14</v>
      </c>
      <c r="K57" s="4">
        <f>F57/C57-1</f>
        <v>2.4137931034482696E-2</v>
      </c>
      <c r="M57" s="5">
        <v>504.15</v>
      </c>
      <c r="N57" s="5">
        <v>555.82000000000005</v>
      </c>
      <c r="Q57" s="159">
        <v>3446.46</v>
      </c>
      <c r="S57" s="173">
        <f>N57/F57</f>
        <v>0.93572390572390585</v>
      </c>
      <c r="T57" s="132">
        <f>N57-M57</f>
        <v>51.670000000000073</v>
      </c>
      <c r="U57" s="4">
        <f>IF(M57=0,0,N57/M57-1)</f>
        <v>0.10248933849052877</v>
      </c>
      <c r="AA57" s="18">
        <v>11571</v>
      </c>
      <c r="AB57" s="18">
        <v>11850.3</v>
      </c>
      <c r="AC57" s="4">
        <f>AB57/AA57-1</f>
        <v>2.4137931034482696E-2</v>
      </c>
    </row>
    <row r="58" spans="1:29">
      <c r="A58" t="s">
        <v>836</v>
      </c>
      <c r="B58" t="s">
        <v>837</v>
      </c>
      <c r="C58" s="19">
        <v>856</v>
      </c>
      <c r="E58" t="s">
        <v>837</v>
      </c>
      <c r="F58" s="19">
        <v>802</v>
      </c>
      <c r="G58" t="b">
        <f>IF(B58=E58,TRUE,FALSE)</f>
        <v>1</v>
      </c>
      <c r="J58" s="25">
        <f>F58-C58</f>
        <v>-54</v>
      </c>
      <c r="K58" s="4">
        <f>F58/C58-1</f>
        <v>-6.308411214953269E-2</v>
      </c>
      <c r="M58" s="5">
        <v>731.95</v>
      </c>
      <c r="N58" s="5">
        <v>781.29</v>
      </c>
      <c r="Q58" s="159">
        <v>5293.91</v>
      </c>
      <c r="S58" s="173">
        <f>N58/F58</f>
        <v>0.97417705735660842</v>
      </c>
      <c r="T58" s="132">
        <f>N58-M58</f>
        <v>49.339999999999918</v>
      </c>
      <c r="U58" s="4">
        <f>IF(M58=0,0,N58/M58-1)</f>
        <v>6.7408976022952372E-2</v>
      </c>
      <c r="AA58" s="18">
        <v>15895.44</v>
      </c>
      <c r="AB58" s="18">
        <v>16031.98</v>
      </c>
      <c r="AC58" s="4">
        <f>AB58/AA58-1</f>
        <v>8.5898848978072095E-3</v>
      </c>
    </row>
    <row r="59" spans="1:29">
      <c r="A59" t="s">
        <v>838</v>
      </c>
      <c r="B59" t="s">
        <v>839</v>
      </c>
      <c r="C59" s="19">
        <v>1767</v>
      </c>
      <c r="D59" s="5"/>
      <c r="E59" t="s">
        <v>839</v>
      </c>
      <c r="F59" s="19">
        <v>1399</v>
      </c>
      <c r="G59" t="b">
        <f>IF(B59=E59,TRUE,FALSE)</f>
        <v>1</v>
      </c>
      <c r="H59" s="5"/>
      <c r="I59" s="5"/>
      <c r="J59" s="25">
        <f>F59-C59</f>
        <v>-368</v>
      </c>
      <c r="K59" s="4">
        <f>F59/C59-1</f>
        <v>-0.20826259196378039</v>
      </c>
      <c r="L59" s="5"/>
      <c r="M59" s="5">
        <v>2332.7399999999998</v>
      </c>
      <c r="N59" s="5">
        <v>2370.7199999999998</v>
      </c>
      <c r="O59" s="5"/>
      <c r="P59" s="5"/>
      <c r="Q59" s="159">
        <v>11929.6</v>
      </c>
      <c r="R59" s="5"/>
      <c r="S59" s="173">
        <f>N59/F59</f>
        <v>1.69458184417441</v>
      </c>
      <c r="T59" s="132">
        <f>N59-M59</f>
        <v>37.980000000000018</v>
      </c>
      <c r="U59" s="4">
        <f>IF(M59=0,0,N59/M59-1)</f>
        <v>1.6281282954808463E-2</v>
      </c>
      <c r="V59" s="5"/>
      <c r="W59" s="5"/>
      <c r="X59" s="5"/>
      <c r="Y59" s="5"/>
      <c r="Z59" s="15"/>
      <c r="AA59" s="18">
        <v>41582.33</v>
      </c>
      <c r="AB59" s="18">
        <v>34958.51</v>
      </c>
      <c r="AC59" s="4">
        <f>AB59/AA59-1</f>
        <v>-0.15929410401004462</v>
      </c>
    </row>
    <row r="60" spans="1:29">
      <c r="A60" t="s">
        <v>840</v>
      </c>
      <c r="B60" t="s">
        <v>841</v>
      </c>
      <c r="C60" s="19">
        <v>1206</v>
      </c>
      <c r="E60" t="s">
        <v>841</v>
      </c>
      <c r="F60" s="19">
        <v>1101</v>
      </c>
      <c r="G60" t="b">
        <f>IF(B60=E60,TRUE,FALSE)</f>
        <v>1</v>
      </c>
      <c r="J60" s="25">
        <f>F60-C60</f>
        <v>-105</v>
      </c>
      <c r="K60" s="4">
        <f>F60/C60-1</f>
        <v>-8.7064676616915415E-2</v>
      </c>
      <c r="M60" s="5">
        <v>181.94</v>
      </c>
      <c r="N60" s="5">
        <v>208.83</v>
      </c>
      <c r="Q60" s="159">
        <v>2013.17</v>
      </c>
      <c r="S60" s="173">
        <f>N60/F60</f>
        <v>0.18967302452316079</v>
      </c>
      <c r="T60" s="132">
        <f>N60-M60</f>
        <v>26.890000000000015</v>
      </c>
      <c r="U60" s="4">
        <f>IF(M60=0,0,N60/M60-1)</f>
        <v>0.14779597669561406</v>
      </c>
      <c r="AA60" s="18">
        <v>28307.95</v>
      </c>
      <c r="AB60" s="18">
        <v>27538.98</v>
      </c>
      <c r="AC60" s="4">
        <f>AB60/AA60-1</f>
        <v>-2.7164453801847177E-2</v>
      </c>
    </row>
    <row r="61" spans="1:29">
      <c r="A61" t="s">
        <v>842</v>
      </c>
      <c r="B61" t="s">
        <v>843</v>
      </c>
      <c r="C61" s="19">
        <v>393</v>
      </c>
      <c r="E61" t="s">
        <v>843</v>
      </c>
      <c r="F61" s="19">
        <v>423</v>
      </c>
      <c r="G61" t="b">
        <f>IF(B61=E61,TRUE,FALSE)</f>
        <v>1</v>
      </c>
      <c r="J61" s="25">
        <f>F61-C61</f>
        <v>30</v>
      </c>
      <c r="K61" s="4">
        <f>F61/C61-1</f>
        <v>7.6335877862595325E-2</v>
      </c>
      <c r="M61" s="5">
        <v>404.7</v>
      </c>
      <c r="N61" s="5">
        <v>418.48</v>
      </c>
      <c r="Q61" s="159">
        <v>1229.83</v>
      </c>
      <c r="S61" s="173">
        <f>N61/F61</f>
        <v>0.98931442080378251</v>
      </c>
      <c r="T61" s="132">
        <f>N61-M61</f>
        <v>13.78000000000003</v>
      </c>
      <c r="U61" s="4">
        <f>IF(M61=0,0,N61/M61-1)</f>
        <v>3.4049913516184915E-2</v>
      </c>
      <c r="AA61" s="18">
        <v>7447.35</v>
      </c>
      <c r="AB61" s="18">
        <v>8015.85</v>
      </c>
      <c r="AC61" s="4">
        <f>AB61/AA61-1</f>
        <v>7.6335877862595325E-2</v>
      </c>
    </row>
    <row r="62" spans="1:29">
      <c r="A62" t="s">
        <v>844</v>
      </c>
      <c r="B62" t="s">
        <v>845</v>
      </c>
      <c r="C62" s="19">
        <v>951</v>
      </c>
      <c r="E62" t="s">
        <v>845</v>
      </c>
      <c r="F62" s="19">
        <v>789</v>
      </c>
      <c r="G62" t="b">
        <f>IF(B62=E62,TRUE,FALSE)</f>
        <v>1</v>
      </c>
      <c r="J62" s="25">
        <f>F62-C62</f>
        <v>-162</v>
      </c>
      <c r="K62" s="4">
        <f>F62/C62-1</f>
        <v>-0.17034700315457418</v>
      </c>
      <c r="M62" s="5">
        <v>540.77</v>
      </c>
      <c r="N62" s="5">
        <v>552.34</v>
      </c>
      <c r="Q62" s="159">
        <v>3863.75</v>
      </c>
      <c r="S62" s="173">
        <f>N62/F62</f>
        <v>0.70005069708491763</v>
      </c>
      <c r="T62" s="132">
        <f>N62-M62</f>
        <v>11.57000000000005</v>
      </c>
      <c r="U62" s="4">
        <f>IF(M62=0,0,N62/M62-1)</f>
        <v>2.1395417645209802E-2</v>
      </c>
      <c r="AA62" s="18">
        <v>24994.51</v>
      </c>
      <c r="AB62" s="18">
        <v>22084.11</v>
      </c>
      <c r="AC62" s="4">
        <f>AB62/AA62-1</f>
        <v>-0.11644157056889681</v>
      </c>
    </row>
    <row r="63" spans="1:29">
      <c r="A63" s="55" t="s">
        <v>846</v>
      </c>
      <c r="B63" s="37" t="s">
        <v>847</v>
      </c>
      <c r="C63" s="19">
        <v>0</v>
      </c>
      <c r="E63" s="37" t="s">
        <v>847</v>
      </c>
      <c r="F63" s="19">
        <v>30</v>
      </c>
      <c r="G63" t="b">
        <f>IF(B63=E63,TRUE,FALSE)</f>
        <v>1</v>
      </c>
      <c r="J63" s="25">
        <f>F63-C63</f>
        <v>30</v>
      </c>
      <c r="K63" s="4" t="e">
        <f>F63/C63-1</f>
        <v>#DIV/0!</v>
      </c>
      <c r="M63" s="5">
        <v>0</v>
      </c>
      <c r="N63" s="5">
        <v>5.92</v>
      </c>
      <c r="Q63" s="159">
        <v>24.99</v>
      </c>
      <c r="T63" s="132">
        <f>N63-M63</f>
        <v>5.92</v>
      </c>
      <c r="U63" s="4">
        <f>IF(M63=0,0,N63/M63-1)</f>
        <v>0</v>
      </c>
      <c r="AA63" s="18">
        <v>0</v>
      </c>
      <c r="AB63" s="18">
        <v>949.7</v>
      </c>
      <c r="AC63" s="4" t="e">
        <f>AB63/AA63-1</f>
        <v>#DIV/0!</v>
      </c>
    </row>
    <row r="64" spans="1:29">
      <c r="A64" t="s">
        <v>848</v>
      </c>
      <c r="B64" s="27" t="s">
        <v>849</v>
      </c>
      <c r="C64" s="19">
        <v>951</v>
      </c>
      <c r="D64" s="19"/>
      <c r="E64" s="27" t="s">
        <v>849</v>
      </c>
      <c r="F64" s="19">
        <v>852</v>
      </c>
      <c r="G64" t="b">
        <f>IF(B64=E64,TRUE,FALSE)</f>
        <v>1</v>
      </c>
      <c r="J64" s="25">
        <f>F64-C64</f>
        <v>-99</v>
      </c>
      <c r="K64" s="4">
        <f>F64/C64-1</f>
        <v>-0.10410094637223977</v>
      </c>
      <c r="M64" s="19">
        <v>1093.54</v>
      </c>
      <c r="N64" s="19">
        <v>1096.4100000000001</v>
      </c>
      <c r="Q64" s="159">
        <v>5950.71</v>
      </c>
      <c r="S64" s="173">
        <f>N64/F64</f>
        <v>1.2868661971830986</v>
      </c>
      <c r="T64" s="134">
        <f>N64-M64</f>
        <v>2.8700000000001182</v>
      </c>
      <c r="U64" s="4">
        <f>IF(M64=0,0,N64/M64-1)</f>
        <v>2.6245039047498864E-3</v>
      </c>
      <c r="AA64" s="18">
        <v>19561.689999999999</v>
      </c>
      <c r="AB64" s="18">
        <v>18735.48</v>
      </c>
      <c r="AC64" s="4">
        <f>AB64/AA64-1</f>
        <v>-4.2236125815305336E-2</v>
      </c>
    </row>
    <row r="65" spans="1:29">
      <c r="A65" t="s">
        <v>850</v>
      </c>
      <c r="B65" t="s">
        <v>851</v>
      </c>
      <c r="C65" s="19">
        <v>902</v>
      </c>
      <c r="E65" t="s">
        <v>851</v>
      </c>
      <c r="F65" s="19">
        <v>919</v>
      </c>
      <c r="G65" t="b">
        <f>IF(B65=E65,TRUE,FALSE)</f>
        <v>1</v>
      </c>
      <c r="J65" s="25">
        <f>F65-C65</f>
        <v>17</v>
      </c>
      <c r="K65" s="4">
        <f>F65/C65-1</f>
        <v>1.8847006651884657E-2</v>
      </c>
      <c r="M65" s="5">
        <v>1682.37</v>
      </c>
      <c r="N65" s="5">
        <v>1684.38</v>
      </c>
      <c r="Q65" s="159">
        <v>6818.03</v>
      </c>
      <c r="S65" s="173">
        <f>N65/F65</f>
        <v>1.8328400435255714</v>
      </c>
      <c r="T65" s="132">
        <f>N65-M65</f>
        <v>2.0100000000002183</v>
      </c>
      <c r="U65" s="4">
        <f>IF(M65=0,0,N65/M65-1)</f>
        <v>1.1947431302270495E-3</v>
      </c>
      <c r="AA65" s="18">
        <v>17974.95</v>
      </c>
      <c r="AB65" s="18">
        <v>18332.060000000001</v>
      </c>
      <c r="AC65" s="4">
        <f>AB65/AA65-1</f>
        <v>1.9867092815279097E-2</v>
      </c>
    </row>
    <row r="66" spans="1:29">
      <c r="A66" t="s">
        <v>852</v>
      </c>
      <c r="B66" t="s">
        <v>853</v>
      </c>
      <c r="C66" s="19">
        <v>813</v>
      </c>
      <c r="E66" t="s">
        <v>853</v>
      </c>
      <c r="F66" s="19">
        <v>787</v>
      </c>
      <c r="G66" t="b">
        <f>IF(B66=E66,TRUE,FALSE)</f>
        <v>1</v>
      </c>
      <c r="J66" s="25">
        <f>F66-C66</f>
        <v>-26</v>
      </c>
      <c r="K66" s="4">
        <f>F66/C66-1</f>
        <v>-3.1980319803198043E-2</v>
      </c>
      <c r="M66" s="5">
        <v>1680.46</v>
      </c>
      <c r="N66" s="5">
        <v>1681.29</v>
      </c>
      <c r="Q66" s="159">
        <v>6263.66</v>
      </c>
      <c r="S66" s="173">
        <f>N66/F66</f>
        <v>2.136327827191868</v>
      </c>
      <c r="T66" s="132">
        <f>N66-M66</f>
        <v>0.82999999999992724</v>
      </c>
      <c r="U66" s="4">
        <f>IF(M66=0,0,N66/M66-1)</f>
        <v>4.9391238113360991E-4</v>
      </c>
      <c r="W66" t="s">
        <v>854</v>
      </c>
      <c r="Y66" t="s">
        <v>855</v>
      </c>
      <c r="AA66" s="18">
        <v>16251.87</v>
      </c>
      <c r="AB66" s="18">
        <v>15732.13</v>
      </c>
      <c r="AC66" s="4">
        <f>AB66/AA66-1</f>
        <v>-3.1980319803198154E-2</v>
      </c>
    </row>
    <row r="67" spans="1:29">
      <c r="A67" t="s">
        <v>856</v>
      </c>
      <c r="B67" t="s">
        <v>857</v>
      </c>
      <c r="C67" s="19">
        <v>1505</v>
      </c>
      <c r="E67" t="s">
        <v>857</v>
      </c>
      <c r="F67" s="19">
        <v>1455</v>
      </c>
      <c r="G67" t="b">
        <f>IF(B67=E67,TRUE,FALSE)</f>
        <v>1</v>
      </c>
      <c r="J67" s="25">
        <f>F67-C67</f>
        <v>-50</v>
      </c>
      <c r="K67" s="4">
        <f>F67/C67-1</f>
        <v>-3.3222591362126241E-2</v>
      </c>
      <c r="M67" s="5">
        <v>0</v>
      </c>
      <c r="N67" s="5">
        <v>0</v>
      </c>
      <c r="Q67" s="159">
        <v>0</v>
      </c>
      <c r="S67" s="173">
        <f>N67/F67</f>
        <v>0</v>
      </c>
      <c r="T67" s="132">
        <v>0</v>
      </c>
      <c r="U67" s="4">
        <f>IF(M67=0,0,N67/M67-1)</f>
        <v>0</v>
      </c>
      <c r="AA67" s="18">
        <v>54272.93</v>
      </c>
      <c r="AB67" s="18">
        <v>52364.38</v>
      </c>
      <c r="AC67" s="4">
        <f>AB67/AA67-1</f>
        <v>-3.5165781541553143E-2</v>
      </c>
    </row>
    <row r="68" spans="1:29" ht="13.5" customHeight="1">
      <c r="A68" t="s">
        <v>858</v>
      </c>
      <c r="B68" t="s">
        <v>859</v>
      </c>
      <c r="C68" s="19">
        <v>423</v>
      </c>
      <c r="E68" t="s">
        <v>859</v>
      </c>
      <c r="F68" s="19">
        <v>545</v>
      </c>
      <c r="G68" t="b">
        <f>IF(B68=E68,TRUE,FALSE)</f>
        <v>1</v>
      </c>
      <c r="J68" s="25">
        <f>F68-C68</f>
        <v>122</v>
      </c>
      <c r="K68" s="4">
        <f>F68/C68-1</f>
        <v>0.28841607565011818</v>
      </c>
      <c r="M68" s="5">
        <v>0</v>
      </c>
      <c r="N68" s="5">
        <v>0</v>
      </c>
      <c r="Q68" s="159">
        <v>0</v>
      </c>
      <c r="S68" s="173">
        <f>N68/F68</f>
        <v>0</v>
      </c>
      <c r="T68" s="132">
        <f>N68-M68</f>
        <v>0</v>
      </c>
      <c r="U68" s="4">
        <f>IF(M68=0,0,N68/M68-1)</f>
        <v>0</v>
      </c>
      <c r="AA68" s="18">
        <v>13387.05</v>
      </c>
      <c r="AB68" s="18">
        <v>17412.75</v>
      </c>
      <c r="AC68" s="4">
        <f>AB68/AA68-1</f>
        <v>0.30071599045346065</v>
      </c>
    </row>
    <row r="69" spans="1:29">
      <c r="A69" t="s">
        <v>860</v>
      </c>
      <c r="B69" t="s">
        <v>861</v>
      </c>
      <c r="C69" s="19">
        <v>521</v>
      </c>
      <c r="E69" t="s">
        <v>861</v>
      </c>
      <c r="F69" s="19">
        <v>593</v>
      </c>
      <c r="G69" t="b">
        <f>IF(B69=E69,TRUE,FALSE)</f>
        <v>1</v>
      </c>
      <c r="J69" s="25">
        <f>F69-C69</f>
        <v>72</v>
      </c>
      <c r="K69" s="4">
        <f>F69/C69-1</f>
        <v>0.13819577735124766</v>
      </c>
      <c r="M69" s="5">
        <v>0</v>
      </c>
      <c r="N69" s="5">
        <v>75.39</v>
      </c>
      <c r="Q69" s="159">
        <v>323.3</v>
      </c>
      <c r="S69" s="173">
        <f>N69/F69</f>
        <v>0.12713322091062396</v>
      </c>
      <c r="T69" s="132">
        <v>0</v>
      </c>
      <c r="U69" s="4">
        <f>IF(M69=0,0,N69/M69-1)</f>
        <v>0</v>
      </c>
      <c r="W69" t="s">
        <v>862</v>
      </c>
      <c r="Y69" t="s">
        <v>863</v>
      </c>
      <c r="Z69" s="14" t="s">
        <v>864</v>
      </c>
      <c r="AA69" s="18">
        <v>11435.95</v>
      </c>
      <c r="AB69" s="18">
        <v>12170.51</v>
      </c>
      <c r="AC69" s="4">
        <f>AB69/AA69-1</f>
        <v>6.4232529872900734E-2</v>
      </c>
    </row>
    <row r="70" spans="1:29">
      <c r="A70" t="s">
        <v>865</v>
      </c>
      <c r="B70" t="s">
        <v>866</v>
      </c>
      <c r="C70" s="19">
        <v>0</v>
      </c>
      <c r="E70" t="s">
        <v>866</v>
      </c>
      <c r="F70" s="19">
        <v>0</v>
      </c>
      <c r="G70" t="b">
        <f>IF(B70=E70,TRUE,FALSE)</f>
        <v>1</v>
      </c>
      <c r="J70" s="25">
        <f>F70-C70</f>
        <v>0</v>
      </c>
      <c r="K70" s="4" t="e">
        <f>F70/C70-1</f>
        <v>#DIV/0!</v>
      </c>
      <c r="M70" s="5">
        <v>0</v>
      </c>
      <c r="N70" s="5">
        <v>0</v>
      </c>
      <c r="Q70" s="159">
        <v>0</v>
      </c>
      <c r="T70" s="132">
        <f>N70-M70</f>
        <v>0</v>
      </c>
      <c r="U70" s="4">
        <f>IF(M70=0,0,N70/M70-1)</f>
        <v>0</v>
      </c>
      <c r="AA70" s="18">
        <v>0</v>
      </c>
      <c r="AB70" s="18">
        <v>0</v>
      </c>
      <c r="AC70" s="4" t="e">
        <f>AB70/AA70-1</f>
        <v>#DIV/0!</v>
      </c>
    </row>
    <row r="71" spans="1:29" ht="13.9" customHeight="1">
      <c r="A71" t="s">
        <v>867</v>
      </c>
      <c r="B71" t="s">
        <v>868</v>
      </c>
      <c r="C71" s="19">
        <v>0</v>
      </c>
      <c r="E71" t="s">
        <v>868</v>
      </c>
      <c r="F71" s="19">
        <v>0</v>
      </c>
      <c r="G71" t="b">
        <f>IF(B71=E71,TRUE,FALSE)</f>
        <v>1</v>
      </c>
      <c r="J71" s="25">
        <f>F71-C71</f>
        <v>0</v>
      </c>
      <c r="K71" s="4" t="e">
        <f>F71/C71-1</f>
        <v>#DIV/0!</v>
      </c>
      <c r="M71" s="5">
        <v>0</v>
      </c>
      <c r="N71" s="5">
        <v>0</v>
      </c>
      <c r="Q71" s="159">
        <v>0</v>
      </c>
      <c r="T71" s="132">
        <f>N71-M71</f>
        <v>0</v>
      </c>
      <c r="U71" s="4">
        <f>IF(M71=0,0,N71/M71-1)</f>
        <v>0</v>
      </c>
      <c r="AA71" s="18">
        <v>0</v>
      </c>
      <c r="AB71" s="18">
        <v>0</v>
      </c>
      <c r="AC71" s="4" t="e">
        <f>AB71/AA71-1</f>
        <v>#DIV/0!</v>
      </c>
    </row>
    <row r="72" spans="1:29" ht="13.9" customHeight="1">
      <c r="A72" t="s">
        <v>869</v>
      </c>
      <c r="B72" t="s">
        <v>870</v>
      </c>
      <c r="C72" s="19">
        <v>1189</v>
      </c>
      <c r="E72" t="s">
        <v>870</v>
      </c>
      <c r="F72" s="19">
        <v>947</v>
      </c>
      <c r="G72" t="b">
        <f>IF(B72=E72,TRUE,FALSE)</f>
        <v>1</v>
      </c>
      <c r="J72" s="25">
        <f>F72-C72</f>
        <v>-242</v>
      </c>
      <c r="K72" s="4">
        <f>F72/C72-1</f>
        <v>-0.20353238015138775</v>
      </c>
      <c r="M72" s="5">
        <v>751.72</v>
      </c>
      <c r="N72" s="5">
        <v>746.57</v>
      </c>
      <c r="Q72" s="159">
        <v>4399.37</v>
      </c>
      <c r="S72" s="173">
        <f>N72/F72</f>
        <v>0.78835269271383324</v>
      </c>
      <c r="T72" s="132">
        <f>N72-M72</f>
        <v>-5.1499999999999773</v>
      </c>
      <c r="U72" s="4">
        <f>IF(M72=0,0,N72/M72-1)</f>
        <v>-6.8509551428722615E-3</v>
      </c>
      <c r="AA72" s="18">
        <v>22236.269999999997</v>
      </c>
      <c r="AB72" s="18">
        <v>18892.650000000001</v>
      </c>
      <c r="AC72" s="4">
        <f>AB72/AA72-1</f>
        <v>-0.150367844966804</v>
      </c>
    </row>
    <row r="73" spans="1:29" ht="13.9" customHeight="1">
      <c r="A73" t="s">
        <v>871</v>
      </c>
      <c r="B73" t="s">
        <v>872</v>
      </c>
      <c r="C73" s="19">
        <v>1365</v>
      </c>
      <c r="E73" t="s">
        <v>872</v>
      </c>
      <c r="F73" s="19">
        <v>1154</v>
      </c>
      <c r="G73" t="b">
        <f>IF(B73=E73,TRUE,FALSE)</f>
        <v>1</v>
      </c>
      <c r="J73" s="25">
        <f>F73-C73</f>
        <v>-211</v>
      </c>
      <c r="K73" s="4">
        <f>F73/C73-1</f>
        <v>-0.15457875457875458</v>
      </c>
      <c r="M73" s="5">
        <v>1353.3</v>
      </c>
      <c r="N73" s="5">
        <v>1345.8</v>
      </c>
      <c r="Q73" s="159">
        <v>5644.56</v>
      </c>
      <c r="S73" s="173">
        <f>N73/F73</f>
        <v>1.1662045060658579</v>
      </c>
      <c r="T73" s="132">
        <f>N73-M73</f>
        <v>-7.5</v>
      </c>
      <c r="U73" s="4">
        <f>IF(M73=0,0,N73/M73-1)</f>
        <v>-5.5420084238527734E-3</v>
      </c>
      <c r="AA73" s="18">
        <v>26182.35</v>
      </c>
      <c r="AB73" s="18">
        <v>23068.46</v>
      </c>
      <c r="AC73" s="4">
        <f>AB73/AA73-1</f>
        <v>-0.11893088282755371</v>
      </c>
    </row>
    <row r="74" spans="1:29" ht="13.9" customHeight="1">
      <c r="A74" t="s">
        <v>873</v>
      </c>
      <c r="B74" t="s">
        <v>874</v>
      </c>
      <c r="C74" s="19">
        <v>729</v>
      </c>
      <c r="E74" t="s">
        <v>874</v>
      </c>
      <c r="F74" s="19">
        <v>782</v>
      </c>
      <c r="G74" t="b">
        <f>IF(B74=E74,TRUE,FALSE)</f>
        <v>1</v>
      </c>
      <c r="J74" s="25">
        <f>F74-C74</f>
        <v>53</v>
      </c>
      <c r="K74" s="4">
        <f>F74/C74-1</f>
        <v>7.2702331961591149E-2</v>
      </c>
      <c r="M74" s="5">
        <v>497.03</v>
      </c>
      <c r="N74" s="5">
        <v>487.94</v>
      </c>
      <c r="Q74" s="159">
        <v>3719.14</v>
      </c>
      <c r="S74" s="173">
        <f>N74/F74</f>
        <v>0.62396419437340156</v>
      </c>
      <c r="T74" s="132">
        <f>N74-M74</f>
        <v>-9.089999999999975</v>
      </c>
      <c r="U74" s="4">
        <f>IF(M74=0,0,N74/M74-1)</f>
        <v>-1.8288634488863753E-2</v>
      </c>
      <c r="W74" t="s">
        <v>875</v>
      </c>
      <c r="Y74" s="4" t="s">
        <v>876</v>
      </c>
      <c r="AA74" s="18">
        <v>13072.31</v>
      </c>
      <c r="AB74" s="18">
        <v>13109.78</v>
      </c>
      <c r="AC74" s="4">
        <f>AB74/AA74-1</f>
        <v>2.8663640932629075E-3</v>
      </c>
    </row>
    <row r="75" spans="1:29" ht="14.45" customHeight="1">
      <c r="A75" t="s">
        <v>877</v>
      </c>
      <c r="B75" t="s">
        <v>878</v>
      </c>
      <c r="C75" s="19">
        <v>1325</v>
      </c>
      <c r="E75" t="s">
        <v>878</v>
      </c>
      <c r="F75" s="19">
        <v>911</v>
      </c>
      <c r="G75" t="b">
        <f>IF(B75=E75,TRUE,FALSE)</f>
        <v>1</v>
      </c>
      <c r="J75" s="25">
        <f>F75-C75</f>
        <v>-414</v>
      </c>
      <c r="K75" s="4">
        <f>F75/C75-1</f>
        <v>-0.3124528301886792</v>
      </c>
      <c r="M75" s="5">
        <v>1105.08</v>
      </c>
      <c r="N75" s="5">
        <v>1094.8800000000001</v>
      </c>
      <c r="Q75" s="159">
        <v>6977.65</v>
      </c>
      <c r="S75" s="173">
        <f>N75/F75</f>
        <v>1.2018441273326017</v>
      </c>
      <c r="T75" s="132">
        <f>N75-M75</f>
        <v>-10.199999999999818</v>
      </c>
      <c r="U75" s="4">
        <f>IF(M75=0,0,N75/M75-1)</f>
        <v>-9.2301009881635698E-3</v>
      </c>
      <c r="AA75" s="18">
        <v>30259.360000000001</v>
      </c>
      <c r="AB75" s="18">
        <v>22729.45</v>
      </c>
      <c r="AC75" s="4">
        <f>AB75/AA75-1</f>
        <v>-0.24884564643799467</v>
      </c>
    </row>
    <row r="76" spans="1:29" ht="13.9" customHeight="1">
      <c r="A76" t="s">
        <v>879</v>
      </c>
      <c r="B76" t="s">
        <v>880</v>
      </c>
      <c r="C76" s="19">
        <v>410</v>
      </c>
      <c r="E76" t="s">
        <v>880</v>
      </c>
      <c r="F76" s="19">
        <v>506</v>
      </c>
      <c r="G76" t="b">
        <f>IF(B76=E76,TRUE,FALSE)</f>
        <v>1</v>
      </c>
      <c r="J76" s="25">
        <f>F76-C76</f>
        <v>96</v>
      </c>
      <c r="K76" s="4">
        <f>F76/C76-1</f>
        <v>0.23414634146341462</v>
      </c>
      <c r="M76" s="5">
        <v>332.26</v>
      </c>
      <c r="N76" s="5">
        <v>320.52999999999997</v>
      </c>
      <c r="Q76" s="159">
        <v>2151.35</v>
      </c>
      <c r="S76" s="173">
        <f>N76/F76</f>
        <v>0.63345849802371534</v>
      </c>
      <c r="T76" s="132">
        <f>N76-M76</f>
        <v>-11.730000000000018</v>
      </c>
      <c r="U76" s="4">
        <f>IF(M76=0,0,N76/M76-1)</f>
        <v>-3.5303677842653425E-2</v>
      </c>
      <c r="AA76" s="18">
        <v>11049.5</v>
      </c>
      <c r="AB76" s="18">
        <v>13636.7</v>
      </c>
      <c r="AC76" s="4">
        <f>AB76/AA76-1</f>
        <v>0.23414634146341462</v>
      </c>
    </row>
    <row r="77" spans="1:29" ht="13.9" customHeight="1">
      <c r="A77" t="s">
        <v>881</v>
      </c>
      <c r="B77" t="s">
        <v>882</v>
      </c>
      <c r="C77" s="19">
        <v>669</v>
      </c>
      <c r="D77" s="5"/>
      <c r="E77" t="s">
        <v>882</v>
      </c>
      <c r="F77" s="19">
        <v>653</v>
      </c>
      <c r="G77" t="b">
        <f>IF(B77=E77,TRUE,FALSE)</f>
        <v>1</v>
      </c>
      <c r="H77" s="5"/>
      <c r="I77" s="5"/>
      <c r="J77" s="25">
        <f>F77-C77</f>
        <v>-16</v>
      </c>
      <c r="K77" s="4">
        <f>F77/C77-1</f>
        <v>-2.3916292974588971E-2</v>
      </c>
      <c r="L77" s="5"/>
      <c r="M77" s="5">
        <v>292.87</v>
      </c>
      <c r="N77" s="5">
        <v>278.95999999999998</v>
      </c>
      <c r="O77" s="5"/>
      <c r="P77" s="5"/>
      <c r="Q77" s="159">
        <v>1324.21</v>
      </c>
      <c r="R77" s="5"/>
      <c r="S77" s="173">
        <f>N77/F77</f>
        <v>0.42719754977029095</v>
      </c>
      <c r="T77" s="132">
        <f>N77-M77</f>
        <v>-13.910000000000025</v>
      </c>
      <c r="U77" s="4">
        <f>IF(M77=0,0,N77/M77-1)</f>
        <v>-4.7495475808379206E-2</v>
      </c>
      <c r="V77" s="5"/>
      <c r="W77" s="5"/>
      <c r="X77" s="5"/>
      <c r="Y77" s="5"/>
      <c r="Z77" s="15"/>
      <c r="AA77" s="18">
        <v>11934.71</v>
      </c>
      <c r="AB77" s="18">
        <v>11398.99</v>
      </c>
      <c r="AC77" s="4">
        <f>AB77/AA77-1</f>
        <v>-4.4887559060923898E-2</v>
      </c>
    </row>
    <row r="78" spans="1:29" ht="13.9" customHeight="1">
      <c r="A78" t="s">
        <v>883</v>
      </c>
      <c r="B78" t="s">
        <v>884</v>
      </c>
      <c r="C78" s="19">
        <v>509</v>
      </c>
      <c r="E78" t="s">
        <v>884</v>
      </c>
      <c r="F78" s="19">
        <v>487</v>
      </c>
      <c r="G78" t="b">
        <f>IF(B78=E78,TRUE,FALSE)</f>
        <v>1</v>
      </c>
      <c r="J78" s="25">
        <f>F78-C78</f>
        <v>-22</v>
      </c>
      <c r="K78" s="4">
        <f>F78/C78-1</f>
        <v>-4.3222003929273112E-2</v>
      </c>
      <c r="M78" s="5">
        <v>315.72000000000003</v>
      </c>
      <c r="N78" s="5">
        <v>300.45999999999998</v>
      </c>
      <c r="Q78" s="159">
        <v>1332.3</v>
      </c>
      <c r="S78" s="173">
        <f>N78/F78</f>
        <v>0.61696098562628332</v>
      </c>
      <c r="T78" s="132">
        <f>N78-M78</f>
        <v>-15.260000000000048</v>
      </c>
      <c r="U78" s="4">
        <f>IF(M78=0,0,N78/M78-1)</f>
        <v>-4.8333966806030859E-2</v>
      </c>
      <c r="AA78" s="18">
        <v>9665.91</v>
      </c>
      <c r="AB78" s="18">
        <v>9248.1299999999992</v>
      </c>
      <c r="AC78" s="4">
        <f>AB78/AA78-1</f>
        <v>-4.3222003929273112E-2</v>
      </c>
    </row>
    <row r="79" spans="1:29">
      <c r="A79" t="s">
        <v>885</v>
      </c>
      <c r="B79" t="s">
        <v>886</v>
      </c>
      <c r="C79" s="19">
        <v>7404</v>
      </c>
      <c r="E79" t="s">
        <v>886</v>
      </c>
      <c r="F79" s="19">
        <v>6256</v>
      </c>
      <c r="G79" t="b">
        <f>IF(B79=E79,TRUE,FALSE)</f>
        <v>1</v>
      </c>
      <c r="J79" s="25">
        <f>F79-C79</f>
        <v>-1148</v>
      </c>
      <c r="K79" s="4">
        <f>F79/C79-1</f>
        <v>-0.15505132360886009</v>
      </c>
      <c r="M79" s="5">
        <v>2784.62</v>
      </c>
      <c r="N79" s="5">
        <v>2769</v>
      </c>
      <c r="Q79" s="159">
        <v>23343.94</v>
      </c>
      <c r="S79" s="173">
        <f>N79/F79</f>
        <v>0.44261508951406647</v>
      </c>
      <c r="T79" s="132">
        <f>N79-M79</f>
        <v>-15.619999999999891</v>
      </c>
      <c r="U79" s="4">
        <f>IF(M79=0,0,N79/M79-1)</f>
        <v>-5.6093829678734997E-3</v>
      </c>
      <c r="AA79" s="18">
        <v>226989.16</v>
      </c>
      <c r="AB79" s="18">
        <v>200900.39</v>
      </c>
      <c r="AC79" s="4">
        <f>AB79/AA79-1</f>
        <v>-0.11493399068043597</v>
      </c>
    </row>
    <row r="80" spans="1:29">
      <c r="A80" t="s">
        <v>887</v>
      </c>
      <c r="B80" t="s">
        <v>888</v>
      </c>
      <c r="C80" s="19">
        <v>370</v>
      </c>
      <c r="E80" t="s">
        <v>888</v>
      </c>
      <c r="F80" s="19">
        <v>356</v>
      </c>
      <c r="G80" t="b">
        <f>IF(B80=E80,TRUE,FALSE)</f>
        <v>1</v>
      </c>
      <c r="J80" s="25">
        <f>F80-C80</f>
        <v>-14</v>
      </c>
      <c r="K80" s="4">
        <f>F80/C80-1</f>
        <v>-3.7837837837837784E-2</v>
      </c>
      <c r="M80" s="5">
        <v>292.25</v>
      </c>
      <c r="N80" s="5">
        <v>272.25</v>
      </c>
      <c r="Q80" s="159">
        <v>1894.09</v>
      </c>
      <c r="S80" s="173">
        <f>N80/F80</f>
        <v>0.764747191011236</v>
      </c>
      <c r="T80" s="132">
        <f>N80-M80</f>
        <v>-20</v>
      </c>
      <c r="U80" s="4">
        <f>IF(M80=0,0,N80/M80-1)</f>
        <v>-6.8434559452523525E-2</v>
      </c>
      <c r="AA80" s="18">
        <v>11078.5</v>
      </c>
      <c r="AB80" s="18">
        <v>9954.2000000000007</v>
      </c>
      <c r="AC80" s="4">
        <f>AB80/AA80-1</f>
        <v>-0.10148485805840135</v>
      </c>
    </row>
    <row r="81" spans="1:29">
      <c r="A81" t="s">
        <v>889</v>
      </c>
      <c r="B81" t="s">
        <v>890</v>
      </c>
      <c r="C81" s="19">
        <v>3729</v>
      </c>
      <c r="E81" t="s">
        <v>890</v>
      </c>
      <c r="F81" s="19">
        <v>3400</v>
      </c>
      <c r="G81" t="b">
        <f>IF(B81=E81,TRUE,FALSE)</f>
        <v>1</v>
      </c>
      <c r="J81" s="25">
        <f>F81-C81</f>
        <v>-329</v>
      </c>
      <c r="K81" s="4">
        <f>F81/C81-1</f>
        <v>-8.822740681147756E-2</v>
      </c>
      <c r="M81" s="5">
        <v>3836.13</v>
      </c>
      <c r="N81" s="5">
        <v>3815.14</v>
      </c>
      <c r="Q81" s="159">
        <v>18572.79</v>
      </c>
      <c r="S81" s="173">
        <f>N81/F81</f>
        <v>1.1220999999999999</v>
      </c>
      <c r="T81" s="132">
        <f>N81-M81</f>
        <v>-20.990000000000236</v>
      </c>
      <c r="U81" s="4">
        <f>IF(M81=0,0,N81/M81-1)</f>
        <v>-5.47166024091994E-3</v>
      </c>
      <c r="AA81" s="18">
        <v>97821.310000000012</v>
      </c>
      <c r="AB81" s="18">
        <v>95104.01</v>
      </c>
      <c r="AC81" s="4">
        <f>AB81/AA81-1</f>
        <v>-2.7778200884858495E-2</v>
      </c>
    </row>
    <row r="82" spans="1:29" s="5" customFormat="1">
      <c r="A82" t="s">
        <v>891</v>
      </c>
      <c r="B82" t="s">
        <v>892</v>
      </c>
      <c r="C82" s="19">
        <v>1755</v>
      </c>
      <c r="D82"/>
      <c r="E82" t="s">
        <v>892</v>
      </c>
      <c r="F82" s="19">
        <v>1349</v>
      </c>
      <c r="G82" t="b">
        <f>IF(B82=E82,TRUE,FALSE)</f>
        <v>1</v>
      </c>
      <c r="H82"/>
      <c r="I82"/>
      <c r="J82" s="25">
        <f>F82-C82</f>
        <v>-406</v>
      </c>
      <c r="K82" s="4">
        <f>F82/C82-1</f>
        <v>-0.23133903133903133</v>
      </c>
      <c r="L82"/>
      <c r="M82" s="5">
        <v>603.26</v>
      </c>
      <c r="N82" s="5">
        <v>579.21</v>
      </c>
      <c r="O82"/>
      <c r="P82"/>
      <c r="Q82" s="159">
        <v>2823.6</v>
      </c>
      <c r="R82"/>
      <c r="S82" s="173">
        <f>N82/F82</f>
        <v>0.429362490733877</v>
      </c>
      <c r="T82" s="132">
        <f>N82-M82</f>
        <v>-24.049999999999955</v>
      </c>
      <c r="U82" s="4">
        <f>IF(M82=0,0,N82/M82-1)</f>
        <v>-3.9866724132214926E-2</v>
      </c>
      <c r="V82"/>
      <c r="W82" t="s">
        <v>893</v>
      </c>
      <c r="X82"/>
      <c r="Y82" t="s">
        <v>894</v>
      </c>
      <c r="Z82" s="14"/>
      <c r="AA82" s="18">
        <v>48782.559999999998</v>
      </c>
      <c r="AB82" s="18">
        <v>40402.550000000003</v>
      </c>
      <c r="AC82" s="4">
        <f>AB82/AA82-1</f>
        <v>-0.17178290766208237</v>
      </c>
    </row>
    <row r="83" spans="1:29" s="5" customFormat="1">
      <c r="A83" t="s">
        <v>895</v>
      </c>
      <c r="B83" t="s">
        <v>896</v>
      </c>
      <c r="C83" s="19">
        <v>325</v>
      </c>
      <c r="D83"/>
      <c r="E83" t="s">
        <v>896</v>
      </c>
      <c r="F83" s="19">
        <v>283</v>
      </c>
      <c r="G83" t="b">
        <f>IF(B83=E83,TRUE,FALSE)</f>
        <v>1</v>
      </c>
      <c r="H83"/>
      <c r="I83"/>
      <c r="J83" s="25">
        <f>F83-C83</f>
        <v>-42</v>
      </c>
      <c r="K83" s="4">
        <f>F83/C83-1</f>
        <v>-0.12923076923076926</v>
      </c>
      <c r="L83"/>
      <c r="M83" s="5">
        <v>499.37</v>
      </c>
      <c r="N83" s="5">
        <v>472.55</v>
      </c>
      <c r="O83"/>
      <c r="P83"/>
      <c r="Q83" s="159">
        <v>1545.27</v>
      </c>
      <c r="R83"/>
      <c r="S83" s="173">
        <f>N83/F83</f>
        <v>1.6697879858657245</v>
      </c>
      <c r="T83" s="132">
        <f>N83-M83</f>
        <v>-26.819999999999993</v>
      </c>
      <c r="U83" s="4">
        <f>IF(M83=0,0,N83/M83-1)</f>
        <v>-5.3707671666299528E-2</v>
      </c>
      <c r="V83"/>
      <c r="W83"/>
      <c r="X83"/>
      <c r="Y83"/>
      <c r="Z83" s="14"/>
      <c r="AA83" s="18">
        <v>6483.75</v>
      </c>
      <c r="AB83" s="18">
        <v>5645.85</v>
      </c>
      <c r="AC83" s="4">
        <f>AB83/AA83-1</f>
        <v>-0.12923076923076915</v>
      </c>
    </row>
    <row r="84" spans="1:29" s="5" customFormat="1">
      <c r="A84" t="s">
        <v>897</v>
      </c>
      <c r="B84" t="s">
        <v>898</v>
      </c>
      <c r="C84" s="19">
        <v>1116</v>
      </c>
      <c r="D84"/>
      <c r="E84" t="s">
        <v>898</v>
      </c>
      <c r="F84" s="19">
        <v>1118</v>
      </c>
      <c r="G84" t="b">
        <f>IF(B84=E84,TRUE,FALSE)</f>
        <v>1</v>
      </c>
      <c r="H84"/>
      <c r="I84"/>
      <c r="J84" s="25">
        <f>F84-C84</f>
        <v>2</v>
      </c>
      <c r="K84" s="4">
        <f>F84/C84-1</f>
        <v>1.7921146953405742E-3</v>
      </c>
      <c r="L84"/>
      <c r="M84" s="5">
        <v>1315.27</v>
      </c>
      <c r="N84" s="5">
        <v>1287.54</v>
      </c>
      <c r="O84"/>
      <c r="P84"/>
      <c r="Q84" s="159">
        <v>9235.6200000000008</v>
      </c>
      <c r="R84"/>
      <c r="S84" s="173">
        <f>N84/F84</f>
        <v>1.1516457960644007</v>
      </c>
      <c r="T84" s="132">
        <f>N84-M84</f>
        <v>-27.730000000000018</v>
      </c>
      <c r="U84" s="4">
        <f>IF(M84=0,0,N84/M84-1)</f>
        <v>-2.1083123617204103E-2</v>
      </c>
      <c r="V84"/>
      <c r="W84"/>
      <c r="X84"/>
      <c r="Y84"/>
      <c r="Z84" s="14"/>
      <c r="AA84" s="18">
        <v>26287.32</v>
      </c>
      <c r="AB84" s="18">
        <v>27894.1</v>
      </c>
      <c r="AC84" s="4">
        <f>AB84/AA84-1</f>
        <v>6.1123766135155577E-2</v>
      </c>
    </row>
    <row r="85" spans="1:29" s="5" customFormat="1">
      <c r="A85" t="s">
        <v>899</v>
      </c>
      <c r="B85" t="s">
        <v>900</v>
      </c>
      <c r="C85" s="19">
        <v>1174</v>
      </c>
      <c r="D85"/>
      <c r="E85" t="s">
        <v>900</v>
      </c>
      <c r="F85" s="19">
        <v>813</v>
      </c>
      <c r="G85" t="b">
        <f>IF(B85=E85,TRUE,FALSE)</f>
        <v>1</v>
      </c>
      <c r="H85"/>
      <c r="I85"/>
      <c r="J85" s="25">
        <f>F85-C85</f>
        <v>-361</v>
      </c>
      <c r="K85" s="4">
        <f>F85/C85-1</f>
        <v>-0.30749574105621802</v>
      </c>
      <c r="L85"/>
      <c r="M85" s="5">
        <v>900.98</v>
      </c>
      <c r="N85" s="5">
        <v>871.23</v>
      </c>
      <c r="O85"/>
      <c r="P85"/>
      <c r="Q85" s="159">
        <v>7061.33</v>
      </c>
      <c r="R85"/>
      <c r="S85" s="173">
        <f>N85/F85</f>
        <v>1.0716236162361623</v>
      </c>
      <c r="T85" s="132">
        <f>N85-M85</f>
        <v>-29.75</v>
      </c>
      <c r="U85" s="4">
        <f>IF(M85=0,0,N85/M85-1)</f>
        <v>-3.3019600879042765E-2</v>
      </c>
      <c r="V85"/>
      <c r="W85"/>
      <c r="X85"/>
      <c r="Y85"/>
      <c r="Z85" s="14"/>
      <c r="AA85" s="18">
        <v>31625.010000000002</v>
      </c>
      <c r="AB85" s="18">
        <v>21523.81</v>
      </c>
      <c r="AC85" s="4">
        <f>AB85/AA85-1</f>
        <v>-0.31940543259907272</v>
      </c>
    </row>
    <row r="86" spans="1:29" s="5" customFormat="1">
      <c r="A86" t="s">
        <v>901</v>
      </c>
      <c r="B86" t="s">
        <v>902</v>
      </c>
      <c r="C86" s="19">
        <v>2167</v>
      </c>
      <c r="D86"/>
      <c r="E86" t="s">
        <v>902</v>
      </c>
      <c r="F86" s="19">
        <v>2265</v>
      </c>
      <c r="G86" t="b">
        <f>IF(B86=E86,TRUE,FALSE)</f>
        <v>1</v>
      </c>
      <c r="H86"/>
      <c r="I86"/>
      <c r="J86" s="25">
        <f>F86-C86</f>
        <v>98</v>
      </c>
      <c r="K86" s="4">
        <f>F86/C86-1</f>
        <v>4.5223811721273544E-2</v>
      </c>
      <c r="L86"/>
      <c r="M86" s="5">
        <v>2260.54</v>
      </c>
      <c r="N86" s="5">
        <v>2219.6799999999998</v>
      </c>
      <c r="O86"/>
      <c r="P86"/>
      <c r="Q86" s="159">
        <v>14677.93</v>
      </c>
      <c r="R86"/>
      <c r="S86" s="173">
        <f>N86/F86</f>
        <v>0.9799911699779249</v>
      </c>
      <c r="T86" s="132">
        <f>N86-M86</f>
        <v>-40.860000000000127</v>
      </c>
      <c r="U86" s="4">
        <f>IF(M86=0,0,N86/M86-1)</f>
        <v>-1.8075327134224661E-2</v>
      </c>
      <c r="V86"/>
      <c r="W86"/>
      <c r="X86"/>
      <c r="Y86"/>
      <c r="Z86" s="14"/>
      <c r="AA86" s="18">
        <v>47652.33</v>
      </c>
      <c r="AB86" s="18">
        <v>49763.37</v>
      </c>
      <c r="AC86" s="4">
        <f>AB86/AA86-1</f>
        <v>4.4300876788186505E-2</v>
      </c>
    </row>
    <row r="87" spans="1:29" s="5" customFormat="1">
      <c r="A87" t="s">
        <v>903</v>
      </c>
      <c r="B87" t="s">
        <v>904</v>
      </c>
      <c r="C87" s="19">
        <v>820</v>
      </c>
      <c r="D87"/>
      <c r="E87" t="s">
        <v>904</v>
      </c>
      <c r="F87" s="19">
        <v>632</v>
      </c>
      <c r="G87" t="b">
        <f>IF(B87=E87,TRUE,FALSE)</f>
        <v>1</v>
      </c>
      <c r="H87"/>
      <c r="I87"/>
      <c r="J87" s="25">
        <f>F87-C87</f>
        <v>-188</v>
      </c>
      <c r="K87" s="4">
        <f>F87/C87-1</f>
        <v>-0.22926829268292681</v>
      </c>
      <c r="M87" s="5">
        <v>397.57</v>
      </c>
      <c r="N87" s="5">
        <v>355.5</v>
      </c>
      <c r="Q87" s="159">
        <v>3095.47</v>
      </c>
      <c r="S87" s="173">
        <f>N87/F87</f>
        <v>0.5625</v>
      </c>
      <c r="T87" s="132">
        <f>N87-M87</f>
        <v>-42.069999999999993</v>
      </c>
      <c r="U87" s="4">
        <f>IF(M87=0,0,N87/M87-1)</f>
        <v>-0.10581784339864675</v>
      </c>
      <c r="Z87" s="15"/>
      <c r="AA87" s="18">
        <v>22431.8</v>
      </c>
      <c r="AB87" s="18">
        <v>18953.64</v>
      </c>
      <c r="AC87" s="4">
        <f>AB87/AA87-1</f>
        <v>-0.15505487745076185</v>
      </c>
    </row>
    <row r="88" spans="1:29" s="5" customFormat="1">
      <c r="A88" t="s">
        <v>905</v>
      </c>
      <c r="B88" t="s">
        <v>906</v>
      </c>
      <c r="C88" s="19">
        <v>907</v>
      </c>
      <c r="D88"/>
      <c r="E88" t="s">
        <v>906</v>
      </c>
      <c r="F88" s="19">
        <v>837</v>
      </c>
      <c r="G88" t="b">
        <f>IF(B88=E88,TRUE,FALSE)</f>
        <v>1</v>
      </c>
      <c r="H88"/>
      <c r="I88"/>
      <c r="J88" s="25">
        <f>F88-C88</f>
        <v>-70</v>
      </c>
      <c r="K88" s="4">
        <f>F88/C88-1</f>
        <v>-7.7177508269018702E-2</v>
      </c>
      <c r="L88"/>
      <c r="M88" s="5">
        <v>691.05</v>
      </c>
      <c r="N88" s="5">
        <v>644.35</v>
      </c>
      <c r="O88"/>
      <c r="P88"/>
      <c r="Q88" s="159">
        <v>2483.7199999999998</v>
      </c>
      <c r="R88"/>
      <c r="S88" s="173">
        <f>N88/F88</f>
        <v>0.76983273596176827</v>
      </c>
      <c r="T88" s="132">
        <f>N88-M88</f>
        <v>-46.699999999999932</v>
      </c>
      <c r="U88" s="4">
        <f>IF(M88=0,0,N88/M88-1)</f>
        <v>-6.7578322842051897E-2</v>
      </c>
      <c r="V88"/>
      <c r="W88"/>
      <c r="X88"/>
      <c r="Y88"/>
      <c r="Z88" s="14"/>
      <c r="AA88" s="18">
        <v>18130.93</v>
      </c>
      <c r="AB88" s="18">
        <v>16731.63</v>
      </c>
      <c r="AC88" s="4">
        <f>AB88/AA88-1</f>
        <v>-7.7177508269018702E-2</v>
      </c>
    </row>
    <row r="89" spans="1:29" s="5" customFormat="1">
      <c r="A89" t="s">
        <v>907</v>
      </c>
      <c r="B89" t="s">
        <v>908</v>
      </c>
      <c r="C89" s="19">
        <v>291</v>
      </c>
      <c r="D89"/>
      <c r="E89" t="s">
        <v>908</v>
      </c>
      <c r="F89" s="19">
        <v>296</v>
      </c>
      <c r="G89" t="b">
        <f>IF(B89=E89,TRUE,FALSE)</f>
        <v>1</v>
      </c>
      <c r="H89"/>
      <c r="I89"/>
      <c r="J89" s="25">
        <f>F89-C89</f>
        <v>5</v>
      </c>
      <c r="K89" s="4">
        <f>F89/C89-1</f>
        <v>1.7182130584192379E-2</v>
      </c>
      <c r="L89"/>
      <c r="M89" s="5">
        <v>168.71</v>
      </c>
      <c r="N89" s="5">
        <v>118.79</v>
      </c>
      <c r="O89"/>
      <c r="P89"/>
      <c r="Q89" s="159">
        <v>1616.21</v>
      </c>
      <c r="R89"/>
      <c r="S89" s="173">
        <f>N89/F89</f>
        <v>0.40131756756756759</v>
      </c>
      <c r="T89" s="132">
        <f>N89-M89</f>
        <v>-49.92</v>
      </c>
      <c r="U89" s="4">
        <f>IF(M89=0,0,N89/M89-1)</f>
        <v>-0.29589235967044036</v>
      </c>
      <c r="V89"/>
      <c r="W89"/>
      <c r="X89"/>
      <c r="Y89"/>
      <c r="Z89" s="14"/>
      <c r="AA89" s="18">
        <v>8726.1</v>
      </c>
      <c r="AB89" s="18">
        <v>8877.0400000000009</v>
      </c>
      <c r="AC89" s="4">
        <f>AB89/AA89-1</f>
        <v>1.7297532689288575E-2</v>
      </c>
    </row>
    <row r="90" spans="1:29">
      <c r="A90" t="s">
        <v>909</v>
      </c>
      <c r="B90" t="s">
        <v>910</v>
      </c>
      <c r="C90" s="19">
        <v>282</v>
      </c>
      <c r="E90" t="s">
        <v>910</v>
      </c>
      <c r="F90" s="19">
        <v>239</v>
      </c>
      <c r="G90" t="b">
        <f>IF(B90=E90,TRUE,FALSE)</f>
        <v>1</v>
      </c>
      <c r="J90" s="25">
        <f>F90-C90</f>
        <v>-43</v>
      </c>
      <c r="K90" s="4">
        <f>F90/C90-1</f>
        <v>-0.15248226950354615</v>
      </c>
      <c r="M90" s="5">
        <v>227.88</v>
      </c>
      <c r="N90" s="5">
        <v>177.8</v>
      </c>
      <c r="Q90" s="159">
        <v>828.14</v>
      </c>
      <c r="S90" s="173">
        <f>N90/F90</f>
        <v>0.74393305439330548</v>
      </c>
      <c r="T90" s="132">
        <f>N90-M90</f>
        <v>-50.079999999999984</v>
      </c>
      <c r="U90" s="4">
        <f>IF(M90=0,0,N90/M90-1)</f>
        <v>-0.21976478848516756</v>
      </c>
      <c r="AA90" s="18">
        <v>6189.9</v>
      </c>
      <c r="AB90" s="18">
        <v>5246.05</v>
      </c>
      <c r="AC90" s="4">
        <f>AB90/AA90-1</f>
        <v>-0.15248226950354604</v>
      </c>
    </row>
    <row r="91" spans="1:29" s="5" customFormat="1">
      <c r="A91" t="s">
        <v>911</v>
      </c>
      <c r="B91" t="s">
        <v>912</v>
      </c>
      <c r="C91" s="19">
        <v>289</v>
      </c>
      <c r="D91"/>
      <c r="E91" t="s">
        <v>912</v>
      </c>
      <c r="F91" s="19">
        <v>192</v>
      </c>
      <c r="G91" t="b">
        <f>IF(B91=E91,TRUE,FALSE)</f>
        <v>1</v>
      </c>
      <c r="H91"/>
      <c r="I91"/>
      <c r="J91" s="25">
        <f>F91-C91</f>
        <v>-97</v>
      </c>
      <c r="K91" s="4">
        <f>F91/C91-1</f>
        <v>-0.33564013840830453</v>
      </c>
      <c r="L91"/>
      <c r="M91" s="5">
        <v>168.04</v>
      </c>
      <c r="N91" s="5">
        <v>109</v>
      </c>
      <c r="O91"/>
      <c r="P91"/>
      <c r="Q91" s="159">
        <v>502.19</v>
      </c>
      <c r="R91"/>
      <c r="S91" s="173">
        <f>N91/F91</f>
        <v>0.56770833333333337</v>
      </c>
      <c r="T91" s="132">
        <f>N91-M91</f>
        <v>-59.039999999999992</v>
      </c>
      <c r="U91" s="4">
        <f>IF(M91=0,0,N91/M91-1)</f>
        <v>-0.35134491787669597</v>
      </c>
      <c r="V91"/>
      <c r="W91"/>
      <c r="X91"/>
      <c r="Y91"/>
      <c r="Z91" s="14"/>
      <c r="AA91" s="18">
        <v>8655.5499999999993</v>
      </c>
      <c r="AB91" s="18">
        <v>5750.4</v>
      </c>
      <c r="AC91" s="4">
        <f>AB91/AA91-1</f>
        <v>-0.33564013840830453</v>
      </c>
    </row>
    <row r="92" spans="1:29" s="5" customFormat="1">
      <c r="A92" t="s">
        <v>913</v>
      </c>
      <c r="B92" t="s">
        <v>914</v>
      </c>
      <c r="C92" s="19">
        <v>705</v>
      </c>
      <c r="D92"/>
      <c r="E92" t="s">
        <v>914</v>
      </c>
      <c r="F92" s="19">
        <v>680</v>
      </c>
      <c r="G92" t="b">
        <f>IF(B92=E92,TRUE,FALSE)</f>
        <v>1</v>
      </c>
      <c r="H92"/>
      <c r="I92"/>
      <c r="J92" s="25">
        <f>F92-C92</f>
        <v>-25</v>
      </c>
      <c r="K92" s="4">
        <f>F92/C92-1</f>
        <v>-3.546099290780147E-2</v>
      </c>
      <c r="L92"/>
      <c r="M92" s="5">
        <v>1028.43</v>
      </c>
      <c r="N92" s="5">
        <v>951.64</v>
      </c>
      <c r="O92"/>
      <c r="P92"/>
      <c r="Q92" s="159">
        <v>4794.0200000000004</v>
      </c>
      <c r="R92"/>
      <c r="S92" s="173">
        <f>N92/F92</f>
        <v>1.399470588235294</v>
      </c>
      <c r="T92" s="132">
        <f>N92-M92</f>
        <v>-76.790000000000077</v>
      </c>
      <c r="U92" s="4">
        <f>IF(M92=0,0,N92/M92-1)</f>
        <v>-7.4667211185982629E-2</v>
      </c>
      <c r="V92"/>
      <c r="W92"/>
      <c r="X92"/>
      <c r="Y92"/>
      <c r="Z92" s="14"/>
      <c r="AA92" s="18">
        <v>14064.75</v>
      </c>
      <c r="AB92" s="18">
        <v>13566</v>
      </c>
      <c r="AC92" s="4">
        <f>AB92/AA92-1</f>
        <v>-3.546099290780147E-2</v>
      </c>
    </row>
    <row r="93" spans="1:29" s="5" customFormat="1">
      <c r="A93" t="s">
        <v>915</v>
      </c>
      <c r="B93" t="s">
        <v>916</v>
      </c>
      <c r="C93" s="19">
        <v>120</v>
      </c>
      <c r="D93"/>
      <c r="E93" t="s">
        <v>916</v>
      </c>
      <c r="F93" s="19">
        <v>0</v>
      </c>
      <c r="G93" t="b">
        <f>IF(B93=E93,TRUE,FALSE)</f>
        <v>1</v>
      </c>
      <c r="H93"/>
      <c r="I93"/>
      <c r="J93" s="25">
        <f>F93-C93</f>
        <v>-120</v>
      </c>
      <c r="K93" s="4">
        <f>F93/C93-1</f>
        <v>-1</v>
      </c>
      <c r="L93"/>
      <c r="M93" s="5">
        <v>85.13</v>
      </c>
      <c r="N93" s="5">
        <v>0</v>
      </c>
      <c r="O93"/>
      <c r="P93"/>
      <c r="Q93" s="159">
        <v>0</v>
      </c>
      <c r="R93"/>
      <c r="S93" s="173"/>
      <c r="T93" s="132">
        <f>N93-M93</f>
        <v>-85.13</v>
      </c>
      <c r="U93" s="4">
        <f>IF(M93=0,0,N93/M93-1)</f>
        <v>-1</v>
      </c>
      <c r="V93"/>
      <c r="W93"/>
      <c r="X93"/>
      <c r="Y93"/>
      <c r="Z93" s="14"/>
      <c r="AA93" s="18">
        <v>2274</v>
      </c>
      <c r="AB93" s="18">
        <v>0</v>
      </c>
      <c r="AC93" s="4">
        <f>AB93/AA93-1</f>
        <v>-1</v>
      </c>
    </row>
    <row r="94" spans="1:29" s="5" customFormat="1" ht="15.75" customHeight="1">
      <c r="A94" t="s">
        <v>917</v>
      </c>
      <c r="B94" t="s">
        <v>918</v>
      </c>
      <c r="C94" s="19">
        <v>1006</v>
      </c>
      <c r="D94"/>
      <c r="E94" t="s">
        <v>918</v>
      </c>
      <c r="F94" s="19">
        <v>874</v>
      </c>
      <c r="G94" t="b">
        <f>IF(B94=E94,TRUE,FALSE)</f>
        <v>1</v>
      </c>
      <c r="H94"/>
      <c r="I94"/>
      <c r="J94" s="25">
        <f>F94-C94</f>
        <v>-132</v>
      </c>
      <c r="K94" s="4">
        <f>F94/C94-1</f>
        <v>-0.1312127236580517</v>
      </c>
      <c r="L94"/>
      <c r="M94" s="5">
        <v>842.13</v>
      </c>
      <c r="N94" s="5">
        <v>751.85</v>
      </c>
      <c r="O94"/>
      <c r="P94"/>
      <c r="Q94" s="159">
        <v>5089.26</v>
      </c>
      <c r="R94"/>
      <c r="S94" s="173">
        <f>N94/F94</f>
        <v>0.86024027459954233</v>
      </c>
      <c r="T94" s="132">
        <f>N94-M94</f>
        <v>-90.279999999999973</v>
      </c>
      <c r="U94" s="4">
        <f>IF(M94=0,0,N94/M94-1)</f>
        <v>-0.10720435087219304</v>
      </c>
      <c r="V94"/>
      <c r="W94"/>
      <c r="X94"/>
      <c r="Y94"/>
      <c r="Z94" s="14"/>
      <c r="AA94" s="18">
        <v>18977.939999999999</v>
      </c>
      <c r="AB94" s="18">
        <v>17471.259999999998</v>
      </c>
      <c r="AC94" s="4">
        <f>AB94/AA94-1</f>
        <v>-7.9391124642611444E-2</v>
      </c>
    </row>
    <row r="95" spans="1:29" s="5" customFormat="1">
      <c r="A95" t="s">
        <v>919</v>
      </c>
      <c r="B95" t="s">
        <v>920</v>
      </c>
      <c r="C95" s="19">
        <v>437</v>
      </c>
      <c r="D95"/>
      <c r="E95" t="s">
        <v>920</v>
      </c>
      <c r="F95" s="19">
        <v>356</v>
      </c>
      <c r="G95" t="b">
        <f>IF(B95=E95,TRUE,FALSE)</f>
        <v>1</v>
      </c>
      <c r="H95"/>
      <c r="I95"/>
      <c r="J95" s="25">
        <f>F95-C95</f>
        <v>-81</v>
      </c>
      <c r="K95" s="4">
        <f>F95/C95-1</f>
        <v>-0.18535469107551483</v>
      </c>
      <c r="L95"/>
      <c r="M95" s="5">
        <v>538.73</v>
      </c>
      <c r="N95" s="5">
        <v>447.32</v>
      </c>
      <c r="O95"/>
      <c r="P95"/>
      <c r="Q95" s="159">
        <v>2116.25</v>
      </c>
      <c r="R95"/>
      <c r="S95" s="173">
        <f>N95/F95</f>
        <v>1.2565168539325842</v>
      </c>
      <c r="T95" s="132">
        <f>N95-M95</f>
        <v>-91.410000000000025</v>
      </c>
      <c r="U95" s="4">
        <f>IF(M95=0,0,N95/M95-1)</f>
        <v>-0.16967683255062838</v>
      </c>
      <c r="V95"/>
      <c r="W95"/>
      <c r="X95"/>
      <c r="Y95"/>
      <c r="Z95" s="14"/>
      <c r="AA95" s="18">
        <v>6535.6399999999994</v>
      </c>
      <c r="AB95" s="18">
        <v>6556.44</v>
      </c>
      <c r="AC95" s="4">
        <f>AB95/AA95-1</f>
        <v>3.1825498344462133E-3</v>
      </c>
    </row>
    <row r="96" spans="1:29" s="5" customFormat="1">
      <c r="A96" t="s">
        <v>921</v>
      </c>
      <c r="B96" t="s">
        <v>922</v>
      </c>
      <c r="C96" s="19">
        <v>1135</v>
      </c>
      <c r="D96"/>
      <c r="E96" t="s">
        <v>922</v>
      </c>
      <c r="F96" s="19">
        <v>844</v>
      </c>
      <c r="G96" t="b">
        <f>IF(B96=E96,TRUE,FALSE)</f>
        <v>1</v>
      </c>
      <c r="H96"/>
      <c r="I96"/>
      <c r="J96" s="25">
        <f>F96-C96</f>
        <v>-291</v>
      </c>
      <c r="K96" s="4">
        <f>F96/C96-1</f>
        <v>-0.25638766519823786</v>
      </c>
      <c r="L96"/>
      <c r="M96" s="5">
        <v>825.41</v>
      </c>
      <c r="N96" s="5">
        <v>731.04</v>
      </c>
      <c r="O96"/>
      <c r="P96"/>
      <c r="Q96" s="159">
        <v>4767.79</v>
      </c>
      <c r="R96"/>
      <c r="S96" s="173">
        <f>N96/F96</f>
        <v>0.86616113744075829</v>
      </c>
      <c r="T96" s="132">
        <f>N96-M96</f>
        <v>-94.37</v>
      </c>
      <c r="U96" s="4">
        <f>IF(M96=0,0,N96/M96-1)</f>
        <v>-0.11433105971577762</v>
      </c>
      <c r="V96"/>
      <c r="W96"/>
      <c r="X96"/>
      <c r="Y96"/>
      <c r="Z96" s="14"/>
      <c r="AA96" s="18">
        <v>41022.14</v>
      </c>
      <c r="AB96" s="18">
        <v>31195.23</v>
      </c>
      <c r="AC96" s="4">
        <f>AB96/AA96-1</f>
        <v>-0.23955137396537574</v>
      </c>
    </row>
    <row r="97" spans="1:29" s="5" customFormat="1">
      <c r="A97" t="s">
        <v>923</v>
      </c>
      <c r="B97" s="5" t="s">
        <v>924</v>
      </c>
      <c r="C97" s="19">
        <v>1212</v>
      </c>
      <c r="D97"/>
      <c r="E97" t="s">
        <v>924</v>
      </c>
      <c r="F97" s="19">
        <v>1031</v>
      </c>
      <c r="G97" t="b">
        <f>IF(B97=E97,TRUE,FALSE)</f>
        <v>1</v>
      </c>
      <c r="H97"/>
      <c r="I97"/>
      <c r="J97" s="25">
        <f>F97-C97</f>
        <v>-181</v>
      </c>
      <c r="K97" s="4">
        <f>F97/C97-1</f>
        <v>-0.14933993399339929</v>
      </c>
      <c r="L97"/>
      <c r="M97" s="5">
        <v>1271.25</v>
      </c>
      <c r="N97" s="5">
        <v>1158.9000000000001</v>
      </c>
      <c r="O97"/>
      <c r="P97"/>
      <c r="Q97" s="159">
        <v>5965.51</v>
      </c>
      <c r="R97"/>
      <c r="S97" s="173">
        <f>N97/F97</f>
        <v>1.1240543161978662</v>
      </c>
      <c r="T97" s="132">
        <f>N97-M97</f>
        <v>-112.34999999999991</v>
      </c>
      <c r="U97" s="4">
        <f>IF(M97=0,0,N97/M97-1)</f>
        <v>-8.8377581120943849E-2</v>
      </c>
      <c r="V97"/>
      <c r="W97"/>
      <c r="X97"/>
      <c r="Y97"/>
      <c r="Z97" s="14"/>
      <c r="AA97" s="18">
        <v>25740.720000000001</v>
      </c>
      <c r="AB97" s="18">
        <v>23661.45</v>
      </c>
      <c r="AC97" s="4">
        <f>AB97/AA97-1</f>
        <v>-8.0777460770328102E-2</v>
      </c>
    </row>
    <row r="98" spans="1:29" s="5" customFormat="1">
      <c r="A98" t="s">
        <v>925</v>
      </c>
      <c r="B98" t="s">
        <v>926</v>
      </c>
      <c r="C98" s="19">
        <v>697</v>
      </c>
      <c r="D98"/>
      <c r="E98" t="s">
        <v>926</v>
      </c>
      <c r="F98" s="19">
        <v>661</v>
      </c>
      <c r="G98" t="b">
        <f>IF(B98=E98,TRUE,FALSE)</f>
        <v>1</v>
      </c>
      <c r="H98"/>
      <c r="I98"/>
      <c r="J98" s="25">
        <f>F98-C98</f>
        <v>-36</v>
      </c>
      <c r="K98" s="4">
        <f>F98/C98-1</f>
        <v>-5.1649928263988509E-2</v>
      </c>
      <c r="L98"/>
      <c r="M98" s="5">
        <v>522.65</v>
      </c>
      <c r="N98" s="5">
        <v>403.79</v>
      </c>
      <c r="O98"/>
      <c r="P98"/>
      <c r="Q98" s="159">
        <v>3662.7</v>
      </c>
      <c r="R98"/>
      <c r="S98" s="173">
        <f>N98/F98</f>
        <v>0.6108774583963692</v>
      </c>
      <c r="T98" s="132">
        <f>N98-M98</f>
        <v>-118.85999999999996</v>
      </c>
      <c r="U98" s="4">
        <f>IF(M98=0,0,N98/M98-1)</f>
        <v>-0.22741796613412413</v>
      </c>
      <c r="V98"/>
      <c r="W98" t="s">
        <v>927</v>
      </c>
      <c r="X98"/>
      <c r="Y98"/>
      <c r="Z98" s="14"/>
      <c r="AA98" s="18">
        <v>17390.150000000001</v>
      </c>
      <c r="AB98" s="18">
        <v>16491.95</v>
      </c>
      <c r="AC98" s="4">
        <f>AB98/AA98-1</f>
        <v>-5.1649928263988509E-2</v>
      </c>
    </row>
    <row r="99" spans="1:29" s="5" customFormat="1">
      <c r="A99" s="56" t="s">
        <v>928</v>
      </c>
      <c r="B99" s="37" t="s">
        <v>929</v>
      </c>
      <c r="C99" s="19">
        <v>1321</v>
      </c>
      <c r="D99"/>
      <c r="E99" s="37" t="s">
        <v>929</v>
      </c>
      <c r="F99" s="19">
        <v>1093</v>
      </c>
      <c r="G99" t="b">
        <f>IF(B99=E99,TRUE,FALSE)</f>
        <v>1</v>
      </c>
      <c r="H99"/>
      <c r="I99"/>
      <c r="J99" s="25">
        <f>F99-C99</f>
        <v>-228</v>
      </c>
      <c r="K99" s="4">
        <f>F99/C100-1</f>
        <v>-0.33515815085158152</v>
      </c>
      <c r="L99"/>
      <c r="M99" s="5">
        <v>2080.81</v>
      </c>
      <c r="N99" s="5">
        <v>1948.98</v>
      </c>
      <c r="O99"/>
      <c r="P99"/>
      <c r="Q99" s="159">
        <v>8089.59</v>
      </c>
      <c r="R99"/>
      <c r="S99" s="173">
        <f>N99/F99</f>
        <v>1.7831473010064045</v>
      </c>
      <c r="T99" s="132">
        <f>N99-M99</f>
        <v>-131.82999999999993</v>
      </c>
      <c r="U99" s="4">
        <f>IF(M99=0,0,N99/M99-1)</f>
        <v>-6.3355135740408741E-2</v>
      </c>
      <c r="V99"/>
      <c r="W99"/>
      <c r="X99"/>
      <c r="Y99"/>
      <c r="Z99" s="14"/>
      <c r="AA99" s="18">
        <v>31246.789999999997</v>
      </c>
      <c r="AB99" s="18">
        <v>27314.07</v>
      </c>
      <c r="AC99" s="4">
        <f>AB99/AA99-1</f>
        <v>-0.12585996833594737</v>
      </c>
    </row>
    <row r="100" spans="1:29" s="5" customFormat="1">
      <c r="A100" s="5" t="s">
        <v>930</v>
      </c>
      <c r="B100" s="5" t="s">
        <v>931</v>
      </c>
      <c r="C100" s="19">
        <v>1644</v>
      </c>
      <c r="E100" t="s">
        <v>931</v>
      </c>
      <c r="F100" s="19">
        <v>1618</v>
      </c>
      <c r="G100" t="b">
        <f>IF(B100=E100,TRUE,FALSE)</f>
        <v>1</v>
      </c>
      <c r="J100" s="25">
        <f>F100-C100</f>
        <v>-26</v>
      </c>
      <c r="K100" s="4">
        <f>F100/C100-1</f>
        <v>-1.5815085158150888E-2</v>
      </c>
      <c r="M100" s="5">
        <v>1396.15</v>
      </c>
      <c r="N100" s="5">
        <v>1263.28</v>
      </c>
      <c r="Q100" s="159">
        <v>5869.16</v>
      </c>
      <c r="S100" s="173">
        <f>N100/F100</f>
        <v>0.78076637824474659</v>
      </c>
      <c r="T100" s="132">
        <f>N100-M100</f>
        <v>-132.87000000000012</v>
      </c>
      <c r="U100" s="4">
        <f>IF(M100=0,0,N100/M100-1)</f>
        <v>-9.516885721448276E-2</v>
      </c>
      <c r="Z100" s="15"/>
      <c r="AA100" s="18">
        <v>45967.56</v>
      </c>
      <c r="AB100" s="18">
        <v>44329.82</v>
      </c>
      <c r="AC100" s="4">
        <f>AB100/AA100-1</f>
        <v>-3.5628169082718264E-2</v>
      </c>
    </row>
    <row r="101" spans="1:29" s="5" customFormat="1">
      <c r="A101" t="s">
        <v>932</v>
      </c>
      <c r="B101" t="s">
        <v>933</v>
      </c>
      <c r="C101" s="19">
        <v>583</v>
      </c>
      <c r="D101"/>
      <c r="E101" t="s">
        <v>933</v>
      </c>
      <c r="F101" s="19">
        <v>435</v>
      </c>
      <c r="G101" t="b">
        <f>IF(B101=E101,TRUE,FALSE)</f>
        <v>1</v>
      </c>
      <c r="H101"/>
      <c r="I101"/>
      <c r="J101" s="25">
        <f>F101-C101</f>
        <v>-148</v>
      </c>
      <c r="K101" s="4">
        <f>F101/C101-1</f>
        <v>-0.25385934819897082</v>
      </c>
      <c r="L101"/>
      <c r="M101" s="5">
        <v>328.84</v>
      </c>
      <c r="N101" s="5">
        <v>194.12</v>
      </c>
      <c r="O101"/>
      <c r="P101"/>
      <c r="Q101" s="159">
        <v>1553.66</v>
      </c>
      <c r="R101"/>
      <c r="S101" s="173">
        <f>N101/F101</f>
        <v>0.44625287356321841</v>
      </c>
      <c r="T101" s="132">
        <f>N101-M101</f>
        <v>-134.71999999999997</v>
      </c>
      <c r="U101" s="4">
        <f>IF(M101=0,0,N101/M101-1)</f>
        <v>-0.40968252037465025</v>
      </c>
      <c r="V101"/>
      <c r="W101"/>
      <c r="X101"/>
      <c r="Y101"/>
      <c r="Z101" s="14"/>
      <c r="AA101" s="18">
        <v>16352.7</v>
      </c>
      <c r="AB101" s="18">
        <v>13028.25</v>
      </c>
      <c r="AC101" s="4">
        <f>AB101/AA101-1</f>
        <v>-0.20329670329670335</v>
      </c>
    </row>
    <row r="102" spans="1:29" s="5" customFormat="1">
      <c r="A102" t="s">
        <v>934</v>
      </c>
      <c r="B102" t="s">
        <v>935</v>
      </c>
      <c r="C102" s="19">
        <v>977</v>
      </c>
      <c r="D102"/>
      <c r="E102" t="s">
        <v>935</v>
      </c>
      <c r="F102" s="19">
        <v>1185</v>
      </c>
      <c r="G102" t="b">
        <f>IF(B102=E102,TRUE,FALSE)</f>
        <v>1</v>
      </c>
      <c r="H102"/>
      <c r="I102"/>
      <c r="J102" s="25">
        <f>F102-C102</f>
        <v>208</v>
      </c>
      <c r="K102" s="4">
        <f>F102/C102-1</f>
        <v>0.21289662231320361</v>
      </c>
      <c r="L102"/>
      <c r="M102" s="5">
        <v>867.88</v>
      </c>
      <c r="N102" s="5">
        <v>732.28</v>
      </c>
      <c r="O102"/>
      <c r="P102"/>
      <c r="Q102" s="159">
        <v>5929.37</v>
      </c>
      <c r="R102"/>
      <c r="S102" s="173">
        <f>N102/F102</f>
        <v>0.61795780590717297</v>
      </c>
      <c r="T102" s="132">
        <f>N102-M102</f>
        <v>-135.60000000000002</v>
      </c>
      <c r="U102" s="4">
        <f>IF(M102=0,0,N102/M102-1)</f>
        <v>-0.15624279854357748</v>
      </c>
      <c r="V102"/>
      <c r="W102"/>
      <c r="X102"/>
      <c r="Y102"/>
      <c r="Z102" s="14"/>
      <c r="AA102" s="18">
        <v>29300.23</v>
      </c>
      <c r="AB102" s="18">
        <v>35538.15</v>
      </c>
      <c r="AC102" s="4">
        <f>AB102/AA102-1</f>
        <v>0.21289662231320383</v>
      </c>
    </row>
    <row r="103" spans="1:29" s="5" customFormat="1">
      <c r="A103" s="150" t="s">
        <v>936</v>
      </c>
      <c r="B103" s="37" t="s">
        <v>937</v>
      </c>
      <c r="C103">
        <v>2223</v>
      </c>
      <c r="D103"/>
      <c r="E103" s="37" t="s">
        <v>937</v>
      </c>
      <c r="F103">
        <v>2050</v>
      </c>
      <c r="G103" t="b">
        <f>IF(B103=E103,TRUE,FALSE)</f>
        <v>1</v>
      </c>
      <c r="H103"/>
      <c r="I103"/>
      <c r="J103" s="25">
        <f>F103-C103</f>
        <v>-173</v>
      </c>
      <c r="K103" s="4">
        <f>F103/C103-1</f>
        <v>-7.7822762033288306E-2</v>
      </c>
      <c r="L103"/>
      <c r="M103" s="151">
        <v>4286.42</v>
      </c>
      <c r="N103" s="151">
        <v>4145.09</v>
      </c>
      <c r="O103"/>
      <c r="P103"/>
      <c r="Q103" s="159">
        <v>29570.41</v>
      </c>
      <c r="R103"/>
      <c r="S103" s="173">
        <f>N103/F103</f>
        <v>2.0219951219512198</v>
      </c>
      <c r="T103" s="132">
        <f>N103-M103</f>
        <v>-141.32999999999993</v>
      </c>
      <c r="U103" s="4">
        <f>IF(M103=0,0,N103/M103-1)</f>
        <v>-3.297157068136114E-2</v>
      </c>
      <c r="V103"/>
      <c r="W103"/>
      <c r="X103"/>
      <c r="Y103"/>
      <c r="Z103" s="14"/>
      <c r="AA103">
        <v>72975.77</v>
      </c>
      <c r="AB103">
        <v>69679.5</v>
      </c>
      <c r="AC103" s="4">
        <f>AB103/AA103-1</f>
        <v>-4.5169376081951595E-2</v>
      </c>
    </row>
    <row r="104" spans="1:29" s="5" customFormat="1">
      <c r="A104" s="5" t="s">
        <v>938</v>
      </c>
      <c r="B104" s="27" t="s">
        <v>939</v>
      </c>
      <c r="C104" s="19">
        <v>765</v>
      </c>
      <c r="E104" s="27" t="s">
        <v>939</v>
      </c>
      <c r="F104" s="19">
        <v>692</v>
      </c>
      <c r="G104" t="b">
        <f>IF(B104=E104,TRUE,FALSE)</f>
        <v>1</v>
      </c>
      <c r="J104" s="25">
        <f>F104-C104</f>
        <v>-73</v>
      </c>
      <c r="K104" s="4">
        <f>F104/C104-1</f>
        <v>-9.5424836601307184E-2</v>
      </c>
      <c r="M104" s="5">
        <v>906.31</v>
      </c>
      <c r="N104" s="5">
        <v>764.17</v>
      </c>
      <c r="Q104" s="159">
        <v>3598.51</v>
      </c>
      <c r="S104" s="173">
        <f>N104/F104</f>
        <v>1.1042919075144508</v>
      </c>
      <c r="T104" s="132">
        <f>N104-M104</f>
        <v>-142.13999999999999</v>
      </c>
      <c r="U104" s="5">
        <f>IF(M104=0,0,N104/M104-1)</f>
        <v>-0.15683375445487746</v>
      </c>
      <c r="Z104" s="15"/>
      <c r="AA104" s="18">
        <v>10702.35</v>
      </c>
      <c r="AB104" s="18">
        <v>9681.08</v>
      </c>
      <c r="AC104" s="4">
        <f>AB104/AA104-1</f>
        <v>-9.5424836601307184E-2</v>
      </c>
    </row>
    <row r="105" spans="1:29" s="5" customFormat="1">
      <c r="A105" t="s">
        <v>940</v>
      </c>
      <c r="B105" t="s">
        <v>941</v>
      </c>
      <c r="C105" s="19">
        <v>533</v>
      </c>
      <c r="D105"/>
      <c r="E105" t="s">
        <v>941</v>
      </c>
      <c r="F105" s="19">
        <v>581</v>
      </c>
      <c r="G105" t="b">
        <f>IF(B105=E105,TRUE,FALSE)</f>
        <v>1</v>
      </c>
      <c r="H105"/>
      <c r="I105"/>
      <c r="J105" s="25">
        <f>F105-C105</f>
        <v>48</v>
      </c>
      <c r="K105" s="4">
        <f>F105/C105-1</f>
        <v>9.0056285178236495E-2</v>
      </c>
      <c r="L105"/>
      <c r="M105" s="5">
        <v>691.22</v>
      </c>
      <c r="N105" s="5">
        <v>545.65</v>
      </c>
      <c r="O105"/>
      <c r="P105"/>
      <c r="Q105" s="159">
        <v>3546.82</v>
      </c>
      <c r="R105"/>
      <c r="S105" s="173">
        <f>N105/F105</f>
        <v>0.93915662650602405</v>
      </c>
      <c r="T105" s="132">
        <f>N105-M105</f>
        <v>-145.57000000000005</v>
      </c>
      <c r="U105" s="4">
        <f>IF(M105=0,0,N105/M105-1)</f>
        <v>-0.21059865165938496</v>
      </c>
      <c r="V105"/>
      <c r="W105"/>
      <c r="X105"/>
      <c r="Y105"/>
      <c r="Z105" s="14"/>
      <c r="AA105" s="18">
        <v>10654.67</v>
      </c>
      <c r="AB105" s="18">
        <v>11614.19</v>
      </c>
      <c r="AC105" s="4">
        <f>AB105/AA105-1</f>
        <v>9.0056285178236495E-2</v>
      </c>
    </row>
    <row r="106" spans="1:29" s="5" customFormat="1">
      <c r="A106" t="s">
        <v>942</v>
      </c>
      <c r="B106" t="s">
        <v>943</v>
      </c>
      <c r="C106" s="19">
        <v>968</v>
      </c>
      <c r="D106"/>
      <c r="E106" t="s">
        <v>943</v>
      </c>
      <c r="F106" s="19">
        <v>841</v>
      </c>
      <c r="G106" t="b">
        <f>IF(B106=E106,TRUE,FALSE)</f>
        <v>1</v>
      </c>
      <c r="H106"/>
      <c r="I106"/>
      <c r="J106" s="25">
        <f>F106-C106</f>
        <v>-127</v>
      </c>
      <c r="K106" s="4">
        <f>F106/C106-1</f>
        <v>-0.13119834710743805</v>
      </c>
      <c r="L106"/>
      <c r="M106" s="5">
        <v>951.34</v>
      </c>
      <c r="N106" s="5">
        <v>798.99</v>
      </c>
      <c r="O106"/>
      <c r="P106"/>
      <c r="Q106" s="159">
        <v>4487.1099999999997</v>
      </c>
      <c r="R106"/>
      <c r="S106" s="173">
        <f>N106/F106</f>
        <v>0.95004756242568367</v>
      </c>
      <c r="T106" s="132">
        <f>N106-M106</f>
        <v>-152.35000000000002</v>
      </c>
      <c r="U106" s="4">
        <f>IF(M106=0,0,N106/M106-1)</f>
        <v>-0.1601425357916203</v>
      </c>
      <c r="V106"/>
      <c r="W106"/>
      <c r="X106"/>
      <c r="Y106"/>
      <c r="Z106" s="14"/>
      <c r="AA106" s="18">
        <v>18286.169999999998</v>
      </c>
      <c r="AB106" s="18">
        <v>16777.95</v>
      </c>
      <c r="AC106" s="4">
        <f>AB106/AA106-1</f>
        <v>-8.2478725725507185E-2</v>
      </c>
    </row>
    <row r="107" spans="1:29" s="5" customFormat="1">
      <c r="A107" t="s">
        <v>944</v>
      </c>
      <c r="B107" s="27" t="s">
        <v>945</v>
      </c>
      <c r="C107" s="19">
        <v>950</v>
      </c>
      <c r="D107"/>
      <c r="E107" s="27" t="s">
        <v>945</v>
      </c>
      <c r="F107" s="19">
        <v>1051</v>
      </c>
      <c r="G107" t="b">
        <f>IF(B107=E107,TRUE,FALSE)</f>
        <v>1</v>
      </c>
      <c r="H107"/>
      <c r="I107"/>
      <c r="J107" s="25">
        <f>F107-C107</f>
        <v>101</v>
      </c>
      <c r="K107" s="4">
        <f>F107/C107-1</f>
        <v>0.10631578947368414</v>
      </c>
      <c r="L107"/>
      <c r="M107" s="5">
        <v>1053.5899999999999</v>
      </c>
      <c r="N107" s="5">
        <v>883.98</v>
      </c>
      <c r="O107"/>
      <c r="P107"/>
      <c r="Q107" s="159">
        <v>2840.95</v>
      </c>
      <c r="R107"/>
      <c r="S107" s="173">
        <f>N107/F107</f>
        <v>0.84108468125594671</v>
      </c>
      <c r="T107" s="132">
        <f>N107-M107</f>
        <v>-169.6099999999999</v>
      </c>
      <c r="U107" s="4">
        <f>IF(M107=0,0,N107/M107-1)</f>
        <v>-0.16098292504674483</v>
      </c>
      <c r="V107"/>
      <c r="W107"/>
      <c r="X107"/>
      <c r="Y107"/>
      <c r="Z107" s="14"/>
      <c r="AA107" s="18">
        <v>20868.509999999998</v>
      </c>
      <c r="AB107" s="18">
        <v>23040.14</v>
      </c>
      <c r="AC107" s="4">
        <f>AB107/AA107-1</f>
        <v>0.10406253249513275</v>
      </c>
    </row>
    <row r="108" spans="1:29" s="5" customFormat="1">
      <c r="A108" t="s">
        <v>946</v>
      </c>
      <c r="B108" t="s">
        <v>947</v>
      </c>
      <c r="C108" s="19">
        <v>728</v>
      </c>
      <c r="E108" t="s">
        <v>947</v>
      </c>
      <c r="F108" s="19">
        <v>724</v>
      </c>
      <c r="G108" t="b">
        <f>IF(B108=E108,TRUE,FALSE)</f>
        <v>1</v>
      </c>
      <c r="J108" s="25">
        <f>F108-C108</f>
        <v>-4</v>
      </c>
      <c r="K108" s="4">
        <f>F108/C108-1</f>
        <v>-5.494505494505475E-3</v>
      </c>
      <c r="M108" s="5">
        <v>1123.22</v>
      </c>
      <c r="N108" s="5">
        <v>951.93</v>
      </c>
      <c r="Q108" s="159">
        <v>5532.59</v>
      </c>
      <c r="S108" s="173">
        <f>N108/F108</f>
        <v>1.3148204419889502</v>
      </c>
      <c r="T108" s="132">
        <f>N108-M108</f>
        <v>-171.29000000000008</v>
      </c>
      <c r="U108" s="4">
        <f>IF(M108=0,0,N108/M108-1)</f>
        <v>-0.15249906518758571</v>
      </c>
      <c r="Z108" s="15"/>
      <c r="AA108" s="18">
        <v>21803.599999999999</v>
      </c>
      <c r="AB108" s="18">
        <v>21683.8</v>
      </c>
      <c r="AC108" s="4">
        <f>AB108/AA108-1</f>
        <v>-5.494505494505475E-3</v>
      </c>
    </row>
    <row r="109" spans="1:29" s="5" customFormat="1">
      <c r="A109" t="s">
        <v>948</v>
      </c>
      <c r="B109" t="s">
        <v>949</v>
      </c>
      <c r="C109" s="19">
        <v>859</v>
      </c>
      <c r="D109"/>
      <c r="E109" t="s">
        <v>949</v>
      </c>
      <c r="F109" s="19">
        <v>522</v>
      </c>
      <c r="G109" t="b">
        <f>IF(B109=E109,TRUE,FALSE)</f>
        <v>1</v>
      </c>
      <c r="H109"/>
      <c r="I109"/>
      <c r="J109" s="25">
        <f>F109-C109</f>
        <v>-337</v>
      </c>
      <c r="K109" s="4">
        <f>F109/C109-1</f>
        <v>-0.39231664726426074</v>
      </c>
      <c r="L109"/>
      <c r="M109" s="5">
        <v>1258.72</v>
      </c>
      <c r="N109" s="5">
        <v>1082.8699999999999</v>
      </c>
      <c r="O109"/>
      <c r="P109"/>
      <c r="Q109" s="159">
        <v>7776.12</v>
      </c>
      <c r="R109"/>
      <c r="S109" s="173">
        <f>N109/F109</f>
        <v>2.074463601532567</v>
      </c>
      <c r="T109" s="132">
        <f>N109-M109</f>
        <v>-175.85000000000014</v>
      </c>
      <c r="U109" s="4">
        <f>IF(M109=0,0,N109/M109-1)</f>
        <v>-0.13970541502478717</v>
      </c>
      <c r="V109"/>
      <c r="W109" t="s">
        <v>950</v>
      </c>
      <c r="X109"/>
      <c r="Y109"/>
      <c r="Z109" s="14" t="s">
        <v>951</v>
      </c>
      <c r="AA109" s="18">
        <v>23115.41</v>
      </c>
      <c r="AB109" s="18">
        <v>15633.9</v>
      </c>
      <c r="AC109" s="4">
        <f>AB109/AA109-1</f>
        <v>-0.32365897901010621</v>
      </c>
    </row>
    <row r="110" spans="1:29">
      <c r="A110" t="s">
        <v>952</v>
      </c>
      <c r="B110" s="5" t="s">
        <v>953</v>
      </c>
      <c r="C110" s="19">
        <v>1181</v>
      </c>
      <c r="D110" s="5"/>
      <c r="E110" t="s">
        <v>953</v>
      </c>
      <c r="F110" s="19">
        <v>1357</v>
      </c>
      <c r="G110" t="b">
        <f>IF(B110=E110,TRUE,FALSE)</f>
        <v>1</v>
      </c>
      <c r="H110" s="5"/>
      <c r="I110" s="5"/>
      <c r="J110" s="25">
        <f>F110-C110</f>
        <v>176</v>
      </c>
      <c r="K110" s="4">
        <f>F110/C110-1</f>
        <v>0.14902624894157501</v>
      </c>
      <c r="L110" s="5"/>
      <c r="M110" s="5">
        <v>1506.2</v>
      </c>
      <c r="N110" s="5">
        <v>1295.43</v>
      </c>
      <c r="O110" s="5"/>
      <c r="P110" s="5"/>
      <c r="Q110" s="159">
        <v>7912.44</v>
      </c>
      <c r="R110" s="5"/>
      <c r="S110" s="173">
        <f>N110/F110</f>
        <v>0.95462785556374363</v>
      </c>
      <c r="T110" s="132">
        <f>N110-M110</f>
        <v>-210.76999999999998</v>
      </c>
      <c r="U110" s="4">
        <f>IF(M110=0,0,N110/M110-1)</f>
        <v>-0.13993493559952197</v>
      </c>
      <c r="V110" s="5"/>
      <c r="W110" s="5"/>
      <c r="X110" s="5"/>
      <c r="Y110" s="5"/>
      <c r="Z110" s="15"/>
      <c r="AA110" s="18">
        <v>23536.23</v>
      </c>
      <c r="AB110" s="18">
        <v>26109.45</v>
      </c>
      <c r="AC110" s="4">
        <f>AB110/AA110-1</f>
        <v>0.10933016885032143</v>
      </c>
    </row>
    <row r="111" spans="1:29">
      <c r="A111" s="149" t="s">
        <v>954</v>
      </c>
      <c r="B111" s="37" t="s">
        <v>955</v>
      </c>
      <c r="C111">
        <v>952</v>
      </c>
      <c r="E111" s="37" t="s">
        <v>955</v>
      </c>
      <c r="F111">
        <v>806</v>
      </c>
      <c r="G111" t="b">
        <f>IF(B111=E111,TRUE,FALSE)</f>
        <v>1</v>
      </c>
      <c r="J111" s="25">
        <f>F111-C111</f>
        <v>-146</v>
      </c>
      <c r="K111" s="4">
        <f>F111/C111-1</f>
        <v>-0.15336134453781514</v>
      </c>
      <c r="M111" s="151">
        <v>1245.75</v>
      </c>
      <c r="N111" s="151">
        <v>1032.08</v>
      </c>
      <c r="Q111" s="159">
        <v>5735.18</v>
      </c>
      <c r="S111" s="173">
        <f>N111/F111</f>
        <v>1.2804962779156326</v>
      </c>
      <c r="T111" s="132">
        <f>N111-M111</f>
        <v>-213.67000000000007</v>
      </c>
      <c r="U111" s="4">
        <f>IF(M111=0,0,N111/M111-1)</f>
        <v>-0.1715191651615493</v>
      </c>
      <c r="AA111">
        <v>22876.28</v>
      </c>
      <c r="AB111">
        <v>18665.14</v>
      </c>
      <c r="AC111" s="4">
        <f>AB111/AA111-1</f>
        <v>-0.18408325129785086</v>
      </c>
    </row>
    <row r="112" spans="1:29">
      <c r="A112" t="s">
        <v>956</v>
      </c>
      <c r="B112" t="s">
        <v>957</v>
      </c>
      <c r="C112" s="19">
        <v>1158</v>
      </c>
      <c r="E112" t="s">
        <v>957</v>
      </c>
      <c r="F112" s="19">
        <v>895</v>
      </c>
      <c r="G112" t="b">
        <f>IF(B112=E112,TRUE,FALSE)</f>
        <v>1</v>
      </c>
      <c r="J112" s="25">
        <f>F112-C112</f>
        <v>-263</v>
      </c>
      <c r="K112" s="4">
        <f>F112/C112-1</f>
        <v>-0.22711571675302245</v>
      </c>
      <c r="M112" s="5">
        <v>886.11</v>
      </c>
      <c r="N112" s="5">
        <v>652.22</v>
      </c>
      <c r="Q112" s="159">
        <v>2842.28</v>
      </c>
      <c r="S112" s="173">
        <f>N112/F112</f>
        <v>0.72873743016759784</v>
      </c>
      <c r="T112" s="132">
        <f>N112-M112</f>
        <v>-233.89</v>
      </c>
      <c r="U112" s="4">
        <f>IF(M112=0,0,N112/M112-1)</f>
        <v>-0.26395142815226103</v>
      </c>
      <c r="AA112" s="18">
        <v>21538.019999999997</v>
      </c>
      <c r="AB112" s="18">
        <v>17855.25</v>
      </c>
      <c r="AC112" s="4">
        <f>AB112/AA112-1</f>
        <v>-0.17098925527973308</v>
      </c>
    </row>
    <row r="113" spans="1:29">
      <c r="A113" s="27" t="s">
        <v>958</v>
      </c>
      <c r="B113" s="27" t="s">
        <v>959</v>
      </c>
      <c r="C113" s="19">
        <v>1277</v>
      </c>
      <c r="E113" s="27" t="s">
        <v>959</v>
      </c>
      <c r="F113" s="19">
        <v>1002</v>
      </c>
      <c r="G113" t="b">
        <f>IF(B113=E113,TRUE,FALSE)</f>
        <v>1</v>
      </c>
      <c r="J113" s="25">
        <f>F113-C113</f>
        <v>-275</v>
      </c>
      <c r="K113" s="4">
        <f>F113/C113-1</f>
        <v>-0.21534847298355519</v>
      </c>
      <c r="M113" s="5">
        <v>2482.1999999999998</v>
      </c>
      <c r="N113" s="5">
        <v>2243.92</v>
      </c>
      <c r="Q113" s="159">
        <v>9588.2199999999993</v>
      </c>
      <c r="S113" s="173">
        <f>N113/F113</f>
        <v>2.2394411177644713</v>
      </c>
      <c r="T113" s="132">
        <f>N113-M113</f>
        <v>-238.27999999999975</v>
      </c>
      <c r="U113" s="4">
        <f>IF(M113=0,0,N113/M113-1)</f>
        <v>-9.5995487873660412E-2</v>
      </c>
      <c r="AA113" s="18">
        <v>18543.23</v>
      </c>
      <c r="AB113" s="18">
        <v>16021.98</v>
      </c>
      <c r="AC113" s="4">
        <f>AB113/AA113-1</f>
        <v>-0.1359660641646574</v>
      </c>
    </row>
    <row r="114" spans="1:29">
      <c r="A114" s="27" t="s">
        <v>960</v>
      </c>
      <c r="B114" s="27" t="s">
        <v>961</v>
      </c>
      <c r="C114" s="19">
        <v>925</v>
      </c>
      <c r="E114" s="27" t="s">
        <v>961</v>
      </c>
      <c r="F114" s="19">
        <v>832</v>
      </c>
      <c r="G114" t="b">
        <f>IF(B114=E114,TRUE,FALSE)</f>
        <v>1</v>
      </c>
      <c r="J114" s="25">
        <f>F114-C114</f>
        <v>-93</v>
      </c>
      <c r="K114" s="4">
        <f>F114/C114-1</f>
        <v>-0.10054054054054051</v>
      </c>
      <c r="M114" s="5">
        <v>949.03</v>
      </c>
      <c r="N114" s="5">
        <v>710.41</v>
      </c>
      <c r="Q114" s="159">
        <v>2833.89</v>
      </c>
      <c r="S114" s="173">
        <f>N114/F114</f>
        <v>0.85385817307692302</v>
      </c>
      <c r="T114" s="132">
        <f>N114-M114</f>
        <v>-238.62</v>
      </c>
      <c r="U114" s="4">
        <f>IF(M114=0,0,N114/M114-1)</f>
        <v>-0.25143567642751019</v>
      </c>
      <c r="AA114" s="18">
        <v>12849.99</v>
      </c>
      <c r="AB114" s="18">
        <v>11514.12</v>
      </c>
      <c r="AC114" s="4">
        <f>AB114/AA114-1</f>
        <v>-0.10395883576563092</v>
      </c>
    </row>
    <row r="115" spans="1:29">
      <c r="A115" t="s">
        <v>962</v>
      </c>
      <c r="B115" t="s">
        <v>963</v>
      </c>
      <c r="C115" s="19">
        <v>1525</v>
      </c>
      <c r="E115" t="s">
        <v>963</v>
      </c>
      <c r="F115" s="19">
        <v>1228</v>
      </c>
      <c r="G115" t="b">
        <f>IF(B115=E115,TRUE,FALSE)</f>
        <v>1</v>
      </c>
      <c r="J115" s="25">
        <f>F115-C115</f>
        <v>-297</v>
      </c>
      <c r="K115" s="4">
        <f>F115/C115-1</f>
        <v>-0.19475409836065571</v>
      </c>
      <c r="M115" s="5">
        <v>1943.88</v>
      </c>
      <c r="N115" s="5">
        <v>1700.81</v>
      </c>
      <c r="Q115" s="159">
        <v>9643.5400000000009</v>
      </c>
      <c r="S115" s="173">
        <f>N115/F115</f>
        <v>1.3850244299674266</v>
      </c>
      <c r="T115" s="132">
        <f>N115-M115</f>
        <v>-243.07000000000016</v>
      </c>
      <c r="U115" s="4">
        <f>IF(M115=0,0,N115/M115-1)</f>
        <v>-0.12504372697903166</v>
      </c>
      <c r="W115" t="s">
        <v>964</v>
      </c>
      <c r="Y115" t="s">
        <v>965</v>
      </c>
      <c r="AA115" s="18">
        <v>34683.96</v>
      </c>
      <c r="AB115" s="18">
        <v>29459.72</v>
      </c>
      <c r="AC115" s="4">
        <f>AB115/AA115-1</f>
        <v>-0.15062409252000053</v>
      </c>
    </row>
    <row r="116" spans="1:29">
      <c r="A116" t="s">
        <v>966</v>
      </c>
      <c r="B116" t="s">
        <v>967</v>
      </c>
      <c r="C116" s="19">
        <v>856</v>
      </c>
      <c r="E116" t="s">
        <v>967</v>
      </c>
      <c r="F116" s="19">
        <v>782</v>
      </c>
      <c r="G116" t="b">
        <f>IF(B116=E116,TRUE,FALSE)</f>
        <v>1</v>
      </c>
      <c r="J116" s="25">
        <f>F116-C116</f>
        <v>-74</v>
      </c>
      <c r="K116" s="4">
        <f>F116/C116-1</f>
        <v>-8.6448598130841159E-2</v>
      </c>
      <c r="M116" s="5">
        <v>1247.3499999999999</v>
      </c>
      <c r="N116" s="5">
        <v>979.31</v>
      </c>
      <c r="Q116" s="159">
        <v>4305.71</v>
      </c>
      <c r="S116" s="173">
        <f>N116/F116</f>
        <v>1.252314578005115</v>
      </c>
      <c r="T116" s="132">
        <f>N116-M116</f>
        <v>-268.03999999999996</v>
      </c>
      <c r="U116" s="4">
        <f>IF(M116=0,0,N116/M116-1)</f>
        <v>-0.21488756163065703</v>
      </c>
      <c r="AA116" s="18">
        <v>13687.44</v>
      </c>
      <c r="AB116" s="18">
        <v>12504.18</v>
      </c>
      <c r="AC116" s="4">
        <f>AB116/AA116-1</f>
        <v>-8.6448598130841159E-2</v>
      </c>
    </row>
    <row r="117" spans="1:29">
      <c r="A117" t="s">
        <v>968</v>
      </c>
      <c r="B117" t="s">
        <v>969</v>
      </c>
      <c r="C117" s="19">
        <v>1911</v>
      </c>
      <c r="E117" t="s">
        <v>969</v>
      </c>
      <c r="F117" s="19">
        <v>1603</v>
      </c>
      <c r="G117" t="b">
        <f>IF(B117=E117,TRUE,FALSE)</f>
        <v>1</v>
      </c>
      <c r="J117" s="25">
        <f>F117-C117</f>
        <v>-308</v>
      </c>
      <c r="K117" s="4">
        <f>F117/C117-1</f>
        <v>-0.16117216117216115</v>
      </c>
      <c r="M117" s="5">
        <v>2342.0700000000002</v>
      </c>
      <c r="N117" s="5">
        <v>2057.9</v>
      </c>
      <c r="Q117" s="159">
        <v>8261.39</v>
      </c>
      <c r="S117" s="173">
        <f>N117/F117</f>
        <v>1.2837804117280101</v>
      </c>
      <c r="T117" s="132">
        <f>N117-M117</f>
        <v>-284.17000000000007</v>
      </c>
      <c r="U117" s="4">
        <f>IF(M117=0,0,N117/M117-1)</f>
        <v>-0.1213328380449773</v>
      </c>
      <c r="AA117" s="18">
        <v>47755.89</v>
      </c>
      <c r="AB117" s="18">
        <v>40058.97</v>
      </c>
      <c r="AC117" s="4">
        <f>AB117/AA117-1</f>
        <v>-0.16117216117216115</v>
      </c>
    </row>
    <row r="118" spans="1:29">
      <c r="A118" s="150" t="s">
        <v>970</v>
      </c>
      <c r="B118" s="37" t="s">
        <v>971</v>
      </c>
      <c r="C118">
        <v>302</v>
      </c>
      <c r="E118" s="37" t="s">
        <v>971</v>
      </c>
      <c r="F118">
        <v>262</v>
      </c>
      <c r="G118" t="b">
        <f>IF(B118=E118,TRUE,FALSE)</f>
        <v>1</v>
      </c>
      <c r="J118" s="25">
        <f>F118-C118</f>
        <v>-40</v>
      </c>
      <c r="K118" s="4">
        <f>F118/C118-1</f>
        <v>-0.13245033112582782</v>
      </c>
      <c r="M118" s="151">
        <v>499.72</v>
      </c>
      <c r="N118" s="151">
        <v>211.15</v>
      </c>
      <c r="Q118" s="159">
        <v>849.11</v>
      </c>
      <c r="S118" s="173">
        <f>N118/F118</f>
        <v>0.80591603053435112</v>
      </c>
      <c r="T118" s="132">
        <f>N118-M118</f>
        <v>-288.57000000000005</v>
      </c>
      <c r="U118" s="4">
        <f>IF(M118=0,0,N118/M118-1)</f>
        <v>-0.5774633794925158</v>
      </c>
      <c r="AA118">
        <v>2917.38</v>
      </c>
      <c r="AB118">
        <v>2477.94</v>
      </c>
      <c r="AC118" s="4">
        <f>AB118/AA118-1</f>
        <v>-0.150628303477778</v>
      </c>
    </row>
    <row r="119" spans="1:29">
      <c r="A119" s="56" t="s">
        <v>972</v>
      </c>
      <c r="B119" s="37" t="s">
        <v>973</v>
      </c>
      <c r="C119" s="19">
        <v>1043</v>
      </c>
      <c r="E119" s="37" t="s">
        <v>973</v>
      </c>
      <c r="F119" s="19">
        <v>1032</v>
      </c>
      <c r="G119" t="b">
        <f>IF(B119=E119,TRUE,FALSE)</f>
        <v>1</v>
      </c>
      <c r="J119" s="25">
        <f>F119-C119</f>
        <v>-11</v>
      </c>
      <c r="K119" s="4">
        <f>F119/C120-1</f>
        <v>-5.2341597796143224E-2</v>
      </c>
      <c r="M119" s="5">
        <v>2791.15</v>
      </c>
      <c r="N119" s="5">
        <v>2496.02</v>
      </c>
      <c r="Q119" s="159">
        <v>9815.0499999999993</v>
      </c>
      <c r="S119" s="173">
        <f>N119/F119</f>
        <v>2.4186240310077518</v>
      </c>
      <c r="T119" s="132">
        <f>N119-M119</f>
        <v>-295.13000000000011</v>
      </c>
      <c r="U119" s="4">
        <f>IF(M119=0,0,N119/M119-1)</f>
        <v>-0.1057377783350949</v>
      </c>
      <c r="AA119" s="18">
        <v>19806.57</v>
      </c>
      <c r="AB119" s="18">
        <v>19597.68</v>
      </c>
      <c r="AC119" s="4">
        <f>AB119/AA119-1</f>
        <v>-1.0546500479386323E-2</v>
      </c>
    </row>
    <row r="120" spans="1:29">
      <c r="A120" s="54" t="s">
        <v>974</v>
      </c>
      <c r="B120" s="37" t="s">
        <v>975</v>
      </c>
      <c r="C120" s="19">
        <v>1089</v>
      </c>
      <c r="E120" s="37" t="s">
        <v>975</v>
      </c>
      <c r="F120" s="19">
        <v>941</v>
      </c>
      <c r="G120" t="b">
        <f>IF(B120=E120,TRUE,FALSE)</f>
        <v>1</v>
      </c>
      <c r="J120" s="25">
        <f>F120-C120</f>
        <v>-148</v>
      </c>
      <c r="K120" s="4">
        <f>F120/C121-1</f>
        <v>-0.48296703296703292</v>
      </c>
      <c r="M120" s="5">
        <v>2326.63</v>
      </c>
      <c r="N120" s="5">
        <v>2026.44</v>
      </c>
      <c r="Q120" s="159">
        <v>8018.4</v>
      </c>
      <c r="S120" s="173">
        <f>N120/F120</f>
        <v>2.1534962805526039</v>
      </c>
      <c r="T120" s="132">
        <f>N120-M120</f>
        <v>-300.19000000000005</v>
      </c>
      <c r="U120" s="4">
        <f>IF(M120=0,0,N120/M120-1)</f>
        <v>-0.1290235232933471</v>
      </c>
      <c r="AA120" s="18">
        <v>22235.52</v>
      </c>
      <c r="AB120" s="18">
        <v>20692.59</v>
      </c>
      <c r="AC120" s="4">
        <f>AB120/AA120-1</f>
        <v>-6.939032682842583E-2</v>
      </c>
    </row>
    <row r="121" spans="1:29">
      <c r="A121" t="s">
        <v>976</v>
      </c>
      <c r="B121" s="5" t="s">
        <v>977</v>
      </c>
      <c r="C121" s="19">
        <v>1820</v>
      </c>
      <c r="D121" s="5"/>
      <c r="E121" t="s">
        <v>977</v>
      </c>
      <c r="F121" s="19">
        <v>1834</v>
      </c>
      <c r="G121" t="b">
        <f>IF(B121=E121,TRUE,FALSE)</f>
        <v>1</v>
      </c>
      <c r="H121" s="5"/>
      <c r="I121" s="5"/>
      <c r="J121" s="25">
        <f>F121-C121</f>
        <v>14</v>
      </c>
      <c r="K121" s="4">
        <f>F121/C121-1</f>
        <v>7.692307692307665E-3</v>
      </c>
      <c r="L121" s="5"/>
      <c r="M121" s="5">
        <v>2433.23</v>
      </c>
      <c r="N121" s="5">
        <v>2128.16</v>
      </c>
      <c r="O121" s="5"/>
      <c r="P121" s="5"/>
      <c r="Q121" s="159">
        <v>13749.28</v>
      </c>
      <c r="R121" s="5"/>
      <c r="S121" s="173">
        <f>N121/F121</f>
        <v>1.1603925845147218</v>
      </c>
      <c r="T121" s="132">
        <f>N121-M121</f>
        <v>-305.07000000000016</v>
      </c>
      <c r="U121" s="4">
        <f>IF(M121=0,0,N121/M121-1)</f>
        <v>-0.12537655708667084</v>
      </c>
      <c r="V121" s="5"/>
      <c r="W121" s="5"/>
      <c r="X121" s="5"/>
      <c r="Y121" s="5"/>
      <c r="Z121" s="15"/>
      <c r="AA121" s="18">
        <v>49022.05</v>
      </c>
      <c r="AB121" s="18">
        <v>49426.3</v>
      </c>
      <c r="AC121" s="4">
        <f>AB121/AA121-1</f>
        <v>8.2462891698735774E-3</v>
      </c>
    </row>
    <row r="122" spans="1:29">
      <c r="A122" t="s">
        <v>978</v>
      </c>
      <c r="B122" t="s">
        <v>979</v>
      </c>
      <c r="C122" s="19">
        <v>874</v>
      </c>
      <c r="D122" s="5"/>
      <c r="E122" t="s">
        <v>979</v>
      </c>
      <c r="F122" s="19">
        <v>940</v>
      </c>
      <c r="G122" t="b">
        <f>IF(B122=E122,TRUE,FALSE)</f>
        <v>1</v>
      </c>
      <c r="H122" s="5"/>
      <c r="I122" s="5"/>
      <c r="J122" s="25">
        <f>F122-C122</f>
        <v>66</v>
      </c>
      <c r="K122" s="4">
        <f>F122/C122-1</f>
        <v>7.551487414187652E-2</v>
      </c>
      <c r="L122" s="5"/>
      <c r="M122" s="5">
        <v>1719.3400000000001</v>
      </c>
      <c r="N122" s="5">
        <v>1413.9099999999999</v>
      </c>
      <c r="O122" s="5"/>
      <c r="P122" s="5"/>
      <c r="Q122" s="159">
        <v>5939.12</v>
      </c>
      <c r="R122" s="5"/>
      <c r="S122" s="173">
        <f>N122/F122</f>
        <v>1.5041595744680849</v>
      </c>
      <c r="T122" s="132">
        <f>N122-M122</f>
        <v>-305.43000000000029</v>
      </c>
      <c r="U122" s="4">
        <f>IF(M122=0,0,N122/M122-1)</f>
        <v>-0.17764374701920516</v>
      </c>
      <c r="V122" s="5"/>
      <c r="W122" s="5"/>
      <c r="X122" s="5"/>
      <c r="Y122" s="5"/>
      <c r="Z122" s="15"/>
      <c r="AA122" s="18">
        <v>16398.900000000001</v>
      </c>
      <c r="AB122" s="18">
        <v>18759.48</v>
      </c>
      <c r="AC122" s="4">
        <f>AB122/AA122-1</f>
        <v>0.14394745989060231</v>
      </c>
    </row>
    <row r="123" spans="1:29">
      <c r="A123" t="s">
        <v>980</v>
      </c>
      <c r="B123" t="s">
        <v>981</v>
      </c>
      <c r="C123" s="19">
        <v>3683</v>
      </c>
      <c r="E123" t="s">
        <v>981</v>
      </c>
      <c r="F123" s="19">
        <v>3628</v>
      </c>
      <c r="G123" t="b">
        <f>IF(B123=E123,TRUE,FALSE)</f>
        <v>1</v>
      </c>
      <c r="J123" s="25">
        <f>F123-C123</f>
        <v>-55</v>
      </c>
      <c r="K123" s="4">
        <f>F123/C123-1</f>
        <v>-1.4933478142818313E-2</v>
      </c>
      <c r="M123" s="5">
        <v>2245.91</v>
      </c>
      <c r="N123" s="5">
        <v>1939.97</v>
      </c>
      <c r="Q123" s="159">
        <v>12635.96</v>
      </c>
      <c r="S123" s="173">
        <f>N123/F123</f>
        <v>0.5347216097023153</v>
      </c>
      <c r="T123" s="132">
        <f>N123-M123</f>
        <v>-305.93999999999983</v>
      </c>
      <c r="U123" s="4">
        <f>IF(M123=0,0,N123/M123-1)</f>
        <v>-0.13622095275411739</v>
      </c>
      <c r="AA123" s="18">
        <v>79354.37</v>
      </c>
      <c r="AB123" s="18">
        <v>79374.789999999994</v>
      </c>
      <c r="AC123" s="4">
        <f>AB123/AA123-1</f>
        <v>2.5732672315337268E-4</v>
      </c>
    </row>
    <row r="124" spans="1:29">
      <c r="A124" t="s">
        <v>982</v>
      </c>
      <c r="B124" t="s">
        <v>983</v>
      </c>
      <c r="C124" s="19">
        <v>3336</v>
      </c>
      <c r="E124" t="s">
        <v>983</v>
      </c>
      <c r="F124" s="19">
        <v>2872</v>
      </c>
      <c r="G124" t="b">
        <f>IF(B124=E124,TRUE,FALSE)</f>
        <v>1</v>
      </c>
      <c r="J124" s="25">
        <f>F124-C124</f>
        <v>-464</v>
      </c>
      <c r="K124" s="4">
        <f>F124/C124-1</f>
        <v>-0.13908872901678659</v>
      </c>
      <c r="M124" s="5">
        <v>5123.04</v>
      </c>
      <c r="N124" s="5">
        <v>4806.25</v>
      </c>
      <c r="Q124" s="159">
        <v>25870.97</v>
      </c>
      <c r="S124" s="173">
        <f>N124/F124</f>
        <v>1.6734853760445683</v>
      </c>
      <c r="T124" s="132">
        <f>N124-M124</f>
        <v>-316.78999999999996</v>
      </c>
      <c r="U124" s="4">
        <f>IF(M124=0,0,N124/M124-1)</f>
        <v>-6.1836331553140278E-2</v>
      </c>
      <c r="W124" t="s">
        <v>984</v>
      </c>
      <c r="Y124" t="s">
        <v>985</v>
      </c>
      <c r="Z124" s="14" t="s">
        <v>986</v>
      </c>
      <c r="AA124" s="18">
        <v>84039.24</v>
      </c>
      <c r="AB124" s="18">
        <v>77515.28</v>
      </c>
      <c r="AC124" s="4">
        <f>AB124/AA124-1</f>
        <v>-7.7629926210660671E-2</v>
      </c>
    </row>
    <row r="125" spans="1:29">
      <c r="A125" s="54" t="s">
        <v>987</v>
      </c>
      <c r="B125" s="37" t="s">
        <v>988</v>
      </c>
      <c r="C125" s="19">
        <v>1184</v>
      </c>
      <c r="E125" s="37" t="s">
        <v>988</v>
      </c>
      <c r="F125" s="19">
        <v>872</v>
      </c>
      <c r="G125" t="b">
        <f>IF(B125=E125,TRUE,FALSE)</f>
        <v>1</v>
      </c>
      <c r="J125" s="25">
        <f>F125-C125</f>
        <v>-312</v>
      </c>
      <c r="K125" s="4">
        <f>F125/C126-1</f>
        <v>-0.49478563151796062</v>
      </c>
      <c r="M125" s="5">
        <v>1495.52</v>
      </c>
      <c r="N125" s="5">
        <v>1163.69</v>
      </c>
      <c r="Q125" s="159">
        <v>3629.79</v>
      </c>
      <c r="S125" s="173">
        <f>N125/F125</f>
        <v>1.3345068807339451</v>
      </c>
      <c r="T125" s="132">
        <f>N125-M125</f>
        <v>-331.82999999999993</v>
      </c>
      <c r="U125" s="4">
        <f>IF(M125=0,0,N125/M125-1)</f>
        <v>-0.22188268963303726</v>
      </c>
      <c r="AA125" s="18">
        <v>12222.41</v>
      </c>
      <c r="AB125" s="18">
        <v>11184.25</v>
      </c>
      <c r="AC125" s="4">
        <f>AB125/AA125-1</f>
        <v>-8.4939058663553224E-2</v>
      </c>
    </row>
    <row r="126" spans="1:29">
      <c r="A126" t="s">
        <v>989</v>
      </c>
      <c r="B126" t="s">
        <v>990</v>
      </c>
      <c r="C126" s="19">
        <v>1726</v>
      </c>
      <c r="D126" s="12"/>
      <c r="E126" t="s">
        <v>990</v>
      </c>
      <c r="F126" s="19">
        <v>1419</v>
      </c>
      <c r="G126" t="b">
        <f>IF(B126=E126,TRUE,FALSE)</f>
        <v>1</v>
      </c>
      <c r="H126" s="12"/>
      <c r="I126" s="12"/>
      <c r="J126" s="25">
        <f>F126-C126</f>
        <v>-307</v>
      </c>
      <c r="K126" s="4">
        <f>F126/C126-1</f>
        <v>-0.17786790266512165</v>
      </c>
      <c r="L126" s="12"/>
      <c r="M126" s="5">
        <v>1858.83</v>
      </c>
      <c r="N126" s="5">
        <v>1505.1</v>
      </c>
      <c r="O126" s="12"/>
      <c r="P126" s="12"/>
      <c r="Q126" s="159">
        <v>6599.33</v>
      </c>
      <c r="R126" s="12"/>
      <c r="S126" s="173">
        <f>N126/F126</f>
        <v>1.060676532769556</v>
      </c>
      <c r="T126" s="132">
        <f>N126-M126</f>
        <v>-353.73</v>
      </c>
      <c r="U126" s="4">
        <f>IF(M126=0,0,N126/M126-1)</f>
        <v>-0.19029712238343477</v>
      </c>
      <c r="V126" s="5"/>
      <c r="W126" s="5"/>
      <c r="X126" s="5"/>
      <c r="Y126" s="5"/>
      <c r="Z126" s="15"/>
      <c r="AA126" s="18">
        <v>40387.75</v>
      </c>
      <c r="AB126" s="18">
        <v>35460.81</v>
      </c>
      <c r="AC126" s="4">
        <f>AB126/AA126-1</f>
        <v>-0.1219909502262444</v>
      </c>
    </row>
    <row r="127" spans="1:29">
      <c r="A127" t="s">
        <v>991</v>
      </c>
      <c r="B127" t="s">
        <v>992</v>
      </c>
      <c r="C127" s="19">
        <v>1952</v>
      </c>
      <c r="E127" t="s">
        <v>992</v>
      </c>
      <c r="F127" s="19">
        <v>1793</v>
      </c>
      <c r="G127" t="b">
        <f>IF(B127=E127,TRUE,FALSE)</f>
        <v>1</v>
      </c>
      <c r="J127" s="25">
        <f>F127-C127</f>
        <v>-159</v>
      </c>
      <c r="K127" s="4">
        <f>F127/C127-1</f>
        <v>-8.1454918032786927E-2</v>
      </c>
      <c r="M127" s="5">
        <v>2260.33</v>
      </c>
      <c r="N127" s="5">
        <v>1892.79</v>
      </c>
      <c r="Q127" s="159">
        <v>11155.85</v>
      </c>
      <c r="S127" s="173">
        <f>N127/F127</f>
        <v>1.0556553262688231</v>
      </c>
      <c r="T127" s="132">
        <f>N127-M127</f>
        <v>-367.53999999999996</v>
      </c>
      <c r="U127" s="4">
        <f>IF(M127=0,0,N127/M127-1)</f>
        <v>-0.1626045754380997</v>
      </c>
      <c r="AA127" s="18">
        <v>58510.49</v>
      </c>
      <c r="AB127" s="18">
        <v>53712.09</v>
      </c>
      <c r="AC127" s="4">
        <f>AB127/AA127-1</f>
        <v>-8.2009226037929261E-2</v>
      </c>
    </row>
    <row r="128" spans="1:29" ht="16.5">
      <c r="A128" s="24" t="s">
        <v>993</v>
      </c>
      <c r="B128" s="23" t="s">
        <v>994</v>
      </c>
      <c r="C128" s="19">
        <v>1062</v>
      </c>
      <c r="D128" s="5"/>
      <c r="E128" s="23" t="s">
        <v>994</v>
      </c>
      <c r="F128" s="19">
        <v>906</v>
      </c>
      <c r="G128" t="b">
        <f>IF(B128=E128,TRUE,FALSE)</f>
        <v>1</v>
      </c>
      <c r="H128" s="5"/>
      <c r="I128" s="5"/>
      <c r="J128" s="25">
        <f>F128-C128</f>
        <v>-156</v>
      </c>
      <c r="K128" s="4">
        <f>F128/C128-1</f>
        <v>-0.14689265536723162</v>
      </c>
      <c r="L128" s="5"/>
      <c r="M128" s="5">
        <v>1864.76</v>
      </c>
      <c r="N128" s="5">
        <v>1494.58</v>
      </c>
      <c r="O128" s="5"/>
      <c r="P128" s="5"/>
      <c r="Q128" s="159">
        <v>6937.71</v>
      </c>
      <c r="R128" s="5"/>
      <c r="S128" s="173">
        <f>N128/F128</f>
        <v>1.6496467991169976</v>
      </c>
      <c r="T128" s="132">
        <f>N128-M128</f>
        <v>-370.18000000000006</v>
      </c>
      <c r="U128" s="4">
        <f>IF(M128=0,0,N128/M128-1)</f>
        <v>-0.19851348162766258</v>
      </c>
      <c r="V128" s="5"/>
      <c r="W128" s="5"/>
      <c r="X128" s="5"/>
      <c r="Y128" s="5"/>
      <c r="Z128" s="15"/>
      <c r="AA128" s="18">
        <v>15919.38</v>
      </c>
      <c r="AB128" s="18">
        <v>13580.94</v>
      </c>
      <c r="AC128" s="4">
        <f>AB128/AA128-1</f>
        <v>-0.14689265536723162</v>
      </c>
    </row>
    <row r="129" spans="1:29">
      <c r="A129" s="57" t="s">
        <v>995</v>
      </c>
      <c r="B129" s="37" t="s">
        <v>996</v>
      </c>
      <c r="C129" s="19">
        <v>680</v>
      </c>
      <c r="E129" s="37" t="s">
        <v>996</v>
      </c>
      <c r="F129" s="19">
        <v>424</v>
      </c>
      <c r="G129" t="b">
        <f>IF(B129=E129,TRUE,FALSE)</f>
        <v>1</v>
      </c>
      <c r="J129" s="25">
        <f>F129-C129</f>
        <v>-256</v>
      </c>
      <c r="K129" s="4">
        <f>F129/C130-1</f>
        <v>-0.57810945273631842</v>
      </c>
      <c r="M129" s="5">
        <v>735</v>
      </c>
      <c r="N129" s="5">
        <v>355.95</v>
      </c>
      <c r="Q129" s="159">
        <v>1618.74</v>
      </c>
      <c r="S129" s="173">
        <f>N129/F129</f>
        <v>0.83950471698113205</v>
      </c>
      <c r="T129" s="132">
        <f>N129-M129</f>
        <v>-379.05</v>
      </c>
      <c r="U129" s="4">
        <f>IF(M129=0,0,N129/M129-1)</f>
        <v>-0.51571428571428579</v>
      </c>
      <c r="Z129" s="141"/>
      <c r="AA129" s="18">
        <v>14022.230000000001</v>
      </c>
      <c r="AB129" s="18">
        <v>9103.76</v>
      </c>
      <c r="AC129" s="4">
        <f>AB129/AA129-1</f>
        <v>-0.35076232525069129</v>
      </c>
    </row>
    <row r="130" spans="1:29">
      <c r="A130" s="27" t="s">
        <v>997</v>
      </c>
      <c r="B130" t="s">
        <v>998</v>
      </c>
      <c r="C130" s="19">
        <v>1005</v>
      </c>
      <c r="E130" s="27" t="s">
        <v>998</v>
      </c>
      <c r="F130" s="19">
        <v>869</v>
      </c>
      <c r="G130" t="b">
        <f>IF(B130=E130,TRUE,FALSE)</f>
        <v>1</v>
      </c>
      <c r="J130" s="25">
        <f>F130-C130</f>
        <v>-136</v>
      </c>
      <c r="K130" s="4">
        <f>F130/C130-1</f>
        <v>-0.13532338308457714</v>
      </c>
      <c r="M130" s="5">
        <v>2305.23</v>
      </c>
      <c r="N130" s="5">
        <v>1782.46</v>
      </c>
      <c r="Q130" s="159">
        <v>8943.14</v>
      </c>
      <c r="S130" s="173">
        <f>N130/F130</f>
        <v>2.0511622554660529</v>
      </c>
      <c r="T130" s="132">
        <f>N130-M130</f>
        <v>-522.77</v>
      </c>
      <c r="U130" s="4">
        <f>IF(M130=0,0,N130/M130-1)</f>
        <v>-0.2267756362705674</v>
      </c>
      <c r="Z130" s="141"/>
      <c r="AA130" s="18">
        <v>19613.39</v>
      </c>
      <c r="AB130" s="18">
        <v>17072.68</v>
      </c>
      <c r="AC130" s="4">
        <f>AB130/AA130-1</f>
        <v>-0.12953956455258364</v>
      </c>
    </row>
    <row r="131" spans="1:29" ht="16.5">
      <c r="A131" s="24" t="s">
        <v>999</v>
      </c>
      <c r="B131" s="23" t="s">
        <v>1000</v>
      </c>
      <c r="C131" s="19">
        <v>2686</v>
      </c>
      <c r="D131" s="5"/>
      <c r="E131" s="23" t="s">
        <v>1000</v>
      </c>
      <c r="F131" s="19">
        <v>2539</v>
      </c>
      <c r="G131" t="b">
        <f>IF(B131=E131,TRUE,FALSE)</f>
        <v>1</v>
      </c>
      <c r="H131" s="5"/>
      <c r="I131" s="5"/>
      <c r="J131" s="25">
        <f>F131-C131</f>
        <v>-147</v>
      </c>
      <c r="K131" s="4">
        <f>F131/C131-1</f>
        <v>-5.4728220402084915E-2</v>
      </c>
      <c r="L131" s="5"/>
      <c r="M131" s="5">
        <v>3675.46</v>
      </c>
      <c r="N131" s="5">
        <v>3144.48</v>
      </c>
      <c r="O131" s="5"/>
      <c r="P131" s="5"/>
      <c r="Q131" s="159">
        <v>18522.38</v>
      </c>
      <c r="R131" s="5"/>
      <c r="S131" s="173">
        <f>N131/F131</f>
        <v>1.2384718393068137</v>
      </c>
      <c r="T131" s="132">
        <f>N131-M131</f>
        <v>-530.98</v>
      </c>
      <c r="U131" s="4">
        <f>IF(M131=0,0,N131/M131-1)</f>
        <v>-0.1444662708885418</v>
      </c>
      <c r="V131" s="5"/>
      <c r="W131" s="5"/>
      <c r="X131" s="5"/>
      <c r="Y131" s="5"/>
      <c r="Z131" s="176"/>
      <c r="AA131" s="18">
        <v>66652.34</v>
      </c>
      <c r="AB131" s="18">
        <v>61297</v>
      </c>
      <c r="AC131" s="4">
        <f>AB131/AA131-1</f>
        <v>-8.0347366649092811E-2</v>
      </c>
    </row>
    <row r="132" spans="1:29">
      <c r="A132" t="s">
        <v>1001</v>
      </c>
      <c r="B132" t="s">
        <v>1002</v>
      </c>
      <c r="C132" s="19">
        <v>922</v>
      </c>
      <c r="E132" t="s">
        <v>1002</v>
      </c>
      <c r="F132" s="19">
        <v>968</v>
      </c>
      <c r="G132" t="b">
        <f>IF(B132=E132,TRUE,FALSE)</f>
        <v>1</v>
      </c>
      <c r="J132" s="25">
        <f>F132-C132</f>
        <v>46</v>
      </c>
      <c r="K132" s="4">
        <f>F132/C132-1</f>
        <v>4.9891540130151846E-2</v>
      </c>
      <c r="M132" s="5">
        <v>2261.39</v>
      </c>
      <c r="N132" s="5">
        <v>1658.58</v>
      </c>
      <c r="Q132" s="159">
        <v>6404.32</v>
      </c>
      <c r="S132" s="173">
        <f>N132/F132</f>
        <v>1.7134090909090909</v>
      </c>
      <c r="T132" s="132">
        <f>N132-M132</f>
        <v>-602.80999999999995</v>
      </c>
      <c r="U132" s="4">
        <f>IF(M132=0,0,N132/M132-1)</f>
        <v>-0.26656613852542022</v>
      </c>
      <c r="Z132" s="141"/>
      <c r="AA132" s="18">
        <v>15702.78</v>
      </c>
      <c r="AB132" s="18">
        <v>16446.32</v>
      </c>
      <c r="AC132" s="4">
        <f>AB132/AA132-1</f>
        <v>4.7350851250542725E-2</v>
      </c>
    </row>
    <row r="133" spans="1:29">
      <c r="A133" s="150" t="s">
        <v>1003</v>
      </c>
      <c r="B133" s="37" t="s">
        <v>1004</v>
      </c>
      <c r="C133">
        <v>1352</v>
      </c>
      <c r="E133" s="37" t="s">
        <v>1004</v>
      </c>
      <c r="F133">
        <v>622</v>
      </c>
      <c r="G133" t="b">
        <f>IF(B133=E133,TRUE,FALSE)</f>
        <v>1</v>
      </c>
      <c r="J133" s="25">
        <f>F133-C133</f>
        <v>-730</v>
      </c>
      <c r="K133" s="4">
        <f>F133/C133-1</f>
        <v>-0.53994082840236679</v>
      </c>
      <c r="M133" s="151">
        <v>2171.92</v>
      </c>
      <c r="N133" s="151">
        <v>1516.76</v>
      </c>
      <c r="Q133" s="159">
        <v>6930.43</v>
      </c>
      <c r="S133" s="173">
        <f>N133/F133</f>
        <v>2.4385209003215436</v>
      </c>
      <c r="T133" s="132">
        <f>N133-M133</f>
        <v>-655.16000000000008</v>
      </c>
      <c r="U133" s="4">
        <f>IF(M133=0,0,N133/M133-1)</f>
        <v>-0.30165015286014218</v>
      </c>
      <c r="Z133" s="141"/>
      <c r="AA133">
        <v>13830.48</v>
      </c>
      <c r="AB133">
        <v>8701.7800000000007</v>
      </c>
      <c r="AC133" s="4">
        <f>AB133/AA133-1</f>
        <v>-0.37082588601407895</v>
      </c>
    </row>
    <row r="134" spans="1:29">
      <c r="A134" t="s">
        <v>1005</v>
      </c>
      <c r="B134" t="s">
        <v>1006</v>
      </c>
      <c r="C134" s="19">
        <v>1811</v>
      </c>
      <c r="E134" t="s">
        <v>1006</v>
      </c>
      <c r="F134" s="19">
        <v>1545</v>
      </c>
      <c r="G134" t="b">
        <f>IF(B134=E134,TRUE,FALSE)</f>
        <v>1</v>
      </c>
      <c r="J134" s="25">
        <f>F134-C134</f>
        <v>-266</v>
      </c>
      <c r="K134" s="4">
        <f>F134/C134-1</f>
        <v>-0.14688017669795694</v>
      </c>
      <c r="M134" s="5">
        <v>2150.2399999999998</v>
      </c>
      <c r="N134" s="5">
        <v>1436.99</v>
      </c>
      <c r="Q134" s="159">
        <v>8331.39</v>
      </c>
      <c r="S134" s="173">
        <f>N134/F134</f>
        <v>0.93009061488673139</v>
      </c>
      <c r="T134" s="132">
        <f>N134-M134</f>
        <v>-713.24999999999977</v>
      </c>
      <c r="U134" s="4">
        <f>IF(M134=0,0,N134/M134-1)</f>
        <v>-0.33170715827070463</v>
      </c>
      <c r="Z134" s="141"/>
      <c r="AA134" s="18">
        <v>37043.15</v>
      </c>
      <c r="AB134" s="18">
        <v>33965.75</v>
      </c>
      <c r="AC134" s="4">
        <f>AB134/AA134-1</f>
        <v>-8.3076088291627492E-2</v>
      </c>
    </row>
    <row r="135" spans="1:29">
      <c r="A135" t="s">
        <v>1007</v>
      </c>
      <c r="B135" t="s">
        <v>1008</v>
      </c>
      <c r="C135" s="19">
        <v>1951</v>
      </c>
      <c r="E135" t="s">
        <v>1008</v>
      </c>
      <c r="F135" s="19">
        <v>1495</v>
      </c>
      <c r="G135" t="b">
        <f>IF(B135=E135,TRUE,FALSE)</f>
        <v>1</v>
      </c>
      <c r="J135" s="25">
        <f>F135-C135</f>
        <v>-456</v>
      </c>
      <c r="K135" s="4">
        <f>F135/C135-1</f>
        <v>-0.23372629420809843</v>
      </c>
      <c r="M135" s="5">
        <v>3140.91</v>
      </c>
      <c r="N135" s="5">
        <v>2387.8200000000002</v>
      </c>
      <c r="Q135" s="159">
        <v>9293.56</v>
      </c>
      <c r="S135" s="173">
        <f>N135/F135</f>
        <v>1.5972040133779266</v>
      </c>
      <c r="T135" s="132">
        <f>N135-M135</f>
        <v>-753.08999999999969</v>
      </c>
      <c r="U135" s="4">
        <f>IF(M135=0,0,N135/M135-1)</f>
        <v>-0.23976809268651433</v>
      </c>
      <c r="Z135" s="141"/>
      <c r="AA135" s="18">
        <v>35991.49</v>
      </c>
      <c r="AB135" s="18">
        <v>29487.05</v>
      </c>
      <c r="AC135" s="4">
        <f>AB135/AA135-1</f>
        <v>-0.18072160946934956</v>
      </c>
    </row>
    <row r="136" spans="1:29">
      <c r="A136" t="s">
        <v>1009</v>
      </c>
      <c r="B136" t="s">
        <v>1010</v>
      </c>
      <c r="C136" s="19">
        <v>1314</v>
      </c>
      <c r="E136" t="s">
        <v>1010</v>
      </c>
      <c r="F136" s="19">
        <v>764</v>
      </c>
      <c r="G136" t="b">
        <f>IF(B136=E136,TRUE,FALSE)</f>
        <v>1</v>
      </c>
      <c r="J136" s="25">
        <f>F136-C136</f>
        <v>-550</v>
      </c>
      <c r="K136" s="4">
        <f>F136/C136-1</f>
        <v>-0.41856925418569257</v>
      </c>
      <c r="M136" s="5">
        <v>1789.22</v>
      </c>
      <c r="N136" s="5">
        <v>880.58</v>
      </c>
      <c r="Q136" s="159">
        <v>6068.75</v>
      </c>
      <c r="S136" s="173">
        <f>N136/F136</f>
        <v>1.1525916230366493</v>
      </c>
      <c r="T136" s="132">
        <f>N136-M136</f>
        <v>-908.64</v>
      </c>
      <c r="U136" s="4">
        <f>IF(M136=0,0,N136/M136-1)</f>
        <v>-0.50784140575222714</v>
      </c>
      <c r="Z136" s="141"/>
      <c r="AA136" s="18">
        <v>36658.86</v>
      </c>
      <c r="AB136" s="18">
        <v>22903.919999999998</v>
      </c>
      <c r="AC136" s="4">
        <f>AB136/AA136-1</f>
        <v>-0.37521461387506327</v>
      </c>
    </row>
    <row r="137" spans="1:29">
      <c r="A137" s="27" t="s">
        <v>1011</v>
      </c>
      <c r="B137" s="27" t="s">
        <v>1012</v>
      </c>
      <c r="C137" s="19">
        <v>1386</v>
      </c>
      <c r="E137" s="27" t="s">
        <v>1012</v>
      </c>
      <c r="F137" s="19">
        <v>1161</v>
      </c>
      <c r="G137" t="b">
        <f>IF(B137=E137,TRUE,FALSE)</f>
        <v>1</v>
      </c>
      <c r="J137" s="25">
        <f>F137-C137</f>
        <v>-225</v>
      </c>
      <c r="K137" s="4">
        <f>F137/C137-1</f>
        <v>-0.16233766233766234</v>
      </c>
      <c r="M137" s="5">
        <v>2821.59</v>
      </c>
      <c r="N137" s="5">
        <v>1906.03</v>
      </c>
      <c r="Q137" s="159">
        <v>9475.24</v>
      </c>
      <c r="S137" s="173">
        <f>N137/F137</f>
        <v>1.6417140396210164</v>
      </c>
      <c r="T137" s="132">
        <f>N137-M137</f>
        <v>-915.56000000000017</v>
      </c>
      <c r="U137" s="4">
        <f>IF(M137=0,0,N137/M137-1)</f>
        <v>-0.32448371308375779</v>
      </c>
      <c r="Z137" s="141"/>
      <c r="AA137" s="18">
        <v>26742.13</v>
      </c>
      <c r="AB137" s="18">
        <v>23208.39</v>
      </c>
      <c r="AC137" s="4">
        <f>AB137/AA137-1</f>
        <v>-0.13214130661992896</v>
      </c>
    </row>
    <row r="138" spans="1:29">
      <c r="A138" t="s">
        <v>1013</v>
      </c>
      <c r="B138" t="s">
        <v>1014</v>
      </c>
      <c r="C138" s="19">
        <v>1412</v>
      </c>
      <c r="E138" t="s">
        <v>1014</v>
      </c>
      <c r="F138" s="19">
        <v>1073</v>
      </c>
      <c r="G138" t="b">
        <f>IF(B138=E138,TRUE,FALSE)</f>
        <v>1</v>
      </c>
      <c r="J138" s="25">
        <f>F138-C138</f>
        <v>-339</v>
      </c>
      <c r="K138" s="4">
        <f>F138/C138-1</f>
        <v>-0.24008498583569404</v>
      </c>
      <c r="M138" s="5">
        <v>2225.1999999999998</v>
      </c>
      <c r="N138" s="5">
        <v>1041.1600000000001</v>
      </c>
      <c r="Q138" s="159">
        <v>8352.74</v>
      </c>
      <c r="S138" s="173">
        <f>N138/F138</f>
        <v>0.97032618825722283</v>
      </c>
      <c r="T138" s="132">
        <f>N138-M138</f>
        <v>-1184.0399999999997</v>
      </c>
      <c r="U138" s="4">
        <f>IF(M138=0,0,N138/M138-1)</f>
        <v>-0.53210497932770084</v>
      </c>
      <c r="Z138" s="141"/>
      <c r="AA138" s="18">
        <v>44457.88</v>
      </c>
      <c r="AB138" s="18">
        <v>36471.269999999997</v>
      </c>
      <c r="AC138" s="4">
        <f>AB138/AA138-1</f>
        <v>-0.17964441849228985</v>
      </c>
    </row>
    <row r="139" spans="1:29">
      <c r="A139" t="s">
        <v>1015</v>
      </c>
      <c r="B139" t="s">
        <v>1016</v>
      </c>
      <c r="C139" s="19">
        <v>1569</v>
      </c>
      <c r="E139" t="s">
        <v>1016</v>
      </c>
      <c r="F139" s="19">
        <v>1159</v>
      </c>
      <c r="G139" t="b">
        <f>IF(B139=E139,TRUE,FALSE)</f>
        <v>1</v>
      </c>
      <c r="J139" s="25">
        <f>F139-C139</f>
        <v>-410</v>
      </c>
      <c r="K139" s="4">
        <f>F139/C139-1</f>
        <v>-0.26131293817718293</v>
      </c>
      <c r="M139" s="5">
        <v>2953.45</v>
      </c>
      <c r="N139" s="5">
        <v>1494.44</v>
      </c>
      <c r="Q139" s="159">
        <v>8111.62</v>
      </c>
      <c r="S139" s="173">
        <f>N139/F139</f>
        <v>1.2894219154443487</v>
      </c>
      <c r="T139" s="132">
        <f>N139-M139</f>
        <v>-1459.0099999999998</v>
      </c>
      <c r="U139" s="4">
        <f>IF(M139=0,0,N139/M139-1)</f>
        <v>-0.49400192994633385</v>
      </c>
      <c r="Z139" s="141"/>
      <c r="AA139" s="18">
        <v>42370.720000000001</v>
      </c>
      <c r="AB139" s="18">
        <v>33570.42</v>
      </c>
      <c r="AC139" s="4">
        <f>AB139/AA139-1</f>
        <v>-0.20769767424296781</v>
      </c>
    </row>
    <row r="140" spans="1:29">
      <c r="A140" s="149" t="s">
        <v>1017</v>
      </c>
      <c r="B140" s="27" t="s">
        <v>1018</v>
      </c>
      <c r="C140">
        <v>598</v>
      </c>
      <c r="E140" s="27" t="s">
        <v>1018</v>
      </c>
      <c r="F140">
        <v>176</v>
      </c>
      <c r="G140" t="b">
        <f>IF(B140=E140,TRUE,FALSE)</f>
        <v>1</v>
      </c>
      <c r="J140" s="25">
        <f>F140-C140</f>
        <v>-422</v>
      </c>
      <c r="K140" s="4">
        <f>F140/C140-1</f>
        <v>-0.70568561872909696</v>
      </c>
      <c r="M140" s="151">
        <v>1682.6</v>
      </c>
      <c r="N140" s="151">
        <v>0</v>
      </c>
      <c r="Q140" s="159">
        <v>0</v>
      </c>
      <c r="S140" s="173">
        <f>N140/F140</f>
        <v>0</v>
      </c>
      <c r="T140" s="132">
        <f>N140-M140</f>
        <v>-1682.6</v>
      </c>
      <c r="U140" s="4">
        <f>IF(M140=0,0,N140/M140-1)</f>
        <v>-1</v>
      </c>
      <c r="Z140" s="141"/>
      <c r="AA140">
        <v>11339.22</v>
      </c>
      <c r="AB140">
        <v>3870.24</v>
      </c>
      <c r="AC140" s="4">
        <f>AB140/AA140-1</f>
        <v>-0.65868551805150621</v>
      </c>
    </row>
    <row r="141" spans="1:29">
      <c r="A141" s="55" t="s">
        <v>1019</v>
      </c>
      <c r="B141" s="37" t="s">
        <v>1020</v>
      </c>
      <c r="C141">
        <v>746</v>
      </c>
      <c r="E141" s="37" t="s">
        <v>1020</v>
      </c>
      <c r="F141">
        <v>926</v>
      </c>
      <c r="G141" t="b">
        <f>IF(B141=E141,TRUE,FALSE)</f>
        <v>1</v>
      </c>
      <c r="J141" s="25">
        <f>F141-C141</f>
        <v>180</v>
      </c>
      <c r="K141" s="4">
        <f>F144/C141-1</f>
        <v>-1</v>
      </c>
      <c r="M141" s="5">
        <v>1411.87</v>
      </c>
      <c r="N141" s="5">
        <v>1781.53</v>
      </c>
      <c r="Q141" s="159">
        <v>6954.1</v>
      </c>
      <c r="S141" s="173">
        <f>N141/F141</f>
        <v>1.9238984881209502</v>
      </c>
      <c r="T141" s="132"/>
      <c r="U141" s="4"/>
      <c r="Z141" s="141"/>
      <c r="AA141" s="18">
        <v>7562.54</v>
      </c>
      <c r="AB141" s="18">
        <v>9870.74</v>
      </c>
      <c r="AC141" s="4">
        <f>AB141/AA141-1</f>
        <v>0.30521491456574101</v>
      </c>
    </row>
    <row r="142" spans="1:29">
      <c r="A142" s="156" t="s">
        <v>1021</v>
      </c>
      <c r="B142" s="37" t="s">
        <v>1022</v>
      </c>
      <c r="C142" s="19">
        <v>550</v>
      </c>
      <c r="E142" s="37" t="s">
        <v>1022</v>
      </c>
      <c r="F142" s="19">
        <v>902</v>
      </c>
      <c r="G142" t="b">
        <f>IF(B142=E142,TRUE,FALSE)</f>
        <v>1</v>
      </c>
      <c r="J142" s="25">
        <f>F142-C142</f>
        <v>352</v>
      </c>
      <c r="K142" s="4">
        <f>F144/C142-1</f>
        <v>-1</v>
      </c>
      <c r="M142" s="151">
        <v>973.34</v>
      </c>
      <c r="N142" s="151">
        <v>1379.85</v>
      </c>
      <c r="Q142" s="158">
        <v>8903.17</v>
      </c>
      <c r="S142" s="173">
        <f>N142/F142</f>
        <v>1.5297671840354765</v>
      </c>
      <c r="Z142" s="141"/>
      <c r="AA142">
        <v>6316.5</v>
      </c>
      <c r="AB142">
        <v>10990.98</v>
      </c>
      <c r="AC142" s="4">
        <f>AB142/AA142-1</f>
        <v>0.74004274519116597</v>
      </c>
    </row>
    <row r="143" spans="1:29">
      <c r="A143" s="55" t="s">
        <v>1023</v>
      </c>
      <c r="B143" s="37" t="s">
        <v>1024</v>
      </c>
      <c r="C143">
        <v>281</v>
      </c>
      <c r="E143" s="37" t="s">
        <v>1024</v>
      </c>
      <c r="F143">
        <v>991</v>
      </c>
      <c r="G143" t="b">
        <f>IF(B143=E143,TRUE,FALSE)</f>
        <v>1</v>
      </c>
      <c r="J143" s="25">
        <f>F143-C143</f>
        <v>710</v>
      </c>
      <c r="K143" s="4">
        <f>F146/C143-1</f>
        <v>884.38078291814952</v>
      </c>
      <c r="M143" s="5">
        <v>964.73</v>
      </c>
      <c r="N143" s="5">
        <v>1689.48</v>
      </c>
      <c r="Q143" s="159">
        <v>8302.75</v>
      </c>
      <c r="S143" s="173">
        <f>N143/F143</f>
        <v>1.7048234106962663</v>
      </c>
      <c r="T143" s="132"/>
      <c r="U143" s="4"/>
      <c r="Z143" s="141"/>
      <c r="AA143" s="18">
        <v>5589.19</v>
      </c>
      <c r="AB143" s="18">
        <v>19314.53</v>
      </c>
      <c r="AC143" s="4">
        <f>AB143/AA143-1</f>
        <v>2.4556939377620015</v>
      </c>
    </row>
    <row r="144" spans="1:29">
      <c r="F144" s="19"/>
      <c r="K144" s="4"/>
      <c r="N144" s="4"/>
      <c r="Z144" s="141"/>
    </row>
    <row r="145" spans="3:29">
      <c r="C145" s="3" t="s">
        <v>699</v>
      </c>
      <c r="D145" s="3"/>
      <c r="E145" s="3"/>
      <c r="F145" s="3" t="s">
        <v>699</v>
      </c>
      <c r="G145" s="3"/>
      <c r="H145" s="3"/>
      <c r="I145" s="3"/>
      <c r="J145" s="3" t="s">
        <v>700</v>
      </c>
      <c r="K145" s="31"/>
      <c r="L145" s="3"/>
      <c r="M145" s="33" t="s">
        <v>701</v>
      </c>
      <c r="N145" s="33" t="s">
        <v>701</v>
      </c>
      <c r="O145" s="3"/>
      <c r="Q145" s="160" t="s">
        <v>702</v>
      </c>
      <c r="R145" s="3"/>
      <c r="T145" s="133" t="s">
        <v>703</v>
      </c>
      <c r="U145" s="3"/>
      <c r="V145" s="3"/>
      <c r="W145" s="3"/>
      <c r="X145" s="3"/>
      <c r="Y145" s="34"/>
      <c r="Z145" s="35" t="s">
        <v>3</v>
      </c>
      <c r="AA145" s="35" t="s">
        <v>3</v>
      </c>
      <c r="AB145" s="35" t="s">
        <v>3</v>
      </c>
    </row>
    <row r="146" spans="3:29">
      <c r="C146" s="19">
        <f>SUM(C3:C143)</f>
        <v>252691</v>
      </c>
      <c r="F146" s="19">
        <f>SUM(F3:F143)</f>
        <v>248792</v>
      </c>
      <c r="J146" s="19">
        <f>SUM(J3:J143)</f>
        <v>-3899</v>
      </c>
      <c r="K146" s="4"/>
      <c r="M146" s="19">
        <f>SUM(M3:M143)</f>
        <v>247762.80000000008</v>
      </c>
      <c r="N146" s="5">
        <f>SUM(N3:N143)</f>
        <v>283642.8600000001</v>
      </c>
      <c r="Q146" s="154">
        <f>SUM(Q3:Q143)</f>
        <v>1451271.0300000005</v>
      </c>
      <c r="T146" s="135">
        <f>SUM(T3:T143)</f>
        <v>34303.750000000007</v>
      </c>
      <c r="U146" s="4">
        <f>IF(M146=0,0,N146/M146-1)</f>
        <v>0.14481617095060284</v>
      </c>
      <c r="AA146" s="30">
        <f>SUM(AA3:AA143)</f>
        <v>5402282.9000000022</v>
      </c>
      <c r="AB146" s="30">
        <f>SUM(AB3:AB143)</f>
        <v>5390114.6100000013</v>
      </c>
      <c r="AC146" s="4">
        <f>AB146/AA146-1</f>
        <v>-2.2524347993698735E-3</v>
      </c>
    </row>
    <row r="147" spans="3:29">
      <c r="K147" s="4"/>
      <c r="U147" s="4"/>
    </row>
    <row r="148" spans="3:29">
      <c r="F148" s="25">
        <f>F146-C146</f>
        <v>-3899</v>
      </c>
      <c r="K148" s="4"/>
      <c r="N148" s="33" t="s">
        <v>704</v>
      </c>
      <c r="Q148" s="26">
        <f>N146/Q146</f>
        <v>0.19544444430893104</v>
      </c>
      <c r="U148" s="4"/>
      <c r="AA148" s="3" t="s">
        <v>705</v>
      </c>
      <c r="AB148" s="3" t="s">
        <v>705</v>
      </c>
    </row>
    <row r="149" spans="3:29">
      <c r="F149" s="4">
        <f>F146/C146-1</f>
        <v>-1.5429912422682213E-2</v>
      </c>
      <c r="K149" s="4"/>
      <c r="U149" s="4"/>
      <c r="AA149" s="32">
        <f>M146/AA146</f>
        <v>4.5862611156479785E-2</v>
      </c>
      <c r="AB149" s="32">
        <f>N146/AB146</f>
        <v>5.2622788293549855E-2</v>
      </c>
    </row>
    <row r="150" spans="3:29">
      <c r="K150" s="4"/>
      <c r="U150" s="4"/>
    </row>
    <row r="151" spans="3:29">
      <c r="K151" s="4"/>
    </row>
    <row r="152" spans="3:29">
      <c r="K152" s="4"/>
      <c r="U152" s="4"/>
    </row>
    <row r="153" spans="3:29">
      <c r="K153" s="4"/>
      <c r="U153" s="4"/>
    </row>
    <row r="154" spans="3:29">
      <c r="K154" s="4"/>
      <c r="U154" s="4"/>
    </row>
    <row r="155" spans="3:29">
      <c r="K155" s="4"/>
      <c r="U155" s="4"/>
    </row>
    <row r="156" spans="3:29">
      <c r="K156" s="4"/>
      <c r="U156" s="4"/>
    </row>
    <row r="157" spans="3:29">
      <c r="K157" s="4"/>
      <c r="U157" s="4"/>
    </row>
    <row r="158" spans="3:29">
      <c r="K158" s="4"/>
      <c r="U158" s="4"/>
    </row>
    <row r="159" spans="3:29">
      <c r="K159" s="4"/>
      <c r="U159" s="4"/>
    </row>
    <row r="160" spans="3:29">
      <c r="K160" s="4"/>
      <c r="U160" s="4"/>
    </row>
    <row r="161" spans="11:21">
      <c r="K161" s="4"/>
      <c r="U161" s="4"/>
    </row>
    <row r="162" spans="11:21">
      <c r="K162" s="4"/>
      <c r="U162" s="4"/>
    </row>
    <row r="163" spans="11:21">
      <c r="K163" s="4"/>
      <c r="U163" s="4"/>
    </row>
    <row r="164" spans="11:21">
      <c r="K164" s="4"/>
      <c r="U164" s="4"/>
    </row>
    <row r="165" spans="11:21">
      <c r="K165" s="4"/>
      <c r="U165" s="4"/>
    </row>
    <row r="166" spans="11:21">
      <c r="K166" s="4"/>
      <c r="U166" s="4"/>
    </row>
    <row r="167" spans="11:21">
      <c r="K167" s="4"/>
      <c r="U167" s="4"/>
    </row>
    <row r="168" spans="11:21">
      <c r="K168" s="4"/>
      <c r="U168" s="4"/>
    </row>
    <row r="169" spans="11:21">
      <c r="K169" s="4"/>
      <c r="U169" s="4"/>
    </row>
    <row r="170" spans="11:21">
      <c r="K170" s="4"/>
      <c r="U170" s="4"/>
    </row>
    <row r="171" spans="11:21">
      <c r="K171" s="4"/>
      <c r="U171" s="4"/>
    </row>
    <row r="172" spans="11:21">
      <c r="K172" s="4"/>
      <c r="U172" s="4"/>
    </row>
    <row r="173" spans="11:21">
      <c r="K173" s="4"/>
      <c r="U173" s="4"/>
    </row>
    <row r="174" spans="11:21">
      <c r="K174" s="4"/>
      <c r="U174" s="4"/>
    </row>
    <row r="175" spans="11:21">
      <c r="K175" s="4"/>
      <c r="U175" s="4"/>
    </row>
    <row r="176" spans="11:21">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4"/>
      <c r="U191" s="4"/>
    </row>
    <row r="192" spans="11:21">
      <c r="K192" s="4"/>
      <c r="U192" s="4"/>
    </row>
    <row r="193" spans="3:21">
      <c r="K193" s="6"/>
      <c r="M193" s="11"/>
      <c r="N193" s="11"/>
      <c r="T193" s="136"/>
      <c r="U193" s="6"/>
    </row>
    <row r="194" spans="3:21" ht="15" customHeight="1">
      <c r="K194" s="6"/>
      <c r="M194" s="11"/>
      <c r="N194" s="11"/>
      <c r="T194" s="136"/>
      <c r="U194" s="6"/>
    </row>
    <row r="195" spans="3:21" ht="15" customHeight="1">
      <c r="K195" s="6"/>
      <c r="M195" s="11"/>
      <c r="N195" s="11"/>
      <c r="T195" s="136"/>
      <c r="U195" s="6"/>
    </row>
    <row r="196" spans="3:21" ht="15" customHeight="1">
      <c r="K196" s="6"/>
      <c r="M196" s="11"/>
      <c r="N196" s="11"/>
      <c r="T196" s="136"/>
      <c r="U196" s="6"/>
    </row>
    <row r="197" spans="3:21" ht="15" customHeight="1">
      <c r="K197" s="6"/>
      <c r="M197" s="11"/>
      <c r="N197" s="11"/>
      <c r="T197" s="136"/>
      <c r="U197" s="6"/>
    </row>
    <row r="198" spans="3:21" ht="15" customHeight="1">
      <c r="K198" s="6"/>
      <c r="M198" s="11"/>
      <c r="N198" s="11"/>
      <c r="T198" s="136"/>
      <c r="U198" s="6"/>
    </row>
    <row r="199" spans="3:21" ht="15" customHeight="1">
      <c r="K199" s="6"/>
      <c r="M199" s="11"/>
      <c r="N199" s="11"/>
      <c r="T199" s="136"/>
      <c r="U199" s="6"/>
    </row>
    <row r="200" spans="3:21" ht="15" customHeight="1">
      <c r="K200" s="6"/>
      <c r="M200" s="11"/>
      <c r="N200" s="11"/>
      <c r="T200" s="136"/>
      <c r="U200" s="6"/>
    </row>
    <row r="201" spans="3:21" ht="15" customHeight="1">
      <c r="K201" s="6"/>
      <c r="M201" s="11"/>
      <c r="N201" s="11"/>
      <c r="T201" s="136"/>
      <c r="U201" s="6"/>
    </row>
    <row r="202" spans="3:21">
      <c r="M202" s="11"/>
      <c r="N202" s="11"/>
      <c r="T202" s="136"/>
    </row>
    <row r="203" spans="3:21" ht="15" customHeight="1">
      <c r="C203" s="8"/>
      <c r="F203" s="8"/>
      <c r="J203" s="8"/>
      <c r="M203" s="11"/>
      <c r="N203" s="11"/>
      <c r="T203" s="136"/>
    </row>
    <row r="204" spans="3:21">
      <c r="M204" s="11"/>
      <c r="N204" s="11"/>
      <c r="T204" s="136"/>
    </row>
    <row r="205" spans="3:21" ht="15" customHeight="1">
      <c r="M205" s="11"/>
      <c r="N205" s="11"/>
      <c r="T205" s="136"/>
    </row>
    <row r="206" spans="3:21" ht="15" customHeight="1">
      <c r="C206" s="9"/>
      <c r="F206" s="9"/>
      <c r="M206" s="7"/>
      <c r="N206" s="7"/>
    </row>
    <row r="208" spans="3:21" ht="15" customHeight="1">
      <c r="C208" s="8"/>
      <c r="F208" s="8"/>
    </row>
    <row r="211" spans="3:14" ht="15" customHeight="1">
      <c r="C211" s="9"/>
      <c r="F211" s="9"/>
      <c r="M211" s="7"/>
      <c r="N211" s="7"/>
    </row>
  </sheetData>
  <autoFilter ref="A2:AN2" xr:uid="{97EDC353-A3BB-4027-BC75-3196C26C68C7}"/>
  <mergeCells count="7">
    <mergeCell ref="AA1:AB1"/>
    <mergeCell ref="W1:Z1"/>
    <mergeCell ref="B1:C1"/>
    <mergeCell ref="E1:F1"/>
    <mergeCell ref="J1:K1"/>
    <mergeCell ref="T1:U1"/>
    <mergeCell ref="M1:N1"/>
  </mergeCells>
  <phoneticPr fontId="3" type="noConversion"/>
  <conditionalFormatting sqref="D85 H85:I85 L85 O85:P85 R85">
    <cfRule type="cellIs" dxfId="29" priority="15" operator="greaterThan">
      <formula>500</formula>
    </cfRule>
    <cfRule type="cellIs" dxfId="28" priority="21" operator="lessThan">
      <formula>-100</formula>
    </cfRule>
  </conditionalFormatting>
  <conditionalFormatting sqref="J2:J202">
    <cfRule type="cellIs" dxfId="27" priority="1" operator="greaterThan">
      <formula>500</formula>
    </cfRule>
  </conditionalFormatting>
  <conditionalFormatting sqref="J3:J201">
    <cfRule type="cellIs" dxfId="26" priority="2" operator="lessThan">
      <formula>-100</formula>
    </cfRule>
  </conditionalFormatting>
  <conditionalFormatting sqref="J204:J1048576">
    <cfRule type="cellIs" dxfId="25" priority="19" operator="greaterThan">
      <formula>500</formula>
    </cfRule>
  </conditionalFormatting>
  <conditionalFormatting sqref="K2">
    <cfRule type="cellIs" dxfId="24" priority="20" operator="lessThan">
      <formula>-20%</formula>
    </cfRule>
  </conditionalFormatting>
  <conditionalFormatting sqref="K3:K201">
    <cfRule type="cellIs" dxfId="23" priority="5" operator="greaterThan">
      <formula>0.2</formula>
    </cfRule>
  </conditionalFormatting>
  <conditionalFormatting sqref="K3:K1048576">
    <cfRule type="cellIs" dxfId="22" priority="3" operator="lessThan">
      <formula>-0.2</formula>
    </cfRule>
  </conditionalFormatting>
  <conditionalFormatting sqref="U3:U139 U146:U150 U152:U201">
    <cfRule type="cellIs" dxfId="21" priority="12" operator="greaterThan">
      <formula>0.5</formula>
    </cfRule>
  </conditionalFormatting>
  <conditionalFormatting sqref="AC3:AC143">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46">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D198"/>
  <sheetViews>
    <sheetView zoomScaleNormal="100" workbookViewId="0">
      <pane xSplit="2" ySplit="2" topLeftCell="Q3" activePane="bottomRight" state="frozen"/>
      <selection pane="bottomRight" activeCell="Q133" sqref="Q133"/>
      <selection pane="bottomLeft" activeCell="O135" sqref="O135"/>
      <selection pane="topRight" activeCell="O135" sqref="O135"/>
    </sheetView>
  </sheetViews>
  <sheetFormatPr defaultRowHeight="15" customHeight="1"/>
  <cols>
    <col min="1" max="1" width="63.85546875" customWidth="1"/>
    <col min="2" max="2" width="14.5703125" customWidth="1"/>
    <col min="3" max="3" width="18.85546875" customWidth="1"/>
    <col min="4" max="4" width="1" customWidth="1"/>
    <col min="5" max="5" width="13" customWidth="1"/>
    <col min="6" max="6" width="18"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8" width="1" customWidth="1"/>
    <col min="19" max="19" width="13.7109375" customWidth="1"/>
    <col min="20" max="20" width="10.7109375" style="132" bestFit="1" customWidth="1"/>
    <col min="22" max="23" width="0.85546875" customWidth="1"/>
    <col min="24" max="24" width="19.140625" hidden="1" customWidth="1"/>
    <col min="25" max="26" width="7" hidden="1" customWidth="1"/>
    <col min="27" max="27" width="7" style="16" hidden="1" customWidth="1"/>
    <col min="28" max="29" width="13.28515625" customWidth="1"/>
    <col min="30" max="30" width="8.28515625" customWidth="1"/>
  </cols>
  <sheetData>
    <row r="1" spans="1:30">
      <c r="B1" s="188">
        <v>45839</v>
      </c>
      <c r="C1" s="187"/>
      <c r="E1" s="188">
        <v>45870</v>
      </c>
      <c r="F1" s="187"/>
      <c r="J1" s="189"/>
      <c r="K1" s="189"/>
      <c r="L1" s="1"/>
      <c r="N1" s="190" t="s">
        <v>0</v>
      </c>
      <c r="O1" s="190"/>
      <c r="Q1" s="10" t="s">
        <v>1</v>
      </c>
      <c r="R1" s="1"/>
      <c r="T1" s="187" t="s">
        <v>2</v>
      </c>
      <c r="U1" s="187"/>
      <c r="X1" s="189" t="s">
        <v>706</v>
      </c>
      <c r="Y1" s="189"/>
      <c r="Z1" s="189"/>
      <c r="AA1" s="189"/>
      <c r="AB1" s="187" t="s">
        <v>3</v>
      </c>
      <c r="AC1" s="187"/>
    </row>
    <row r="2" spans="1:30">
      <c r="A2" s="3" t="s">
        <v>4</v>
      </c>
      <c r="B2" s="3" t="s">
        <v>5</v>
      </c>
      <c r="C2" s="3" t="s">
        <v>6</v>
      </c>
      <c r="E2" s="3" t="s">
        <v>5</v>
      </c>
      <c r="F2" s="3" t="s">
        <v>6</v>
      </c>
      <c r="G2" t="s">
        <v>7</v>
      </c>
      <c r="J2" t="s">
        <v>8</v>
      </c>
      <c r="K2" t="s">
        <v>9</v>
      </c>
      <c r="N2" t="s">
        <v>10</v>
      </c>
      <c r="O2" t="s">
        <v>11</v>
      </c>
      <c r="Q2" s="5" t="s">
        <v>12</v>
      </c>
      <c r="S2" t="s">
        <v>1025</v>
      </c>
      <c r="T2" s="132" t="s">
        <v>14</v>
      </c>
      <c r="U2" t="s">
        <v>9</v>
      </c>
      <c r="X2" t="s">
        <v>16</v>
      </c>
      <c r="Y2" t="s">
        <v>707</v>
      </c>
      <c r="Z2" t="s">
        <v>1026</v>
      </c>
      <c r="AB2" t="s">
        <v>10</v>
      </c>
      <c r="AC2" t="s">
        <v>11</v>
      </c>
      <c r="AD2" t="s">
        <v>9</v>
      </c>
    </row>
    <row r="3" spans="1:30" ht="13.9" customHeight="1">
      <c r="A3" t="s">
        <v>1027</v>
      </c>
      <c r="B3" t="s">
        <v>1028</v>
      </c>
      <c r="C3">
        <v>8847</v>
      </c>
      <c r="E3" t="s">
        <v>1028</v>
      </c>
      <c r="F3">
        <v>3360</v>
      </c>
      <c r="G3" t="b">
        <f>IF(B3=E3,TRUE,FALSE)</f>
        <v>1</v>
      </c>
      <c r="J3">
        <f>F3-C3</f>
        <v>-5487</v>
      </c>
      <c r="K3" s="4">
        <f>F3/C3-1</f>
        <v>-0.62021024075957953</v>
      </c>
      <c r="L3" s="4"/>
      <c r="N3" s="5">
        <v>4454.97</v>
      </c>
      <c r="O3" s="5">
        <v>2663.02</v>
      </c>
      <c r="Q3" s="5">
        <v>10212.85</v>
      </c>
      <c r="S3" s="173">
        <f>O3/F3</f>
        <v>0.79256547619047624</v>
      </c>
      <c r="T3" s="132">
        <f>O3-N3</f>
        <v>-1791.9500000000003</v>
      </c>
      <c r="U3" s="4">
        <f>IF(N3=0,0,O3/N3-1)</f>
        <v>-0.40223615422775016</v>
      </c>
      <c r="AB3" s="18">
        <v>88351.56</v>
      </c>
      <c r="AC3" s="18">
        <v>33566.400000000001</v>
      </c>
      <c r="AD3" s="4">
        <f>AC3/AB3-1</f>
        <v>-0.6200814111261872</v>
      </c>
    </row>
    <row r="4" spans="1:30" ht="13.9" customHeight="1">
      <c r="A4" t="s">
        <v>1029</v>
      </c>
      <c r="B4" t="s">
        <v>1030</v>
      </c>
      <c r="C4">
        <v>2864</v>
      </c>
      <c r="E4" t="s">
        <v>1030</v>
      </c>
      <c r="F4">
        <v>1116</v>
      </c>
      <c r="G4" t="b">
        <f>IF(B4=E4,TRUE,FALSE)</f>
        <v>1</v>
      </c>
      <c r="J4">
        <f>F4-C4</f>
        <v>-1748</v>
      </c>
      <c r="K4" s="4">
        <f>F4/C4-1</f>
        <v>-0.61033519553072624</v>
      </c>
      <c r="L4" s="4"/>
      <c r="N4" s="5">
        <v>2169.4699999999998</v>
      </c>
      <c r="O4" s="5">
        <v>1016.79</v>
      </c>
      <c r="Q4" s="5">
        <v>4277.21</v>
      </c>
      <c r="S4" s="173">
        <f>O4/F4</f>
        <v>0.91110215053763433</v>
      </c>
      <c r="T4" s="132">
        <f>O4-N4</f>
        <v>-1152.6799999999998</v>
      </c>
      <c r="U4" s="4">
        <f>IF(N4=0,0,O4/N4-1)</f>
        <v>-0.53131870917781754</v>
      </c>
      <c r="AB4" s="18">
        <v>53214.429999999993</v>
      </c>
      <c r="AC4" s="18">
        <v>22263</v>
      </c>
      <c r="AD4" s="4">
        <f>AC4/AB4-1</f>
        <v>-0.58163603368484829</v>
      </c>
    </row>
    <row r="5" spans="1:30" ht="13.9" customHeight="1">
      <c r="A5" t="s">
        <v>1031</v>
      </c>
      <c r="B5" t="s">
        <v>1032</v>
      </c>
      <c r="C5">
        <v>2342</v>
      </c>
      <c r="E5" t="s">
        <v>1032</v>
      </c>
      <c r="F5">
        <v>1653</v>
      </c>
      <c r="G5" t="b">
        <f>IF(B5=E5,TRUE,FALSE)</f>
        <v>1</v>
      </c>
      <c r="J5">
        <f>F5-C5</f>
        <v>-689</v>
      </c>
      <c r="K5" s="4">
        <f>F5/C5-1</f>
        <v>-0.29419299743808713</v>
      </c>
      <c r="L5" s="4"/>
      <c r="N5" s="5">
        <v>1381.42</v>
      </c>
      <c r="O5" s="5">
        <v>1258</v>
      </c>
      <c r="Q5" s="5">
        <v>7032.93</v>
      </c>
      <c r="S5" s="173">
        <f t="shared" ref="S5:S68" si="0">O5/F5</f>
        <v>0.76104053236539626</v>
      </c>
      <c r="T5" s="132">
        <f>O5-N5</f>
        <v>-123.42000000000007</v>
      </c>
      <c r="U5" s="4">
        <f>IF(N5=0,0,O5/N5-1)</f>
        <v>-8.9342850110755601E-2</v>
      </c>
      <c r="AB5" s="18">
        <v>53811.16</v>
      </c>
      <c r="AC5" s="18">
        <v>41233.35</v>
      </c>
      <c r="AD5" s="4">
        <f>AC5/AB5-1</f>
        <v>-0.23373980415958329</v>
      </c>
    </row>
    <row r="6" spans="1:30" ht="13.9" customHeight="1">
      <c r="A6" t="s">
        <v>1033</v>
      </c>
      <c r="B6" t="s">
        <v>1034</v>
      </c>
      <c r="C6">
        <v>4103</v>
      </c>
      <c r="E6" t="s">
        <v>1034</v>
      </c>
      <c r="F6">
        <v>3499</v>
      </c>
      <c r="G6" t="b">
        <f>IF(B6=E6,TRUE,FALSE)</f>
        <v>1</v>
      </c>
      <c r="J6">
        <f>F6-C6</f>
        <v>-604</v>
      </c>
      <c r="K6" s="4">
        <f>F6/C6-1</f>
        <v>-0.14720935900560561</v>
      </c>
      <c r="L6" s="4"/>
      <c r="N6" s="5">
        <v>4157.49</v>
      </c>
      <c r="O6" s="5">
        <v>4747.45</v>
      </c>
      <c r="Q6" s="5">
        <v>21557.74</v>
      </c>
      <c r="S6" s="173">
        <f t="shared" si="0"/>
        <v>1.3568019434124035</v>
      </c>
      <c r="T6" s="132">
        <f>O6-N6</f>
        <v>589.96</v>
      </c>
      <c r="U6" s="4">
        <f>IF(N6=0,0,O6/N6-1)</f>
        <v>0.14190292700643892</v>
      </c>
      <c r="Y6" t="s">
        <v>1035</v>
      </c>
      <c r="AB6" s="18">
        <v>73153.06</v>
      </c>
      <c r="AC6" s="18">
        <v>66435.12</v>
      </c>
      <c r="AD6" s="4">
        <f>AC6/AB6-1</f>
        <v>-9.1834025808353092E-2</v>
      </c>
    </row>
    <row r="7" spans="1:30" ht="13.9" customHeight="1">
      <c r="A7" s="56" t="s">
        <v>1036</v>
      </c>
      <c r="B7" s="37" t="s">
        <v>1037</v>
      </c>
      <c r="C7">
        <v>1798</v>
      </c>
      <c r="E7" s="37" t="s">
        <v>1037</v>
      </c>
      <c r="F7">
        <v>1241</v>
      </c>
      <c r="G7" t="b">
        <f>IF(B7=E7,TRUE,FALSE)</f>
        <v>1</v>
      </c>
      <c r="J7">
        <f>F7-C7</f>
        <v>-557</v>
      </c>
      <c r="K7" s="4">
        <f>F7/C7-1</f>
        <v>-0.30978865406006673</v>
      </c>
      <c r="L7" s="4"/>
      <c r="N7" s="5">
        <v>3894.13</v>
      </c>
      <c r="O7" s="5">
        <v>3770.68</v>
      </c>
      <c r="Q7" s="5">
        <v>14979.71</v>
      </c>
      <c r="S7" s="173">
        <f t="shared" si="0"/>
        <v>3.0384206285253827</v>
      </c>
      <c r="T7" s="132">
        <f>O7-N7</f>
        <v>-123.45000000000027</v>
      </c>
      <c r="U7" s="4">
        <f>IF(N8=0,0,O7/N8-1)</f>
        <v>-3.6755088694514826E-2</v>
      </c>
      <c r="AB7" s="18">
        <v>36980.53</v>
      </c>
      <c r="AC7" s="18">
        <v>27286.29</v>
      </c>
      <c r="AD7" s="4">
        <f>AC7/AB7-1</f>
        <v>-0.26214443113714159</v>
      </c>
    </row>
    <row r="8" spans="1:30" ht="13.9" customHeight="1">
      <c r="A8" t="s">
        <v>1038</v>
      </c>
      <c r="B8" t="s">
        <v>1039</v>
      </c>
      <c r="C8">
        <v>2626</v>
      </c>
      <c r="E8" t="s">
        <v>1039</v>
      </c>
      <c r="F8">
        <v>2094</v>
      </c>
      <c r="G8" t="b">
        <f>IF(B8=E8,TRUE,FALSE)</f>
        <v>1</v>
      </c>
      <c r="J8">
        <f>F8-C8</f>
        <v>-532</v>
      </c>
      <c r="K8" s="4">
        <f>F8/C8-1</f>
        <v>-0.20258948971820256</v>
      </c>
      <c r="L8" s="6"/>
      <c r="N8" s="5">
        <v>3914.56</v>
      </c>
      <c r="O8" s="5">
        <v>3672.39</v>
      </c>
      <c r="Q8" s="5">
        <v>16218.77</v>
      </c>
      <c r="S8" s="173">
        <f t="shared" si="0"/>
        <v>1.7537679083094555</v>
      </c>
      <c r="T8" s="132">
        <f>O8-N8</f>
        <v>-242.17000000000007</v>
      </c>
      <c r="U8" s="4">
        <f>IF(N8=0,0,O8/N8-1)</f>
        <v>-6.1863913185645436E-2</v>
      </c>
      <c r="AB8" s="18">
        <v>66112.399999999994</v>
      </c>
      <c r="AC8" s="18">
        <v>56508.69</v>
      </c>
      <c r="AD8" s="4">
        <f>AC8/AB8-1</f>
        <v>-0.14526336965531417</v>
      </c>
    </row>
    <row r="9" spans="1:30" ht="13.9" customHeight="1">
      <c r="A9" t="s">
        <v>1040</v>
      </c>
      <c r="B9" t="s">
        <v>1041</v>
      </c>
      <c r="C9">
        <v>1754</v>
      </c>
      <c r="E9" t="s">
        <v>1041</v>
      </c>
      <c r="F9">
        <v>1245</v>
      </c>
      <c r="G9" t="b">
        <f>IF(B9=E9,TRUE,FALSE)</f>
        <v>1</v>
      </c>
      <c r="J9">
        <f>F9-C9</f>
        <v>-509</v>
      </c>
      <c r="K9" s="4">
        <f>F9/C9-1</f>
        <v>-0.29019384264538195</v>
      </c>
      <c r="L9" s="4"/>
      <c r="N9" s="5">
        <v>1612.16</v>
      </c>
      <c r="O9" s="5">
        <v>1258.04</v>
      </c>
      <c r="Q9" s="5">
        <v>6679.25</v>
      </c>
      <c r="S9" s="173">
        <f t="shared" si="0"/>
        <v>1.0104738955823294</v>
      </c>
      <c r="T9" s="132">
        <f>O9-N9</f>
        <v>-354.12000000000012</v>
      </c>
      <c r="U9" s="4">
        <f>IF(N9=0,0,O9/N9-1)</f>
        <v>-0.21965561730845584</v>
      </c>
      <c r="X9" t="s">
        <v>1042</v>
      </c>
      <c r="AB9" s="18">
        <v>38989.879999999997</v>
      </c>
      <c r="AC9" s="18">
        <v>29815.59</v>
      </c>
      <c r="AD9" s="4">
        <f>AC9/AB9-1</f>
        <v>-0.235299262270107</v>
      </c>
    </row>
    <row r="10" spans="1:30" ht="13.9" customHeight="1">
      <c r="A10" t="s">
        <v>1043</v>
      </c>
      <c r="B10" t="s">
        <v>1044</v>
      </c>
      <c r="C10">
        <v>1930</v>
      </c>
      <c r="E10" t="s">
        <v>1044</v>
      </c>
      <c r="F10">
        <v>1434</v>
      </c>
      <c r="G10" t="b">
        <f>IF(B10=E10,TRUE,FALSE)</f>
        <v>1</v>
      </c>
      <c r="J10">
        <f>F10-C10</f>
        <v>-496</v>
      </c>
      <c r="K10" s="4">
        <f>F10/C10-1</f>
        <v>-0.25699481865284979</v>
      </c>
      <c r="L10" s="4"/>
      <c r="N10" s="5">
        <v>2756.2</v>
      </c>
      <c r="O10" s="5">
        <v>2341.8200000000002</v>
      </c>
      <c r="Q10" s="5">
        <v>12043</v>
      </c>
      <c r="S10" s="173">
        <f t="shared" si="0"/>
        <v>1.6330683403068342</v>
      </c>
      <c r="T10" s="132">
        <f>O10-N10</f>
        <v>-414.37999999999965</v>
      </c>
      <c r="U10" s="4">
        <f>IF(N10=0,0,O10/N10-1)</f>
        <v>-0.15034467745446622</v>
      </c>
      <c r="AB10" s="18">
        <v>45759.7</v>
      </c>
      <c r="AC10" s="18">
        <v>35749.19</v>
      </c>
      <c r="AD10" s="4">
        <f>AC10/AB10-1</f>
        <v>-0.21876257930012644</v>
      </c>
    </row>
    <row r="11" spans="1:30" ht="13.9" customHeight="1">
      <c r="A11" t="s">
        <v>1045</v>
      </c>
      <c r="B11" t="s">
        <v>1046</v>
      </c>
      <c r="C11">
        <v>3035</v>
      </c>
      <c r="E11" t="s">
        <v>1046</v>
      </c>
      <c r="F11">
        <v>2544</v>
      </c>
      <c r="G11" t="b">
        <f>IF(B11=E11,TRUE,FALSE)</f>
        <v>1</v>
      </c>
      <c r="J11">
        <f>F11-C11</f>
        <v>-491</v>
      </c>
      <c r="K11" s="4">
        <f>F11/C11-1</f>
        <v>-0.16177924217462936</v>
      </c>
      <c r="L11" s="6"/>
      <c r="N11" s="5">
        <v>2737.42</v>
      </c>
      <c r="O11" s="5">
        <v>2374.85</v>
      </c>
      <c r="Q11" s="5">
        <v>10290.32</v>
      </c>
      <c r="S11" s="173">
        <f t="shared" si="0"/>
        <v>0.93351022012578611</v>
      </c>
      <c r="T11" s="132">
        <f>O11-N11</f>
        <v>-362.57000000000016</v>
      </c>
      <c r="U11" s="4">
        <f>IF(N11=0,0,O11/N11-1)</f>
        <v>-0.13244953277173399</v>
      </c>
      <c r="AB11" s="18">
        <v>71136.44</v>
      </c>
      <c r="AC11" s="18">
        <v>63467.3</v>
      </c>
      <c r="AD11" s="4">
        <f>AC11/AB11-1</f>
        <v>-0.10780888107417241</v>
      </c>
    </row>
    <row r="12" spans="1:30" ht="13.9" customHeight="1">
      <c r="A12" t="s">
        <v>1047</v>
      </c>
      <c r="B12" t="s">
        <v>1048</v>
      </c>
      <c r="C12">
        <v>3510</v>
      </c>
      <c r="E12" t="s">
        <v>1048</v>
      </c>
      <c r="F12">
        <v>3031</v>
      </c>
      <c r="G12" t="b">
        <f>IF(B12=E12,TRUE,FALSE)</f>
        <v>1</v>
      </c>
      <c r="J12">
        <f>F12-C12</f>
        <v>-479</v>
      </c>
      <c r="K12" s="4">
        <f>F12/C12-1</f>
        <v>-0.13646723646723646</v>
      </c>
      <c r="L12" s="4"/>
      <c r="N12" s="5">
        <v>5557.94</v>
      </c>
      <c r="O12" s="5">
        <v>5686.76</v>
      </c>
      <c r="Q12" s="5">
        <v>24650.76</v>
      </c>
      <c r="S12" s="173">
        <f t="shared" si="0"/>
        <v>1.8761992741669418</v>
      </c>
      <c r="T12" s="132">
        <f>O12-N12</f>
        <v>128.82000000000062</v>
      </c>
      <c r="U12" s="4">
        <f>IF(N12=0,0,O12/N12-1)</f>
        <v>2.3177652151696648E-2</v>
      </c>
      <c r="AB12" s="18">
        <v>83392.899999999994</v>
      </c>
      <c r="AC12" s="18">
        <v>75732.69</v>
      </c>
      <c r="AD12" s="4">
        <f>AC12/AB12-1</f>
        <v>-9.1856860715960109E-2</v>
      </c>
    </row>
    <row r="13" spans="1:30" ht="13.9" customHeight="1">
      <c r="A13" t="s">
        <v>1049</v>
      </c>
      <c r="B13" t="s">
        <v>1050</v>
      </c>
      <c r="C13">
        <v>2920</v>
      </c>
      <c r="E13" t="s">
        <v>1050</v>
      </c>
      <c r="F13">
        <v>2454</v>
      </c>
      <c r="G13" t="b">
        <f>IF(B13=E13,TRUE,FALSE)</f>
        <v>1</v>
      </c>
      <c r="J13">
        <f>F13-C13</f>
        <v>-466</v>
      </c>
      <c r="K13" s="4">
        <f>F13/C13-1</f>
        <v>-0.15958904109589045</v>
      </c>
      <c r="L13" s="4"/>
      <c r="N13" s="5">
        <v>952.87</v>
      </c>
      <c r="O13" s="5">
        <v>1646.05</v>
      </c>
      <c r="Q13" s="5">
        <v>8273.9500000000007</v>
      </c>
      <c r="S13" s="173">
        <f t="shared" si="0"/>
        <v>0.67076202118989403</v>
      </c>
      <c r="T13" s="132">
        <f>O13-N13</f>
        <v>693.18</v>
      </c>
      <c r="U13" s="4">
        <f>IF(N13=0,0,O13/N13-1)</f>
        <v>0.72746544649322575</v>
      </c>
      <c r="AB13" s="18">
        <v>54502.6</v>
      </c>
      <c r="AC13" s="18">
        <v>48950.7</v>
      </c>
      <c r="AD13" s="4">
        <f>AC13/AB13-1</f>
        <v>-0.1018648651623959</v>
      </c>
    </row>
    <row r="14" spans="1:30" ht="13.9" customHeight="1">
      <c r="A14" s="55" t="s">
        <v>1051</v>
      </c>
      <c r="B14" s="37" t="s">
        <v>1052</v>
      </c>
      <c r="C14">
        <v>1444</v>
      </c>
      <c r="E14" s="37" t="s">
        <v>1052</v>
      </c>
      <c r="F14">
        <v>983</v>
      </c>
      <c r="G14" t="b">
        <f>IF(B14=E14,TRUE,FALSE)</f>
        <v>1</v>
      </c>
      <c r="J14">
        <f>F14-C14</f>
        <v>-461</v>
      </c>
      <c r="K14" s="4">
        <f>F14/C14-1</f>
        <v>-0.31925207756232687</v>
      </c>
      <c r="L14" s="4"/>
      <c r="N14" s="5">
        <v>3018.27</v>
      </c>
      <c r="O14" s="5">
        <v>3051</v>
      </c>
      <c r="Q14" s="5">
        <v>11208.45</v>
      </c>
      <c r="S14" s="173">
        <f t="shared" si="0"/>
        <v>3.1037639877924721</v>
      </c>
      <c r="T14" s="132">
        <f>O14-N14</f>
        <v>32.730000000000018</v>
      </c>
      <c r="U14" s="4">
        <f>IF(N14=0,0,O14/N14-1)</f>
        <v>1.084396028188328E-2</v>
      </c>
      <c r="AB14" s="18">
        <v>23513.200000000001</v>
      </c>
      <c r="AC14" s="18">
        <v>17877.27</v>
      </c>
      <c r="AD14" s="4">
        <f>AC14/AB14-1</f>
        <v>-0.23969217290713307</v>
      </c>
    </row>
    <row r="15" spans="1:30" ht="13.9" customHeight="1">
      <c r="A15" t="s">
        <v>1053</v>
      </c>
      <c r="B15" t="s">
        <v>1054</v>
      </c>
      <c r="C15">
        <v>1816</v>
      </c>
      <c r="E15" t="s">
        <v>1054</v>
      </c>
      <c r="F15">
        <v>1388</v>
      </c>
      <c r="G15" t="b">
        <f>IF(B15=E15,TRUE,FALSE)</f>
        <v>1</v>
      </c>
      <c r="J15">
        <f>F15-C15</f>
        <v>-428</v>
      </c>
      <c r="K15" s="4">
        <f>F15/C15-1</f>
        <v>-0.23568281938325997</v>
      </c>
      <c r="L15" s="4"/>
      <c r="N15" s="5">
        <v>3067.42</v>
      </c>
      <c r="O15" s="5">
        <v>2463.38</v>
      </c>
      <c r="Q15" s="5">
        <v>9486.65</v>
      </c>
      <c r="S15" s="173">
        <f t="shared" si="0"/>
        <v>1.7747694524495679</v>
      </c>
      <c r="T15" s="132">
        <f>O15-N15</f>
        <v>-604.04</v>
      </c>
      <c r="U15" s="4">
        <f>IF(N15=0,0,O15/N15-1)</f>
        <v>-0.19692119109870831</v>
      </c>
      <c r="AB15" s="18">
        <v>37811.72</v>
      </c>
      <c r="AC15" s="18">
        <v>30518.16</v>
      </c>
      <c r="AD15" s="4">
        <f>AC15/AB15-1</f>
        <v>-0.19289151617540812</v>
      </c>
    </row>
    <row r="16" spans="1:30" ht="13.9" customHeight="1">
      <c r="A16" t="s">
        <v>1055</v>
      </c>
      <c r="B16" t="s">
        <v>1056</v>
      </c>
      <c r="C16">
        <v>1437</v>
      </c>
      <c r="E16" t="s">
        <v>1056</v>
      </c>
      <c r="F16">
        <v>1059</v>
      </c>
      <c r="G16" t="b">
        <f>IF(B16=E16,TRUE,FALSE)</f>
        <v>1</v>
      </c>
      <c r="J16">
        <f>F16-C16</f>
        <v>-378</v>
      </c>
      <c r="K16" s="4">
        <f>F16/C16-1</f>
        <v>-0.26304801670146138</v>
      </c>
      <c r="L16" s="4"/>
      <c r="N16" s="5">
        <v>1968.36</v>
      </c>
      <c r="O16" s="5">
        <v>1653.37</v>
      </c>
      <c r="Q16" s="5">
        <v>7001.71</v>
      </c>
      <c r="S16" s="173">
        <f t="shared" si="0"/>
        <v>1.5612559017941454</v>
      </c>
      <c r="T16" s="132">
        <f>O16-N16</f>
        <v>-314.99</v>
      </c>
      <c r="U16" s="4">
        <f>IF(N16=0,0,O16/N16-1)</f>
        <v>-0.16002662114653821</v>
      </c>
      <c r="AB16" s="18">
        <v>27000.33</v>
      </c>
      <c r="AC16" s="18">
        <v>21123.65</v>
      </c>
      <c r="AD16" s="4">
        <f>AC16/AB16-1</f>
        <v>-0.21765215462181386</v>
      </c>
    </row>
    <row r="17" spans="1:30" ht="13.9" customHeight="1">
      <c r="A17" t="s">
        <v>1057</v>
      </c>
      <c r="B17" t="s">
        <v>1058</v>
      </c>
      <c r="C17">
        <v>1444</v>
      </c>
      <c r="E17" t="s">
        <v>1058</v>
      </c>
      <c r="F17">
        <v>1066</v>
      </c>
      <c r="G17" t="b">
        <f>IF(B17=E17,TRUE,FALSE)</f>
        <v>1</v>
      </c>
      <c r="J17">
        <f>F17-C17</f>
        <v>-378</v>
      </c>
      <c r="K17" s="4">
        <f>F17/C17-1</f>
        <v>-0.26177285318559562</v>
      </c>
      <c r="L17" s="4"/>
      <c r="N17" s="5">
        <v>2596.63</v>
      </c>
      <c r="O17" s="5">
        <v>1545.48</v>
      </c>
      <c r="Q17" s="5">
        <v>11111.78</v>
      </c>
      <c r="S17" s="173">
        <f t="shared" si="0"/>
        <v>1.4497936210131332</v>
      </c>
      <c r="T17" s="132">
        <f>O17-N17</f>
        <v>-1051.1500000000001</v>
      </c>
      <c r="U17" s="4">
        <f>IF(N17=0,0,O17/N17-1)</f>
        <v>-0.40481316167494019</v>
      </c>
      <c r="AB17" s="18">
        <v>51976.71</v>
      </c>
      <c r="AC17" s="18">
        <v>39858.53</v>
      </c>
      <c r="AD17" s="4">
        <f>AC17/AB17-1</f>
        <v>-0.23314634573831239</v>
      </c>
    </row>
    <row r="18" spans="1:30" ht="13.9" customHeight="1">
      <c r="A18" t="s">
        <v>1059</v>
      </c>
      <c r="B18" t="s">
        <v>1060</v>
      </c>
      <c r="C18">
        <v>2453</v>
      </c>
      <c r="E18" t="s">
        <v>1060</v>
      </c>
      <c r="F18">
        <v>2110</v>
      </c>
      <c r="G18" t="b">
        <f>IF(B18=E18,TRUE,FALSE)</f>
        <v>1</v>
      </c>
      <c r="J18">
        <f>F18-C18</f>
        <v>-343</v>
      </c>
      <c r="K18" s="4">
        <f>F18/C18-1</f>
        <v>-0.13982878108438646</v>
      </c>
      <c r="L18" s="4"/>
      <c r="N18" s="5">
        <v>961.39</v>
      </c>
      <c r="O18" s="5">
        <v>1087.69</v>
      </c>
      <c r="Q18" s="5">
        <v>6208.84</v>
      </c>
      <c r="S18" s="173">
        <f t="shared" si="0"/>
        <v>0.51549289099526074</v>
      </c>
      <c r="T18" s="132">
        <f>O18-N18</f>
        <v>126.30000000000007</v>
      </c>
      <c r="U18" s="4">
        <f>IF(N18=0,0,O18/N18-1)</f>
        <v>0.13137228388063127</v>
      </c>
      <c r="AB18" s="18">
        <v>46693.57</v>
      </c>
      <c r="AC18" s="18">
        <v>42086.3</v>
      </c>
      <c r="AD18" s="4">
        <f>AC18/AB18-1</f>
        <v>-9.8670330839984999E-2</v>
      </c>
    </row>
    <row r="19" spans="1:30" ht="13.9" customHeight="1">
      <c r="A19" s="55" t="s">
        <v>1061</v>
      </c>
      <c r="B19" s="37" t="s">
        <v>1062</v>
      </c>
      <c r="C19">
        <v>1612</v>
      </c>
      <c r="E19" s="37" t="s">
        <v>1062</v>
      </c>
      <c r="F19">
        <v>1277</v>
      </c>
      <c r="G19" t="b">
        <f>IF(B19=E19,TRUE,FALSE)</f>
        <v>1</v>
      </c>
      <c r="J19">
        <f>F19-C19</f>
        <v>-335</v>
      </c>
      <c r="K19" s="4">
        <f>F19/C19-1</f>
        <v>-0.20781637717121593</v>
      </c>
      <c r="L19" s="4"/>
      <c r="N19" s="5">
        <v>2138.73</v>
      </c>
      <c r="O19" s="5">
        <v>2143.2199999999998</v>
      </c>
      <c r="Q19" s="5">
        <v>8680.4500000000007</v>
      </c>
      <c r="S19" s="173">
        <f t="shared" si="0"/>
        <v>1.6783241973375096</v>
      </c>
      <c r="T19" s="132">
        <f>O19-N19</f>
        <v>4.4899999999997817</v>
      </c>
      <c r="U19" s="4">
        <f>IF(N20=0,0,O19/N20-1)</f>
        <v>2.3063667638573913</v>
      </c>
      <c r="AB19" s="18">
        <v>32915.879999999997</v>
      </c>
      <c r="AC19" s="18">
        <v>28079.25</v>
      </c>
      <c r="AD19" s="4">
        <f>AC19/AB19-1</f>
        <v>-0.14693910659535758</v>
      </c>
    </row>
    <row r="20" spans="1:30" ht="13.9" customHeight="1">
      <c r="A20" t="s">
        <v>1063</v>
      </c>
      <c r="B20" t="s">
        <v>1064</v>
      </c>
      <c r="C20">
        <v>1152</v>
      </c>
      <c r="E20" t="s">
        <v>1064</v>
      </c>
      <c r="F20">
        <v>837</v>
      </c>
      <c r="G20" t="b">
        <f>IF(B20=E20,TRUE,FALSE)</f>
        <v>1</v>
      </c>
      <c r="J20">
        <f>F20-C20</f>
        <v>-315</v>
      </c>
      <c r="K20" s="4">
        <f>F20/C20-1</f>
        <v>-0.2734375</v>
      </c>
      <c r="L20" s="6"/>
      <c r="N20" s="5">
        <v>648.21</v>
      </c>
      <c r="O20" s="5">
        <v>692.61</v>
      </c>
      <c r="Q20" s="5">
        <v>4694.51</v>
      </c>
      <c r="S20" s="173">
        <f t="shared" si="0"/>
        <v>0.82749103942652336</v>
      </c>
      <c r="T20" s="132">
        <f>O20-N20</f>
        <v>44.399999999999977</v>
      </c>
      <c r="U20" s="4">
        <f>IF(N20=0,0,O20/N20-1)</f>
        <v>6.8496320636830532E-2</v>
      </c>
      <c r="X20" t="s">
        <v>1065</v>
      </c>
      <c r="AB20" s="18">
        <v>31679.88</v>
      </c>
      <c r="AC20" s="18">
        <v>25096.23</v>
      </c>
      <c r="AD20" s="4">
        <f>AC20/AB20-1</f>
        <v>-0.20781802203796229</v>
      </c>
    </row>
    <row r="21" spans="1:30" ht="13.9" customHeight="1">
      <c r="A21" t="s">
        <v>1066</v>
      </c>
      <c r="B21" t="s">
        <v>1067</v>
      </c>
      <c r="C21">
        <v>2299</v>
      </c>
      <c r="E21" t="s">
        <v>1067</v>
      </c>
      <c r="F21">
        <v>1993</v>
      </c>
      <c r="G21" t="b">
        <f>IF(B21=E21,TRUE,FALSE)</f>
        <v>1</v>
      </c>
      <c r="J21">
        <f>F21-C21</f>
        <v>-306</v>
      </c>
      <c r="K21" s="4">
        <f>F21/C21-1</f>
        <v>-0.13310134841235322</v>
      </c>
      <c r="L21" s="4"/>
      <c r="N21" s="5">
        <v>3493.6</v>
      </c>
      <c r="O21" s="5">
        <v>3541.81</v>
      </c>
      <c r="Q21" s="5">
        <v>22492.75</v>
      </c>
      <c r="S21" s="173">
        <f t="shared" si="0"/>
        <v>1.7771249372804816</v>
      </c>
      <c r="T21" s="132">
        <f>O21-N21</f>
        <v>48.210000000000036</v>
      </c>
      <c r="U21" s="4">
        <f>IF(N21=0,0,O21/N21-1)</f>
        <v>1.3799519120677894E-2</v>
      </c>
      <c r="AB21" s="18">
        <v>84097.27</v>
      </c>
      <c r="AC21" s="18">
        <v>77538.210000000006</v>
      </c>
      <c r="AD21" s="4">
        <f>AC21/AB21-1</f>
        <v>-7.7993732733535825E-2</v>
      </c>
    </row>
    <row r="22" spans="1:30" ht="13.9" customHeight="1">
      <c r="A22" t="s">
        <v>1068</v>
      </c>
      <c r="B22" t="s">
        <v>1069</v>
      </c>
      <c r="C22">
        <v>1454</v>
      </c>
      <c r="E22" t="s">
        <v>1069</v>
      </c>
      <c r="F22">
        <v>1155</v>
      </c>
      <c r="G22" t="b">
        <f>IF(B22=E22,TRUE,FALSE)</f>
        <v>1</v>
      </c>
      <c r="J22">
        <f>F22-C22</f>
        <v>-299</v>
      </c>
      <c r="K22" s="4">
        <f>F22/C22-1</f>
        <v>-0.20563961485557081</v>
      </c>
      <c r="L22" s="4"/>
      <c r="N22" s="5">
        <v>1664.43</v>
      </c>
      <c r="O22" s="5">
        <v>1359.98</v>
      </c>
      <c r="Q22" s="5">
        <v>5729.46</v>
      </c>
      <c r="S22" s="173">
        <f t="shared" si="0"/>
        <v>1.1774718614718616</v>
      </c>
      <c r="T22" s="132">
        <f>O22-N22</f>
        <v>-304.45000000000005</v>
      </c>
      <c r="U22" s="4">
        <f>IF(N22=0,0,O22/N22-1)</f>
        <v>-0.18291547256418117</v>
      </c>
      <c r="AB22" s="18">
        <v>34233.74</v>
      </c>
      <c r="AC22" s="18">
        <v>28858.45</v>
      </c>
      <c r="AD22" s="4">
        <f>AC22/AB22-1</f>
        <v>-0.15701731683421083</v>
      </c>
    </row>
    <row r="23" spans="1:30" ht="13.9" customHeight="1">
      <c r="A23" t="s">
        <v>1070</v>
      </c>
      <c r="B23" t="s">
        <v>1071</v>
      </c>
      <c r="C23">
        <v>1970</v>
      </c>
      <c r="E23" t="s">
        <v>1071</v>
      </c>
      <c r="F23">
        <v>1675</v>
      </c>
      <c r="G23" t="b">
        <f>IF(B23=E23,TRUE,FALSE)</f>
        <v>1</v>
      </c>
      <c r="J23">
        <f>F23-C23</f>
        <v>-295</v>
      </c>
      <c r="K23" s="4">
        <f>F23/C23-1</f>
        <v>-0.14974619289340096</v>
      </c>
      <c r="N23" s="5">
        <v>2299.87</v>
      </c>
      <c r="O23" s="5">
        <v>2198.66</v>
      </c>
      <c r="Q23" s="5">
        <v>12877.35</v>
      </c>
      <c r="S23" s="173">
        <f t="shared" si="0"/>
        <v>1.3126328358208954</v>
      </c>
      <c r="T23" s="132">
        <f>O23-N23</f>
        <v>-101.21000000000004</v>
      </c>
      <c r="U23" s="4">
        <f>IF(N23=0,0,O23/N23-1)</f>
        <v>-4.4006835168944325E-2</v>
      </c>
      <c r="X23" s="5"/>
      <c r="Y23" s="5"/>
      <c r="Z23" s="5"/>
      <c r="AA23" s="17"/>
      <c r="AB23" s="18">
        <v>55611.67</v>
      </c>
      <c r="AC23" s="18">
        <v>50098.85</v>
      </c>
      <c r="AD23" s="4">
        <f>AC23/AB23-1</f>
        <v>-9.9130632113727191E-2</v>
      </c>
    </row>
    <row r="24" spans="1:30" ht="13.9" customHeight="1">
      <c r="A24" t="s">
        <v>1072</v>
      </c>
      <c r="B24" t="s">
        <v>1073</v>
      </c>
      <c r="C24">
        <v>791</v>
      </c>
      <c r="E24" t="s">
        <v>1073</v>
      </c>
      <c r="F24">
        <v>514</v>
      </c>
      <c r="G24" t="b">
        <f>IF(B24=E24,TRUE,FALSE)</f>
        <v>1</v>
      </c>
      <c r="J24">
        <f>F24-C24</f>
        <v>-277</v>
      </c>
      <c r="K24" s="4">
        <f>F24/C24-1</f>
        <v>-0.35018963337547404</v>
      </c>
      <c r="L24" s="4"/>
      <c r="N24" s="5">
        <v>959.72</v>
      </c>
      <c r="O24" s="5">
        <v>882.42</v>
      </c>
      <c r="Q24" s="5">
        <v>4060.12</v>
      </c>
      <c r="S24" s="173">
        <f t="shared" si="0"/>
        <v>1.7167704280155642</v>
      </c>
      <c r="T24" s="132">
        <f>O24-N24</f>
        <v>-77.300000000000068</v>
      </c>
      <c r="U24" s="4">
        <f>IF(N24=0,0,O24/N24-1)</f>
        <v>-8.0544325428249963E-2</v>
      </c>
      <c r="AB24" s="18">
        <v>13867.61</v>
      </c>
      <c r="AC24" s="18">
        <v>9738.9699999999993</v>
      </c>
      <c r="AD24" s="4">
        <f>AC24/AB24-1</f>
        <v>-0.29771820811228478</v>
      </c>
    </row>
    <row r="25" spans="1:30" ht="13.9" customHeight="1">
      <c r="A25" t="s">
        <v>1074</v>
      </c>
      <c r="B25" t="s">
        <v>1075</v>
      </c>
      <c r="C25">
        <v>1261</v>
      </c>
      <c r="E25" t="s">
        <v>1075</v>
      </c>
      <c r="F25">
        <v>984</v>
      </c>
      <c r="G25" t="b">
        <f>IF(B25=E25,TRUE,FALSE)</f>
        <v>1</v>
      </c>
      <c r="J25">
        <f>F25-C25</f>
        <v>-277</v>
      </c>
      <c r="K25" s="4">
        <f>F25/C25-1</f>
        <v>-0.21966693100713719</v>
      </c>
      <c r="L25" s="4"/>
      <c r="N25" s="5">
        <v>1967.36</v>
      </c>
      <c r="O25" s="5">
        <v>2135.5100000000002</v>
      </c>
      <c r="Q25" s="5">
        <v>9385.02</v>
      </c>
      <c r="S25" s="173">
        <f t="shared" si="0"/>
        <v>2.1702337398373985</v>
      </c>
      <c r="T25" s="132">
        <f>O25-N25</f>
        <v>168.15000000000032</v>
      </c>
      <c r="U25" s="4">
        <f>IF(N25=0,0,O25/N25-1)</f>
        <v>8.5469868249837599E-2</v>
      </c>
      <c r="AB25" s="18">
        <v>28651.55</v>
      </c>
      <c r="AC25" s="18">
        <v>23580.01</v>
      </c>
      <c r="AD25" s="4">
        <f>AC25/AB25-1</f>
        <v>-0.17700752664341024</v>
      </c>
    </row>
    <row r="26" spans="1:30">
      <c r="A26" t="s">
        <v>1076</v>
      </c>
      <c r="B26" t="s">
        <v>1077</v>
      </c>
      <c r="C26">
        <v>1191</v>
      </c>
      <c r="E26" t="s">
        <v>1077</v>
      </c>
      <c r="F26">
        <v>915</v>
      </c>
      <c r="G26" t="b">
        <f>IF(B26=E26,TRUE,FALSE)</f>
        <v>1</v>
      </c>
      <c r="J26">
        <f>F26-C26</f>
        <v>-276</v>
      </c>
      <c r="K26" s="4">
        <f>F26/C26-1</f>
        <v>-0.23173803526448367</v>
      </c>
      <c r="L26" s="4"/>
      <c r="N26" s="5">
        <v>471.59</v>
      </c>
      <c r="O26" s="5">
        <v>795.07</v>
      </c>
      <c r="Q26" s="5">
        <v>4331.91</v>
      </c>
      <c r="S26" s="173">
        <f t="shared" si="0"/>
        <v>0.86892896174863399</v>
      </c>
      <c r="T26" s="132">
        <f>O26-N26</f>
        <v>323.48000000000008</v>
      </c>
      <c r="U26" s="4">
        <f>IF(N26=0,0,O26/N26-1)</f>
        <v>0.68593481625988706</v>
      </c>
      <c r="AB26" s="18">
        <v>21813.33</v>
      </c>
      <c r="AC26" s="18">
        <v>15533.07</v>
      </c>
      <c r="AD26" s="4">
        <f>AC26/AB26-1</f>
        <v>-0.28790927382476683</v>
      </c>
    </row>
    <row r="27" spans="1:30">
      <c r="A27" t="s">
        <v>1078</v>
      </c>
      <c r="B27" t="s">
        <v>1079</v>
      </c>
      <c r="C27">
        <v>1508</v>
      </c>
      <c r="E27" t="s">
        <v>1079</v>
      </c>
      <c r="F27">
        <v>1236</v>
      </c>
      <c r="G27" t="b">
        <f>IF(B27=E27,TRUE,FALSE)</f>
        <v>1</v>
      </c>
      <c r="J27">
        <f>F27-C27</f>
        <v>-272</v>
      </c>
      <c r="K27" s="4">
        <f>F27/C27-1</f>
        <v>-0.18037135278514593</v>
      </c>
      <c r="L27" s="6"/>
      <c r="N27" s="5">
        <v>2863.33</v>
      </c>
      <c r="O27" s="5">
        <v>2905.27</v>
      </c>
      <c r="Q27" s="5">
        <v>15313.91</v>
      </c>
      <c r="S27" s="173">
        <f t="shared" si="0"/>
        <v>2.350542071197411</v>
      </c>
      <c r="T27" s="132">
        <f>O27-N27</f>
        <v>41.940000000000055</v>
      </c>
      <c r="U27" s="4">
        <f>IF(N27=0,0,O27/N27-1)</f>
        <v>1.4647281312318183E-2</v>
      </c>
      <c r="AB27" s="18">
        <v>31814.52</v>
      </c>
      <c r="AC27" s="18">
        <v>27154.79</v>
      </c>
      <c r="AD27" s="4">
        <f>AC27/AB27-1</f>
        <v>-0.1464655132310656</v>
      </c>
    </row>
    <row r="28" spans="1:30">
      <c r="A28" t="s">
        <v>1080</v>
      </c>
      <c r="B28" t="s">
        <v>1081</v>
      </c>
      <c r="C28">
        <v>1790</v>
      </c>
      <c r="E28" t="s">
        <v>1081</v>
      </c>
      <c r="F28">
        <v>1527</v>
      </c>
      <c r="G28" t="b">
        <f>IF(B28=E28,TRUE,FALSE)</f>
        <v>1</v>
      </c>
      <c r="J28">
        <f>F28-C28</f>
        <v>-263</v>
      </c>
      <c r="K28" s="4">
        <f>F28/C28-1</f>
        <v>-0.14692737430167602</v>
      </c>
      <c r="L28" s="6"/>
      <c r="N28" s="5">
        <v>1000.13</v>
      </c>
      <c r="O28" s="5">
        <v>1404.11</v>
      </c>
      <c r="Q28" s="5">
        <v>7291.02</v>
      </c>
      <c r="S28" s="173">
        <f t="shared" si="0"/>
        <v>0.9195219384413883</v>
      </c>
      <c r="T28" s="132">
        <f>O28-N28</f>
        <v>403.9799999999999</v>
      </c>
      <c r="U28" s="4">
        <f>IF(N28=0,0,O28/N28-1)</f>
        <v>0.40392748942637446</v>
      </c>
      <c r="AB28" s="18">
        <v>37086.879999999997</v>
      </c>
      <c r="AC28" s="18">
        <v>33570.15</v>
      </c>
      <c r="AD28" s="4">
        <f>AC28/AB28-1</f>
        <v>-9.4824099519830063E-2</v>
      </c>
    </row>
    <row r="29" spans="1:30">
      <c r="A29" s="55" t="s">
        <v>1082</v>
      </c>
      <c r="B29" s="27" t="s">
        <v>1083</v>
      </c>
      <c r="C29">
        <v>1130</v>
      </c>
      <c r="E29" s="27" t="s">
        <v>1083</v>
      </c>
      <c r="F29">
        <v>888</v>
      </c>
      <c r="G29" t="b">
        <f>IF(B29=E29,TRUE,FALSE)</f>
        <v>1</v>
      </c>
      <c r="J29">
        <f>F29-C29</f>
        <v>-242</v>
      </c>
      <c r="K29" s="4">
        <f>F29/C29-1</f>
        <v>-0.21415929203539819</v>
      </c>
      <c r="L29" s="4"/>
      <c r="N29" s="5">
        <v>2804.32</v>
      </c>
      <c r="O29" s="5">
        <v>2281</v>
      </c>
      <c r="Q29" s="5">
        <v>11599.55</v>
      </c>
      <c r="S29" s="173">
        <f t="shared" si="0"/>
        <v>2.5686936936936937</v>
      </c>
      <c r="T29" s="132">
        <f>O29-N29</f>
        <v>-523.32000000000016</v>
      </c>
      <c r="U29" s="4">
        <f>IF(N30=0,0,O29/N30-1)</f>
        <v>0.15090998077612006</v>
      </c>
      <c r="AB29" s="18">
        <v>25231.19</v>
      </c>
      <c r="AC29" s="18">
        <v>21300.959999999999</v>
      </c>
      <c r="AD29" s="4">
        <f>AC29/AB29-1</f>
        <v>-0.15576871324737362</v>
      </c>
    </row>
    <row r="30" spans="1:30">
      <c r="A30" t="s">
        <v>1084</v>
      </c>
      <c r="B30" t="s">
        <v>1085</v>
      </c>
      <c r="C30">
        <v>2903</v>
      </c>
      <c r="E30" t="s">
        <v>1085</v>
      </c>
      <c r="F30">
        <v>2679</v>
      </c>
      <c r="G30" t="b">
        <f>IF(B30=E30,TRUE,FALSE)</f>
        <v>1</v>
      </c>
      <c r="J30">
        <f>F30-C30</f>
        <v>-224</v>
      </c>
      <c r="K30" s="4">
        <f>F30/C30-1</f>
        <v>-7.7161557009989612E-2</v>
      </c>
      <c r="L30" s="4"/>
      <c r="N30" s="5">
        <v>1981.91</v>
      </c>
      <c r="O30" s="5">
        <v>3004.17</v>
      </c>
      <c r="Q30" s="5">
        <v>18117.98</v>
      </c>
      <c r="S30" s="173">
        <f t="shared" si="0"/>
        <v>1.121377379619261</v>
      </c>
      <c r="T30" s="132">
        <f>O30-N30</f>
        <v>1022.26</v>
      </c>
      <c r="U30" s="4">
        <f>IF(N30=0,0,O30/N30-1)</f>
        <v>0.51579536911363277</v>
      </c>
      <c r="AB30" s="18">
        <v>54734.02</v>
      </c>
      <c r="AC30" s="18">
        <v>53441.25</v>
      </c>
      <c r="AD30" s="4">
        <f>AC30/AB30-1</f>
        <v>-2.3619131209437927E-2</v>
      </c>
    </row>
    <row r="31" spans="1:30">
      <c r="A31" t="s">
        <v>1086</v>
      </c>
      <c r="B31" t="s">
        <v>1087</v>
      </c>
      <c r="C31">
        <v>1465</v>
      </c>
      <c r="E31" t="s">
        <v>1087</v>
      </c>
      <c r="F31">
        <v>1267</v>
      </c>
      <c r="G31" t="b">
        <f>IF(B31=E31,TRUE,FALSE)</f>
        <v>1</v>
      </c>
      <c r="J31">
        <f>F31-C31</f>
        <v>-198</v>
      </c>
      <c r="K31" s="4">
        <f>F31/C31-1</f>
        <v>-0.13515358361774743</v>
      </c>
      <c r="L31" s="4"/>
      <c r="N31" s="5">
        <v>1235.6400000000001</v>
      </c>
      <c r="O31" s="5">
        <v>888.5</v>
      </c>
      <c r="Q31" s="5">
        <v>7816.42</v>
      </c>
      <c r="S31" s="173">
        <f t="shared" si="0"/>
        <v>0.70126282557221786</v>
      </c>
      <c r="T31" s="132">
        <f>O31-N31</f>
        <v>-347.1400000000001</v>
      </c>
      <c r="U31" s="4">
        <f>IF(N31=0,0,O31/N31-1)</f>
        <v>-0.28093943219708006</v>
      </c>
      <c r="AB31" s="18">
        <v>35145.11</v>
      </c>
      <c r="AC31" s="18">
        <v>30378.53</v>
      </c>
      <c r="AD31" s="4">
        <f>AC31/AB31-1</f>
        <v>-0.135625695864944</v>
      </c>
    </row>
    <row r="32" spans="1:30">
      <c r="A32" t="s">
        <v>1088</v>
      </c>
      <c r="B32" t="s">
        <v>1089</v>
      </c>
      <c r="C32">
        <v>891</v>
      </c>
      <c r="E32" t="s">
        <v>1089</v>
      </c>
      <c r="F32">
        <v>707</v>
      </c>
      <c r="G32" t="b">
        <f>IF(B32=E32,TRUE,FALSE)</f>
        <v>1</v>
      </c>
      <c r="J32">
        <f>F32-C32</f>
        <v>-184</v>
      </c>
      <c r="K32" s="4">
        <f>F32/C32-1</f>
        <v>-0.20650953984287312</v>
      </c>
      <c r="L32" s="4"/>
      <c r="N32" s="5">
        <v>1383.24</v>
      </c>
      <c r="O32" s="5">
        <v>1405.49</v>
      </c>
      <c r="Q32" s="5">
        <v>7414.81</v>
      </c>
      <c r="S32" s="173">
        <f t="shared" si="0"/>
        <v>1.9879632248939181</v>
      </c>
      <c r="T32" s="132">
        <f>O32-N32</f>
        <v>22.25</v>
      </c>
      <c r="U32" s="4">
        <f>IF(N32=0,0,O32/N32-1)</f>
        <v>1.6085422630924606E-2</v>
      </c>
      <c r="AB32" s="18">
        <v>22411.62</v>
      </c>
      <c r="AC32" s="18">
        <v>16331.16</v>
      </c>
      <c r="AD32" s="4">
        <f>AC32/AB32-1</f>
        <v>-0.27130836592803198</v>
      </c>
    </row>
    <row r="33" spans="1:30">
      <c r="A33" t="s">
        <v>1090</v>
      </c>
      <c r="B33" t="s">
        <v>1091</v>
      </c>
      <c r="C33">
        <v>923</v>
      </c>
      <c r="E33" t="s">
        <v>1091</v>
      </c>
      <c r="F33">
        <v>746</v>
      </c>
      <c r="G33" t="b">
        <f>IF(B33=E33,TRUE,FALSE)</f>
        <v>1</v>
      </c>
      <c r="J33">
        <f>F33-C33</f>
        <v>-177</v>
      </c>
      <c r="K33" s="4">
        <f>F33/C33-1</f>
        <v>-0.1917659804983749</v>
      </c>
      <c r="L33" s="4"/>
      <c r="N33" s="5">
        <v>1494.03</v>
      </c>
      <c r="O33" s="5">
        <v>1569.72</v>
      </c>
      <c r="Q33" s="5">
        <v>10253.799999999999</v>
      </c>
      <c r="S33" s="173">
        <f t="shared" si="0"/>
        <v>2.1041823056300268</v>
      </c>
      <c r="T33" s="132">
        <f>O33-N33</f>
        <v>75.690000000000055</v>
      </c>
      <c r="U33" s="4">
        <f>IF(N33=0,0,O33/N33-1)</f>
        <v>5.066163330053608E-2</v>
      </c>
      <c r="X33" s="5"/>
      <c r="Y33" s="5"/>
      <c r="Z33" s="5"/>
      <c r="AA33" s="17"/>
      <c r="AB33" s="18">
        <v>22553.57</v>
      </c>
      <c r="AC33" s="18">
        <v>19385.939999999999</v>
      </c>
      <c r="AD33" s="4">
        <f>AC33/AB33-1</f>
        <v>-0.14044916170699362</v>
      </c>
    </row>
    <row r="34" spans="1:30">
      <c r="A34" t="s">
        <v>1092</v>
      </c>
      <c r="B34" t="s">
        <v>1093</v>
      </c>
      <c r="C34">
        <v>315</v>
      </c>
      <c r="E34" t="s">
        <v>1093</v>
      </c>
      <c r="F34">
        <v>140</v>
      </c>
      <c r="G34" t="b">
        <f>IF(B34=E34,TRUE,FALSE)</f>
        <v>1</v>
      </c>
      <c r="J34">
        <f>F34-C34</f>
        <v>-175</v>
      </c>
      <c r="K34" s="4">
        <f>F34/C34-1</f>
        <v>-0.55555555555555558</v>
      </c>
      <c r="L34" s="4"/>
      <c r="N34" s="5">
        <v>179.15</v>
      </c>
      <c r="O34" s="5">
        <v>119.56</v>
      </c>
      <c r="Q34" s="5">
        <v>400.7</v>
      </c>
      <c r="S34" s="173">
        <f t="shared" si="0"/>
        <v>0.85399999999999998</v>
      </c>
      <c r="T34" s="132">
        <f>O34-N34</f>
        <v>-59.59</v>
      </c>
      <c r="U34" s="4">
        <f>IF(N34=0,0,O34/N34-1)</f>
        <v>-0.33262629081775053</v>
      </c>
      <c r="X34" t="s">
        <v>1094</v>
      </c>
      <c r="AB34" s="18">
        <v>6296.85</v>
      </c>
      <c r="AC34" s="18">
        <v>2798.6</v>
      </c>
      <c r="AD34" s="4">
        <f>AC34/AB34-1</f>
        <v>-0.55555555555555558</v>
      </c>
    </row>
    <row r="35" spans="1:30">
      <c r="A35" t="s">
        <v>1095</v>
      </c>
      <c r="B35" t="s">
        <v>1096</v>
      </c>
      <c r="C35">
        <v>339</v>
      </c>
      <c r="E35" t="s">
        <v>1096</v>
      </c>
      <c r="F35">
        <v>173</v>
      </c>
      <c r="G35" t="b">
        <f>IF(B35=E35,TRUE,FALSE)</f>
        <v>1</v>
      </c>
      <c r="J35">
        <f>F35-C35</f>
        <v>-166</v>
      </c>
      <c r="K35" s="4">
        <f>F35/C35-1</f>
        <v>-0.48967551622418881</v>
      </c>
      <c r="L35" s="4"/>
      <c r="N35" s="5">
        <v>0</v>
      </c>
      <c r="O35" s="5">
        <v>0</v>
      </c>
      <c r="Q35" s="5">
        <v>0</v>
      </c>
      <c r="S35" s="173">
        <f t="shared" si="0"/>
        <v>0</v>
      </c>
      <c r="T35" s="132">
        <f>O35-N35</f>
        <v>0</v>
      </c>
      <c r="U35" s="4">
        <f>IF(N35=0,0,O35/N35-1)</f>
        <v>0</v>
      </c>
      <c r="AB35" s="18">
        <v>6763.0499999999993</v>
      </c>
      <c r="AC35" s="18">
        <v>3450.75</v>
      </c>
      <c r="AD35" s="4">
        <f>AC35/AB35-1</f>
        <v>-0.48976423359283161</v>
      </c>
    </row>
    <row r="36" spans="1:30">
      <c r="A36" t="s">
        <v>1097</v>
      </c>
      <c r="B36" t="s">
        <v>1098</v>
      </c>
      <c r="C36">
        <v>1024</v>
      </c>
      <c r="E36" t="s">
        <v>1098</v>
      </c>
      <c r="F36">
        <v>863</v>
      </c>
      <c r="G36" t="b">
        <f>IF(B36=E36,TRUE,FALSE)</f>
        <v>1</v>
      </c>
      <c r="J36">
        <f>F36-C36</f>
        <v>-161</v>
      </c>
      <c r="K36" s="4">
        <f>F36/C36-1</f>
        <v>-0.1572265625</v>
      </c>
      <c r="L36" s="4"/>
      <c r="N36" s="5">
        <v>1746.8</v>
      </c>
      <c r="O36" s="5">
        <v>1359.68</v>
      </c>
      <c r="Q36" s="5">
        <v>6555.47</v>
      </c>
      <c r="S36" s="173">
        <f t="shared" si="0"/>
        <v>1.5755272305909618</v>
      </c>
      <c r="T36" s="132">
        <f>O36-N36</f>
        <v>-387.11999999999989</v>
      </c>
      <c r="U36" s="4">
        <f>IF(N36=0,0,O36/N36-1)</f>
        <v>-0.22161667048316913</v>
      </c>
      <c r="X36" s="5"/>
      <c r="Y36" s="5"/>
      <c r="Z36" s="5"/>
      <c r="AA36" s="17"/>
      <c r="AB36" s="18">
        <v>23375.119999999999</v>
      </c>
      <c r="AC36" s="18">
        <v>20701.21</v>
      </c>
      <c r="AD36" s="4">
        <f>AC36/AB36-1</f>
        <v>-0.11439128440837953</v>
      </c>
    </row>
    <row r="37" spans="1:30">
      <c r="A37" t="s">
        <v>1099</v>
      </c>
      <c r="B37" t="s">
        <v>1100</v>
      </c>
      <c r="C37">
        <v>797</v>
      </c>
      <c r="E37" t="s">
        <v>1100</v>
      </c>
      <c r="F37">
        <v>657</v>
      </c>
      <c r="G37" t="b">
        <f>IF(B37=E37,TRUE,FALSE)</f>
        <v>1</v>
      </c>
      <c r="J37">
        <f>F37-C37</f>
        <v>-140</v>
      </c>
      <c r="K37" s="4">
        <f>F37/C37-1</f>
        <v>-0.17565872020075279</v>
      </c>
      <c r="L37" s="4"/>
      <c r="N37" s="5">
        <v>1180.24</v>
      </c>
      <c r="O37" s="5">
        <v>1016.94</v>
      </c>
      <c r="Q37" s="5">
        <v>3247.15</v>
      </c>
      <c r="S37" s="173">
        <f t="shared" si="0"/>
        <v>1.547853881278539</v>
      </c>
      <c r="T37" s="132">
        <f>O37-N37</f>
        <v>-163.29999999999995</v>
      </c>
      <c r="U37" s="4">
        <f>IF(N37=0,0,O37/N37-1)</f>
        <v>-0.13836168914796987</v>
      </c>
      <c r="X37" t="s">
        <v>1101</v>
      </c>
      <c r="AB37" s="18">
        <v>15004.12</v>
      </c>
      <c r="AC37" s="18">
        <v>13112.32</v>
      </c>
      <c r="AD37" s="4">
        <f>AC37/AB37-1</f>
        <v>-0.12608536855210439</v>
      </c>
    </row>
    <row r="38" spans="1:30">
      <c r="A38" t="s">
        <v>1102</v>
      </c>
      <c r="B38" t="s">
        <v>1103</v>
      </c>
      <c r="C38">
        <v>1360</v>
      </c>
      <c r="E38" t="s">
        <v>1103</v>
      </c>
      <c r="F38">
        <v>1229</v>
      </c>
      <c r="G38" t="b">
        <f>IF(B38=E38,TRUE,FALSE)</f>
        <v>1</v>
      </c>
      <c r="J38">
        <f>F38-C38</f>
        <v>-131</v>
      </c>
      <c r="K38" s="4">
        <f>F38/C38-1</f>
        <v>-9.6323529411764697E-2</v>
      </c>
      <c r="L38" s="4"/>
      <c r="N38" s="5">
        <v>933.02</v>
      </c>
      <c r="O38" s="5">
        <v>1018.51</v>
      </c>
      <c r="Q38" s="5">
        <v>5735.03</v>
      </c>
      <c r="S38" s="173">
        <f t="shared" si="0"/>
        <v>0.82873067534580958</v>
      </c>
      <c r="T38" s="132">
        <f>O38-N38</f>
        <v>85.490000000000009</v>
      </c>
      <c r="U38" s="4">
        <f>IF(N38=0,0,O38/N38-1)</f>
        <v>9.1627189127778674E-2</v>
      </c>
      <c r="AB38" s="18">
        <v>24256.26</v>
      </c>
      <c r="AC38" s="18">
        <v>23336.81</v>
      </c>
      <c r="AD38" s="4">
        <f>AC38/AB38-1</f>
        <v>-3.7905678781477326E-2</v>
      </c>
    </row>
    <row r="39" spans="1:30">
      <c r="A39" t="s">
        <v>1104</v>
      </c>
      <c r="B39" t="s">
        <v>1105</v>
      </c>
      <c r="C39">
        <v>1124</v>
      </c>
      <c r="E39" t="s">
        <v>1105</v>
      </c>
      <c r="F39">
        <v>993</v>
      </c>
      <c r="G39" t="b">
        <f>IF(B39=E39,TRUE,FALSE)</f>
        <v>1</v>
      </c>
      <c r="J39">
        <f>F39-C39</f>
        <v>-131</v>
      </c>
      <c r="K39" s="4">
        <f>F39/C39-1</f>
        <v>-0.11654804270462638</v>
      </c>
      <c r="L39" s="4"/>
      <c r="N39" s="5">
        <v>1176.3499999999999</v>
      </c>
      <c r="O39" s="5">
        <v>1303.75</v>
      </c>
      <c r="Q39" s="5">
        <v>6871.04</v>
      </c>
      <c r="S39" s="173">
        <f t="shared" si="0"/>
        <v>1.3129405840886204</v>
      </c>
      <c r="T39" s="132">
        <f>O39-N39</f>
        <v>127.40000000000009</v>
      </c>
      <c r="U39" s="4">
        <f>IF(N39=0,0,O39/N39-1)</f>
        <v>0.10830110086283851</v>
      </c>
      <c r="AB39" s="18">
        <v>25702.36</v>
      </c>
      <c r="AC39" s="18">
        <v>23819.67</v>
      </c>
      <c r="AD39" s="4">
        <f>AC39/AB39-1</f>
        <v>-7.3249693802436955E-2</v>
      </c>
    </row>
    <row r="40" spans="1:30">
      <c r="A40" t="s">
        <v>1106</v>
      </c>
      <c r="B40" t="s">
        <v>1107</v>
      </c>
      <c r="C40">
        <v>1005</v>
      </c>
      <c r="E40" t="s">
        <v>1107</v>
      </c>
      <c r="F40">
        <v>875</v>
      </c>
      <c r="G40" t="b">
        <f>IF(B40=E40,TRUE,FALSE)</f>
        <v>1</v>
      </c>
      <c r="J40">
        <f>F40-C40</f>
        <v>-130</v>
      </c>
      <c r="K40" s="4">
        <f>F40/C40-1</f>
        <v>-0.12935323383084574</v>
      </c>
      <c r="N40" s="5">
        <v>1897.38</v>
      </c>
      <c r="O40" s="5">
        <v>1721.15</v>
      </c>
      <c r="Q40" s="5">
        <v>7012.85</v>
      </c>
      <c r="S40" s="173">
        <f t="shared" si="0"/>
        <v>1.9670285714285716</v>
      </c>
      <c r="T40" s="132">
        <f>O40-N40</f>
        <v>-176.23000000000002</v>
      </c>
      <c r="U40" s="4">
        <f>IF(N40=0,0,O40/N40-1)</f>
        <v>-9.288070918845992E-2</v>
      </c>
      <c r="X40" s="5"/>
      <c r="Y40" s="5"/>
      <c r="Z40" s="5"/>
      <c r="AA40" s="17"/>
      <c r="AB40" s="18">
        <v>20067.759999999998</v>
      </c>
      <c r="AC40" s="18">
        <v>17488.05</v>
      </c>
      <c r="AD40" s="4">
        <f>AC40/AB40-1</f>
        <v>-0.12854997269251767</v>
      </c>
    </row>
    <row r="41" spans="1:30">
      <c r="A41" s="27" t="s">
        <v>1108</v>
      </c>
      <c r="B41" s="27" t="s">
        <v>1109</v>
      </c>
      <c r="C41">
        <v>490</v>
      </c>
      <c r="E41" s="27" t="s">
        <v>1109</v>
      </c>
      <c r="F41">
        <v>363</v>
      </c>
      <c r="G41" t="b">
        <f>IF(B41=E41,TRUE,FALSE)</f>
        <v>1</v>
      </c>
      <c r="J41">
        <f>F41-C41</f>
        <v>-127</v>
      </c>
      <c r="K41" s="4">
        <f>F41/C41-1</f>
        <v>-0.25918367346938775</v>
      </c>
      <c r="L41" s="4"/>
      <c r="N41" s="5">
        <v>1475.5</v>
      </c>
      <c r="O41" s="5">
        <v>898.24</v>
      </c>
      <c r="Q41" s="5">
        <v>5441.71</v>
      </c>
      <c r="S41" s="173">
        <f t="shared" si="0"/>
        <v>2.4744903581267219</v>
      </c>
      <c r="T41" s="132">
        <f>O41-N41</f>
        <v>-577.26</v>
      </c>
      <c r="U41" s="4">
        <f>IF(N41=0,0,O41/N41-1)</f>
        <v>-0.39123009149440868</v>
      </c>
      <c r="AB41" s="18">
        <v>13224.29</v>
      </c>
      <c r="AC41" s="18">
        <v>9795.2099999999991</v>
      </c>
      <c r="AD41" s="4">
        <f>AC41/AB41-1</f>
        <v>-0.25930163358486558</v>
      </c>
    </row>
    <row r="42" spans="1:30">
      <c r="A42" t="s">
        <v>1110</v>
      </c>
      <c r="B42" t="s">
        <v>1111</v>
      </c>
      <c r="C42">
        <v>1066</v>
      </c>
      <c r="E42" t="s">
        <v>1111</v>
      </c>
      <c r="F42">
        <v>951</v>
      </c>
      <c r="G42" t="b">
        <f>IF(B42=E42,TRUE,FALSE)</f>
        <v>1</v>
      </c>
      <c r="J42">
        <f>F42-C42</f>
        <v>-115</v>
      </c>
      <c r="K42" s="4">
        <f>F42/C42-1</f>
        <v>-0.10787992495309573</v>
      </c>
      <c r="L42" s="4"/>
      <c r="N42" s="5">
        <v>492.06</v>
      </c>
      <c r="O42" s="5">
        <v>697.43</v>
      </c>
      <c r="Q42" s="5">
        <v>4149.21</v>
      </c>
      <c r="S42" s="173">
        <f t="shared" si="0"/>
        <v>0.73336487907465819</v>
      </c>
      <c r="T42" s="132">
        <f>O42-N42</f>
        <v>205.36999999999995</v>
      </c>
      <c r="U42" s="4">
        <f>IF(N42=0,0,O42/N42-1)</f>
        <v>0.41736780067471435</v>
      </c>
      <c r="AB42" s="18">
        <v>23840.3</v>
      </c>
      <c r="AC42" s="18">
        <v>22810.89</v>
      </c>
      <c r="AD42" s="4">
        <f>AC42/AB42-1</f>
        <v>-4.3179406299417411E-2</v>
      </c>
    </row>
    <row r="43" spans="1:30">
      <c r="A43" t="s">
        <v>1112</v>
      </c>
      <c r="B43" t="s">
        <v>1113</v>
      </c>
      <c r="C43">
        <v>719</v>
      </c>
      <c r="E43" t="s">
        <v>1113</v>
      </c>
      <c r="F43">
        <v>614</v>
      </c>
      <c r="G43" t="b">
        <f>IF(B43=E43,TRUE,FALSE)</f>
        <v>1</v>
      </c>
      <c r="J43">
        <f>F43-C43</f>
        <v>-105</v>
      </c>
      <c r="K43" s="4">
        <f>F43/C43-1</f>
        <v>-0.14603616133518771</v>
      </c>
      <c r="L43" s="4"/>
      <c r="N43" s="5">
        <v>864.23</v>
      </c>
      <c r="O43" s="5">
        <v>482.05</v>
      </c>
      <c r="Q43" s="5">
        <v>4048.75</v>
      </c>
      <c r="S43" s="173">
        <f t="shared" si="0"/>
        <v>0.78509771986970689</v>
      </c>
      <c r="T43" s="132">
        <f>O43-N43</f>
        <v>-382.18</v>
      </c>
      <c r="U43" s="4">
        <f>IF(N43=0,0,O43/N43-1)</f>
        <v>-0.44222024229661083</v>
      </c>
      <c r="AB43" s="18">
        <v>21561.61</v>
      </c>
      <c r="AC43" s="18">
        <v>18408.759999999998</v>
      </c>
      <c r="AD43" s="4">
        <f>AC43/AB43-1</f>
        <v>-0.14622516593148671</v>
      </c>
    </row>
    <row r="44" spans="1:30">
      <c r="A44" s="55" t="s">
        <v>1114</v>
      </c>
      <c r="B44" s="37" t="s">
        <v>1115</v>
      </c>
      <c r="C44">
        <v>777</v>
      </c>
      <c r="E44" s="37" t="s">
        <v>1115</v>
      </c>
      <c r="F44">
        <v>676</v>
      </c>
      <c r="G44" t="b">
        <f>IF(B44=E44,TRUE,FALSE)</f>
        <v>1</v>
      </c>
      <c r="J44">
        <f>F44-C44</f>
        <v>-101</v>
      </c>
      <c r="K44" s="4">
        <f>F44/C44-1</f>
        <v>-0.12998712998713002</v>
      </c>
      <c r="L44" s="4"/>
      <c r="N44" s="5">
        <v>2027.65</v>
      </c>
      <c r="O44" s="5">
        <v>1857.65</v>
      </c>
      <c r="Q44" s="5">
        <v>11543.34</v>
      </c>
      <c r="S44" s="173">
        <f t="shared" si="0"/>
        <v>2.7480029585798817</v>
      </c>
      <c r="T44" s="132">
        <f>O44-N44</f>
        <v>-170</v>
      </c>
      <c r="U44" s="4">
        <f>IF(N44=0,0,O44/N44-1)</f>
        <v>-8.3840899563534133E-2</v>
      </c>
      <c r="AB44" s="18">
        <v>15532.03</v>
      </c>
      <c r="AC44" s="18">
        <v>15005.44</v>
      </c>
      <c r="AD44" s="4">
        <f>AC44/AB44-1</f>
        <v>-3.3903488468667642E-2</v>
      </c>
    </row>
    <row r="45" spans="1:30">
      <c r="A45" t="s">
        <v>1116</v>
      </c>
      <c r="B45" t="s">
        <v>1117</v>
      </c>
      <c r="C45">
        <v>1342</v>
      </c>
      <c r="E45" t="s">
        <v>1117</v>
      </c>
      <c r="F45">
        <v>1242</v>
      </c>
      <c r="G45" t="b">
        <f>IF(B45=E45,TRUE,FALSE)</f>
        <v>1</v>
      </c>
      <c r="J45">
        <f>F45-C45</f>
        <v>-100</v>
      </c>
      <c r="K45" s="4">
        <f>F45/C45-1</f>
        <v>-7.4515648286140101E-2</v>
      </c>
      <c r="L45" s="4"/>
      <c r="N45" s="5">
        <v>1317.44</v>
      </c>
      <c r="O45" s="5">
        <v>1369.61</v>
      </c>
      <c r="Q45" s="5">
        <v>6392.19</v>
      </c>
      <c r="S45" s="173">
        <f t="shared" si="0"/>
        <v>1.102745571658615</v>
      </c>
      <c r="T45" s="132">
        <f>O45-N45</f>
        <v>52.169999999999845</v>
      </c>
      <c r="U45" s="4">
        <f>IF(N45=0,0,O45/N45-1)</f>
        <v>3.9599526354141323E-2</v>
      </c>
      <c r="AB45" s="18">
        <v>29228.78</v>
      </c>
      <c r="AC45" s="18">
        <v>28545.48</v>
      </c>
      <c r="AD45" s="4">
        <f>AC45/AB45-1</f>
        <v>-2.3377643541742099E-2</v>
      </c>
    </row>
    <row r="46" spans="1:30">
      <c r="A46" t="s">
        <v>1118</v>
      </c>
      <c r="B46" t="s">
        <v>1119</v>
      </c>
      <c r="C46">
        <v>741</v>
      </c>
      <c r="E46" t="s">
        <v>1119</v>
      </c>
      <c r="F46">
        <v>657</v>
      </c>
      <c r="G46" t="b">
        <f>IF(B46=E46,TRUE,FALSE)</f>
        <v>1</v>
      </c>
      <c r="J46">
        <f>F46-C46</f>
        <v>-84</v>
      </c>
      <c r="K46" s="4">
        <f>F46/C46-1</f>
        <v>-0.11336032388663964</v>
      </c>
      <c r="L46" s="4"/>
      <c r="N46" s="5">
        <v>487.05</v>
      </c>
      <c r="O46" s="5">
        <v>583.92999999999995</v>
      </c>
      <c r="Q46" s="5">
        <v>3525.31</v>
      </c>
      <c r="S46" s="173">
        <f t="shared" si="0"/>
        <v>0.88878234398782341</v>
      </c>
      <c r="T46" s="132">
        <f>O46-N46</f>
        <v>96.879999999999939</v>
      </c>
      <c r="U46" s="4">
        <f>IF(N46=0,0,O46/N46-1)</f>
        <v>0.19891181603531449</v>
      </c>
      <c r="AB46" s="18">
        <v>20322.61</v>
      </c>
      <c r="AC46" s="18">
        <v>19017.54</v>
      </c>
      <c r="AD46" s="4">
        <f>AC46/AB46-1</f>
        <v>-6.4217637399920591E-2</v>
      </c>
    </row>
    <row r="47" spans="1:30">
      <c r="A47" t="s">
        <v>1120</v>
      </c>
      <c r="B47" t="s">
        <v>1121</v>
      </c>
      <c r="C47">
        <v>276</v>
      </c>
      <c r="E47" t="s">
        <v>1121</v>
      </c>
      <c r="F47">
        <v>193</v>
      </c>
      <c r="G47" t="b">
        <f>IF(B47=E47,TRUE,FALSE)</f>
        <v>1</v>
      </c>
      <c r="J47">
        <f>F47-C47</f>
        <v>-83</v>
      </c>
      <c r="K47" s="4">
        <f>F47/C47-1</f>
        <v>-0.30072463768115942</v>
      </c>
      <c r="L47" s="4"/>
      <c r="N47" s="5">
        <v>0</v>
      </c>
      <c r="O47" s="5">
        <v>0</v>
      </c>
      <c r="Q47" s="5">
        <v>0</v>
      </c>
      <c r="S47" s="173">
        <f t="shared" si="0"/>
        <v>0</v>
      </c>
      <c r="T47" s="132">
        <f>O47-N47</f>
        <v>0</v>
      </c>
      <c r="U47" s="4">
        <f>IF(N47=0,0,O47/N47-1)</f>
        <v>0</v>
      </c>
      <c r="AB47" s="18">
        <v>4309.3500000000004</v>
      </c>
      <c r="AC47" s="18">
        <v>2993.31</v>
      </c>
      <c r="AD47" s="4">
        <f>AC47/AB47-1</f>
        <v>-0.305391764419228</v>
      </c>
    </row>
    <row r="48" spans="1:30">
      <c r="A48" t="s">
        <v>1122</v>
      </c>
      <c r="B48" t="s">
        <v>1123</v>
      </c>
      <c r="C48">
        <v>958</v>
      </c>
      <c r="D48" s="5"/>
      <c r="E48" t="s">
        <v>1123</v>
      </c>
      <c r="F48">
        <v>880</v>
      </c>
      <c r="G48" t="b">
        <f>IF(B48=E48,TRUE,FALSE)</f>
        <v>1</v>
      </c>
      <c r="H48" s="5"/>
      <c r="I48" s="5"/>
      <c r="J48">
        <f>F48-C48</f>
        <v>-78</v>
      </c>
      <c r="K48" s="4">
        <f>F48/C48-1</f>
        <v>-8.1419624217119013E-2</v>
      </c>
      <c r="L48" s="5"/>
      <c r="M48" s="5"/>
      <c r="N48" s="5">
        <v>1301.94</v>
      </c>
      <c r="O48" s="5">
        <v>1470.12</v>
      </c>
      <c r="Q48" s="5">
        <v>10212.790000000001</v>
      </c>
      <c r="S48" s="173">
        <f t="shared" si="0"/>
        <v>1.670590909090909</v>
      </c>
      <c r="T48" s="132">
        <f>O48-N48</f>
        <v>168.17999999999984</v>
      </c>
      <c r="U48" s="4">
        <f>IF(N48=0,0,O48/N48-1)</f>
        <v>0.1291764597446885</v>
      </c>
      <c r="X48" s="5"/>
      <c r="Y48" s="5"/>
      <c r="Z48" s="5"/>
      <c r="AA48" s="17"/>
      <c r="AB48" s="18">
        <v>33449.040000000001</v>
      </c>
      <c r="AC48" s="18">
        <v>30780.35</v>
      </c>
      <c r="AD48" s="4">
        <f>AC48/AB48-1</f>
        <v>-7.9783754630925241E-2</v>
      </c>
    </row>
    <row r="49" spans="1:30">
      <c r="A49" t="s">
        <v>1124</v>
      </c>
      <c r="B49" t="s">
        <v>1125</v>
      </c>
      <c r="C49">
        <v>808</v>
      </c>
      <c r="E49" t="s">
        <v>1125</v>
      </c>
      <c r="F49">
        <v>738</v>
      </c>
      <c r="G49" t="b">
        <f>IF(B49=E49,TRUE,FALSE)</f>
        <v>1</v>
      </c>
      <c r="J49">
        <f>F49-C49</f>
        <v>-70</v>
      </c>
      <c r="K49" s="4">
        <f>F49/C49-1</f>
        <v>-8.66336633663366E-2</v>
      </c>
      <c r="L49" s="4"/>
      <c r="N49" s="5">
        <v>1557.42</v>
      </c>
      <c r="O49" s="5">
        <v>1461.12</v>
      </c>
      <c r="Q49" s="5">
        <v>8743.42</v>
      </c>
      <c r="S49" s="173">
        <f t="shared" si="0"/>
        <v>1.9798373983739836</v>
      </c>
      <c r="T49" s="132">
        <f>O49-N49</f>
        <v>-96.300000000000182</v>
      </c>
      <c r="U49" s="4">
        <f>IF(N49=0,0,O49/N49-1)</f>
        <v>-6.183303155218256E-2</v>
      </c>
      <c r="AB49" s="18">
        <v>17767.48</v>
      </c>
      <c r="AC49" s="18">
        <v>16220.04</v>
      </c>
      <c r="AD49" s="4">
        <f>AC49/AB49-1</f>
        <v>-8.7093949170056639E-2</v>
      </c>
    </row>
    <row r="50" spans="1:30">
      <c r="A50" s="27" t="s">
        <v>1126</v>
      </c>
      <c r="B50" s="27" t="s">
        <v>1127</v>
      </c>
      <c r="C50">
        <v>432</v>
      </c>
      <c r="E50" s="27" t="s">
        <v>1127</v>
      </c>
      <c r="F50">
        <v>365</v>
      </c>
      <c r="G50" t="b">
        <f>IF(B50=E50,TRUE,FALSE)</f>
        <v>1</v>
      </c>
      <c r="J50">
        <f>F50-C50</f>
        <v>-67</v>
      </c>
      <c r="K50" s="4">
        <f>F50/C50-1</f>
        <v>-0.15509259259259256</v>
      </c>
      <c r="L50" s="4"/>
      <c r="N50" s="5">
        <v>594.27</v>
      </c>
      <c r="O50" s="5">
        <v>417.37</v>
      </c>
      <c r="Q50" s="5">
        <v>2050.27</v>
      </c>
      <c r="S50" s="173">
        <f t="shared" si="0"/>
        <v>1.1434794520547946</v>
      </c>
      <c r="T50" s="132">
        <f>O50-N50</f>
        <v>-176.89999999999998</v>
      </c>
      <c r="U50" s="4">
        <f>IF(N50=0,0,O50/N50-1)</f>
        <v>-0.29767614047486834</v>
      </c>
      <c r="AB50" s="18">
        <v>8203.68</v>
      </c>
      <c r="AC50" s="18">
        <v>6931.35</v>
      </c>
      <c r="AD50" s="4">
        <f>AC50/AB50-1</f>
        <v>-0.15509259259259256</v>
      </c>
    </row>
    <row r="51" spans="1:30">
      <c r="A51" s="56" t="s">
        <v>1128</v>
      </c>
      <c r="B51" s="37" t="s">
        <v>1129</v>
      </c>
      <c r="C51">
        <v>236</v>
      </c>
      <c r="E51" s="37" t="s">
        <v>1129</v>
      </c>
      <c r="F51">
        <v>169</v>
      </c>
      <c r="G51" t="b">
        <f>IF(B51=E51,TRUE,FALSE)</f>
        <v>1</v>
      </c>
      <c r="J51">
        <f>F51-C51</f>
        <v>-67</v>
      </c>
      <c r="K51" s="4">
        <f>F51/C51-1</f>
        <v>-0.28389830508474578</v>
      </c>
      <c r="L51" s="4"/>
      <c r="N51" s="5">
        <v>1081.21</v>
      </c>
      <c r="O51" s="5">
        <v>804.68</v>
      </c>
      <c r="Q51" s="5">
        <v>2911.11</v>
      </c>
      <c r="S51" s="173">
        <f t="shared" si="0"/>
        <v>4.761420118343195</v>
      </c>
      <c r="T51" s="132">
        <f>O51-N51</f>
        <v>-276.53000000000009</v>
      </c>
      <c r="U51" s="4">
        <f>IF(N51=0,0,O51/N51-1)</f>
        <v>-0.25575975064973511</v>
      </c>
      <c r="AB51" s="18">
        <v>5897.64</v>
      </c>
      <c r="AC51" s="18">
        <v>4222.8100000000004</v>
      </c>
      <c r="AD51" s="4">
        <f>AC51/AB51-1</f>
        <v>-0.28398308475932743</v>
      </c>
    </row>
    <row r="52" spans="1:30">
      <c r="A52" s="55" t="s">
        <v>1130</v>
      </c>
      <c r="B52" s="37" t="s">
        <v>1131</v>
      </c>
      <c r="C52">
        <v>924</v>
      </c>
      <c r="E52" s="37" t="s">
        <v>1131</v>
      </c>
      <c r="F52">
        <v>858</v>
      </c>
      <c r="G52" t="b">
        <f>IF(B52=E52,TRUE,FALSE)</f>
        <v>1</v>
      </c>
      <c r="J52">
        <f>F52-C52</f>
        <v>-66</v>
      </c>
      <c r="K52" s="4">
        <f>F52/C52-1</f>
        <v>-7.1428571428571397E-2</v>
      </c>
      <c r="L52" s="4"/>
      <c r="N52" s="5">
        <v>783.96</v>
      </c>
      <c r="O52" s="5">
        <v>959.73</v>
      </c>
      <c r="Q52" s="5">
        <v>3229.47</v>
      </c>
      <c r="S52" s="173">
        <f t="shared" si="0"/>
        <v>1.1185664335664336</v>
      </c>
      <c r="T52" s="132">
        <f>O52-N52</f>
        <v>175.76999999999998</v>
      </c>
      <c r="U52" s="4">
        <f>IF(N53=0,0,O52/N53-1)</f>
        <v>-0.35342545121367885</v>
      </c>
      <c r="AB52" s="18">
        <v>17546.189999999999</v>
      </c>
      <c r="AC52" s="18">
        <v>16289.81</v>
      </c>
      <c r="AD52" s="4">
        <f>AC52/AB52-1</f>
        <v>-7.1604148820912039E-2</v>
      </c>
    </row>
    <row r="53" spans="1:30">
      <c r="A53" s="57" t="s">
        <v>1132</v>
      </c>
      <c r="B53" s="37" t="s">
        <v>1133</v>
      </c>
      <c r="C53">
        <v>902</v>
      </c>
      <c r="E53" s="37" t="s">
        <v>1133</v>
      </c>
      <c r="F53">
        <v>837</v>
      </c>
      <c r="G53" t="b">
        <f>IF(B53=E53,TRUE,FALSE)</f>
        <v>1</v>
      </c>
      <c r="J53">
        <f>F53-C53</f>
        <v>-65</v>
      </c>
      <c r="K53" s="4">
        <f>F53/C53-1</f>
        <v>-7.2062084257206172E-2</v>
      </c>
      <c r="L53" s="4"/>
      <c r="N53" s="5">
        <v>1484.33</v>
      </c>
      <c r="O53" s="5">
        <v>1647.7</v>
      </c>
      <c r="Q53" s="5">
        <v>7117.93</v>
      </c>
      <c r="S53" s="173">
        <f t="shared" si="0"/>
        <v>1.96857825567503</v>
      </c>
      <c r="T53" s="132">
        <f>O53-N53</f>
        <v>163.37000000000012</v>
      </c>
      <c r="U53" s="4">
        <f>IF(N53=0,0,O53/N53-1)</f>
        <v>0.11006312612424463</v>
      </c>
      <c r="AB53" s="18">
        <v>20385.46</v>
      </c>
      <c r="AC53" s="18">
        <v>20076.990000000002</v>
      </c>
      <c r="AD53" s="4">
        <f>AC53/AB53-1</f>
        <v>-1.5131863592972472E-2</v>
      </c>
    </row>
    <row r="54" spans="1:30">
      <c r="A54" t="s">
        <v>1134</v>
      </c>
      <c r="B54" t="s">
        <v>1135</v>
      </c>
      <c r="C54">
        <v>1180</v>
      </c>
      <c r="E54" t="s">
        <v>1135</v>
      </c>
      <c r="F54">
        <v>1117</v>
      </c>
      <c r="G54" t="b">
        <f>IF(B54=E54,TRUE,FALSE)</f>
        <v>1</v>
      </c>
      <c r="J54">
        <f>F54-C54</f>
        <v>-63</v>
      </c>
      <c r="K54" s="4">
        <f>F54/C54-1</f>
        <v>-5.3389830508474567E-2</v>
      </c>
      <c r="L54" s="4"/>
      <c r="N54" s="5">
        <v>837.31</v>
      </c>
      <c r="O54" s="5">
        <v>865.17</v>
      </c>
      <c r="Q54" s="5">
        <v>3226.47</v>
      </c>
      <c r="S54" s="173">
        <f t="shared" si="0"/>
        <v>0.77454789615040287</v>
      </c>
      <c r="T54" s="132">
        <f>O54-N54</f>
        <v>27.860000000000014</v>
      </c>
      <c r="U54" s="4">
        <f>IF(N54=0,0,O54/N54-1)</f>
        <v>3.3273220193237973E-2</v>
      </c>
      <c r="AB54" s="18">
        <v>20812.009999999998</v>
      </c>
      <c r="AC54" s="18">
        <v>21209.17</v>
      </c>
      <c r="AD54" s="4">
        <f>AC54/AB54-1</f>
        <v>1.9083212049196607E-2</v>
      </c>
    </row>
    <row r="55" spans="1:30">
      <c r="A55" t="s">
        <v>1136</v>
      </c>
      <c r="B55" t="s">
        <v>1137</v>
      </c>
      <c r="C55">
        <v>65</v>
      </c>
      <c r="E55" t="s">
        <v>1137</v>
      </c>
      <c r="F55">
        <v>2</v>
      </c>
      <c r="G55" t="b">
        <f>IF(B55=E55,TRUE,FALSE)</f>
        <v>1</v>
      </c>
      <c r="J55">
        <f>F55-C55</f>
        <v>-63</v>
      </c>
      <c r="K55" s="4">
        <f>F55/C55-1</f>
        <v>-0.96923076923076923</v>
      </c>
      <c r="L55" s="4"/>
      <c r="N55" s="5">
        <v>0</v>
      </c>
      <c r="O55" s="5">
        <v>0</v>
      </c>
      <c r="Q55" s="5">
        <v>0</v>
      </c>
      <c r="S55" s="173">
        <f t="shared" si="0"/>
        <v>0</v>
      </c>
      <c r="T55" s="132">
        <f>O55-N55</f>
        <v>0</v>
      </c>
      <c r="U55" s="4">
        <f>IF(N55=0,0,O55/N55-1)</f>
        <v>0</v>
      </c>
      <c r="AB55" s="18">
        <v>1494.35</v>
      </c>
      <c r="AC55" s="18">
        <v>45.98</v>
      </c>
      <c r="AD55" s="4">
        <f>AC55/AB55-1</f>
        <v>-0.96923076923076923</v>
      </c>
    </row>
    <row r="56" spans="1:30">
      <c r="A56" t="s">
        <v>1138</v>
      </c>
      <c r="B56" t="s">
        <v>1139</v>
      </c>
      <c r="C56">
        <v>3848</v>
      </c>
      <c r="E56" t="s">
        <v>1139</v>
      </c>
      <c r="F56">
        <v>3785</v>
      </c>
      <c r="G56" t="b">
        <f>IF(B56=E56,TRUE,FALSE)</f>
        <v>1</v>
      </c>
      <c r="J56">
        <f>F56-C56</f>
        <v>-63</v>
      </c>
      <c r="K56" s="4">
        <f>F56/C56-1</f>
        <v>-1.637214137214138E-2</v>
      </c>
      <c r="L56" s="4"/>
      <c r="N56" s="5">
        <v>1416.38</v>
      </c>
      <c r="O56" s="5">
        <v>2038.27</v>
      </c>
      <c r="Q56" s="5">
        <v>11996.49</v>
      </c>
      <c r="S56" s="173">
        <f t="shared" si="0"/>
        <v>0.5385125495376486</v>
      </c>
      <c r="T56" s="132">
        <f>O56-N56</f>
        <v>621.88999999999987</v>
      </c>
      <c r="U56" s="4">
        <f>IF(N56=0,0,O56/N56-1)</f>
        <v>0.43907002358124214</v>
      </c>
      <c r="X56" t="s">
        <v>1140</v>
      </c>
      <c r="AB56" s="18">
        <v>78628.44</v>
      </c>
      <c r="AC56" s="18">
        <v>71399.02</v>
      </c>
      <c r="AD56" s="4">
        <f>AC56/AB56-1</f>
        <v>-9.1944085371654327E-2</v>
      </c>
    </row>
    <row r="57" spans="1:30">
      <c r="A57" s="55" t="s">
        <v>1141</v>
      </c>
      <c r="B57" s="37" t="s">
        <v>1142</v>
      </c>
      <c r="C57">
        <v>1085</v>
      </c>
      <c r="E57" s="37" t="s">
        <v>1142</v>
      </c>
      <c r="F57">
        <v>1023</v>
      </c>
      <c r="G57" t="b">
        <f>IF(B57=E57,TRUE,FALSE)</f>
        <v>1</v>
      </c>
      <c r="J57">
        <f>F57-C57</f>
        <v>-62</v>
      </c>
      <c r="K57" s="4">
        <f>F57/C57-1</f>
        <v>-5.7142857142857162E-2</v>
      </c>
      <c r="L57" s="4"/>
      <c r="N57" s="5">
        <v>1945.43</v>
      </c>
      <c r="O57" s="5">
        <v>2097.7600000000002</v>
      </c>
      <c r="Q57" s="5">
        <v>8882.2900000000009</v>
      </c>
      <c r="S57" s="173">
        <f t="shared" si="0"/>
        <v>2.0505962854349953</v>
      </c>
      <c r="T57" s="132">
        <f>O57-N57</f>
        <v>152.33000000000015</v>
      </c>
      <c r="U57" s="4">
        <f>IF(N57=0,0,O57/N57-1)</f>
        <v>7.8301455205276094E-2</v>
      </c>
      <c r="AB57" s="18">
        <v>15938.15</v>
      </c>
      <c r="AC57" s="18">
        <v>17380.77</v>
      </c>
      <c r="AD57" s="4">
        <f>AC57/AB57-1</f>
        <v>9.0513641796569955E-2</v>
      </c>
    </row>
    <row r="58" spans="1:30">
      <c r="A58" t="s">
        <v>1143</v>
      </c>
      <c r="B58" t="s">
        <v>1144</v>
      </c>
      <c r="C58">
        <v>352</v>
      </c>
      <c r="E58" t="s">
        <v>1144</v>
      </c>
      <c r="F58">
        <v>296</v>
      </c>
      <c r="G58" t="b">
        <f>IF(B58=E58,TRUE,FALSE)</f>
        <v>1</v>
      </c>
      <c r="J58">
        <f>F58-C58</f>
        <v>-56</v>
      </c>
      <c r="K58" s="4">
        <f>F58/C58-1</f>
        <v>-0.15909090909090906</v>
      </c>
      <c r="L58" s="4"/>
      <c r="N58" s="5">
        <v>391.08</v>
      </c>
      <c r="O58" s="5">
        <v>416.47</v>
      </c>
      <c r="Q58" s="5">
        <v>1992.99</v>
      </c>
      <c r="S58" s="173">
        <f t="shared" si="0"/>
        <v>1.4069932432432433</v>
      </c>
      <c r="T58" s="132">
        <f>O58-N58</f>
        <v>25.390000000000043</v>
      </c>
      <c r="U58" s="4">
        <f>IF(N58=0,0,O58/N58-1)</f>
        <v>6.4922777948245969E-2</v>
      </c>
      <c r="X58" t="s">
        <v>1145</v>
      </c>
      <c r="AB58" s="18">
        <v>8444.48</v>
      </c>
      <c r="AC58" s="18">
        <v>7100.08</v>
      </c>
      <c r="AD58" s="4">
        <f>AC58/AB58-1</f>
        <v>-0.159204592822767</v>
      </c>
    </row>
    <row r="59" spans="1:30">
      <c r="A59" t="s">
        <v>1146</v>
      </c>
      <c r="B59" t="s">
        <v>1147</v>
      </c>
      <c r="C59">
        <v>432</v>
      </c>
      <c r="E59" t="s">
        <v>1147</v>
      </c>
      <c r="F59">
        <v>377</v>
      </c>
      <c r="G59" t="b">
        <f>IF(B59=E59,TRUE,FALSE)</f>
        <v>1</v>
      </c>
      <c r="J59">
        <f>F59-C59</f>
        <v>-55</v>
      </c>
      <c r="K59" s="4">
        <f>F59/C59-1</f>
        <v>-0.12731481481481477</v>
      </c>
      <c r="L59" s="4"/>
      <c r="N59" s="5">
        <v>155.66999999999999</v>
      </c>
      <c r="O59" s="5">
        <v>131.4</v>
      </c>
      <c r="Q59" s="5">
        <v>1007.45</v>
      </c>
      <c r="S59" s="173">
        <f t="shared" si="0"/>
        <v>0.34854111405835547</v>
      </c>
      <c r="T59" s="132">
        <f>O59-N59</f>
        <v>-24.269999999999982</v>
      </c>
      <c r="U59" s="4">
        <f>IF(N59=0,0,O59/N59-1)</f>
        <v>-0.15590672576604347</v>
      </c>
      <c r="AB59" s="18">
        <v>9499.68</v>
      </c>
      <c r="AC59" s="18">
        <v>8290.01</v>
      </c>
      <c r="AD59" s="4">
        <f>AC59/AB59-1</f>
        <v>-0.12733797348963338</v>
      </c>
    </row>
    <row r="60" spans="1:30" ht="13.9" customHeight="1">
      <c r="A60" t="s">
        <v>1148</v>
      </c>
      <c r="B60" t="s">
        <v>1149</v>
      </c>
      <c r="C60">
        <v>855</v>
      </c>
      <c r="E60" t="s">
        <v>1149</v>
      </c>
      <c r="F60">
        <v>800</v>
      </c>
      <c r="G60" t="b">
        <f>IF(B60=E60,TRUE,FALSE)</f>
        <v>1</v>
      </c>
      <c r="J60">
        <f>F60-C60</f>
        <v>-55</v>
      </c>
      <c r="K60" s="4">
        <f>F60/C60-1</f>
        <v>-6.4327485380117011E-2</v>
      </c>
      <c r="N60" s="5">
        <v>908.68</v>
      </c>
      <c r="O60" s="5">
        <v>929.38</v>
      </c>
      <c r="Q60" s="5">
        <v>3652.41</v>
      </c>
      <c r="S60" s="173">
        <f t="shared" si="0"/>
        <v>1.1617249999999999</v>
      </c>
      <c r="T60" s="132">
        <f>O60-N60</f>
        <v>20.700000000000045</v>
      </c>
      <c r="U60" s="4">
        <f>IF(N60=0,0,O60/N60-1)</f>
        <v>2.2780296694105751E-2</v>
      </c>
      <c r="AB60" s="18">
        <v>17057.050000000003</v>
      </c>
      <c r="AC60" s="18">
        <v>15958.4</v>
      </c>
      <c r="AD60" s="4">
        <f>AC60/AB60-1</f>
        <v>-6.4410317141592621E-2</v>
      </c>
    </row>
    <row r="61" spans="1:30" ht="13.9" customHeight="1">
      <c r="A61" t="s">
        <v>1150</v>
      </c>
      <c r="B61" t="s">
        <v>1151</v>
      </c>
      <c r="C61">
        <v>870</v>
      </c>
      <c r="E61" t="s">
        <v>1151</v>
      </c>
      <c r="F61">
        <v>819</v>
      </c>
      <c r="G61" t="b">
        <f>IF(B61=E61,TRUE,FALSE)</f>
        <v>1</v>
      </c>
      <c r="J61">
        <f>F61-C61</f>
        <v>-51</v>
      </c>
      <c r="K61" s="4">
        <f>F61/C61-1</f>
        <v>-5.862068965517242E-2</v>
      </c>
      <c r="N61" s="5">
        <v>729</v>
      </c>
      <c r="O61" s="5">
        <v>655.82</v>
      </c>
      <c r="Q61" s="5">
        <v>4838.93</v>
      </c>
      <c r="S61" s="173">
        <f t="shared" si="0"/>
        <v>0.80075702075702082</v>
      </c>
      <c r="T61" s="132">
        <f>O61-N61</f>
        <v>-73.17999999999995</v>
      </c>
      <c r="U61" s="4">
        <f>IF(N61=0,0,O61/N61-1)</f>
        <v>-0.1003840877914951</v>
      </c>
      <c r="X61" s="5"/>
      <c r="Y61" s="5"/>
      <c r="Z61" s="5"/>
      <c r="AA61" s="17"/>
      <c r="AB61" s="18">
        <v>17391.099999999999</v>
      </c>
      <c r="AC61" s="18">
        <v>16369.61</v>
      </c>
      <c r="AD61" s="4">
        <f>AC61/AB61-1</f>
        <v>-5.8736365152290415E-2</v>
      </c>
    </row>
    <row r="62" spans="1:30" ht="13.9" customHeight="1">
      <c r="A62" t="s">
        <v>1152</v>
      </c>
      <c r="B62" t="s">
        <v>1153</v>
      </c>
      <c r="C62">
        <v>425</v>
      </c>
      <c r="E62" t="s">
        <v>1153</v>
      </c>
      <c r="F62">
        <v>374</v>
      </c>
      <c r="G62" t="b">
        <f>IF(B62=E62,TRUE,FALSE)</f>
        <v>1</v>
      </c>
      <c r="J62">
        <f>F62-C62</f>
        <v>-51</v>
      </c>
      <c r="K62" s="4">
        <f>F62/C62-1</f>
        <v>-0.12</v>
      </c>
      <c r="L62" s="4"/>
      <c r="N62" s="5">
        <v>490.62</v>
      </c>
      <c r="O62" s="5">
        <v>407.95</v>
      </c>
      <c r="Q62" s="5">
        <v>2459.9899999999998</v>
      </c>
      <c r="S62" s="173">
        <f t="shared" si="0"/>
        <v>1.0907754010695188</v>
      </c>
      <c r="T62" s="132">
        <f>O62-N62</f>
        <v>-82.670000000000016</v>
      </c>
      <c r="U62" s="4">
        <f>IF(N62=0,0,O62/N62-1)</f>
        <v>-0.16850108026578614</v>
      </c>
      <c r="AB62" s="18">
        <v>12698.5</v>
      </c>
      <c r="AC62" s="18">
        <v>11170.15</v>
      </c>
      <c r="AD62" s="4">
        <f>AC62/AB62-1</f>
        <v>-0.12035673504744659</v>
      </c>
    </row>
    <row r="63" spans="1:30" ht="13.9" customHeight="1">
      <c r="A63" t="s">
        <v>1154</v>
      </c>
      <c r="B63" t="s">
        <v>1155</v>
      </c>
      <c r="C63">
        <v>295</v>
      </c>
      <c r="E63" t="s">
        <v>1155</v>
      </c>
      <c r="F63">
        <v>256</v>
      </c>
      <c r="G63" t="b">
        <f>IF(B63=E63,TRUE,FALSE)</f>
        <v>1</v>
      </c>
      <c r="J63">
        <f>F63-C63</f>
        <v>-39</v>
      </c>
      <c r="K63" s="4">
        <f>F63/C63-1</f>
        <v>-0.1322033898305085</v>
      </c>
      <c r="L63" s="4"/>
      <c r="N63" s="5">
        <v>0</v>
      </c>
      <c r="O63" s="5">
        <v>0</v>
      </c>
      <c r="Q63" s="5">
        <v>0</v>
      </c>
      <c r="S63" s="173">
        <f t="shared" si="0"/>
        <v>0</v>
      </c>
      <c r="T63" s="132">
        <f>O63-N63</f>
        <v>0</v>
      </c>
      <c r="U63" s="4">
        <f>IF(N63=0,0,O63/N63-1)</f>
        <v>0</v>
      </c>
      <c r="AB63" s="18">
        <v>2947.05</v>
      </c>
      <c r="AC63" s="18">
        <v>2557.44</v>
      </c>
      <c r="AD63" s="4">
        <f>AC63/AB63-1</f>
        <v>-0.1322033898305085</v>
      </c>
    </row>
    <row r="64" spans="1:30" ht="13.9" customHeight="1">
      <c r="A64" t="s">
        <v>1156</v>
      </c>
      <c r="B64" t="s">
        <v>1157</v>
      </c>
      <c r="C64">
        <v>259</v>
      </c>
      <c r="E64" t="s">
        <v>1157</v>
      </c>
      <c r="F64">
        <v>224</v>
      </c>
      <c r="G64" t="b">
        <f>IF(B64=E64,TRUE,FALSE)</f>
        <v>1</v>
      </c>
      <c r="J64">
        <f>F64-C64</f>
        <v>-35</v>
      </c>
      <c r="K64" s="4">
        <f>F64/C64-1</f>
        <v>-0.13513513513513509</v>
      </c>
      <c r="N64" s="5">
        <v>355.8</v>
      </c>
      <c r="O64" s="5">
        <v>413.91</v>
      </c>
      <c r="Q64" s="5">
        <v>2006.31</v>
      </c>
      <c r="S64" s="173">
        <f t="shared" si="0"/>
        <v>1.8478125000000001</v>
      </c>
      <c r="T64" s="132">
        <f>O64-N64</f>
        <v>58.110000000000014</v>
      </c>
      <c r="U64" s="4">
        <f>IF(N64=0,0,O64/N64-1)</f>
        <v>0.1633220910623947</v>
      </c>
      <c r="AB64" s="18">
        <v>5177.21</v>
      </c>
      <c r="AC64" s="18">
        <v>4477.3599999999997</v>
      </c>
      <c r="AD64" s="4">
        <f>AC64/AB64-1</f>
        <v>-0.13517898636524317</v>
      </c>
    </row>
    <row r="65" spans="1:30" ht="13.9" customHeight="1">
      <c r="A65" t="s">
        <v>1158</v>
      </c>
      <c r="B65" t="s">
        <v>1159</v>
      </c>
      <c r="C65">
        <v>887</v>
      </c>
      <c r="E65" t="s">
        <v>1159</v>
      </c>
      <c r="F65">
        <v>855</v>
      </c>
      <c r="G65" t="b">
        <f>IF(B65=E65,TRUE,FALSE)</f>
        <v>1</v>
      </c>
      <c r="J65">
        <f>F65-C65</f>
        <v>-32</v>
      </c>
      <c r="K65" s="4">
        <f>F65/C65-1</f>
        <v>-3.6076662908680945E-2</v>
      </c>
      <c r="L65" s="4"/>
      <c r="N65" s="5">
        <v>555.32000000000005</v>
      </c>
      <c r="O65" s="5">
        <v>616.45000000000005</v>
      </c>
      <c r="Q65" s="5">
        <v>4386.76</v>
      </c>
      <c r="S65" s="173">
        <f t="shared" si="0"/>
        <v>0.72099415204678363</v>
      </c>
      <c r="T65" s="132">
        <f>O65-N65</f>
        <v>61.129999999999995</v>
      </c>
      <c r="U65" s="4">
        <f>IF(N65=0,0,O65/N65-1)</f>
        <v>0.11008067420586332</v>
      </c>
      <c r="AB65" s="18">
        <v>18378.73</v>
      </c>
      <c r="AC65" s="18">
        <v>18798.59</v>
      </c>
      <c r="AD65" s="4">
        <f>AC65/AB65-1</f>
        <v>2.2844886452981328E-2</v>
      </c>
    </row>
    <row r="66" spans="1:30" ht="13.9" customHeight="1">
      <c r="A66" s="55" t="s">
        <v>1160</v>
      </c>
      <c r="B66" t="s">
        <v>1161</v>
      </c>
      <c r="C66">
        <v>674</v>
      </c>
      <c r="E66" t="s">
        <v>1161</v>
      </c>
      <c r="F66">
        <v>647</v>
      </c>
      <c r="G66" t="b">
        <f>IF(B66=E66,TRUE,FALSE)</f>
        <v>1</v>
      </c>
      <c r="J66">
        <f>F66-C66</f>
        <v>-27</v>
      </c>
      <c r="K66" s="4">
        <f>F66/C66-1</f>
        <v>-4.0059347181008897E-2</v>
      </c>
      <c r="L66" s="4"/>
      <c r="N66" s="5">
        <v>1423.39</v>
      </c>
      <c r="O66" s="5">
        <v>1880.7</v>
      </c>
      <c r="Q66" s="5">
        <v>7587.05</v>
      </c>
      <c r="S66" s="173">
        <f t="shared" si="0"/>
        <v>2.9068006182380217</v>
      </c>
      <c r="T66" s="132">
        <f>O66-N66</f>
        <v>457.30999999999995</v>
      </c>
      <c r="U66" s="4">
        <f>IF(N66=0,0,O66/N66-1)</f>
        <v>0.32128229086898163</v>
      </c>
      <c r="AB66" s="18">
        <v>9429.26</v>
      </c>
      <c r="AC66" s="18">
        <v>9156.5300000000007</v>
      </c>
      <c r="AD66" s="4">
        <f>AC66/AB66-1</f>
        <v>-2.8923796777265642E-2</v>
      </c>
    </row>
    <row r="67" spans="1:30" ht="13.9" customHeight="1">
      <c r="A67" t="s">
        <v>1162</v>
      </c>
      <c r="B67" t="s">
        <v>1163</v>
      </c>
      <c r="C67">
        <v>753</v>
      </c>
      <c r="E67" t="s">
        <v>1163</v>
      </c>
      <c r="F67">
        <v>734</v>
      </c>
      <c r="G67" t="b">
        <f>IF(B67=E67,TRUE,FALSE)</f>
        <v>1</v>
      </c>
      <c r="J67">
        <f>F67-C67</f>
        <v>-19</v>
      </c>
      <c r="K67" s="4">
        <f>F67/C67-1</f>
        <v>-2.5232403718459473E-2</v>
      </c>
      <c r="N67" s="5">
        <v>505.87</v>
      </c>
      <c r="O67" s="5">
        <v>636.79999999999995</v>
      </c>
      <c r="Q67" s="5">
        <v>2796.25</v>
      </c>
      <c r="S67" s="173">
        <f t="shared" si="0"/>
        <v>0.86757493188010892</v>
      </c>
      <c r="T67" s="132">
        <f>O67-N67</f>
        <v>130.92999999999995</v>
      </c>
      <c r="U67" s="4">
        <f>IF(N67=0,0,O67/N67-1)</f>
        <v>0.25882143633739885</v>
      </c>
      <c r="AB67" s="18">
        <v>14268.97</v>
      </c>
      <c r="AC67" s="18">
        <v>13907.02</v>
      </c>
      <c r="AD67" s="4">
        <f>AC67/AB67-1</f>
        <v>-2.5366231760246105E-2</v>
      </c>
    </row>
    <row r="68" spans="1:30" ht="13.9" customHeight="1">
      <c r="A68" t="s">
        <v>1164</v>
      </c>
      <c r="B68" t="s">
        <v>1165</v>
      </c>
      <c r="C68">
        <v>996</v>
      </c>
      <c r="E68" t="s">
        <v>1165</v>
      </c>
      <c r="F68">
        <v>977</v>
      </c>
      <c r="G68" t="b">
        <f>IF(B68=E68,TRUE,FALSE)</f>
        <v>1</v>
      </c>
      <c r="J68">
        <f>F68-C68</f>
        <v>-19</v>
      </c>
      <c r="K68" s="4">
        <f>F68/C68-1</f>
        <v>-1.9076305220883549E-2</v>
      </c>
      <c r="L68" s="4"/>
      <c r="N68" s="5">
        <v>2220.34</v>
      </c>
      <c r="O68" s="5">
        <v>1453.99</v>
      </c>
      <c r="Q68" s="5">
        <v>5538.17</v>
      </c>
      <c r="S68" s="173">
        <f t="shared" si="0"/>
        <v>1.4882190378710338</v>
      </c>
      <c r="T68" s="132">
        <f>O68-N68</f>
        <v>-766.35000000000014</v>
      </c>
      <c r="U68" s="4">
        <f>IF(N68=0,0,O68/N68-1)</f>
        <v>-0.34514984191610298</v>
      </c>
      <c r="AB68" s="18">
        <v>18558.04</v>
      </c>
      <c r="AC68" s="18">
        <v>19527.03</v>
      </c>
      <c r="AD68" s="4">
        <f>AC68/AB68-1</f>
        <v>5.2214026912324574E-2</v>
      </c>
    </row>
    <row r="69" spans="1:30" ht="13.9" customHeight="1">
      <c r="A69" t="s">
        <v>1166</v>
      </c>
      <c r="B69" t="s">
        <v>1167</v>
      </c>
      <c r="C69">
        <v>535</v>
      </c>
      <c r="E69" t="s">
        <v>1167</v>
      </c>
      <c r="F69">
        <v>518</v>
      </c>
      <c r="G69" t="b">
        <f>IF(B69=E69,TRUE,FALSE)</f>
        <v>1</v>
      </c>
      <c r="J69">
        <f>F69-C69</f>
        <v>-17</v>
      </c>
      <c r="K69" s="4">
        <f>F69/C69-1</f>
        <v>-3.1775700934579487E-2</v>
      </c>
      <c r="L69" s="4"/>
      <c r="N69" s="5">
        <v>750.32</v>
      </c>
      <c r="O69" s="5">
        <v>806.86</v>
      </c>
      <c r="Q69" s="5">
        <v>5413.78</v>
      </c>
      <c r="S69" s="173">
        <f t="shared" ref="S69:S121" si="1">O69/F69</f>
        <v>1.5576447876447876</v>
      </c>
      <c r="T69" s="132">
        <f>O69-N69</f>
        <v>56.539999999999964</v>
      </c>
      <c r="U69" s="4">
        <f>IF(N69=0,0,O69/N69-1)</f>
        <v>7.5354515406759637E-2</v>
      </c>
      <c r="AB69" s="18">
        <v>9068.08</v>
      </c>
      <c r="AC69" s="18">
        <v>8778.74</v>
      </c>
      <c r="AD69" s="4">
        <f>AC69/AB69-1</f>
        <v>-3.1907526179742574E-2</v>
      </c>
    </row>
    <row r="70" spans="1:30" ht="14.25" customHeight="1">
      <c r="A70" s="55" t="s">
        <v>1168</v>
      </c>
      <c r="B70" s="37" t="s">
        <v>1169</v>
      </c>
      <c r="C70">
        <v>165</v>
      </c>
      <c r="E70" s="37" t="s">
        <v>1169</v>
      </c>
      <c r="F70">
        <v>152</v>
      </c>
      <c r="G70" t="b">
        <f>IF(B70=E70,TRUE,FALSE)</f>
        <v>1</v>
      </c>
      <c r="J70">
        <f>F70-C70</f>
        <v>-13</v>
      </c>
      <c r="K70" s="4">
        <f>F70/C70-1</f>
        <v>-7.878787878787874E-2</v>
      </c>
      <c r="L70" s="4"/>
      <c r="N70" s="5">
        <v>614.11</v>
      </c>
      <c r="O70" s="5">
        <v>778.12</v>
      </c>
      <c r="Q70" s="5">
        <v>3756.21</v>
      </c>
      <c r="S70" s="173">
        <f t="shared" si="1"/>
        <v>5.1192105263157899</v>
      </c>
      <c r="T70" s="132">
        <f>O70-N70</f>
        <v>164.01</v>
      </c>
      <c r="U70" s="4">
        <f>IF(N70=0,0,O70/N70-1)</f>
        <v>0.26706941753106128</v>
      </c>
      <c r="AB70" s="18">
        <v>4123.1000000000004</v>
      </c>
      <c r="AC70" s="18">
        <v>3798.48</v>
      </c>
      <c r="AD70" s="4">
        <f>AC70/AB70-1</f>
        <v>-7.8732022022264925E-2</v>
      </c>
    </row>
    <row r="71" spans="1:30" ht="13.9" customHeight="1">
      <c r="A71" t="s">
        <v>1170</v>
      </c>
      <c r="B71" t="s">
        <v>1171</v>
      </c>
      <c r="C71">
        <v>686</v>
      </c>
      <c r="E71" t="s">
        <v>1171</v>
      </c>
      <c r="F71">
        <v>677</v>
      </c>
      <c r="G71" t="b">
        <f>IF(B71=E71,TRUE,FALSE)</f>
        <v>1</v>
      </c>
      <c r="J71">
        <f>F71-C71</f>
        <v>-9</v>
      </c>
      <c r="K71" s="4">
        <f>F71/C71-1</f>
        <v>-1.3119533527696792E-2</v>
      </c>
      <c r="L71" s="4"/>
      <c r="N71" s="5">
        <v>402.86</v>
      </c>
      <c r="O71" s="5">
        <v>707.75</v>
      </c>
      <c r="Q71" s="5">
        <v>3822.73</v>
      </c>
      <c r="S71" s="173">
        <f t="shared" si="1"/>
        <v>1.0454209748892171</v>
      </c>
      <c r="T71" s="132">
        <f>O71-N71</f>
        <v>304.89</v>
      </c>
      <c r="U71" s="4">
        <f>IF(N71=0,0,O71/N71-1)</f>
        <v>0.75681378146254286</v>
      </c>
      <c r="AB71" s="18">
        <v>11627.19</v>
      </c>
      <c r="AC71" s="18">
        <v>11473.28</v>
      </c>
      <c r="AD71" s="4">
        <f>AC71/AB71-1</f>
        <v>-1.3237076198118314E-2</v>
      </c>
    </row>
    <row r="72" spans="1:30" ht="13.9" customHeight="1">
      <c r="A72" t="s">
        <v>1172</v>
      </c>
      <c r="B72" t="s">
        <v>1173</v>
      </c>
      <c r="C72">
        <v>18</v>
      </c>
      <c r="E72" t="s">
        <v>1173</v>
      </c>
      <c r="F72">
        <v>13</v>
      </c>
      <c r="G72" t="b">
        <f>IF(B72=E72,TRUE,FALSE)</f>
        <v>1</v>
      </c>
      <c r="J72">
        <f>F72-C72</f>
        <v>-5</v>
      </c>
      <c r="K72" s="4">
        <f>F72/C72-1</f>
        <v>-0.27777777777777779</v>
      </c>
      <c r="L72" s="4"/>
      <c r="N72" s="5">
        <v>10.16</v>
      </c>
      <c r="O72" s="5">
        <v>16.14</v>
      </c>
      <c r="Q72" s="5">
        <v>192.73</v>
      </c>
      <c r="S72" s="173">
        <f t="shared" si="1"/>
        <v>1.2415384615384615</v>
      </c>
      <c r="T72" s="132">
        <f>O72-N72</f>
        <v>5.98</v>
      </c>
      <c r="U72" s="4">
        <f>IF(N72=0,0,O72/N72-1)</f>
        <v>0.5885826771653544</v>
      </c>
      <c r="AB72" s="18">
        <v>701.1</v>
      </c>
      <c r="AC72" s="18">
        <v>506.35</v>
      </c>
      <c r="AD72" s="4">
        <f>AC72/AB72-1</f>
        <v>-0.27777777777777779</v>
      </c>
    </row>
    <row r="73" spans="1:30">
      <c r="A73" t="s">
        <v>1174</v>
      </c>
      <c r="B73" t="s">
        <v>1175</v>
      </c>
      <c r="C73">
        <v>261</v>
      </c>
      <c r="E73" t="s">
        <v>1175</v>
      </c>
      <c r="F73">
        <v>258</v>
      </c>
      <c r="G73" t="b">
        <f>IF(B73=E73,TRUE,FALSE)</f>
        <v>1</v>
      </c>
      <c r="J73">
        <f>F73-C73</f>
        <v>-3</v>
      </c>
      <c r="K73" s="4">
        <f>F73/C73-1</f>
        <v>-1.1494252873563204E-2</v>
      </c>
      <c r="L73" s="4"/>
      <c r="N73" s="5">
        <v>655.14</v>
      </c>
      <c r="O73" s="5">
        <v>662.92</v>
      </c>
      <c r="Q73" s="5">
        <v>4461.74</v>
      </c>
      <c r="S73" s="173">
        <f t="shared" si="1"/>
        <v>2.5694573643410852</v>
      </c>
      <c r="T73" s="132">
        <f>O73-N73</f>
        <v>7.7799999999999727</v>
      </c>
      <c r="U73" s="4">
        <f>IF(N73=0,0,O73/N73-1)</f>
        <v>1.1875324358152417E-2</v>
      </c>
      <c r="AB73" s="18">
        <v>7827.09</v>
      </c>
      <c r="AC73" s="18">
        <v>7735.62</v>
      </c>
      <c r="AD73" s="4">
        <f>AC73/AB73-1</f>
        <v>-1.1686335534662362E-2</v>
      </c>
    </row>
    <row r="74" spans="1:30">
      <c r="A74" t="s">
        <v>1176</v>
      </c>
      <c r="B74" t="s">
        <v>1177</v>
      </c>
      <c r="C74">
        <v>801</v>
      </c>
      <c r="E74" t="s">
        <v>1177</v>
      </c>
      <c r="F74">
        <v>799</v>
      </c>
      <c r="G74" t="b">
        <f>IF(B74=E74,TRUE,FALSE)</f>
        <v>1</v>
      </c>
      <c r="J74">
        <f>F74-C74</f>
        <v>-2</v>
      </c>
      <c r="K74" s="4">
        <f>F74/C74-1</f>
        <v>-2.4968789013732895E-3</v>
      </c>
      <c r="L74" s="4"/>
      <c r="N74" s="5">
        <v>905.79</v>
      </c>
      <c r="O74" s="5">
        <v>770.42</v>
      </c>
      <c r="Q74" s="5">
        <v>3988.85</v>
      </c>
      <c r="S74" s="173">
        <f t="shared" si="1"/>
        <v>0.96423028785982468</v>
      </c>
      <c r="T74" s="132">
        <f>O74-N74</f>
        <v>-135.37</v>
      </c>
      <c r="U74" s="4">
        <f>IF(N74=0,0,O74/N74-1)</f>
        <v>-0.14944965168526925</v>
      </c>
      <c r="AB74" s="18">
        <v>11173.95</v>
      </c>
      <c r="AC74" s="18">
        <v>11146.05</v>
      </c>
      <c r="AD74" s="4">
        <f>AC74/AB74-1</f>
        <v>-2.4968789013734005E-3</v>
      </c>
    </row>
    <row r="75" spans="1:30">
      <c r="A75" t="s">
        <v>1178</v>
      </c>
      <c r="B75" t="s">
        <v>1179</v>
      </c>
      <c r="C75">
        <v>1</v>
      </c>
      <c r="E75" t="s">
        <v>1179</v>
      </c>
      <c r="F75">
        <v>0</v>
      </c>
      <c r="G75" t="b">
        <f>IF(B75=E75,TRUE,FALSE)</f>
        <v>1</v>
      </c>
      <c r="J75">
        <f>F75-C75</f>
        <v>-1</v>
      </c>
      <c r="K75" s="4">
        <f>F75/C75-1</f>
        <v>-1</v>
      </c>
      <c r="L75" s="4"/>
      <c r="N75" s="5">
        <v>0</v>
      </c>
      <c r="O75" s="5">
        <v>0</v>
      </c>
      <c r="Q75" s="5">
        <v>0</v>
      </c>
      <c r="S75" s="173" t="e">
        <f t="shared" si="1"/>
        <v>#DIV/0!</v>
      </c>
      <c r="T75" s="132">
        <f>O75-N75</f>
        <v>0</v>
      </c>
      <c r="U75" s="4">
        <f>IF(N75=0,0,O75/N75-1)</f>
        <v>0</v>
      </c>
      <c r="AB75" s="18">
        <v>18.95</v>
      </c>
      <c r="AC75" s="18">
        <v>0</v>
      </c>
      <c r="AD75" s="4">
        <f>AC75/AB75-1</f>
        <v>-1</v>
      </c>
    </row>
    <row r="76" spans="1:30">
      <c r="A76" t="s">
        <v>1180</v>
      </c>
      <c r="B76" t="s">
        <v>1181</v>
      </c>
      <c r="C76">
        <v>0</v>
      </c>
      <c r="E76" t="s">
        <v>1181</v>
      </c>
      <c r="F76">
        <v>0</v>
      </c>
      <c r="G76" t="b">
        <f>IF(B76=E76,TRUE,FALSE)</f>
        <v>1</v>
      </c>
      <c r="J76">
        <f>F76-C76</f>
        <v>0</v>
      </c>
      <c r="K76" s="4" t="e">
        <f>F76/C76-1</f>
        <v>#DIV/0!</v>
      </c>
      <c r="L76" s="4"/>
      <c r="N76" s="5">
        <v>0</v>
      </c>
      <c r="O76" s="5">
        <v>0</v>
      </c>
      <c r="Q76" s="5">
        <v>0</v>
      </c>
      <c r="S76" s="173" t="e">
        <f t="shared" si="1"/>
        <v>#DIV/0!</v>
      </c>
      <c r="T76" s="132">
        <f>O76-N76</f>
        <v>0</v>
      </c>
      <c r="U76" s="4">
        <f>IF(N76=0,0,O76/N76-1)</f>
        <v>0</v>
      </c>
      <c r="X76" t="s">
        <v>1182</v>
      </c>
      <c r="AB76" s="18">
        <v>0</v>
      </c>
      <c r="AC76" s="18">
        <v>0</v>
      </c>
      <c r="AD76" s="4" t="e">
        <f>AC76/AB76-1</f>
        <v>#DIV/0!</v>
      </c>
    </row>
    <row r="77" spans="1:30">
      <c r="A77" t="s">
        <v>1183</v>
      </c>
      <c r="B77" t="s">
        <v>1184</v>
      </c>
      <c r="C77">
        <v>0</v>
      </c>
      <c r="E77" t="s">
        <v>1184</v>
      </c>
      <c r="F77">
        <v>0</v>
      </c>
      <c r="G77" t="b">
        <f>IF(B77=E77,TRUE,FALSE)</f>
        <v>1</v>
      </c>
      <c r="J77">
        <f>F77-C77</f>
        <v>0</v>
      </c>
      <c r="K77" s="4" t="e">
        <f>F77/C77-1</f>
        <v>#DIV/0!</v>
      </c>
      <c r="N77" s="5">
        <v>0</v>
      </c>
      <c r="O77" s="5">
        <v>0</v>
      </c>
      <c r="Q77" s="5">
        <v>0</v>
      </c>
      <c r="S77" s="173" t="e">
        <f t="shared" si="1"/>
        <v>#DIV/0!</v>
      </c>
      <c r="T77" s="132">
        <f>O77-N77</f>
        <v>0</v>
      </c>
      <c r="U77" s="4">
        <f>IF(N77=0,0,O77/N77-1)</f>
        <v>0</v>
      </c>
      <c r="AB77" s="18">
        <v>0</v>
      </c>
      <c r="AC77" s="18">
        <v>0</v>
      </c>
      <c r="AD77" s="4" t="e">
        <f>AC77/AB77-1</f>
        <v>#DIV/0!</v>
      </c>
    </row>
    <row r="78" spans="1:30">
      <c r="A78" t="s">
        <v>1185</v>
      </c>
      <c r="B78" t="s">
        <v>1186</v>
      </c>
      <c r="C78">
        <v>0</v>
      </c>
      <c r="E78" t="s">
        <v>1186</v>
      </c>
      <c r="F78">
        <v>0</v>
      </c>
      <c r="G78" t="b">
        <f>IF(B78=E78,TRUE,FALSE)</f>
        <v>1</v>
      </c>
      <c r="J78">
        <f>F78-C78</f>
        <v>0</v>
      </c>
      <c r="K78" s="4" t="e">
        <f>F78/C78-1</f>
        <v>#DIV/0!</v>
      </c>
      <c r="L78" s="4"/>
      <c r="N78" s="5">
        <v>0</v>
      </c>
      <c r="O78" s="5">
        <v>0</v>
      </c>
      <c r="Q78" s="5">
        <v>0</v>
      </c>
      <c r="S78" s="173" t="e">
        <f t="shared" si="1"/>
        <v>#DIV/0!</v>
      </c>
      <c r="T78" s="132">
        <f>O78-N78</f>
        <v>0</v>
      </c>
      <c r="U78" s="4">
        <f>IF(N78=0,0,O78/N78-1)</f>
        <v>0</v>
      </c>
      <c r="AB78" s="18">
        <v>0</v>
      </c>
      <c r="AC78" s="18">
        <v>0</v>
      </c>
      <c r="AD78" s="4" t="e">
        <f>AC78/AB78-1</f>
        <v>#DIV/0!</v>
      </c>
    </row>
    <row r="79" spans="1:30">
      <c r="A79" t="s">
        <v>1187</v>
      </c>
      <c r="B79" t="s">
        <v>1188</v>
      </c>
      <c r="C79">
        <v>10</v>
      </c>
      <c r="E79" t="s">
        <v>1188</v>
      </c>
      <c r="F79">
        <v>13</v>
      </c>
      <c r="G79" t="b">
        <f>IF(B79=E79,TRUE,FALSE)</f>
        <v>1</v>
      </c>
      <c r="J79">
        <f>F79-C79</f>
        <v>3</v>
      </c>
      <c r="K79" s="4">
        <f>F79/C79-1</f>
        <v>0.30000000000000004</v>
      </c>
      <c r="L79" s="4"/>
      <c r="N79" s="5">
        <v>26.05</v>
      </c>
      <c r="O79" s="5">
        <v>13.85</v>
      </c>
      <c r="Q79" s="5">
        <v>161.83000000000001</v>
      </c>
      <c r="S79" s="173">
        <f t="shared" si="1"/>
        <v>1.0653846153846154</v>
      </c>
      <c r="T79" s="132">
        <f>O79-N79</f>
        <v>-12.200000000000001</v>
      </c>
      <c r="U79" s="4">
        <f>IF(N79=0,0,O79/N79-1)</f>
        <v>-0.46833013435700577</v>
      </c>
      <c r="AB79" s="18">
        <v>389.5</v>
      </c>
      <c r="AC79" s="18">
        <v>505.96</v>
      </c>
      <c r="AD79" s="4">
        <f>AC79/AB79-1</f>
        <v>0.29899871630295238</v>
      </c>
    </row>
    <row r="80" spans="1:30">
      <c r="A80" s="37" t="s">
        <v>1189</v>
      </c>
      <c r="B80" s="37" t="s">
        <v>1190</v>
      </c>
      <c r="C80">
        <v>215</v>
      </c>
      <c r="E80" s="37" t="s">
        <v>1190</v>
      </c>
      <c r="F80">
        <v>219</v>
      </c>
      <c r="G80" t="b">
        <f>IF(B80=E80,TRUE,FALSE)</f>
        <v>1</v>
      </c>
      <c r="J80">
        <f>F80-C80</f>
        <v>4</v>
      </c>
      <c r="K80" s="4">
        <f>F80/C80-1</f>
        <v>1.8604651162790642E-2</v>
      </c>
      <c r="L80" s="4"/>
      <c r="N80" s="5">
        <v>813.53</v>
      </c>
      <c r="O80" s="5">
        <v>761.13</v>
      </c>
      <c r="Q80" s="5">
        <v>3072.27</v>
      </c>
      <c r="S80" s="173">
        <f t="shared" si="1"/>
        <v>3.4754794520547945</v>
      </c>
      <c r="T80" s="132">
        <f>O80-N80</f>
        <v>-52.399999999999977</v>
      </c>
      <c r="U80" s="4">
        <f>IF(N80=0,0,O80/N80-1)</f>
        <v>-6.441065480068342E-2</v>
      </c>
      <c r="AB80" s="18">
        <v>5372.85</v>
      </c>
      <c r="AC80" s="18">
        <v>5472.31</v>
      </c>
      <c r="AD80" s="4">
        <f>AC80/AB80-1</f>
        <v>1.8511590682784851E-2</v>
      </c>
    </row>
    <row r="81" spans="1:30">
      <c r="A81" t="s">
        <v>1191</v>
      </c>
      <c r="B81" t="s">
        <v>1192</v>
      </c>
      <c r="C81">
        <v>199</v>
      </c>
      <c r="E81" t="s">
        <v>1192</v>
      </c>
      <c r="F81">
        <v>220</v>
      </c>
      <c r="G81" t="b">
        <f>IF(B81=E81,TRUE,FALSE)</f>
        <v>1</v>
      </c>
      <c r="J81">
        <f>F81-C81</f>
        <v>21</v>
      </c>
      <c r="K81" s="4">
        <f>F81/C81-1</f>
        <v>0.10552763819095468</v>
      </c>
      <c r="L81" s="4"/>
      <c r="N81" s="5">
        <v>317.93</v>
      </c>
      <c r="O81" s="5">
        <v>271.39999999999998</v>
      </c>
      <c r="Q81" s="5">
        <v>1341.47</v>
      </c>
      <c r="S81" s="173">
        <f t="shared" si="1"/>
        <v>1.2336363636363636</v>
      </c>
      <c r="T81" s="132">
        <f>O81-N81</f>
        <v>-46.53000000000003</v>
      </c>
      <c r="U81" s="4">
        <f>IF(N81=0,0,O81/N81-1)</f>
        <v>-0.14635297077973153</v>
      </c>
      <c r="AB81" s="18">
        <v>4376.01</v>
      </c>
      <c r="AC81" s="18">
        <v>4836.7</v>
      </c>
      <c r="AD81" s="4">
        <f>AC81/AB81-1</f>
        <v>0.10527626765021103</v>
      </c>
    </row>
    <row r="82" spans="1:30">
      <c r="A82" t="s">
        <v>1193</v>
      </c>
      <c r="B82" t="s">
        <v>1194</v>
      </c>
      <c r="C82">
        <v>4144</v>
      </c>
      <c r="E82" t="s">
        <v>1194</v>
      </c>
      <c r="F82">
        <v>4166</v>
      </c>
      <c r="G82" t="b">
        <f>IF(B82=E82,TRUE,FALSE)</f>
        <v>1</v>
      </c>
      <c r="J82">
        <f>F82-C82</f>
        <v>22</v>
      </c>
      <c r="K82" s="4">
        <f>F82/C82-1</f>
        <v>5.308880308880326E-3</v>
      </c>
      <c r="N82" s="5">
        <v>5302.43</v>
      </c>
      <c r="O82" s="5">
        <v>6037.93</v>
      </c>
      <c r="Q82" s="5">
        <v>25212.54</v>
      </c>
      <c r="S82" s="173">
        <f t="shared" si="1"/>
        <v>1.4493350936149785</v>
      </c>
      <c r="T82" s="132">
        <f>O82-N82</f>
        <v>735.5</v>
      </c>
      <c r="U82" s="4">
        <f>IF(N82=0,0,O82/N82-1)</f>
        <v>0.13870998768489162</v>
      </c>
      <c r="X82" s="5"/>
      <c r="Y82" s="5"/>
      <c r="Z82" s="5"/>
      <c r="AA82" s="17"/>
      <c r="AB82" s="18">
        <v>57974.559999999998</v>
      </c>
      <c r="AC82" s="18">
        <v>58282.34</v>
      </c>
      <c r="AD82" s="4">
        <f>AC82/AB82-1</f>
        <v>5.308880308880326E-3</v>
      </c>
    </row>
    <row r="83" spans="1:30">
      <c r="A83" s="27" t="s">
        <v>1195</v>
      </c>
      <c r="B83" t="s">
        <v>1196</v>
      </c>
      <c r="C83">
        <v>291</v>
      </c>
      <c r="E83" t="s">
        <v>1196</v>
      </c>
      <c r="F83">
        <v>313</v>
      </c>
      <c r="G83" t="b">
        <f>IF(B83=E83,TRUE,FALSE)</f>
        <v>1</v>
      </c>
      <c r="J83">
        <f>F83-C83</f>
        <v>22</v>
      </c>
      <c r="K83" s="4">
        <f>F83/C83-1</f>
        <v>7.5601374570446689E-2</v>
      </c>
      <c r="L83" s="4"/>
      <c r="N83" s="5">
        <v>851.86</v>
      </c>
      <c r="O83" s="5">
        <v>727.7</v>
      </c>
      <c r="Q83" s="5">
        <v>3839.28</v>
      </c>
      <c r="S83" s="173">
        <f t="shared" si="1"/>
        <v>2.3249201277955271</v>
      </c>
      <c r="T83" s="132">
        <f>O83-N83</f>
        <v>-124.15999999999997</v>
      </c>
      <c r="U83" s="4">
        <f>IF(N83=0,0,O83/N83-1)</f>
        <v>-0.14575164933204987</v>
      </c>
      <c r="AB83" s="18">
        <v>6981.09</v>
      </c>
      <c r="AC83" s="18">
        <v>7507.19</v>
      </c>
      <c r="AD83" s="4">
        <f>AC83/AB83-1</f>
        <v>7.5360724471393414E-2</v>
      </c>
    </row>
    <row r="84" spans="1:30">
      <c r="A84" s="56" t="s">
        <v>1197</v>
      </c>
      <c r="B84" s="37" t="s">
        <v>1198</v>
      </c>
      <c r="C84">
        <v>604</v>
      </c>
      <c r="E84" s="37" t="s">
        <v>1198</v>
      </c>
      <c r="F84">
        <v>629</v>
      </c>
      <c r="G84" t="b">
        <f>IF(B84=E84,TRUE,FALSE)</f>
        <v>1</v>
      </c>
      <c r="J84">
        <f>F84-C84</f>
        <v>25</v>
      </c>
      <c r="K84" s="4">
        <f>F84/C84-1</f>
        <v>4.1390728476821126E-2</v>
      </c>
      <c r="L84" s="4"/>
      <c r="N84" s="5">
        <v>1803.9</v>
      </c>
      <c r="O84" s="5">
        <v>2135.34</v>
      </c>
      <c r="Q84" s="5">
        <v>8008.68</v>
      </c>
      <c r="S84" s="173">
        <f t="shared" si="1"/>
        <v>3.3948171701112879</v>
      </c>
      <c r="T84" s="132">
        <f>O84-N84</f>
        <v>331.44000000000005</v>
      </c>
      <c r="U84" s="4">
        <f>IF(N84=0,0,O84/N84-1)</f>
        <v>0.18373524031265598</v>
      </c>
      <c r="AB84" s="18">
        <v>10261.620000000001</v>
      </c>
      <c r="AC84" s="18">
        <v>10685.01</v>
      </c>
      <c r="AD84" s="4">
        <f>AC84/AB84-1</f>
        <v>4.1259567202839298E-2</v>
      </c>
    </row>
    <row r="85" spans="1:30">
      <c r="A85" t="s">
        <v>1199</v>
      </c>
      <c r="B85" t="s">
        <v>1200</v>
      </c>
      <c r="C85">
        <v>1148</v>
      </c>
      <c r="E85" t="s">
        <v>1200</v>
      </c>
      <c r="F85">
        <v>1178</v>
      </c>
      <c r="G85" t="b">
        <f>IF(B85=E85,TRUE,FALSE)</f>
        <v>1</v>
      </c>
      <c r="J85">
        <f>F85-C85</f>
        <v>30</v>
      </c>
      <c r="K85" s="4">
        <f>F85/C85-1</f>
        <v>2.6132404181184565E-2</v>
      </c>
      <c r="L85" s="4"/>
      <c r="N85" s="5">
        <v>1176.0999999999999</v>
      </c>
      <c r="O85" s="5">
        <v>1118.1500000000001</v>
      </c>
      <c r="Q85" s="5">
        <v>5657.83</v>
      </c>
      <c r="S85" s="173">
        <f t="shared" si="1"/>
        <v>0.9491935483870968</v>
      </c>
      <c r="T85" s="132">
        <f>O85-N85</f>
        <v>-57.949999999999818</v>
      </c>
      <c r="U85" s="4">
        <f>IF(N85=0,0,O85/N85-1)</f>
        <v>-4.9273021001615347E-2</v>
      </c>
      <c r="AB85" s="18">
        <v>19504.009999999998</v>
      </c>
      <c r="AC85" s="18">
        <v>20012.86</v>
      </c>
      <c r="AD85" s="4">
        <f>AC85/AB85-1</f>
        <v>2.6089506721951095E-2</v>
      </c>
    </row>
    <row r="86" spans="1:30">
      <c r="A86" t="s">
        <v>1201</v>
      </c>
      <c r="B86" t="s">
        <v>1202</v>
      </c>
      <c r="C86">
        <v>1378</v>
      </c>
      <c r="E86" t="s">
        <v>1202</v>
      </c>
      <c r="F86">
        <v>1410</v>
      </c>
      <c r="G86" t="b">
        <f>IF(B86=E86,TRUE,FALSE)</f>
        <v>1</v>
      </c>
      <c r="J86">
        <f>F86-C86</f>
        <v>32</v>
      </c>
      <c r="K86" s="4">
        <f>F86/C86-1</f>
        <v>2.3222060957909907E-2</v>
      </c>
      <c r="L86" s="6"/>
      <c r="N86" s="5">
        <v>2448.73</v>
      </c>
      <c r="O86" s="5">
        <v>2182.37</v>
      </c>
      <c r="Q86" s="5">
        <v>13736.03</v>
      </c>
      <c r="S86" s="173">
        <f t="shared" si="1"/>
        <v>1.5477801418439716</v>
      </c>
      <c r="T86" s="132">
        <f>O86-N86</f>
        <v>-266.36000000000013</v>
      </c>
      <c r="U86" s="4">
        <f>IF(N86=0,0,O86/N86-1)</f>
        <v>-0.10877475262687197</v>
      </c>
      <c r="AB86" s="18">
        <v>37314.449999999997</v>
      </c>
      <c r="AC86" s="18">
        <v>40839.949999999997</v>
      </c>
      <c r="AD86" s="4">
        <f>AC86/AB86-1</f>
        <v>9.448082445272532E-2</v>
      </c>
    </row>
    <row r="87" spans="1:30">
      <c r="A87" t="s">
        <v>1203</v>
      </c>
      <c r="B87" t="s">
        <v>1204</v>
      </c>
      <c r="C87">
        <v>1701</v>
      </c>
      <c r="E87" t="s">
        <v>1204</v>
      </c>
      <c r="F87">
        <v>1735</v>
      </c>
      <c r="G87" t="b">
        <f>IF(B87=E87,TRUE,FALSE)</f>
        <v>1</v>
      </c>
      <c r="J87">
        <f>F87-C87</f>
        <v>34</v>
      </c>
      <c r="K87" s="4">
        <f>F87/C87-1</f>
        <v>1.9988242210464469E-2</v>
      </c>
      <c r="L87" s="6"/>
      <c r="N87" s="5">
        <v>2487.12</v>
      </c>
      <c r="O87" s="5">
        <v>2427.6799999999998</v>
      </c>
      <c r="Q87" s="5">
        <v>11861.37</v>
      </c>
      <c r="S87" s="173">
        <f t="shared" si="1"/>
        <v>1.3992391930835735</v>
      </c>
      <c r="T87" s="132">
        <f>O87-N87</f>
        <v>-59.440000000000055</v>
      </c>
      <c r="U87" s="4">
        <f>IF(N87=0,0,O87/N87-1)</f>
        <v>-2.3899128309048279E-2</v>
      </c>
      <c r="AB87" s="18">
        <v>32601.49</v>
      </c>
      <c r="AC87" s="18">
        <v>34566.35</v>
      </c>
      <c r="AD87" s="4">
        <f>AC87/AB87-1</f>
        <v>6.0269024513910141E-2</v>
      </c>
    </row>
    <row r="88" spans="1:30">
      <c r="A88" t="s">
        <v>1205</v>
      </c>
      <c r="B88" t="s">
        <v>1206</v>
      </c>
      <c r="C88">
        <v>1190</v>
      </c>
      <c r="E88" t="s">
        <v>1206</v>
      </c>
      <c r="F88">
        <v>1225</v>
      </c>
      <c r="G88" t="b">
        <f>IF(B88=E88,TRUE,FALSE)</f>
        <v>1</v>
      </c>
      <c r="J88">
        <f>F88-C88</f>
        <v>35</v>
      </c>
      <c r="K88" s="4">
        <f>F88/C88-1</f>
        <v>2.9411764705882248E-2</v>
      </c>
      <c r="L88" s="4"/>
      <c r="N88" s="5">
        <v>1364.76</v>
      </c>
      <c r="O88" s="5">
        <v>1189.3900000000001</v>
      </c>
      <c r="Q88" s="5">
        <v>7076.13</v>
      </c>
      <c r="S88" s="173">
        <f t="shared" si="1"/>
        <v>0.97093061224489807</v>
      </c>
      <c r="T88" s="132">
        <f>O88-N88</f>
        <v>-175.36999999999989</v>
      </c>
      <c r="U88" s="4">
        <f>IF(N88=0,0,O88/N88-1)</f>
        <v>-0.12849878366892342</v>
      </c>
      <c r="X88" t="s">
        <v>1207</v>
      </c>
      <c r="AB88" s="18">
        <v>22866.7</v>
      </c>
      <c r="AC88" s="18">
        <v>24485.75</v>
      </c>
      <c r="AD88" s="4">
        <f>AC88/AB88-1</f>
        <v>7.0803832647474252E-2</v>
      </c>
    </row>
    <row r="89" spans="1:30">
      <c r="A89" s="56" t="s">
        <v>1208</v>
      </c>
      <c r="B89" s="37" t="s">
        <v>1209</v>
      </c>
      <c r="C89">
        <v>1461</v>
      </c>
      <c r="E89" s="37" t="s">
        <v>1209</v>
      </c>
      <c r="F89">
        <v>1498</v>
      </c>
      <c r="G89" t="b">
        <f>IF(B89=E89,TRUE,FALSE)</f>
        <v>1</v>
      </c>
      <c r="J89">
        <f>F89-C89</f>
        <v>37</v>
      </c>
      <c r="K89" s="4">
        <f>F89/C89-1</f>
        <v>2.532511978097185E-2</v>
      </c>
      <c r="L89" s="4"/>
      <c r="N89" s="5">
        <v>3501.26</v>
      </c>
      <c r="O89" s="5">
        <v>3609.87</v>
      </c>
      <c r="Q89" s="5">
        <v>16839.62</v>
      </c>
      <c r="S89" s="173">
        <f t="shared" si="1"/>
        <v>2.4097930574098796</v>
      </c>
      <c r="T89" s="132">
        <f>O89-N89</f>
        <v>108.60999999999967</v>
      </c>
      <c r="U89" s="4">
        <f>IF(N90=0,0,O89/N90-1)</f>
        <v>8.6556732466698758</v>
      </c>
      <c r="AB89" s="18">
        <v>29431</v>
      </c>
      <c r="AC89" s="18">
        <v>29942.02</v>
      </c>
      <c r="AD89" s="4">
        <f>AC89/AB89-1</f>
        <v>1.7363324385851753E-2</v>
      </c>
    </row>
    <row r="90" spans="1:30">
      <c r="A90" t="s">
        <v>1210</v>
      </c>
      <c r="B90" t="s">
        <v>1211</v>
      </c>
      <c r="C90">
        <v>370</v>
      </c>
      <c r="E90" t="s">
        <v>1211</v>
      </c>
      <c r="F90">
        <v>408</v>
      </c>
      <c r="G90" t="b">
        <f>IF(B90=E90,TRUE,FALSE)</f>
        <v>1</v>
      </c>
      <c r="J90">
        <f>F90-C90</f>
        <v>38</v>
      </c>
      <c r="K90" s="4">
        <f>F90/C90-1</f>
        <v>0.10270270270270276</v>
      </c>
      <c r="L90" s="4"/>
      <c r="N90" s="5">
        <v>373.86</v>
      </c>
      <c r="O90" s="5">
        <v>205.24</v>
      </c>
      <c r="Q90" s="5">
        <v>1087.2</v>
      </c>
      <c r="S90" s="173">
        <f t="shared" si="1"/>
        <v>0.50303921568627452</v>
      </c>
      <c r="T90" s="132">
        <f>O90-N90</f>
        <v>-168.62</v>
      </c>
      <c r="U90" s="4" t="e">
        <f>IF(#REF!=0,0,O90/#REF!-1)</f>
        <v>#REF!</v>
      </c>
      <c r="AB90" s="18">
        <v>8875.82</v>
      </c>
      <c r="AC90" s="18">
        <v>9761.0499999999993</v>
      </c>
      <c r="AD90" s="4">
        <f>AC90/AB90-1</f>
        <v>9.9735010399039092E-2</v>
      </c>
    </row>
    <row r="91" spans="1:30">
      <c r="A91" t="s">
        <v>1212</v>
      </c>
      <c r="B91" t="s">
        <v>1213</v>
      </c>
      <c r="C91">
        <v>860</v>
      </c>
      <c r="E91" t="s">
        <v>1213</v>
      </c>
      <c r="F91">
        <v>910</v>
      </c>
      <c r="G91" t="b">
        <f>IF(B91=E91,TRUE,FALSE)</f>
        <v>1</v>
      </c>
      <c r="J91">
        <f>F91-C91</f>
        <v>50</v>
      </c>
      <c r="K91" s="4">
        <f>F91/C91-1</f>
        <v>5.8139534883721034E-2</v>
      </c>
      <c r="L91" s="4"/>
      <c r="N91" s="5">
        <v>1357.56</v>
      </c>
      <c r="O91" s="5">
        <v>1616.6</v>
      </c>
      <c r="Q91" s="5">
        <v>8436.34</v>
      </c>
      <c r="S91" s="173">
        <f t="shared" si="1"/>
        <v>1.7764835164835164</v>
      </c>
      <c r="T91" s="132">
        <f>O91-N91</f>
        <v>259.03999999999996</v>
      </c>
      <c r="U91" s="4">
        <f>IF(N91=0,0,O91/N91-1)</f>
        <v>0.19081292907864111</v>
      </c>
      <c r="AB91" s="18">
        <v>14050.55</v>
      </c>
      <c r="AC91" s="18">
        <v>15459.71</v>
      </c>
      <c r="AD91" s="4">
        <f>AC91/AB91-1</f>
        <v>0.10029215938166125</v>
      </c>
    </row>
    <row r="92" spans="1:30">
      <c r="A92" t="s">
        <v>1214</v>
      </c>
      <c r="B92" t="s">
        <v>1215</v>
      </c>
      <c r="C92">
        <v>924</v>
      </c>
      <c r="E92" t="s">
        <v>1215</v>
      </c>
      <c r="F92">
        <v>980</v>
      </c>
      <c r="G92" t="b">
        <f>IF(B92=E92,TRUE,FALSE)</f>
        <v>1</v>
      </c>
      <c r="J92">
        <f>F92-C92</f>
        <v>56</v>
      </c>
      <c r="K92" s="4">
        <f>F92/C92-1</f>
        <v>6.0606060606060552E-2</v>
      </c>
      <c r="L92" s="4"/>
      <c r="N92" s="5">
        <v>2112.19</v>
      </c>
      <c r="O92" s="5">
        <v>2267.9699999999998</v>
      </c>
      <c r="Q92" s="5">
        <v>16573.38</v>
      </c>
      <c r="S92" s="173">
        <f t="shared" si="1"/>
        <v>2.314255102040816</v>
      </c>
      <c r="T92" s="132">
        <f>O92-N92</f>
        <v>155.77999999999975</v>
      </c>
      <c r="U92" s="4">
        <f>IF(N92=0,0,O92/N92-1)</f>
        <v>7.3752834735511419E-2</v>
      </c>
      <c r="Y92" t="s">
        <v>1216</v>
      </c>
      <c r="AB92" s="18">
        <v>24910.93</v>
      </c>
      <c r="AC92" s="18">
        <v>26436.47</v>
      </c>
      <c r="AD92" s="4">
        <f>AC92/AB92-1</f>
        <v>6.1239785106377065E-2</v>
      </c>
    </row>
    <row r="93" spans="1:30">
      <c r="A93" t="s">
        <v>1217</v>
      </c>
      <c r="B93" t="s">
        <v>1218</v>
      </c>
      <c r="C93">
        <v>1488</v>
      </c>
      <c r="E93" t="s">
        <v>1218</v>
      </c>
      <c r="F93">
        <v>1559</v>
      </c>
      <c r="G93" t="b">
        <f>IF(B93=E93,TRUE,FALSE)</f>
        <v>1</v>
      </c>
      <c r="J93">
        <f>F93-C93</f>
        <v>71</v>
      </c>
      <c r="K93" s="4">
        <f>F93/C93-1</f>
        <v>4.7715053763440762E-2</v>
      </c>
      <c r="L93" s="4"/>
      <c r="N93" s="5">
        <v>1714.16</v>
      </c>
      <c r="O93" s="5">
        <v>2170.8200000000002</v>
      </c>
      <c r="Q93" s="5">
        <v>13558.6</v>
      </c>
      <c r="S93" s="173">
        <f t="shared" si="1"/>
        <v>1.3924438742783838</v>
      </c>
      <c r="T93" s="132">
        <f>O93-N93</f>
        <v>456.66000000000008</v>
      </c>
      <c r="U93" s="4">
        <f>IF(N93=0,0,O93/N93-1)</f>
        <v>0.26640453633266437</v>
      </c>
      <c r="AB93" s="18">
        <v>34994.79</v>
      </c>
      <c r="AC93" s="18">
        <v>34572.54</v>
      </c>
      <c r="AD93" s="4">
        <f>AC93/AB93-1</f>
        <v>-1.2066081836753395E-2</v>
      </c>
    </row>
    <row r="94" spans="1:30">
      <c r="A94" t="s">
        <v>1219</v>
      </c>
      <c r="B94" t="s">
        <v>1220</v>
      </c>
      <c r="C94">
        <v>402</v>
      </c>
      <c r="E94" t="s">
        <v>1220</v>
      </c>
      <c r="F94">
        <v>475</v>
      </c>
      <c r="G94" t="b">
        <f>IF(B94=E94,TRUE,FALSE)</f>
        <v>1</v>
      </c>
      <c r="J94">
        <f>F94-C94</f>
        <v>73</v>
      </c>
      <c r="K94" s="4">
        <f>F94/C94-1</f>
        <v>0.18159203980099492</v>
      </c>
      <c r="L94" s="6"/>
      <c r="N94" s="5">
        <v>417.19</v>
      </c>
      <c r="O94" s="5">
        <v>426.99</v>
      </c>
      <c r="Q94" s="5">
        <v>2908.65</v>
      </c>
      <c r="S94" s="173">
        <f t="shared" si="1"/>
        <v>0.89892631578947368</v>
      </c>
      <c r="T94" s="132">
        <f>O94-N94</f>
        <v>9.8000000000000114</v>
      </c>
      <c r="U94" s="4">
        <f>IF(N94=0,0,O94/N94-1)</f>
        <v>2.3490495937102951E-2</v>
      </c>
      <c r="AB94" s="18">
        <v>8839.98</v>
      </c>
      <c r="AC94" s="18">
        <v>10441.51</v>
      </c>
      <c r="AD94" s="4">
        <f>AC94/AB94-1</f>
        <v>0.1811689619207284</v>
      </c>
    </row>
    <row r="95" spans="1:30">
      <c r="A95" s="55" t="s">
        <v>1221</v>
      </c>
      <c r="B95" s="37" t="s">
        <v>1222</v>
      </c>
      <c r="C95">
        <v>749</v>
      </c>
      <c r="E95" s="37" t="s">
        <v>1222</v>
      </c>
      <c r="F95">
        <v>823</v>
      </c>
      <c r="G95" t="b">
        <f>IF(B95=E95,TRUE,FALSE)</f>
        <v>1</v>
      </c>
      <c r="J95">
        <f>F95-C95</f>
        <v>74</v>
      </c>
      <c r="K95" s="4">
        <f>F95/C95-1</f>
        <v>9.8798397863818499E-2</v>
      </c>
      <c r="L95" s="4"/>
      <c r="N95" s="5">
        <v>1304.75</v>
      </c>
      <c r="O95" s="5">
        <v>1387.2</v>
      </c>
      <c r="Q95" s="5">
        <v>5122.32</v>
      </c>
      <c r="S95" s="173">
        <f t="shared" si="1"/>
        <v>1.6855407047387607</v>
      </c>
      <c r="T95" s="132">
        <f>O95-N95</f>
        <v>82.450000000000045</v>
      </c>
      <c r="U95" s="4">
        <f>IF(N96=0,0,O95/N96-1)</f>
        <v>-0.37973959078552011</v>
      </c>
      <c r="AB95" s="18">
        <v>10478.51</v>
      </c>
      <c r="AC95" s="18">
        <v>12464.37</v>
      </c>
      <c r="AD95" s="4">
        <f>AC95/AB95-1</f>
        <v>0.1895174027605071</v>
      </c>
    </row>
    <row r="96" spans="1:30" ht="15" customHeight="1">
      <c r="A96" t="s">
        <v>1223</v>
      </c>
      <c r="B96" t="s">
        <v>1224</v>
      </c>
      <c r="C96">
        <v>1047</v>
      </c>
      <c r="E96" t="s">
        <v>1224</v>
      </c>
      <c r="F96">
        <v>1122</v>
      </c>
      <c r="G96" t="b">
        <f>IF(B96=E96,TRUE,FALSE)</f>
        <v>1</v>
      </c>
      <c r="J96">
        <f>F96-C96</f>
        <v>75</v>
      </c>
      <c r="K96" s="4">
        <f>F96/C96-1</f>
        <v>7.1633237822349649E-2</v>
      </c>
      <c r="L96" s="4"/>
      <c r="N96" s="5">
        <v>2236.48</v>
      </c>
      <c r="O96" s="5">
        <v>1612.08</v>
      </c>
      <c r="Q96" s="5">
        <v>8558.94</v>
      </c>
      <c r="S96" s="173">
        <f t="shared" si="1"/>
        <v>1.4367914438502674</v>
      </c>
      <c r="T96" s="132">
        <f>O96-N96</f>
        <v>-624.40000000000009</v>
      </c>
      <c r="U96" s="4">
        <f>IF(N96=0,0,O96/N96-1)</f>
        <v>-0.27918872513950499</v>
      </c>
      <c r="AB96" s="18">
        <v>29233.24</v>
      </c>
      <c r="AC96" s="18">
        <v>33642.78</v>
      </c>
      <c r="AD96" s="4">
        <f>AC96/AB96-1</f>
        <v>0.15083993426660869</v>
      </c>
    </row>
    <row r="97" spans="1:30" ht="15" customHeight="1">
      <c r="A97" t="s">
        <v>1225</v>
      </c>
      <c r="B97" t="s">
        <v>1226</v>
      </c>
      <c r="C97">
        <v>1133</v>
      </c>
      <c r="E97" t="s">
        <v>1226</v>
      </c>
      <c r="F97">
        <v>1208</v>
      </c>
      <c r="G97" t="b">
        <f>IF(B97=E97,TRUE,FALSE)</f>
        <v>1</v>
      </c>
      <c r="J97">
        <f>F97-C97</f>
        <v>75</v>
      </c>
      <c r="K97" s="4">
        <f>F97/C97-1</f>
        <v>6.619593998234774E-2</v>
      </c>
      <c r="L97" s="4"/>
      <c r="N97" s="5">
        <v>989.71</v>
      </c>
      <c r="O97" s="5">
        <v>1127.74</v>
      </c>
      <c r="Q97" s="5">
        <v>6410.06</v>
      </c>
      <c r="S97" s="173">
        <f t="shared" si="1"/>
        <v>0.93355960264900661</v>
      </c>
      <c r="T97" s="132">
        <f>O97-N97</f>
        <v>138.02999999999997</v>
      </c>
      <c r="U97" s="4">
        <f>IF(N97=0,0,O97/N97-1)</f>
        <v>0.13946509583615407</v>
      </c>
      <c r="AB97" s="18">
        <v>22628.48</v>
      </c>
      <c r="AC97" s="18">
        <v>24144.12</v>
      </c>
      <c r="AD97" s="4">
        <f>AC97/AB97-1</f>
        <v>6.6979311027519195E-2</v>
      </c>
    </row>
    <row r="98" spans="1:30" ht="15" customHeight="1">
      <c r="A98" t="s">
        <v>1227</v>
      </c>
      <c r="B98" t="s">
        <v>1228</v>
      </c>
      <c r="C98">
        <v>296</v>
      </c>
      <c r="E98" t="s">
        <v>1228</v>
      </c>
      <c r="F98">
        <v>372</v>
      </c>
      <c r="G98" t="b">
        <f>IF(B98=E98,TRUE,FALSE)</f>
        <v>1</v>
      </c>
      <c r="J98">
        <f>F98-C98</f>
        <v>76</v>
      </c>
      <c r="K98" s="4">
        <f>F98/C98-1</f>
        <v>0.2567567567567568</v>
      </c>
      <c r="L98" s="4"/>
      <c r="N98" s="5">
        <v>256.83999999999997</v>
      </c>
      <c r="O98" s="5">
        <v>174.76</v>
      </c>
      <c r="Q98" s="5">
        <v>1302.52</v>
      </c>
      <c r="S98" s="173">
        <f t="shared" si="1"/>
        <v>0.46978494623655914</v>
      </c>
      <c r="T98" s="132">
        <f>O98-N98</f>
        <v>-82.079999999999984</v>
      </c>
      <c r="U98" s="4">
        <f>IF(N98=0,0,O98/N98-1)</f>
        <v>-0.3195763899704096</v>
      </c>
      <c r="AB98" s="18">
        <v>11528.81</v>
      </c>
      <c r="AC98" s="18">
        <v>14488.62</v>
      </c>
      <c r="AD98" s="4">
        <f>AC98/AB98-1</f>
        <v>0.25673161410414447</v>
      </c>
    </row>
    <row r="99" spans="1:30" ht="15" customHeight="1">
      <c r="A99" t="s">
        <v>1229</v>
      </c>
      <c r="B99" t="s">
        <v>1230</v>
      </c>
      <c r="C99">
        <v>771</v>
      </c>
      <c r="E99" t="s">
        <v>1230</v>
      </c>
      <c r="F99">
        <v>864</v>
      </c>
      <c r="G99" t="b">
        <f>IF(B99=E99,TRUE,FALSE)</f>
        <v>1</v>
      </c>
      <c r="J99">
        <f>F99-C99</f>
        <v>93</v>
      </c>
      <c r="K99" s="4">
        <f>F99/C99-1</f>
        <v>0.12062256809338523</v>
      </c>
      <c r="L99" s="4"/>
      <c r="N99" s="5">
        <v>711.67</v>
      </c>
      <c r="O99" s="5">
        <v>843.84</v>
      </c>
      <c r="Q99" s="5">
        <v>4355.08</v>
      </c>
      <c r="S99" s="173">
        <f t="shared" si="1"/>
        <v>0.97666666666666668</v>
      </c>
      <c r="T99" s="132">
        <f>O99-N99</f>
        <v>132.17000000000007</v>
      </c>
      <c r="U99" s="4">
        <f>IF(N99=0,0,O99/N99-1)</f>
        <v>0.18571809968103214</v>
      </c>
      <c r="AB99" s="18">
        <v>15403.93</v>
      </c>
      <c r="AC99" s="18">
        <v>17264.48</v>
      </c>
      <c r="AD99" s="4">
        <f>AC99/AB99-1</f>
        <v>0.120784111587108</v>
      </c>
    </row>
    <row r="100" spans="1:30" ht="15" customHeight="1">
      <c r="A100" t="s">
        <v>1231</v>
      </c>
      <c r="B100" t="s">
        <v>1232</v>
      </c>
      <c r="C100">
        <v>1112</v>
      </c>
      <c r="E100" t="s">
        <v>1232</v>
      </c>
      <c r="F100">
        <v>1205</v>
      </c>
      <c r="G100" t="b">
        <f>IF(B100=E100,TRUE,FALSE)</f>
        <v>1</v>
      </c>
      <c r="J100">
        <f>F100-C100</f>
        <v>93</v>
      </c>
      <c r="K100" s="4">
        <f>F100/C100-1</f>
        <v>8.3633093525179891E-2</v>
      </c>
      <c r="N100" s="5">
        <v>1585.44</v>
      </c>
      <c r="O100" s="5">
        <v>1933.6</v>
      </c>
      <c r="Q100" s="5">
        <v>10868.33</v>
      </c>
      <c r="S100" s="173">
        <f t="shared" si="1"/>
        <v>1.6046473029045643</v>
      </c>
      <c r="T100" s="132">
        <f>O100-N100</f>
        <v>348.15999999999985</v>
      </c>
      <c r="U100" s="4">
        <f>IF(N100=0,0,O100/N100-1)</f>
        <v>0.21959834493894426</v>
      </c>
      <c r="X100" s="5"/>
      <c r="Y100" s="5"/>
      <c r="Z100" s="5"/>
      <c r="AA100" s="17"/>
      <c r="AB100" s="18">
        <v>21104.080000000002</v>
      </c>
      <c r="AC100" s="18">
        <v>25522.95</v>
      </c>
      <c r="AD100" s="4">
        <f>AC100/AB100-1</f>
        <v>0.20938463083915515</v>
      </c>
    </row>
    <row r="101" spans="1:30" ht="15" customHeight="1">
      <c r="A101" t="s">
        <v>1233</v>
      </c>
      <c r="B101" t="s">
        <v>1234</v>
      </c>
      <c r="C101">
        <v>1082</v>
      </c>
      <c r="E101" t="s">
        <v>1234</v>
      </c>
      <c r="F101">
        <v>1183</v>
      </c>
      <c r="G101" t="b">
        <f>IF(B101=E101,TRUE,FALSE)</f>
        <v>1</v>
      </c>
      <c r="J101">
        <f>F101-C101</f>
        <v>101</v>
      </c>
      <c r="K101" s="4">
        <f>F101/C101-1</f>
        <v>9.3345656192236559E-2</v>
      </c>
      <c r="L101" s="4"/>
      <c r="N101" s="5">
        <v>1177.4100000000001</v>
      </c>
      <c r="O101" s="5">
        <v>1378.76</v>
      </c>
      <c r="Q101" s="5">
        <v>8734.3799999999992</v>
      </c>
      <c r="S101" s="173">
        <f t="shared" si="1"/>
        <v>1.1654775993237532</v>
      </c>
      <c r="T101" s="132">
        <f>O101-N101</f>
        <v>201.34999999999991</v>
      </c>
      <c r="U101" s="4">
        <f>IF(N101=0,0,O101/N101-1)</f>
        <v>0.1710109477582149</v>
      </c>
      <c r="X101" s="5"/>
      <c r="Y101" s="5"/>
      <c r="Z101" s="5"/>
      <c r="AA101" s="17"/>
      <c r="AB101" s="18">
        <v>37163.94</v>
      </c>
      <c r="AC101" s="18">
        <v>37250.769999999997</v>
      </c>
      <c r="AD101" s="4">
        <f>AC101/AB101-1</f>
        <v>2.3364045900406971E-3</v>
      </c>
    </row>
    <row r="102" spans="1:30" ht="15" customHeight="1">
      <c r="A102" s="27" t="s">
        <v>1235</v>
      </c>
      <c r="B102" s="27" t="s">
        <v>1236</v>
      </c>
      <c r="C102">
        <v>1139</v>
      </c>
      <c r="E102" s="27" t="s">
        <v>1236</v>
      </c>
      <c r="F102">
        <v>1240</v>
      </c>
      <c r="G102" t="b">
        <f>IF(B102=E102,TRUE,FALSE)</f>
        <v>1</v>
      </c>
      <c r="J102">
        <f>F102-C102</f>
        <v>101</v>
      </c>
      <c r="K102" s="4">
        <f>F102/C102-1</f>
        <v>8.8674275680421522E-2</v>
      </c>
      <c r="L102" s="4"/>
      <c r="N102" s="5">
        <v>1927.05</v>
      </c>
      <c r="O102" s="5">
        <v>2146.34</v>
      </c>
      <c r="Q102" s="5">
        <v>9337.99</v>
      </c>
      <c r="S102" s="173">
        <f t="shared" si="1"/>
        <v>1.7309193548387098</v>
      </c>
      <c r="T102" s="132">
        <f>O102-N102</f>
        <v>219.29000000000019</v>
      </c>
      <c r="U102" s="4">
        <f>IF(N102=0,0,O102/N102-1)</f>
        <v>0.11379569808775081</v>
      </c>
      <c r="AB102" s="18">
        <v>25324.489999999998</v>
      </c>
      <c r="AC102" s="18">
        <v>25452.86</v>
      </c>
      <c r="AD102" s="4">
        <f>AC102/AB102-1</f>
        <v>5.0690063254976714E-3</v>
      </c>
    </row>
    <row r="103" spans="1:30" ht="15" customHeight="1">
      <c r="A103" t="s">
        <v>1237</v>
      </c>
      <c r="B103" t="s">
        <v>1238</v>
      </c>
      <c r="C103">
        <v>1230</v>
      </c>
      <c r="E103" t="s">
        <v>1238</v>
      </c>
      <c r="F103">
        <v>1339</v>
      </c>
      <c r="G103" t="b">
        <f>IF(B103=E103,TRUE,FALSE)</f>
        <v>1</v>
      </c>
      <c r="J103">
        <f>F103-C103</f>
        <v>109</v>
      </c>
      <c r="K103" s="4">
        <f>F103/C103-1</f>
        <v>8.8617886178861793E-2</v>
      </c>
      <c r="L103" s="4"/>
      <c r="N103" s="5">
        <v>1382.99</v>
      </c>
      <c r="O103" s="5">
        <v>1702.27</v>
      </c>
      <c r="Q103" s="5">
        <v>10121.049999999999</v>
      </c>
      <c r="S103" s="173">
        <f t="shared" si="1"/>
        <v>1.2712994772218074</v>
      </c>
      <c r="T103" s="132">
        <f>O103-N103</f>
        <v>319.27999999999997</v>
      </c>
      <c r="U103" s="4">
        <f>IF(N103=0,0,O103/N103-1)</f>
        <v>0.23086211758581032</v>
      </c>
      <c r="AB103" s="18">
        <v>22003.22</v>
      </c>
      <c r="AC103" s="18">
        <v>26224.639999999999</v>
      </c>
      <c r="AD103" s="4">
        <f>AC103/AB103-1</f>
        <v>0.19185464672897856</v>
      </c>
    </row>
    <row r="104" spans="1:30" ht="15" customHeight="1">
      <c r="A104" t="s">
        <v>1239</v>
      </c>
      <c r="B104" t="s">
        <v>1240</v>
      </c>
      <c r="C104">
        <v>1190</v>
      </c>
      <c r="E104" t="s">
        <v>1240</v>
      </c>
      <c r="F104">
        <v>1308</v>
      </c>
      <c r="G104" t="b">
        <f>IF(B104=E104,TRUE,FALSE)</f>
        <v>1</v>
      </c>
      <c r="J104">
        <f>F104-C104</f>
        <v>118</v>
      </c>
      <c r="K104" s="4">
        <f>F104/C104-1</f>
        <v>9.915966386554631E-2</v>
      </c>
      <c r="L104" s="4"/>
      <c r="N104" s="5">
        <v>863.45</v>
      </c>
      <c r="O104" s="5">
        <v>1170.07</v>
      </c>
      <c r="Q104" s="5">
        <v>6286.26</v>
      </c>
      <c r="S104" s="173">
        <f t="shared" si="1"/>
        <v>0.89454892966360855</v>
      </c>
      <c r="T104" s="132">
        <f>O104-N104</f>
        <v>306.61999999999989</v>
      </c>
      <c r="U104" s="4">
        <f>IF(N104=0,0,O104/N104-1)</f>
        <v>0.35511031327812836</v>
      </c>
      <c r="AB104" s="18">
        <v>22344.1</v>
      </c>
      <c r="AC104" s="18">
        <v>26144.92</v>
      </c>
      <c r="AD104" s="4">
        <f>AC104/AB104-1</f>
        <v>0.17010396480502687</v>
      </c>
    </row>
    <row r="105" spans="1:30" ht="15" customHeight="1">
      <c r="A105" t="s">
        <v>1241</v>
      </c>
      <c r="B105" t="s">
        <v>1242</v>
      </c>
      <c r="C105">
        <v>1009</v>
      </c>
      <c r="E105" t="s">
        <v>1242</v>
      </c>
      <c r="F105">
        <v>1137</v>
      </c>
      <c r="G105" t="b">
        <f>IF(B105=E105,TRUE,FALSE)</f>
        <v>1</v>
      </c>
      <c r="J105">
        <f>F105-C105</f>
        <v>128</v>
      </c>
      <c r="K105" s="4">
        <f>F105/C105-1</f>
        <v>0.12685827552031714</v>
      </c>
      <c r="L105" s="4"/>
      <c r="N105" s="5">
        <v>748.6</v>
      </c>
      <c r="O105" s="5">
        <v>1066.4000000000001</v>
      </c>
      <c r="Q105" s="5">
        <v>4955.49</v>
      </c>
      <c r="S105" s="173">
        <f t="shared" si="1"/>
        <v>0.9379067722075638</v>
      </c>
      <c r="T105" s="132">
        <f>O105-N105</f>
        <v>317.80000000000007</v>
      </c>
      <c r="U105" s="4">
        <f>IF(N105=0,0,O105/N105-1)</f>
        <v>0.42452578145872311</v>
      </c>
      <c r="AB105" s="18">
        <v>20168.91</v>
      </c>
      <c r="AC105" s="18">
        <v>22706.84</v>
      </c>
      <c r="AD105" s="4">
        <f>AC105/AB105-1</f>
        <v>0.12583377088796577</v>
      </c>
    </row>
    <row r="106" spans="1:30" ht="15" customHeight="1">
      <c r="A106" t="s">
        <v>1243</v>
      </c>
      <c r="B106" t="s">
        <v>1244</v>
      </c>
      <c r="C106">
        <v>942</v>
      </c>
      <c r="E106" t="s">
        <v>1244</v>
      </c>
      <c r="F106">
        <v>1077</v>
      </c>
      <c r="G106" t="b">
        <f>IF(B106=E106,TRUE,FALSE)</f>
        <v>1</v>
      </c>
      <c r="J106">
        <f>F106-C106</f>
        <v>135</v>
      </c>
      <c r="K106" s="4">
        <f>F106/C106-1</f>
        <v>0.1433121019108281</v>
      </c>
      <c r="L106" s="4"/>
      <c r="N106" s="5">
        <v>1030.55</v>
      </c>
      <c r="O106" s="5">
        <v>1220.92</v>
      </c>
      <c r="Q106" s="5">
        <v>8057.49</v>
      </c>
      <c r="S106" s="173">
        <f t="shared" si="1"/>
        <v>1.1336304549675025</v>
      </c>
      <c r="T106" s="132">
        <f>O106-N106</f>
        <v>190.37000000000012</v>
      </c>
      <c r="U106" s="4">
        <f>IF(N106=0,0,O106/N106-1)</f>
        <v>0.18472660229974291</v>
      </c>
      <c r="AB106" s="18">
        <v>16003.73</v>
      </c>
      <c r="AC106" s="18">
        <v>18293.36</v>
      </c>
      <c r="AD106" s="4">
        <f>AC106/AB106-1</f>
        <v>0.1430685221507737</v>
      </c>
    </row>
    <row r="107" spans="1:30" ht="15" customHeight="1">
      <c r="A107" t="s">
        <v>1245</v>
      </c>
      <c r="B107" t="s">
        <v>1246</v>
      </c>
      <c r="C107">
        <v>1087</v>
      </c>
      <c r="E107" t="s">
        <v>1246</v>
      </c>
      <c r="F107">
        <v>1246</v>
      </c>
      <c r="G107" t="b">
        <f>IF(B107=E107,TRUE,FALSE)</f>
        <v>1</v>
      </c>
      <c r="J107">
        <f>F107-C107</f>
        <v>159</v>
      </c>
      <c r="K107" s="4">
        <f>F107/C107-1</f>
        <v>0.14627414903403868</v>
      </c>
      <c r="N107" s="5">
        <v>2213.17</v>
      </c>
      <c r="O107" s="5">
        <v>2247.5300000000002</v>
      </c>
      <c r="Q107" s="5">
        <v>13931.58</v>
      </c>
      <c r="S107" s="173">
        <f t="shared" si="1"/>
        <v>1.8037961476725524</v>
      </c>
      <c r="T107" s="132">
        <f>O107-N107</f>
        <v>34.360000000000127</v>
      </c>
      <c r="U107" s="4">
        <f>IF(N107=0,0,O107/N107-1)</f>
        <v>1.5525242073586742E-2</v>
      </c>
      <c r="X107" s="5"/>
      <c r="Y107" s="5"/>
      <c r="Z107" s="5"/>
      <c r="AA107" s="17"/>
      <c r="AB107" s="18">
        <v>42380.18</v>
      </c>
      <c r="AC107" s="18">
        <v>48453.65</v>
      </c>
      <c r="AD107" s="4">
        <f>AC107/AB107-1</f>
        <v>0.14330920727566521</v>
      </c>
    </row>
    <row r="108" spans="1:30" ht="15" customHeight="1">
      <c r="A108" t="s">
        <v>1247</v>
      </c>
      <c r="B108" t="s">
        <v>1248</v>
      </c>
      <c r="C108">
        <v>364</v>
      </c>
      <c r="E108" t="s">
        <v>1248</v>
      </c>
      <c r="F108">
        <v>526</v>
      </c>
      <c r="G108" t="b">
        <f>IF(B108=E108,TRUE,FALSE)</f>
        <v>1</v>
      </c>
      <c r="J108">
        <f>F108-C108</f>
        <v>162</v>
      </c>
      <c r="K108" s="4">
        <f>F108/C108-1</f>
        <v>0.44505494505494503</v>
      </c>
      <c r="L108" s="4"/>
      <c r="N108" s="5">
        <v>340.93</v>
      </c>
      <c r="O108" s="5">
        <v>616.26</v>
      </c>
      <c r="Q108" s="5">
        <v>3922.6</v>
      </c>
      <c r="S108" s="173">
        <f t="shared" si="1"/>
        <v>1.1715969581749048</v>
      </c>
      <c r="T108" s="132">
        <f>O108-N108</f>
        <v>275.33</v>
      </c>
      <c r="U108" s="4">
        <f>IF(N108=0,0,O108/N108-1)</f>
        <v>0.80758513477840022</v>
      </c>
      <c r="AB108" s="18">
        <v>8004.36</v>
      </c>
      <c r="AC108" s="18">
        <v>11564.32</v>
      </c>
      <c r="AD108" s="4">
        <f>AC108/AB108-1</f>
        <v>0.44475260982764397</v>
      </c>
    </row>
    <row r="109" spans="1:30" ht="15" customHeight="1">
      <c r="A109" t="s">
        <v>1249</v>
      </c>
      <c r="B109" t="s">
        <v>1250</v>
      </c>
      <c r="C109">
        <v>3098</v>
      </c>
      <c r="E109" t="s">
        <v>1250</v>
      </c>
      <c r="F109">
        <v>3268</v>
      </c>
      <c r="G109" t="b">
        <f>IF(B109=E109,TRUE,FALSE)</f>
        <v>1</v>
      </c>
      <c r="J109">
        <f>F109-C109</f>
        <v>170</v>
      </c>
      <c r="K109" s="4">
        <f>F109/C109-1</f>
        <v>5.4874112330535851E-2</v>
      </c>
      <c r="L109" s="4"/>
      <c r="N109" s="5">
        <v>1795.52</v>
      </c>
      <c r="O109" s="5">
        <v>2222.52</v>
      </c>
      <c r="Q109" s="5">
        <v>9296.8700000000008</v>
      </c>
      <c r="S109" s="173">
        <f t="shared" si="1"/>
        <v>0.68008567931456543</v>
      </c>
      <c r="T109" s="132">
        <f>O109-N109</f>
        <v>427</v>
      </c>
      <c r="U109" s="4">
        <f>IF(N109=0,0,O109/N109-1)</f>
        <v>0.23781411513099271</v>
      </c>
      <c r="X109" s="5"/>
      <c r="Y109" s="5" t="s">
        <v>1251</v>
      </c>
      <c r="Z109" s="5"/>
      <c r="AA109" s="17"/>
      <c r="AB109" s="18">
        <v>58028.62</v>
      </c>
      <c r="AC109" s="18">
        <v>65321.52</v>
      </c>
      <c r="AD109" s="4">
        <f>AC109/AB109-1</f>
        <v>0.12567763975776081</v>
      </c>
    </row>
    <row r="110" spans="1:30" ht="15" customHeight="1">
      <c r="A110" s="55" t="s">
        <v>1252</v>
      </c>
      <c r="B110" s="161" t="s">
        <v>1253</v>
      </c>
      <c r="C110">
        <v>209</v>
      </c>
      <c r="E110" s="161" t="s">
        <v>1253</v>
      </c>
      <c r="F110">
        <v>395</v>
      </c>
      <c r="G110" t="b">
        <f>IF(B110=E110,TRUE,FALSE)</f>
        <v>1</v>
      </c>
      <c r="J110">
        <f>F110-C110</f>
        <v>186</v>
      </c>
      <c r="K110" s="4">
        <f>F110/C110-1</f>
        <v>0.88995215311004783</v>
      </c>
      <c r="L110" s="4"/>
      <c r="N110" s="5">
        <v>54.76</v>
      </c>
      <c r="O110" s="5">
        <v>553.41</v>
      </c>
      <c r="Q110" s="5">
        <v>2752.89</v>
      </c>
      <c r="S110" s="173">
        <f t="shared" si="1"/>
        <v>1.4010379746835442</v>
      </c>
      <c r="T110" s="132">
        <f>O110-N110</f>
        <v>498.65</v>
      </c>
      <c r="U110" s="4">
        <f>IF(N110=0,0,O110/N110-1)</f>
        <v>9.1060993425858285</v>
      </c>
      <c r="AB110" s="18">
        <v>4415.91</v>
      </c>
      <c r="AC110" s="18">
        <v>8174.56</v>
      </c>
      <c r="AD110" s="4">
        <f>AC110/AB110-1</f>
        <v>0.85116091587011522</v>
      </c>
    </row>
    <row r="111" spans="1:30" ht="15" customHeight="1">
      <c r="A111" s="55" t="s">
        <v>1254</v>
      </c>
      <c r="B111" s="37" t="s">
        <v>1255</v>
      </c>
      <c r="C111">
        <v>51</v>
      </c>
      <c r="E111" s="37" t="s">
        <v>1255</v>
      </c>
      <c r="F111">
        <v>249</v>
      </c>
      <c r="G111" t="b">
        <f>IF(B111=E111,TRUE,FALSE)</f>
        <v>1</v>
      </c>
      <c r="J111">
        <f>F111-C111</f>
        <v>198</v>
      </c>
      <c r="K111" s="4">
        <f>F111/C111-1</f>
        <v>3.882352941176471</v>
      </c>
      <c r="L111" s="4"/>
      <c r="N111" s="5">
        <v>87.8</v>
      </c>
      <c r="O111" s="5">
        <v>1040.6500000000001</v>
      </c>
      <c r="Q111" s="5">
        <v>3443.68</v>
      </c>
      <c r="S111" s="173">
        <f t="shared" si="1"/>
        <v>4.1793172690763054</v>
      </c>
      <c r="T111" s="132">
        <f>O111-N111</f>
        <v>952.85000000000014</v>
      </c>
      <c r="U111" s="4">
        <f>IF(N111=0,0,O111/N111-1)</f>
        <v>10.852505694760822</v>
      </c>
      <c r="AB111" s="18">
        <v>1019.49</v>
      </c>
      <c r="AC111" s="18">
        <v>4473.07</v>
      </c>
      <c r="AD111" s="4">
        <f>AC111/AB111-1</f>
        <v>3.3875565233597191</v>
      </c>
    </row>
    <row r="112" spans="1:30" ht="15" customHeight="1">
      <c r="A112" t="s">
        <v>1256</v>
      </c>
      <c r="B112" t="s">
        <v>1257</v>
      </c>
      <c r="C112">
        <v>1139</v>
      </c>
      <c r="E112" t="s">
        <v>1257</v>
      </c>
      <c r="F112">
        <v>1422</v>
      </c>
      <c r="G112" t="b">
        <f>IF(B112=E112,TRUE,FALSE)</f>
        <v>1</v>
      </c>
      <c r="J112">
        <f>F112-C112</f>
        <v>283</v>
      </c>
      <c r="K112" s="4">
        <f>F112/C112-1</f>
        <v>0.24846356453028973</v>
      </c>
      <c r="L112" s="4"/>
      <c r="N112" s="5">
        <v>1111.2</v>
      </c>
      <c r="O112" s="5">
        <v>1334.37</v>
      </c>
      <c r="Q112" s="5">
        <v>7759.17</v>
      </c>
      <c r="S112" s="173">
        <f t="shared" si="1"/>
        <v>0.93837552742616026</v>
      </c>
      <c r="T112" s="132">
        <f>O112-N112</f>
        <v>223.16999999999985</v>
      </c>
      <c r="U112" s="4">
        <f>IF(N112=0,0,O112/N112-1)</f>
        <v>0.20083693304535633</v>
      </c>
      <c r="AB112" s="18">
        <v>31949.27</v>
      </c>
      <c r="AC112" s="18">
        <v>40974.660000000003</v>
      </c>
      <c r="AD112" s="4">
        <f>AC112/AB112-1</f>
        <v>0.28249127444852418</v>
      </c>
    </row>
    <row r="113" spans="1:30" ht="15" customHeight="1">
      <c r="A113" t="s">
        <v>1258</v>
      </c>
      <c r="B113" t="s">
        <v>1259</v>
      </c>
      <c r="C113">
        <v>5349</v>
      </c>
      <c r="E113" t="s">
        <v>1259</v>
      </c>
      <c r="F113">
        <v>5647</v>
      </c>
      <c r="G113" t="b">
        <f>IF(B113=E113,TRUE,FALSE)</f>
        <v>1</v>
      </c>
      <c r="J113">
        <f>F113-C113</f>
        <v>298</v>
      </c>
      <c r="K113" s="4">
        <f>F113/C113-1</f>
        <v>5.5711347915498255E-2</v>
      </c>
      <c r="L113" s="4"/>
      <c r="N113" s="5">
        <v>6874.22</v>
      </c>
      <c r="O113" s="5">
        <v>7173.38</v>
      </c>
      <c r="Q113" s="5">
        <v>29958.53</v>
      </c>
      <c r="S113" s="173">
        <f t="shared" si="1"/>
        <v>1.2702992739507704</v>
      </c>
      <c r="T113" s="132">
        <f>O113-N113</f>
        <v>299.15999999999985</v>
      </c>
      <c r="U113" s="4">
        <f>IF(N113=0,0,O113/N113-1)</f>
        <v>4.3519119260076122E-2</v>
      </c>
      <c r="AB113" s="18">
        <v>100531.23999999999</v>
      </c>
      <c r="AC113" s="18">
        <v>105784.4</v>
      </c>
      <c r="AD113" s="4">
        <f>AC113/AB113-1</f>
        <v>5.2254005819484695E-2</v>
      </c>
    </row>
    <row r="114" spans="1:30" ht="15" customHeight="1">
      <c r="A114" s="55" t="s">
        <v>972</v>
      </c>
      <c r="B114" s="37" t="s">
        <v>1260</v>
      </c>
      <c r="C114">
        <v>843</v>
      </c>
      <c r="E114" s="37" t="s">
        <v>1260</v>
      </c>
      <c r="F114">
        <v>1202</v>
      </c>
      <c r="G114" t="b">
        <f>IF(B114=E114,TRUE,FALSE)</f>
        <v>1</v>
      </c>
      <c r="J114">
        <f>F114-C114</f>
        <v>359</v>
      </c>
      <c r="K114" s="4">
        <f>F114/C114-1</f>
        <v>0.42586002372479248</v>
      </c>
      <c r="L114" s="4"/>
      <c r="N114" s="5">
        <v>1286.3499999999999</v>
      </c>
      <c r="O114" s="5">
        <v>3086.69</v>
      </c>
      <c r="Q114" s="5">
        <v>15565.06</v>
      </c>
      <c r="S114" s="173">
        <f t="shared" si="1"/>
        <v>2.5679617304492512</v>
      </c>
      <c r="T114" s="132">
        <f>O114-N114</f>
        <v>1800.3400000000001</v>
      </c>
      <c r="U114" s="4">
        <f>IF(N114=0,0,O114/N114-1)</f>
        <v>1.3995724336300386</v>
      </c>
      <c r="AB114" s="18">
        <v>10997.57</v>
      </c>
      <c r="AC114" s="18">
        <v>18875.98</v>
      </c>
      <c r="AD114" s="4">
        <f>AC114/AB114-1</f>
        <v>0.71637734517716178</v>
      </c>
    </row>
    <row r="115" spans="1:30" ht="15" customHeight="1">
      <c r="A115" t="s">
        <v>1261</v>
      </c>
      <c r="B115" t="s">
        <v>1262</v>
      </c>
      <c r="C115">
        <v>4929</v>
      </c>
      <c r="E115" t="s">
        <v>1262</v>
      </c>
      <c r="F115">
        <v>5310</v>
      </c>
      <c r="G115" t="b">
        <f>IF(B115=E115,TRUE,FALSE)</f>
        <v>1</v>
      </c>
      <c r="J115">
        <f>F115-C115</f>
        <v>381</v>
      </c>
      <c r="K115" s="4">
        <f>F115/C115-1</f>
        <v>7.7297626293365784E-2</v>
      </c>
      <c r="L115" s="4"/>
      <c r="N115" s="5">
        <v>4886.53</v>
      </c>
      <c r="O115" s="5">
        <v>5405.73</v>
      </c>
      <c r="Q115" s="5">
        <v>31118.68</v>
      </c>
      <c r="S115" s="173">
        <f t="shared" si="1"/>
        <v>1.0180282485875705</v>
      </c>
      <c r="T115" s="132">
        <f>O115-N115</f>
        <v>519.19999999999982</v>
      </c>
      <c r="U115" s="4">
        <f>IF(N115=0,0,O115/N115-1)</f>
        <v>0.10625126623595871</v>
      </c>
      <c r="AB115" s="18">
        <v>154872.43</v>
      </c>
      <c r="AC115" s="18">
        <v>152900.07</v>
      </c>
      <c r="AD115" s="4">
        <f>AC115/AB115-1</f>
        <v>-1.2735384858363674E-2</v>
      </c>
    </row>
    <row r="116" spans="1:30" ht="15" customHeight="1">
      <c r="A116" s="55" t="s">
        <v>1263</v>
      </c>
      <c r="B116" s="37" t="s">
        <v>1264</v>
      </c>
      <c r="C116">
        <v>94</v>
      </c>
      <c r="E116" s="37" t="s">
        <v>1264</v>
      </c>
      <c r="F116">
        <v>611</v>
      </c>
      <c r="G116" t="b">
        <f>IF(B116=E116,TRUE,FALSE)</f>
        <v>1</v>
      </c>
      <c r="J116">
        <f>F116-C116</f>
        <v>517</v>
      </c>
      <c r="K116" s="4">
        <f>F116/C116-1</f>
        <v>5.5</v>
      </c>
      <c r="L116" s="4"/>
      <c r="N116" s="5">
        <v>321.95999999999998</v>
      </c>
      <c r="O116" s="5">
        <v>2072.69</v>
      </c>
      <c r="Q116" s="5">
        <v>13080.5</v>
      </c>
      <c r="S116" s="173">
        <f t="shared" si="1"/>
        <v>3.3922913256955809</v>
      </c>
      <c r="U116" s="4"/>
      <c r="AB116" s="18">
        <v>2048.81</v>
      </c>
      <c r="AC116" s="18">
        <v>13148.89</v>
      </c>
      <c r="AD116" s="4">
        <f>AC116/AB116-1</f>
        <v>5.4178181480957237</v>
      </c>
    </row>
    <row r="117" spans="1:30" ht="15" customHeight="1">
      <c r="A117" t="s">
        <v>1265</v>
      </c>
      <c r="B117" t="s">
        <v>1266</v>
      </c>
      <c r="C117">
        <v>1377</v>
      </c>
      <c r="E117" t="s">
        <v>1266</v>
      </c>
      <c r="F117">
        <v>1897</v>
      </c>
      <c r="G117" t="b">
        <f>IF(B117=E117,TRUE,FALSE)</f>
        <v>1</v>
      </c>
      <c r="J117">
        <f>F117-C117</f>
        <v>520</v>
      </c>
      <c r="K117" s="4">
        <f>F117/C117-1</f>
        <v>0.37763253449527956</v>
      </c>
      <c r="L117" s="4"/>
      <c r="N117" s="5">
        <v>973.34</v>
      </c>
      <c r="O117" s="5">
        <v>1871.7</v>
      </c>
      <c r="Q117" s="5">
        <v>11742.66</v>
      </c>
      <c r="S117" s="173">
        <f t="shared" si="1"/>
        <v>0.98666315234580915</v>
      </c>
      <c r="T117" s="132">
        <f>O117-N117</f>
        <v>898.36</v>
      </c>
      <c r="U117" s="4">
        <f>IF(N117=0,0,O117/N117-1)</f>
        <v>0.92296628105286938</v>
      </c>
      <c r="AB117" s="18">
        <v>26148.85</v>
      </c>
      <c r="AC117" s="18">
        <v>33304.06</v>
      </c>
      <c r="AD117" s="4">
        <f>AC117/AB117-1</f>
        <v>0.27363383093329152</v>
      </c>
    </row>
    <row r="118" spans="1:30" ht="15" customHeight="1">
      <c r="A118" t="s">
        <v>1267</v>
      </c>
      <c r="B118" t="s">
        <v>1268</v>
      </c>
      <c r="C118">
        <v>2885</v>
      </c>
      <c r="E118" t="s">
        <v>1268</v>
      </c>
      <c r="F118">
        <v>3570</v>
      </c>
      <c r="G118" t="b">
        <f>IF(B118=E118,TRUE,FALSE)</f>
        <v>1</v>
      </c>
      <c r="J118">
        <f>F118-C118</f>
        <v>685</v>
      </c>
      <c r="K118" s="4">
        <f>F118/C118-1</f>
        <v>0.23743500866551126</v>
      </c>
      <c r="L118" s="4"/>
      <c r="N118" s="5">
        <v>2683.04</v>
      </c>
      <c r="O118" s="5">
        <v>4714.21</v>
      </c>
      <c r="Q118" s="5">
        <v>16948.04</v>
      </c>
      <c r="S118" s="173">
        <f t="shared" si="1"/>
        <v>1.3205070028011205</v>
      </c>
      <c r="T118" s="132">
        <f>O118-N118</f>
        <v>2031.17</v>
      </c>
      <c r="U118" s="4">
        <f>IF(N118=0,0,O118/N118-1)</f>
        <v>0.75704052119983301</v>
      </c>
      <c r="AB118" s="18">
        <v>54490.97</v>
      </c>
      <c r="AC118" s="18">
        <v>60967.7</v>
      </c>
      <c r="AD118" s="4">
        <f>AC118/AB118-1</f>
        <v>0.11885877605041717</v>
      </c>
    </row>
    <row r="119" spans="1:30" ht="15" customHeight="1">
      <c r="A119" t="s">
        <v>1269</v>
      </c>
      <c r="B119" t="s">
        <v>1270</v>
      </c>
      <c r="C119">
        <v>6200</v>
      </c>
      <c r="E119" t="s">
        <v>1270</v>
      </c>
      <c r="F119">
        <v>6892</v>
      </c>
      <c r="G119" t="b">
        <f>IF(B119=E119,TRUE,FALSE)</f>
        <v>1</v>
      </c>
      <c r="J119">
        <f>F119-C119</f>
        <v>692</v>
      </c>
      <c r="K119" s="4">
        <f>F119/C119-1</f>
        <v>0.11161290322580641</v>
      </c>
      <c r="L119" s="4"/>
      <c r="N119" s="5">
        <v>5167.8599999999997</v>
      </c>
      <c r="O119" s="5">
        <v>6645.38</v>
      </c>
      <c r="Q119" s="5">
        <v>36349.129999999997</v>
      </c>
      <c r="S119" s="173">
        <f t="shared" si="1"/>
        <v>0.96421648287869999</v>
      </c>
      <c r="T119" s="132">
        <f>O119-N119</f>
        <v>1477.5200000000004</v>
      </c>
      <c r="U119" s="4">
        <f>IF(N119=0,0,O119/N119-1)</f>
        <v>0.28590557793748284</v>
      </c>
      <c r="X119" t="s">
        <v>1271</v>
      </c>
      <c r="AB119" s="18">
        <v>148825.14000000001</v>
      </c>
      <c r="AC119" s="18">
        <v>155006.84</v>
      </c>
      <c r="AD119" s="4">
        <f>AC119/AB119-1</f>
        <v>4.1536665109134008E-2</v>
      </c>
    </row>
    <row r="120" spans="1:30" ht="15" customHeight="1">
      <c r="A120" s="55" t="s">
        <v>1272</v>
      </c>
      <c r="B120" t="s">
        <v>1273</v>
      </c>
      <c r="C120">
        <v>2098</v>
      </c>
      <c r="E120" t="s">
        <v>1273</v>
      </c>
      <c r="F120">
        <v>2799</v>
      </c>
      <c r="G120" t="b">
        <f>IF(B120=E120,TRUE,FALSE)</f>
        <v>1</v>
      </c>
      <c r="J120">
        <f>F120-C120</f>
        <v>701</v>
      </c>
      <c r="K120" s="4">
        <f>F120/C120-1</f>
        <v>0.33412774070543372</v>
      </c>
      <c r="L120" s="4"/>
      <c r="N120" s="5">
        <v>4064.58</v>
      </c>
      <c r="O120" s="5">
        <v>5601.25</v>
      </c>
      <c r="Q120" s="5">
        <v>56824.99</v>
      </c>
      <c r="S120" s="173">
        <f t="shared" si="1"/>
        <v>2.0011611289746338</v>
      </c>
      <c r="T120" s="132">
        <f>O120-N120</f>
        <v>1536.67</v>
      </c>
      <c r="U120" s="4">
        <f>IF(N120=0,0,O120/N120-1)</f>
        <v>0.37806366217419751</v>
      </c>
      <c r="AB120" s="18">
        <v>62918.42</v>
      </c>
      <c r="AC120" s="18">
        <v>83929.41</v>
      </c>
      <c r="AD120" s="4">
        <f>AC120/AB120-1</f>
        <v>0.33394020383855794</v>
      </c>
    </row>
    <row r="121" spans="1:30" ht="15" customHeight="1">
      <c r="A121" t="s">
        <v>1274</v>
      </c>
      <c r="B121" t="s">
        <v>1275</v>
      </c>
      <c r="C121">
        <v>4004</v>
      </c>
      <c r="E121" t="s">
        <v>1275</v>
      </c>
      <c r="F121">
        <v>5085</v>
      </c>
      <c r="G121" t="b">
        <f>IF(B121=E121,TRUE,FALSE)</f>
        <v>1</v>
      </c>
      <c r="J121">
        <f>F121-C121</f>
        <v>1081</v>
      </c>
      <c r="K121" s="4">
        <f>F121/C121-1</f>
        <v>0.26998001998001997</v>
      </c>
      <c r="L121" s="4"/>
      <c r="N121" s="5">
        <v>4502.9799999999996</v>
      </c>
      <c r="O121" s="5">
        <v>4982.4399999999996</v>
      </c>
      <c r="Q121" s="5">
        <v>23192.18</v>
      </c>
      <c r="S121" s="173">
        <f t="shared" si="1"/>
        <v>0.97983087512291045</v>
      </c>
      <c r="T121" s="132">
        <f>O121-N121</f>
        <v>479.46000000000004</v>
      </c>
      <c r="U121" s="4">
        <f>IF(N122=0,0,O121/N122-1)</f>
        <v>-0.25544655065490118</v>
      </c>
      <c r="AB121" s="18">
        <v>75875.17</v>
      </c>
      <c r="AC121" s="18">
        <v>90508.95</v>
      </c>
      <c r="AD121" s="4">
        <f>AC121/AB121-1</f>
        <v>0.19286652010137173</v>
      </c>
    </row>
    <row r="122" spans="1:30" ht="15" customHeight="1">
      <c r="A122" t="s">
        <v>1276</v>
      </c>
      <c r="B122" t="s">
        <v>1277</v>
      </c>
      <c r="C122">
        <v>10774</v>
      </c>
      <c r="E122" t="s">
        <v>1277</v>
      </c>
      <c r="F122">
        <v>12292</v>
      </c>
      <c r="G122" t="b">
        <f>IF(B122=E122,TRUE,FALSE)</f>
        <v>1</v>
      </c>
      <c r="J122">
        <f>F122-C122</f>
        <v>1518</v>
      </c>
      <c r="K122" s="4">
        <f>F122/C122-1</f>
        <v>0.14089474661221457</v>
      </c>
      <c r="L122" s="4"/>
      <c r="N122" s="5">
        <v>6691.85</v>
      </c>
      <c r="O122" s="5">
        <v>12299.44</v>
      </c>
      <c r="Q122" s="5">
        <v>54826.2</v>
      </c>
      <c r="T122" s="132">
        <f>O122-N122</f>
        <v>5607.59</v>
      </c>
      <c r="U122" s="4">
        <f>IF(N122=0,0,O122/N122-1)</f>
        <v>0.83797305677802103</v>
      </c>
      <c r="X122" t="s">
        <v>1278</v>
      </c>
      <c r="AB122" s="18">
        <v>198976.3</v>
      </c>
      <c r="AC122" s="18">
        <v>208325.79</v>
      </c>
      <c r="AD122" s="4">
        <f>AC122/AB122-1</f>
        <v>4.6987957862318463E-2</v>
      </c>
    </row>
    <row r="123" spans="1:30" ht="15" customHeight="1">
      <c r="A123" s="162" t="s">
        <v>1279</v>
      </c>
      <c r="B123" s="37" t="s">
        <v>1280</v>
      </c>
      <c r="E123" s="37" t="s">
        <v>1280</v>
      </c>
      <c r="F123">
        <v>0</v>
      </c>
      <c r="G123" t="b">
        <f>IF(B123=E123,TRUE,FALSE)</f>
        <v>1</v>
      </c>
      <c r="K123" s="4"/>
      <c r="L123" s="4"/>
      <c r="O123" s="5">
        <v>0.75</v>
      </c>
      <c r="Q123" s="5">
        <v>31.99</v>
      </c>
      <c r="U123" s="4"/>
      <c r="AB123" s="18"/>
      <c r="AC123" s="18">
        <v>0</v>
      </c>
      <c r="AD123" s="4"/>
    </row>
    <row r="124" spans="1:30" ht="15" customHeight="1">
      <c r="A124" s="162" t="s">
        <v>1281</v>
      </c>
      <c r="B124" s="37" t="s">
        <v>1282</v>
      </c>
      <c r="E124" s="37" t="s">
        <v>1282</v>
      </c>
      <c r="F124">
        <v>0</v>
      </c>
      <c r="G124" t="b">
        <f>IF(B124=E124,TRUE,FALSE)</f>
        <v>1</v>
      </c>
      <c r="K124" s="4"/>
      <c r="L124" s="4"/>
      <c r="O124" s="5">
        <v>0</v>
      </c>
      <c r="Q124" s="5">
        <v>0</v>
      </c>
      <c r="U124" s="4"/>
      <c r="AB124" s="18"/>
      <c r="AC124" s="18">
        <v>0</v>
      </c>
      <c r="AD124" s="4"/>
    </row>
    <row r="125" spans="1:30" ht="15" customHeight="1">
      <c r="A125" s="55"/>
      <c r="B125" s="37"/>
      <c r="E125" s="37"/>
      <c r="K125" s="4"/>
      <c r="L125" s="4"/>
      <c r="U125" s="4"/>
      <c r="AB125" s="18"/>
      <c r="AC125" s="18"/>
      <c r="AD125" s="4"/>
    </row>
    <row r="126" spans="1:30" ht="13.5" customHeight="1">
      <c r="A126" s="55"/>
      <c r="B126" s="37"/>
      <c r="E126" s="37"/>
      <c r="K126" s="4"/>
      <c r="L126" s="4"/>
      <c r="U126" s="4"/>
      <c r="AB126" s="18"/>
      <c r="AC126" s="18"/>
      <c r="AD126" s="4"/>
    </row>
    <row r="127" spans="1:30" ht="13.5" customHeight="1">
      <c r="A127" s="55"/>
      <c r="B127" s="37"/>
      <c r="E127" s="37"/>
      <c r="K127" s="4"/>
      <c r="L127" s="4"/>
      <c r="U127" s="4"/>
      <c r="AB127" s="18"/>
      <c r="AC127" s="18"/>
      <c r="AD127" s="4"/>
    </row>
    <row r="128" spans="1:30" ht="15" customHeight="1">
      <c r="K128" s="4"/>
      <c r="L128" s="4"/>
      <c r="U128" s="4"/>
      <c r="AB128" s="18"/>
      <c r="AC128" s="18"/>
      <c r="AD128" s="4"/>
    </row>
    <row r="129" spans="3:30" ht="15" customHeight="1">
      <c r="C129" s="19"/>
      <c r="F129" s="19"/>
      <c r="K129" s="4"/>
      <c r="L129" s="4"/>
      <c r="U129" s="4"/>
      <c r="AB129" s="18"/>
      <c r="AC129" s="18"/>
      <c r="AD129" s="4"/>
    </row>
    <row r="130" spans="3:30" ht="13.5" customHeight="1">
      <c r="C130" s="3" t="s">
        <v>699</v>
      </c>
      <c r="D130" s="3"/>
      <c r="E130" s="3"/>
      <c r="F130" s="3" t="s">
        <v>699</v>
      </c>
      <c r="G130" s="3"/>
      <c r="H130" s="3"/>
      <c r="I130" s="3"/>
      <c r="J130" s="3" t="s">
        <v>700</v>
      </c>
      <c r="K130" s="31"/>
      <c r="L130" s="31"/>
      <c r="M130" s="3"/>
      <c r="N130" s="33" t="s">
        <v>701</v>
      </c>
      <c r="O130" s="33" t="s">
        <v>701</v>
      </c>
      <c r="P130" s="3"/>
      <c r="Q130" s="33" t="s">
        <v>702</v>
      </c>
      <c r="R130" s="3"/>
      <c r="S130" s="3"/>
      <c r="T130" s="133" t="s">
        <v>703</v>
      </c>
      <c r="U130" s="31"/>
      <c r="V130" s="3"/>
      <c r="W130" s="3"/>
      <c r="X130" s="3"/>
      <c r="Y130" s="3"/>
      <c r="Z130" s="3"/>
      <c r="AA130" s="34"/>
      <c r="AB130" s="35" t="s">
        <v>3</v>
      </c>
      <c r="AC130" s="35" t="s">
        <v>3</v>
      </c>
    </row>
    <row r="131" spans="3:30">
      <c r="C131" s="19">
        <f>SUM(C3:C122)</f>
        <v>170327</v>
      </c>
      <c r="F131" s="19">
        <f>SUM(F3:F124)</f>
        <v>159080</v>
      </c>
      <c r="J131">
        <f>SUM(J3:J122)</f>
        <v>-11247</v>
      </c>
      <c r="K131" s="4"/>
      <c r="L131" s="4"/>
      <c r="N131" s="5">
        <f>SUM(N3:N123)</f>
        <v>190799.74</v>
      </c>
      <c r="O131" s="5">
        <f>SUM(O3:O124)</f>
        <v>207714.61999999997</v>
      </c>
      <c r="Q131" s="5">
        <f>SUM(Q3:Q124)</f>
        <v>1066714.2</v>
      </c>
      <c r="T131" s="132">
        <f>O131-N131</f>
        <v>16914.879999999976</v>
      </c>
      <c r="U131" s="4">
        <f>IF(N131=0,0,O131/N131-1)</f>
        <v>8.8652531706804094E-2</v>
      </c>
      <c r="X131" s="5"/>
      <c r="Y131" s="5"/>
      <c r="Z131" s="5"/>
      <c r="AA131" s="17"/>
      <c r="AB131" s="18">
        <f>SUM(AB3:AB122)</f>
        <v>3585858.0100000026</v>
      </c>
      <c r="AC131" s="18">
        <f>SUM(AC3:AC124)</f>
        <v>3428271.4200000009</v>
      </c>
      <c r="AD131" s="4">
        <f>AC131/AB131-1</f>
        <v>-4.3946689902537917E-2</v>
      </c>
    </row>
    <row r="132" spans="3:30">
      <c r="K132" s="4"/>
      <c r="L132" s="4"/>
      <c r="U132" s="4"/>
      <c r="X132" s="5"/>
      <c r="Y132" s="5"/>
      <c r="Z132" s="5"/>
      <c r="AA132" s="17"/>
    </row>
    <row r="133" spans="3:30">
      <c r="C133" s="4"/>
      <c r="F133" s="19">
        <f>F131-C131</f>
        <v>-11247</v>
      </c>
      <c r="K133" s="4"/>
      <c r="L133" s="4"/>
      <c r="N133" s="4"/>
      <c r="O133" s="31" t="s">
        <v>704</v>
      </c>
      <c r="Q133" s="26">
        <f>O131/Q131</f>
        <v>0.194723778871604</v>
      </c>
      <c r="U133" s="4"/>
      <c r="AB133" s="3" t="s">
        <v>705</v>
      </c>
      <c r="AC133" s="3" t="s">
        <v>705</v>
      </c>
    </row>
    <row r="134" spans="3:30">
      <c r="F134" s="4">
        <f>F131/C131-1</f>
        <v>-6.6031809401915109E-2</v>
      </c>
      <c r="K134" s="4"/>
      <c r="L134" s="4"/>
      <c r="Q134" s="13"/>
      <c r="U134" s="4"/>
      <c r="AB134" s="32">
        <f>N131/AB131</f>
        <v>5.3208950122372485E-2</v>
      </c>
      <c r="AC134" s="32">
        <f>O131/AC131</f>
        <v>6.0588732498898797E-2</v>
      </c>
    </row>
    <row r="135" spans="3:30">
      <c r="K135" s="4"/>
      <c r="L135" s="4"/>
      <c r="U135" s="4"/>
    </row>
    <row r="136" spans="3:30">
      <c r="K136" s="4"/>
      <c r="L136" s="4"/>
      <c r="U136" s="4"/>
    </row>
    <row r="137" spans="3:30">
      <c r="K137" s="4"/>
      <c r="L137" s="4"/>
      <c r="U137" s="4"/>
    </row>
    <row r="138" spans="3:30">
      <c r="K138" s="4"/>
      <c r="L138" s="4"/>
      <c r="U138" s="4"/>
    </row>
    <row r="139" spans="3:30">
      <c r="U139" s="4"/>
    </row>
    <row r="140" spans="3:30">
      <c r="K140" s="4"/>
      <c r="L140" s="4"/>
      <c r="U140" s="4"/>
    </row>
    <row r="141" spans="3:30">
      <c r="K141" s="4"/>
      <c r="L141" s="4"/>
      <c r="U141" s="4"/>
    </row>
    <row r="142" spans="3:30">
      <c r="K142" s="4"/>
      <c r="L142" s="4"/>
      <c r="U142" s="4"/>
    </row>
    <row r="143" spans="3:30">
      <c r="K143" s="4"/>
      <c r="L143" s="4"/>
      <c r="U143" s="4"/>
    </row>
    <row r="144" spans="3:30">
      <c r="K144" s="4"/>
      <c r="L144" s="4"/>
      <c r="U144" s="4"/>
    </row>
    <row r="145" spans="11:21">
      <c r="K145" s="4"/>
      <c r="L145" s="4"/>
      <c r="U145" s="4"/>
    </row>
    <row r="146" spans="11:21">
      <c r="K146" s="4"/>
      <c r="L146" s="4"/>
      <c r="U146" s="4"/>
    </row>
    <row r="147" spans="11:21">
      <c r="K147" s="4"/>
      <c r="L147" s="4"/>
      <c r="U147" s="4"/>
    </row>
    <row r="148" spans="11:21">
      <c r="K148" s="4"/>
      <c r="L148" s="4"/>
      <c r="U148" s="4"/>
    </row>
    <row r="149" spans="11:21">
      <c r="K149" s="4"/>
      <c r="L149" s="4"/>
      <c r="U149" s="4"/>
    </row>
    <row r="150" spans="11:21">
      <c r="K150" s="4"/>
      <c r="L150" s="4"/>
      <c r="U150" s="4"/>
    </row>
    <row r="151" spans="11:21">
      <c r="K151" s="4"/>
      <c r="L151" s="4"/>
      <c r="U151" s="4"/>
    </row>
    <row r="152" spans="11:21">
      <c r="K152" s="4"/>
      <c r="L152" s="4"/>
      <c r="U152" s="4"/>
    </row>
    <row r="153" spans="11:21">
      <c r="K153" s="4"/>
      <c r="L153" s="4"/>
      <c r="U153" s="4"/>
    </row>
    <row r="154" spans="11:21">
      <c r="K154" s="4"/>
      <c r="L154" s="4"/>
      <c r="U154" s="4"/>
    </row>
    <row r="155" spans="11:21">
      <c r="K155" s="4"/>
      <c r="L155" s="4"/>
      <c r="U155" s="4"/>
    </row>
    <row r="156" spans="11:21">
      <c r="K156" s="4"/>
      <c r="L156" s="4"/>
      <c r="U156" s="4"/>
    </row>
    <row r="157" spans="11:21">
      <c r="K157" s="4"/>
      <c r="L157" s="4"/>
      <c r="U157" s="4"/>
    </row>
    <row r="158" spans="11:21">
      <c r="K158" s="4"/>
      <c r="L158" s="4"/>
      <c r="U158" s="4"/>
    </row>
    <row r="159" spans="11:21">
      <c r="K159" s="4"/>
      <c r="L159" s="4"/>
      <c r="U159" s="4"/>
    </row>
    <row r="160" spans="11:21">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4"/>
      <c r="L168" s="4"/>
      <c r="U168" s="4"/>
    </row>
    <row r="169" spans="11:21">
      <c r="K169" s="4"/>
      <c r="L169" s="4"/>
      <c r="U169" s="4"/>
    </row>
    <row r="170" spans="11:21">
      <c r="K170" s="4"/>
      <c r="L170" s="4"/>
      <c r="U170" s="4"/>
    </row>
    <row r="171" spans="11:21">
      <c r="K171" s="4"/>
      <c r="L171" s="4"/>
      <c r="U171" s="4"/>
    </row>
    <row r="172" spans="11:21">
      <c r="K172" s="4"/>
      <c r="L172" s="4"/>
      <c r="U172" s="4"/>
    </row>
    <row r="173" spans="11:21">
      <c r="K173" s="4"/>
      <c r="L173" s="4"/>
      <c r="U173" s="4"/>
    </row>
    <row r="174" spans="11:21">
      <c r="K174" s="4"/>
      <c r="L174" s="4"/>
      <c r="U174" s="4"/>
    </row>
    <row r="175" spans="11:21">
      <c r="K175" s="4"/>
      <c r="L175" s="4"/>
      <c r="U175" s="4"/>
    </row>
    <row r="176" spans="11:21">
      <c r="K176" s="4"/>
      <c r="L176" s="4"/>
      <c r="U176" s="4"/>
    </row>
    <row r="177" spans="3:21">
      <c r="K177" s="4"/>
      <c r="L177" s="4"/>
      <c r="U177" s="4"/>
    </row>
    <row r="178" spans="3:21">
      <c r="K178" s="4"/>
      <c r="L178" s="4"/>
      <c r="U178" s="4"/>
    </row>
    <row r="179" spans="3:21">
      <c r="K179" s="4"/>
      <c r="L179" s="4"/>
      <c r="U179" s="4"/>
    </row>
    <row r="180" spans="3:21">
      <c r="K180" s="6"/>
      <c r="L180" s="6"/>
      <c r="N180" s="11"/>
      <c r="O180" s="11"/>
      <c r="T180" s="137"/>
      <c r="U180" s="6"/>
    </row>
    <row r="181" spans="3:21" ht="15" customHeight="1">
      <c r="K181" s="6"/>
      <c r="L181" s="6"/>
      <c r="N181" s="11"/>
      <c r="O181" s="11"/>
      <c r="T181" s="137"/>
      <c r="U181" s="6"/>
    </row>
    <row r="182" spans="3:21" ht="15" customHeight="1">
      <c r="K182" s="6"/>
      <c r="L182" s="6"/>
      <c r="N182" s="11"/>
      <c r="O182" s="11"/>
      <c r="T182" s="137"/>
      <c r="U182" s="6"/>
    </row>
    <row r="183" spans="3:21" ht="15" customHeight="1">
      <c r="K183" s="6"/>
      <c r="L183" s="6"/>
      <c r="N183" s="11"/>
      <c r="O183" s="11"/>
      <c r="T183" s="137"/>
      <c r="U183" s="6"/>
    </row>
    <row r="184" spans="3:21" ht="15" customHeight="1">
      <c r="K184" s="6"/>
      <c r="N184" s="11"/>
      <c r="O184" s="11"/>
      <c r="T184" s="137"/>
      <c r="U184" s="6"/>
    </row>
    <row r="185" spans="3:21" ht="15" customHeight="1">
      <c r="K185" s="6"/>
      <c r="L185" s="6"/>
      <c r="N185" s="11"/>
      <c r="O185" s="11"/>
      <c r="T185" s="137"/>
      <c r="U185" s="6"/>
    </row>
    <row r="186" spans="3:21" ht="15" customHeight="1">
      <c r="K186" s="6"/>
      <c r="L186" s="6"/>
      <c r="N186" s="11"/>
      <c r="O186" s="11"/>
      <c r="T186" s="137"/>
      <c r="U186" s="6"/>
    </row>
    <row r="187" spans="3:21" ht="15" customHeight="1">
      <c r="K187" s="6"/>
      <c r="L187" s="6"/>
      <c r="N187" s="11"/>
      <c r="O187" s="11"/>
      <c r="T187" s="137"/>
      <c r="U187" s="6"/>
    </row>
    <row r="188" spans="3:21" ht="15" customHeight="1">
      <c r="K188" s="6"/>
      <c r="L188" s="6"/>
      <c r="N188" s="11"/>
      <c r="O188" s="11"/>
      <c r="T188" s="137"/>
      <c r="U188" s="6"/>
    </row>
    <row r="189" spans="3:21">
      <c r="N189" s="11"/>
      <c r="O189" s="11"/>
      <c r="T189" s="137"/>
    </row>
    <row r="190" spans="3:21" ht="15" customHeight="1">
      <c r="C190" s="8"/>
      <c r="F190" s="8"/>
      <c r="J190" s="8"/>
      <c r="N190" s="11"/>
      <c r="O190" s="11"/>
      <c r="T190" s="137"/>
    </row>
    <row r="191" spans="3:21">
      <c r="N191" s="11"/>
      <c r="O191" s="11"/>
      <c r="T191" s="137"/>
    </row>
    <row r="192" spans="3:21" ht="15" customHeight="1">
      <c r="N192" s="11"/>
      <c r="O192" s="11"/>
      <c r="T192" s="137"/>
    </row>
    <row r="193" spans="3:6" ht="15" customHeight="1">
      <c r="C193" s="9"/>
      <c r="F193" s="9"/>
    </row>
    <row r="195" spans="3:6" ht="15" customHeight="1">
      <c r="C195" s="8"/>
      <c r="F195" s="8"/>
    </row>
    <row r="198" spans="3:6" ht="15" customHeight="1">
      <c r="C198" s="9"/>
      <c r="F198" s="9"/>
    </row>
  </sheetData>
  <autoFilter ref="A2:AD121" xr:uid="{A0872D2E-CA91-4628-AF55-6EA17D54F5B9}">
    <sortState xmlns:xlrd2="http://schemas.microsoft.com/office/spreadsheetml/2017/richdata2" ref="A3:AD124">
      <sortCondition ref="J2:J121"/>
    </sortState>
  </autoFilter>
  <sortState xmlns:xlrd2="http://schemas.microsoft.com/office/spreadsheetml/2017/richdata2" ref="J3:K97">
    <sortCondition ref="J97"/>
  </sortState>
  <mergeCells count="7">
    <mergeCell ref="AB1:AC1"/>
    <mergeCell ref="X1:AA1"/>
    <mergeCell ref="B1:C1"/>
    <mergeCell ref="E1:F1"/>
    <mergeCell ref="J1:K1"/>
    <mergeCell ref="N1:O1"/>
    <mergeCell ref="T1:U1"/>
  </mergeCells>
  <phoneticPr fontId="3" type="noConversion"/>
  <conditionalFormatting sqref="D84 H84:I84 L84:M84 P84 R84">
    <cfRule type="cellIs" dxfId="14" priority="17" operator="greaterThan">
      <formula>500</formula>
    </cfRule>
    <cfRule type="cellIs" dxfId="13" priority="18" operator="lessThan">
      <formula>-100</formula>
    </cfRule>
  </conditionalFormatting>
  <conditionalFormatting sqref="J2:J130 J132:J138 J140:J189">
    <cfRule type="cellIs" dxfId="12" priority="7" operator="greaterThan">
      <formula>500</formula>
    </cfRule>
  </conditionalFormatting>
  <conditionalFormatting sqref="J3:J130 J132:J138 J140:J188">
    <cfRule type="cellIs" dxfId="11" priority="11" operator="lessThan">
      <formula>-100</formula>
    </cfRule>
  </conditionalFormatting>
  <conditionalFormatting sqref="J191:J1048576">
    <cfRule type="cellIs" dxfId="10" priority="30" operator="greaterThan">
      <formula>500</formula>
    </cfRule>
  </conditionalFormatting>
  <conditionalFormatting sqref="K2">
    <cfRule type="cellIs" dxfId="9" priority="31" operator="lessThan">
      <formula>-20%</formula>
    </cfRule>
  </conditionalFormatting>
  <conditionalFormatting sqref="K3:K138 K140:K1048576">
    <cfRule type="cellIs" dxfId="8" priority="14" operator="lessThan">
      <formula>-0.2</formula>
    </cfRule>
  </conditionalFormatting>
  <conditionalFormatting sqref="K3:L3 L4:L72 K4:K138 L74:L83 L85:L138 L140:L184 K140:K188">
    <cfRule type="cellIs" dxfId="7" priority="35" operator="greaterThan">
      <formula>0.2</formula>
    </cfRule>
  </conditionalFormatting>
  <conditionalFormatting sqref="U3:U188">
    <cfRule type="cellIs" dxfId="6" priority="33" operator="greaterThan">
      <formula>0.5</formula>
    </cfRule>
  </conditionalFormatting>
  <conditionalFormatting sqref="AD3:AD129">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31">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R598"/>
  <sheetViews>
    <sheetView topLeftCell="B1" workbookViewId="0">
      <selection activeCell="B540" sqref="B540"/>
    </sheetView>
  </sheetViews>
  <sheetFormatPr defaultRowHeight="15"/>
  <cols>
    <col min="1" max="1" width="21.140625" customWidth="1"/>
    <col min="2" max="2" width="97.85546875" customWidth="1"/>
    <col min="3" max="3" width="14" customWidth="1"/>
    <col min="4" max="4" width="21" customWidth="1"/>
    <col min="5" max="5" width="21" style="19" customWidth="1"/>
    <col min="6" max="6" width="20.7109375" style="151" customWidth="1"/>
    <col min="7" max="8" width="1.7109375" customWidth="1"/>
    <col min="9" max="9" width="19" style="140" customWidth="1"/>
    <col min="10" max="10" width="9.7109375" customWidth="1"/>
    <col min="11" max="11" width="9.28515625" customWidth="1"/>
    <col min="12" max="13" width="13.85546875" customWidth="1"/>
    <col min="14" max="14" width="13.85546875" style="141" customWidth="1"/>
    <col min="16" max="18" width="0" hidden="1" customWidth="1"/>
  </cols>
  <sheetData>
    <row r="1" spans="1:18" s="2" customFormat="1" ht="10.5" customHeight="1">
      <c r="A1" s="21" t="s">
        <v>1283</v>
      </c>
      <c r="B1" s="21" t="s">
        <v>1284</v>
      </c>
      <c r="C1" s="21" t="s">
        <v>1285</v>
      </c>
      <c r="D1" s="21" t="s">
        <v>1286</v>
      </c>
      <c r="E1" s="22" t="s">
        <v>1287</v>
      </c>
      <c r="F1" s="155" t="s">
        <v>1288</v>
      </c>
      <c r="G1" s="21"/>
      <c r="H1" s="21"/>
      <c r="I1" s="138" t="s">
        <v>1289</v>
      </c>
      <c r="J1" s="21" t="s">
        <v>1290</v>
      </c>
      <c r="K1" s="21"/>
      <c r="L1" s="21" t="s">
        <v>1291</v>
      </c>
      <c r="M1" s="21" t="s">
        <v>1292</v>
      </c>
      <c r="N1" s="142" t="s">
        <v>1293</v>
      </c>
      <c r="P1" s="2" t="s">
        <v>692</v>
      </c>
      <c r="Q1" s="2">
        <v>67399</v>
      </c>
      <c r="R1" s="2">
        <v>74374.570000000007</v>
      </c>
    </row>
    <row r="2" spans="1:18" hidden="1">
      <c r="A2" t="s">
        <v>1294</v>
      </c>
      <c r="B2" t="s">
        <v>695</v>
      </c>
      <c r="C2" t="s">
        <v>696</v>
      </c>
      <c r="D2" s="28">
        <v>9475</v>
      </c>
      <c r="E2" s="19">
        <f>D2/28</f>
        <v>338.39285714285717</v>
      </c>
      <c r="F2" s="5">
        <v>12292.46</v>
      </c>
      <c r="I2" s="19">
        <f>IF((D2/28)&gt;100,D2*2,D2*2)</f>
        <v>18950</v>
      </c>
      <c r="J2" t="b">
        <f>IF(F2&gt;1.2*I2,FALSE,TRUE)</f>
        <v>1</v>
      </c>
      <c r="K2" s="4">
        <f t="shared" ref="K2:K64" si="0">F2/I2-1</f>
        <v>-0.35132137203166236</v>
      </c>
      <c r="N2"/>
      <c r="P2" t="s">
        <v>168</v>
      </c>
      <c r="Q2">
        <v>4822</v>
      </c>
      <c r="R2">
        <v>9600.5</v>
      </c>
    </row>
    <row r="3" spans="1:18" hidden="1">
      <c r="A3" t="s">
        <v>1294</v>
      </c>
      <c r="B3" t="s">
        <v>17</v>
      </c>
      <c r="C3" t="s">
        <v>18</v>
      </c>
      <c r="D3" s="28">
        <v>24606</v>
      </c>
      <c r="E3" s="19">
        <f>D3/28</f>
        <v>878.78571428571433</v>
      </c>
      <c r="F3" s="5">
        <v>37288.79</v>
      </c>
      <c r="I3" s="19">
        <f>IF((D3/28)&gt;100,D3*2,D3*2)</f>
        <v>49212</v>
      </c>
      <c r="J3" t="b">
        <f>IF(F3&gt;1.2*I3,FALSE,TRUE)</f>
        <v>1</v>
      </c>
      <c r="K3" s="4">
        <f t="shared" si="0"/>
        <v>-0.24228257335609205</v>
      </c>
      <c r="N3"/>
      <c r="P3" t="s">
        <v>33</v>
      </c>
      <c r="Q3">
        <v>10249</v>
      </c>
      <c r="R3">
        <v>16634</v>
      </c>
    </row>
    <row r="4" spans="1:18" hidden="1">
      <c r="A4" t="s">
        <v>1294</v>
      </c>
      <c r="B4" t="s">
        <v>693</v>
      </c>
      <c r="C4" t="s">
        <v>694</v>
      </c>
      <c r="D4" s="28">
        <v>7272</v>
      </c>
      <c r="E4" s="19">
        <f t="shared" ref="E4:E64" si="1">D4/28</f>
        <v>259.71428571428572</v>
      </c>
      <c r="F4" s="5">
        <v>11158.54</v>
      </c>
      <c r="I4" s="19">
        <f t="shared" ref="I4:I64" si="2">IF((D4/28)&gt;100,D4*2,D4*2)</f>
        <v>14544</v>
      </c>
      <c r="J4" t="b">
        <f t="shared" ref="J4:J64" si="3">IF(F4&gt;1.2*I4,FALSE,TRUE)</f>
        <v>1</v>
      </c>
      <c r="K4" s="4">
        <f t="shared" si="0"/>
        <v>-0.23277365236523651</v>
      </c>
      <c r="N4"/>
      <c r="P4" t="s">
        <v>30</v>
      </c>
      <c r="Q4">
        <v>26241</v>
      </c>
      <c r="R4">
        <v>30072.34</v>
      </c>
    </row>
    <row r="5" spans="1:18" hidden="1">
      <c r="A5" t="s">
        <v>1295</v>
      </c>
      <c r="B5" t="s">
        <v>26</v>
      </c>
      <c r="C5" t="s">
        <v>27</v>
      </c>
      <c r="D5" s="28">
        <v>16670</v>
      </c>
      <c r="E5" s="19">
        <f t="shared" si="1"/>
        <v>595.35714285714289</v>
      </c>
      <c r="F5" s="5">
        <v>24455.15</v>
      </c>
      <c r="I5" s="19">
        <f t="shared" si="2"/>
        <v>33340</v>
      </c>
      <c r="J5" t="b">
        <f t="shared" si="3"/>
        <v>1</v>
      </c>
      <c r="K5" s="4">
        <f t="shared" si="0"/>
        <v>-0.266492201559688</v>
      </c>
      <c r="N5"/>
      <c r="P5" t="s">
        <v>27</v>
      </c>
      <c r="Q5">
        <v>20605</v>
      </c>
      <c r="R5">
        <v>19405.060000000001</v>
      </c>
    </row>
    <row r="6" spans="1:18" hidden="1">
      <c r="A6" t="s">
        <v>1294</v>
      </c>
      <c r="B6" t="s">
        <v>689</v>
      </c>
      <c r="C6" t="s">
        <v>690</v>
      </c>
      <c r="D6" s="28">
        <v>6784</v>
      </c>
      <c r="E6" s="19">
        <f t="shared" si="1"/>
        <v>242.28571428571428</v>
      </c>
      <c r="F6" s="5">
        <v>8221.2199999999993</v>
      </c>
      <c r="I6" s="19">
        <f t="shared" si="2"/>
        <v>13568</v>
      </c>
      <c r="J6" t="b">
        <f t="shared" si="3"/>
        <v>1</v>
      </c>
      <c r="K6" s="4">
        <f t="shared" si="0"/>
        <v>-0.39407281839622643</v>
      </c>
      <c r="N6"/>
      <c r="P6" t="s">
        <v>682</v>
      </c>
      <c r="Q6">
        <v>6929</v>
      </c>
      <c r="R6">
        <v>10453.85</v>
      </c>
    </row>
    <row r="7" spans="1:18" hidden="1">
      <c r="A7" t="s">
        <v>1296</v>
      </c>
      <c r="B7" s="27" t="s">
        <v>677</v>
      </c>
      <c r="C7" t="s">
        <v>678</v>
      </c>
      <c r="D7" s="28">
        <v>5332</v>
      </c>
      <c r="E7" s="19">
        <f t="shared" si="1"/>
        <v>190.42857142857142</v>
      </c>
      <c r="F7" s="5">
        <v>5370.41</v>
      </c>
      <c r="I7" s="19">
        <f t="shared" si="2"/>
        <v>10664</v>
      </c>
      <c r="J7" t="b">
        <f t="shared" si="3"/>
        <v>1</v>
      </c>
      <c r="K7" s="4">
        <f t="shared" si="0"/>
        <v>-0.49639816204051013</v>
      </c>
      <c r="N7"/>
      <c r="P7" t="s">
        <v>676</v>
      </c>
      <c r="Q7">
        <v>2129</v>
      </c>
      <c r="R7">
        <v>3078.97</v>
      </c>
    </row>
    <row r="8" spans="1:18" hidden="1">
      <c r="A8" t="s">
        <v>1295</v>
      </c>
      <c r="B8" t="s">
        <v>139</v>
      </c>
      <c r="C8" t="s">
        <v>140</v>
      </c>
      <c r="D8" s="28">
        <v>21908</v>
      </c>
      <c r="E8" s="19">
        <f>D8/28</f>
        <v>782.42857142857144</v>
      </c>
      <c r="F8" s="5">
        <v>17709.07</v>
      </c>
      <c r="I8" s="19">
        <f t="shared" si="2"/>
        <v>43816</v>
      </c>
      <c r="J8" t="b">
        <f t="shared" si="3"/>
        <v>1</v>
      </c>
      <c r="K8" s="4">
        <f t="shared" si="0"/>
        <v>-0.59583097498630644</v>
      </c>
      <c r="N8"/>
      <c r="P8" t="s">
        <v>81</v>
      </c>
      <c r="Q8">
        <v>11862</v>
      </c>
      <c r="R8">
        <v>7272.85</v>
      </c>
    </row>
    <row r="9" spans="1:18" hidden="1">
      <c r="A9" t="s">
        <v>1296</v>
      </c>
      <c r="B9" t="s">
        <v>673</v>
      </c>
      <c r="C9" t="s">
        <v>674</v>
      </c>
      <c r="D9" s="28">
        <v>1929</v>
      </c>
      <c r="E9" s="19">
        <f t="shared" si="1"/>
        <v>68.892857142857139</v>
      </c>
      <c r="F9" s="5">
        <v>2473.38</v>
      </c>
      <c r="I9" s="19">
        <f t="shared" si="2"/>
        <v>3858</v>
      </c>
      <c r="J9" t="b">
        <f t="shared" si="3"/>
        <v>1</v>
      </c>
      <c r="K9" s="4">
        <f t="shared" si="0"/>
        <v>-0.3588958009331259</v>
      </c>
      <c r="N9"/>
      <c r="P9" t="s">
        <v>73</v>
      </c>
      <c r="Q9">
        <v>4129</v>
      </c>
      <c r="R9">
        <v>7431.5</v>
      </c>
    </row>
    <row r="10" spans="1:18" hidden="1">
      <c r="A10" t="s">
        <v>1294</v>
      </c>
      <c r="B10" t="s">
        <v>669</v>
      </c>
      <c r="C10" t="s">
        <v>670</v>
      </c>
      <c r="D10" s="28">
        <v>1691</v>
      </c>
      <c r="E10" s="19">
        <f t="shared" si="1"/>
        <v>60.392857142857146</v>
      </c>
      <c r="F10" s="5">
        <v>1576.2</v>
      </c>
      <c r="I10" s="19">
        <f t="shared" si="2"/>
        <v>3382</v>
      </c>
      <c r="J10" t="b">
        <f t="shared" si="3"/>
        <v>1</v>
      </c>
      <c r="K10" s="4">
        <f t="shared" si="0"/>
        <v>-0.53394441159077466</v>
      </c>
      <c r="N10"/>
      <c r="P10" t="s">
        <v>140</v>
      </c>
      <c r="Q10">
        <v>25786</v>
      </c>
      <c r="R10">
        <v>18542.5</v>
      </c>
    </row>
    <row r="11" spans="1:18" hidden="1">
      <c r="A11" t="s">
        <v>1294</v>
      </c>
      <c r="B11" t="s">
        <v>663</v>
      </c>
      <c r="C11" t="s">
        <v>664</v>
      </c>
      <c r="D11" s="28">
        <v>2458</v>
      </c>
      <c r="E11" s="19">
        <f t="shared" si="1"/>
        <v>87.785714285714292</v>
      </c>
      <c r="F11" s="5">
        <v>2333.2800000000002</v>
      </c>
      <c r="I11" s="19">
        <f t="shared" si="2"/>
        <v>4916</v>
      </c>
      <c r="J11" t="b">
        <f t="shared" si="3"/>
        <v>1</v>
      </c>
      <c r="K11" s="4">
        <f t="shared" si="0"/>
        <v>-0.52537021969080544</v>
      </c>
      <c r="N11"/>
      <c r="P11" t="s">
        <v>684</v>
      </c>
      <c r="Q11">
        <v>4818</v>
      </c>
      <c r="R11">
        <v>8527.9500000000007</v>
      </c>
    </row>
    <row r="12" spans="1:18" ht="30" hidden="1">
      <c r="A12" t="s">
        <v>1296</v>
      </c>
      <c r="B12" s="55" t="s">
        <v>637</v>
      </c>
      <c r="C12" s="37" t="s">
        <v>638</v>
      </c>
      <c r="D12" s="28">
        <v>2767</v>
      </c>
      <c r="E12" s="19">
        <f t="shared" si="1"/>
        <v>98.821428571428569</v>
      </c>
      <c r="F12" s="5">
        <v>3919.87</v>
      </c>
      <c r="I12" s="19">
        <f t="shared" si="2"/>
        <v>5534</v>
      </c>
      <c r="J12" t="b">
        <f t="shared" si="3"/>
        <v>1</v>
      </c>
      <c r="K12" s="4">
        <f t="shared" si="0"/>
        <v>-0.2916750993856162</v>
      </c>
      <c r="N12"/>
      <c r="P12" t="s">
        <v>202</v>
      </c>
      <c r="Q12">
        <v>3732</v>
      </c>
      <c r="R12">
        <v>7397.98</v>
      </c>
    </row>
    <row r="13" spans="1:18" hidden="1">
      <c r="A13" t="s">
        <v>1294</v>
      </c>
      <c r="B13" t="s">
        <v>537</v>
      </c>
      <c r="C13" t="s">
        <v>538</v>
      </c>
      <c r="D13" s="28">
        <v>3156</v>
      </c>
      <c r="E13" s="19">
        <f t="shared" si="1"/>
        <v>112.71428571428571</v>
      </c>
      <c r="F13" s="5">
        <v>3868.94</v>
      </c>
      <c r="I13" s="19">
        <f t="shared" si="2"/>
        <v>6312</v>
      </c>
      <c r="J13" t="b">
        <f t="shared" si="3"/>
        <v>1</v>
      </c>
      <c r="K13" s="4">
        <f t="shared" si="0"/>
        <v>-0.38705006337135617</v>
      </c>
      <c r="N13"/>
      <c r="P13" t="s">
        <v>690</v>
      </c>
      <c r="Q13">
        <v>11641</v>
      </c>
      <c r="R13">
        <v>10505.25</v>
      </c>
    </row>
    <row r="14" spans="1:18" hidden="1">
      <c r="A14" t="s">
        <v>1294</v>
      </c>
      <c r="B14" t="s">
        <v>685</v>
      </c>
      <c r="C14" t="s">
        <v>686</v>
      </c>
      <c r="D14" s="28">
        <v>493</v>
      </c>
      <c r="E14" s="19">
        <f t="shared" si="1"/>
        <v>17.607142857142858</v>
      </c>
      <c r="F14" s="5">
        <v>1142.6400000000001</v>
      </c>
      <c r="I14" s="19">
        <f t="shared" si="2"/>
        <v>986</v>
      </c>
      <c r="J14" t="b">
        <f t="shared" si="3"/>
        <v>1</v>
      </c>
      <c r="K14" s="4">
        <f t="shared" si="0"/>
        <v>0.15886409736308327</v>
      </c>
      <c r="N14"/>
      <c r="P14" t="s">
        <v>694</v>
      </c>
      <c r="Q14">
        <v>7271</v>
      </c>
      <c r="R14">
        <v>8084.91</v>
      </c>
    </row>
    <row r="15" spans="1:18" hidden="1">
      <c r="A15" t="s">
        <v>1296</v>
      </c>
      <c r="B15" s="55" t="s">
        <v>675</v>
      </c>
      <c r="C15" s="37" t="s">
        <v>676</v>
      </c>
      <c r="D15" s="28">
        <v>1489</v>
      </c>
      <c r="E15" s="19">
        <f t="shared" si="1"/>
        <v>53.178571428571431</v>
      </c>
      <c r="F15" s="5">
        <v>1941.73</v>
      </c>
      <c r="I15" s="19">
        <f t="shared" si="2"/>
        <v>2978</v>
      </c>
      <c r="J15" t="b">
        <f t="shared" si="3"/>
        <v>1</v>
      </c>
      <c r="K15" s="4">
        <f t="shared" si="0"/>
        <v>-0.34797515110812627</v>
      </c>
      <c r="N15"/>
      <c r="P15" t="s">
        <v>192</v>
      </c>
      <c r="Q15">
        <v>4069</v>
      </c>
      <c r="R15">
        <v>7312.03</v>
      </c>
    </row>
    <row r="16" spans="1:18" hidden="1">
      <c r="A16" t="s">
        <v>1294</v>
      </c>
      <c r="B16" t="s">
        <v>493</v>
      </c>
      <c r="C16" t="s">
        <v>494</v>
      </c>
      <c r="D16" s="28">
        <v>2745</v>
      </c>
      <c r="E16" s="19">
        <f t="shared" si="1"/>
        <v>98.035714285714292</v>
      </c>
      <c r="F16" s="5">
        <v>5848.52</v>
      </c>
      <c r="I16" s="19">
        <f t="shared" si="2"/>
        <v>5490</v>
      </c>
      <c r="J16" t="b">
        <f t="shared" si="3"/>
        <v>1</v>
      </c>
      <c r="K16" s="4">
        <f t="shared" si="0"/>
        <v>6.5304189435337001E-2</v>
      </c>
      <c r="N16"/>
      <c r="P16" t="s">
        <v>638</v>
      </c>
      <c r="Q16">
        <v>3689</v>
      </c>
      <c r="R16">
        <v>5998.01</v>
      </c>
    </row>
    <row r="17" spans="1:18" hidden="1">
      <c r="A17" t="s">
        <v>1295</v>
      </c>
      <c r="B17" t="s">
        <v>553</v>
      </c>
      <c r="C17" t="s">
        <v>554</v>
      </c>
      <c r="D17" s="28">
        <v>3652</v>
      </c>
      <c r="E17" s="19">
        <f t="shared" si="1"/>
        <v>130.42857142857142</v>
      </c>
      <c r="F17" s="5">
        <v>5282.07</v>
      </c>
      <c r="I17" s="19">
        <f t="shared" si="2"/>
        <v>7304</v>
      </c>
      <c r="J17" t="b">
        <f t="shared" si="3"/>
        <v>1</v>
      </c>
      <c r="K17" s="4">
        <f t="shared" si="0"/>
        <v>-0.27682502738225634</v>
      </c>
      <c r="N17"/>
      <c r="P17" t="s">
        <v>654</v>
      </c>
      <c r="Q17">
        <v>1500</v>
      </c>
      <c r="R17">
        <v>3242.85</v>
      </c>
    </row>
    <row r="18" spans="1:18" hidden="1">
      <c r="A18" t="s">
        <v>1295</v>
      </c>
      <c r="B18" t="s">
        <v>519</v>
      </c>
      <c r="C18" t="s">
        <v>520</v>
      </c>
      <c r="D18" s="28">
        <v>3345</v>
      </c>
      <c r="E18" s="19">
        <f t="shared" si="1"/>
        <v>119.46428571428571</v>
      </c>
      <c r="F18" s="5">
        <v>2535.81</v>
      </c>
      <c r="I18" s="19">
        <f t="shared" si="2"/>
        <v>6690</v>
      </c>
      <c r="J18" t="b">
        <f t="shared" si="3"/>
        <v>1</v>
      </c>
      <c r="K18" s="4">
        <f t="shared" si="0"/>
        <v>-0.6209551569506726</v>
      </c>
      <c r="N18"/>
      <c r="P18" t="s">
        <v>156</v>
      </c>
      <c r="Q18">
        <v>2196</v>
      </c>
      <c r="R18">
        <v>4307.3100000000004</v>
      </c>
    </row>
    <row r="19" spans="1:18" hidden="1">
      <c r="A19" t="s">
        <v>1294</v>
      </c>
      <c r="B19" t="s">
        <v>167</v>
      </c>
      <c r="C19" t="s">
        <v>168</v>
      </c>
      <c r="D19" s="28">
        <v>2732</v>
      </c>
      <c r="E19" s="19">
        <f t="shared" si="1"/>
        <v>97.571428571428569</v>
      </c>
      <c r="F19" s="5">
        <v>3939.99</v>
      </c>
      <c r="I19" s="19">
        <f t="shared" si="2"/>
        <v>5464</v>
      </c>
      <c r="J19" t="b">
        <f t="shared" si="3"/>
        <v>1</v>
      </c>
      <c r="K19" s="4">
        <f t="shared" si="0"/>
        <v>-0.27891837481698389</v>
      </c>
      <c r="N19"/>
      <c r="P19" t="s">
        <v>648</v>
      </c>
      <c r="Q19">
        <v>1326</v>
      </c>
      <c r="R19">
        <v>2816.7</v>
      </c>
    </row>
    <row r="20" spans="1:18">
      <c r="A20" t="s">
        <v>1294</v>
      </c>
      <c r="B20" s="56" t="s">
        <v>38</v>
      </c>
      <c r="C20" s="37" t="s">
        <v>39</v>
      </c>
      <c r="D20" s="19">
        <v>2329</v>
      </c>
      <c r="E20" s="19">
        <f>D20/28</f>
        <v>83.178571428571431</v>
      </c>
      <c r="F20" s="5">
        <v>6453.91</v>
      </c>
      <c r="I20" s="19">
        <f>IF((D20/28)&gt;100,D20*2,D20*2)</f>
        <v>4658</v>
      </c>
      <c r="J20" t="b">
        <f>IF(F20&gt;1.2*I20,FALSE,TRUE)</f>
        <v>0</v>
      </c>
      <c r="K20" s="4">
        <f>F20/I20-1</f>
        <v>0.38555388578789174</v>
      </c>
      <c r="L20" t="s">
        <v>15</v>
      </c>
      <c r="M20" t="s">
        <v>1297</v>
      </c>
      <c r="N20"/>
      <c r="P20" t="s">
        <v>466</v>
      </c>
      <c r="Q20">
        <v>1109</v>
      </c>
      <c r="R20">
        <v>2476.85</v>
      </c>
    </row>
    <row r="21" spans="1:18" ht="30" hidden="1">
      <c r="A21" t="s">
        <v>1294</v>
      </c>
      <c r="B21" s="55" t="s">
        <v>687</v>
      </c>
      <c r="C21" s="37" t="s">
        <v>688</v>
      </c>
      <c r="D21" s="28">
        <v>2123</v>
      </c>
      <c r="E21" s="19">
        <f>D21/28</f>
        <v>75.821428571428569</v>
      </c>
      <c r="F21" s="5">
        <v>2416.31</v>
      </c>
      <c r="I21" s="19">
        <f>IF((D21/28)&gt;100,D21*2,D21*2)</f>
        <v>4246</v>
      </c>
      <c r="J21" t="b">
        <f>IF(F21&gt;1.2*I21,FALSE,TRUE)</f>
        <v>1</v>
      </c>
      <c r="K21" s="4">
        <f>F21/I21-1</f>
        <v>-0.43092086669806884</v>
      </c>
      <c r="N21"/>
      <c r="P21" t="s">
        <v>664</v>
      </c>
      <c r="Q21">
        <v>4052</v>
      </c>
      <c r="R21">
        <v>6748.08</v>
      </c>
    </row>
    <row r="22" spans="1:18" hidden="1">
      <c r="A22" t="s">
        <v>1294</v>
      </c>
      <c r="B22" t="s">
        <v>80</v>
      </c>
      <c r="C22" t="s">
        <v>81</v>
      </c>
      <c r="D22" s="28">
        <v>10576</v>
      </c>
      <c r="E22" s="19">
        <f>D22/28</f>
        <v>377.71428571428572</v>
      </c>
      <c r="F22" s="5">
        <v>10529.73</v>
      </c>
      <c r="I22" s="19">
        <f>IF((D22/28)&gt;100,D22*2,D22*2)</f>
        <v>21152</v>
      </c>
      <c r="J22" t="b">
        <f>IF(F22&gt;1.2*I22,FALSE,TRUE)</f>
        <v>1</v>
      </c>
      <c r="K22" s="4">
        <f>F22/I22-1</f>
        <v>-0.50218750000000001</v>
      </c>
      <c r="N22"/>
      <c r="P22" t="s">
        <v>596</v>
      </c>
      <c r="Q22">
        <v>1476</v>
      </c>
      <c r="R22">
        <v>2358.27</v>
      </c>
    </row>
    <row r="23" spans="1:18" hidden="1">
      <c r="A23" t="s">
        <v>1296</v>
      </c>
      <c r="B23" t="s">
        <v>667</v>
      </c>
      <c r="C23" t="s">
        <v>668</v>
      </c>
      <c r="D23" s="28">
        <v>1176</v>
      </c>
      <c r="E23" s="19">
        <f>D23/28</f>
        <v>42</v>
      </c>
      <c r="F23" s="5">
        <v>2689.51</v>
      </c>
      <c r="I23" s="139">
        <f>IF((D23/28)&gt;100,D23*2,D23*2)</f>
        <v>2352</v>
      </c>
      <c r="J23" t="b">
        <f>IF(F23&gt;1.2*I23,FALSE,TRUE)</f>
        <v>1</v>
      </c>
      <c r="K23" s="4">
        <f>F23/I23-1</f>
        <v>0.1434991496598641</v>
      </c>
      <c r="P23" t="s">
        <v>316</v>
      </c>
      <c r="Q23">
        <v>14987</v>
      </c>
      <c r="R23">
        <v>5594.85</v>
      </c>
    </row>
    <row r="24" spans="1:18" hidden="1">
      <c r="A24" t="s">
        <v>1295</v>
      </c>
      <c r="B24" t="s">
        <v>195</v>
      </c>
      <c r="C24" t="s">
        <v>196</v>
      </c>
      <c r="D24" s="28">
        <v>2859</v>
      </c>
      <c r="E24" s="19">
        <f>D24/28</f>
        <v>102.10714285714286</v>
      </c>
      <c r="F24" s="5">
        <v>3161</v>
      </c>
      <c r="I24" s="19">
        <f>IF((D24/28)&gt;100,D24*2,D24*2)</f>
        <v>5718</v>
      </c>
      <c r="J24" t="b">
        <f>IF(F24&gt;1.2*I24,FALSE,TRUE)</f>
        <v>1</v>
      </c>
      <c r="K24" s="4">
        <f>F24/I24-1</f>
        <v>-0.44718433018537951</v>
      </c>
      <c r="N24"/>
      <c r="P24" t="s">
        <v>486</v>
      </c>
      <c r="Q24">
        <v>652</v>
      </c>
      <c r="R24">
        <v>1070.94</v>
      </c>
    </row>
    <row r="25" spans="1:18">
      <c r="A25" t="s">
        <v>1294</v>
      </c>
      <c r="B25" t="s">
        <v>135</v>
      </c>
      <c r="C25" t="s">
        <v>136</v>
      </c>
      <c r="D25" s="28">
        <v>2185</v>
      </c>
      <c r="E25" s="19">
        <f>D25/28</f>
        <v>78.035714285714292</v>
      </c>
      <c r="F25" s="5">
        <v>5882.86</v>
      </c>
      <c r="I25" s="19">
        <f>IF((D25/28)&gt;100,D25*2,D25*2)</f>
        <v>4370</v>
      </c>
      <c r="J25" t="b">
        <f>IF(F25&gt;1.2*I25,FALSE,TRUE)</f>
        <v>0</v>
      </c>
      <c r="K25" s="4">
        <f>F25/I25-1</f>
        <v>0.34619221967963387</v>
      </c>
      <c r="L25" t="s">
        <v>15</v>
      </c>
      <c r="M25" t="s">
        <v>1298</v>
      </c>
      <c r="N25"/>
      <c r="P25" t="s">
        <v>592</v>
      </c>
      <c r="Q25">
        <v>1671</v>
      </c>
      <c r="R25">
        <v>2325.75</v>
      </c>
    </row>
    <row r="26" spans="1:18" hidden="1">
      <c r="A26" t="s">
        <v>1294</v>
      </c>
      <c r="B26" t="s">
        <v>293</v>
      </c>
      <c r="C26" t="s">
        <v>294</v>
      </c>
      <c r="D26" s="28">
        <v>2507</v>
      </c>
      <c r="E26" s="19">
        <f>D26/28</f>
        <v>89.535714285714292</v>
      </c>
      <c r="F26" s="5">
        <v>4476.79</v>
      </c>
      <c r="I26" s="19">
        <f>IF((D26/28)&gt;100,D26*2,D26*2)</f>
        <v>5014</v>
      </c>
      <c r="J26" t="b">
        <f>IF(F26&gt;1.2*I26,FALSE,TRUE)</f>
        <v>1</v>
      </c>
      <c r="K26" s="4">
        <f>F26/I26-1</f>
        <v>-0.10714200239329874</v>
      </c>
      <c r="N26"/>
      <c r="P26" t="s">
        <v>366</v>
      </c>
      <c r="Q26">
        <v>2656</v>
      </c>
      <c r="R26">
        <v>5003.68</v>
      </c>
    </row>
    <row r="27" spans="1:18" hidden="1">
      <c r="A27" t="s">
        <v>1294</v>
      </c>
      <c r="B27" t="s">
        <v>357</v>
      </c>
      <c r="C27" t="s">
        <v>358</v>
      </c>
      <c r="D27" s="28">
        <v>3232</v>
      </c>
      <c r="E27" s="19">
        <f>D27/28</f>
        <v>115.42857142857143</v>
      </c>
      <c r="F27" s="5">
        <v>2547.73</v>
      </c>
      <c r="I27" s="19">
        <f>IF((D27/28)&gt;100,D27*2,D27*2)</f>
        <v>6464</v>
      </c>
      <c r="J27" t="b">
        <f>IF(F27&gt;1.2*I27,FALSE,TRUE)</f>
        <v>1</v>
      </c>
      <c r="K27" s="4">
        <f>F27/I27-1</f>
        <v>-0.60585860148514858</v>
      </c>
      <c r="N27"/>
      <c r="P27" t="s">
        <v>584</v>
      </c>
      <c r="Q27">
        <v>596</v>
      </c>
      <c r="R27">
        <v>1267.94</v>
      </c>
    </row>
    <row r="28" spans="1:18">
      <c r="A28" t="s">
        <v>1296</v>
      </c>
      <c r="B28" s="57" t="s">
        <v>70</v>
      </c>
      <c r="C28" s="37" t="s">
        <v>71</v>
      </c>
      <c r="D28" s="28">
        <v>2048</v>
      </c>
      <c r="E28" s="19">
        <f>D28/28</f>
        <v>73.142857142857139</v>
      </c>
      <c r="F28" s="5">
        <v>5184.2299999999996</v>
      </c>
      <c r="I28" s="139">
        <f>IF((D28/28)&gt;100,D28*2,D28*2)</f>
        <v>4096</v>
      </c>
      <c r="J28" t="b">
        <f>IF(F28&gt;1.2*I28,FALSE,TRUE)</f>
        <v>0</v>
      </c>
      <c r="K28" s="4">
        <f>F28/I28-1</f>
        <v>0.26568115234374989</v>
      </c>
      <c r="P28" t="s">
        <v>160</v>
      </c>
      <c r="Q28">
        <v>1681</v>
      </c>
      <c r="R28">
        <v>3245.25</v>
      </c>
    </row>
    <row r="29" spans="1:18" hidden="1">
      <c r="A29" t="s">
        <v>1295</v>
      </c>
      <c r="B29" t="s">
        <v>531</v>
      </c>
      <c r="C29" t="s">
        <v>532</v>
      </c>
      <c r="D29" s="28">
        <v>4168</v>
      </c>
      <c r="E29" s="19">
        <f>D29/28</f>
        <v>148.85714285714286</v>
      </c>
      <c r="F29" s="5">
        <v>6548.89</v>
      </c>
      <c r="I29" s="19">
        <f>IF((D29/28)&gt;100,D29*2,D29*2)</f>
        <v>8336</v>
      </c>
      <c r="J29" t="b">
        <f>IF(F29&gt;1.2*I29,FALSE,TRUE)</f>
        <v>1</v>
      </c>
      <c r="K29" s="4">
        <f>F29/I29-1</f>
        <v>-0.21438459692898271</v>
      </c>
      <c r="N29"/>
      <c r="P29" t="s">
        <v>372</v>
      </c>
      <c r="Q29">
        <v>1969</v>
      </c>
      <c r="R29">
        <v>2178.64</v>
      </c>
    </row>
    <row r="30" spans="1:18">
      <c r="A30" t="s">
        <v>1295</v>
      </c>
      <c r="B30" s="55" t="s">
        <v>78</v>
      </c>
      <c r="C30" s="37" t="s">
        <v>79</v>
      </c>
      <c r="D30" s="28">
        <v>2024</v>
      </c>
      <c r="E30" s="19">
        <f>D30/28</f>
        <v>72.285714285714292</v>
      </c>
      <c r="F30" s="5">
        <v>4865.91</v>
      </c>
      <c r="I30" s="19">
        <f>IF((D30/28)&gt;100,D30*2,D30*2)</f>
        <v>4048</v>
      </c>
      <c r="J30" t="b">
        <f>IF(F30&gt;1.2*I30,FALSE,TRUE)</f>
        <v>0</v>
      </c>
      <c r="K30" s="4">
        <f>F30/I30-1</f>
        <v>0.20205286561264812</v>
      </c>
      <c r="N30"/>
      <c r="P30" t="s">
        <v>482</v>
      </c>
      <c r="Q30">
        <v>1923</v>
      </c>
      <c r="R30">
        <v>3253.75</v>
      </c>
    </row>
    <row r="31" spans="1:18" hidden="1">
      <c r="A31" t="s">
        <v>1294</v>
      </c>
      <c r="B31" t="s">
        <v>201</v>
      </c>
      <c r="C31" t="s">
        <v>202</v>
      </c>
      <c r="D31" s="28">
        <v>2733</v>
      </c>
      <c r="E31" s="19">
        <f>D31/28</f>
        <v>97.607142857142861</v>
      </c>
      <c r="F31" s="5">
        <v>4150.3100000000004</v>
      </c>
      <c r="I31" s="19">
        <f>IF((D31/28)&gt;100,D31*2,D31*2)</f>
        <v>5466</v>
      </c>
      <c r="J31" t="b">
        <f>IF(F31&gt;1.2*I31,FALSE,TRUE)</f>
        <v>1</v>
      </c>
      <c r="K31" s="4">
        <f>F31/I31-1</f>
        <v>-0.24070435418953529</v>
      </c>
      <c r="N31"/>
      <c r="P31" t="s">
        <v>254</v>
      </c>
      <c r="Q31">
        <v>1541</v>
      </c>
      <c r="R31">
        <v>3749.62</v>
      </c>
    </row>
    <row r="32" spans="1:18" hidden="1">
      <c r="A32" t="s">
        <v>1294</v>
      </c>
      <c r="B32" t="s">
        <v>433</v>
      </c>
      <c r="C32" t="s">
        <v>434</v>
      </c>
      <c r="D32" s="28">
        <v>2056</v>
      </c>
      <c r="E32" s="19">
        <f>D32/28</f>
        <v>73.428571428571431</v>
      </c>
      <c r="F32" s="5">
        <v>3952.21</v>
      </c>
      <c r="I32" s="19">
        <f>IF((D32/28)&gt;100,D32*2,D32*2)</f>
        <v>4112</v>
      </c>
      <c r="J32" t="b">
        <f>IF(F32&gt;1.2*I32,FALSE,TRUE)</f>
        <v>1</v>
      </c>
      <c r="K32" s="4">
        <f>F32/I32-1</f>
        <v>-3.8859435797665376E-2</v>
      </c>
      <c r="N32"/>
      <c r="P32" t="s">
        <v>434</v>
      </c>
      <c r="Q32">
        <v>2159</v>
      </c>
      <c r="R32">
        <v>4083.97</v>
      </c>
    </row>
    <row r="33" spans="1:18" hidden="1">
      <c r="A33" t="s">
        <v>1294</v>
      </c>
      <c r="B33" t="s">
        <v>229</v>
      </c>
      <c r="C33" t="s">
        <v>230</v>
      </c>
      <c r="D33" s="28">
        <v>3246</v>
      </c>
      <c r="E33" s="19">
        <f>D33/28</f>
        <v>115.92857142857143</v>
      </c>
      <c r="F33" s="5">
        <v>4208.42</v>
      </c>
      <c r="I33" s="139">
        <f>IF((D33/28)&gt;100,D33*2,D33*2)</f>
        <v>6492</v>
      </c>
      <c r="J33" t="b">
        <f>IF(F33&gt;1.2*I33,FALSE,TRUE)</f>
        <v>1</v>
      </c>
      <c r="K33" s="4">
        <f>F33/I33-1</f>
        <v>-0.3517529266789895</v>
      </c>
      <c r="N33" s="143"/>
      <c r="P33" t="s">
        <v>250</v>
      </c>
      <c r="Q33">
        <v>1658</v>
      </c>
      <c r="R33">
        <v>4124.5</v>
      </c>
    </row>
    <row r="34" spans="1:18" hidden="1">
      <c r="A34" t="s">
        <v>1295</v>
      </c>
      <c r="B34" t="s">
        <v>635</v>
      </c>
      <c r="C34" t="s">
        <v>636</v>
      </c>
      <c r="D34" s="28">
        <v>1941</v>
      </c>
      <c r="E34" s="19">
        <f>D34/28</f>
        <v>69.321428571428569</v>
      </c>
      <c r="F34" s="5">
        <v>4381.32</v>
      </c>
      <c r="I34" s="19">
        <f>IF((D34/28)&gt;100,D34*2,D34*2)</f>
        <v>3882</v>
      </c>
      <c r="J34" t="b">
        <f>IF(F34&gt;1.2*I34,FALSE,TRUE)</f>
        <v>1</v>
      </c>
      <c r="K34" s="4">
        <f>F34/I34-1</f>
        <v>0.12862442040185473</v>
      </c>
      <c r="N34"/>
      <c r="P34" t="s">
        <v>442</v>
      </c>
      <c r="Q34">
        <v>1546</v>
      </c>
      <c r="R34">
        <v>1959.09</v>
      </c>
    </row>
    <row r="35" spans="1:18" hidden="1">
      <c r="A35" t="s">
        <v>1295</v>
      </c>
      <c r="B35" s="54" t="s">
        <v>661</v>
      </c>
      <c r="C35" s="37" t="s">
        <v>662</v>
      </c>
      <c r="D35" s="28">
        <v>2311</v>
      </c>
      <c r="E35" s="19">
        <f>D35/28</f>
        <v>82.535714285714292</v>
      </c>
      <c r="F35" s="5">
        <v>2297.11</v>
      </c>
      <c r="I35" s="151">
        <f>IF((D35/28)&gt;100,D35*2,D35*2)</f>
        <v>4622</v>
      </c>
      <c r="J35" t="b">
        <f>IF(F35&gt;1.2*I35,FALSE,TRUE)</f>
        <v>1</v>
      </c>
      <c r="K35" s="4">
        <f>F35/I35-1</f>
        <v>-0.50300519255733445</v>
      </c>
      <c r="N35"/>
      <c r="P35" t="s">
        <v>294</v>
      </c>
      <c r="Q35">
        <v>2684</v>
      </c>
      <c r="R35">
        <v>4208.54</v>
      </c>
    </row>
    <row r="36" spans="1:18" hidden="1">
      <c r="A36" t="s">
        <v>1294</v>
      </c>
      <c r="B36" t="s">
        <v>187</v>
      </c>
      <c r="C36" t="s">
        <v>188</v>
      </c>
      <c r="D36" s="28">
        <v>2764</v>
      </c>
      <c r="E36" s="19">
        <f>D36/28</f>
        <v>98.714285714285708</v>
      </c>
      <c r="F36" s="5">
        <v>4252.3599999999997</v>
      </c>
      <c r="I36" s="19">
        <f>IF((D36/28)&gt;100,D36*2,D36*2)</f>
        <v>5528</v>
      </c>
      <c r="J36" t="b">
        <f>IF(F36&gt;1.2*I36,FALSE,TRUE)</f>
        <v>1</v>
      </c>
      <c r="K36" s="4">
        <f>F36/I36-1</f>
        <v>-0.23075976845151958</v>
      </c>
      <c r="N36"/>
      <c r="P36" t="s">
        <v>89</v>
      </c>
      <c r="Q36">
        <v>4901</v>
      </c>
      <c r="R36">
        <v>9133.83</v>
      </c>
    </row>
    <row r="37" spans="1:18" hidden="1">
      <c r="A37" t="s">
        <v>1294</v>
      </c>
      <c r="B37" t="s">
        <v>671</v>
      </c>
      <c r="C37" t="s">
        <v>672</v>
      </c>
      <c r="D37" s="28">
        <v>1576</v>
      </c>
      <c r="E37" s="19">
        <f>D37/28</f>
        <v>56.285714285714285</v>
      </c>
      <c r="F37" s="5">
        <v>956.47</v>
      </c>
      <c r="I37" s="19">
        <f>IF((D37/28)&gt;100,D37*2,D37*2)</f>
        <v>3152</v>
      </c>
      <c r="J37" t="b">
        <f>IF(F37&gt;1.2*I37,FALSE,TRUE)</f>
        <v>1</v>
      </c>
      <c r="K37" s="4">
        <f>F37/I37-1</f>
        <v>-0.69655139593908633</v>
      </c>
      <c r="N37"/>
      <c r="P37" t="s">
        <v>292</v>
      </c>
      <c r="Q37">
        <v>1150</v>
      </c>
      <c r="R37">
        <v>1379.51</v>
      </c>
    </row>
    <row r="38" spans="1:18" hidden="1">
      <c r="A38" t="s">
        <v>1294</v>
      </c>
      <c r="B38" t="s">
        <v>683</v>
      </c>
      <c r="C38" t="s">
        <v>684</v>
      </c>
      <c r="D38" s="28">
        <v>3075</v>
      </c>
      <c r="E38" s="19">
        <f>D38/28</f>
        <v>109.82142857142857</v>
      </c>
      <c r="F38" s="5">
        <v>3846.18</v>
      </c>
      <c r="I38" s="19">
        <f>IF((D38/28)&gt;100,D38*2,D38*2)</f>
        <v>6150</v>
      </c>
      <c r="J38" t="b">
        <f>IF(F38&gt;1.2*I38,FALSE,TRUE)</f>
        <v>1</v>
      </c>
      <c r="K38" s="4">
        <f>F38/I38-1</f>
        <v>-0.37460487804878051</v>
      </c>
      <c r="N38"/>
      <c r="P38" t="s">
        <v>662</v>
      </c>
      <c r="Q38">
        <v>3490</v>
      </c>
      <c r="R38">
        <v>6233.8</v>
      </c>
    </row>
    <row r="39" spans="1:18" hidden="1">
      <c r="A39" t="s">
        <v>1296</v>
      </c>
      <c r="B39" t="s">
        <v>313</v>
      </c>
      <c r="C39" t="s">
        <v>314</v>
      </c>
      <c r="D39" s="28">
        <v>1601</v>
      </c>
      <c r="E39" s="19">
        <f>D39/28</f>
        <v>57.178571428571431</v>
      </c>
      <c r="F39" s="5">
        <v>1352.64</v>
      </c>
      <c r="I39" s="19">
        <f>IF((D39/28)&gt;100,D39*2,D39*2)</f>
        <v>3202</v>
      </c>
      <c r="J39" t="b">
        <f>IF(F39&gt;1.2*I39,FALSE,TRUE)</f>
        <v>1</v>
      </c>
      <c r="K39" s="4">
        <f>F39/I39-1</f>
        <v>-0.57756402248594618</v>
      </c>
      <c r="N39"/>
      <c r="P39" t="s">
        <v>472</v>
      </c>
      <c r="Q39">
        <v>973</v>
      </c>
      <c r="R39">
        <v>1765</v>
      </c>
    </row>
    <row r="40" spans="1:18" hidden="1">
      <c r="A40" t="s">
        <v>1294</v>
      </c>
      <c r="B40" t="s">
        <v>391</v>
      </c>
      <c r="C40" t="s">
        <v>392</v>
      </c>
      <c r="D40" s="28">
        <v>904</v>
      </c>
      <c r="E40" s="19">
        <f>D40/28</f>
        <v>32.285714285714285</v>
      </c>
      <c r="F40" s="5">
        <v>366.7</v>
      </c>
      <c r="I40" s="19">
        <f>IF((D40/28)&gt;100,D40*2,D40*2)</f>
        <v>1808</v>
      </c>
      <c r="J40" t="b">
        <f>IF(F40&gt;1.2*I40,FALSE,TRUE)</f>
        <v>1</v>
      </c>
      <c r="K40" s="4">
        <f>F40/I40-1</f>
        <v>-0.79717920353982308</v>
      </c>
      <c r="N40"/>
      <c r="P40" t="s">
        <v>238</v>
      </c>
      <c r="Q40">
        <v>1611</v>
      </c>
      <c r="R40">
        <v>2692.2</v>
      </c>
    </row>
    <row r="41" spans="1:18" hidden="1">
      <c r="A41" t="s">
        <v>1296</v>
      </c>
      <c r="B41" t="s">
        <v>599</v>
      </c>
      <c r="C41" t="s">
        <v>600</v>
      </c>
      <c r="D41" s="28">
        <v>0</v>
      </c>
      <c r="E41" s="19">
        <f>D41/28</f>
        <v>0</v>
      </c>
      <c r="F41" s="5">
        <v>0</v>
      </c>
      <c r="I41" s="19">
        <f>IF((D41/28)&gt;100,D41*2,D41*2)</f>
        <v>0</v>
      </c>
      <c r="J41" t="b">
        <f>IF(F41&gt;1.2*I41,FALSE,TRUE)</f>
        <v>1</v>
      </c>
      <c r="K41" s="4" t="e">
        <f>F41/I41-1</f>
        <v>#DIV/0!</v>
      </c>
      <c r="N41"/>
      <c r="P41" t="s">
        <v>196</v>
      </c>
      <c r="Q41">
        <v>2321</v>
      </c>
      <c r="R41">
        <v>4250.3999999999996</v>
      </c>
    </row>
    <row r="42" spans="1:18" hidden="1">
      <c r="A42" t="s">
        <v>1296</v>
      </c>
      <c r="B42" t="s">
        <v>149</v>
      </c>
      <c r="C42" t="s">
        <v>150</v>
      </c>
      <c r="D42" s="28">
        <v>4299</v>
      </c>
      <c r="E42" s="19">
        <f>D42/28</f>
        <v>153.53571428571428</v>
      </c>
      <c r="F42" s="5">
        <v>8457.41</v>
      </c>
      <c r="I42" s="19">
        <f>IF((D42/28)&gt;100,D42*2,D42*2)</f>
        <v>8598</v>
      </c>
      <c r="J42" t="b">
        <f>IF(F42&gt;1.2*I42,FALSE,TRUE)</f>
        <v>1</v>
      </c>
      <c r="K42" s="4">
        <f>F42/I42-1</f>
        <v>-1.6351477087694799E-2</v>
      </c>
      <c r="N42"/>
      <c r="P42" t="s">
        <v>512</v>
      </c>
      <c r="Q42">
        <v>2223</v>
      </c>
      <c r="R42">
        <v>4480.07</v>
      </c>
    </row>
    <row r="43" spans="1:18" hidden="1">
      <c r="A43" t="s">
        <v>1296</v>
      </c>
      <c r="B43" s="55" t="s">
        <v>579</v>
      </c>
      <c r="C43" s="37" t="s">
        <v>580</v>
      </c>
      <c r="D43" s="28">
        <v>1872</v>
      </c>
      <c r="E43" s="19">
        <f>D43/28</f>
        <v>66.857142857142861</v>
      </c>
      <c r="F43" s="5">
        <v>3558.03</v>
      </c>
      <c r="I43" s="151">
        <f>IF((D43/28)&gt;100,D43*2,D43*2)</f>
        <v>3744</v>
      </c>
      <c r="J43" t="b">
        <f>IF(F43&gt;1.2*I43,FALSE,TRUE)</f>
        <v>1</v>
      </c>
      <c r="K43" s="4">
        <f>F43/I43-1</f>
        <v>-4.9671474358974343E-2</v>
      </c>
      <c r="N43"/>
      <c r="P43" t="s">
        <v>416</v>
      </c>
      <c r="Q43">
        <v>741</v>
      </c>
      <c r="R43">
        <v>1596.79</v>
      </c>
    </row>
    <row r="44" spans="1:18" hidden="1">
      <c r="A44" t="s">
        <v>1294</v>
      </c>
      <c r="B44" s="56" t="s">
        <v>625</v>
      </c>
      <c r="C44" s="37" t="s">
        <v>626</v>
      </c>
      <c r="D44" s="28">
        <v>757</v>
      </c>
      <c r="E44" s="19">
        <f>D44/28</f>
        <v>27.035714285714285</v>
      </c>
      <c r="F44" s="5">
        <v>1590.59</v>
      </c>
      <c r="I44" s="19">
        <f>IF((D44/28)&gt;100,D44*2,D44*2)</f>
        <v>1514</v>
      </c>
      <c r="J44" t="b">
        <f>IF(F44&gt;1.2*I44,FALSE,TRUE)</f>
        <v>1</v>
      </c>
      <c r="K44" s="4">
        <f>F44/I44-1</f>
        <v>5.0587846763540334E-2</v>
      </c>
      <c r="N44"/>
      <c r="P44" t="s">
        <v>494</v>
      </c>
      <c r="Q44">
        <v>1931</v>
      </c>
      <c r="R44">
        <v>4461.28</v>
      </c>
    </row>
    <row r="45" spans="1:18" hidden="1">
      <c r="A45" t="s">
        <v>1295</v>
      </c>
      <c r="B45" t="s">
        <v>621</v>
      </c>
      <c r="C45" t="s">
        <v>622</v>
      </c>
      <c r="D45" s="28">
        <v>739</v>
      </c>
      <c r="E45" s="19">
        <f>D45/28</f>
        <v>26.392857142857142</v>
      </c>
      <c r="F45" s="5">
        <v>684.82</v>
      </c>
      <c r="I45" s="151">
        <f>IF((D45/28)&gt;100,D45*2,D45*2)</f>
        <v>1478</v>
      </c>
      <c r="J45" t="b">
        <f>IF(F45&gt;1.2*I45,FALSE,TRUE)</f>
        <v>1</v>
      </c>
      <c r="K45" s="4">
        <f>F45/I45-1</f>
        <v>-0.53665764546684702</v>
      </c>
      <c r="N45"/>
      <c r="P45" t="s">
        <v>674</v>
      </c>
      <c r="Q45">
        <v>1390</v>
      </c>
      <c r="R45">
        <v>1789.01</v>
      </c>
    </row>
    <row r="46" spans="1:18" ht="30" hidden="1">
      <c r="A46" t="s">
        <v>1295</v>
      </c>
      <c r="B46" s="55" t="s">
        <v>263</v>
      </c>
      <c r="C46" s="37" t="s">
        <v>264</v>
      </c>
      <c r="D46" s="28">
        <v>2407</v>
      </c>
      <c r="E46" s="19">
        <f>D46/28</f>
        <v>85.964285714285708</v>
      </c>
      <c r="F46" s="5">
        <v>5139.7700000000004</v>
      </c>
      <c r="I46" s="19">
        <f>IF((D46/28)&gt;100,D46*2,D46*2)</f>
        <v>4814</v>
      </c>
      <c r="J46" t="b">
        <f>IF(F46&gt;1.2*I46,FALSE,TRUE)</f>
        <v>1</v>
      </c>
      <c r="K46" s="4">
        <f>F46/I46-1</f>
        <v>6.7671375155795577E-2</v>
      </c>
      <c r="N46"/>
      <c r="P46" t="s">
        <v>624</v>
      </c>
      <c r="Q46">
        <v>940</v>
      </c>
      <c r="R46">
        <v>1618.45</v>
      </c>
    </row>
    <row r="47" spans="1:18" ht="30" hidden="1">
      <c r="A47" t="s">
        <v>1294</v>
      </c>
      <c r="B47" s="55" t="s">
        <v>235</v>
      </c>
      <c r="C47" s="37" t="s">
        <v>236</v>
      </c>
      <c r="D47" s="28">
        <v>1084</v>
      </c>
      <c r="E47" s="19">
        <f>D47/28</f>
        <v>38.714285714285715</v>
      </c>
      <c r="F47" s="5">
        <v>1872.2</v>
      </c>
      <c r="I47" s="151">
        <f>IF((D47/28)&gt;100,D47*2,D47*2)</f>
        <v>2168</v>
      </c>
      <c r="J47" t="b">
        <f>IF(F47&gt;1.2*I47,FALSE,TRUE)</f>
        <v>1</v>
      </c>
      <c r="K47" s="4">
        <f>F47/I47-1</f>
        <v>-0.13643911439114387</v>
      </c>
      <c r="N47"/>
      <c r="P47" t="s">
        <v>36</v>
      </c>
      <c r="Q47">
        <v>3488</v>
      </c>
      <c r="R47">
        <v>6528.03</v>
      </c>
    </row>
    <row r="48" spans="1:18" hidden="1">
      <c r="A48" t="s">
        <v>1294</v>
      </c>
      <c r="B48" t="s">
        <v>147</v>
      </c>
      <c r="C48" t="s">
        <v>148</v>
      </c>
      <c r="D48" s="28">
        <v>1825</v>
      </c>
      <c r="E48" s="19">
        <f>D48/28</f>
        <v>65.178571428571431</v>
      </c>
      <c r="F48" s="5">
        <v>3000.73</v>
      </c>
      <c r="I48" s="19">
        <f>IF((D48/28)&gt;100,D48*2,D48*2)</f>
        <v>3650</v>
      </c>
      <c r="J48" t="b">
        <f>IF(F48&gt;1.2*I48,FALSE,TRUE)</f>
        <v>1</v>
      </c>
      <c r="K48" s="4">
        <f>F48/I48-1</f>
        <v>-0.17788219178082187</v>
      </c>
      <c r="N48"/>
      <c r="P48" t="s">
        <v>204</v>
      </c>
      <c r="Q48">
        <v>5377</v>
      </c>
      <c r="R48">
        <v>8788.83</v>
      </c>
    </row>
    <row r="49" spans="1:18" hidden="1">
      <c r="A49" t="s">
        <v>1294</v>
      </c>
      <c r="B49" t="s">
        <v>183</v>
      </c>
      <c r="C49" t="s">
        <v>184</v>
      </c>
      <c r="D49" s="28">
        <v>2165</v>
      </c>
      <c r="E49" s="19">
        <f>D49/28</f>
        <v>77.321428571428569</v>
      </c>
      <c r="F49" s="5">
        <v>3612.7</v>
      </c>
      <c r="I49" s="151">
        <f>IF((D49/28)&gt;100,D49*2,D49*2)</f>
        <v>4330</v>
      </c>
      <c r="J49" t="b">
        <f>IF(F49&gt;1.2*I49,FALSE,TRUE)</f>
        <v>1</v>
      </c>
      <c r="K49" s="4">
        <f>F49/I49-1</f>
        <v>-0.16565819861431874</v>
      </c>
      <c r="N49"/>
      <c r="P49" t="s">
        <v>632</v>
      </c>
      <c r="Q49">
        <v>633</v>
      </c>
      <c r="R49">
        <v>1173.22</v>
      </c>
    </row>
    <row r="50" spans="1:18" hidden="1">
      <c r="A50" t="s">
        <v>1294</v>
      </c>
      <c r="B50" t="s">
        <v>411</v>
      </c>
      <c r="C50" t="s">
        <v>412</v>
      </c>
      <c r="D50" s="28">
        <v>1452</v>
      </c>
      <c r="E50" s="19">
        <f>D50/28</f>
        <v>51.857142857142854</v>
      </c>
      <c r="F50" s="5">
        <v>1157.3699999999999</v>
      </c>
      <c r="I50" s="19">
        <f>IF((D50/28)&gt;100,D50*2,D50*2)</f>
        <v>2904</v>
      </c>
      <c r="J50" t="b">
        <f>IF(F50&gt;1.2*I50,FALSE,TRUE)</f>
        <v>1</v>
      </c>
      <c r="K50" s="4">
        <f>F50/I50-1</f>
        <v>-0.60145661157024799</v>
      </c>
      <c r="N50"/>
      <c r="P50" t="s">
        <v>564</v>
      </c>
      <c r="Q50">
        <v>1412</v>
      </c>
      <c r="R50">
        <v>2519.35</v>
      </c>
    </row>
    <row r="51" spans="1:18" hidden="1">
      <c r="A51" t="s">
        <v>1295</v>
      </c>
      <c r="B51" s="37" t="s">
        <v>511</v>
      </c>
      <c r="C51" s="37" t="s">
        <v>512</v>
      </c>
      <c r="D51" s="28">
        <v>2240</v>
      </c>
      <c r="E51" s="19">
        <f>D51/28</f>
        <v>80</v>
      </c>
      <c r="F51" s="5">
        <v>3698.82</v>
      </c>
      <c r="I51" s="151">
        <f>IF((D51/28)&gt;100,D51*2,D51*2)</f>
        <v>4480</v>
      </c>
      <c r="J51" t="b">
        <f>IF(F51&gt;1.2*I51,FALSE,TRUE)</f>
        <v>1</v>
      </c>
      <c r="K51" s="4">
        <f>F51/I51-1</f>
        <v>-0.17437053571428562</v>
      </c>
      <c r="N51"/>
      <c r="P51" t="s">
        <v>500</v>
      </c>
      <c r="Q51">
        <v>829</v>
      </c>
      <c r="R51">
        <v>1139.6600000000001</v>
      </c>
    </row>
    <row r="52" spans="1:18" hidden="1">
      <c r="A52" t="s">
        <v>1295</v>
      </c>
      <c r="B52" t="s">
        <v>209</v>
      </c>
      <c r="C52" t="s">
        <v>210</v>
      </c>
      <c r="D52" s="28">
        <v>1623</v>
      </c>
      <c r="E52" s="19">
        <f>D52/28</f>
        <v>57.964285714285715</v>
      </c>
      <c r="F52" s="5">
        <v>2660.45</v>
      </c>
      <c r="I52" s="19">
        <f>IF((D52/28)&gt;100,D52*2,D52*2)</f>
        <v>3246</v>
      </c>
      <c r="J52" t="b">
        <f>IF(F52&gt;1.2*I52,FALSE,TRUE)</f>
        <v>1</v>
      </c>
      <c r="K52" s="4">
        <f>F52/I52-1</f>
        <v>-0.1803912507701787</v>
      </c>
      <c r="N52"/>
      <c r="P52" t="s">
        <v>410</v>
      </c>
      <c r="Q52">
        <v>3176</v>
      </c>
      <c r="R52">
        <v>4296.8900000000003</v>
      </c>
    </row>
    <row r="53" spans="1:18" hidden="1">
      <c r="A53" t="s">
        <v>1295</v>
      </c>
      <c r="B53" t="s">
        <v>117</v>
      </c>
      <c r="C53" t="s">
        <v>118</v>
      </c>
      <c r="D53" s="28">
        <v>13244</v>
      </c>
      <c r="E53" s="19">
        <f>D53/28</f>
        <v>473</v>
      </c>
      <c r="F53" s="5">
        <v>13534.58</v>
      </c>
      <c r="I53" s="151">
        <f>IF((D53/28)&gt;100,D53*2,D53*2)</f>
        <v>26488</v>
      </c>
      <c r="J53" t="b">
        <f>IF(F53&gt;1.2*I53,FALSE,TRUE)</f>
        <v>1</v>
      </c>
      <c r="K53" s="4">
        <f>F53/I53-1</f>
        <v>-0.48902974932044696</v>
      </c>
      <c r="P53" t="s">
        <v>138</v>
      </c>
      <c r="Q53">
        <v>775</v>
      </c>
      <c r="R53">
        <v>1364.36</v>
      </c>
    </row>
    <row r="54" spans="1:18" hidden="1">
      <c r="A54" t="s">
        <v>1294</v>
      </c>
      <c r="B54" t="s">
        <v>563</v>
      </c>
      <c r="C54" t="s">
        <v>564</v>
      </c>
      <c r="D54" s="28">
        <v>1385</v>
      </c>
      <c r="E54" s="19">
        <f>D54/28</f>
        <v>49.464285714285715</v>
      </c>
      <c r="F54" s="5">
        <v>1799.84</v>
      </c>
      <c r="I54" s="19">
        <f>IF((D54/28)&gt;100,D54*2,D54*2)</f>
        <v>2770</v>
      </c>
      <c r="J54" t="b">
        <f>IF(F54&gt;1.2*I54,FALSE,TRUE)</f>
        <v>1</v>
      </c>
      <c r="K54" s="4">
        <f>F54/I54-1</f>
        <v>-0.35023826714801443</v>
      </c>
      <c r="N54"/>
      <c r="P54" t="s">
        <v>568</v>
      </c>
      <c r="Q54">
        <v>652</v>
      </c>
      <c r="R54">
        <v>1543.21</v>
      </c>
    </row>
    <row r="55" spans="1:18" hidden="1">
      <c r="A55" t="s">
        <v>1295</v>
      </c>
      <c r="B55" t="s">
        <v>659</v>
      </c>
      <c r="C55" t="s">
        <v>660</v>
      </c>
      <c r="D55" s="28">
        <v>724</v>
      </c>
      <c r="E55" s="19">
        <f>D55/28</f>
        <v>25.857142857142858</v>
      </c>
      <c r="F55" s="5">
        <v>569.55999999999995</v>
      </c>
      <c r="I55" s="19">
        <f>IF((D55/28)&gt;100,D55*2,D55*2)</f>
        <v>1448</v>
      </c>
      <c r="J55" t="b">
        <f>IF(F55&gt;1.2*I55,FALSE,TRUE)</f>
        <v>1</v>
      </c>
      <c r="K55" s="4">
        <f>F55/I55-1</f>
        <v>-0.60665745856353592</v>
      </c>
      <c r="N55"/>
      <c r="P55" t="s">
        <v>21</v>
      </c>
      <c r="Q55">
        <v>7423</v>
      </c>
      <c r="R55">
        <v>11232.22</v>
      </c>
    </row>
    <row r="56" spans="1:18" hidden="1">
      <c r="A56" t="s">
        <v>1294</v>
      </c>
      <c r="B56" t="s">
        <v>543</v>
      </c>
      <c r="C56" t="s">
        <v>544</v>
      </c>
      <c r="D56" s="28">
        <v>741</v>
      </c>
      <c r="E56" s="19">
        <f>D56/28</f>
        <v>26.464285714285715</v>
      </c>
      <c r="F56" s="5">
        <v>652.9</v>
      </c>
      <c r="I56" s="19">
        <f>IF((D56/28)&gt;100,D56*2,D56*2)</f>
        <v>1482</v>
      </c>
      <c r="J56" t="b">
        <f>IF(F56&gt;1.2*I56,FALSE,TRUE)</f>
        <v>1</v>
      </c>
      <c r="K56" s="4">
        <f>F56/I56-1</f>
        <v>-0.55944669365722</v>
      </c>
      <c r="N56"/>
      <c r="P56" t="s">
        <v>186</v>
      </c>
      <c r="Q56">
        <v>1327</v>
      </c>
      <c r="R56">
        <v>3076.45</v>
      </c>
    </row>
    <row r="57" spans="1:18" hidden="1">
      <c r="A57" t="s">
        <v>1295</v>
      </c>
      <c r="B57" t="s">
        <v>555</v>
      </c>
      <c r="C57" t="s">
        <v>556</v>
      </c>
      <c r="D57" s="28">
        <v>6</v>
      </c>
      <c r="E57" s="19">
        <f>D57/28</f>
        <v>0.21428571428571427</v>
      </c>
      <c r="F57" s="5">
        <v>0</v>
      </c>
      <c r="I57" s="19">
        <f>IF((D57/28)&gt;100,D57*2,D57*2)</f>
        <v>12</v>
      </c>
      <c r="J57" t="b">
        <f>IF(F57&gt;1.2*I57,FALSE,TRUE)</f>
        <v>1</v>
      </c>
      <c r="K57" s="4">
        <f>F57/I57-1</f>
        <v>-1</v>
      </c>
      <c r="N57"/>
      <c r="P57" t="s">
        <v>578</v>
      </c>
      <c r="Q57">
        <v>932</v>
      </c>
      <c r="R57">
        <v>1032.94</v>
      </c>
    </row>
    <row r="58" spans="1:18" hidden="1">
      <c r="A58" t="s">
        <v>1294</v>
      </c>
      <c r="B58" t="s">
        <v>617</v>
      </c>
      <c r="C58" t="s">
        <v>618</v>
      </c>
      <c r="D58" s="28">
        <v>1207</v>
      </c>
      <c r="E58" s="19">
        <f>D58/28</f>
        <v>43.107142857142854</v>
      </c>
      <c r="F58" s="5">
        <v>1487.28</v>
      </c>
      <c r="I58" s="151">
        <f>IF((D58/28)&gt;100,D58*2,D58*2)</f>
        <v>2414</v>
      </c>
      <c r="J58" t="b">
        <f>IF(F58&gt;1.2*I58,FALSE,TRUE)</f>
        <v>1</v>
      </c>
      <c r="K58" s="4">
        <f>F58/I58-1</f>
        <v>-0.38389395194697595</v>
      </c>
      <c r="N58"/>
      <c r="P58" t="s">
        <v>604</v>
      </c>
      <c r="Q58">
        <v>1214</v>
      </c>
      <c r="R58">
        <v>1000.47</v>
      </c>
    </row>
    <row r="59" spans="1:18" hidden="1">
      <c r="A59" t="s">
        <v>1294</v>
      </c>
      <c r="B59" s="56" t="s">
        <v>523</v>
      </c>
      <c r="C59" s="37" t="s">
        <v>524</v>
      </c>
      <c r="D59" s="28">
        <v>1608</v>
      </c>
      <c r="E59" s="19">
        <f>D59/28</f>
        <v>57.428571428571431</v>
      </c>
      <c r="F59" s="5">
        <v>1467.76</v>
      </c>
      <c r="I59" s="19">
        <f>IF((D59/28)&gt;100,D59*2,D59*2)</f>
        <v>3216</v>
      </c>
      <c r="J59" t="b">
        <f>IF(F59&gt;1.2*I59,FALSE,TRUE)</f>
        <v>1</v>
      </c>
      <c r="K59" s="4">
        <f>F59/I59-1</f>
        <v>-0.54360696517412932</v>
      </c>
      <c r="N59"/>
      <c r="P59" t="s">
        <v>582</v>
      </c>
      <c r="Q59">
        <v>1982</v>
      </c>
      <c r="R59">
        <v>1597.03</v>
      </c>
    </row>
    <row r="60" spans="1:18" hidden="1">
      <c r="A60" t="s">
        <v>1294</v>
      </c>
      <c r="B60" t="s">
        <v>665</v>
      </c>
      <c r="C60" t="s">
        <v>666</v>
      </c>
      <c r="D60" s="28">
        <v>1388</v>
      </c>
      <c r="E60" s="19">
        <f>D60/28</f>
        <v>49.571428571428569</v>
      </c>
      <c r="F60" s="5">
        <v>1910.23</v>
      </c>
      <c r="I60" s="19">
        <f>IF((D60/28)&gt;100,D60*2,D60*2)</f>
        <v>2776</v>
      </c>
      <c r="J60" t="b">
        <f>IF(F60&gt;1.2*I60,FALSE,TRUE)</f>
        <v>1</v>
      </c>
      <c r="K60" s="4">
        <f>F60/I60-1</f>
        <v>-0.31187680115273775</v>
      </c>
      <c r="N60"/>
      <c r="P60" t="s">
        <v>152</v>
      </c>
      <c r="Q60">
        <v>1254</v>
      </c>
      <c r="R60">
        <v>3319.52</v>
      </c>
    </row>
    <row r="61" spans="1:18" hidden="1">
      <c r="A61" t="s">
        <v>1294</v>
      </c>
      <c r="B61" t="s">
        <v>383</v>
      </c>
      <c r="C61" t="s">
        <v>384</v>
      </c>
      <c r="D61" s="28">
        <v>1977</v>
      </c>
      <c r="E61" s="19">
        <f>D61/28</f>
        <v>70.607142857142861</v>
      </c>
      <c r="F61" s="5">
        <v>2414.6799999999998</v>
      </c>
      <c r="I61" s="19">
        <f>IF((D61/28)&gt;100,D61*2,D61*2)</f>
        <v>3954</v>
      </c>
      <c r="J61" t="b">
        <f>IF(F61&gt;1.2*I61,FALSE,TRUE)</f>
        <v>1</v>
      </c>
      <c r="K61" s="4">
        <f>F61/I61-1</f>
        <v>-0.38930703085483054</v>
      </c>
      <c r="N61"/>
      <c r="P61" t="s">
        <v>452</v>
      </c>
      <c r="Q61">
        <v>971</v>
      </c>
      <c r="R61">
        <v>1914.05</v>
      </c>
    </row>
    <row r="62" spans="1:18">
      <c r="A62" t="s">
        <v>1296</v>
      </c>
      <c r="B62" t="s">
        <v>487</v>
      </c>
      <c r="C62" t="s">
        <v>488</v>
      </c>
      <c r="D62" s="28">
        <v>2014</v>
      </c>
      <c r="E62" s="19">
        <f>D62/28</f>
        <v>71.928571428571431</v>
      </c>
      <c r="F62" s="5">
        <v>4983.3999999999996</v>
      </c>
      <c r="I62" s="19">
        <f>IF((D62/28)&gt;100,D62*2,D62*2)</f>
        <v>4028</v>
      </c>
      <c r="J62" t="b">
        <f>IF(F62&gt;1.2*I62,FALSE,TRUE)</f>
        <v>0</v>
      </c>
      <c r="K62" s="4">
        <f>F62/I62-1</f>
        <v>0.23718967229394239</v>
      </c>
      <c r="N62"/>
      <c r="P62" t="s">
        <v>226</v>
      </c>
      <c r="Q62">
        <v>3925</v>
      </c>
      <c r="R62">
        <v>5623.45</v>
      </c>
    </row>
    <row r="63" spans="1:18" hidden="1">
      <c r="A63" t="s">
        <v>1294</v>
      </c>
      <c r="B63" s="57" t="s">
        <v>587</v>
      </c>
      <c r="C63" s="37" t="s">
        <v>588</v>
      </c>
      <c r="D63" s="28">
        <v>716</v>
      </c>
      <c r="E63" s="19">
        <f>D63/28</f>
        <v>25.571428571428573</v>
      </c>
      <c r="F63" s="5">
        <v>754.86</v>
      </c>
      <c r="I63" s="19">
        <f>IF((D63/28)&gt;100,D63*2,D63*2)</f>
        <v>1432</v>
      </c>
      <c r="J63" t="b">
        <f>IF(F63&gt;1.2*I63,FALSE,TRUE)</f>
        <v>1</v>
      </c>
      <c r="K63" s="4">
        <f>F63/I63-1</f>
        <v>-0.47286312849162015</v>
      </c>
      <c r="N63"/>
      <c r="P63" t="s">
        <v>354</v>
      </c>
      <c r="Q63">
        <v>470</v>
      </c>
      <c r="R63">
        <v>1363.19</v>
      </c>
    </row>
    <row r="64" spans="1:18" hidden="1">
      <c r="A64" t="s">
        <v>1294</v>
      </c>
      <c r="B64" s="37" t="s">
        <v>289</v>
      </c>
      <c r="C64" s="37" t="s">
        <v>290</v>
      </c>
      <c r="D64" s="28">
        <v>1528</v>
      </c>
      <c r="E64" s="19">
        <f>D64/28</f>
        <v>54.571428571428569</v>
      </c>
      <c r="F64" s="5">
        <v>970.92</v>
      </c>
      <c r="I64" s="19">
        <f>IF((D64/28)&gt;100,D64*2,D64*2)</f>
        <v>3056</v>
      </c>
      <c r="J64" t="b">
        <f>IF(F64&gt;1.2*I64,FALSE,TRUE)</f>
        <v>1</v>
      </c>
      <c r="K64" s="4">
        <f>F64/I64-1</f>
        <v>-0.68229057591623032</v>
      </c>
      <c r="N64"/>
      <c r="P64" t="s">
        <v>504</v>
      </c>
      <c r="Q64">
        <v>2026</v>
      </c>
      <c r="R64">
        <v>2164.4299999999998</v>
      </c>
    </row>
    <row r="65" spans="1:18" hidden="1">
      <c r="A65" t="s">
        <v>1295</v>
      </c>
      <c r="B65" t="s">
        <v>589</v>
      </c>
      <c r="C65" t="s">
        <v>590</v>
      </c>
      <c r="D65" s="28">
        <v>1007</v>
      </c>
      <c r="E65" s="19">
        <f>D65/28</f>
        <v>35.964285714285715</v>
      </c>
      <c r="F65" s="5">
        <v>1611.94</v>
      </c>
      <c r="I65" s="19">
        <f>IF((D65/28)&gt;100,D65*2,D65*2)</f>
        <v>2014</v>
      </c>
      <c r="J65" t="b">
        <f>IF(F65&gt;1.2*I65,FALSE,TRUE)</f>
        <v>1</v>
      </c>
      <c r="K65" s="4">
        <f>F65/I65-1</f>
        <v>-0.1996325719960278</v>
      </c>
      <c r="N65"/>
      <c r="P65" t="s">
        <v>148</v>
      </c>
      <c r="Q65">
        <v>2247</v>
      </c>
      <c r="R65">
        <v>4321.58</v>
      </c>
    </row>
    <row r="66" spans="1:18" hidden="1">
      <c r="A66" t="s">
        <v>1296</v>
      </c>
      <c r="B66" t="s">
        <v>279</v>
      </c>
      <c r="C66" t="s">
        <v>280</v>
      </c>
      <c r="D66" s="28">
        <v>2008</v>
      </c>
      <c r="E66" s="19">
        <f>D66/28</f>
        <v>71.714285714285708</v>
      </c>
      <c r="F66" s="5">
        <v>4287.1000000000004</v>
      </c>
      <c r="I66" s="19">
        <f>IF((D66/28)&gt;100,D66*2,D66*2)</f>
        <v>4016</v>
      </c>
      <c r="J66" t="b">
        <f>IF(F66&gt;1.2*I66,FALSE,TRUE)</f>
        <v>1</v>
      </c>
      <c r="K66" s="4">
        <f>F66/I66-1</f>
        <v>6.750498007968142E-2</v>
      </c>
      <c r="N66"/>
      <c r="P66" t="s">
        <v>302</v>
      </c>
      <c r="Q66">
        <v>2514</v>
      </c>
      <c r="R66">
        <v>2598.67</v>
      </c>
    </row>
    <row r="67" spans="1:18" hidden="1">
      <c r="A67" t="s">
        <v>1295</v>
      </c>
      <c r="B67" t="s">
        <v>655</v>
      </c>
      <c r="C67" t="s">
        <v>656</v>
      </c>
      <c r="D67" s="28">
        <v>1026</v>
      </c>
      <c r="E67" s="19">
        <f>D67/28</f>
        <v>36.642857142857146</v>
      </c>
      <c r="F67" s="5">
        <v>1312.06</v>
      </c>
      <c r="I67" s="19">
        <f>IF((D67/28)&gt;100,D67*2,D67*2)</f>
        <v>2052</v>
      </c>
      <c r="J67" t="b">
        <f>IF(F67&gt;1.2*I67,FALSE,TRUE)</f>
        <v>1</v>
      </c>
      <c r="K67" s="4">
        <f>F67/I67-1</f>
        <v>-0.36059454191033136</v>
      </c>
      <c r="N67"/>
      <c r="P67" t="s">
        <v>566</v>
      </c>
      <c r="Q67">
        <v>666</v>
      </c>
      <c r="R67">
        <v>974.04</v>
      </c>
    </row>
    <row r="68" spans="1:18" hidden="1">
      <c r="A68" t="s">
        <v>1295</v>
      </c>
      <c r="B68" t="s">
        <v>533</v>
      </c>
      <c r="C68" t="s">
        <v>534</v>
      </c>
      <c r="D68" s="28">
        <v>2055</v>
      </c>
      <c r="E68" s="19">
        <f>D68/28</f>
        <v>73.392857142857139</v>
      </c>
      <c r="F68" s="5">
        <v>2808.11</v>
      </c>
      <c r="I68" s="19">
        <f>IF((D68/28)&gt;100,D68*2,D68*2)</f>
        <v>4110</v>
      </c>
      <c r="J68" t="b">
        <f>IF(F68&gt;1.2*I68,FALSE,TRUE)</f>
        <v>1</v>
      </c>
      <c r="K68" s="4">
        <f>F68/I68-1</f>
        <v>-0.31676155717761556</v>
      </c>
      <c r="N68"/>
      <c r="P68" t="s">
        <v>538</v>
      </c>
      <c r="Q68">
        <v>2677</v>
      </c>
      <c r="R68">
        <v>4678.3900000000003</v>
      </c>
    </row>
    <row r="69" spans="1:18">
      <c r="A69" t="s">
        <v>1295</v>
      </c>
      <c r="B69" t="s">
        <v>365</v>
      </c>
      <c r="C69" t="s">
        <v>366</v>
      </c>
      <c r="D69" s="28">
        <v>1642</v>
      </c>
      <c r="E69" s="19">
        <f>D69/28</f>
        <v>58.642857142857146</v>
      </c>
      <c r="F69" s="5">
        <v>4012.46</v>
      </c>
      <c r="I69" s="19">
        <f>IF((D69/28)&gt;100,D69*2,D69*2)</f>
        <v>3284</v>
      </c>
      <c r="J69" t="b">
        <f>IF(F69&gt;1.2*I69,FALSE,TRUE)</f>
        <v>0</v>
      </c>
      <c r="K69" s="4">
        <f>F69/I69-1</f>
        <v>0.22182095006090141</v>
      </c>
      <c r="N69"/>
      <c r="P69" t="s">
        <v>236</v>
      </c>
      <c r="Q69">
        <v>1267</v>
      </c>
      <c r="R69">
        <v>2666.4</v>
      </c>
    </row>
    <row r="70" spans="1:18" hidden="1">
      <c r="A70" t="s">
        <v>1294</v>
      </c>
      <c r="B70" t="s">
        <v>535</v>
      </c>
      <c r="C70" t="s">
        <v>536</v>
      </c>
      <c r="D70" s="28">
        <v>1569</v>
      </c>
      <c r="E70" s="19">
        <f>D70/28</f>
        <v>56.035714285714285</v>
      </c>
      <c r="F70" s="5">
        <v>2215.65</v>
      </c>
      <c r="I70" s="19">
        <f>IF((D70/28)&gt;100,D70*2,D70*2)</f>
        <v>3138</v>
      </c>
      <c r="J70" t="b">
        <f>IF(F70&gt;1.2*I70,FALSE,TRUE)</f>
        <v>1</v>
      </c>
      <c r="K70" s="4">
        <f>F70/I70-1</f>
        <v>-0.29392925430210326</v>
      </c>
      <c r="N70"/>
      <c r="P70" t="s">
        <v>256</v>
      </c>
      <c r="Q70">
        <v>1937</v>
      </c>
      <c r="R70">
        <v>3822.55</v>
      </c>
    </row>
    <row r="71" spans="1:18" hidden="1">
      <c r="A71" t="s">
        <v>1296</v>
      </c>
      <c r="B71" t="s">
        <v>645</v>
      </c>
      <c r="C71" t="s">
        <v>646</v>
      </c>
      <c r="D71" s="28">
        <v>783</v>
      </c>
      <c r="E71" s="19">
        <f>D71/28</f>
        <v>27.964285714285715</v>
      </c>
      <c r="F71" s="5">
        <v>1605.37</v>
      </c>
      <c r="I71" s="19">
        <f>IF((D71/28)&gt;100,D71*2,D71*2)</f>
        <v>1566</v>
      </c>
      <c r="J71" t="b">
        <f>IF(F71&gt;1.2*I71,FALSE,TRUE)</f>
        <v>1</v>
      </c>
      <c r="K71" s="4">
        <f>F71/I71-1</f>
        <v>2.5140485312899141E-2</v>
      </c>
      <c r="N71"/>
      <c r="P71" t="s">
        <v>220</v>
      </c>
      <c r="Q71">
        <v>898</v>
      </c>
      <c r="R71">
        <v>1192.75</v>
      </c>
    </row>
    <row r="72" spans="1:18" hidden="1">
      <c r="A72" t="s">
        <v>1294</v>
      </c>
      <c r="B72" t="s">
        <v>389</v>
      </c>
      <c r="C72" t="s">
        <v>390</v>
      </c>
      <c r="D72" s="28">
        <v>1104</v>
      </c>
      <c r="E72" s="19">
        <f>D72/28</f>
        <v>39.428571428571431</v>
      </c>
      <c r="F72" s="5">
        <v>1499.22</v>
      </c>
      <c r="I72" s="19">
        <f>IF((D72/28)&gt;100,D72*2,D72*2)</f>
        <v>2208</v>
      </c>
      <c r="J72" t="b">
        <f>IF(F72&gt;1.2*I72,FALSE,TRUE)</f>
        <v>1</v>
      </c>
      <c r="K72" s="4">
        <f>F72/I72-1</f>
        <v>-0.32100543478260868</v>
      </c>
      <c r="N72"/>
      <c r="P72" t="s">
        <v>540</v>
      </c>
      <c r="Q72">
        <v>866</v>
      </c>
      <c r="R72">
        <v>951.69</v>
      </c>
    </row>
    <row r="73" spans="1:18" hidden="1">
      <c r="A73" t="s">
        <v>1295</v>
      </c>
      <c r="B73" t="s">
        <v>557</v>
      </c>
      <c r="C73" t="s">
        <v>558</v>
      </c>
      <c r="D73" s="28">
        <v>919</v>
      </c>
      <c r="E73" s="19">
        <f>D73/28</f>
        <v>32.821428571428569</v>
      </c>
      <c r="F73" s="5">
        <v>1474.74</v>
      </c>
      <c r="I73" s="19">
        <f>IF((D73/28)&gt;100,D73*2,D73*2)</f>
        <v>1838</v>
      </c>
      <c r="J73" t="b">
        <f>IF(F73&gt;1.2*I73,FALSE,TRUE)</f>
        <v>1</v>
      </c>
      <c r="K73" s="4">
        <f>F73/I73-1</f>
        <v>-0.1976387377584331</v>
      </c>
      <c r="N73"/>
      <c r="P73" t="s">
        <v>536</v>
      </c>
      <c r="Q73">
        <v>1675</v>
      </c>
      <c r="R73">
        <v>3354.17</v>
      </c>
    </row>
    <row r="74" spans="1:18">
      <c r="A74" t="s">
        <v>1294</v>
      </c>
      <c r="B74" t="s">
        <v>349</v>
      </c>
      <c r="C74" t="s">
        <v>350</v>
      </c>
      <c r="D74" s="28">
        <v>1509</v>
      </c>
      <c r="E74" s="19">
        <f>D74/28</f>
        <v>53.892857142857146</v>
      </c>
      <c r="F74" s="5">
        <v>3880.73</v>
      </c>
      <c r="I74" s="19">
        <f>IF((D74/28)&gt;100,D74*2,D74*2)</f>
        <v>3018</v>
      </c>
      <c r="J74" t="b">
        <f>IF(F74&gt;1.2*I74,FALSE,TRUE)</f>
        <v>0</v>
      </c>
      <c r="K74" s="4">
        <f>F74/I74-1</f>
        <v>0.28586149768058311</v>
      </c>
      <c r="N74"/>
      <c r="P74" t="s">
        <v>404</v>
      </c>
      <c r="Q74">
        <v>821</v>
      </c>
      <c r="R74">
        <v>1269.99</v>
      </c>
    </row>
    <row r="75" spans="1:18" hidden="1">
      <c r="A75" t="s">
        <v>1294</v>
      </c>
      <c r="B75" t="s">
        <v>155</v>
      </c>
      <c r="C75" t="s">
        <v>156</v>
      </c>
      <c r="D75" s="28">
        <v>1954</v>
      </c>
      <c r="E75" s="19">
        <f>D75/28</f>
        <v>69.785714285714292</v>
      </c>
      <c r="F75" s="5">
        <v>3105.79</v>
      </c>
      <c r="I75" s="19">
        <f>IF((D75/28)&gt;100,D75*2,D75*2)</f>
        <v>3908</v>
      </c>
      <c r="J75" t="b">
        <f>IF(F75&gt;1.2*I75,FALSE,TRUE)</f>
        <v>1</v>
      </c>
      <c r="K75" s="4">
        <f>F75/I75-1</f>
        <v>-0.20527379733879225</v>
      </c>
      <c r="N75"/>
      <c r="P75" t="s">
        <v>462</v>
      </c>
      <c r="Q75">
        <v>472</v>
      </c>
      <c r="R75">
        <v>962.02</v>
      </c>
    </row>
    <row r="76" spans="1:18" hidden="1">
      <c r="A76" t="s">
        <v>1295</v>
      </c>
      <c r="B76" t="s">
        <v>171</v>
      </c>
      <c r="C76" t="s">
        <v>172</v>
      </c>
      <c r="D76" s="28">
        <v>2058</v>
      </c>
      <c r="E76" s="19">
        <f>D76/28</f>
        <v>73.5</v>
      </c>
      <c r="F76" s="5">
        <v>4603.8999999999996</v>
      </c>
      <c r="I76" s="19">
        <f>IF((D76/28)&gt;100,D76*2,D76*2)</f>
        <v>4116</v>
      </c>
      <c r="J76" t="b">
        <f>IF(F76&gt;1.2*I76,FALSE,TRUE)</f>
        <v>1</v>
      </c>
      <c r="K76" s="4">
        <f>F76/I76-1</f>
        <v>0.11853741496598635</v>
      </c>
      <c r="N76"/>
      <c r="P76" t="s">
        <v>476</v>
      </c>
      <c r="Q76">
        <v>525</v>
      </c>
      <c r="R76">
        <v>774.67</v>
      </c>
    </row>
    <row r="77" spans="1:18" hidden="1">
      <c r="A77" t="s">
        <v>1295</v>
      </c>
      <c r="B77" t="s">
        <v>649</v>
      </c>
      <c r="C77" t="s">
        <v>650</v>
      </c>
      <c r="D77" s="28">
        <v>1193</v>
      </c>
      <c r="E77" s="19">
        <f>D77/28</f>
        <v>42.607142857142854</v>
      </c>
      <c r="F77" s="5">
        <v>846.16</v>
      </c>
      <c r="I77" s="151">
        <f>IF((D77/28)&gt;100,D77*2,D77*2)</f>
        <v>2386</v>
      </c>
      <c r="J77" t="b">
        <f>IF(F77&gt;1.2*I77,FALSE,TRUE)</f>
        <v>1</v>
      </c>
      <c r="K77" s="4">
        <f>F77/I77-1</f>
        <v>-0.64536462699077957</v>
      </c>
      <c r="N77"/>
      <c r="P77" t="s">
        <v>388</v>
      </c>
      <c r="Q77">
        <v>901</v>
      </c>
      <c r="R77">
        <v>1451.22</v>
      </c>
    </row>
    <row r="78" spans="1:18" hidden="1">
      <c r="A78" t="s">
        <v>1296</v>
      </c>
      <c r="B78" t="s">
        <v>225</v>
      </c>
      <c r="C78" t="s">
        <v>226</v>
      </c>
      <c r="D78" s="28">
        <v>3886</v>
      </c>
      <c r="E78" s="19">
        <f>D78/28</f>
        <v>138.78571428571428</v>
      </c>
      <c r="F78" s="5">
        <v>5078.87</v>
      </c>
      <c r="I78" s="19">
        <f>IF((D78/28)&gt;100,D78*2,D78*2)</f>
        <v>7772</v>
      </c>
      <c r="J78" t="b">
        <f>IF(F78&gt;1.2*I78,FALSE,TRUE)</f>
        <v>1</v>
      </c>
      <c r="K78" s="4">
        <f>F78/I78-1</f>
        <v>-0.34651698404529085</v>
      </c>
      <c r="N78"/>
      <c r="P78" t="s">
        <v>534</v>
      </c>
      <c r="Q78">
        <v>2428</v>
      </c>
      <c r="R78">
        <v>2821.81</v>
      </c>
    </row>
    <row r="79" spans="1:18" hidden="1">
      <c r="A79" t="s">
        <v>1295</v>
      </c>
      <c r="B79" s="57" t="s">
        <v>549</v>
      </c>
      <c r="C79" s="37" t="s">
        <v>550</v>
      </c>
      <c r="D79" s="28">
        <v>1300</v>
      </c>
      <c r="E79" s="19">
        <f>D79/28</f>
        <v>46.428571428571431</v>
      </c>
      <c r="F79" s="5">
        <v>2742.71</v>
      </c>
      <c r="I79" s="19">
        <f>IF((D79/28)&gt;100,D79*2,D79*2)</f>
        <v>2600</v>
      </c>
      <c r="J79" t="b">
        <f>IF(F79&gt;1.2*I79,FALSE,TRUE)</f>
        <v>1</v>
      </c>
      <c r="K79" s="4">
        <f>F79/I79-1</f>
        <v>5.4888461538461497E-2</v>
      </c>
      <c r="N79"/>
      <c r="P79" t="s">
        <v>262</v>
      </c>
      <c r="Q79">
        <v>1476</v>
      </c>
      <c r="R79">
        <v>1165.81</v>
      </c>
    </row>
    <row r="80" spans="1:18">
      <c r="A80" t="s">
        <v>1294</v>
      </c>
      <c r="B80" t="s">
        <v>145</v>
      </c>
      <c r="C80" t="s">
        <v>146</v>
      </c>
      <c r="D80" s="28">
        <v>1474</v>
      </c>
      <c r="E80" s="19">
        <f>D80/28</f>
        <v>52.642857142857146</v>
      </c>
      <c r="F80" s="5">
        <v>4137.75</v>
      </c>
      <c r="I80" s="19">
        <f>IF((D80/28)&gt;100,D80*2,D80*2)</f>
        <v>2948</v>
      </c>
      <c r="J80" t="b">
        <f>IF(F80&gt;1.2*I80,FALSE,TRUE)</f>
        <v>0</v>
      </c>
      <c r="K80" s="4">
        <f>F80/I80-1</f>
        <v>0.40357869742198105</v>
      </c>
      <c r="L80" t="s">
        <v>15</v>
      </c>
      <c r="M80" t="s">
        <v>1299</v>
      </c>
      <c r="N80"/>
      <c r="P80" t="s">
        <v>342</v>
      </c>
      <c r="Q80">
        <v>978</v>
      </c>
      <c r="R80">
        <v>871.95</v>
      </c>
    </row>
    <row r="81" spans="1:18" hidden="1">
      <c r="A81" t="s">
        <v>1294</v>
      </c>
      <c r="B81" t="s">
        <v>427</v>
      </c>
      <c r="C81" t="s">
        <v>428</v>
      </c>
      <c r="D81" s="28">
        <v>849</v>
      </c>
      <c r="E81" s="19">
        <f>D81/28</f>
        <v>30.321428571428573</v>
      </c>
      <c r="F81" s="5">
        <v>987.18</v>
      </c>
      <c r="I81" s="19">
        <f>IF((D81/28)&gt;100,D81*2,D81*2)</f>
        <v>1698</v>
      </c>
      <c r="J81" t="b">
        <f>IF(F81&gt;1.2*I81,FALSE,TRUE)</f>
        <v>1</v>
      </c>
      <c r="K81" s="4">
        <f>F81/I81-1</f>
        <v>-0.41862190812720856</v>
      </c>
      <c r="N81"/>
      <c r="P81" t="s">
        <v>214</v>
      </c>
      <c r="Q81">
        <v>952</v>
      </c>
      <c r="R81">
        <v>1464.03</v>
      </c>
    </row>
    <row r="82" spans="1:18">
      <c r="A82" t="s">
        <v>1294</v>
      </c>
      <c r="B82" t="s">
        <v>623</v>
      </c>
      <c r="C82" t="s">
        <v>624</v>
      </c>
      <c r="D82" s="28">
        <v>1407</v>
      </c>
      <c r="E82" s="19">
        <f>D82/28</f>
        <v>50.25</v>
      </c>
      <c r="F82" s="5">
        <v>3403.57</v>
      </c>
      <c r="I82" s="19">
        <f>IF((D82/28)&gt;100,D82*2,D82*2)</f>
        <v>2814</v>
      </c>
      <c r="J82" t="b">
        <f>IF(F82&gt;1.2*I82,FALSE,TRUE)</f>
        <v>0</v>
      </c>
      <c r="K82" s="4">
        <f>F82/I82-1</f>
        <v>0.20951314854299929</v>
      </c>
      <c r="N82"/>
      <c r="P82" t="s">
        <v>290</v>
      </c>
      <c r="Q82">
        <v>1631</v>
      </c>
      <c r="R82">
        <v>994.98</v>
      </c>
    </row>
    <row r="83" spans="1:18" hidden="1">
      <c r="A83" t="s">
        <v>1295</v>
      </c>
      <c r="B83" t="s">
        <v>613</v>
      </c>
      <c r="C83" t="s">
        <v>614</v>
      </c>
      <c r="D83" s="28">
        <v>776</v>
      </c>
      <c r="E83" s="19">
        <f>D83/28</f>
        <v>27.714285714285715</v>
      </c>
      <c r="F83" s="5">
        <v>1202.67</v>
      </c>
      <c r="I83" s="19">
        <f>IF((D83/28)&gt;100,D83*2,D83*2)</f>
        <v>1552</v>
      </c>
      <c r="J83" t="b">
        <f>IF(F83&gt;1.2*I83,FALSE,TRUE)</f>
        <v>1</v>
      </c>
      <c r="K83" s="4">
        <f>F83/I83-1</f>
        <v>-0.22508376288659793</v>
      </c>
      <c r="N83"/>
      <c r="P83" t="s">
        <v>480</v>
      </c>
      <c r="Q83">
        <v>602</v>
      </c>
      <c r="R83">
        <v>654.19000000000005</v>
      </c>
    </row>
    <row r="84" spans="1:18" hidden="1">
      <c r="A84" t="s">
        <v>1294</v>
      </c>
      <c r="B84" t="s">
        <v>513</v>
      </c>
      <c r="C84" t="s">
        <v>514</v>
      </c>
      <c r="D84" s="28">
        <v>1039</v>
      </c>
      <c r="E84" s="19">
        <f>D84/28</f>
        <v>37.107142857142854</v>
      </c>
      <c r="F84" s="5">
        <v>672.44</v>
      </c>
      <c r="I84" s="19">
        <f>IF((D84/28)&gt;100,D84*2,D84*2)</f>
        <v>2078</v>
      </c>
      <c r="J84" t="b">
        <f>IF(F84&gt;1.2*I84,FALSE,TRUE)</f>
        <v>1</v>
      </c>
      <c r="K84" s="4">
        <f>F84/I84-1</f>
        <v>-0.6764003849855631</v>
      </c>
      <c r="N84"/>
      <c r="P84" t="s">
        <v>510</v>
      </c>
      <c r="Q84">
        <v>1672</v>
      </c>
      <c r="R84">
        <v>3182.12</v>
      </c>
    </row>
    <row r="85" spans="1:18" hidden="1">
      <c r="A85" t="s">
        <v>1294</v>
      </c>
      <c r="B85" t="s">
        <v>631</v>
      </c>
      <c r="C85" t="s">
        <v>632</v>
      </c>
      <c r="D85" s="28">
        <v>531</v>
      </c>
      <c r="E85" s="19">
        <f>D85/28</f>
        <v>18.964285714285715</v>
      </c>
      <c r="F85" s="5">
        <v>796.56</v>
      </c>
      <c r="I85" s="19">
        <f>IF((D85/28)&gt;100,D85*2,D85*2)</f>
        <v>1062</v>
      </c>
      <c r="J85" t="b">
        <f>IF(F85&gt;1.2*I85,FALSE,TRUE)</f>
        <v>1</v>
      </c>
      <c r="K85" s="4">
        <f>F85/I85-1</f>
        <v>-0.24994350282485878</v>
      </c>
      <c r="N85"/>
      <c r="P85" t="s">
        <v>336</v>
      </c>
      <c r="Q85">
        <v>662</v>
      </c>
      <c r="R85">
        <v>310.57</v>
      </c>
    </row>
    <row r="86" spans="1:18" hidden="1">
      <c r="A86" t="s">
        <v>1295</v>
      </c>
      <c r="B86" t="s">
        <v>575</v>
      </c>
      <c r="C86" t="s">
        <v>576</v>
      </c>
      <c r="D86" s="28">
        <v>870</v>
      </c>
      <c r="E86" s="19">
        <f>D86/28</f>
        <v>31.071428571428573</v>
      </c>
      <c r="F86" s="5">
        <v>1773.8600000000001</v>
      </c>
      <c r="I86" s="19">
        <f>IF((D86/28)&gt;100,D86*2,D86*2)</f>
        <v>1740</v>
      </c>
      <c r="J86" t="b">
        <f>IF(F86&gt;1.2*I86,FALSE,TRUE)</f>
        <v>1</v>
      </c>
      <c r="K86" s="4">
        <f>F86/I86-1</f>
        <v>1.9459770114942598E-2</v>
      </c>
      <c r="N86"/>
      <c r="P86" t="s">
        <v>296</v>
      </c>
      <c r="Q86">
        <v>423</v>
      </c>
      <c r="R86">
        <v>765.94</v>
      </c>
    </row>
    <row r="87" spans="1:18" hidden="1">
      <c r="A87" t="s">
        <v>1296</v>
      </c>
      <c r="B87" t="s">
        <v>281</v>
      </c>
      <c r="C87" t="s">
        <v>282</v>
      </c>
      <c r="D87" s="28">
        <v>1528</v>
      </c>
      <c r="E87" s="19">
        <f>D87/28</f>
        <v>54.571428571428569</v>
      </c>
      <c r="F87" s="5">
        <v>3021.45</v>
      </c>
      <c r="I87" s="19">
        <f>IF((D87/28)&gt;100,D87*2,D87*2)</f>
        <v>3056</v>
      </c>
      <c r="J87" t="b">
        <f>IF(F87&gt;1.2*I87,FALSE,TRUE)</f>
        <v>1</v>
      </c>
      <c r="K87" s="4">
        <f>F87/I87-1</f>
        <v>-1.1305628272251345E-2</v>
      </c>
      <c r="N87"/>
      <c r="P87" t="s">
        <v>424</v>
      </c>
      <c r="Q87">
        <v>431</v>
      </c>
      <c r="R87">
        <v>742.51</v>
      </c>
    </row>
    <row r="88" spans="1:18">
      <c r="A88" t="s">
        <v>1294</v>
      </c>
      <c r="B88" t="s">
        <v>359</v>
      </c>
      <c r="C88" t="s">
        <v>360</v>
      </c>
      <c r="D88" s="28">
        <v>1291</v>
      </c>
      <c r="E88" s="19">
        <f>D88/28</f>
        <v>46.107142857142854</v>
      </c>
      <c r="F88" s="5">
        <v>3185.32</v>
      </c>
      <c r="I88" s="19">
        <f>IF((D88/28)&gt;100,D88*2,D88*2)</f>
        <v>2582</v>
      </c>
      <c r="J88" t="b">
        <f>IF(F88&gt;1.2*I88,FALSE,TRUE)</f>
        <v>0</v>
      </c>
      <c r="K88" s="4">
        <f>F88/I88-1</f>
        <v>0.23366382649109219</v>
      </c>
      <c r="N88"/>
      <c r="P88" t="s">
        <v>1300</v>
      </c>
      <c r="Q88">
        <v>208</v>
      </c>
      <c r="R88">
        <v>461.06</v>
      </c>
    </row>
    <row r="89" spans="1:18">
      <c r="B89" t="s">
        <v>1036</v>
      </c>
      <c r="C89" t="s">
        <v>1037</v>
      </c>
      <c r="D89">
        <v>1241</v>
      </c>
      <c r="E89" s="19">
        <f>D89/28</f>
        <v>44.321428571428569</v>
      </c>
      <c r="F89" s="5">
        <v>3770.68</v>
      </c>
      <c r="I89" s="140">
        <f>IF((D89/28)&gt;100,D89*2,D89*2)</f>
        <v>2482</v>
      </c>
      <c r="J89" t="b">
        <f>IF(F89&gt;1.2*I89,FALSE,TRUE)</f>
        <v>0</v>
      </c>
      <c r="K89" s="4">
        <f>F89/I89-1</f>
        <v>0.51921031426269137</v>
      </c>
      <c r="P89" t="s">
        <v>320</v>
      </c>
      <c r="Q89">
        <v>427</v>
      </c>
      <c r="R89">
        <v>594.62</v>
      </c>
    </row>
    <row r="90" spans="1:18" hidden="1">
      <c r="A90" t="s">
        <v>1294</v>
      </c>
      <c r="B90" t="s">
        <v>243</v>
      </c>
      <c r="C90" t="s">
        <v>244</v>
      </c>
      <c r="D90" s="28">
        <v>2109</v>
      </c>
      <c r="E90" s="19">
        <f>D90/28</f>
        <v>75.321428571428569</v>
      </c>
      <c r="F90" s="5">
        <v>3914.14</v>
      </c>
      <c r="I90" s="19">
        <f>IF((D90/28)&gt;100,D90*2,D90*2)</f>
        <v>4218</v>
      </c>
      <c r="J90" t="b">
        <f>IF(F90&gt;1.2*I90,FALSE,TRUE)</f>
        <v>1</v>
      </c>
      <c r="K90" s="4">
        <f>F90/I90-1</f>
        <v>-7.2038880986249443E-2</v>
      </c>
      <c r="N90"/>
      <c r="P90" t="s">
        <v>678</v>
      </c>
      <c r="Q90">
        <v>6857</v>
      </c>
      <c r="R90">
        <v>7319.16</v>
      </c>
    </row>
    <row r="91" spans="1:18" hidden="1">
      <c r="A91" t="s">
        <v>1295</v>
      </c>
      <c r="B91" t="s">
        <v>447</v>
      </c>
      <c r="C91" t="s">
        <v>448</v>
      </c>
      <c r="D91" s="28">
        <v>909</v>
      </c>
      <c r="E91" s="19">
        <f>D91/28</f>
        <v>32.464285714285715</v>
      </c>
      <c r="F91" s="5">
        <v>1306.32</v>
      </c>
      <c r="I91" s="19">
        <f>IF((D91/28)&gt;100,D91*2,D91*2)</f>
        <v>1818</v>
      </c>
      <c r="J91" t="b">
        <f>IF(F91&gt;1.2*I91,FALSE,TRUE)</f>
        <v>1</v>
      </c>
      <c r="K91" s="4">
        <f>F91/I91-1</f>
        <v>-0.28145214521452144</v>
      </c>
      <c r="N91"/>
      <c r="P91" t="s">
        <v>560</v>
      </c>
      <c r="Q91">
        <v>1277</v>
      </c>
      <c r="R91">
        <v>2567.0300000000002</v>
      </c>
    </row>
    <row r="92" spans="1:18" hidden="1">
      <c r="A92" t="s">
        <v>1294</v>
      </c>
      <c r="B92" t="s">
        <v>199</v>
      </c>
      <c r="C92" s="27" t="s">
        <v>200</v>
      </c>
      <c r="D92" s="28">
        <v>1222</v>
      </c>
      <c r="E92" s="19">
        <f>D92/28</f>
        <v>43.642857142857146</v>
      </c>
      <c r="F92" s="5">
        <v>1781.1</v>
      </c>
      <c r="I92" s="151">
        <f>IF((D92/28)&gt;100,D92*2,D92*2)</f>
        <v>2444</v>
      </c>
      <c r="J92" t="b">
        <f>IF(F92&gt;1.2*I92,FALSE,TRUE)</f>
        <v>1</v>
      </c>
      <c r="K92" s="4">
        <f>F92/I92-1</f>
        <v>-0.27123567921440261</v>
      </c>
      <c r="N92"/>
      <c r="P92" t="s">
        <v>474</v>
      </c>
      <c r="Q92">
        <v>1046</v>
      </c>
      <c r="R92">
        <v>905.93</v>
      </c>
    </row>
    <row r="93" spans="1:18" hidden="1">
      <c r="A93" t="s">
        <v>1296</v>
      </c>
      <c r="B93" t="s">
        <v>285</v>
      </c>
      <c r="C93" t="s">
        <v>286</v>
      </c>
      <c r="D93" s="28">
        <v>3017</v>
      </c>
      <c r="E93" s="19">
        <f>D93/28</f>
        <v>107.75</v>
      </c>
      <c r="F93" s="5">
        <v>6796.08</v>
      </c>
      <c r="I93" s="19">
        <f>IF((D93/28)&gt;100,D93*2,D93*2)</f>
        <v>6034</v>
      </c>
      <c r="J93" t="b">
        <f>IF(F93&gt;1.2*I93,FALSE,TRUE)</f>
        <v>1</v>
      </c>
      <c r="K93" s="4">
        <f>F93/I93-1</f>
        <v>0.12629764666887633</v>
      </c>
      <c r="N93"/>
      <c r="P93" t="s">
        <v>348</v>
      </c>
      <c r="Q93">
        <v>577</v>
      </c>
      <c r="R93">
        <v>720.77</v>
      </c>
    </row>
    <row r="94" spans="1:18" hidden="1">
      <c r="A94" t="s">
        <v>1294</v>
      </c>
      <c r="B94" t="s">
        <v>473</v>
      </c>
      <c r="C94" t="s">
        <v>474</v>
      </c>
      <c r="D94" s="28">
        <v>810</v>
      </c>
      <c r="E94" s="19">
        <f>D94/28</f>
        <v>28.928571428571427</v>
      </c>
      <c r="F94" s="5">
        <v>794.84</v>
      </c>
      <c r="I94" s="19">
        <f>IF((D94/28)&gt;100,D94*2,D94*2)</f>
        <v>1620</v>
      </c>
      <c r="J94" t="b">
        <f>IF(F94&gt;1.2*I94,FALSE,TRUE)</f>
        <v>1</v>
      </c>
      <c r="K94" s="4">
        <f>F94/I94-1</f>
        <v>-0.50935802469135805</v>
      </c>
      <c r="N94"/>
      <c r="P94" t="s">
        <v>378</v>
      </c>
      <c r="Q94">
        <v>576</v>
      </c>
      <c r="R94">
        <v>686.87</v>
      </c>
    </row>
    <row r="95" spans="1:18">
      <c r="A95" t="s">
        <v>1295</v>
      </c>
      <c r="B95" t="s">
        <v>491</v>
      </c>
      <c r="C95" t="s">
        <v>492</v>
      </c>
      <c r="D95" s="28">
        <v>1069</v>
      </c>
      <c r="E95" s="19">
        <f>D95/28</f>
        <v>38.178571428571431</v>
      </c>
      <c r="F95" s="5">
        <v>2645.12</v>
      </c>
      <c r="I95" s="19">
        <f>IF((D95/28)&gt;100,D95*2,D95*2)</f>
        <v>2138</v>
      </c>
      <c r="J95" t="b">
        <f>IF(F95&gt;1.2*I95,FALSE,TRUE)</f>
        <v>0</v>
      </c>
      <c r="K95" s="4">
        <f>F95/I95-1</f>
        <v>0.23719363891487366</v>
      </c>
      <c r="N95"/>
      <c r="P95" t="s">
        <v>600</v>
      </c>
      <c r="Q95">
        <v>752</v>
      </c>
      <c r="R95">
        <v>616.62</v>
      </c>
    </row>
    <row r="96" spans="1:18">
      <c r="B96" t="s">
        <v>972</v>
      </c>
      <c r="C96" t="s">
        <v>973</v>
      </c>
      <c r="D96" s="19">
        <v>1032</v>
      </c>
      <c r="E96" s="19">
        <f>D96/28</f>
        <v>36.857142857142854</v>
      </c>
      <c r="F96" s="5">
        <v>2496.02</v>
      </c>
      <c r="I96" s="140">
        <f>IF((D96/28)&gt;100,D96*2,D96*2)</f>
        <v>2064</v>
      </c>
      <c r="J96" t="b">
        <f>IF(F96&gt;1.2*I96,FALSE,TRUE)</f>
        <v>0</v>
      </c>
      <c r="K96" s="4">
        <f>F96/I96-1</f>
        <v>0.2093120155038759</v>
      </c>
      <c r="P96" t="s">
        <v>484</v>
      </c>
      <c r="Q96">
        <v>613</v>
      </c>
      <c r="R96">
        <v>1513.71</v>
      </c>
    </row>
    <row r="97" spans="1:18">
      <c r="A97" t="s">
        <v>1296</v>
      </c>
      <c r="B97" t="s">
        <v>551</v>
      </c>
      <c r="C97" t="s">
        <v>552</v>
      </c>
      <c r="D97" s="28">
        <v>1027</v>
      </c>
      <c r="E97" s="19">
        <f>D97/28</f>
        <v>36.678571428571431</v>
      </c>
      <c r="F97" s="5">
        <v>2985.73</v>
      </c>
      <c r="I97" s="19">
        <f>IF((D97/28)&gt;100,D97*2,D97*2)</f>
        <v>2054</v>
      </c>
      <c r="J97" t="b">
        <f>IF(F97&gt;1.2*I97,FALSE,TRUE)</f>
        <v>0</v>
      </c>
      <c r="K97" s="4">
        <f>F97/I97-1</f>
        <v>0.45361733203505361</v>
      </c>
      <c r="N97"/>
      <c r="P97" t="s">
        <v>154</v>
      </c>
      <c r="Q97">
        <v>1880</v>
      </c>
      <c r="R97">
        <v>3516.22</v>
      </c>
    </row>
    <row r="98" spans="1:18" hidden="1">
      <c r="A98" t="s">
        <v>1294</v>
      </c>
      <c r="B98" t="s">
        <v>127</v>
      </c>
      <c r="C98" t="s">
        <v>128</v>
      </c>
      <c r="D98" s="28">
        <v>1479</v>
      </c>
      <c r="E98" s="19">
        <f>D98/28</f>
        <v>52.821428571428569</v>
      </c>
      <c r="F98" s="5">
        <v>3066.96</v>
      </c>
      <c r="I98" s="19">
        <f>IF((D98/28)&gt;100,D98*2,D98*2)</f>
        <v>2958</v>
      </c>
      <c r="J98" t="b">
        <f>IF(F98&gt;1.2*I98,FALSE,TRUE)</f>
        <v>1</v>
      </c>
      <c r="K98" s="4">
        <f>F98/I98-1</f>
        <v>3.6835699797160171E-2</v>
      </c>
      <c r="N98"/>
      <c r="P98" t="s">
        <v>332</v>
      </c>
      <c r="Q98">
        <v>513</v>
      </c>
      <c r="R98">
        <v>883.21</v>
      </c>
    </row>
    <row r="99" spans="1:18" hidden="1">
      <c r="A99" t="s">
        <v>1295</v>
      </c>
      <c r="B99" t="s">
        <v>467</v>
      </c>
      <c r="C99" t="s">
        <v>468</v>
      </c>
      <c r="D99" s="28">
        <v>441</v>
      </c>
      <c r="E99" s="19">
        <f>D99/28</f>
        <v>15.75</v>
      </c>
      <c r="F99" s="5">
        <v>0</v>
      </c>
      <c r="I99" s="19">
        <f>IF((D99/28)&gt;100,D99*2,D99*2)</f>
        <v>882</v>
      </c>
      <c r="J99" t="b">
        <f>IF(F99&gt;1.2*I99,FALSE,TRUE)</f>
        <v>1</v>
      </c>
      <c r="K99" s="4">
        <f>F99/I99-1</f>
        <v>-1</v>
      </c>
      <c r="N99"/>
      <c r="P99" t="s">
        <v>502</v>
      </c>
      <c r="Q99">
        <v>196</v>
      </c>
      <c r="R99">
        <v>537.36</v>
      </c>
    </row>
    <row r="100" spans="1:18">
      <c r="A100" t="s">
        <v>1296</v>
      </c>
      <c r="B100" t="s">
        <v>53</v>
      </c>
      <c r="C100" t="s">
        <v>54</v>
      </c>
      <c r="D100" s="19">
        <v>999</v>
      </c>
      <c r="E100" s="19">
        <f>D100/28</f>
        <v>35.678571428571431</v>
      </c>
      <c r="F100" s="5">
        <v>2958.46</v>
      </c>
      <c r="I100" s="19">
        <f>IF((D100/28)&gt;100,D100*2,D100*2)</f>
        <v>1998</v>
      </c>
      <c r="J100" t="b">
        <f>IF(F100&gt;1.2*I100,FALSE,TRUE)</f>
        <v>0</v>
      </c>
      <c r="K100" s="4">
        <f>F100/I100-1</f>
        <v>0.4807107107107107</v>
      </c>
      <c r="N100"/>
      <c r="P100" t="s">
        <v>530</v>
      </c>
      <c r="Q100">
        <v>707</v>
      </c>
      <c r="R100">
        <v>1007.87</v>
      </c>
    </row>
    <row r="101" spans="1:18" hidden="1">
      <c r="A101" t="s">
        <v>1296</v>
      </c>
      <c r="B101" t="s">
        <v>393</v>
      </c>
      <c r="C101" t="s">
        <v>394</v>
      </c>
      <c r="D101" s="28">
        <v>1103</v>
      </c>
      <c r="E101" s="19">
        <f>D101/28</f>
        <v>39.392857142857146</v>
      </c>
      <c r="F101" s="5">
        <v>2572.52</v>
      </c>
      <c r="I101" s="19">
        <f>IF((D101/28)&gt;100,D101*2,D101*2)</f>
        <v>2206</v>
      </c>
      <c r="J101" t="b">
        <f>IF(F101&gt;1.2*I101,FALSE,TRUE)</f>
        <v>1</v>
      </c>
      <c r="K101" s="4">
        <f>F101/I101-1</f>
        <v>0.16614687216681778</v>
      </c>
      <c r="N101"/>
      <c r="P101" t="s">
        <v>392</v>
      </c>
      <c r="Q101">
        <v>1594</v>
      </c>
      <c r="R101">
        <v>209.91</v>
      </c>
    </row>
    <row r="102" spans="1:18" ht="30" hidden="1">
      <c r="A102" t="s">
        <v>1296</v>
      </c>
      <c r="B102" s="55" t="s">
        <v>627</v>
      </c>
      <c r="C102" s="37" t="s">
        <v>628</v>
      </c>
      <c r="D102" s="28">
        <v>681</v>
      </c>
      <c r="E102" s="19">
        <f>D102/28</f>
        <v>24.321428571428573</v>
      </c>
      <c r="F102" s="5">
        <v>930.38</v>
      </c>
      <c r="I102" s="19">
        <f>IF((D102/28)&gt;100,D102*2,D102*2)</f>
        <v>1362</v>
      </c>
      <c r="J102" t="b">
        <f>IF(F102&gt;1.2*I102,FALSE,TRUE)</f>
        <v>1</v>
      </c>
      <c r="K102" s="4">
        <f>F102/I102-1</f>
        <v>-0.31690161527165928</v>
      </c>
      <c r="N102"/>
      <c r="P102" t="s">
        <v>570</v>
      </c>
      <c r="Q102">
        <v>2511</v>
      </c>
      <c r="R102">
        <v>2473.92</v>
      </c>
    </row>
    <row r="103" spans="1:18" hidden="1">
      <c r="A103" t="s">
        <v>1295</v>
      </c>
      <c r="B103" t="s">
        <v>465</v>
      </c>
      <c r="C103" t="s">
        <v>466</v>
      </c>
      <c r="D103" s="28">
        <v>871</v>
      </c>
      <c r="E103" s="19">
        <f>D103/28</f>
        <v>31.107142857142858</v>
      </c>
      <c r="F103" s="5">
        <v>1640.21</v>
      </c>
      <c r="I103" s="19">
        <f>IF((D103/28)&gt;100,D103*2,D103*2)</f>
        <v>1742</v>
      </c>
      <c r="J103" t="b">
        <f>IF(F103&gt;1.2*I103,FALSE,TRUE)</f>
        <v>1</v>
      </c>
      <c r="K103" s="4">
        <f>F103/I103-1</f>
        <v>-5.8432835820895535E-2</v>
      </c>
      <c r="N103"/>
      <c r="P103" t="s">
        <v>544</v>
      </c>
      <c r="Q103">
        <v>1114</v>
      </c>
      <c r="R103">
        <v>1550.98</v>
      </c>
    </row>
    <row r="104" spans="1:18" hidden="1">
      <c r="A104" t="s">
        <v>1294</v>
      </c>
      <c r="B104" t="s">
        <v>233</v>
      </c>
      <c r="C104" t="s">
        <v>234</v>
      </c>
      <c r="D104" s="28">
        <v>1791</v>
      </c>
      <c r="E104" s="19">
        <f>D104/28</f>
        <v>63.964285714285715</v>
      </c>
      <c r="F104" s="5">
        <v>2434</v>
      </c>
      <c r="I104" s="19">
        <f>IF((D104/28)&gt;100,D104*2,D104*2)</f>
        <v>3582</v>
      </c>
      <c r="J104" t="b">
        <f>IF(F104&gt;1.2*I104,FALSE,TRUE)</f>
        <v>1</v>
      </c>
      <c r="K104" s="4">
        <f>F104/I104-1</f>
        <v>-0.32049134561697379</v>
      </c>
      <c r="N104"/>
      <c r="P104" t="s">
        <v>396</v>
      </c>
      <c r="Q104">
        <v>950</v>
      </c>
      <c r="R104">
        <v>648.47</v>
      </c>
    </row>
    <row r="105" spans="1:18" hidden="1">
      <c r="A105" t="s">
        <v>1294</v>
      </c>
      <c r="B105" s="57" t="s">
        <v>485</v>
      </c>
      <c r="C105" s="37" t="s">
        <v>486</v>
      </c>
      <c r="D105" s="28">
        <v>728</v>
      </c>
      <c r="E105" s="19">
        <f>D105/28</f>
        <v>26</v>
      </c>
      <c r="F105" s="5">
        <v>1139.0999999999999</v>
      </c>
      <c r="I105" s="19">
        <f>IF((D105/28)&gt;100,D105*2,D105*2)</f>
        <v>1456</v>
      </c>
      <c r="J105" t="b">
        <f>IF(F105&gt;1.2*I105,FALSE,TRUE)</f>
        <v>1</v>
      </c>
      <c r="K105" s="4">
        <f>F105/I105-1</f>
        <v>-0.21765109890109902</v>
      </c>
      <c r="N105"/>
      <c r="P105" t="s">
        <v>398</v>
      </c>
      <c r="Q105">
        <v>756</v>
      </c>
      <c r="R105">
        <v>555.17999999999995</v>
      </c>
    </row>
    <row r="106" spans="1:18" hidden="1">
      <c r="A106" t="s">
        <v>1294</v>
      </c>
      <c r="B106" t="s">
        <v>597</v>
      </c>
      <c r="C106" t="s">
        <v>598</v>
      </c>
      <c r="D106" s="28">
        <v>1114</v>
      </c>
      <c r="E106" s="19">
        <f>D106/28</f>
        <v>39.785714285714285</v>
      </c>
      <c r="F106" s="5">
        <v>881.88</v>
      </c>
      <c r="I106" s="19">
        <f>IF((D106/28)&gt;100,D106*2,D106*2)</f>
        <v>2228</v>
      </c>
      <c r="J106" t="b">
        <f>IF(F106&gt;1.2*I106,FALSE,TRUE)</f>
        <v>1</v>
      </c>
      <c r="K106" s="4">
        <f>F106/I106-1</f>
        <v>-0.60418312387791739</v>
      </c>
      <c r="N106"/>
      <c r="P106" t="s">
        <v>380</v>
      </c>
      <c r="Q106">
        <v>535</v>
      </c>
      <c r="R106">
        <v>654.45000000000005</v>
      </c>
    </row>
    <row r="107" spans="1:18" hidden="1">
      <c r="A107" t="s">
        <v>1294</v>
      </c>
      <c r="B107" t="s">
        <v>241</v>
      </c>
      <c r="C107" t="s">
        <v>242</v>
      </c>
      <c r="D107" s="28">
        <v>1558</v>
      </c>
      <c r="E107" s="19">
        <f>D107/28</f>
        <v>55.642857142857146</v>
      </c>
      <c r="F107" s="5">
        <v>1632.65</v>
      </c>
      <c r="I107" s="19">
        <f>IF((D107/28)&gt;100,D107*2,D107*2)</f>
        <v>3116</v>
      </c>
      <c r="J107" t="b">
        <f>IF(F107&gt;1.2*I107,FALSE,TRUE)</f>
        <v>1</v>
      </c>
      <c r="K107" s="4">
        <f>F107/I107-1</f>
        <v>-0.47604300385109111</v>
      </c>
      <c r="N107"/>
      <c r="P107" t="s">
        <v>114</v>
      </c>
      <c r="Q107">
        <v>1992</v>
      </c>
      <c r="R107">
        <v>2894.27</v>
      </c>
    </row>
    <row r="108" spans="1:18" hidden="1">
      <c r="A108" t="s">
        <v>1294</v>
      </c>
      <c r="B108" t="s">
        <v>629</v>
      </c>
      <c r="C108" t="s">
        <v>630</v>
      </c>
      <c r="D108" s="28">
        <v>1361</v>
      </c>
      <c r="E108" s="19">
        <f>D108/28</f>
        <v>48.607142857142854</v>
      </c>
      <c r="F108" s="5">
        <v>3045.67</v>
      </c>
      <c r="I108" s="139">
        <f>IF((D108/28)&gt;100,D108*2,D108*2)</f>
        <v>2722</v>
      </c>
      <c r="J108" t="b">
        <f>IF(F108&gt;1.2*I108,FALSE,TRUE)</f>
        <v>1</v>
      </c>
      <c r="K108" s="4">
        <f>F108/I108-1</f>
        <v>0.1189088905216753</v>
      </c>
      <c r="N108" s="144"/>
      <c r="P108" t="s">
        <v>612</v>
      </c>
      <c r="Q108">
        <v>910</v>
      </c>
      <c r="R108">
        <v>725.37</v>
      </c>
    </row>
    <row r="109" spans="1:18" hidden="1">
      <c r="A109" t="s">
        <v>1294</v>
      </c>
      <c r="B109" t="s">
        <v>529</v>
      </c>
      <c r="C109" t="s">
        <v>530</v>
      </c>
      <c r="D109" s="28">
        <v>359</v>
      </c>
      <c r="E109" s="19">
        <f>D109/28</f>
        <v>12.821428571428571</v>
      </c>
      <c r="F109" s="5">
        <v>416.77</v>
      </c>
      <c r="I109" s="19">
        <f>IF((D109/28)&gt;100,D109*2,D109*2)</f>
        <v>718</v>
      </c>
      <c r="J109" t="b">
        <f>IF(F109&gt;1.2*I109,FALSE,TRUE)</f>
        <v>1</v>
      </c>
      <c r="K109" s="4">
        <f>F109/I109-1</f>
        <v>-0.41954038997214482</v>
      </c>
      <c r="N109"/>
      <c r="P109" t="s">
        <v>516</v>
      </c>
      <c r="Q109">
        <v>991</v>
      </c>
      <c r="R109">
        <v>1487.32</v>
      </c>
    </row>
    <row r="110" spans="1:18" hidden="1">
      <c r="A110" t="s">
        <v>1294</v>
      </c>
      <c r="B110" t="s">
        <v>295</v>
      </c>
      <c r="C110" t="s">
        <v>296</v>
      </c>
      <c r="D110" s="28">
        <v>552</v>
      </c>
      <c r="E110" s="19">
        <f>D110/28</f>
        <v>19.714285714285715</v>
      </c>
      <c r="F110" s="5">
        <v>1044.1400000000001</v>
      </c>
      <c r="I110" s="19">
        <f>IF((D110/28)&gt;100,D110*2,D110*2)</f>
        <v>1104</v>
      </c>
      <c r="J110" t="b">
        <f>IF(F110&gt;1.2*I110,FALSE,TRUE)</f>
        <v>1</v>
      </c>
      <c r="K110" s="4">
        <f>F110/I110-1</f>
        <v>-5.4221014492753516E-2</v>
      </c>
      <c r="N110"/>
      <c r="P110" t="s">
        <v>212</v>
      </c>
      <c r="Q110">
        <v>1070</v>
      </c>
      <c r="R110">
        <v>1533.49</v>
      </c>
    </row>
    <row r="111" spans="1:18" hidden="1">
      <c r="A111" t="s">
        <v>1296</v>
      </c>
      <c r="B111" t="s">
        <v>601</v>
      </c>
      <c r="C111" t="s">
        <v>602</v>
      </c>
      <c r="D111" s="28">
        <v>300</v>
      </c>
      <c r="E111" s="19">
        <f>D111/28</f>
        <v>10.714285714285714</v>
      </c>
      <c r="F111" s="5">
        <v>533.17999999999995</v>
      </c>
      <c r="I111" s="19">
        <f>IF((D111/28)&gt;100,D111*2,D111*2)</f>
        <v>600</v>
      </c>
      <c r="J111" t="b">
        <f>IF(F111&gt;1.2*I111,FALSE,TRUE)</f>
        <v>1</v>
      </c>
      <c r="K111" s="4">
        <f>F111/I111-1</f>
        <v>-0.11136666666666672</v>
      </c>
      <c r="N111"/>
      <c r="P111" t="s">
        <v>478</v>
      </c>
      <c r="Q111">
        <v>269</v>
      </c>
      <c r="R111">
        <v>387.38</v>
      </c>
    </row>
    <row r="112" spans="1:18" hidden="1">
      <c r="A112" t="s">
        <v>1295</v>
      </c>
      <c r="B112" t="s">
        <v>615</v>
      </c>
      <c r="C112" t="s">
        <v>616</v>
      </c>
      <c r="D112" s="28">
        <v>1095</v>
      </c>
      <c r="E112" s="19">
        <f>D112/28</f>
        <v>39.107142857142854</v>
      </c>
      <c r="F112" s="5">
        <v>1512.69</v>
      </c>
      <c r="I112" s="151">
        <f>IF((D112/28)&gt;100,D112*2,D112*2)</f>
        <v>2190</v>
      </c>
      <c r="J112" t="b">
        <f>IF(F112&gt;1.2*I112,FALSE,TRUE)</f>
        <v>1</v>
      </c>
      <c r="K112" s="4">
        <f>F112/I112-1</f>
        <v>-0.3092739726027397</v>
      </c>
      <c r="N112"/>
      <c r="P112" t="s">
        <v>344</v>
      </c>
      <c r="Q112">
        <v>366</v>
      </c>
      <c r="R112">
        <v>652.61</v>
      </c>
    </row>
    <row r="113" spans="1:18" hidden="1">
      <c r="A113" t="s">
        <v>1294</v>
      </c>
      <c r="B113" t="s">
        <v>593</v>
      </c>
      <c r="C113" t="s">
        <v>594</v>
      </c>
      <c r="D113" s="28">
        <v>982</v>
      </c>
      <c r="E113" s="19">
        <f>D113/28</f>
        <v>35.071428571428569</v>
      </c>
      <c r="F113" s="5">
        <v>2040.27</v>
      </c>
      <c r="I113" s="19">
        <f>IF((D113/28)&gt;100,D113*2,D113*2)</f>
        <v>1964</v>
      </c>
      <c r="J113" t="b">
        <f>IF(F113&gt;1.2*I113,FALSE,TRUE)</f>
        <v>1</v>
      </c>
      <c r="K113" s="4">
        <f>F113/I113-1</f>
        <v>3.8834012219959302E-2</v>
      </c>
      <c r="N113"/>
      <c r="P113" t="s">
        <v>242</v>
      </c>
      <c r="Q113">
        <v>2113</v>
      </c>
      <c r="R113">
        <v>2307.63</v>
      </c>
    </row>
    <row r="114" spans="1:18" hidden="1">
      <c r="A114" t="s">
        <v>1294</v>
      </c>
      <c r="B114" t="s">
        <v>287</v>
      </c>
      <c r="C114" t="s">
        <v>288</v>
      </c>
      <c r="D114" s="28">
        <v>783</v>
      </c>
      <c r="E114" s="19">
        <f>D114/28</f>
        <v>27.964285714285715</v>
      </c>
      <c r="F114" s="5">
        <v>1324.82</v>
      </c>
      <c r="I114" s="19">
        <f>IF((D114/28)&gt;100,D114*2,D114*2)</f>
        <v>1566</v>
      </c>
      <c r="J114" t="b">
        <f>IF(F114&gt;1.2*I114,FALSE,TRUE)</f>
        <v>1</v>
      </c>
      <c r="K114" s="4">
        <f>F114/I114-1</f>
        <v>-0.15401021711366547</v>
      </c>
      <c r="N114"/>
      <c r="P114" t="s">
        <v>128</v>
      </c>
      <c r="Q114">
        <v>1161</v>
      </c>
      <c r="R114">
        <v>883.15</v>
      </c>
    </row>
    <row r="115" spans="1:18" hidden="1">
      <c r="A115" t="s">
        <v>1295</v>
      </c>
      <c r="B115" t="s">
        <v>451</v>
      </c>
      <c r="C115" t="s">
        <v>452</v>
      </c>
      <c r="D115" s="28">
        <v>581</v>
      </c>
      <c r="E115" s="19">
        <f>D115/28</f>
        <v>20.75</v>
      </c>
      <c r="F115" s="5">
        <v>999.3</v>
      </c>
      <c r="I115" s="19">
        <f>IF((D115/28)&gt;100,D115*2,D115*2)</f>
        <v>1162</v>
      </c>
      <c r="J115" t="b">
        <f>IF(F115&gt;1.2*I115,FALSE,TRUE)</f>
        <v>1</v>
      </c>
      <c r="K115" s="4">
        <f>F115/I115-1</f>
        <v>-0.14001721170395875</v>
      </c>
      <c r="N115"/>
      <c r="P115" t="s">
        <v>306</v>
      </c>
      <c r="Q115">
        <v>690</v>
      </c>
      <c r="R115">
        <v>545.20000000000005</v>
      </c>
    </row>
    <row r="116" spans="1:18" hidden="1">
      <c r="A116" t="s">
        <v>1296</v>
      </c>
      <c r="B116" t="s">
        <v>585</v>
      </c>
      <c r="C116" t="s">
        <v>586</v>
      </c>
      <c r="D116" s="28">
        <v>719</v>
      </c>
      <c r="E116" s="19">
        <f>D116/28</f>
        <v>25.678571428571427</v>
      </c>
      <c r="F116" s="5">
        <v>1414.75</v>
      </c>
      <c r="I116" s="19">
        <f>IF((D116/28)&gt;100,D116*2,D116*2)</f>
        <v>1438</v>
      </c>
      <c r="J116" t="b">
        <f>IF(F116&gt;1.2*I116,FALSE,TRUE)</f>
        <v>1</v>
      </c>
      <c r="K116" s="4">
        <f>F116/I116-1</f>
        <v>-1.6168289290681481E-2</v>
      </c>
      <c r="N116"/>
      <c r="P116" t="s">
        <v>576</v>
      </c>
      <c r="Q116">
        <v>1115</v>
      </c>
      <c r="R116">
        <v>2200.4899999999998</v>
      </c>
    </row>
    <row r="117" spans="1:18">
      <c r="B117" t="s">
        <v>1051</v>
      </c>
      <c r="C117" t="s">
        <v>1052</v>
      </c>
      <c r="D117">
        <v>983</v>
      </c>
      <c r="E117" s="19">
        <f>D117/28</f>
        <v>35.107142857142854</v>
      </c>
      <c r="F117" s="5">
        <v>3051</v>
      </c>
      <c r="I117" s="140">
        <f>IF((D117/28)&gt;100,D117*2,D117*2)</f>
        <v>1966</v>
      </c>
      <c r="J117" t="b">
        <f>IF(F117&gt;1.2*I117,FALSE,TRUE)</f>
        <v>0</v>
      </c>
      <c r="K117" s="4">
        <f>F117/I117-1</f>
        <v>0.55188199389623604</v>
      </c>
      <c r="P117" t="s">
        <v>382</v>
      </c>
      <c r="Q117">
        <v>1273</v>
      </c>
      <c r="R117">
        <v>1409.27</v>
      </c>
    </row>
    <row r="118" spans="1:18">
      <c r="A118" t="s">
        <v>1295</v>
      </c>
      <c r="B118" t="s">
        <v>657</v>
      </c>
      <c r="C118" t="s">
        <v>658</v>
      </c>
      <c r="D118" s="28">
        <v>965</v>
      </c>
      <c r="E118" s="19">
        <f>D118/28</f>
        <v>34.464285714285715</v>
      </c>
      <c r="F118" s="5">
        <v>2680.93</v>
      </c>
      <c r="I118" s="19">
        <f>IF((D118/28)&gt;100,D118*2,D118*2)</f>
        <v>1930</v>
      </c>
      <c r="J118" t="b">
        <f>IF(F118&gt;1.2*I118,FALSE,TRUE)</f>
        <v>0</v>
      </c>
      <c r="K118" s="4">
        <f>F118/I118-1</f>
        <v>0.38908290155440417</v>
      </c>
      <c r="N118"/>
      <c r="P118" t="s">
        <v>374</v>
      </c>
      <c r="Q118">
        <v>1003</v>
      </c>
      <c r="R118">
        <v>2186.44</v>
      </c>
    </row>
    <row r="119" spans="1:18" hidden="1">
      <c r="A119" t="s">
        <v>1294</v>
      </c>
      <c r="B119" t="s">
        <v>647</v>
      </c>
      <c r="C119" t="s">
        <v>648</v>
      </c>
      <c r="D119" s="28">
        <v>1019</v>
      </c>
      <c r="E119" s="19">
        <f>D119/28</f>
        <v>36.392857142857146</v>
      </c>
      <c r="F119" s="5">
        <v>1722.82</v>
      </c>
      <c r="I119" s="19">
        <f>IF((D119/28)&gt;100,D119*2,D119*2)</f>
        <v>2038</v>
      </c>
      <c r="J119" t="b">
        <f>IF(F119&gt;1.2*I119,FALSE,TRUE)</f>
        <v>1</v>
      </c>
      <c r="K119" s="4">
        <f>F119/I119-1</f>
        <v>-0.15465161923454374</v>
      </c>
      <c r="N119"/>
      <c r="P119" t="s">
        <v>506</v>
      </c>
      <c r="Q119">
        <v>425</v>
      </c>
      <c r="R119">
        <v>530.95000000000005</v>
      </c>
    </row>
    <row r="120" spans="1:18" hidden="1">
      <c r="A120" t="s">
        <v>1296</v>
      </c>
      <c r="B120" t="s">
        <v>547</v>
      </c>
      <c r="C120" t="s">
        <v>548</v>
      </c>
      <c r="D120" s="28">
        <v>613</v>
      </c>
      <c r="E120" s="19">
        <f>D120/28</f>
        <v>21.892857142857142</v>
      </c>
      <c r="F120" s="5">
        <v>787.29</v>
      </c>
      <c r="I120" s="19">
        <f>IF((D120/28)&gt;100,D120*2,D120*2)</f>
        <v>1226</v>
      </c>
      <c r="J120" t="b">
        <f>IF(F120&gt;1.2*I120,FALSE,TRUE)</f>
        <v>1</v>
      </c>
      <c r="K120" s="4">
        <f>F120/I120-1</f>
        <v>-0.3578384991843393</v>
      </c>
      <c r="N120"/>
      <c r="P120" t="s">
        <v>556</v>
      </c>
      <c r="Q120">
        <v>457</v>
      </c>
      <c r="R120">
        <v>280.43</v>
      </c>
    </row>
    <row r="121" spans="1:18" hidden="1">
      <c r="A121" t="s">
        <v>1296</v>
      </c>
      <c r="B121" t="s">
        <v>401</v>
      </c>
      <c r="C121" t="s">
        <v>402</v>
      </c>
      <c r="D121" s="28">
        <v>780</v>
      </c>
      <c r="E121" s="19">
        <f>D121/28</f>
        <v>27.857142857142858</v>
      </c>
      <c r="F121" s="5">
        <v>1674.92</v>
      </c>
      <c r="I121" s="19">
        <f>IF((D121/28)&gt;100,D121*2,D121*2)</f>
        <v>1560</v>
      </c>
      <c r="J121" t="b">
        <f>IF(F121&gt;1.2*I121,FALSE,TRUE)</f>
        <v>1</v>
      </c>
      <c r="K121" s="4">
        <f>F121/I121-1</f>
        <v>7.3666666666666769E-2</v>
      </c>
      <c r="N121"/>
      <c r="P121" t="s">
        <v>498</v>
      </c>
      <c r="Q121">
        <v>396</v>
      </c>
      <c r="R121">
        <v>403.81</v>
      </c>
    </row>
    <row r="122" spans="1:18" hidden="1">
      <c r="A122" t="s">
        <v>1294</v>
      </c>
      <c r="B122" t="s">
        <v>131</v>
      </c>
      <c r="C122" t="s">
        <v>132</v>
      </c>
      <c r="D122" s="28">
        <v>2613</v>
      </c>
      <c r="E122" s="19">
        <f>D122/28</f>
        <v>93.321428571428569</v>
      </c>
      <c r="F122" s="5">
        <v>2983.73</v>
      </c>
      <c r="I122" s="19">
        <f>IF((D122/28)&gt;100,D122*2,D122*2)</f>
        <v>5226</v>
      </c>
      <c r="J122" t="b">
        <f>IF(F122&gt;1.2*I122,FALSE,TRUE)</f>
        <v>1</v>
      </c>
      <c r="K122" s="4">
        <f>F122/I122-1</f>
        <v>-0.42906046689628774</v>
      </c>
      <c r="N122"/>
      <c r="P122" t="s">
        <v>364</v>
      </c>
      <c r="Q122">
        <v>374</v>
      </c>
      <c r="R122">
        <v>329.94</v>
      </c>
    </row>
    <row r="123" spans="1:18">
      <c r="B123" t="s">
        <v>1082</v>
      </c>
      <c r="C123" t="s">
        <v>1083</v>
      </c>
      <c r="D123">
        <v>888</v>
      </c>
      <c r="E123" s="19">
        <f>D123/28</f>
        <v>31.714285714285715</v>
      </c>
      <c r="F123" s="5">
        <v>2281</v>
      </c>
      <c r="I123" s="140">
        <f>IF((D123/28)&gt;100,D123*2,D123*2)</f>
        <v>1776</v>
      </c>
      <c r="J123" t="b">
        <f>IF(F123&gt;1.2*I123,FALSE,TRUE)</f>
        <v>0</v>
      </c>
      <c r="K123" s="4">
        <f>F123/I123-1</f>
        <v>0.28434684684684686</v>
      </c>
      <c r="P123" t="s">
        <v>284</v>
      </c>
      <c r="Q123">
        <v>2024</v>
      </c>
      <c r="R123">
        <v>4886.3999999999996</v>
      </c>
    </row>
    <row r="124" spans="1:18" hidden="1">
      <c r="A124" t="s">
        <v>1294</v>
      </c>
      <c r="B124" t="s">
        <v>559</v>
      </c>
      <c r="C124" t="s">
        <v>560</v>
      </c>
      <c r="D124" s="28">
        <v>994</v>
      </c>
      <c r="E124" s="19">
        <f>D124/28</f>
        <v>35.5</v>
      </c>
      <c r="F124" s="5">
        <v>1475.03</v>
      </c>
      <c r="I124" s="19">
        <f>IF((D124/28)&gt;100,D124*2,D124*2)</f>
        <v>1988</v>
      </c>
      <c r="J124" t="b">
        <f>IF(F124&gt;1.2*I124,FALSE,TRUE)</f>
        <v>1</v>
      </c>
      <c r="K124" s="4">
        <f>F124/I124-1</f>
        <v>-0.25803319919517109</v>
      </c>
      <c r="N124"/>
      <c r="P124" t="s">
        <v>468</v>
      </c>
      <c r="Q124">
        <v>444</v>
      </c>
      <c r="R124">
        <v>278.83</v>
      </c>
    </row>
    <row r="125" spans="1:18" hidden="1">
      <c r="A125" t="s">
        <v>1294</v>
      </c>
      <c r="B125" t="s">
        <v>633</v>
      </c>
      <c r="C125" t="s">
        <v>634</v>
      </c>
      <c r="D125" s="28">
        <v>748</v>
      </c>
      <c r="E125" s="19">
        <f>D125/28</f>
        <v>26.714285714285715</v>
      </c>
      <c r="F125" s="5">
        <v>1629.38</v>
      </c>
      <c r="I125" s="19">
        <f>IF((D125/28)&gt;100,D125*2,D125*2)</f>
        <v>1496</v>
      </c>
      <c r="J125" t="b">
        <f>IF(F125&gt;1.2*I125,FALSE,TRUE)</f>
        <v>1</v>
      </c>
      <c r="K125" s="4">
        <f>F125/I125-1</f>
        <v>8.9157754010695367E-2</v>
      </c>
      <c r="N125"/>
      <c r="P125" t="s">
        <v>352</v>
      </c>
      <c r="Q125">
        <v>384</v>
      </c>
      <c r="R125">
        <v>284.83</v>
      </c>
    </row>
    <row r="126" spans="1:18" hidden="1">
      <c r="A126" t="s">
        <v>1296</v>
      </c>
      <c r="B126" s="37" t="s">
        <v>407</v>
      </c>
      <c r="C126" s="37" t="s">
        <v>408</v>
      </c>
      <c r="D126" s="28">
        <v>438</v>
      </c>
      <c r="E126" s="19">
        <f>D126/28</f>
        <v>15.642857142857142</v>
      </c>
      <c r="F126" s="5">
        <v>659.74</v>
      </c>
      <c r="I126" s="19">
        <f>IF((D126/28)&gt;100,D126*2,D126*2)</f>
        <v>876</v>
      </c>
      <c r="J126" t="b">
        <f>IF(F126&gt;1.2*I126,FALSE,TRUE)</f>
        <v>1</v>
      </c>
      <c r="K126" s="4">
        <f>F126/I126-1</f>
        <v>-0.24687214611872144</v>
      </c>
      <c r="N126"/>
      <c r="P126" t="s">
        <v>132</v>
      </c>
      <c r="Q126">
        <v>4667</v>
      </c>
      <c r="R126">
        <v>10317.379999999999</v>
      </c>
    </row>
    <row r="127" spans="1:18" hidden="1">
      <c r="A127" t="s">
        <v>1294</v>
      </c>
      <c r="B127" t="s">
        <v>165</v>
      </c>
      <c r="C127" t="s">
        <v>166</v>
      </c>
      <c r="D127" s="28">
        <v>2691</v>
      </c>
      <c r="E127" s="19">
        <f>D127/28</f>
        <v>96.107142857142861</v>
      </c>
      <c r="F127" s="5">
        <v>4478.95</v>
      </c>
      <c r="I127" s="19">
        <f>IF((D127/28)&gt;100,D127*2,D127*2)</f>
        <v>5382</v>
      </c>
      <c r="J127" t="b">
        <f>IF(F127&gt;1.2*I127,FALSE,TRUE)</f>
        <v>1</v>
      </c>
      <c r="K127" s="4">
        <f>F127/I127-1</f>
        <v>-0.16779078409513193</v>
      </c>
      <c r="N127"/>
      <c r="P127" t="s">
        <v>488</v>
      </c>
      <c r="Q127">
        <v>2577</v>
      </c>
      <c r="R127">
        <v>5023.1499999999996</v>
      </c>
    </row>
    <row r="128" spans="1:18" hidden="1">
      <c r="A128" t="s">
        <v>1294</v>
      </c>
      <c r="B128" t="s">
        <v>381</v>
      </c>
      <c r="C128" t="s">
        <v>382</v>
      </c>
      <c r="D128" s="28">
        <v>1056</v>
      </c>
      <c r="E128" s="19">
        <f>D128/28</f>
        <v>37.714285714285715</v>
      </c>
      <c r="F128" s="5">
        <v>1181.1400000000001</v>
      </c>
      <c r="I128" s="19">
        <f>IF((D128/28)&gt;100,D128*2,D128*2)</f>
        <v>2112</v>
      </c>
      <c r="J128" t="b">
        <f>IF(F128&gt;1.2*I128,FALSE,TRUE)</f>
        <v>1</v>
      </c>
      <c r="K128" s="4">
        <f>F128/I128-1</f>
        <v>-0.44074810606060599</v>
      </c>
      <c r="N128"/>
      <c r="P128" t="s">
        <v>244</v>
      </c>
      <c r="Q128">
        <v>2165</v>
      </c>
      <c r="R128">
        <v>3961.47</v>
      </c>
    </row>
    <row r="129" spans="1:18" ht="30" hidden="1">
      <c r="A129" t="s">
        <v>1295</v>
      </c>
      <c r="B129" s="55" t="s">
        <v>521</v>
      </c>
      <c r="C129" s="37" t="s">
        <v>522</v>
      </c>
      <c r="D129" s="28">
        <v>1741</v>
      </c>
      <c r="E129" s="19">
        <f>D129/28</f>
        <v>62.178571428571431</v>
      </c>
      <c r="F129" s="5">
        <v>2775.04</v>
      </c>
      <c r="I129" s="19">
        <f>IF((D129/28)&gt;100,D129*2,D129*2)</f>
        <v>3482</v>
      </c>
      <c r="J129" t="b">
        <f>IF(F129&gt;1.2*I129,FALSE,TRUE)</f>
        <v>1</v>
      </c>
      <c r="K129" s="4">
        <f>F129/I129-1</f>
        <v>-0.20303273980470993</v>
      </c>
      <c r="N129"/>
      <c r="P129" t="s">
        <v>304</v>
      </c>
      <c r="Q129">
        <v>1108</v>
      </c>
      <c r="R129">
        <v>2267.13</v>
      </c>
    </row>
    <row r="130" spans="1:18" ht="30" hidden="1">
      <c r="A130" t="s">
        <v>1295</v>
      </c>
      <c r="B130" s="55" t="s">
        <v>319</v>
      </c>
      <c r="C130" s="37" t="s">
        <v>320</v>
      </c>
      <c r="D130" s="28">
        <v>370</v>
      </c>
      <c r="E130" s="19">
        <f>D130/28</f>
        <v>13.214285714285714</v>
      </c>
      <c r="F130" s="5">
        <v>601.26</v>
      </c>
      <c r="I130" s="19">
        <f>IF((D130/28)&gt;100,D130*2,D130*2)</f>
        <v>740</v>
      </c>
      <c r="J130" t="b">
        <f>IF(F130&gt;1.2*I130,FALSE,TRUE)</f>
        <v>1</v>
      </c>
      <c r="K130" s="4">
        <f>F130/I130-1</f>
        <v>-0.18748648648648647</v>
      </c>
      <c r="N130"/>
      <c r="P130" t="s">
        <v>210</v>
      </c>
      <c r="Q130">
        <v>2302</v>
      </c>
      <c r="R130">
        <v>4803.66</v>
      </c>
    </row>
    <row r="131" spans="1:18" hidden="1">
      <c r="A131" t="s">
        <v>1296</v>
      </c>
      <c r="B131" t="s">
        <v>483</v>
      </c>
      <c r="C131" t="s">
        <v>484</v>
      </c>
      <c r="D131" s="28">
        <v>518</v>
      </c>
      <c r="E131" s="19">
        <f>D131/28</f>
        <v>18.5</v>
      </c>
      <c r="F131" s="5">
        <v>1098.99</v>
      </c>
      <c r="I131" s="19">
        <f>IF((D131/28)&gt;100,D131*2,D131*2)</f>
        <v>1036</v>
      </c>
      <c r="J131" t="b">
        <f>IF(F131&gt;1.2*I131,FALSE,TRUE)</f>
        <v>1</v>
      </c>
      <c r="K131" s="4">
        <f>F131/I131-1</f>
        <v>6.0801158301158287E-2</v>
      </c>
      <c r="N131"/>
      <c r="P131" t="s">
        <v>324</v>
      </c>
      <c r="Q131">
        <v>760</v>
      </c>
      <c r="R131">
        <v>1679.4</v>
      </c>
    </row>
    <row r="132" spans="1:18">
      <c r="A132" t="s">
        <v>1294</v>
      </c>
      <c r="B132" t="s">
        <v>605</v>
      </c>
      <c r="C132" t="s">
        <v>606</v>
      </c>
      <c r="D132" s="28">
        <v>882</v>
      </c>
      <c r="E132" s="19">
        <f>D132/28</f>
        <v>31.5</v>
      </c>
      <c r="F132" s="5">
        <v>3187.24</v>
      </c>
      <c r="I132" s="139">
        <f>IF((D132/28)&gt;100,D132*2,D132*2)</f>
        <v>1764</v>
      </c>
      <c r="J132" t="b">
        <f>IF(F132&gt;1.2*I132,FALSE,TRUE)</f>
        <v>0</v>
      </c>
      <c r="K132" s="4">
        <f>F132/I132-1</f>
        <v>0.80682539682539667</v>
      </c>
      <c r="P132" t="s">
        <v>200</v>
      </c>
      <c r="Q132">
        <v>1249</v>
      </c>
      <c r="R132">
        <v>1523.67</v>
      </c>
    </row>
    <row r="133" spans="1:18" ht="30" hidden="1">
      <c r="A133" t="s">
        <v>1296</v>
      </c>
      <c r="B133" s="55" t="s">
        <v>283</v>
      </c>
      <c r="C133" s="37" t="s">
        <v>284</v>
      </c>
      <c r="D133" s="28">
        <v>1509</v>
      </c>
      <c r="E133" s="19">
        <f>D133/28</f>
        <v>53.892857142857146</v>
      </c>
      <c r="F133" s="5">
        <v>2287.3000000000002</v>
      </c>
      <c r="I133" s="151">
        <f>IF((D133/28)&gt;100,D133*2,D133*2)</f>
        <v>3018</v>
      </c>
      <c r="J133" t="b">
        <f>IF(F133&gt;1.2*I133,FALSE,TRUE)</f>
        <v>1</v>
      </c>
      <c r="K133" s="4">
        <f>F133/I133-1</f>
        <v>-0.24211398277004637</v>
      </c>
      <c r="N133"/>
      <c r="Q133">
        <v>0</v>
      </c>
      <c r="R133">
        <v>0</v>
      </c>
    </row>
    <row r="134" spans="1:18" hidden="1">
      <c r="A134" t="s">
        <v>1296</v>
      </c>
      <c r="B134" t="s">
        <v>603</v>
      </c>
      <c r="C134" t="s">
        <v>604</v>
      </c>
      <c r="D134" s="28">
        <v>1095</v>
      </c>
      <c r="E134" s="19">
        <f>D134/28</f>
        <v>39.107142857142854</v>
      </c>
      <c r="F134" s="5">
        <v>541.59</v>
      </c>
      <c r="I134" s="19">
        <f>IF((D134/28)&gt;100,D134*2,D134*2)</f>
        <v>2190</v>
      </c>
      <c r="J134" t="b">
        <f>IF(F134&gt;1.2*I134,FALSE,TRUE)</f>
        <v>1</v>
      </c>
      <c r="K134" s="4">
        <f>F134/I134-1</f>
        <v>-0.75269863013698624</v>
      </c>
      <c r="N134"/>
      <c r="Q134">
        <v>0</v>
      </c>
      <c r="R134">
        <v>0</v>
      </c>
    </row>
    <row r="135" spans="1:18" hidden="1">
      <c r="A135" t="s">
        <v>1294</v>
      </c>
      <c r="B135" t="s">
        <v>395</v>
      </c>
      <c r="C135" t="s">
        <v>396</v>
      </c>
      <c r="D135" s="28">
        <v>784</v>
      </c>
      <c r="E135" s="19">
        <f>D135/28</f>
        <v>28</v>
      </c>
      <c r="F135" s="5">
        <v>525.58000000000004</v>
      </c>
      <c r="I135" s="19">
        <f>IF((D135/28)&gt;100,D135*2,D135*2)</f>
        <v>1568</v>
      </c>
      <c r="J135" t="b">
        <f>IF(F135&gt;1.2*I135,FALSE,TRUE)</f>
        <v>1</v>
      </c>
      <c r="K135" s="4">
        <f>F135/I135-1</f>
        <v>-0.66480867346938766</v>
      </c>
      <c r="N135"/>
      <c r="Q135">
        <v>0</v>
      </c>
      <c r="R135">
        <v>0</v>
      </c>
    </row>
    <row r="136" spans="1:18" hidden="1">
      <c r="A136" t="s">
        <v>1294</v>
      </c>
      <c r="B136" t="s">
        <v>679</v>
      </c>
      <c r="C136" t="s">
        <v>680</v>
      </c>
      <c r="D136" s="28">
        <v>2232</v>
      </c>
      <c r="E136" s="19">
        <f>D136/28</f>
        <v>79.714285714285708</v>
      </c>
      <c r="F136" s="5">
        <v>2746.43</v>
      </c>
      <c r="I136" s="19">
        <f>IF((D136/28)&gt;100,D136*2,D136*2)</f>
        <v>4464</v>
      </c>
      <c r="J136" t="b">
        <f>IF(F136&gt;1.2*I136,FALSE,TRUE)</f>
        <v>1</v>
      </c>
      <c r="K136" s="4">
        <f>F136/I136-1</f>
        <v>-0.38476030465949829</v>
      </c>
      <c r="N136"/>
      <c r="Q136">
        <v>0</v>
      </c>
      <c r="R136">
        <v>0</v>
      </c>
    </row>
    <row r="137" spans="1:18" hidden="1">
      <c r="A137" t="s">
        <v>1296</v>
      </c>
      <c r="B137" t="s">
        <v>301</v>
      </c>
      <c r="C137" t="s">
        <v>302</v>
      </c>
      <c r="D137" s="28">
        <v>942</v>
      </c>
      <c r="E137" s="19">
        <f>D137/28</f>
        <v>33.642857142857146</v>
      </c>
      <c r="F137" s="5">
        <v>1248.93</v>
      </c>
      <c r="I137" s="19">
        <f>IF((D137/28)&gt;100,D137*2,D137*2)</f>
        <v>1884</v>
      </c>
      <c r="J137" t="b">
        <f>IF(F137&gt;1.2*I137,FALSE,TRUE)</f>
        <v>1</v>
      </c>
      <c r="K137" s="4">
        <f>F137/I137-1</f>
        <v>-0.33708598726114647</v>
      </c>
      <c r="N137"/>
      <c r="Q137">
        <v>0</v>
      </c>
      <c r="R137">
        <v>0</v>
      </c>
    </row>
    <row r="138" spans="1:18" hidden="1">
      <c r="A138" t="s">
        <v>1294</v>
      </c>
      <c r="B138" t="s">
        <v>583</v>
      </c>
      <c r="C138" t="s">
        <v>584</v>
      </c>
      <c r="D138" s="28">
        <v>322</v>
      </c>
      <c r="E138" s="19">
        <f>D138/28</f>
        <v>11.5</v>
      </c>
      <c r="F138" s="5">
        <v>462.51</v>
      </c>
      <c r="I138" s="19">
        <f>IF((D138/28)&gt;100,D138*2,D138*2)</f>
        <v>644</v>
      </c>
      <c r="J138" t="b">
        <f>IF(F138&gt;1.2*I138,FALSE,TRUE)</f>
        <v>1</v>
      </c>
      <c r="K138" s="4">
        <f>F138/I138-1</f>
        <v>-0.28181677018633544</v>
      </c>
      <c r="N138"/>
      <c r="Q138">
        <v>0</v>
      </c>
      <c r="R138">
        <v>0</v>
      </c>
    </row>
    <row r="139" spans="1:18" hidden="1">
      <c r="A139" t="s">
        <v>1294</v>
      </c>
      <c r="B139" t="s">
        <v>329</v>
      </c>
      <c r="C139" t="s">
        <v>330</v>
      </c>
      <c r="D139" s="28">
        <v>919</v>
      </c>
      <c r="E139" s="19">
        <f>D139/28</f>
        <v>32.821428571428569</v>
      </c>
      <c r="F139" s="5">
        <v>1113.0999999999999</v>
      </c>
      <c r="I139" s="19">
        <f>IF((D139/28)&gt;100,D139*2,D139*2)</f>
        <v>1838</v>
      </c>
      <c r="J139" t="b">
        <f>IF(F139&gt;1.2*I139,FALSE,TRUE)</f>
        <v>1</v>
      </c>
      <c r="K139" s="4">
        <f>F139/I139-1</f>
        <v>-0.3943960826985855</v>
      </c>
      <c r="N139"/>
      <c r="P139" t="s">
        <v>408</v>
      </c>
      <c r="Q139">
        <v>477</v>
      </c>
      <c r="R139">
        <v>944.89</v>
      </c>
    </row>
    <row r="140" spans="1:18" hidden="1">
      <c r="A140" t="s">
        <v>1296</v>
      </c>
      <c r="B140" s="57" t="s">
        <v>545</v>
      </c>
      <c r="C140" s="37" t="s">
        <v>546</v>
      </c>
      <c r="D140" s="28">
        <v>669</v>
      </c>
      <c r="E140" s="19">
        <f>D140/28</f>
        <v>23.892857142857142</v>
      </c>
      <c r="F140" s="5">
        <v>1343.5</v>
      </c>
      <c r="I140" s="19">
        <f>IF((D140/28)&gt;100,D140*2,D140*2)</f>
        <v>1338</v>
      </c>
      <c r="J140" t="b">
        <f>IF(F140&gt;1.2*I140,FALSE,TRUE)</f>
        <v>1</v>
      </c>
      <c r="K140" s="4">
        <f>F140/I140-1</f>
        <v>4.1106128550074672E-3</v>
      </c>
      <c r="N140"/>
      <c r="P140" t="s">
        <v>432</v>
      </c>
      <c r="Q140">
        <v>732</v>
      </c>
      <c r="R140">
        <v>2164.04</v>
      </c>
    </row>
    <row r="141" spans="1:18" hidden="1">
      <c r="A141" t="s">
        <v>1295</v>
      </c>
      <c r="B141" t="s">
        <v>509</v>
      </c>
      <c r="C141" t="s">
        <v>510</v>
      </c>
      <c r="D141" s="28">
        <v>2054</v>
      </c>
      <c r="E141" s="19">
        <f>D141/28</f>
        <v>73.357142857142861</v>
      </c>
      <c r="F141" s="5">
        <v>3229.93</v>
      </c>
      <c r="I141" s="19">
        <f>IF((D141/28)&gt;100,D141*2,D141*2)</f>
        <v>4108</v>
      </c>
      <c r="J141" t="b">
        <f>IF(F141&gt;1.2*I141,FALSE,TRUE)</f>
        <v>1</v>
      </c>
      <c r="K141" s="4">
        <f>F141/I141-1</f>
        <v>-0.2137463485881208</v>
      </c>
      <c r="N141"/>
      <c r="P141" t="s">
        <v>288</v>
      </c>
      <c r="Q141">
        <v>807</v>
      </c>
      <c r="R141">
        <v>1003.12</v>
      </c>
    </row>
    <row r="142" spans="1:18" hidden="1">
      <c r="A142" t="s">
        <v>1295</v>
      </c>
      <c r="B142" t="s">
        <v>251</v>
      </c>
      <c r="C142" t="s">
        <v>252</v>
      </c>
      <c r="D142" s="28">
        <v>258</v>
      </c>
      <c r="E142" s="19">
        <f>D142/28</f>
        <v>9.2142857142857135</v>
      </c>
      <c r="F142" s="5">
        <v>403.57</v>
      </c>
      <c r="I142" s="19">
        <f>IF((D142/28)&gt;100,D142*2,D142*2)</f>
        <v>516</v>
      </c>
      <c r="J142" t="b">
        <f>IF(F142&gt;1.2*I142,FALSE,TRUE)</f>
        <v>1</v>
      </c>
      <c r="K142" s="4">
        <f>F142/I142-1</f>
        <v>-0.21788759689922477</v>
      </c>
      <c r="N142"/>
      <c r="P142" t="s">
        <v>514</v>
      </c>
      <c r="Q142">
        <v>1176</v>
      </c>
      <c r="R142">
        <v>1389.04</v>
      </c>
    </row>
    <row r="143" spans="1:18" hidden="1">
      <c r="A143" t="s">
        <v>1294</v>
      </c>
      <c r="B143" s="55" t="s">
        <v>227</v>
      </c>
      <c r="C143" s="37" t="s">
        <v>228</v>
      </c>
      <c r="D143">
        <v>1142</v>
      </c>
      <c r="E143" s="19">
        <f>D143/28</f>
        <v>40.785714285714285</v>
      </c>
      <c r="F143" s="5">
        <v>2361.23</v>
      </c>
      <c r="I143" s="154">
        <f>IF((D143/28)&gt;100,D143*2,D143*2)</f>
        <v>2284</v>
      </c>
      <c r="J143" t="b">
        <f>IF(F143&gt;1.2*I143,FALSE,TRUE)</f>
        <v>1</v>
      </c>
      <c r="K143" s="4">
        <f>F143/I143-1</f>
        <v>3.3813485113835418E-2</v>
      </c>
      <c r="N143"/>
      <c r="P143" t="s">
        <v>602</v>
      </c>
      <c r="Q143">
        <v>485</v>
      </c>
      <c r="R143">
        <v>1024.1400000000001</v>
      </c>
    </row>
    <row r="144" spans="1:18" hidden="1">
      <c r="A144" t="s">
        <v>1294</v>
      </c>
      <c r="B144" t="s">
        <v>565</v>
      </c>
      <c r="C144" t="s">
        <v>566</v>
      </c>
      <c r="D144" s="28">
        <v>515</v>
      </c>
      <c r="E144" s="19">
        <f>D144/28</f>
        <v>18.392857142857142</v>
      </c>
      <c r="F144" s="5">
        <v>280.41000000000003</v>
      </c>
      <c r="I144" s="19">
        <f>IF((D144/28)&gt;100,D144*2,D144*2)</f>
        <v>1030</v>
      </c>
      <c r="J144" t="b">
        <f>IF(F144&gt;1.2*I144,FALSE,TRUE)</f>
        <v>1</v>
      </c>
      <c r="K144" s="4">
        <f>F144/I144-1</f>
        <v>-0.72775728155339803</v>
      </c>
      <c r="N144"/>
      <c r="P144" t="s">
        <v>686</v>
      </c>
      <c r="Q144">
        <v>1603</v>
      </c>
      <c r="R144">
        <v>2952.38</v>
      </c>
    </row>
    <row r="145" spans="1:18" hidden="1">
      <c r="A145" t="s">
        <v>1295</v>
      </c>
      <c r="B145" t="s">
        <v>581</v>
      </c>
      <c r="C145" t="s">
        <v>582</v>
      </c>
      <c r="D145" s="29">
        <v>1190</v>
      </c>
      <c r="E145" s="19">
        <f>D145/28</f>
        <v>42.5</v>
      </c>
      <c r="F145" s="5">
        <v>797.65</v>
      </c>
      <c r="I145" s="151">
        <f>IF((D145/28)&gt;100,D145*2,D145*2)</f>
        <v>2380</v>
      </c>
      <c r="J145" t="b">
        <f>IF(F145&gt;1.2*I145,FALSE,TRUE)</f>
        <v>1</v>
      </c>
      <c r="K145" s="4">
        <f>F145/I145-1</f>
        <v>-0.66485294117647054</v>
      </c>
      <c r="N145"/>
      <c r="P145" t="s">
        <v>520</v>
      </c>
      <c r="Q145">
        <v>5633</v>
      </c>
      <c r="R145">
        <v>3251.64</v>
      </c>
    </row>
    <row r="146" spans="1:18" hidden="1">
      <c r="A146" t="s">
        <v>1296</v>
      </c>
      <c r="B146" t="s">
        <v>611</v>
      </c>
      <c r="C146" t="s">
        <v>612</v>
      </c>
      <c r="D146" s="28">
        <v>704</v>
      </c>
      <c r="E146" s="19">
        <f>D146/28</f>
        <v>25.142857142857142</v>
      </c>
      <c r="F146" s="5">
        <v>1051.6300000000001</v>
      </c>
      <c r="I146" s="19">
        <f>IF((D146/28)&gt;100,D146*2,D146*2)</f>
        <v>1408</v>
      </c>
      <c r="J146" t="b">
        <f>IF(F146&gt;1.2*I146,FALSE,TRUE)</f>
        <v>1</v>
      </c>
      <c r="K146" s="4">
        <f>F146/I146-1</f>
        <v>-0.25310369318181813</v>
      </c>
      <c r="N146"/>
      <c r="P146" t="s">
        <v>198</v>
      </c>
      <c r="Q146">
        <v>3162</v>
      </c>
      <c r="R146">
        <v>3743.79</v>
      </c>
    </row>
    <row r="147" spans="1:18" hidden="1">
      <c r="A147" t="s">
        <v>1294</v>
      </c>
      <c r="B147" t="s">
        <v>567</v>
      </c>
      <c r="C147" t="s">
        <v>568</v>
      </c>
      <c r="D147" s="28">
        <v>463</v>
      </c>
      <c r="E147" s="19">
        <f>D147/28</f>
        <v>16.535714285714285</v>
      </c>
      <c r="F147" s="5">
        <v>895.99</v>
      </c>
      <c r="I147" s="154">
        <f>IF((D147/28)&gt;100,D147*2,D147*2)</f>
        <v>926</v>
      </c>
      <c r="J147" t="b">
        <f>IF(F147&gt;1.2*I147,FALSE,TRUE)</f>
        <v>1</v>
      </c>
      <c r="K147" s="4">
        <f>F147/I147-1</f>
        <v>-3.2408207343412543E-2</v>
      </c>
      <c r="N147"/>
      <c r="P147" t="s">
        <v>1301</v>
      </c>
      <c r="Q147">
        <v>401</v>
      </c>
      <c r="R147">
        <v>371.16</v>
      </c>
    </row>
    <row r="148" spans="1:18" hidden="1">
      <c r="A148" t="s">
        <v>1294</v>
      </c>
      <c r="B148" t="s">
        <v>361</v>
      </c>
      <c r="C148" t="s">
        <v>362</v>
      </c>
      <c r="D148" s="28">
        <v>761</v>
      </c>
      <c r="E148" s="19">
        <f>D148/28</f>
        <v>27.178571428571427</v>
      </c>
      <c r="F148" s="5">
        <v>738.6</v>
      </c>
      <c r="I148" s="19">
        <f>IF((D148/28)&gt;100,D148*2,D148*2)</f>
        <v>1522</v>
      </c>
      <c r="J148" t="b">
        <f>IF(F148&gt;1.2*I148,FALSE,TRUE)</f>
        <v>1</v>
      </c>
      <c r="K148" s="4">
        <f>F148/I148-1</f>
        <v>-0.51471747700394221</v>
      </c>
      <c r="N148"/>
      <c r="P148" t="s">
        <v>666</v>
      </c>
      <c r="Q148">
        <v>1430</v>
      </c>
      <c r="R148">
        <v>2394.31</v>
      </c>
    </row>
    <row r="149" spans="1:18" hidden="1">
      <c r="A149" t="s">
        <v>1294</v>
      </c>
      <c r="B149" t="s">
        <v>113</v>
      </c>
      <c r="C149" t="s">
        <v>114</v>
      </c>
      <c r="D149" s="28">
        <v>2314</v>
      </c>
      <c r="E149" s="19">
        <f>D149/28</f>
        <v>82.642857142857139</v>
      </c>
      <c r="F149" s="5">
        <v>4591.3</v>
      </c>
      <c r="I149" s="19">
        <f>IF((D149/28)&gt;100,D149*2,D149*2)</f>
        <v>4628</v>
      </c>
      <c r="J149" t="b">
        <f>IF(F149&gt;1.2*I149,FALSE,TRUE)</f>
        <v>1</v>
      </c>
      <c r="K149" s="4">
        <f>F149/I149-1</f>
        <v>-7.9299913569575997E-3</v>
      </c>
      <c r="N149"/>
      <c r="P149" t="s">
        <v>436</v>
      </c>
      <c r="Q149">
        <v>751</v>
      </c>
      <c r="R149">
        <v>53.21</v>
      </c>
    </row>
    <row r="150" spans="1:18" hidden="1">
      <c r="A150" t="s">
        <v>1294</v>
      </c>
      <c r="B150" t="s">
        <v>435</v>
      </c>
      <c r="C150" t="s">
        <v>436</v>
      </c>
      <c r="D150" s="28">
        <v>661</v>
      </c>
      <c r="E150" s="19">
        <f>D150/28</f>
        <v>23.607142857142858</v>
      </c>
      <c r="F150" s="5">
        <v>71.42</v>
      </c>
      <c r="I150" s="19">
        <f>IF((D150/28)&gt;100,D150*2,D150*2)</f>
        <v>1322</v>
      </c>
      <c r="J150" t="b">
        <f>IF(F150&gt;1.2*I150,FALSE,TRUE)</f>
        <v>1</v>
      </c>
      <c r="K150" s="4">
        <f>F150/I150-1</f>
        <v>-0.94597579425113465</v>
      </c>
      <c r="N150"/>
      <c r="P150" t="s">
        <v>628</v>
      </c>
      <c r="Q150">
        <v>696</v>
      </c>
      <c r="R150">
        <v>966.85</v>
      </c>
    </row>
    <row r="151" spans="1:18" hidden="1">
      <c r="A151" t="s">
        <v>1295</v>
      </c>
      <c r="B151" t="s">
        <v>607</v>
      </c>
      <c r="C151" t="s">
        <v>608</v>
      </c>
      <c r="D151" s="28">
        <v>696</v>
      </c>
      <c r="E151" s="19">
        <f>D151/28</f>
        <v>24.857142857142858</v>
      </c>
      <c r="F151" s="5">
        <v>1257.1099999999999</v>
      </c>
      <c r="I151" s="19">
        <f>IF((D151/28)&gt;100,D151*2,D151*2)</f>
        <v>1392</v>
      </c>
      <c r="J151" t="b">
        <f>IF(F151&gt;1.2*I151,FALSE,TRUE)</f>
        <v>1</v>
      </c>
      <c r="K151" s="4">
        <f>F151/I151-1</f>
        <v>-9.6903735632184018E-2</v>
      </c>
      <c r="N151"/>
      <c r="P151" t="s">
        <v>258</v>
      </c>
      <c r="Q151">
        <v>1272</v>
      </c>
      <c r="R151">
        <v>2336.77</v>
      </c>
    </row>
    <row r="152" spans="1:18" hidden="1">
      <c r="A152" t="s">
        <v>1296</v>
      </c>
      <c r="B152" t="s">
        <v>373</v>
      </c>
      <c r="C152" t="s">
        <v>374</v>
      </c>
      <c r="D152" s="28">
        <v>851</v>
      </c>
      <c r="E152" s="19">
        <f>D152/28</f>
        <v>30.392857142857142</v>
      </c>
      <c r="F152" s="5">
        <v>1777.84</v>
      </c>
      <c r="I152" s="154">
        <f>IF((D152/28)&gt;100,D152*2,D152*2)</f>
        <v>1702</v>
      </c>
      <c r="J152" t="b">
        <f>IF(F152&gt;1.2*I152,FALSE,TRUE)</f>
        <v>1</v>
      </c>
      <c r="K152" s="4">
        <f>F152/I152-1</f>
        <v>4.4559341950646258E-2</v>
      </c>
      <c r="N152"/>
      <c r="P152" t="s">
        <v>328</v>
      </c>
      <c r="Q152">
        <v>924</v>
      </c>
      <c r="R152">
        <v>1371.73</v>
      </c>
    </row>
    <row r="153" spans="1:18" hidden="1">
      <c r="A153" t="s">
        <v>1294</v>
      </c>
      <c r="B153" t="s">
        <v>331</v>
      </c>
      <c r="C153" t="s">
        <v>332</v>
      </c>
      <c r="D153" s="28">
        <v>574</v>
      </c>
      <c r="E153" s="19">
        <f>D153/28</f>
        <v>20.5</v>
      </c>
      <c r="F153" s="5">
        <v>982.89</v>
      </c>
      <c r="I153" s="19">
        <f>IF((D153/28)&gt;100,D153*2,D153*2)</f>
        <v>1148</v>
      </c>
      <c r="J153" t="b">
        <f>IF(F153&gt;1.2*I153,FALSE,TRUE)</f>
        <v>1</v>
      </c>
      <c r="K153" s="4">
        <f>F153/I153-1</f>
        <v>-0.14382404181184671</v>
      </c>
      <c r="N153"/>
      <c r="P153" t="s">
        <v>1302</v>
      </c>
      <c r="Q153">
        <v>3</v>
      </c>
      <c r="R153">
        <v>4.76</v>
      </c>
    </row>
    <row r="154" spans="1:18" hidden="1">
      <c r="A154" t="s">
        <v>1296</v>
      </c>
      <c r="B154" t="s">
        <v>423</v>
      </c>
      <c r="C154" t="s">
        <v>424</v>
      </c>
      <c r="D154" s="28">
        <v>343</v>
      </c>
      <c r="E154" s="19">
        <f>D154/28</f>
        <v>12.25</v>
      </c>
      <c r="F154" s="5">
        <v>519.26</v>
      </c>
      <c r="I154" s="19">
        <f>IF((D154/28)&gt;100,D154*2,D154*2)</f>
        <v>686</v>
      </c>
      <c r="J154" t="b">
        <f>IF(F154&gt;1.2*I154,FALSE,TRUE)</f>
        <v>1</v>
      </c>
      <c r="K154" s="4">
        <f>F154/I154-1</f>
        <v>-0.24306122448979595</v>
      </c>
      <c r="N154"/>
      <c r="P154" t="s">
        <v>526</v>
      </c>
      <c r="Q154">
        <v>654</v>
      </c>
      <c r="R154">
        <v>1923.98</v>
      </c>
    </row>
    <row r="155" spans="1:18">
      <c r="A155" t="s">
        <v>1295</v>
      </c>
      <c r="B155" s="56" t="s">
        <v>517</v>
      </c>
      <c r="C155" s="37" t="s">
        <v>518</v>
      </c>
      <c r="D155" s="28">
        <v>878</v>
      </c>
      <c r="E155" s="19">
        <f>D155/28</f>
        <v>31.357142857142858</v>
      </c>
      <c r="F155" s="5">
        <v>2532.21</v>
      </c>
      <c r="I155" s="19">
        <f>IF((D155/28)&gt;100,D155*2,D155*2)</f>
        <v>1756</v>
      </c>
      <c r="J155" t="b">
        <f>IF(F155&gt;1.2*I155,FALSE,TRUE)</f>
        <v>0</v>
      </c>
      <c r="K155" s="4">
        <f>F155/I155-1</f>
        <v>0.44203302961275637</v>
      </c>
      <c r="N155"/>
      <c r="P155" t="s">
        <v>1303</v>
      </c>
      <c r="Q155">
        <v>272</v>
      </c>
      <c r="R155">
        <v>150.43</v>
      </c>
    </row>
    <row r="156" spans="1:18" hidden="1">
      <c r="A156" t="s">
        <v>1295</v>
      </c>
      <c r="B156" t="s">
        <v>367</v>
      </c>
      <c r="C156" t="s">
        <v>368</v>
      </c>
      <c r="D156" s="28">
        <v>387</v>
      </c>
      <c r="E156" s="19">
        <f>D156/28</f>
        <v>13.821428571428571</v>
      </c>
      <c r="F156" s="5">
        <v>748.34</v>
      </c>
      <c r="I156" s="19">
        <f>IF((D156/28)&gt;100,D156*2,D156*2)</f>
        <v>774</v>
      </c>
      <c r="J156" t="b">
        <f>IF(F156&gt;1.2*I156,FALSE,TRUE)</f>
        <v>1</v>
      </c>
      <c r="K156" s="4">
        <f>F156/I156-1</f>
        <v>-3.3152454780361662E-2</v>
      </c>
      <c r="N156"/>
      <c r="P156" t="s">
        <v>1304</v>
      </c>
      <c r="Q156">
        <v>8</v>
      </c>
      <c r="R156">
        <v>0</v>
      </c>
    </row>
    <row r="157" spans="1:18" hidden="1">
      <c r="A157" t="s">
        <v>1295</v>
      </c>
      <c r="B157" t="s">
        <v>653</v>
      </c>
      <c r="C157" t="s">
        <v>654</v>
      </c>
      <c r="D157" s="28">
        <v>1211</v>
      </c>
      <c r="E157" s="19">
        <f>D157/28</f>
        <v>43.25</v>
      </c>
      <c r="F157" s="5">
        <v>2042.55</v>
      </c>
      <c r="I157" s="139">
        <f>IF((D157/28)&gt;100,D157*2,D157*2)</f>
        <v>2422</v>
      </c>
      <c r="J157" t="b">
        <f>IF(F157&gt;1.2*I157,FALSE,TRUE)</f>
        <v>1</v>
      </c>
      <c r="K157" s="4">
        <f>F157/I157-1</f>
        <v>-0.15666804293971925</v>
      </c>
      <c r="P157" t="s">
        <v>454</v>
      </c>
      <c r="Q157">
        <v>460</v>
      </c>
      <c r="R157">
        <v>0</v>
      </c>
    </row>
    <row r="158" spans="1:18" hidden="1">
      <c r="A158" t="s">
        <v>1296</v>
      </c>
      <c r="B158" t="s">
        <v>501</v>
      </c>
      <c r="C158" t="s">
        <v>502</v>
      </c>
      <c r="D158" s="28">
        <v>105</v>
      </c>
      <c r="E158" s="19">
        <f>D158/28</f>
        <v>3.75</v>
      </c>
      <c r="F158" s="5">
        <v>184.73</v>
      </c>
      <c r="I158" s="19">
        <f>IF((D158/28)&gt;100,D158*2,D158*2)</f>
        <v>210</v>
      </c>
      <c r="J158" t="b">
        <f>IF(F158&gt;1.2*I158,FALSE,TRUE)</f>
        <v>1</v>
      </c>
      <c r="K158" s="4">
        <f>F158/I158-1</f>
        <v>-0.1203333333333334</v>
      </c>
      <c r="N158"/>
      <c r="P158" t="s">
        <v>558</v>
      </c>
      <c r="Q158">
        <v>1605</v>
      </c>
      <c r="R158">
        <v>3252.58</v>
      </c>
    </row>
    <row r="159" spans="1:18" hidden="1">
      <c r="A159" t="s">
        <v>1296</v>
      </c>
      <c r="B159" t="s">
        <v>515</v>
      </c>
      <c r="C159" t="s">
        <v>516</v>
      </c>
      <c r="D159" s="28">
        <v>654</v>
      </c>
      <c r="E159" s="19">
        <f>D159/28</f>
        <v>23.357142857142858</v>
      </c>
      <c r="F159" s="5">
        <v>744.51</v>
      </c>
      <c r="I159" s="19">
        <f>IF((D159/28)&gt;100,D159*2,D159*2)</f>
        <v>1308</v>
      </c>
      <c r="J159" t="b">
        <f>IF(F159&gt;1.2*I159,FALSE,TRUE)</f>
        <v>1</v>
      </c>
      <c r="K159" s="4">
        <f>F159/I159-1</f>
        <v>-0.43080275229357801</v>
      </c>
      <c r="N159"/>
      <c r="P159" t="s">
        <v>622</v>
      </c>
      <c r="Q159">
        <v>906</v>
      </c>
      <c r="R159">
        <v>870.89</v>
      </c>
    </row>
    <row r="160" spans="1:18" hidden="1">
      <c r="A160" t="s">
        <v>1294</v>
      </c>
      <c r="B160" t="s">
        <v>453</v>
      </c>
      <c r="C160" t="s">
        <v>454</v>
      </c>
      <c r="D160" s="28">
        <v>414</v>
      </c>
      <c r="E160" s="19">
        <f>D160/28</f>
        <v>14.785714285714286</v>
      </c>
      <c r="F160" s="5">
        <v>0</v>
      </c>
      <c r="I160" s="19">
        <f>IF((D160/28)&gt;100,D160*2,D160*2)</f>
        <v>828</v>
      </c>
      <c r="J160" t="b">
        <f>IF(F160&gt;1.2*I160,FALSE,TRUE)</f>
        <v>1</v>
      </c>
      <c r="K160" s="4">
        <f>F160/I160-1</f>
        <v>-1</v>
      </c>
      <c r="N160"/>
      <c r="P160" t="s">
        <v>1305</v>
      </c>
      <c r="Q160">
        <v>2</v>
      </c>
      <c r="R160">
        <v>5.22</v>
      </c>
    </row>
    <row r="161" spans="1:18" hidden="1">
      <c r="A161" t="s">
        <v>1295</v>
      </c>
      <c r="B161" t="s">
        <v>413</v>
      </c>
      <c r="C161" t="s">
        <v>414</v>
      </c>
      <c r="D161" s="28">
        <v>694</v>
      </c>
      <c r="E161" s="19">
        <f>D161/28</f>
        <v>24.785714285714285</v>
      </c>
      <c r="F161" s="5">
        <v>1604.48</v>
      </c>
      <c r="I161" s="139">
        <f>IF((D161/28)&gt;100,D161*2,D161*2)</f>
        <v>1388</v>
      </c>
      <c r="J161" t="b">
        <f>IF(F161&gt;1.2*I161,FALSE,TRUE)</f>
        <v>1</v>
      </c>
      <c r="K161" s="4">
        <f>F161/I161-1</f>
        <v>0.15596541786743523</v>
      </c>
      <c r="P161" t="s">
        <v>270</v>
      </c>
      <c r="Q161">
        <v>910</v>
      </c>
      <c r="R161">
        <v>1227.83</v>
      </c>
    </row>
    <row r="162" spans="1:18">
      <c r="A162" t="s">
        <v>1294</v>
      </c>
      <c r="B162" t="s">
        <v>333</v>
      </c>
      <c r="C162" t="s">
        <v>334</v>
      </c>
      <c r="D162" s="28">
        <v>862</v>
      </c>
      <c r="E162" s="19">
        <f>D162/28</f>
        <v>30.785714285714285</v>
      </c>
      <c r="F162" s="5">
        <v>2443.7800000000002</v>
      </c>
      <c r="I162" s="19">
        <f>IF((D162/28)&gt;100,D162*2,D162*2)</f>
        <v>1724</v>
      </c>
      <c r="J162" t="b">
        <f>IF(F162&gt;1.2*I162,FALSE,TRUE)</f>
        <v>0</v>
      </c>
      <c r="K162" s="4">
        <f>F162/I162-1</f>
        <v>0.41750580046403729</v>
      </c>
      <c r="N162"/>
      <c r="P162" t="s">
        <v>224</v>
      </c>
      <c r="Q162">
        <v>2224</v>
      </c>
      <c r="R162">
        <v>3393.97</v>
      </c>
    </row>
    <row r="163" spans="1:18" hidden="1">
      <c r="A163" t="s">
        <v>1296</v>
      </c>
      <c r="B163" t="s">
        <v>499</v>
      </c>
      <c r="C163" t="s">
        <v>500</v>
      </c>
      <c r="D163" s="28">
        <v>701</v>
      </c>
      <c r="E163" s="19">
        <f>D163/28</f>
        <v>25.035714285714285</v>
      </c>
      <c r="F163" s="5">
        <v>657.64</v>
      </c>
      <c r="I163" s="139">
        <f>IF((D163/28)&gt;100,D163*2,D163*2)</f>
        <v>1402</v>
      </c>
      <c r="J163" t="b">
        <f>IF(F163&gt;1.2*I163,FALSE,TRUE)</f>
        <v>1</v>
      </c>
      <c r="K163" s="4">
        <f>F163/I163-1</f>
        <v>-0.53092724679029957</v>
      </c>
      <c r="P163" t="s">
        <v>246</v>
      </c>
      <c r="Q163">
        <v>739</v>
      </c>
      <c r="R163">
        <v>1714.51</v>
      </c>
    </row>
    <row r="164" spans="1:18" hidden="1">
      <c r="A164" t="s">
        <v>1294</v>
      </c>
      <c r="B164" t="s">
        <v>591</v>
      </c>
      <c r="C164" t="s">
        <v>592</v>
      </c>
      <c r="D164" s="28">
        <v>1088</v>
      </c>
      <c r="E164" s="19">
        <f>D164/28</f>
        <v>38.857142857142854</v>
      </c>
      <c r="F164" s="5">
        <v>2403.79</v>
      </c>
      <c r="I164" s="19">
        <f>IF((D164/28)&gt;100,D164*2,D164*2)</f>
        <v>2176</v>
      </c>
      <c r="J164" t="b">
        <f>IF(F164&gt;1.2*I164,FALSE,TRUE)</f>
        <v>1</v>
      </c>
      <c r="K164" s="4">
        <f>F164/I164-1</f>
        <v>0.10468290441176475</v>
      </c>
      <c r="N164"/>
      <c r="P164" t="s">
        <v>1306</v>
      </c>
      <c r="Q164">
        <v>131</v>
      </c>
      <c r="R164">
        <v>91.13</v>
      </c>
    </row>
    <row r="165" spans="1:18" hidden="1">
      <c r="A165" t="s">
        <v>1296</v>
      </c>
      <c r="B165" t="s">
        <v>153</v>
      </c>
      <c r="C165" t="s">
        <v>154</v>
      </c>
      <c r="D165" s="28">
        <v>1471</v>
      </c>
      <c r="E165" s="19">
        <f>D165/28</f>
        <v>52.535714285714285</v>
      </c>
      <c r="F165" s="5">
        <v>2112.8200000000002</v>
      </c>
      <c r="I165" s="19">
        <f>IF((D165/28)&gt;100,D165*2,D165*2)</f>
        <v>2942</v>
      </c>
      <c r="J165" t="b">
        <f>IF(F165&gt;1.2*I165,FALSE,TRUE)</f>
        <v>1</v>
      </c>
      <c r="K165" s="4">
        <f>F165/I165-1</f>
        <v>-0.281842284160435</v>
      </c>
      <c r="N165"/>
      <c r="P165" t="s">
        <v>490</v>
      </c>
      <c r="Q165">
        <v>241</v>
      </c>
      <c r="R165">
        <v>1011.31</v>
      </c>
    </row>
    <row r="166" spans="1:18" hidden="1">
      <c r="A166" t="s">
        <v>1296</v>
      </c>
      <c r="B166" t="s">
        <v>343</v>
      </c>
      <c r="C166" t="s">
        <v>344</v>
      </c>
      <c r="D166" s="28">
        <v>379</v>
      </c>
      <c r="E166" s="19">
        <f>D166/28</f>
        <v>13.535714285714286</v>
      </c>
      <c r="F166" s="5">
        <v>595.69000000000005</v>
      </c>
      <c r="I166" s="19">
        <f>IF((D166/28)&gt;100,D166*2,D166*2)</f>
        <v>758</v>
      </c>
      <c r="J166" t="b">
        <f>IF(F166&gt;1.2*I166,FALSE,TRUE)</f>
        <v>1</v>
      </c>
      <c r="K166" s="4">
        <f>F166/I166-1</f>
        <v>-0.21412928759894456</v>
      </c>
      <c r="N166"/>
      <c r="P166" t="s">
        <v>188</v>
      </c>
      <c r="Q166">
        <v>2823</v>
      </c>
      <c r="R166">
        <v>3165.3</v>
      </c>
    </row>
    <row r="167" spans="1:18" hidden="1">
      <c r="A167" t="s">
        <v>1296</v>
      </c>
      <c r="B167" t="s">
        <v>455</v>
      </c>
      <c r="C167" t="s">
        <v>456</v>
      </c>
      <c r="D167" s="28">
        <v>0</v>
      </c>
      <c r="E167" s="19">
        <f>D167/28</f>
        <v>0</v>
      </c>
      <c r="F167" s="5">
        <v>0</v>
      </c>
      <c r="I167" s="139">
        <f>IF((D167/28)&gt;100,D167*2,D167*2)</f>
        <v>0</v>
      </c>
      <c r="J167" t="b">
        <f>IF(F167&gt;1.2*I167,FALSE,TRUE)</f>
        <v>1</v>
      </c>
      <c r="K167" s="4" t="e">
        <f>F167/I167-1</f>
        <v>#DIV/0!</v>
      </c>
      <c r="N167" s="143"/>
      <c r="P167" t="s">
        <v>418</v>
      </c>
      <c r="Q167">
        <v>1428</v>
      </c>
      <c r="R167">
        <v>2934.62</v>
      </c>
    </row>
    <row r="168" spans="1:18">
      <c r="A168" t="s">
        <v>1294</v>
      </c>
      <c r="B168" s="55" t="s">
        <v>371</v>
      </c>
      <c r="C168" s="37" t="s">
        <v>372</v>
      </c>
      <c r="D168" s="28">
        <v>738</v>
      </c>
      <c r="E168" s="19">
        <f>D168/28</f>
        <v>26.357142857142858</v>
      </c>
      <c r="F168" s="5">
        <v>2196.77</v>
      </c>
      <c r="I168" s="151">
        <f>IF((D168/28)&gt;100,D168*2,D168*2)</f>
        <v>1476</v>
      </c>
      <c r="J168" t="b">
        <f>IF(F168&gt;1.2*I168,FALSE,TRUE)</f>
        <v>0</v>
      </c>
      <c r="K168" s="4">
        <f>F168/I168-1</f>
        <v>0.48832655826558269</v>
      </c>
      <c r="N168"/>
      <c r="P168" t="s">
        <v>368</v>
      </c>
      <c r="Q168">
        <v>623</v>
      </c>
      <c r="R168">
        <v>1035.93</v>
      </c>
    </row>
    <row r="169" spans="1:18" hidden="1">
      <c r="A169" t="s">
        <v>1296</v>
      </c>
      <c r="B169" t="s">
        <v>457</v>
      </c>
      <c r="C169" t="s">
        <v>458</v>
      </c>
      <c r="D169" s="28">
        <v>0</v>
      </c>
      <c r="E169" s="19">
        <f>D169/28</f>
        <v>0</v>
      </c>
      <c r="F169" s="5">
        <v>0</v>
      </c>
      <c r="I169" s="151">
        <f>IF((D169/28)&gt;100,D169*2,D169*2)</f>
        <v>0</v>
      </c>
      <c r="J169" t="b">
        <f>IF(F169&gt;1.2*I169,FALSE,TRUE)</f>
        <v>1</v>
      </c>
      <c r="K169" s="4" t="e">
        <f>F169/I169-1</f>
        <v>#DIV/0!</v>
      </c>
      <c r="N169"/>
      <c r="P169" t="s">
        <v>610</v>
      </c>
      <c r="Q169">
        <v>787</v>
      </c>
      <c r="R169">
        <v>1703.07</v>
      </c>
    </row>
    <row r="170" spans="1:18" hidden="1">
      <c r="A170" t="s">
        <v>1296</v>
      </c>
      <c r="B170" t="s">
        <v>459</v>
      </c>
      <c r="C170" t="s">
        <v>460</v>
      </c>
      <c r="D170" s="28">
        <v>0</v>
      </c>
      <c r="E170" s="19">
        <f>D170/28</f>
        <v>0</v>
      </c>
      <c r="F170" s="5">
        <v>0</v>
      </c>
      <c r="I170" s="19">
        <f>IF((D170/28)&gt;100,D170*2,D170*2)</f>
        <v>0</v>
      </c>
      <c r="J170" t="b">
        <f>IF(F170&gt;1.2*I170,FALSE,TRUE)</f>
        <v>1</v>
      </c>
      <c r="K170" s="4" t="e">
        <f>F170/I170-1</f>
        <v>#DIV/0!</v>
      </c>
      <c r="N170"/>
      <c r="P170" t="s">
        <v>542</v>
      </c>
      <c r="Q170">
        <v>626</v>
      </c>
      <c r="R170">
        <v>1564.77</v>
      </c>
    </row>
    <row r="171" spans="1:18" hidden="1">
      <c r="A171" t="s">
        <v>1296</v>
      </c>
      <c r="B171" t="s">
        <v>429</v>
      </c>
      <c r="C171" t="s">
        <v>430</v>
      </c>
      <c r="D171" s="28">
        <v>640</v>
      </c>
      <c r="E171" s="19">
        <f>D171/28</f>
        <v>22.857142857142858</v>
      </c>
      <c r="F171" s="5">
        <v>1181</v>
      </c>
      <c r="I171" s="19">
        <f>IF((D171/28)&gt;100,D171*2,D171*2)</f>
        <v>1280</v>
      </c>
      <c r="J171" t="b">
        <f>IF(F171&gt;1.2*I171,FALSE,TRUE)</f>
        <v>1</v>
      </c>
      <c r="K171" s="4">
        <f>F171/I171-1</f>
        <v>-7.7343750000000044E-2</v>
      </c>
      <c r="N171"/>
      <c r="P171" t="s">
        <v>362</v>
      </c>
      <c r="Q171">
        <v>685</v>
      </c>
      <c r="R171">
        <v>641.12</v>
      </c>
    </row>
    <row r="172" spans="1:18">
      <c r="B172" s="150" t="s">
        <v>763</v>
      </c>
      <c r="C172" s="37" t="s">
        <v>764</v>
      </c>
      <c r="D172">
        <v>734</v>
      </c>
      <c r="E172" s="19">
        <f>D172/28</f>
        <v>26.214285714285715</v>
      </c>
      <c r="F172" s="151">
        <v>1798.78</v>
      </c>
      <c r="I172" s="140">
        <f>IF((D172/28)&gt;100,D172*2,D172*2)</f>
        <v>1468</v>
      </c>
      <c r="J172" t="b">
        <f>IF(F172&gt;1.2*I172,FALSE,TRUE)</f>
        <v>0</v>
      </c>
      <c r="K172" s="4">
        <f>F172/I172-1</f>
        <v>0.22532697547683922</v>
      </c>
      <c r="P172" t="s">
        <v>598</v>
      </c>
      <c r="Q172">
        <v>1328</v>
      </c>
      <c r="R172">
        <v>1448.98</v>
      </c>
    </row>
    <row r="173" spans="1:18" hidden="1">
      <c r="A173" t="s">
        <v>1294</v>
      </c>
      <c r="B173" t="s">
        <v>577</v>
      </c>
      <c r="C173" t="s">
        <v>578</v>
      </c>
      <c r="D173" s="28">
        <v>550</v>
      </c>
      <c r="E173" s="19">
        <f>D173/28</f>
        <v>19.642857142857142</v>
      </c>
      <c r="F173" s="5">
        <v>410.36</v>
      </c>
      <c r="I173" s="19">
        <f>IF((D173/28)&gt;100,D173*2,D173*2)</f>
        <v>1100</v>
      </c>
      <c r="J173" t="b">
        <f>IF(F173&gt;1.2*I173,FALSE,TRUE)</f>
        <v>1</v>
      </c>
      <c r="K173" s="4">
        <f>F173/I173-1</f>
        <v>-0.62694545454545447</v>
      </c>
      <c r="N173"/>
      <c r="P173" t="s">
        <v>176</v>
      </c>
      <c r="Q173">
        <v>668</v>
      </c>
      <c r="R173">
        <v>1066.51</v>
      </c>
    </row>
    <row r="174" spans="1:18">
      <c r="A174" t="s">
        <v>1295</v>
      </c>
      <c r="B174" t="s">
        <v>68</v>
      </c>
      <c r="C174" t="s">
        <v>69</v>
      </c>
      <c r="D174" s="19">
        <v>688</v>
      </c>
      <c r="E174" s="19">
        <f>D174/28</f>
        <v>24.571428571428573</v>
      </c>
      <c r="F174" s="5">
        <v>1863.21</v>
      </c>
      <c r="I174" s="19">
        <f>IF((D174/28)&gt;100,D174*2,D174*2)</f>
        <v>1376</v>
      </c>
      <c r="J174" t="b">
        <f>IF(F174&gt;1.2*I174,FALSE,TRUE)</f>
        <v>0</v>
      </c>
      <c r="K174" s="4">
        <f>F174/I174-1</f>
        <v>0.354077034883721</v>
      </c>
      <c r="N174"/>
      <c r="P174" t="s">
        <v>672</v>
      </c>
      <c r="Q174">
        <v>1509</v>
      </c>
      <c r="R174">
        <v>1951.13</v>
      </c>
    </row>
    <row r="175" spans="1:18" hidden="1">
      <c r="A175" t="s">
        <v>1295</v>
      </c>
      <c r="B175" s="55" t="s">
        <v>449</v>
      </c>
      <c r="C175" s="37" t="s">
        <v>450</v>
      </c>
      <c r="D175" s="28">
        <v>4</v>
      </c>
      <c r="E175" s="19">
        <f>D175/28</f>
        <v>0.14285714285714285</v>
      </c>
      <c r="F175" s="5">
        <v>1.08</v>
      </c>
      <c r="I175" s="19">
        <f>IF((D175/28)&gt;100,D175*2,D175*2)</f>
        <v>8</v>
      </c>
      <c r="J175" t="b">
        <f>IF(F175&gt;1.2*I175,FALSE,TRUE)</f>
        <v>1</v>
      </c>
      <c r="K175" s="4">
        <f>F175/I175-1</f>
        <v>-0.86499999999999999</v>
      </c>
      <c r="N175"/>
      <c r="P175" t="s">
        <v>688</v>
      </c>
      <c r="Q175">
        <v>3022</v>
      </c>
      <c r="R175">
        <v>5124.5200000000004</v>
      </c>
    </row>
    <row r="176" spans="1:18" hidden="1">
      <c r="A176" t="s">
        <v>1295</v>
      </c>
      <c r="B176" t="s">
        <v>461</v>
      </c>
      <c r="C176" t="s">
        <v>462</v>
      </c>
      <c r="D176" s="28">
        <v>385</v>
      </c>
      <c r="E176" s="19">
        <f>D176/28</f>
        <v>13.75</v>
      </c>
      <c r="F176" s="5">
        <v>0</v>
      </c>
      <c r="I176" s="19">
        <f>IF((D176/28)&gt;100,D176*2,D176*2)</f>
        <v>770</v>
      </c>
      <c r="J176" t="b">
        <f>IF(F176&gt;1.2*I176,FALSE,TRUE)</f>
        <v>1</v>
      </c>
      <c r="K176" s="4">
        <f>F176/I176-1</f>
        <v>-1</v>
      </c>
      <c r="N176"/>
      <c r="P176" t="s">
        <v>310</v>
      </c>
      <c r="Q176">
        <v>1145</v>
      </c>
      <c r="R176">
        <v>1818.18</v>
      </c>
    </row>
    <row r="177" spans="1:18" hidden="1">
      <c r="A177" t="s">
        <v>1295</v>
      </c>
      <c r="B177" t="s">
        <v>197</v>
      </c>
      <c r="C177" t="s">
        <v>198</v>
      </c>
      <c r="D177" s="28">
        <v>2720</v>
      </c>
      <c r="E177" s="19">
        <f>D177/28</f>
        <v>97.142857142857139</v>
      </c>
      <c r="F177" s="5">
        <v>2994.99</v>
      </c>
      <c r="I177" s="19">
        <f>IF((D177/28)&gt;100,D177*2,D177*2)</f>
        <v>5440</v>
      </c>
      <c r="J177" t="b">
        <f>IF(F177&gt;1.2*I177,FALSE,TRUE)</f>
        <v>1</v>
      </c>
      <c r="K177" s="4">
        <f>F177/I177-1</f>
        <v>-0.44945036764705881</v>
      </c>
      <c r="N177"/>
      <c r="P177" t="s">
        <v>103</v>
      </c>
      <c r="Q177">
        <v>1394</v>
      </c>
      <c r="R177">
        <v>1861.92</v>
      </c>
    </row>
    <row r="178" spans="1:18" hidden="1">
      <c r="A178" t="s">
        <v>1296</v>
      </c>
      <c r="B178" t="s">
        <v>269</v>
      </c>
      <c r="C178" t="s">
        <v>270</v>
      </c>
      <c r="D178" s="28">
        <v>811</v>
      </c>
      <c r="E178" s="19">
        <f>D178/28</f>
        <v>28.964285714285715</v>
      </c>
      <c r="F178" s="5">
        <v>1376.75</v>
      </c>
      <c r="I178" s="19">
        <f>IF((D178/28)&gt;100,D178*2,D178*2)</f>
        <v>1622</v>
      </c>
      <c r="J178" t="b">
        <f>IF(F178&gt;1.2*I178,FALSE,TRUE)</f>
        <v>1</v>
      </c>
      <c r="K178" s="4">
        <f>F178/I178-1</f>
        <v>-0.15120221948212087</v>
      </c>
      <c r="N178"/>
      <c r="P178" t="s">
        <v>18</v>
      </c>
      <c r="Q178">
        <v>33472</v>
      </c>
      <c r="R178">
        <v>35816.089999999997</v>
      </c>
    </row>
    <row r="179" spans="1:18">
      <c r="B179" t="s">
        <v>1114</v>
      </c>
      <c r="C179" t="s">
        <v>1115</v>
      </c>
      <c r="D179">
        <v>676</v>
      </c>
      <c r="E179" s="19">
        <f>D179/28</f>
        <v>24.142857142857142</v>
      </c>
      <c r="F179" s="5">
        <v>1857.65</v>
      </c>
      <c r="I179" s="140">
        <f>IF((D179/28)&gt;100,D179*2,D179*2)</f>
        <v>1352</v>
      </c>
      <c r="J179" t="b">
        <f>IF(F179&gt;1.2*I179,FALSE,TRUE)</f>
        <v>0</v>
      </c>
      <c r="K179" s="4">
        <f>F179/I179-1</f>
        <v>0.37400147928994087</v>
      </c>
      <c r="P179" t="s">
        <v>448</v>
      </c>
      <c r="Q179">
        <v>1079</v>
      </c>
      <c r="R179">
        <v>1820.14</v>
      </c>
    </row>
    <row r="180" spans="1:18" hidden="1">
      <c r="A180" t="s">
        <v>1296</v>
      </c>
      <c r="B180" t="s">
        <v>569</v>
      </c>
      <c r="C180" t="s">
        <v>570</v>
      </c>
      <c r="D180" s="28">
        <v>1709</v>
      </c>
      <c r="E180" s="19">
        <f>D180/28</f>
        <v>61.035714285714285</v>
      </c>
      <c r="F180" s="5">
        <v>2033.23</v>
      </c>
      <c r="I180" s="19">
        <f>IF((D180/28)&gt;100,D180*2,D180*2)</f>
        <v>3418</v>
      </c>
      <c r="J180" t="b">
        <f>IF(F180&gt;1.2*I180,FALSE,TRUE)</f>
        <v>1</v>
      </c>
      <c r="K180" s="4">
        <f>F180/I180-1</f>
        <v>-0.4051404330017554</v>
      </c>
      <c r="N180"/>
      <c r="P180" t="s">
        <v>580</v>
      </c>
      <c r="Q180">
        <v>1417</v>
      </c>
      <c r="R180">
        <v>2743.68</v>
      </c>
    </row>
    <row r="181" spans="1:18" hidden="1">
      <c r="A181" t="s">
        <v>1295</v>
      </c>
      <c r="B181" t="s">
        <v>475</v>
      </c>
      <c r="C181" t="s">
        <v>476</v>
      </c>
      <c r="D181" s="28">
        <v>357</v>
      </c>
      <c r="E181" s="19">
        <f>D181/28</f>
        <v>12.75</v>
      </c>
      <c r="F181" s="5">
        <v>416.79999999999995</v>
      </c>
      <c r="I181" s="19">
        <f>IF((D181/28)&gt;100,D181*2,D181*2)</f>
        <v>714</v>
      </c>
      <c r="J181" t="b">
        <f>IF(F181&gt;1.2*I181,FALSE,TRUE)</f>
        <v>1</v>
      </c>
      <c r="K181" s="4">
        <f>F181/I181-1</f>
        <v>-0.41624649859943985</v>
      </c>
      <c r="N181"/>
      <c r="P181" t="s">
        <v>548</v>
      </c>
      <c r="Q181">
        <v>834</v>
      </c>
      <c r="R181">
        <v>558.63</v>
      </c>
    </row>
    <row r="182" spans="1:18" hidden="1">
      <c r="A182" t="s">
        <v>1295</v>
      </c>
      <c r="B182" t="s">
        <v>505</v>
      </c>
      <c r="C182" t="s">
        <v>506</v>
      </c>
      <c r="D182" s="28">
        <v>357</v>
      </c>
      <c r="E182" s="19">
        <f>D182/28</f>
        <v>12.75</v>
      </c>
      <c r="F182" s="5">
        <v>461.04</v>
      </c>
      <c r="I182" s="139">
        <f>IF((D182/28)&gt;100,D182*2,D182*2)</f>
        <v>714</v>
      </c>
      <c r="J182" t="b">
        <f>IF(F182&gt;1.2*I182,FALSE,TRUE)</f>
        <v>1</v>
      </c>
      <c r="K182" s="4">
        <f>F182/I182-1</f>
        <v>-0.3542857142857142</v>
      </c>
      <c r="P182" t="s">
        <v>280</v>
      </c>
      <c r="Q182">
        <v>1625</v>
      </c>
      <c r="R182">
        <v>2545.71</v>
      </c>
    </row>
    <row r="183" spans="1:18" hidden="1">
      <c r="A183" t="s">
        <v>1295</v>
      </c>
      <c r="B183" t="s">
        <v>261</v>
      </c>
      <c r="C183" t="s">
        <v>262</v>
      </c>
      <c r="D183" s="28">
        <v>1212</v>
      </c>
      <c r="E183" s="19">
        <f>D183/28</f>
        <v>43.285714285714285</v>
      </c>
      <c r="F183" s="5">
        <v>1348.8</v>
      </c>
      <c r="I183" s="19">
        <f>IF((D183/28)&gt;100,D183*2,D183*2)</f>
        <v>2424</v>
      </c>
      <c r="J183" t="b">
        <f>IF(F183&gt;1.2*I183,FALSE,TRUE)</f>
        <v>1</v>
      </c>
      <c r="K183" s="4">
        <f>F183/I183-1</f>
        <v>-0.44356435643564363</v>
      </c>
      <c r="N183"/>
      <c r="P183" t="s">
        <v>182</v>
      </c>
      <c r="Q183">
        <v>1102</v>
      </c>
      <c r="R183">
        <v>2842.03</v>
      </c>
    </row>
    <row r="184" spans="1:18" hidden="1">
      <c r="A184" t="s">
        <v>1295</v>
      </c>
      <c r="B184" t="s">
        <v>463</v>
      </c>
      <c r="C184" t="s">
        <v>464</v>
      </c>
      <c r="D184" s="28">
        <v>10</v>
      </c>
      <c r="E184" s="19">
        <f>D184/28</f>
        <v>0.35714285714285715</v>
      </c>
      <c r="F184" s="5">
        <v>0</v>
      </c>
      <c r="I184" s="19">
        <f>IF((D184/28)&gt;100,D184*2,D184*2)</f>
        <v>20</v>
      </c>
      <c r="J184" t="b">
        <f>IF(F184&gt;1.2*I184,FALSE,TRUE)</f>
        <v>1</v>
      </c>
      <c r="K184" s="4">
        <f>F184/I184-1</f>
        <v>-1</v>
      </c>
      <c r="N184"/>
      <c r="P184" t="s">
        <v>522</v>
      </c>
      <c r="Q184">
        <v>2369</v>
      </c>
      <c r="R184">
        <v>4283</v>
      </c>
    </row>
    <row r="185" spans="1:18" hidden="1">
      <c r="A185" t="s">
        <v>1294</v>
      </c>
      <c r="B185" t="s">
        <v>439</v>
      </c>
      <c r="C185" t="s">
        <v>440</v>
      </c>
      <c r="D185" s="28">
        <v>10</v>
      </c>
      <c r="E185" s="19">
        <f>D185/28</f>
        <v>0.35714285714285715</v>
      </c>
      <c r="F185" s="5">
        <v>8.5299999999999994</v>
      </c>
      <c r="I185" s="19">
        <f>IF((D185/28)&gt;100,D185*2,D185*2)</f>
        <v>20</v>
      </c>
      <c r="J185" t="b">
        <f>IF(F185&gt;1.2*I185,FALSE,TRUE)</f>
        <v>1</v>
      </c>
      <c r="K185" s="4">
        <f>F185/I185-1</f>
        <v>-0.57350000000000001</v>
      </c>
      <c r="N185"/>
      <c r="P185" t="s">
        <v>272</v>
      </c>
      <c r="Q185">
        <v>399</v>
      </c>
      <c r="R185">
        <v>1084.67</v>
      </c>
    </row>
    <row r="186" spans="1:18" hidden="1">
      <c r="A186" t="s">
        <v>1294</v>
      </c>
      <c r="B186" s="57" t="s">
        <v>641</v>
      </c>
      <c r="C186" s="37" t="s">
        <v>642</v>
      </c>
      <c r="D186" s="28">
        <v>1632</v>
      </c>
      <c r="E186" s="19">
        <f>D186/28</f>
        <v>58.285714285714285</v>
      </c>
      <c r="F186" s="5">
        <v>3119.3</v>
      </c>
      <c r="I186" s="19">
        <f>IF((D186/28)&gt;100,D186*2,D186*2)</f>
        <v>3264</v>
      </c>
      <c r="J186" t="b">
        <f>IF(F186&gt;1.2*I186,FALSE,TRUE)</f>
        <v>1</v>
      </c>
      <c r="K186" s="4">
        <f>F186/I186-1</f>
        <v>-4.4332107843137236E-2</v>
      </c>
      <c r="N186"/>
      <c r="P186" t="s">
        <v>166</v>
      </c>
      <c r="Q186">
        <v>2274</v>
      </c>
      <c r="R186">
        <v>2660.71</v>
      </c>
    </row>
    <row r="187" spans="1:18" hidden="1">
      <c r="A187" t="s">
        <v>1296</v>
      </c>
      <c r="B187" t="s">
        <v>387</v>
      </c>
      <c r="C187" t="s">
        <v>388</v>
      </c>
      <c r="D187" s="28">
        <v>769</v>
      </c>
      <c r="E187" s="19">
        <f>D187/28</f>
        <v>27.464285714285715</v>
      </c>
      <c r="F187" s="5">
        <v>1284.54</v>
      </c>
      <c r="I187" s="19">
        <f>IF((D187/28)&gt;100,D187*2,D187*2)</f>
        <v>1538</v>
      </c>
      <c r="J187" t="b">
        <f>IF(F187&gt;1.2*I187,FALSE,TRUE)</f>
        <v>1</v>
      </c>
      <c r="K187" s="4">
        <f>F187/I187-1</f>
        <v>-0.16479843953185958</v>
      </c>
      <c r="N187"/>
      <c r="P187" t="s">
        <v>298</v>
      </c>
      <c r="Q187">
        <v>15</v>
      </c>
      <c r="R187">
        <v>6.29</v>
      </c>
    </row>
    <row r="188" spans="1:18" hidden="1">
      <c r="A188" t="s">
        <v>1295</v>
      </c>
      <c r="B188" t="s">
        <v>609</v>
      </c>
      <c r="C188" t="s">
        <v>610</v>
      </c>
      <c r="D188" s="28">
        <v>451</v>
      </c>
      <c r="E188" s="19">
        <f>D188/28</f>
        <v>16.107142857142858</v>
      </c>
      <c r="F188" s="5">
        <v>776.23</v>
      </c>
      <c r="I188" s="19">
        <f>IF((D188/28)&gt;100,D188*2,D188*2)</f>
        <v>902</v>
      </c>
      <c r="J188" t="b">
        <f>IF(F188&gt;1.2*I188,FALSE,TRUE)</f>
        <v>1</v>
      </c>
      <c r="K188" s="4">
        <f>F188/I188-1</f>
        <v>-0.13943458980044343</v>
      </c>
      <c r="N188"/>
      <c r="P188" t="s">
        <v>668</v>
      </c>
      <c r="Q188">
        <v>1363</v>
      </c>
      <c r="R188">
        <v>2351.85</v>
      </c>
    </row>
    <row r="189" spans="1:18" hidden="1">
      <c r="A189" t="s">
        <v>1294</v>
      </c>
      <c r="B189" t="s">
        <v>303</v>
      </c>
      <c r="C189" t="s">
        <v>304</v>
      </c>
      <c r="D189" s="28">
        <v>945</v>
      </c>
      <c r="E189" s="19">
        <f>D189/28</f>
        <v>33.75</v>
      </c>
      <c r="F189" s="5">
        <v>1359.63</v>
      </c>
      <c r="I189" s="151">
        <f>IF((D189/28)&gt;100,D189*2,D189*2)</f>
        <v>1890</v>
      </c>
      <c r="J189" t="b">
        <f>IF(F189&gt;1.2*I189,FALSE,TRUE)</f>
        <v>1</v>
      </c>
      <c r="K189" s="4">
        <f>F189/I189-1</f>
        <v>-0.28061904761904755</v>
      </c>
      <c r="N189"/>
      <c r="P189" t="s">
        <v>264</v>
      </c>
      <c r="Q189">
        <v>3262</v>
      </c>
      <c r="R189">
        <v>5310.92</v>
      </c>
    </row>
    <row r="190" spans="1:18" hidden="1">
      <c r="A190" t="s">
        <v>1294</v>
      </c>
      <c r="B190" s="57" t="s">
        <v>479</v>
      </c>
      <c r="C190" s="37" t="s">
        <v>480</v>
      </c>
      <c r="D190" s="28">
        <v>495</v>
      </c>
      <c r="E190" s="19">
        <f>D190/28</f>
        <v>17.678571428571427</v>
      </c>
      <c r="F190" s="5">
        <v>452.33</v>
      </c>
      <c r="I190" s="19">
        <f>IF((D190/28)&gt;100,D190*2,D190*2)</f>
        <v>990</v>
      </c>
      <c r="J190" t="b">
        <f>IF(F190&gt;1.2*I190,FALSE,TRUE)</f>
        <v>1</v>
      </c>
      <c r="K190" s="4">
        <f>F190/I190-1</f>
        <v>-0.54310101010101008</v>
      </c>
      <c r="N190"/>
      <c r="P190" t="s">
        <v>330</v>
      </c>
      <c r="Q190">
        <v>1048</v>
      </c>
      <c r="R190">
        <v>1891.9</v>
      </c>
    </row>
    <row r="191" spans="1:18" hidden="1">
      <c r="A191" t="s">
        <v>1294</v>
      </c>
      <c r="B191" s="56" t="s">
        <v>539</v>
      </c>
      <c r="C191" s="37" t="s">
        <v>540</v>
      </c>
      <c r="D191" s="28">
        <v>704</v>
      </c>
      <c r="E191" s="19">
        <f>D191/28</f>
        <v>25.142857142857142</v>
      </c>
      <c r="F191" s="5">
        <v>533.71</v>
      </c>
      <c r="I191" s="19">
        <f>IF((D191/28)&gt;100,D191*2,D191*2)</f>
        <v>1408</v>
      </c>
      <c r="J191" t="b">
        <f>IF(F191&gt;1.2*I191,FALSE,TRUE)</f>
        <v>1</v>
      </c>
      <c r="K191" s="4">
        <f>F191/I191-1</f>
        <v>-0.62094460227272719</v>
      </c>
      <c r="N191"/>
      <c r="P191" t="s">
        <v>572</v>
      </c>
      <c r="Q191">
        <v>1647</v>
      </c>
      <c r="R191">
        <v>2183.27</v>
      </c>
    </row>
    <row r="192" spans="1:18" hidden="1">
      <c r="A192" t="s">
        <v>1296</v>
      </c>
      <c r="B192" t="s">
        <v>253</v>
      </c>
      <c r="C192" t="s">
        <v>254</v>
      </c>
      <c r="D192" s="28">
        <v>1114</v>
      </c>
      <c r="E192" s="19">
        <f>D192/28</f>
        <v>39.785714285714285</v>
      </c>
      <c r="F192" s="5">
        <v>2251.0300000000002</v>
      </c>
      <c r="I192" s="19">
        <f>IF((D192/28)&gt;100,D192*2,D192*2)</f>
        <v>2228</v>
      </c>
      <c r="J192" t="b">
        <f>IF(F192&gt;1.2*I192,FALSE,TRUE)</f>
        <v>1</v>
      </c>
      <c r="K192" s="4">
        <f>F192/I192-1</f>
        <v>1.0336624775583614E-2</v>
      </c>
      <c r="N192"/>
      <c r="P192" t="s">
        <v>276</v>
      </c>
      <c r="Q192">
        <v>704</v>
      </c>
      <c r="R192">
        <v>1247.75</v>
      </c>
    </row>
    <row r="193" spans="1:18" hidden="1">
      <c r="A193" t="s">
        <v>1294</v>
      </c>
      <c r="B193" s="55" t="s">
        <v>163</v>
      </c>
      <c r="C193" s="37" t="s">
        <v>164</v>
      </c>
      <c r="D193" s="28">
        <v>1302</v>
      </c>
      <c r="E193" s="19">
        <f>D193/28</f>
        <v>46.5</v>
      </c>
      <c r="F193" s="5">
        <v>2829.72</v>
      </c>
      <c r="I193" s="19">
        <f>IF((D193/28)&gt;100,D193*2,D193*2)</f>
        <v>2604</v>
      </c>
      <c r="J193" t="b">
        <f>IF(F193&gt;1.2*I193,FALSE,TRUE)</f>
        <v>1</v>
      </c>
      <c r="K193" s="4">
        <f>F193/I193-1</f>
        <v>8.6682027649769511E-2</v>
      </c>
      <c r="N193"/>
      <c r="P193" t="s">
        <v>232</v>
      </c>
      <c r="Q193">
        <v>1322</v>
      </c>
      <c r="R193">
        <v>3434.74</v>
      </c>
    </row>
    <row r="194" spans="1:18" ht="30" hidden="1">
      <c r="A194" t="s">
        <v>1294</v>
      </c>
      <c r="B194" s="55" t="s">
        <v>141</v>
      </c>
      <c r="C194" s="37" t="s">
        <v>142</v>
      </c>
      <c r="D194" s="28">
        <v>4446</v>
      </c>
      <c r="E194" s="19">
        <f>D194/28</f>
        <v>158.78571428571428</v>
      </c>
      <c r="F194" s="5">
        <v>3810.67</v>
      </c>
      <c r="I194" s="19">
        <f>IF((D194/28)&gt;100,D194*2,D194*2)</f>
        <v>8892</v>
      </c>
      <c r="J194" t="b">
        <f>IF(F194&gt;1.2*I194,FALSE,TRUE)</f>
        <v>1</v>
      </c>
      <c r="K194" s="4">
        <f>F194/I194-1</f>
        <v>-0.57144961763382818</v>
      </c>
      <c r="N194"/>
      <c r="P194" t="s">
        <v>384</v>
      </c>
      <c r="Q194">
        <v>1858</v>
      </c>
      <c r="R194">
        <v>2426.17</v>
      </c>
    </row>
    <row r="195" spans="1:18" hidden="1">
      <c r="A195" t="s">
        <v>1294</v>
      </c>
      <c r="B195" t="s">
        <v>495</v>
      </c>
      <c r="C195" t="s">
        <v>496</v>
      </c>
      <c r="D195" s="28">
        <v>1263</v>
      </c>
      <c r="E195" s="19">
        <f>D195/28</f>
        <v>45.107142857142854</v>
      </c>
      <c r="F195" s="5">
        <v>2299.21</v>
      </c>
      <c r="I195" s="19">
        <f>IF((D195/28)&gt;100,D195*2,D195*2)</f>
        <v>2526</v>
      </c>
      <c r="J195" t="b">
        <f>IF(F195&gt;1.2*I195,FALSE,TRUE)</f>
        <v>1</v>
      </c>
      <c r="K195" s="4">
        <f>F195/I195-1</f>
        <v>-8.9782264449722815E-2</v>
      </c>
      <c r="N195"/>
      <c r="P195" t="s">
        <v>222</v>
      </c>
      <c r="Q195">
        <v>1829</v>
      </c>
      <c r="R195">
        <v>3966.6</v>
      </c>
    </row>
    <row r="196" spans="1:18" hidden="1">
      <c r="A196" t="s">
        <v>1296</v>
      </c>
      <c r="B196" t="s">
        <v>419</v>
      </c>
      <c r="C196" t="s">
        <v>420</v>
      </c>
      <c r="D196" s="28">
        <v>801</v>
      </c>
      <c r="E196" s="19">
        <f>D196/28</f>
        <v>28.607142857142858</v>
      </c>
      <c r="F196" s="5">
        <v>1612.05</v>
      </c>
      <c r="I196" s="139">
        <f>IF((D196/28)&gt;100,D196*2,D196*2)</f>
        <v>1602</v>
      </c>
      <c r="J196" t="b">
        <f>IF(F196&gt;1.2*I196,FALSE,TRUE)</f>
        <v>1</v>
      </c>
      <c r="K196" s="4">
        <f>F196/I196-1</f>
        <v>6.27340823970024E-3</v>
      </c>
      <c r="P196" t="s">
        <v>650</v>
      </c>
      <c r="Q196">
        <v>1488</v>
      </c>
      <c r="R196">
        <v>1258.69</v>
      </c>
    </row>
    <row r="197" spans="1:18" hidden="1">
      <c r="A197" t="s">
        <v>1295</v>
      </c>
      <c r="B197" t="s">
        <v>351</v>
      </c>
      <c r="C197" t="s">
        <v>352</v>
      </c>
      <c r="D197" s="28">
        <v>321</v>
      </c>
      <c r="E197" s="19">
        <f>D197/28</f>
        <v>11.464285714285714</v>
      </c>
      <c r="F197" s="5">
        <v>306.20999999999998</v>
      </c>
      <c r="I197" s="19">
        <f>IF((D197/28)&gt;100,D197*2,D197*2)</f>
        <v>642</v>
      </c>
      <c r="J197" t="b">
        <f>IF(F197&gt;1.2*I197,FALSE,TRUE)</f>
        <v>1</v>
      </c>
      <c r="K197" s="4">
        <f>F197/I197-1</f>
        <v>-0.52303738317757009</v>
      </c>
      <c r="N197"/>
      <c r="P197" t="s">
        <v>150</v>
      </c>
      <c r="Q197">
        <v>4708</v>
      </c>
      <c r="R197">
        <v>8799.1</v>
      </c>
    </row>
    <row r="198" spans="1:18">
      <c r="A198" t="s">
        <v>1294</v>
      </c>
      <c r="B198" t="s">
        <v>64</v>
      </c>
      <c r="C198" t="s">
        <v>65</v>
      </c>
      <c r="D198" s="19">
        <v>668</v>
      </c>
      <c r="E198" s="19">
        <f>D198/28</f>
        <v>23.857142857142858</v>
      </c>
      <c r="F198" s="5">
        <v>1984.67</v>
      </c>
      <c r="I198" s="19">
        <f>IF((D198/28)&gt;100,D198*2,D198*2)</f>
        <v>1336</v>
      </c>
      <c r="J198" t="b">
        <f>IF(F198&gt;1.2*I198,FALSE,TRUE)</f>
        <v>0</v>
      </c>
      <c r="K198" s="4">
        <f>F198/I198-1</f>
        <v>0.48553143712574864</v>
      </c>
      <c r="N198"/>
      <c r="P198" t="s">
        <v>412</v>
      </c>
      <c r="Q198">
        <v>1863</v>
      </c>
      <c r="R198">
        <v>2162.81</v>
      </c>
    </row>
    <row r="199" spans="1:18" hidden="1">
      <c r="A199" t="s">
        <v>1294</v>
      </c>
      <c r="B199" s="57" t="s">
        <v>425</v>
      </c>
      <c r="C199" s="37" t="s">
        <v>426</v>
      </c>
      <c r="D199" s="28">
        <v>727</v>
      </c>
      <c r="E199" s="19">
        <f>D199/28</f>
        <v>25.964285714285715</v>
      </c>
      <c r="F199" s="5">
        <v>1216.33</v>
      </c>
      <c r="I199" s="19">
        <f>IF((D199/28)&gt;100,D199*2,D199*2)</f>
        <v>1454</v>
      </c>
      <c r="J199" t="b">
        <f>IF(F199&gt;1.2*I199,FALSE,TRUE)</f>
        <v>1</v>
      </c>
      <c r="K199" s="4">
        <f>F199/I199-1</f>
        <v>-0.1634594222833563</v>
      </c>
      <c r="N199"/>
      <c r="P199" t="s">
        <v>660</v>
      </c>
      <c r="Q199">
        <v>872</v>
      </c>
      <c r="R199">
        <v>1214.8699999999999</v>
      </c>
    </row>
    <row r="200" spans="1:18" hidden="1">
      <c r="A200" t="s">
        <v>1296</v>
      </c>
      <c r="B200" t="s">
        <v>363</v>
      </c>
      <c r="C200" t="s">
        <v>364</v>
      </c>
      <c r="D200" s="28">
        <v>391</v>
      </c>
      <c r="E200" s="19">
        <f>D200/28</f>
        <v>13.964285714285714</v>
      </c>
      <c r="F200" s="5">
        <v>380.75</v>
      </c>
      <c r="I200" s="19">
        <f>IF((D200/28)&gt;100,D200*2,D200*2)</f>
        <v>782</v>
      </c>
      <c r="J200" t="b">
        <f>IF(F200&gt;1.2*I200,FALSE,TRUE)</f>
        <v>1</v>
      </c>
      <c r="K200" s="4">
        <f>F200/I200-1</f>
        <v>-0.51310741687979533</v>
      </c>
      <c r="N200"/>
      <c r="P200" t="s">
        <v>518</v>
      </c>
      <c r="Q200">
        <v>881</v>
      </c>
      <c r="R200">
        <v>1652.3</v>
      </c>
    </row>
    <row r="201" spans="1:18" ht="14.25" hidden="1" customHeight="1">
      <c r="A201" t="s">
        <v>1294</v>
      </c>
      <c r="B201" t="s">
        <v>203</v>
      </c>
      <c r="C201" t="s">
        <v>204</v>
      </c>
      <c r="D201" s="28">
        <v>4742</v>
      </c>
      <c r="E201" s="19">
        <f>D201/28</f>
        <v>169.35714285714286</v>
      </c>
      <c r="F201" s="5">
        <v>6093.21</v>
      </c>
      <c r="I201" s="19">
        <f>IF((D201/28)&gt;100,D201*2,D201*2)</f>
        <v>9484</v>
      </c>
      <c r="J201" t="b">
        <f>IF(F201&gt;1.2*I201,FALSE,TRUE)</f>
        <v>1</v>
      </c>
      <c r="K201" s="4">
        <f>F201/I201-1</f>
        <v>-0.35752741459299875</v>
      </c>
      <c r="N201"/>
      <c r="P201" t="s">
        <v>680</v>
      </c>
      <c r="Q201">
        <v>1829</v>
      </c>
      <c r="R201">
        <v>4095.28</v>
      </c>
    </row>
    <row r="202" spans="1:18" hidden="1">
      <c r="A202" t="s">
        <v>1294</v>
      </c>
      <c r="B202" t="s">
        <v>137</v>
      </c>
      <c r="C202" t="s">
        <v>138</v>
      </c>
      <c r="D202" s="28">
        <v>547</v>
      </c>
      <c r="E202" s="19">
        <f>D202/28</f>
        <v>19.535714285714285</v>
      </c>
      <c r="F202" s="5">
        <v>939.79</v>
      </c>
      <c r="I202" s="19">
        <f>IF((D202/28)&gt;100,D202*2,D202*2)</f>
        <v>1094</v>
      </c>
      <c r="J202" t="b">
        <f>IF(F202&gt;1.2*I202,FALSE,TRUE)</f>
        <v>1</v>
      </c>
      <c r="K202" s="4">
        <f>F202/I202-1</f>
        <v>-0.14095978062157222</v>
      </c>
      <c r="N202"/>
      <c r="P202" t="s">
        <v>1307</v>
      </c>
      <c r="Q202">
        <v>0</v>
      </c>
      <c r="R202">
        <v>0</v>
      </c>
    </row>
    <row r="203" spans="1:18" hidden="1">
      <c r="A203" t="s">
        <v>1294</v>
      </c>
      <c r="B203" t="s">
        <v>341</v>
      </c>
      <c r="C203" t="s">
        <v>342</v>
      </c>
      <c r="D203" s="28">
        <v>581</v>
      </c>
      <c r="E203" s="19">
        <f>D203/28</f>
        <v>20.75</v>
      </c>
      <c r="F203" s="5">
        <v>662.16</v>
      </c>
      <c r="I203" s="19">
        <f>IF((D203/28)&gt;100,D203*2,D203*2)</f>
        <v>1162</v>
      </c>
      <c r="J203" t="b">
        <f>IF(F203&gt;1.2*I203,FALSE,TRUE)</f>
        <v>1</v>
      </c>
      <c r="K203" s="4">
        <f>F203/I203-1</f>
        <v>-0.43015490533562828</v>
      </c>
      <c r="N203"/>
      <c r="P203" t="s">
        <v>75</v>
      </c>
      <c r="Q203">
        <v>3661</v>
      </c>
      <c r="R203">
        <v>7728.05</v>
      </c>
    </row>
    <row r="204" spans="1:18">
      <c r="A204" t="s">
        <v>1294</v>
      </c>
      <c r="B204" t="s">
        <v>507</v>
      </c>
      <c r="C204" t="s">
        <v>508</v>
      </c>
      <c r="D204" s="28">
        <v>661</v>
      </c>
      <c r="E204" s="19">
        <f>D204/28</f>
        <v>23.607142857142858</v>
      </c>
      <c r="F204" s="5">
        <v>1736.54</v>
      </c>
      <c r="I204" s="151">
        <f>IF((D204/28)&gt;100,D204*2,D204*2)</f>
        <v>1322</v>
      </c>
      <c r="J204" t="b">
        <f>IF(F204&gt;1.2*I204,FALSE,TRUE)</f>
        <v>0</v>
      </c>
      <c r="K204" s="4">
        <f>F204/I204-1</f>
        <v>0.31357034795763994</v>
      </c>
      <c r="N204"/>
      <c r="P204" t="s">
        <v>614</v>
      </c>
      <c r="Q204">
        <v>941</v>
      </c>
      <c r="R204">
        <v>2119.17</v>
      </c>
    </row>
    <row r="205" spans="1:18" hidden="1">
      <c r="A205" t="s">
        <v>1295</v>
      </c>
      <c r="B205" t="s">
        <v>445</v>
      </c>
      <c r="C205" t="s">
        <v>446</v>
      </c>
      <c r="D205" s="28">
        <v>33</v>
      </c>
      <c r="E205" s="19">
        <f>D205/28</f>
        <v>1.1785714285714286</v>
      </c>
      <c r="F205" s="5">
        <v>4.1500000000000004</v>
      </c>
      <c r="I205" s="19">
        <f>IF((D205/28)&gt;100,D205*2,D205*2)</f>
        <v>66</v>
      </c>
      <c r="J205" t="b">
        <f>IF(F205&gt;1.2*I205,FALSE,TRUE)</f>
        <v>1</v>
      </c>
      <c r="K205" s="4">
        <f>F205/I205-1</f>
        <v>-0.93712121212121213</v>
      </c>
      <c r="N205"/>
      <c r="P205" t="s">
        <v>402</v>
      </c>
      <c r="Q205">
        <v>1614</v>
      </c>
      <c r="R205">
        <v>3807.06</v>
      </c>
    </row>
    <row r="206" spans="1:18" hidden="1">
      <c r="A206" t="s">
        <v>1294</v>
      </c>
      <c r="B206" t="s">
        <v>595</v>
      </c>
      <c r="C206" t="s">
        <v>596</v>
      </c>
      <c r="D206" s="28">
        <v>1255</v>
      </c>
      <c r="E206" s="19">
        <f>D206/28</f>
        <v>44.821428571428569</v>
      </c>
      <c r="F206" s="5">
        <v>1848.64</v>
      </c>
      <c r="I206" s="19">
        <f>IF((D206/28)&gt;100,D206*2,D206*2)</f>
        <v>2510</v>
      </c>
      <c r="J206" t="b">
        <f>IF(F206&gt;1.2*I206,FALSE,TRUE)</f>
        <v>1</v>
      </c>
      <c r="K206" s="4">
        <f>F206/I206-1</f>
        <v>-0.26349003984063746</v>
      </c>
      <c r="N206"/>
      <c r="P206" t="s">
        <v>278</v>
      </c>
      <c r="Q206">
        <v>627</v>
      </c>
      <c r="R206">
        <v>626.16</v>
      </c>
    </row>
    <row r="207" spans="1:18" hidden="1">
      <c r="A207" t="s">
        <v>1295</v>
      </c>
      <c r="B207" t="s">
        <v>437</v>
      </c>
      <c r="C207" t="s">
        <v>438</v>
      </c>
      <c r="D207" s="28">
        <v>36</v>
      </c>
      <c r="E207" s="19">
        <f>D207/28</f>
        <v>1.2857142857142858</v>
      </c>
      <c r="F207" s="5">
        <v>9.35</v>
      </c>
      <c r="I207" s="19">
        <f>IF((D207/28)&gt;100,D207*2,D207*2)</f>
        <v>72</v>
      </c>
      <c r="J207" t="b">
        <f>IF(F207&gt;1.2*I207,FALSE,TRUE)</f>
        <v>1</v>
      </c>
      <c r="K207" s="4">
        <f>F207/I207-1</f>
        <v>-0.87013888888888891</v>
      </c>
      <c r="N207"/>
      <c r="P207" t="s">
        <v>524</v>
      </c>
      <c r="Q207">
        <v>1753</v>
      </c>
      <c r="R207">
        <v>1596.89</v>
      </c>
    </row>
    <row r="208" spans="1:18" hidden="1">
      <c r="A208" t="s">
        <v>1296</v>
      </c>
      <c r="B208" t="s">
        <v>377</v>
      </c>
      <c r="C208" t="s">
        <v>378</v>
      </c>
      <c r="D208" s="28">
        <v>533</v>
      </c>
      <c r="E208" s="19">
        <f>D208/28</f>
        <v>19.035714285714285</v>
      </c>
      <c r="F208" s="5">
        <v>618.20000000000005</v>
      </c>
      <c r="I208" s="19">
        <f>IF((D208/28)&gt;100,D208*2,D208*2)</f>
        <v>1066</v>
      </c>
      <c r="J208" t="b">
        <f>IF(F208&gt;1.2*I208,FALSE,TRUE)</f>
        <v>1</v>
      </c>
      <c r="K208" s="4">
        <f>F208/I208-1</f>
        <v>-0.42007504690431519</v>
      </c>
      <c r="N208"/>
      <c r="P208" t="s">
        <v>618</v>
      </c>
      <c r="Q208">
        <v>1376</v>
      </c>
      <c r="R208">
        <v>2237.9499999999998</v>
      </c>
    </row>
    <row r="209" spans="1:18" hidden="1">
      <c r="A209" t="s">
        <v>1294</v>
      </c>
      <c r="B209" t="s">
        <v>255</v>
      </c>
      <c r="C209" t="s">
        <v>256</v>
      </c>
      <c r="D209" s="28">
        <v>1712</v>
      </c>
      <c r="E209" s="19">
        <f>D209/28</f>
        <v>61.142857142857146</v>
      </c>
      <c r="F209" s="5">
        <v>3197.89</v>
      </c>
      <c r="I209" s="19">
        <f>IF((D209/28)&gt;100,D209*2,D209*2)</f>
        <v>3424</v>
      </c>
      <c r="J209" t="b">
        <f>IF(F209&gt;1.2*I209,FALSE,TRUE)</f>
        <v>1</v>
      </c>
      <c r="K209" s="4">
        <f>F209/I209-1</f>
        <v>-6.6036799065420593E-2</v>
      </c>
      <c r="N209"/>
      <c r="P209" t="s">
        <v>588</v>
      </c>
      <c r="Q209">
        <v>351</v>
      </c>
      <c r="R209">
        <v>625.14</v>
      </c>
    </row>
    <row r="210" spans="1:18" hidden="1">
      <c r="A210" t="s">
        <v>1294</v>
      </c>
      <c r="B210" t="s">
        <v>527</v>
      </c>
      <c r="C210" t="s">
        <v>528</v>
      </c>
      <c r="D210" s="28">
        <v>1436</v>
      </c>
      <c r="E210" s="19">
        <f>D210/28</f>
        <v>51.285714285714285</v>
      </c>
      <c r="F210" s="5">
        <v>3249.07</v>
      </c>
      <c r="I210" s="19">
        <f>IF((D210/28)&gt;100,D210*2,D210*2)</f>
        <v>2872</v>
      </c>
      <c r="J210" t="b">
        <f>IF(F210&gt;1.2*I210,FALSE,TRUE)</f>
        <v>1</v>
      </c>
      <c r="K210" s="4">
        <f>F210/I210-1</f>
        <v>0.13129178272980502</v>
      </c>
      <c r="N210"/>
      <c r="P210" t="s">
        <v>358</v>
      </c>
      <c r="Q210">
        <v>4617</v>
      </c>
      <c r="R210">
        <v>5247.92</v>
      </c>
    </row>
    <row r="211" spans="1:18" hidden="1">
      <c r="A211" t="s">
        <v>1295</v>
      </c>
      <c r="B211" s="27" t="s">
        <v>441</v>
      </c>
      <c r="C211" s="27" t="s">
        <v>442</v>
      </c>
      <c r="D211" s="28">
        <v>470</v>
      </c>
      <c r="E211" s="19">
        <f>D211/28</f>
        <v>16.785714285714285</v>
      </c>
      <c r="F211" s="18">
        <v>339.67</v>
      </c>
      <c r="I211" s="19">
        <f>IF((D211/28)&gt;100,D211*2,D211*2)</f>
        <v>940</v>
      </c>
      <c r="J211" t="b">
        <f>IF(F211&gt;1.2*I211,FALSE,TRUE)</f>
        <v>1</v>
      </c>
      <c r="K211" s="4">
        <f>F211/I211-1</f>
        <v>-0.63864893617021279</v>
      </c>
      <c r="N211"/>
      <c r="P211" t="s">
        <v>184</v>
      </c>
      <c r="Q211">
        <v>3350</v>
      </c>
      <c r="R211">
        <v>6045.53</v>
      </c>
    </row>
    <row r="212" spans="1:18" hidden="1">
      <c r="A212" t="s">
        <v>1295</v>
      </c>
      <c r="B212" s="55" t="s">
        <v>375</v>
      </c>
      <c r="C212" s="37" t="s">
        <v>376</v>
      </c>
      <c r="D212">
        <v>41</v>
      </c>
      <c r="E212" s="19">
        <f>D212/28</f>
        <v>1.4642857142857142</v>
      </c>
      <c r="F212" s="5">
        <v>77.48</v>
      </c>
      <c r="I212" s="151">
        <f>IF((D212/28)&gt;100,D212*2,D212*2)</f>
        <v>82</v>
      </c>
      <c r="J212" t="b">
        <f>IF(F212&gt;1.2*I212,FALSE,TRUE)</f>
        <v>1</v>
      </c>
      <c r="K212" s="4">
        <f>F212/I212-1</f>
        <v>-5.5121951219512133E-2</v>
      </c>
      <c r="N212"/>
      <c r="P212" t="s">
        <v>616</v>
      </c>
      <c r="Q212">
        <v>1866</v>
      </c>
      <c r="R212">
        <v>3855.15</v>
      </c>
    </row>
    <row r="213" spans="1:18" hidden="1">
      <c r="A213" t="s">
        <v>1294</v>
      </c>
      <c r="B213" t="s">
        <v>497</v>
      </c>
      <c r="C213" t="s">
        <v>498</v>
      </c>
      <c r="D213" s="28">
        <v>482</v>
      </c>
      <c r="E213" s="19">
        <f>D213/28</f>
        <v>17.214285714285715</v>
      </c>
      <c r="F213" s="5">
        <v>698.54</v>
      </c>
      <c r="I213" s="19">
        <f>IF((D213/28)&gt;100,D213*2,D213*2)</f>
        <v>964</v>
      </c>
      <c r="J213" t="b">
        <f>IF(F213&gt;1.2*I213,FALSE,TRUE)</f>
        <v>1</v>
      </c>
      <c r="K213" s="4">
        <f>F213/I213-1</f>
        <v>-0.27537344398340258</v>
      </c>
      <c r="N213"/>
      <c r="P213" t="s">
        <v>390</v>
      </c>
      <c r="Q213">
        <v>1077</v>
      </c>
      <c r="R213">
        <v>3291.87</v>
      </c>
    </row>
    <row r="214" spans="1:18" hidden="1">
      <c r="A214" t="s">
        <v>1295</v>
      </c>
      <c r="B214" t="s">
        <v>237</v>
      </c>
      <c r="C214" t="s">
        <v>238</v>
      </c>
      <c r="D214" s="28">
        <v>1299</v>
      </c>
      <c r="E214" s="19">
        <f>D214/28</f>
        <v>46.392857142857146</v>
      </c>
      <c r="F214" s="5">
        <v>2117.8200000000002</v>
      </c>
      <c r="I214" s="19">
        <f>IF((D214/28)&gt;100,D214*2,D214*2)</f>
        <v>2598</v>
      </c>
      <c r="J214" t="b">
        <f>IF(F214&gt;1.2*I214,FALSE,TRUE)</f>
        <v>1</v>
      </c>
      <c r="K214" s="4">
        <f>F214/I214-1</f>
        <v>-0.18482678983833711</v>
      </c>
      <c r="N214"/>
      <c r="P214" t="s">
        <v>268</v>
      </c>
      <c r="Q214">
        <v>746</v>
      </c>
      <c r="R214">
        <v>1167.75</v>
      </c>
    </row>
    <row r="215" spans="1:18" hidden="1">
      <c r="A215" t="s">
        <v>1294</v>
      </c>
      <c r="B215" s="57" t="s">
        <v>267</v>
      </c>
      <c r="C215" s="37" t="s">
        <v>268</v>
      </c>
      <c r="D215" s="28">
        <v>497</v>
      </c>
      <c r="E215" s="19">
        <f>D215/28</f>
        <v>17.75</v>
      </c>
      <c r="F215" s="5">
        <v>843.65</v>
      </c>
      <c r="I215" s="19">
        <f>IF((D215/28)&gt;100,D215*2,D215*2)</f>
        <v>994</v>
      </c>
      <c r="J215" t="b">
        <f>IF(F215&gt;1.2*I215,FALSE,TRUE)</f>
        <v>1</v>
      </c>
      <c r="K215" s="4">
        <f>F215/I215-1</f>
        <v>-0.15125754527162982</v>
      </c>
      <c r="N215"/>
      <c r="P215" t="s">
        <v>142</v>
      </c>
      <c r="Q215">
        <v>1508</v>
      </c>
      <c r="R215">
        <v>26.36</v>
      </c>
    </row>
    <row r="216" spans="1:18" hidden="1">
      <c r="A216" t="s">
        <v>1295</v>
      </c>
      <c r="B216" t="s">
        <v>397</v>
      </c>
      <c r="C216" t="s">
        <v>398</v>
      </c>
      <c r="D216" s="28">
        <v>605</v>
      </c>
      <c r="E216" s="19">
        <f>D216/28</f>
        <v>21.607142857142858</v>
      </c>
      <c r="F216" s="5">
        <v>323.02999999999997</v>
      </c>
      <c r="I216" s="19">
        <f>IF((D216/28)&gt;100,D216*2,D216*2)</f>
        <v>1210</v>
      </c>
      <c r="J216" t="b">
        <f>IF(F216&gt;1.2*I216,FALSE,TRUE)</f>
        <v>1</v>
      </c>
      <c r="K216" s="4">
        <f>F216/I216-1</f>
        <v>-0.73303305785123962</v>
      </c>
      <c r="N216"/>
      <c r="P216" t="s">
        <v>334</v>
      </c>
      <c r="Q216">
        <v>1031</v>
      </c>
      <c r="R216">
        <v>2527.0700000000002</v>
      </c>
    </row>
    <row r="217" spans="1:18" hidden="1">
      <c r="A217" t="s">
        <v>1296</v>
      </c>
      <c r="B217" t="s">
        <v>503</v>
      </c>
      <c r="C217" t="s">
        <v>504</v>
      </c>
      <c r="D217" s="28">
        <v>1307</v>
      </c>
      <c r="E217" s="19">
        <f>D217/28</f>
        <v>46.678571428571431</v>
      </c>
      <c r="F217" s="5">
        <v>412.16</v>
      </c>
      <c r="I217" s="139">
        <f>IF((D217/28)&gt;100,D217*2,D217*2)</f>
        <v>2614</v>
      </c>
      <c r="J217" t="b">
        <f>IF(F217&gt;1.2*I217,FALSE,TRUE)</f>
        <v>1</v>
      </c>
      <c r="K217" s="4">
        <f>F217/I217-1</f>
        <v>-0.84232593726090288</v>
      </c>
      <c r="P217" t="s">
        <v>554</v>
      </c>
      <c r="Q217">
        <v>4286</v>
      </c>
      <c r="R217">
        <v>4897.3</v>
      </c>
    </row>
    <row r="218" spans="1:18">
      <c r="B218" t="s">
        <v>1160</v>
      </c>
      <c r="C218" t="s">
        <v>1161</v>
      </c>
      <c r="D218">
        <v>647</v>
      </c>
      <c r="E218" s="19">
        <f>D218/28</f>
        <v>23.107142857142858</v>
      </c>
      <c r="F218" s="5">
        <v>1880.7</v>
      </c>
      <c r="I218" s="140">
        <f>IF((D218/28)&gt;100,D218*2,D218*2)</f>
        <v>1294</v>
      </c>
      <c r="J218" t="b">
        <f>IF(F218&gt;1.2*I218,FALSE,TRUE)</f>
        <v>0</v>
      </c>
      <c r="K218" s="4">
        <f>F218/I218-1</f>
        <v>0.45340030911901086</v>
      </c>
      <c r="P218" t="s">
        <v>532</v>
      </c>
      <c r="Q218">
        <v>5987</v>
      </c>
      <c r="R218">
        <v>6518.57</v>
      </c>
    </row>
    <row r="219" spans="1:18">
      <c r="B219" t="s">
        <v>1003</v>
      </c>
      <c r="C219" t="s">
        <v>1004</v>
      </c>
      <c r="D219">
        <v>622</v>
      </c>
      <c r="E219" s="19">
        <f>D219/28</f>
        <v>22.214285714285715</v>
      </c>
      <c r="F219" s="5">
        <v>1516.76</v>
      </c>
      <c r="I219" s="140">
        <f>IF((D219/28)&gt;100,D219*2,D219*2)</f>
        <v>1244</v>
      </c>
      <c r="J219" t="b">
        <f>IF(F219&gt;1.2*I219,FALSE,TRUE)</f>
        <v>0</v>
      </c>
      <c r="K219" s="4">
        <f>F219/I219-1</f>
        <v>0.21926045016077178</v>
      </c>
      <c r="P219" t="s">
        <v>314</v>
      </c>
      <c r="Q219">
        <v>2067</v>
      </c>
      <c r="R219">
        <v>1152.29</v>
      </c>
    </row>
    <row r="220" spans="1:18" hidden="1">
      <c r="A220" t="s">
        <v>1294</v>
      </c>
      <c r="B220" t="s">
        <v>323</v>
      </c>
      <c r="C220" t="s">
        <v>324</v>
      </c>
      <c r="D220" s="28">
        <v>952</v>
      </c>
      <c r="E220" s="19">
        <f>D220/28</f>
        <v>34</v>
      </c>
      <c r="F220" s="5">
        <v>1661.18</v>
      </c>
      <c r="I220" s="151">
        <f>IF((D220/28)&gt;100,D220*2,D220*2)</f>
        <v>1904</v>
      </c>
      <c r="J220" t="b">
        <f>IF(F220&gt;1.2*I220,FALSE,TRUE)</f>
        <v>1</v>
      </c>
      <c r="K220" s="4">
        <f>F220/I220-1</f>
        <v>-0.12753151260504203</v>
      </c>
      <c r="N220"/>
      <c r="P220" t="s">
        <v>670</v>
      </c>
      <c r="Q220">
        <v>3090</v>
      </c>
      <c r="R220">
        <v>3298.37</v>
      </c>
    </row>
    <row r="221" spans="1:18" hidden="1">
      <c r="A221" t="s">
        <v>1295</v>
      </c>
      <c r="B221" t="s">
        <v>325</v>
      </c>
      <c r="C221" t="s">
        <v>326</v>
      </c>
      <c r="D221" s="28">
        <v>232</v>
      </c>
      <c r="E221" s="19">
        <f>D221/28</f>
        <v>8.2857142857142865</v>
      </c>
      <c r="F221" s="5">
        <v>246.09</v>
      </c>
      <c r="I221" s="19">
        <f>IF((D221/28)&gt;100,D221*2,D221*2)</f>
        <v>464</v>
      </c>
      <c r="J221" t="b">
        <f>IF(F221&gt;1.2*I221,FALSE,TRUE)</f>
        <v>1</v>
      </c>
      <c r="K221" s="4">
        <f>F221/I221-1</f>
        <v>-0.4696336206896552</v>
      </c>
      <c r="N221"/>
      <c r="P221" t="s">
        <v>350</v>
      </c>
      <c r="Q221">
        <v>1664</v>
      </c>
      <c r="R221">
        <v>2049.73</v>
      </c>
    </row>
    <row r="222" spans="1:18">
      <c r="A222" t="s">
        <v>1296</v>
      </c>
      <c r="B222" t="s">
        <v>66</v>
      </c>
      <c r="C222" t="s">
        <v>67</v>
      </c>
      <c r="D222" s="19">
        <v>617</v>
      </c>
      <c r="E222" s="19">
        <f>D222/28</f>
        <v>22.035714285714285</v>
      </c>
      <c r="F222" s="5">
        <v>1889.57</v>
      </c>
      <c r="I222" s="19">
        <f>IF((D222/28)&gt;100,D222*2,D222*2)</f>
        <v>1234</v>
      </c>
      <c r="J222" t="b">
        <f>IF(F222&gt;1.2*I222,FALSE,TRUE)</f>
        <v>0</v>
      </c>
      <c r="K222" s="4">
        <f>F222/I222-1</f>
        <v>0.53125607779578599</v>
      </c>
      <c r="N222"/>
      <c r="P222" t="s">
        <v>546</v>
      </c>
      <c r="Q222">
        <v>124</v>
      </c>
      <c r="R222">
        <v>275.04000000000002</v>
      </c>
    </row>
    <row r="223" spans="1:18" hidden="1">
      <c r="A223" t="s">
        <v>1294</v>
      </c>
      <c r="B223" s="57" t="s">
        <v>305</v>
      </c>
      <c r="C223" s="37" t="s">
        <v>306</v>
      </c>
      <c r="D223" s="28">
        <v>675</v>
      </c>
      <c r="E223" s="19">
        <f>D223/28</f>
        <v>24.107142857142858</v>
      </c>
      <c r="F223" s="5">
        <v>584.61</v>
      </c>
      <c r="I223" s="19">
        <f>IF((D223/28)&gt;100,D223*2,D223*2)</f>
        <v>1350</v>
      </c>
      <c r="J223" t="b">
        <f>IF(F223&gt;1.2*I223,FALSE,TRUE)</f>
        <v>1</v>
      </c>
      <c r="K223" s="4">
        <f>F223/I223-1</f>
        <v>-0.56695555555555555</v>
      </c>
      <c r="N223"/>
      <c r="P223" t="s">
        <v>1308</v>
      </c>
      <c r="Q223">
        <v>64</v>
      </c>
      <c r="R223">
        <v>178.31</v>
      </c>
    </row>
    <row r="224" spans="1:18" hidden="1">
      <c r="A224" t="s">
        <v>1294</v>
      </c>
      <c r="B224" s="57" t="s">
        <v>399</v>
      </c>
      <c r="C224" s="37" t="s">
        <v>400</v>
      </c>
      <c r="D224" s="28">
        <v>60</v>
      </c>
      <c r="E224" s="19">
        <f>D224/28</f>
        <v>2.1428571428571428</v>
      </c>
      <c r="F224" s="5">
        <v>60.47</v>
      </c>
      <c r="I224" s="19">
        <f>IF((D224/28)&gt;100,D224*2,D224*2)</f>
        <v>120</v>
      </c>
      <c r="J224" t="b">
        <f>IF(F224&gt;1.2*I224,FALSE,TRUE)</f>
        <v>1</v>
      </c>
      <c r="K224" s="4">
        <f>F224/I224-1</f>
        <v>-0.49608333333333332</v>
      </c>
      <c r="N224"/>
      <c r="P224" t="s">
        <v>194</v>
      </c>
      <c r="Q224">
        <v>1664</v>
      </c>
      <c r="R224">
        <v>1764.37</v>
      </c>
    </row>
    <row r="225" spans="1:18" ht="30" hidden="1">
      <c r="A225" t="s">
        <v>1296</v>
      </c>
      <c r="B225" s="55" t="s">
        <v>335</v>
      </c>
      <c r="C225" s="37" t="s">
        <v>336</v>
      </c>
      <c r="D225">
        <v>738</v>
      </c>
      <c r="E225" s="19">
        <f>D225/28</f>
        <v>26.357142857142858</v>
      </c>
      <c r="F225" s="5">
        <v>564.49</v>
      </c>
      <c r="I225" s="19">
        <f>IF((D225/28)&gt;100,D225*2,D225*2)</f>
        <v>1476</v>
      </c>
      <c r="J225" t="b">
        <f>IF(F225&gt;1.2*I225,FALSE,TRUE)</f>
        <v>1</v>
      </c>
      <c r="K225" s="4">
        <f>F225/I225-1</f>
        <v>-0.61755420054200538</v>
      </c>
      <c r="N225"/>
      <c r="P225" t="s">
        <v>430</v>
      </c>
      <c r="Q225">
        <v>1145</v>
      </c>
      <c r="R225">
        <v>1234.98</v>
      </c>
    </row>
    <row r="226" spans="1:18" ht="30" hidden="1">
      <c r="A226" t="s">
        <v>1294</v>
      </c>
      <c r="B226" s="55" t="s">
        <v>477</v>
      </c>
      <c r="C226" s="37" t="s">
        <v>478</v>
      </c>
      <c r="D226">
        <v>330</v>
      </c>
      <c r="E226" s="19">
        <f>D226/28</f>
        <v>11.785714285714286</v>
      </c>
      <c r="F226" s="5">
        <v>388.43</v>
      </c>
      <c r="I226" s="154">
        <f>IF((D226/28)&gt;100,D226*2,D226*2)</f>
        <v>660</v>
      </c>
      <c r="J226" t="b">
        <f>IF(F226&gt;1.2*I226,FALSE,TRUE)</f>
        <v>1</v>
      </c>
      <c r="K226" s="4">
        <f>F226/I226-1</f>
        <v>-0.41146969696969693</v>
      </c>
      <c r="N226"/>
      <c r="P226" t="s">
        <v>260</v>
      </c>
      <c r="Q226">
        <v>1134</v>
      </c>
      <c r="R226">
        <v>2253.0500000000002</v>
      </c>
    </row>
    <row r="227" spans="1:18" ht="30" hidden="1">
      <c r="A227" t="s">
        <v>1294</v>
      </c>
      <c r="B227" s="55" t="s">
        <v>291</v>
      </c>
      <c r="C227" s="37" t="s">
        <v>292</v>
      </c>
      <c r="D227" s="28">
        <v>1254</v>
      </c>
      <c r="E227" s="19">
        <f>D227/28</f>
        <v>44.785714285714285</v>
      </c>
      <c r="F227" s="5">
        <v>1589.3</v>
      </c>
      <c r="I227" s="19">
        <f>IF((D227/28)&gt;100,D227*2,D227*2)</f>
        <v>2508</v>
      </c>
      <c r="J227" t="b">
        <f>IF(F227&gt;1.2*I227,FALSE,TRUE)</f>
        <v>1</v>
      </c>
      <c r="K227" s="4">
        <f>F227/I227-1</f>
        <v>-0.36630781499202558</v>
      </c>
      <c r="N227"/>
      <c r="P227" t="s">
        <v>208</v>
      </c>
      <c r="Q227">
        <v>38</v>
      </c>
      <c r="R227">
        <v>156.91</v>
      </c>
    </row>
    <row r="228" spans="1:18" hidden="1">
      <c r="A228" t="s">
        <v>1295</v>
      </c>
      <c r="B228" t="s">
        <v>211</v>
      </c>
      <c r="C228" s="27" t="s">
        <v>212</v>
      </c>
      <c r="D228" s="29">
        <v>1068</v>
      </c>
      <c r="E228" s="19">
        <f>D228/28</f>
        <v>38.142857142857146</v>
      </c>
      <c r="F228" s="5">
        <v>1678.91</v>
      </c>
      <c r="I228" s="19">
        <f>IF((D228/28)&gt;100,D228*2,D228*2)</f>
        <v>2136</v>
      </c>
      <c r="J228" t="b">
        <f>IF(F228&gt;1.2*I228,FALSE,TRUE)</f>
        <v>1</v>
      </c>
      <c r="K228" s="4">
        <f>F228/I228-1</f>
        <v>-0.21399344569288381</v>
      </c>
      <c r="N228"/>
      <c r="P228" t="s">
        <v>83</v>
      </c>
      <c r="Q228">
        <v>4242</v>
      </c>
      <c r="R228">
        <v>7415.45</v>
      </c>
    </row>
    <row r="229" spans="1:18" ht="30" hidden="1">
      <c r="A229" t="s">
        <v>1294</v>
      </c>
      <c r="B229" s="55" t="s">
        <v>403</v>
      </c>
      <c r="C229" s="37" t="s">
        <v>404</v>
      </c>
      <c r="D229" s="28">
        <v>525</v>
      </c>
      <c r="E229" s="19">
        <f>D229/28</f>
        <v>18.75</v>
      </c>
      <c r="F229" s="5">
        <v>579</v>
      </c>
      <c r="I229" s="19">
        <f>IF((D229/28)&gt;100,D229*2,D229*2)</f>
        <v>1050</v>
      </c>
      <c r="J229" t="b">
        <f>IF(F229&gt;1.2*I229,FALSE,TRUE)</f>
        <v>1</v>
      </c>
      <c r="K229" s="4">
        <f>F229/I229-1</f>
        <v>-0.44857142857142862</v>
      </c>
      <c r="N229"/>
      <c r="P229" t="s">
        <v>230</v>
      </c>
      <c r="Q229">
        <v>6399</v>
      </c>
      <c r="R229">
        <v>1838.47</v>
      </c>
    </row>
    <row r="230" spans="1:18" hidden="1">
      <c r="A230" t="s">
        <v>1296</v>
      </c>
      <c r="B230" s="55" t="s">
        <v>321</v>
      </c>
      <c r="C230" s="37" t="s">
        <v>322</v>
      </c>
      <c r="D230">
        <v>1020</v>
      </c>
      <c r="E230" s="19">
        <f>D230/28</f>
        <v>36.428571428571431</v>
      </c>
      <c r="F230" s="5">
        <v>1961.76</v>
      </c>
      <c r="I230" s="19">
        <f>IF((D230/28)&gt;100,D230*2,D230*2)</f>
        <v>2040</v>
      </c>
      <c r="J230" t="b">
        <f>IF(F230&gt;1.2*I230,FALSE,TRUE)</f>
        <v>1</v>
      </c>
      <c r="K230" s="4">
        <f>F230/I230-1</f>
        <v>-3.835294117647059E-2</v>
      </c>
      <c r="N230"/>
      <c r="P230" t="s">
        <v>784</v>
      </c>
      <c r="Q230">
        <v>7632</v>
      </c>
      <c r="R230">
        <v>11858.24</v>
      </c>
    </row>
    <row r="231" spans="1:18" hidden="1">
      <c r="A231" t="s">
        <v>1294</v>
      </c>
      <c r="B231" t="s">
        <v>249</v>
      </c>
      <c r="C231" t="s">
        <v>250</v>
      </c>
      <c r="D231" s="28">
        <v>2015</v>
      </c>
      <c r="E231" s="19">
        <f>D231/28</f>
        <v>71.964285714285708</v>
      </c>
      <c r="F231" s="5">
        <v>3661.83</v>
      </c>
      <c r="I231" s="19">
        <f>IF((D231/28)&gt;100,D231*2,D231*2)</f>
        <v>4030</v>
      </c>
      <c r="J231" t="b">
        <f>IF(F231&gt;1.2*I231,FALSE,TRUE)</f>
        <v>1</v>
      </c>
      <c r="K231" s="4">
        <f>F231/I231-1</f>
        <v>-9.1357320099255568E-2</v>
      </c>
      <c r="N231"/>
      <c r="P231" t="s">
        <v>716</v>
      </c>
      <c r="Q231">
        <v>3762</v>
      </c>
      <c r="R231">
        <v>6511.64</v>
      </c>
    </row>
    <row r="232" spans="1:18">
      <c r="A232" t="s">
        <v>1294</v>
      </c>
      <c r="B232" t="s">
        <v>161</v>
      </c>
      <c r="C232" t="s">
        <v>162</v>
      </c>
      <c r="D232" s="28">
        <v>595</v>
      </c>
      <c r="E232" s="19">
        <f>D232/28</f>
        <v>21.25</v>
      </c>
      <c r="F232" s="5">
        <v>2292.88</v>
      </c>
      <c r="I232" s="19">
        <f>IF((D232/28)&gt;100,D232*2,D232*2)</f>
        <v>1190</v>
      </c>
      <c r="J232" t="b">
        <f>IF(F232&gt;1.2*I232,FALSE,TRUE)</f>
        <v>0</v>
      </c>
      <c r="K232" s="4">
        <f>F232/I232-1</f>
        <v>0.9267899159663866</v>
      </c>
      <c r="N232"/>
      <c r="P232" t="s">
        <v>741</v>
      </c>
      <c r="Q232">
        <v>3048</v>
      </c>
      <c r="R232">
        <v>4722.41</v>
      </c>
    </row>
    <row r="233" spans="1:18" hidden="1">
      <c r="A233" t="s">
        <v>1294</v>
      </c>
      <c r="B233" t="s">
        <v>337</v>
      </c>
      <c r="C233" t="s">
        <v>338</v>
      </c>
      <c r="D233" s="28">
        <v>6241</v>
      </c>
      <c r="E233" s="19">
        <f>D233/28</f>
        <v>222.89285714285714</v>
      </c>
      <c r="F233" s="5">
        <v>7527.14</v>
      </c>
      <c r="I233" s="19">
        <f>IF((D233/28)&gt;100,D233*2,D233*2)</f>
        <v>12482</v>
      </c>
      <c r="J233" t="b">
        <f>IF(F233&gt;1.2*I233,FALSE,TRUE)</f>
        <v>1</v>
      </c>
      <c r="K233" s="4">
        <f>F233/I233-1</f>
        <v>-0.39696042300913315</v>
      </c>
      <c r="N233"/>
      <c r="P233" t="s">
        <v>732</v>
      </c>
      <c r="Q233">
        <v>3637</v>
      </c>
      <c r="R233">
        <v>7335.47</v>
      </c>
    </row>
    <row r="234" spans="1:18" hidden="1">
      <c r="A234" t="s">
        <v>1296</v>
      </c>
      <c r="B234" t="s">
        <v>239</v>
      </c>
      <c r="C234" t="s">
        <v>240</v>
      </c>
      <c r="D234" s="28">
        <v>1010</v>
      </c>
      <c r="E234" s="19">
        <f>D234/28</f>
        <v>36.071428571428569</v>
      </c>
      <c r="F234" s="5">
        <v>1961.38</v>
      </c>
      <c r="I234" s="19">
        <f>IF((D234/28)&gt;100,D234*2,D234*2)</f>
        <v>2020</v>
      </c>
      <c r="J234" t="b">
        <f>IF(F234&gt;1.2*I234,FALSE,TRUE)</f>
        <v>1</v>
      </c>
      <c r="K234" s="4">
        <f>F234/I234-1</f>
        <v>-2.9019801980197935E-2</v>
      </c>
      <c r="N234"/>
      <c r="P234" t="s">
        <v>1000</v>
      </c>
      <c r="Q234">
        <v>4317</v>
      </c>
      <c r="R234">
        <v>6897.7699999999995</v>
      </c>
    </row>
    <row r="235" spans="1:18" hidden="1">
      <c r="A235" t="s">
        <v>1294</v>
      </c>
      <c r="B235" s="55" t="s">
        <v>405</v>
      </c>
      <c r="C235" s="37" t="s">
        <v>406</v>
      </c>
      <c r="D235">
        <v>181</v>
      </c>
      <c r="E235" s="19">
        <f>D235/28</f>
        <v>6.4642857142857144</v>
      </c>
      <c r="F235" s="5">
        <v>332.71</v>
      </c>
      <c r="I235" s="19">
        <f>IF((D235/28)&gt;100,D235*2,D235*2)</f>
        <v>362</v>
      </c>
      <c r="J235" t="b">
        <f>IF(F235&gt;1.2*I235,FALSE,TRUE)</f>
        <v>1</v>
      </c>
      <c r="K235" s="4">
        <f>F235/I235-1</f>
        <v>-8.0911602209944755E-2</v>
      </c>
      <c r="N235"/>
      <c r="P235" t="s">
        <v>792</v>
      </c>
      <c r="Q235">
        <v>5550</v>
      </c>
      <c r="R235">
        <v>9885.65</v>
      </c>
    </row>
    <row r="236" spans="1:18" hidden="1">
      <c r="A236" t="s">
        <v>1296</v>
      </c>
      <c r="B236" t="s">
        <v>257</v>
      </c>
      <c r="C236" t="s">
        <v>258</v>
      </c>
      <c r="D236" s="28">
        <v>1211</v>
      </c>
      <c r="E236" s="19">
        <f>D236/28</f>
        <v>43.25</v>
      </c>
      <c r="F236" s="5">
        <v>2217.34</v>
      </c>
      <c r="I236" s="19">
        <f>IF((D236/28)&gt;100,D236*2,D236*2)</f>
        <v>2422</v>
      </c>
      <c r="J236" t="b">
        <f>IF(F236&gt;1.2*I236,FALSE,TRUE)</f>
        <v>1</v>
      </c>
      <c r="K236" s="4">
        <f>F236/I236-1</f>
        <v>-8.4500412881915676E-2</v>
      </c>
      <c r="N236"/>
      <c r="P236" t="s">
        <v>780</v>
      </c>
      <c r="Q236">
        <v>1894</v>
      </c>
      <c r="R236">
        <v>3441.08</v>
      </c>
    </row>
    <row r="237" spans="1:18" ht="30" hidden="1">
      <c r="A237" t="s">
        <v>1294</v>
      </c>
      <c r="B237" s="55" t="s">
        <v>347</v>
      </c>
      <c r="C237" s="37" t="s">
        <v>348</v>
      </c>
      <c r="D237">
        <v>722</v>
      </c>
      <c r="E237" s="19">
        <f>D237/28</f>
        <v>25.785714285714285</v>
      </c>
      <c r="F237" s="5">
        <v>947.28</v>
      </c>
      <c r="I237" s="19">
        <f>IF((D237/28)&gt;100,D237*2,D237*2)</f>
        <v>1444</v>
      </c>
      <c r="J237" t="b">
        <f>IF(F237&gt;1.2*I237,FALSE,TRUE)</f>
        <v>1</v>
      </c>
      <c r="K237" s="4">
        <f>F237/I237-1</f>
        <v>-0.34398891966759004</v>
      </c>
      <c r="N237"/>
      <c r="P237" t="s">
        <v>1309</v>
      </c>
      <c r="Q237">
        <v>2</v>
      </c>
      <c r="R237">
        <v>0</v>
      </c>
    </row>
    <row r="238" spans="1:18" ht="30" hidden="1">
      <c r="A238" t="s">
        <v>1295</v>
      </c>
      <c r="B238" s="55" t="s">
        <v>379</v>
      </c>
      <c r="C238" s="37" t="s">
        <v>380</v>
      </c>
      <c r="D238">
        <v>556</v>
      </c>
      <c r="E238" s="19">
        <f>D238/28</f>
        <v>19.857142857142858</v>
      </c>
      <c r="F238" s="5">
        <v>555.37</v>
      </c>
      <c r="I238" s="19">
        <f>IF((D238/28)&gt;100,D238*2,D238*2)</f>
        <v>1112</v>
      </c>
      <c r="J238" t="b">
        <f>IF(F238&gt;1.2*I238,FALSE,TRUE)</f>
        <v>1</v>
      </c>
      <c r="K238" s="4">
        <f>F238/I238-1</f>
        <v>-0.50056654676258994</v>
      </c>
      <c r="N238"/>
      <c r="P238" t="s">
        <v>813</v>
      </c>
      <c r="Q238">
        <v>3398</v>
      </c>
      <c r="R238">
        <v>4409.53</v>
      </c>
    </row>
    <row r="239" spans="1:18" ht="30" hidden="1">
      <c r="A239" t="s">
        <v>1294</v>
      </c>
      <c r="B239" s="55" t="s">
        <v>245</v>
      </c>
      <c r="C239" s="37" t="s">
        <v>246</v>
      </c>
      <c r="D239">
        <v>740</v>
      </c>
      <c r="E239" s="19">
        <f>D239/28</f>
        <v>26.428571428571427</v>
      </c>
      <c r="F239" s="5">
        <v>1623.29</v>
      </c>
      <c r="I239" s="19">
        <f>IF((D239/28)&gt;100,D239*2,D239*2)</f>
        <v>1480</v>
      </c>
      <c r="J239" t="b">
        <f>IF(F239&gt;1.2*I239,FALSE,TRUE)</f>
        <v>1</v>
      </c>
      <c r="K239" s="4">
        <f>F239/I239-1</f>
        <v>9.6817567567567542E-2</v>
      </c>
      <c r="N239"/>
      <c r="P239" t="s">
        <v>725</v>
      </c>
      <c r="Q239">
        <v>5137</v>
      </c>
      <c r="R239">
        <v>8701.9699999999993</v>
      </c>
    </row>
    <row r="240" spans="1:18" hidden="1">
      <c r="A240" t="s">
        <v>1295</v>
      </c>
      <c r="B240" t="s">
        <v>317</v>
      </c>
      <c r="C240" t="s">
        <v>318</v>
      </c>
      <c r="D240" s="28">
        <v>99</v>
      </c>
      <c r="E240" s="19">
        <f>D240/28</f>
        <v>3.5357142857142856</v>
      </c>
      <c r="F240" s="5">
        <v>158.30000000000001</v>
      </c>
      <c r="I240" s="19">
        <f>IF((D240/28)&gt;100,D240*2,D240*2)</f>
        <v>198</v>
      </c>
      <c r="J240" t="b">
        <f>IF(F240&gt;1.2*I240,FALSE,TRUE)</f>
        <v>1</v>
      </c>
      <c r="K240" s="4">
        <f>F240/I240-1</f>
        <v>-0.20050505050505041</v>
      </c>
      <c r="N240"/>
      <c r="P240" t="s">
        <v>853</v>
      </c>
      <c r="Q240">
        <v>711</v>
      </c>
      <c r="R240">
        <v>1448.65</v>
      </c>
    </row>
    <row r="241" spans="1:18" hidden="1">
      <c r="A241" t="s">
        <v>1296</v>
      </c>
      <c r="B241" t="s">
        <v>231</v>
      </c>
      <c r="C241" t="s">
        <v>232</v>
      </c>
      <c r="D241" s="28">
        <v>1565</v>
      </c>
      <c r="E241" s="19">
        <f>D241/28</f>
        <v>55.892857142857146</v>
      </c>
      <c r="F241" s="5">
        <v>3737.44</v>
      </c>
      <c r="I241" s="19">
        <f>IF((D241/28)&gt;100,D241*2,D241*2)</f>
        <v>3130</v>
      </c>
      <c r="J241" t="b">
        <f>IF(F241&gt;1.2*I241,FALSE,TRUE)</f>
        <v>1</v>
      </c>
      <c r="K241" s="4">
        <f>F241/I241-1</f>
        <v>0.19407028753993605</v>
      </c>
      <c r="N241"/>
      <c r="P241" t="s">
        <v>1008</v>
      </c>
      <c r="Q241">
        <v>2183</v>
      </c>
      <c r="R241">
        <v>3642.64</v>
      </c>
    </row>
    <row r="242" spans="1:18" hidden="1">
      <c r="A242" t="s">
        <v>1294</v>
      </c>
      <c r="B242" s="57" t="s">
        <v>275</v>
      </c>
      <c r="C242" s="37" t="s">
        <v>276</v>
      </c>
      <c r="D242" s="28">
        <v>724</v>
      </c>
      <c r="E242" s="19">
        <f>D242/28</f>
        <v>25.857142857142858</v>
      </c>
      <c r="F242" s="5">
        <v>1577.88</v>
      </c>
      <c r="I242" s="19">
        <f>IF((D242/28)&gt;100,D242*2,D242*2)</f>
        <v>1448</v>
      </c>
      <c r="J242" t="b">
        <f>IF(F242&gt;1.2*I242,FALSE,TRUE)</f>
        <v>1</v>
      </c>
      <c r="K242" s="4">
        <f>F242/I242-1</f>
        <v>8.9696132596685185E-2</v>
      </c>
      <c r="N242"/>
      <c r="P242" t="s">
        <v>1016</v>
      </c>
      <c r="Q242">
        <v>1995</v>
      </c>
      <c r="R242">
        <v>4535.91</v>
      </c>
    </row>
    <row r="243" spans="1:18" ht="30" hidden="1">
      <c r="A243" t="s">
        <v>1295</v>
      </c>
      <c r="B243" s="55" t="s">
        <v>415</v>
      </c>
      <c r="C243" s="37" t="s">
        <v>416</v>
      </c>
      <c r="D243" s="28">
        <v>636</v>
      </c>
      <c r="E243" s="19">
        <f>D243/28</f>
        <v>22.714285714285715</v>
      </c>
      <c r="F243" s="5">
        <v>968.63</v>
      </c>
      <c r="I243" s="19">
        <f>IF((D243/28)&gt;100,D243*2,D243*2)</f>
        <v>1272</v>
      </c>
      <c r="J243" t="b">
        <f>IF(F243&gt;1.2*I243,FALSE,TRUE)</f>
        <v>1</v>
      </c>
      <c r="K243" s="4">
        <f>F243/I243-1</f>
        <v>-0.23849842767295593</v>
      </c>
      <c r="N243"/>
      <c r="P243" t="s">
        <v>998</v>
      </c>
      <c r="Q243">
        <v>1870</v>
      </c>
      <c r="R243">
        <v>3839.5</v>
      </c>
    </row>
    <row r="244" spans="1:18" hidden="1">
      <c r="A244" t="s">
        <v>1295</v>
      </c>
      <c r="B244" s="55" t="s">
        <v>421</v>
      </c>
      <c r="C244" s="37" t="s">
        <v>422</v>
      </c>
      <c r="D244" s="28">
        <v>103</v>
      </c>
      <c r="E244" s="19">
        <f>D244/28</f>
        <v>3.6785714285714284</v>
      </c>
      <c r="F244" s="5">
        <v>26.34</v>
      </c>
      <c r="I244" s="151">
        <f>IF((D244/28)&gt;100,D244*2,D244*2)</f>
        <v>206</v>
      </c>
      <c r="J244" t="b">
        <f>IF(F244&gt;1.2*I244,FALSE,TRUE)</f>
        <v>1</v>
      </c>
      <c r="K244" s="4">
        <f>F244/I244-1</f>
        <v>-0.87213592233009707</v>
      </c>
      <c r="N244"/>
      <c r="P244" t="s">
        <v>738</v>
      </c>
      <c r="Q244">
        <v>1727</v>
      </c>
      <c r="R244">
        <v>3534.84</v>
      </c>
    </row>
    <row r="245" spans="1:18" hidden="1">
      <c r="A245" t="s">
        <v>1294</v>
      </c>
      <c r="B245" t="s">
        <v>481</v>
      </c>
      <c r="C245" t="s">
        <v>482</v>
      </c>
      <c r="D245" s="28">
        <v>1307</v>
      </c>
      <c r="E245" s="19">
        <f>D245/28</f>
        <v>46.678571428571431</v>
      </c>
      <c r="F245" s="5">
        <v>3104.91</v>
      </c>
      <c r="I245" s="19">
        <f>IF((D245/28)&gt;100,D245*2,D245*2)</f>
        <v>2614</v>
      </c>
      <c r="J245" t="b">
        <f>IF(F245&gt;1.2*I245,FALSE,TRUE)</f>
        <v>1</v>
      </c>
      <c r="K245" s="4">
        <f>F245/I245-1</f>
        <v>0.18780030604437647</v>
      </c>
      <c r="N245"/>
      <c r="P245" t="s">
        <v>711</v>
      </c>
      <c r="Q245">
        <v>40373</v>
      </c>
      <c r="R245">
        <v>31043.68</v>
      </c>
    </row>
    <row r="246" spans="1:18">
      <c r="A246" t="s">
        <v>1295</v>
      </c>
      <c r="B246" t="s">
        <v>573</v>
      </c>
      <c r="C246" t="s">
        <v>574</v>
      </c>
      <c r="D246" s="28">
        <v>588</v>
      </c>
      <c r="E246" s="19">
        <f>D246/28</f>
        <v>21</v>
      </c>
      <c r="F246" s="5">
        <v>1414.67</v>
      </c>
      <c r="I246" s="19">
        <f>IF((D246/28)&gt;100,D246*2,D246*2)</f>
        <v>1176</v>
      </c>
      <c r="J246" t="b">
        <f>IF(F246&gt;1.2*I246,FALSE,TRUE)</f>
        <v>0</v>
      </c>
      <c r="K246" s="4">
        <f>F246/I246-1</f>
        <v>0.20295068027210883</v>
      </c>
      <c r="N246"/>
      <c r="P246" t="s">
        <v>795</v>
      </c>
      <c r="Q246">
        <v>1614</v>
      </c>
      <c r="R246">
        <v>3358.06</v>
      </c>
    </row>
    <row r="247" spans="1:18" hidden="1">
      <c r="A247" t="s">
        <v>1294</v>
      </c>
      <c r="B247" t="s">
        <v>277</v>
      </c>
      <c r="C247" t="s">
        <v>278</v>
      </c>
      <c r="D247" s="28">
        <v>1307</v>
      </c>
      <c r="E247" s="19">
        <f>D247/28</f>
        <v>46.678571428571431</v>
      </c>
      <c r="F247" s="5">
        <v>2963.85</v>
      </c>
      <c r="I247" s="19">
        <f>IF((D247/28)&gt;100,D247*2,D247*2)</f>
        <v>2614</v>
      </c>
      <c r="J247" t="b">
        <f>IF(F247&gt;1.2*I247,FALSE,TRUE)</f>
        <v>1</v>
      </c>
      <c r="K247" s="4">
        <f>F247/I247-1</f>
        <v>0.1338370313695485</v>
      </c>
      <c r="N247"/>
      <c r="P247" t="s">
        <v>730</v>
      </c>
      <c r="Q247">
        <v>2721</v>
      </c>
      <c r="R247">
        <v>5511.35</v>
      </c>
    </row>
    <row r="248" spans="1:18">
      <c r="A248" t="s">
        <v>1294</v>
      </c>
      <c r="B248" t="s">
        <v>353</v>
      </c>
      <c r="C248" t="s">
        <v>354</v>
      </c>
      <c r="D248" s="28">
        <v>574</v>
      </c>
      <c r="E248" s="19">
        <f>D248/28</f>
        <v>20.5</v>
      </c>
      <c r="F248" s="5">
        <v>1463.55</v>
      </c>
      <c r="I248" s="19">
        <f>IF((D248/28)&gt;100,D248*2,D248*2)</f>
        <v>1148</v>
      </c>
      <c r="J248" t="b">
        <f>IF(F248&gt;1.2*I248,FALSE,TRUE)</f>
        <v>0</v>
      </c>
      <c r="K248" s="4">
        <f>F248/I248-1</f>
        <v>0.27486933797909407</v>
      </c>
      <c r="N248"/>
      <c r="P248" t="s">
        <v>882</v>
      </c>
      <c r="Q248">
        <v>1207</v>
      </c>
      <c r="R248">
        <v>2348.6</v>
      </c>
    </row>
    <row r="249" spans="1:18" hidden="1">
      <c r="A249" t="s">
        <v>1295</v>
      </c>
      <c r="B249" s="55" t="s">
        <v>471</v>
      </c>
      <c r="C249" s="37" t="s">
        <v>472</v>
      </c>
      <c r="D249">
        <v>1035</v>
      </c>
      <c r="E249" s="19">
        <f>D249/28</f>
        <v>36.964285714285715</v>
      </c>
      <c r="F249" s="5">
        <v>1373.51</v>
      </c>
      <c r="I249" s="19">
        <f>IF((D249/28)&gt;100,D249*2,D249*2)</f>
        <v>2070</v>
      </c>
      <c r="J249" t="b">
        <f>IF(F249&gt;1.2*I249,FALSE,TRUE)</f>
        <v>1</v>
      </c>
      <c r="K249" s="4">
        <f>F249/I249-1</f>
        <v>-0.33646859903381643</v>
      </c>
      <c r="N249"/>
      <c r="P249" t="s">
        <v>975</v>
      </c>
      <c r="Q249">
        <v>611</v>
      </c>
      <c r="R249">
        <v>1458.74</v>
      </c>
    </row>
    <row r="250" spans="1:18" hidden="1">
      <c r="A250" t="s">
        <v>1294</v>
      </c>
      <c r="B250" t="s">
        <v>213</v>
      </c>
      <c r="C250" t="s">
        <v>214</v>
      </c>
      <c r="D250" s="28">
        <v>847</v>
      </c>
      <c r="E250" s="19">
        <f>D250/28</f>
        <v>30.25</v>
      </c>
      <c r="F250" s="5">
        <v>1331.78</v>
      </c>
      <c r="I250" s="19">
        <f>IF((D250/28)&gt;100,D250*2,D250*2)</f>
        <v>1694</v>
      </c>
      <c r="J250" t="b">
        <f>IF(F250&gt;1.2*I250,FALSE,TRUE)</f>
        <v>1</v>
      </c>
      <c r="K250" s="4">
        <f>F250/I250-1</f>
        <v>-0.2138252656434475</v>
      </c>
      <c r="N250"/>
      <c r="P250" t="s">
        <v>797</v>
      </c>
      <c r="Q250">
        <v>2751</v>
      </c>
      <c r="R250">
        <v>3498.09</v>
      </c>
    </row>
    <row r="251" spans="1:18">
      <c r="A251" t="s">
        <v>1294</v>
      </c>
      <c r="B251" t="s">
        <v>541</v>
      </c>
      <c r="C251" t="s">
        <v>542</v>
      </c>
      <c r="D251" s="28">
        <v>566</v>
      </c>
      <c r="E251" s="19">
        <f>D251/28</f>
        <v>20.214285714285715</v>
      </c>
      <c r="F251" s="5">
        <v>1376.45</v>
      </c>
      <c r="I251" s="19">
        <f>IF((D251/28)&gt;100,D251*2,D251*2)</f>
        <v>1132</v>
      </c>
      <c r="J251" t="b">
        <f>IF(F251&gt;1.2*I251,FALSE,TRUE)</f>
        <v>0</v>
      </c>
      <c r="K251" s="4">
        <f>F251/I251-1</f>
        <v>0.21594522968197882</v>
      </c>
      <c r="N251"/>
      <c r="P251" t="s">
        <v>754</v>
      </c>
      <c r="Q251">
        <v>2185</v>
      </c>
      <c r="R251">
        <v>3732.5</v>
      </c>
    </row>
    <row r="252" spans="1:18" hidden="1">
      <c r="A252" t="s">
        <v>1295</v>
      </c>
      <c r="B252" s="55" t="s">
        <v>299</v>
      </c>
      <c r="C252" s="37" t="s">
        <v>300</v>
      </c>
      <c r="D252" s="28">
        <v>122</v>
      </c>
      <c r="E252" s="19">
        <f>D252/28</f>
        <v>4.3571428571428568</v>
      </c>
      <c r="F252" s="5">
        <v>184.1</v>
      </c>
      <c r="I252" s="19">
        <f>IF((D252/28)&gt;100,D252*2,D252*2)</f>
        <v>244</v>
      </c>
      <c r="J252" t="b">
        <f>IF(F252&gt;1.2*I252,FALSE,TRUE)</f>
        <v>1</v>
      </c>
      <c r="K252" s="4">
        <f>F252/I252-1</f>
        <v>-0.24549180327868858</v>
      </c>
      <c r="N252"/>
      <c r="P252" t="s">
        <v>918</v>
      </c>
      <c r="Q252">
        <v>1039</v>
      </c>
      <c r="R252">
        <v>1446.12</v>
      </c>
    </row>
    <row r="253" spans="1:18">
      <c r="A253" t="s">
        <v>1294</v>
      </c>
      <c r="B253" s="149" t="s">
        <v>76</v>
      </c>
      <c r="C253" s="37" t="s">
        <v>77</v>
      </c>
      <c r="D253">
        <v>551</v>
      </c>
      <c r="E253" s="19">
        <f>D253/28</f>
        <v>19.678571428571427</v>
      </c>
      <c r="F253" s="151">
        <v>1695</v>
      </c>
      <c r="I253" s="19">
        <f>IF((D253/28)&gt;100,D253*2,D253*2)</f>
        <v>1102</v>
      </c>
      <c r="J253" t="b">
        <f>IF(F253&gt;1.2*I253,FALSE,TRUE)</f>
        <v>0</v>
      </c>
      <c r="K253" s="4">
        <f>F253/I253-1</f>
        <v>0.5381125226860255</v>
      </c>
      <c r="N253"/>
      <c r="P253" t="s">
        <v>786</v>
      </c>
      <c r="Q253">
        <v>1195</v>
      </c>
      <c r="R253">
        <v>2255.9299999999998</v>
      </c>
    </row>
    <row r="254" spans="1:18" ht="30" hidden="1">
      <c r="A254" t="s">
        <v>1296</v>
      </c>
      <c r="B254" s="55" t="s">
        <v>219</v>
      </c>
      <c r="C254" s="37" t="s">
        <v>220</v>
      </c>
      <c r="D254">
        <v>1126</v>
      </c>
      <c r="E254" s="19">
        <f>D254/28</f>
        <v>40.214285714285715</v>
      </c>
      <c r="F254" s="5">
        <v>1943.59</v>
      </c>
      <c r="I254" s="151">
        <f>IF((D254/28)&gt;100,D254*2,D254*2)</f>
        <v>2252</v>
      </c>
      <c r="J254" t="b">
        <f>IF(F254&gt;1.2*I254,FALSE,TRUE)</f>
        <v>1</v>
      </c>
      <c r="K254" s="4">
        <f>F254/I254-1</f>
        <v>-0.13694937833037302</v>
      </c>
      <c r="N254"/>
      <c r="P254" t="s">
        <v>750</v>
      </c>
      <c r="Q254">
        <v>2263</v>
      </c>
      <c r="R254">
        <v>5130.78</v>
      </c>
    </row>
    <row r="255" spans="1:18" hidden="1">
      <c r="A255" t="s">
        <v>1296</v>
      </c>
      <c r="B255" s="57" t="s">
        <v>193</v>
      </c>
      <c r="C255" s="27" t="s">
        <v>194</v>
      </c>
      <c r="D255" s="28">
        <v>1568</v>
      </c>
      <c r="E255" s="19">
        <f>D255/28</f>
        <v>56</v>
      </c>
      <c r="F255" s="5">
        <v>2542.66</v>
      </c>
      <c r="I255" s="139">
        <f>IF((D255/28)&gt;100,D255*2,D255*2)</f>
        <v>3136</v>
      </c>
      <c r="J255" t="b">
        <f>IF(F255&gt;1.2*I255,FALSE,TRUE)</f>
        <v>1</v>
      </c>
      <c r="K255" s="4">
        <f>F255/I255-1</f>
        <v>-0.189202806122449</v>
      </c>
      <c r="P255" t="s">
        <v>752</v>
      </c>
      <c r="Q255">
        <v>2201</v>
      </c>
      <c r="R255">
        <v>2780.43</v>
      </c>
    </row>
    <row r="256" spans="1:18" hidden="1">
      <c r="A256" t="s">
        <v>1295</v>
      </c>
      <c r="B256" s="55" t="s">
        <v>181</v>
      </c>
      <c r="C256" s="37" t="s">
        <v>182</v>
      </c>
      <c r="D256">
        <v>2224</v>
      </c>
      <c r="E256" s="19">
        <f>D256/28</f>
        <v>79.428571428571431</v>
      </c>
      <c r="F256" s="5">
        <v>3465.42</v>
      </c>
      <c r="I256" s="19">
        <f>IF((D256/28)&gt;100,D256*2,D256*2)</f>
        <v>4448</v>
      </c>
      <c r="J256" t="b">
        <f>IF(F256&gt;1.2*I256,FALSE,TRUE)</f>
        <v>1</v>
      </c>
      <c r="K256" s="4">
        <f>F256/I256-1</f>
        <v>-0.22090377697841723</v>
      </c>
      <c r="N256"/>
      <c r="P256" t="s">
        <v>953</v>
      </c>
      <c r="Q256">
        <v>1667</v>
      </c>
      <c r="R256">
        <v>2965.44</v>
      </c>
    </row>
    <row r="257" spans="1:18" ht="30" hidden="1">
      <c r="A257" t="s">
        <v>1296</v>
      </c>
      <c r="B257" s="55" t="s">
        <v>221</v>
      </c>
      <c r="C257" s="37" t="s">
        <v>222</v>
      </c>
      <c r="D257">
        <v>1439</v>
      </c>
      <c r="E257" s="19">
        <f>D257/28</f>
        <v>51.392857142857146</v>
      </c>
      <c r="F257" s="5">
        <v>1855.32</v>
      </c>
      <c r="I257" s="19">
        <f>IF((D257/28)&gt;100,D257*2,D257*2)</f>
        <v>2878</v>
      </c>
      <c r="J257" t="b">
        <f>IF(F257&gt;1.2*I257,FALSE,TRUE)</f>
        <v>1</v>
      </c>
      <c r="K257" s="4">
        <f>F257/I257-1</f>
        <v>-0.35534398888116747</v>
      </c>
      <c r="N257"/>
      <c r="P257" t="s">
        <v>890</v>
      </c>
      <c r="Q257">
        <v>4039</v>
      </c>
      <c r="R257">
        <v>5176.58</v>
      </c>
    </row>
    <row r="258" spans="1:18" hidden="1">
      <c r="A258" t="s">
        <v>1296</v>
      </c>
      <c r="B258" t="s">
        <v>259</v>
      </c>
      <c r="C258" t="s">
        <v>260</v>
      </c>
      <c r="D258" s="28">
        <v>1415</v>
      </c>
      <c r="E258" s="19">
        <f>D258/28</f>
        <v>50.535714285714285</v>
      </c>
      <c r="F258" s="5">
        <v>2587.8000000000002</v>
      </c>
      <c r="I258" s="19">
        <f>IF((D258/28)&gt;100,D258*2,D258*2)</f>
        <v>2830</v>
      </c>
      <c r="J258" t="b">
        <f>IF(F258&gt;1.2*I258,FALSE,TRUE)</f>
        <v>1</v>
      </c>
      <c r="K258" s="4">
        <f>F258/I258-1</f>
        <v>-8.5583038869257888E-2</v>
      </c>
      <c r="N258"/>
      <c r="P258" t="s">
        <v>770</v>
      </c>
      <c r="Q258">
        <v>1372</v>
      </c>
      <c r="R258">
        <v>3179.39</v>
      </c>
    </row>
    <row r="259" spans="1:18" hidden="1">
      <c r="A259" t="s">
        <v>1294</v>
      </c>
      <c r="B259" s="55" t="s">
        <v>98</v>
      </c>
      <c r="C259" s="37" t="s">
        <v>99</v>
      </c>
      <c r="D259" s="28">
        <v>1116</v>
      </c>
      <c r="E259" s="19">
        <f>D259/28</f>
        <v>39.857142857142854</v>
      </c>
      <c r="F259" s="5">
        <v>2223.2199999999998</v>
      </c>
      <c r="I259" s="139">
        <f>IF((D259/28)&gt;100,D259*2,D259*2)</f>
        <v>2232</v>
      </c>
      <c r="J259" t="b">
        <f>IF(F259&gt;1.2*I259,FALSE,TRUE)</f>
        <v>1</v>
      </c>
      <c r="K259" s="4">
        <f>F259/I259-1</f>
        <v>-3.9336917562724505E-3</v>
      </c>
      <c r="N259" s="144"/>
      <c r="P259" t="s">
        <v>1310</v>
      </c>
      <c r="Q259">
        <v>3</v>
      </c>
      <c r="R259">
        <v>0</v>
      </c>
    </row>
    <row r="260" spans="1:18" hidden="1">
      <c r="A260" t="s">
        <v>1295</v>
      </c>
      <c r="B260" t="s">
        <v>643</v>
      </c>
      <c r="C260" t="s">
        <v>644</v>
      </c>
      <c r="D260" s="28">
        <v>1778</v>
      </c>
      <c r="E260" s="19">
        <f>D260/28</f>
        <v>63.5</v>
      </c>
      <c r="F260" s="5">
        <v>3102.59</v>
      </c>
      <c r="I260" s="19">
        <f>IF((D260/28)&gt;100,D260*2,D260*2)</f>
        <v>3556</v>
      </c>
      <c r="J260" t="b">
        <f>IF(F260&gt;1.2*I260,FALSE,TRUE)</f>
        <v>1</v>
      </c>
      <c r="K260" s="4">
        <f>F260/I260-1</f>
        <v>-0.12750562429696288</v>
      </c>
      <c r="N260"/>
      <c r="P260" t="s">
        <v>778</v>
      </c>
      <c r="Q260">
        <v>740</v>
      </c>
      <c r="R260">
        <v>1692.16</v>
      </c>
    </row>
    <row r="261" spans="1:18" hidden="1">
      <c r="A261" t="s">
        <v>1294</v>
      </c>
      <c r="B261" t="s">
        <v>32</v>
      </c>
      <c r="C261" t="s">
        <v>33</v>
      </c>
      <c r="D261" s="28">
        <v>12795</v>
      </c>
      <c r="E261" s="19">
        <f>D261/28</f>
        <v>456.96428571428572</v>
      </c>
      <c r="F261" s="5">
        <v>22307.31</v>
      </c>
      <c r="I261" s="151">
        <f>IF((D261/28)&gt;100,D261*2,D261*2)</f>
        <v>25590</v>
      </c>
      <c r="J261" t="b">
        <f>IF(F261&gt;1.2*I261,FALSE,TRUE)</f>
        <v>1</v>
      </c>
      <c r="K261" s="4">
        <f>F261/I261-1</f>
        <v>-0.12828018757327075</v>
      </c>
      <c r="N261"/>
      <c r="P261" t="s">
        <v>959</v>
      </c>
      <c r="Q261">
        <v>934</v>
      </c>
      <c r="R261">
        <v>1679.4</v>
      </c>
    </row>
    <row r="262" spans="1:18" hidden="1">
      <c r="A262" t="s">
        <v>1295</v>
      </c>
      <c r="B262" t="s">
        <v>271</v>
      </c>
      <c r="C262" t="s">
        <v>272</v>
      </c>
      <c r="D262" s="28">
        <v>671</v>
      </c>
      <c r="E262" s="19">
        <f>D262/28</f>
        <v>23.964285714285715</v>
      </c>
      <c r="F262" s="5">
        <v>1524.01</v>
      </c>
      <c r="I262" s="19">
        <f>IF((D262/28)&gt;100,D262*2,D262*2)</f>
        <v>1342</v>
      </c>
      <c r="J262" t="b">
        <f>IF(F262&gt;1.2*I262,FALSE,TRUE)</f>
        <v>1</v>
      </c>
      <c r="K262" s="4">
        <f>F262/I262-1</f>
        <v>0.13562593144560364</v>
      </c>
      <c r="N262"/>
      <c r="P262" t="s">
        <v>799</v>
      </c>
      <c r="Q262">
        <v>1221</v>
      </c>
      <c r="R262">
        <v>1238.4000000000001</v>
      </c>
    </row>
    <row r="263" spans="1:18" hidden="1">
      <c r="A263" t="s">
        <v>1294</v>
      </c>
      <c r="B263" s="57" t="s">
        <v>102</v>
      </c>
      <c r="C263" s="37" t="s">
        <v>103</v>
      </c>
      <c r="D263" s="28">
        <v>1484</v>
      </c>
      <c r="E263" s="19">
        <f>D263/28</f>
        <v>53</v>
      </c>
      <c r="F263" s="5">
        <v>2509.4899999999998</v>
      </c>
      <c r="I263" s="19">
        <f>IF((D263/28)&gt;100,D263*2,D263*2)</f>
        <v>2968</v>
      </c>
      <c r="J263" t="b">
        <f>IF(F263&gt;1.2*I263,FALSE,TRUE)</f>
        <v>1</v>
      </c>
      <c r="K263" s="4">
        <f>F263/I263-1</f>
        <v>-0.15448450134770897</v>
      </c>
      <c r="N263"/>
      <c r="P263" t="s">
        <v>941</v>
      </c>
      <c r="Q263">
        <v>706</v>
      </c>
      <c r="R263">
        <v>887.74</v>
      </c>
    </row>
    <row r="264" spans="1:18" hidden="1">
      <c r="A264" t="s">
        <v>1294</v>
      </c>
      <c r="B264" s="55" t="s">
        <v>169</v>
      </c>
      <c r="C264" s="37" t="s">
        <v>170</v>
      </c>
      <c r="D264" s="28">
        <v>1358</v>
      </c>
      <c r="E264" s="19">
        <f>D264/28</f>
        <v>48.5</v>
      </c>
      <c r="F264" s="5">
        <v>2474.2199999999998</v>
      </c>
      <c r="I264" s="19">
        <f>IF((D264/28)&gt;100,D264*2,D264*2)</f>
        <v>2716</v>
      </c>
      <c r="J264" t="b">
        <f>IF(F264&gt;1.2*I264,FALSE,TRUE)</f>
        <v>1</v>
      </c>
      <c r="K264" s="4">
        <f>F264/I264-1</f>
        <v>-8.902061855670107E-2</v>
      </c>
      <c r="N264"/>
      <c r="P264" t="s">
        <v>898</v>
      </c>
      <c r="Q264">
        <v>995</v>
      </c>
      <c r="R264">
        <v>1253.03</v>
      </c>
    </row>
    <row r="265" spans="1:18" hidden="1">
      <c r="A265" t="s">
        <v>1294</v>
      </c>
      <c r="B265" t="s">
        <v>681</v>
      </c>
      <c r="C265" t="s">
        <v>682</v>
      </c>
      <c r="D265" s="28">
        <v>4989</v>
      </c>
      <c r="E265" s="19">
        <f>D265/28</f>
        <v>178.17857142857142</v>
      </c>
      <c r="F265" s="5">
        <v>4445.04</v>
      </c>
      <c r="I265" s="19">
        <f>IF((D265/28)&gt;100,D265*2,D265*2)</f>
        <v>9978</v>
      </c>
      <c r="J265" t="b">
        <f>IF(F265&gt;1.2*I265,FALSE,TRUE)</f>
        <v>1</v>
      </c>
      <c r="K265" s="4">
        <f>F265/I265-1</f>
        <v>-0.5545159350571256</v>
      </c>
      <c r="N265"/>
      <c r="P265" t="s">
        <v>866</v>
      </c>
      <c r="Q265">
        <v>942</v>
      </c>
      <c r="R265">
        <v>1905.07</v>
      </c>
    </row>
    <row r="266" spans="1:18" hidden="1">
      <c r="A266" t="s">
        <v>1294</v>
      </c>
      <c r="B266" t="s">
        <v>651</v>
      </c>
      <c r="C266" t="s">
        <v>652</v>
      </c>
      <c r="D266" s="28">
        <v>3384</v>
      </c>
      <c r="E266" s="19">
        <f>D266/28</f>
        <v>120.85714285714286</v>
      </c>
      <c r="F266" s="5">
        <v>6490.69</v>
      </c>
      <c r="I266" s="19">
        <f>IF((D266/28)&gt;100,D266*2,D266*2)</f>
        <v>6768</v>
      </c>
      <c r="J266" t="b">
        <f>IF(F266&gt;1.2*I266,FALSE,TRUE)</f>
        <v>1</v>
      </c>
      <c r="K266" s="4">
        <f>F266/I266-1</f>
        <v>-4.0973699763593441E-2</v>
      </c>
      <c r="N266"/>
      <c r="P266" t="s">
        <v>835</v>
      </c>
      <c r="Q266">
        <v>697</v>
      </c>
      <c r="R266">
        <v>933.22</v>
      </c>
    </row>
    <row r="267" spans="1:18" hidden="1">
      <c r="A267" t="s">
        <v>1296</v>
      </c>
      <c r="B267" s="55" t="s">
        <v>265</v>
      </c>
      <c r="C267" s="37" t="s">
        <v>266</v>
      </c>
      <c r="D267" s="28">
        <v>827</v>
      </c>
      <c r="E267" s="19">
        <f>D267/28</f>
        <v>29.535714285714285</v>
      </c>
      <c r="F267" s="5">
        <v>1731.82</v>
      </c>
      <c r="I267" s="19">
        <f>IF((D267/28)&gt;100,D267*2,D267*2)</f>
        <v>1654</v>
      </c>
      <c r="J267" t="b">
        <f>IF(F267&gt;1.2*I267,FALSE,TRUE)</f>
        <v>1</v>
      </c>
      <c r="K267" s="4">
        <f>F267/I267-1</f>
        <v>4.7049576783555036E-2</v>
      </c>
      <c r="N267"/>
      <c r="P267" t="s">
        <v>872</v>
      </c>
      <c r="Q267">
        <v>1585</v>
      </c>
      <c r="R267">
        <v>1853.67</v>
      </c>
    </row>
    <row r="268" spans="1:18" ht="30" hidden="1">
      <c r="A268" t="s">
        <v>1294</v>
      </c>
      <c r="B268" s="55" t="s">
        <v>72</v>
      </c>
      <c r="C268" s="37" t="s">
        <v>73</v>
      </c>
      <c r="D268">
        <v>5030</v>
      </c>
      <c r="E268" s="19">
        <f>D268/28</f>
        <v>179.64285714285714</v>
      </c>
      <c r="F268" s="5">
        <v>8454.9</v>
      </c>
      <c r="I268" s="19">
        <f>IF((D268/28)&gt;100,D268*2,D268*2)</f>
        <v>10060</v>
      </c>
      <c r="J268" t="b">
        <f>IF(F268&gt;1.2*I268,FALSE,TRUE)</f>
        <v>1</v>
      </c>
      <c r="K268" s="4">
        <f>F268/I268-1</f>
        <v>-0.15955268389662036</v>
      </c>
      <c r="N268"/>
      <c r="P268" t="s">
        <v>931</v>
      </c>
      <c r="Q268">
        <v>1841</v>
      </c>
      <c r="R268">
        <v>2630.37</v>
      </c>
    </row>
    <row r="269" spans="1:18">
      <c r="A269" t="s">
        <v>1295</v>
      </c>
      <c r="B269" t="s">
        <v>297</v>
      </c>
      <c r="C269" t="s">
        <v>298</v>
      </c>
      <c r="D269" s="28">
        <v>510</v>
      </c>
      <c r="E269" s="19">
        <f>D269/28</f>
        <v>18.214285714285715</v>
      </c>
      <c r="F269" s="5">
        <v>1519.88</v>
      </c>
      <c r="I269" s="19">
        <f>IF((D269/28)&gt;100,D269*2,D269*2)</f>
        <v>1020</v>
      </c>
      <c r="J269" t="b">
        <f>IF(F269&gt;1.2*I269,FALSE,TRUE)</f>
        <v>0</v>
      </c>
      <c r="K269" s="4">
        <f>F269/I269-1</f>
        <v>0.49007843137254903</v>
      </c>
      <c r="N269"/>
      <c r="P269" t="s">
        <v>884</v>
      </c>
      <c r="Q269">
        <v>1079</v>
      </c>
      <c r="R269">
        <v>2122.04</v>
      </c>
    </row>
    <row r="270" spans="1:18" hidden="1">
      <c r="A270" t="s">
        <v>1296</v>
      </c>
      <c r="B270" s="55" t="s">
        <v>273</v>
      </c>
      <c r="C270" s="37" t="s">
        <v>274</v>
      </c>
      <c r="D270" s="28">
        <v>748</v>
      </c>
      <c r="E270" s="19">
        <f>D270/28</f>
        <v>26.714285714285715</v>
      </c>
      <c r="F270" s="5">
        <v>1752.33</v>
      </c>
      <c r="I270" s="19">
        <f>IF((D270/28)&gt;100,D270*2,D270*2)</f>
        <v>1496</v>
      </c>
      <c r="J270" t="b">
        <f>IF(F270&gt;1.2*I270,FALSE,TRUE)</f>
        <v>1</v>
      </c>
      <c r="K270" s="4">
        <f>F270/I270-1</f>
        <v>0.17134358288770057</v>
      </c>
      <c r="N270"/>
      <c r="P270" t="s">
        <v>949</v>
      </c>
      <c r="Q270">
        <v>337</v>
      </c>
      <c r="R270">
        <v>529.88</v>
      </c>
    </row>
    <row r="271" spans="1:18" hidden="1">
      <c r="A271" t="s">
        <v>1294</v>
      </c>
      <c r="B271" s="55" t="s">
        <v>185</v>
      </c>
      <c r="C271" s="37" t="s">
        <v>186</v>
      </c>
      <c r="D271">
        <v>1962</v>
      </c>
      <c r="E271" s="19">
        <f>D271/28</f>
        <v>70.071428571428569</v>
      </c>
      <c r="F271" s="5">
        <v>2708.35</v>
      </c>
      <c r="I271" s="19">
        <f>IF((D271/28)&gt;100,D271*2,D271*2)</f>
        <v>3924</v>
      </c>
      <c r="J271" t="b">
        <f>IF(F271&gt;1.2*I271,FALSE,TRUE)</f>
        <v>1</v>
      </c>
      <c r="K271" s="4">
        <f>F271/I271-1</f>
        <v>-0.30979867482161061</v>
      </c>
      <c r="N271"/>
      <c r="P271" t="s">
        <v>888</v>
      </c>
      <c r="Q271">
        <v>456</v>
      </c>
      <c r="R271">
        <v>569.27</v>
      </c>
    </row>
    <row r="272" spans="1:18">
      <c r="A272" t="s">
        <v>1294</v>
      </c>
      <c r="B272" t="s">
        <v>111</v>
      </c>
      <c r="C272" t="s">
        <v>112</v>
      </c>
      <c r="D272" s="19">
        <v>484</v>
      </c>
      <c r="E272" s="19">
        <f>D272/28</f>
        <v>17.285714285714285</v>
      </c>
      <c r="F272" s="5">
        <v>1214.33</v>
      </c>
      <c r="I272" s="19">
        <f>IF((D272/28)&gt;100,D272*2,D272*2)</f>
        <v>968</v>
      </c>
      <c r="J272" t="b">
        <f>IF(F272&gt;1.2*I272,FALSE,TRUE)</f>
        <v>0</v>
      </c>
      <c r="K272" s="4">
        <f>F272/I272-1</f>
        <v>0.25447314049586778</v>
      </c>
      <c r="N272"/>
      <c r="P272" t="s">
        <v>809</v>
      </c>
      <c r="Q272">
        <v>1330</v>
      </c>
      <c r="R272">
        <v>1531.91</v>
      </c>
    </row>
    <row r="273" spans="1:18" hidden="1">
      <c r="A273" t="s">
        <v>1294</v>
      </c>
      <c r="B273" s="55" t="s">
        <v>189</v>
      </c>
      <c r="C273" s="37" t="s">
        <v>190</v>
      </c>
      <c r="D273">
        <v>371</v>
      </c>
      <c r="E273" s="19">
        <f>D273/28</f>
        <v>13.25</v>
      </c>
      <c r="F273" s="5">
        <v>643.79</v>
      </c>
      <c r="I273" s="19">
        <f>IF((D273/28)&gt;100,D273*2,D273*2)</f>
        <v>742</v>
      </c>
      <c r="J273" t="b">
        <f>IF(F273&gt;1.2*I273,FALSE,TRUE)</f>
        <v>1</v>
      </c>
      <c r="K273" s="4">
        <f>F273/I273-1</f>
        <v>-0.13235849056603777</v>
      </c>
      <c r="N273"/>
      <c r="P273" t="s">
        <v>874</v>
      </c>
      <c r="Q273">
        <v>736</v>
      </c>
      <c r="R273">
        <v>930.48</v>
      </c>
    </row>
    <row r="274" spans="1:18">
      <c r="A274" t="s">
        <v>1294</v>
      </c>
      <c r="B274" t="s">
        <v>525</v>
      </c>
      <c r="C274" t="s">
        <v>526</v>
      </c>
      <c r="D274" s="28">
        <v>473</v>
      </c>
      <c r="E274" s="19">
        <f>D274/28</f>
        <v>16.892857142857142</v>
      </c>
      <c r="F274" s="5">
        <v>1389.51</v>
      </c>
      <c r="I274" s="19">
        <f>IF((D274/28)&gt;100,D274*2,D274*2)</f>
        <v>946</v>
      </c>
      <c r="J274" t="b">
        <f>IF(F274&gt;1.2*I274,FALSE,TRUE)</f>
        <v>0</v>
      </c>
      <c r="K274" s="4">
        <f>F274/I274-1</f>
        <v>0.46882663847780126</v>
      </c>
      <c r="N274"/>
      <c r="P274" t="s">
        <v>843</v>
      </c>
      <c r="Q274">
        <v>468</v>
      </c>
      <c r="R274">
        <v>604.41</v>
      </c>
    </row>
    <row r="275" spans="1:18" hidden="1">
      <c r="A275" t="s">
        <v>1295</v>
      </c>
      <c r="B275" s="55" t="s">
        <v>133</v>
      </c>
      <c r="C275" s="37" t="s">
        <v>134</v>
      </c>
      <c r="D275">
        <v>1137</v>
      </c>
      <c r="E275" s="19">
        <f>D275/28</f>
        <v>40.607142857142854</v>
      </c>
      <c r="F275" s="5">
        <v>2469.58</v>
      </c>
      <c r="I275" s="19">
        <f>IF((D275/28)&gt;100,D275*2,D275*2)</f>
        <v>2274</v>
      </c>
      <c r="J275" t="b">
        <f>IF(F275&gt;1.2*I275,FALSE,TRUE)</f>
        <v>1</v>
      </c>
      <c r="K275" s="4">
        <f>F275/I275-1</f>
        <v>8.6007036059806419E-2</v>
      </c>
      <c r="N275"/>
      <c r="P275" t="s">
        <v>735</v>
      </c>
      <c r="Q275">
        <v>1391</v>
      </c>
      <c r="R275">
        <v>3435.81</v>
      </c>
    </row>
    <row r="276" spans="1:18" hidden="1">
      <c r="A276" t="s">
        <v>1295</v>
      </c>
      <c r="B276" t="s">
        <v>417</v>
      </c>
      <c r="C276" t="s">
        <v>418</v>
      </c>
      <c r="D276" s="28">
        <v>1313</v>
      </c>
      <c r="E276" s="19">
        <f>D276/28</f>
        <v>46.892857142857146</v>
      </c>
      <c r="F276" s="5">
        <v>2409.5100000000002</v>
      </c>
      <c r="I276" s="19">
        <f>IF((D276/28)&gt;100,D276*2,D276*2)</f>
        <v>2626</v>
      </c>
      <c r="J276" t="b">
        <f>IF(F276&gt;1.2*I276,FALSE,TRUE)</f>
        <v>1</v>
      </c>
      <c r="K276" s="4">
        <f>F276/I276-1</f>
        <v>-8.2440974866717309E-2</v>
      </c>
      <c r="N276"/>
      <c r="P276" t="s">
        <v>979</v>
      </c>
      <c r="Q276">
        <v>1388</v>
      </c>
      <c r="R276">
        <v>939.57</v>
      </c>
    </row>
    <row r="277" spans="1:18" hidden="1">
      <c r="A277" t="s">
        <v>1294</v>
      </c>
      <c r="B277" s="57" t="s">
        <v>215</v>
      </c>
      <c r="C277" s="37" t="s">
        <v>216</v>
      </c>
      <c r="D277" s="28">
        <v>969</v>
      </c>
      <c r="E277" s="19">
        <f>D277/28</f>
        <v>34.607142857142854</v>
      </c>
      <c r="F277" s="5">
        <v>2072.48</v>
      </c>
      <c r="I277" s="19">
        <f>IF((D277/28)&gt;100,D277*2,D277*2)</f>
        <v>1938</v>
      </c>
      <c r="J277" t="b">
        <f>IF(F277&gt;1.2*I277,FALSE,TRUE)</f>
        <v>1</v>
      </c>
      <c r="K277" s="4">
        <f>F277/I277-1</f>
        <v>6.9391124871001075E-2</v>
      </c>
      <c r="N277"/>
      <c r="P277" t="s">
        <v>774</v>
      </c>
      <c r="Q277">
        <v>2475</v>
      </c>
      <c r="R277">
        <v>4662.12</v>
      </c>
    </row>
    <row r="278" spans="1:18" hidden="1">
      <c r="A278" t="s">
        <v>1294</v>
      </c>
      <c r="B278" s="55" t="s">
        <v>327</v>
      </c>
      <c r="C278" s="37" t="s">
        <v>328</v>
      </c>
      <c r="D278" s="28">
        <v>1000</v>
      </c>
      <c r="E278" s="19">
        <f>D278/28</f>
        <v>35.714285714285715</v>
      </c>
      <c r="F278" s="5">
        <v>1633.58</v>
      </c>
      <c r="I278" s="19">
        <f>IF((D278/28)&gt;100,D278*2,D278*2)</f>
        <v>2000</v>
      </c>
      <c r="J278" t="b">
        <f>IF(F278&gt;1.2*I278,FALSE,TRUE)</f>
        <v>1</v>
      </c>
      <c r="K278" s="4">
        <f>F278/I278-1</f>
        <v>-0.18320999999999998</v>
      </c>
      <c r="N278"/>
      <c r="P278" t="s">
        <v>896</v>
      </c>
      <c r="Q278">
        <v>480</v>
      </c>
      <c r="R278">
        <v>1367.15</v>
      </c>
    </row>
    <row r="279" spans="1:18" hidden="1">
      <c r="A279" t="s">
        <v>1296</v>
      </c>
      <c r="B279" s="55" t="s">
        <v>469</v>
      </c>
      <c r="C279" s="37" t="s">
        <v>470</v>
      </c>
      <c r="D279" s="28">
        <v>1228</v>
      </c>
      <c r="E279" s="19">
        <f>D279/28</f>
        <v>43.857142857142854</v>
      </c>
      <c r="F279" s="5">
        <v>1715.8</v>
      </c>
      <c r="I279" s="19">
        <f>IF((D279/28)&gt;100,D279*2,D279*2)</f>
        <v>2456</v>
      </c>
      <c r="J279" t="b">
        <f>IF(F279&gt;1.2*I279,FALSE,TRUE)</f>
        <v>1</v>
      </c>
      <c r="K279" s="4">
        <f>F279/I279-1</f>
        <v>-0.30138436482084696</v>
      </c>
      <c r="N279"/>
      <c r="P279" t="s">
        <v>967</v>
      </c>
      <c r="Q279">
        <v>2459</v>
      </c>
      <c r="R279">
        <v>2134.25</v>
      </c>
    </row>
    <row r="280" spans="1:18">
      <c r="A280" t="s">
        <v>1294</v>
      </c>
      <c r="B280" s="55" t="s">
        <v>60</v>
      </c>
      <c r="C280" s="37" t="s">
        <v>61</v>
      </c>
      <c r="D280" s="28">
        <v>469</v>
      </c>
      <c r="E280" s="19">
        <f>D280/28</f>
        <v>16.75</v>
      </c>
      <c r="F280" s="5">
        <v>2458.31</v>
      </c>
      <c r="I280" s="151">
        <f>IF((D280/28)&gt;100,D280*2,D280*2)</f>
        <v>938</v>
      </c>
      <c r="J280" t="b">
        <f>IF(F280&gt;1.2*I280,FALSE,TRUE)</f>
        <v>0</v>
      </c>
      <c r="K280" s="4">
        <f>F280/I280-1</f>
        <v>1.6207995735607676</v>
      </c>
      <c r="N280"/>
      <c r="P280" t="s">
        <v>817</v>
      </c>
      <c r="Q280">
        <v>957</v>
      </c>
      <c r="R280">
        <v>952.57</v>
      </c>
    </row>
    <row r="281" spans="1:18">
      <c r="A281" t="s">
        <v>1294</v>
      </c>
      <c r="B281" t="s">
        <v>309</v>
      </c>
      <c r="C281" t="s">
        <v>310</v>
      </c>
      <c r="D281" s="28">
        <v>415</v>
      </c>
      <c r="E281" s="19">
        <f>D281/28</f>
        <v>14.821428571428571</v>
      </c>
      <c r="F281" s="5">
        <v>1382.45</v>
      </c>
      <c r="I281" s="19">
        <f>IF((D281/28)&gt;100,D281*2,D281*2)</f>
        <v>830</v>
      </c>
      <c r="J281" t="b">
        <f>IF(F281&gt;1.2*I281,FALSE,TRUE)</f>
        <v>0</v>
      </c>
      <c r="K281" s="4">
        <f>F281/I281-1</f>
        <v>0.66560240963855422</v>
      </c>
      <c r="N281"/>
      <c r="P281" t="s">
        <v>916</v>
      </c>
      <c r="Q281">
        <v>171</v>
      </c>
      <c r="R281">
        <v>98.72</v>
      </c>
    </row>
    <row r="282" spans="1:18" hidden="1">
      <c r="A282" t="s">
        <v>1294</v>
      </c>
      <c r="B282" s="55" t="s">
        <v>409</v>
      </c>
      <c r="C282" s="37" t="s">
        <v>410</v>
      </c>
      <c r="D282" s="28">
        <v>4487</v>
      </c>
      <c r="E282" s="19">
        <f>D282/28</f>
        <v>160.25</v>
      </c>
      <c r="F282" s="5">
        <v>4439.75</v>
      </c>
      <c r="I282" s="19">
        <f>IF((D282/28)&gt;100,D282*2,D282*2)</f>
        <v>8974</v>
      </c>
      <c r="J282" t="b">
        <f>IF(F282&gt;1.2*I282,FALSE,TRUE)</f>
        <v>1</v>
      </c>
      <c r="K282" s="4">
        <f>F282/I282-1</f>
        <v>-0.50526521060842433</v>
      </c>
      <c r="N282"/>
      <c r="P282" t="s">
        <v>1311</v>
      </c>
      <c r="Q282">
        <v>0</v>
      </c>
      <c r="R282">
        <v>0</v>
      </c>
    </row>
    <row r="283" spans="1:18" ht="30" hidden="1">
      <c r="A283" t="s">
        <v>1294</v>
      </c>
      <c r="B283" s="55" t="s">
        <v>159</v>
      </c>
      <c r="C283" s="37" t="s">
        <v>160</v>
      </c>
      <c r="D283" s="28">
        <v>2089</v>
      </c>
      <c r="E283" s="19">
        <f>D283/28</f>
        <v>74.607142857142861</v>
      </c>
      <c r="F283" s="5">
        <v>3823.9</v>
      </c>
      <c r="I283" s="19">
        <f>IF((D283/28)&gt;100,D283*2,D283*2)</f>
        <v>4178</v>
      </c>
      <c r="J283" t="b">
        <f>IF(F283&gt;1.2*I283,FALSE,TRUE)</f>
        <v>1</v>
      </c>
      <c r="K283" s="4">
        <f>F283/I283-1</f>
        <v>-8.4753470560076538E-2</v>
      </c>
      <c r="N283"/>
      <c r="P283" t="s">
        <v>861</v>
      </c>
      <c r="Q283">
        <v>671</v>
      </c>
      <c r="R283">
        <v>0</v>
      </c>
    </row>
    <row r="284" spans="1:18">
      <c r="A284" t="s">
        <v>1295</v>
      </c>
      <c r="B284" s="55" t="s">
        <v>115</v>
      </c>
      <c r="C284" s="37" t="s">
        <v>116</v>
      </c>
      <c r="D284" s="28">
        <v>388</v>
      </c>
      <c r="E284" s="19">
        <f>D284/28</f>
        <v>13.857142857142858</v>
      </c>
      <c r="F284" s="5">
        <v>1128.23</v>
      </c>
      <c r="I284" s="19">
        <f>IF((D284/28)&gt;100,D284*2,D284*2)</f>
        <v>776</v>
      </c>
      <c r="J284" t="b">
        <f>IF(F284&gt;1.2*I284,FALSE,TRUE)</f>
        <v>0</v>
      </c>
      <c r="K284" s="4">
        <f>F284/I284-1</f>
        <v>0.4539046391752577</v>
      </c>
      <c r="N284"/>
      <c r="P284" t="s">
        <v>969</v>
      </c>
      <c r="Q284">
        <v>1758</v>
      </c>
      <c r="R284">
        <v>3478.4</v>
      </c>
    </row>
    <row r="285" spans="1:18" hidden="1">
      <c r="A285" t="s">
        <v>1294</v>
      </c>
      <c r="B285" s="55" t="s">
        <v>151</v>
      </c>
      <c r="C285" s="37" t="s">
        <v>152</v>
      </c>
      <c r="D285" s="28">
        <v>2550</v>
      </c>
      <c r="E285" s="19">
        <f>D285/28</f>
        <v>91.071428571428569</v>
      </c>
      <c r="F285" s="5">
        <v>4915.26</v>
      </c>
      <c r="I285" s="19">
        <f>IF((D285/28)&gt;100,D285*2,D285*2)</f>
        <v>5100</v>
      </c>
      <c r="J285" t="b">
        <f>IF(F285&gt;1.2*I285,FALSE,TRUE)</f>
        <v>1</v>
      </c>
      <c r="K285" s="4">
        <f>F285/I285-1</f>
        <v>-3.6223529411764654E-2</v>
      </c>
      <c r="N285"/>
      <c r="P285" t="s">
        <v>722</v>
      </c>
      <c r="Q285">
        <v>1810</v>
      </c>
      <c r="R285">
        <v>2248.7199999999998</v>
      </c>
    </row>
    <row r="286" spans="1:18" hidden="1">
      <c r="A286" t="s">
        <v>1295</v>
      </c>
      <c r="B286" s="55" t="s">
        <v>46</v>
      </c>
      <c r="C286" s="37" t="s">
        <v>47</v>
      </c>
      <c r="D286" s="28">
        <v>5557</v>
      </c>
      <c r="E286" s="19">
        <f>D286/28</f>
        <v>198.46428571428572</v>
      </c>
      <c r="F286" s="5">
        <v>7598.92</v>
      </c>
      <c r="I286" s="19">
        <f>IF((D286/28)&gt;100,D286*2,D286*2)</f>
        <v>11114</v>
      </c>
      <c r="J286" t="b">
        <f>IF(F286&gt;1.2*I286,FALSE,TRUE)</f>
        <v>1</v>
      </c>
      <c r="K286" s="4">
        <f>F286/I286-1</f>
        <v>-0.31627496850818781</v>
      </c>
      <c r="N286"/>
      <c r="P286" t="s">
        <v>1312</v>
      </c>
      <c r="Q286">
        <v>130</v>
      </c>
      <c r="R286">
        <v>0</v>
      </c>
    </row>
    <row r="287" spans="1:18" ht="30" hidden="1">
      <c r="A287" t="s">
        <v>1296</v>
      </c>
      <c r="B287" s="55" t="s">
        <v>207</v>
      </c>
      <c r="C287" s="37" t="s">
        <v>208</v>
      </c>
      <c r="D287" s="28">
        <v>1171</v>
      </c>
      <c r="E287" s="19">
        <f>D287/28</f>
        <v>41.821428571428569</v>
      </c>
      <c r="F287" s="5">
        <v>2460.85</v>
      </c>
      <c r="I287" s="19">
        <f>IF((D287/28)&gt;100,D287*2,D287*2)</f>
        <v>2342</v>
      </c>
      <c r="J287" t="b">
        <f>IF(F287&gt;1.2*I287,FALSE,TRUE)</f>
        <v>1</v>
      </c>
      <c r="K287" s="4">
        <f>F287/I287-1</f>
        <v>5.0747224594363649E-2</v>
      </c>
      <c r="N287"/>
      <c r="P287" t="s">
        <v>963</v>
      </c>
      <c r="Q287">
        <v>1461</v>
      </c>
      <c r="R287">
        <v>3193.14</v>
      </c>
    </row>
    <row r="288" spans="1:18" ht="30" hidden="1">
      <c r="A288" t="s">
        <v>1296</v>
      </c>
      <c r="B288" s="55" t="s">
        <v>691</v>
      </c>
      <c r="C288" s="37" t="s">
        <v>692</v>
      </c>
      <c r="D288" s="28">
        <v>57049</v>
      </c>
      <c r="E288" s="19">
        <f>D288/28</f>
        <v>2037.4642857142858</v>
      </c>
      <c r="F288" s="5">
        <v>68750.289999999994</v>
      </c>
      <c r="I288" s="139">
        <f>IF((D288/28)&gt;100,D288*2,D288*2)</f>
        <v>114098</v>
      </c>
      <c r="J288" t="b">
        <f>IF(F288&gt;1.2*I288,FALSE,TRUE)</f>
        <v>1</v>
      </c>
      <c r="K288" s="4">
        <f>F288/I288-1</f>
        <v>-0.3974452663499799</v>
      </c>
      <c r="N288" s="144"/>
      <c r="P288" t="s">
        <v>805</v>
      </c>
      <c r="Q288">
        <v>898</v>
      </c>
      <c r="R288">
        <v>1140.48</v>
      </c>
    </row>
    <row r="289" spans="1:18" hidden="1">
      <c r="A289" t="s">
        <v>1294</v>
      </c>
      <c r="B289" s="55" t="s">
        <v>157</v>
      </c>
      <c r="C289" s="37" t="s">
        <v>158</v>
      </c>
      <c r="D289" s="28">
        <v>2590</v>
      </c>
      <c r="E289" s="19">
        <f>D289/28</f>
        <v>92.5</v>
      </c>
      <c r="F289" s="5">
        <v>5373.83</v>
      </c>
      <c r="I289" s="19">
        <f>IF((D289/28)&gt;100,D289*2,D289*2)</f>
        <v>5180</v>
      </c>
      <c r="J289" t="b">
        <f>IF(F289&gt;1.2*I289,FALSE,TRUE)</f>
        <v>1</v>
      </c>
      <c r="K289" s="4">
        <f>F289/I289-1</f>
        <v>3.7418918918918909E-2</v>
      </c>
      <c r="N289"/>
      <c r="P289" t="s">
        <v>760</v>
      </c>
      <c r="Q289">
        <v>767</v>
      </c>
      <c r="R289">
        <v>780.51</v>
      </c>
    </row>
    <row r="290" spans="1:18" hidden="1">
      <c r="A290" t="s">
        <v>1294</v>
      </c>
      <c r="B290" s="55" t="s">
        <v>143</v>
      </c>
      <c r="C290" s="37" t="s">
        <v>144</v>
      </c>
      <c r="D290" s="28">
        <v>2148</v>
      </c>
      <c r="E290" s="19">
        <f>D290/28</f>
        <v>76.714285714285708</v>
      </c>
      <c r="F290" s="5">
        <v>4668.3999999999996</v>
      </c>
      <c r="I290" s="19">
        <f>IF((D290/28)&gt;100,D290*2,D290*2)</f>
        <v>4296</v>
      </c>
      <c r="J290" t="b">
        <f>IF(F290&gt;1.2*I290,FALSE,TRUE)</f>
        <v>1</v>
      </c>
      <c r="K290" s="4">
        <f>F290/I290-1</f>
        <v>8.668528864059577E-2</v>
      </c>
      <c r="N290"/>
      <c r="P290" t="s">
        <v>878</v>
      </c>
      <c r="Q290">
        <v>1069</v>
      </c>
      <c r="R290">
        <v>1609.44</v>
      </c>
    </row>
    <row r="291" spans="1:18">
      <c r="A291" t="s">
        <v>1295</v>
      </c>
      <c r="B291" s="55" t="s">
        <v>123</v>
      </c>
      <c r="C291" s="37" t="s">
        <v>124</v>
      </c>
      <c r="D291" s="28">
        <v>370</v>
      </c>
      <c r="E291" s="19">
        <f>D291/28</f>
        <v>13.214285714285714</v>
      </c>
      <c r="F291" s="5">
        <v>1118.96</v>
      </c>
      <c r="I291" s="19">
        <f>IF((D291/28)&gt;100,D291*2,D291*2)</f>
        <v>740</v>
      </c>
      <c r="J291" t="b">
        <f>IF(F291&gt;1.2*I291,FALSE,TRUE)</f>
        <v>0</v>
      </c>
      <c r="K291" s="4">
        <f>F291/I291-1</f>
        <v>0.51210810810810825</v>
      </c>
      <c r="N291"/>
      <c r="P291" t="s">
        <v>828</v>
      </c>
      <c r="Q291">
        <v>1050</v>
      </c>
      <c r="R291">
        <v>2642.42</v>
      </c>
    </row>
    <row r="292" spans="1:18">
      <c r="A292" t="s">
        <v>1296</v>
      </c>
      <c r="B292" s="55" t="s">
        <v>697</v>
      </c>
      <c r="C292" s="37" t="s">
        <v>698</v>
      </c>
      <c r="D292" s="28">
        <v>369</v>
      </c>
      <c r="E292" s="19">
        <f>D292/28</f>
        <v>13.178571428571429</v>
      </c>
      <c r="F292" s="5">
        <v>1178.3800000000001</v>
      </c>
      <c r="I292" s="19">
        <f>IF((D292/28)&gt;100,D292*2,D292*2)</f>
        <v>738</v>
      </c>
      <c r="J292" t="b">
        <f>IF(F292&gt;1.2*I292,FALSE,TRUE)</f>
        <v>0</v>
      </c>
      <c r="K292" s="4">
        <f>F292/I292-1</f>
        <v>0.59672086720867235</v>
      </c>
      <c r="N292"/>
      <c r="P292" t="s">
        <v>819</v>
      </c>
      <c r="Q292">
        <v>1599</v>
      </c>
      <c r="R292">
        <v>2462.29</v>
      </c>
    </row>
    <row r="293" spans="1:18" hidden="1">
      <c r="A293" t="s">
        <v>1295</v>
      </c>
      <c r="B293" s="55" t="s">
        <v>175</v>
      </c>
      <c r="C293" s="37" t="s">
        <v>176</v>
      </c>
      <c r="D293" s="28">
        <v>1732</v>
      </c>
      <c r="E293" s="19">
        <f>D293/28</f>
        <v>61.857142857142854</v>
      </c>
      <c r="F293" s="5">
        <v>3243.77</v>
      </c>
      <c r="I293" s="19">
        <f>IF((D293/28)&gt;100,D293*2,D293*2)</f>
        <v>3464</v>
      </c>
      <c r="J293" t="b">
        <f>IF(F293&gt;1.2*I293,FALSE,TRUE)</f>
        <v>1</v>
      </c>
      <c r="K293" s="4">
        <f>F293/I293-1</f>
        <v>-6.3576789838337144E-2</v>
      </c>
      <c r="N293"/>
      <c r="P293" t="s">
        <v>837</v>
      </c>
      <c r="Q293">
        <v>986</v>
      </c>
      <c r="R293">
        <v>1511.76</v>
      </c>
    </row>
    <row r="294" spans="1:18">
      <c r="B294" s="27" t="s">
        <v>1108</v>
      </c>
      <c r="C294" s="27" t="s">
        <v>1109</v>
      </c>
      <c r="D294">
        <v>363</v>
      </c>
      <c r="E294" s="19">
        <f>D294/28</f>
        <v>12.964285714285714</v>
      </c>
      <c r="F294" s="5">
        <v>898.24</v>
      </c>
      <c r="I294" s="140">
        <f>IF((D294/28)&gt;100,D294*2,D294*2)</f>
        <v>726</v>
      </c>
      <c r="J294" t="b">
        <f>IF(F294&gt;1.2*I294,FALSE,TRUE)</f>
        <v>0</v>
      </c>
      <c r="K294" s="4">
        <f>F294/I294-1</f>
        <v>0.23724517906336096</v>
      </c>
      <c r="P294" t="s">
        <v>756</v>
      </c>
      <c r="Q294">
        <v>1097</v>
      </c>
      <c r="R294">
        <v>2322.02</v>
      </c>
    </row>
    <row r="295" spans="1:18" hidden="1">
      <c r="A295" t="s">
        <v>1294</v>
      </c>
      <c r="B295" t="s">
        <v>345</v>
      </c>
      <c r="C295" t="s">
        <v>346</v>
      </c>
      <c r="D295" s="19">
        <v>1569</v>
      </c>
      <c r="E295" s="19">
        <f>D295/28</f>
        <v>56.035714285714285</v>
      </c>
      <c r="F295" s="5">
        <v>2794.74</v>
      </c>
      <c r="I295" s="19">
        <f>IF((D295/28)&gt;100,D295*2,D295*2)</f>
        <v>3138</v>
      </c>
      <c r="J295" t="b">
        <f>IF(F295&gt;1.2*I295,FALSE,TRUE)</f>
        <v>1</v>
      </c>
      <c r="K295" s="4">
        <f>F295/I295-1</f>
        <v>-0.10938814531548768</v>
      </c>
      <c r="N295"/>
      <c r="P295" t="s">
        <v>1014</v>
      </c>
      <c r="Q295">
        <v>4451</v>
      </c>
      <c r="R295">
        <v>6429.45</v>
      </c>
    </row>
    <row r="296" spans="1:18" hidden="1">
      <c r="A296" t="s">
        <v>1295</v>
      </c>
      <c r="B296" t="s">
        <v>86</v>
      </c>
      <c r="C296" t="s">
        <v>87</v>
      </c>
      <c r="D296" s="19">
        <v>6059</v>
      </c>
      <c r="E296" s="19">
        <f>D296/28</f>
        <v>216.39285714285714</v>
      </c>
      <c r="F296" s="5">
        <v>9751.64</v>
      </c>
      <c r="I296" s="19">
        <f>IF((D296/28)&gt;100,D296*2,D296*2)</f>
        <v>12118</v>
      </c>
      <c r="J296" t="b">
        <f>IF(F296&gt;1.2*I296,FALSE,TRUE)</f>
        <v>1</v>
      </c>
      <c r="K296" s="4">
        <f>F296/I296-1</f>
        <v>-0.19527644825878865</v>
      </c>
      <c r="N296"/>
      <c r="P296" t="s">
        <v>943</v>
      </c>
      <c r="Q296">
        <v>1048</v>
      </c>
      <c r="R296">
        <v>1274.44</v>
      </c>
    </row>
    <row r="297" spans="1:18" hidden="1">
      <c r="A297" t="s">
        <v>1295</v>
      </c>
      <c r="B297" t="s">
        <v>173</v>
      </c>
      <c r="C297" t="s">
        <v>174</v>
      </c>
      <c r="D297" s="19">
        <v>2512</v>
      </c>
      <c r="E297" s="19">
        <f>D297/28</f>
        <v>89.714285714285708</v>
      </c>
      <c r="F297" s="5">
        <v>4082.69</v>
      </c>
      <c r="I297" s="154">
        <f>IF((D297/28)&gt;100,D297*2,D297*2)</f>
        <v>5024</v>
      </c>
      <c r="J297" t="b">
        <f>IF(F297&gt;1.2*I297,FALSE,TRUE)</f>
        <v>1</v>
      </c>
      <c r="K297" s="4">
        <f>F297/I297-1</f>
        <v>-0.18736265923566875</v>
      </c>
      <c r="P297" t="s">
        <v>1313</v>
      </c>
      <c r="Q297">
        <v>140</v>
      </c>
      <c r="R297">
        <v>0</v>
      </c>
    </row>
    <row r="298" spans="1:18">
      <c r="A298" t="s">
        <v>1295</v>
      </c>
      <c r="B298" s="55" t="s">
        <v>125</v>
      </c>
      <c r="C298" s="37" t="s">
        <v>126</v>
      </c>
      <c r="D298" s="28">
        <v>359</v>
      </c>
      <c r="E298" s="19">
        <f>D298/28</f>
        <v>12.821428571428571</v>
      </c>
      <c r="F298" s="5">
        <v>1000.06</v>
      </c>
      <c r="I298" s="151">
        <f>IF((D298/28)&gt;100,D298*2,D298*2)</f>
        <v>718</v>
      </c>
      <c r="J298" t="b">
        <f>IF(F298&gt;1.2*I298,FALSE,TRUE)</f>
        <v>0</v>
      </c>
      <c r="K298" s="4">
        <f>F298/I298-1</f>
        <v>0.39284122562674084</v>
      </c>
      <c r="N298"/>
      <c r="P298" t="s">
        <v>914</v>
      </c>
      <c r="Q298">
        <v>931</v>
      </c>
      <c r="R298">
        <v>1583.03</v>
      </c>
    </row>
    <row r="299" spans="1:18" hidden="1">
      <c r="A299" t="s">
        <v>1296</v>
      </c>
      <c r="B299" t="s">
        <v>105</v>
      </c>
      <c r="C299" t="s">
        <v>106</v>
      </c>
      <c r="D299" s="19">
        <v>1186</v>
      </c>
      <c r="E299" s="19">
        <f>D299/28</f>
        <v>42.357142857142854</v>
      </c>
      <c r="F299" s="5">
        <v>2640.18</v>
      </c>
      <c r="I299" s="19">
        <f>IF((D299/28)&gt;100,D299*2,D299*2)</f>
        <v>2372</v>
      </c>
      <c r="J299" t="b">
        <f>IF(F299&gt;1.2*I299,FALSE,TRUE)</f>
        <v>1</v>
      </c>
      <c r="K299" s="4">
        <f>F299/I299-1</f>
        <v>0.11306070826306902</v>
      </c>
      <c r="N299"/>
      <c r="P299" t="s">
        <v>910</v>
      </c>
      <c r="Q299">
        <v>348</v>
      </c>
      <c r="R299">
        <v>233.13</v>
      </c>
    </row>
    <row r="300" spans="1:18" hidden="1">
      <c r="A300" t="s">
        <v>1294</v>
      </c>
      <c r="B300" t="s">
        <v>247</v>
      </c>
      <c r="C300" t="s">
        <v>248</v>
      </c>
      <c r="D300" s="19">
        <v>1875</v>
      </c>
      <c r="E300" s="19">
        <f>D300/28</f>
        <v>66.964285714285708</v>
      </c>
      <c r="F300" s="5">
        <v>2180.7399999999998</v>
      </c>
      <c r="I300" s="19">
        <f>IF((D300/28)&gt;100,D300*2,D300*2)</f>
        <v>3750</v>
      </c>
      <c r="J300" t="b">
        <f>IF(F300&gt;1.2*I300,FALSE,TRUE)</f>
        <v>1</v>
      </c>
      <c r="K300" s="4">
        <f>F300/I300-1</f>
        <v>-0.41846933333333336</v>
      </c>
      <c r="N300"/>
      <c r="P300" t="s">
        <v>764</v>
      </c>
      <c r="Q300">
        <v>1493</v>
      </c>
      <c r="R300">
        <v>2515.94</v>
      </c>
    </row>
    <row r="301" spans="1:18" hidden="1">
      <c r="A301" t="s">
        <v>1294</v>
      </c>
      <c r="B301" s="24" t="s">
        <v>84</v>
      </c>
      <c r="C301" s="23" t="s">
        <v>85</v>
      </c>
      <c r="D301" s="19">
        <v>1352</v>
      </c>
      <c r="E301" s="19">
        <f>D301/28</f>
        <v>48.285714285714285</v>
      </c>
      <c r="F301" s="5">
        <v>2417.2399999999998</v>
      </c>
      <c r="I301" s="19">
        <f>IF((D301/28)&gt;100,D301*2,D301*2)</f>
        <v>2704</v>
      </c>
      <c r="J301" t="b">
        <f>IF(F301&gt;1.2*I301,FALSE,TRUE)</f>
        <v>1</v>
      </c>
      <c r="K301" s="4">
        <f>F301/I301-1</f>
        <v>-0.1060502958579882</v>
      </c>
      <c r="N301"/>
      <c r="P301" t="s">
        <v>902</v>
      </c>
      <c r="Q301">
        <v>1954</v>
      </c>
      <c r="R301">
        <v>2412.92</v>
      </c>
    </row>
    <row r="302" spans="1:18" hidden="1">
      <c r="A302" t="s">
        <v>1295</v>
      </c>
      <c r="B302" s="56" t="s">
        <v>88</v>
      </c>
      <c r="C302" s="37" t="s">
        <v>89</v>
      </c>
      <c r="D302" s="19">
        <v>4547</v>
      </c>
      <c r="E302" s="19">
        <f>D302/28</f>
        <v>162.39285714285714</v>
      </c>
      <c r="F302" s="5">
        <v>7616.2</v>
      </c>
      <c r="I302" s="19">
        <f>IF((D302/28)&gt;100,D302*2,D302*2)</f>
        <v>9094</v>
      </c>
      <c r="J302" t="b">
        <f>IF(F302&gt;1.2*I302,FALSE,TRUE)</f>
        <v>1</v>
      </c>
      <c r="K302" s="4">
        <f>F302/I302-1</f>
        <v>-0.16250274906531781</v>
      </c>
      <c r="N302"/>
      <c r="P302" t="s">
        <v>1314</v>
      </c>
      <c r="Q302">
        <v>595</v>
      </c>
      <c r="R302">
        <v>486.99</v>
      </c>
    </row>
    <row r="303" spans="1:18">
      <c r="A303" t="s">
        <v>1295</v>
      </c>
      <c r="B303" s="55" t="s">
        <v>107</v>
      </c>
      <c r="C303" s="37" t="s">
        <v>108</v>
      </c>
      <c r="D303">
        <v>351</v>
      </c>
      <c r="E303" s="19">
        <f>D303/28</f>
        <v>12.535714285714286</v>
      </c>
      <c r="F303" s="5">
        <v>1276.57</v>
      </c>
      <c r="I303" s="151">
        <f>IF((D303/28)&gt;100,D303*2,D303*2)</f>
        <v>702</v>
      </c>
      <c r="J303" t="b">
        <f>IF(F303&gt;1.2*I303,FALSE,TRUE)</f>
        <v>0</v>
      </c>
      <c r="K303" s="4">
        <f>F303/I303-1</f>
        <v>0.81847578347578342</v>
      </c>
      <c r="N303"/>
      <c r="P303" t="s">
        <v>957</v>
      </c>
      <c r="Q303">
        <v>1003</v>
      </c>
      <c r="R303">
        <v>879.2</v>
      </c>
    </row>
    <row r="304" spans="1:18" hidden="1">
      <c r="A304" t="s">
        <v>1294</v>
      </c>
      <c r="B304" t="s">
        <v>82</v>
      </c>
      <c r="C304" t="s">
        <v>83</v>
      </c>
      <c r="D304" s="19">
        <v>2975</v>
      </c>
      <c r="E304" s="19">
        <f>D304/28</f>
        <v>106.25</v>
      </c>
      <c r="F304" s="5">
        <v>6372.17</v>
      </c>
      <c r="I304" s="19">
        <f>IF((D304/28)&gt;100,D304*2,D304*2)</f>
        <v>5950</v>
      </c>
      <c r="J304" t="b">
        <f>IF(F304&gt;1.2*I304,FALSE,TRUE)</f>
        <v>1</v>
      </c>
      <c r="K304" s="4">
        <f>F304/I304-1</f>
        <v>7.0952941176470663E-2</v>
      </c>
      <c r="N304"/>
      <c r="P304" t="s">
        <v>801</v>
      </c>
      <c r="Q304">
        <v>721</v>
      </c>
      <c r="R304">
        <v>855.88</v>
      </c>
    </row>
    <row r="305" spans="1:18">
      <c r="A305" t="s">
        <v>1296</v>
      </c>
      <c r="B305" t="s">
        <v>571</v>
      </c>
      <c r="C305" t="s">
        <v>572</v>
      </c>
      <c r="D305" s="28">
        <v>350</v>
      </c>
      <c r="E305" s="19">
        <f>D305/28</f>
        <v>12.5</v>
      </c>
      <c r="F305" s="5">
        <v>969.98</v>
      </c>
      <c r="I305" s="19">
        <f>IF((D305/28)&gt;100,D305*2,D305*2)</f>
        <v>700</v>
      </c>
      <c r="J305" t="b">
        <f>IF(F305&gt;1.2*I305,FALSE,TRUE)</f>
        <v>0</v>
      </c>
      <c r="K305" s="4">
        <f>F305/I305-1</f>
        <v>0.38568571428571441</v>
      </c>
      <c r="L305" t="s">
        <v>15</v>
      </c>
      <c r="N305"/>
      <c r="P305" t="s">
        <v>857</v>
      </c>
      <c r="Q305">
        <v>1221</v>
      </c>
      <c r="R305">
        <v>0</v>
      </c>
    </row>
    <row r="306" spans="1:18">
      <c r="A306" t="s">
        <v>1295</v>
      </c>
      <c r="B306" t="s">
        <v>489</v>
      </c>
      <c r="C306" t="s">
        <v>490</v>
      </c>
      <c r="D306" s="28">
        <v>314</v>
      </c>
      <c r="E306" s="19">
        <f>D306/28</f>
        <v>11.214285714285714</v>
      </c>
      <c r="F306" s="5">
        <v>1062.33</v>
      </c>
      <c r="I306" s="19">
        <f>IF((D306/28)&gt;100,D306*2,D306*2)</f>
        <v>628</v>
      </c>
      <c r="J306" t="b">
        <f>IF(F306&gt;1.2*I306,FALSE,TRUE)</f>
        <v>0</v>
      </c>
      <c r="K306" s="4">
        <f>F306/I306-1</f>
        <v>0.69160828025477694</v>
      </c>
      <c r="N306"/>
      <c r="P306" t="s">
        <v>926</v>
      </c>
      <c r="Q306">
        <v>722</v>
      </c>
      <c r="R306">
        <v>486.87</v>
      </c>
    </row>
    <row r="307" spans="1:18" hidden="1">
      <c r="A307" t="s">
        <v>1296</v>
      </c>
      <c r="B307" t="s">
        <v>619</v>
      </c>
      <c r="C307" t="s">
        <v>620</v>
      </c>
      <c r="D307" s="19">
        <v>1590</v>
      </c>
      <c r="E307" s="19">
        <f>D307/28</f>
        <v>56.785714285714285</v>
      </c>
      <c r="F307" s="5">
        <v>411.44</v>
      </c>
      <c r="I307" s="19">
        <f>IF((D307/28)&gt;100,D307*2,D307*2)</f>
        <v>3180</v>
      </c>
      <c r="J307" t="b">
        <f>IF(F307&gt;1.2*I307,FALSE,TRUE)</f>
        <v>1</v>
      </c>
      <c r="K307" s="4">
        <f>F307/I307-1</f>
        <v>-0.87061635220125788</v>
      </c>
      <c r="N307"/>
      <c r="P307" t="s">
        <v>811</v>
      </c>
      <c r="Q307">
        <v>1270</v>
      </c>
      <c r="R307">
        <v>2839.08</v>
      </c>
    </row>
    <row r="308" spans="1:18" hidden="1">
      <c r="A308" t="s">
        <v>1294</v>
      </c>
      <c r="B308" t="s">
        <v>100</v>
      </c>
      <c r="C308" t="s">
        <v>101</v>
      </c>
      <c r="D308" s="19">
        <v>1807</v>
      </c>
      <c r="E308" s="19">
        <f>D308/28</f>
        <v>64.535714285714292</v>
      </c>
      <c r="F308" s="5">
        <v>2668.01</v>
      </c>
      <c r="I308" s="139">
        <f>IF((D308/28)&gt;100,D308*2,D308*2)</f>
        <v>3614</v>
      </c>
      <c r="J308" t="b">
        <f>IF(F308&gt;1.2*I308,FALSE,TRUE)</f>
        <v>1</v>
      </c>
      <c r="K308" s="4">
        <f>F308/I308-1</f>
        <v>-0.26175705589374643</v>
      </c>
      <c r="P308" t="s">
        <v>815</v>
      </c>
      <c r="Q308">
        <v>3590</v>
      </c>
      <c r="R308">
        <v>3329.15</v>
      </c>
    </row>
    <row r="309" spans="1:18" hidden="1">
      <c r="A309" t="s">
        <v>1295</v>
      </c>
      <c r="B309" t="s">
        <v>223</v>
      </c>
      <c r="C309" t="s">
        <v>224</v>
      </c>
      <c r="D309" s="19">
        <v>1967</v>
      </c>
      <c r="E309" s="19">
        <f>D309/28</f>
        <v>70.25</v>
      </c>
      <c r="F309" s="5">
        <v>1875.2900000000002</v>
      </c>
      <c r="I309" s="19">
        <f>IF((D309/28)&gt;100,D309*2,D309*2)</f>
        <v>3934</v>
      </c>
      <c r="J309" t="b">
        <f>IF(F309&gt;1.2*I309,FALSE,TRUE)</f>
        <v>1</v>
      </c>
      <c r="K309" s="4">
        <f>F309/I309-1</f>
        <v>-0.52331215048296897</v>
      </c>
      <c r="N309"/>
      <c r="P309" t="s">
        <v>807</v>
      </c>
      <c r="Q309">
        <v>1071</v>
      </c>
      <c r="R309">
        <v>1111.29</v>
      </c>
    </row>
    <row r="310" spans="1:18" hidden="1">
      <c r="A310" t="s">
        <v>1296</v>
      </c>
      <c r="B310" s="27" t="s">
        <v>385</v>
      </c>
      <c r="C310" s="27" t="s">
        <v>386</v>
      </c>
      <c r="D310" s="19">
        <v>2263</v>
      </c>
      <c r="E310" s="19">
        <f>D310/28</f>
        <v>80.821428571428569</v>
      </c>
      <c r="F310" s="5">
        <v>2983.23</v>
      </c>
      <c r="I310" s="19">
        <f>IF((D310/28)&gt;100,D310*2,D310*2)</f>
        <v>4526</v>
      </c>
      <c r="J310" t="b">
        <f>IF(F310&gt;1.2*I310,FALSE,TRUE)</f>
        <v>1</v>
      </c>
      <c r="K310" s="4">
        <f>F310/I310-1</f>
        <v>-0.34086831639416704</v>
      </c>
      <c r="N310"/>
      <c r="P310" t="s">
        <v>929</v>
      </c>
      <c r="Q310">
        <v>1019</v>
      </c>
      <c r="R310">
        <v>2154.46</v>
      </c>
    </row>
    <row r="311" spans="1:18" hidden="1">
      <c r="A311" t="s">
        <v>1295</v>
      </c>
      <c r="B311" s="5" t="s">
        <v>315</v>
      </c>
      <c r="C311" t="s">
        <v>316</v>
      </c>
      <c r="D311" s="19">
        <v>17768</v>
      </c>
      <c r="E311" s="19">
        <f>D311/28</f>
        <v>634.57142857142856</v>
      </c>
      <c r="F311" s="5">
        <v>10663.55</v>
      </c>
      <c r="I311" s="19">
        <f>IF((D311/28)&gt;100,D311*2,D311*2)</f>
        <v>35536</v>
      </c>
      <c r="J311" t="b">
        <f>IF(F311&gt;1.2*I311,FALSE,TRUE)</f>
        <v>1</v>
      </c>
      <c r="K311" s="4">
        <f>F311/I311-1</f>
        <v>-0.69992261368752817</v>
      </c>
      <c r="N311"/>
      <c r="P311" t="s">
        <v>1006</v>
      </c>
      <c r="Q311">
        <v>2100</v>
      </c>
      <c r="R311">
        <v>2900.04</v>
      </c>
    </row>
    <row r="312" spans="1:18" hidden="1">
      <c r="A312" t="s">
        <v>1296</v>
      </c>
      <c r="B312" t="s">
        <v>42</v>
      </c>
      <c r="C312" t="s">
        <v>43</v>
      </c>
      <c r="D312" s="19">
        <v>2525</v>
      </c>
      <c r="E312" s="19">
        <f>D312/28</f>
        <v>90.178571428571431</v>
      </c>
      <c r="F312" s="5">
        <v>5054.4799999999996</v>
      </c>
      <c r="I312" s="19">
        <f>IF((D312/28)&gt;100,D312*2,D312*2)</f>
        <v>5050</v>
      </c>
      <c r="J312" t="b">
        <f>IF(F312&gt;1.2*I312,FALSE,TRUE)</f>
        <v>1</v>
      </c>
      <c r="K312" s="4">
        <f>F312/I312-1</f>
        <v>8.8712871287111028E-4</v>
      </c>
      <c r="N312"/>
      <c r="P312" t="s">
        <v>766</v>
      </c>
      <c r="Q312">
        <v>2322</v>
      </c>
      <c r="R312">
        <v>2781.16</v>
      </c>
    </row>
    <row r="313" spans="1:18" hidden="1">
      <c r="A313" t="s">
        <v>1294</v>
      </c>
      <c r="B313" t="s">
        <v>48</v>
      </c>
      <c r="C313" t="s">
        <v>49</v>
      </c>
      <c r="D313" s="19">
        <v>1590</v>
      </c>
      <c r="E313" s="19">
        <f>D313/28</f>
        <v>56.785714285714285</v>
      </c>
      <c r="F313" s="5">
        <v>3154.73</v>
      </c>
      <c r="I313" s="151">
        <f>IF((D313/28)&gt;100,D313*2,D313*2)</f>
        <v>3180</v>
      </c>
      <c r="J313" t="b">
        <f>IF(F313&gt;1.2*I313,FALSE,TRUE)</f>
        <v>1</v>
      </c>
      <c r="K313" s="4">
        <f>F313/I313-1</f>
        <v>-7.9465408805031723E-3</v>
      </c>
      <c r="N313"/>
      <c r="P313" t="s">
        <v>880</v>
      </c>
      <c r="Q313">
        <v>485</v>
      </c>
      <c r="R313">
        <v>329.07</v>
      </c>
    </row>
    <row r="314" spans="1:18" hidden="1">
      <c r="A314" t="s">
        <v>1296</v>
      </c>
      <c r="B314" t="s">
        <v>74</v>
      </c>
      <c r="C314" t="s">
        <v>75</v>
      </c>
      <c r="D314" s="19">
        <v>7425</v>
      </c>
      <c r="E314" s="19">
        <f>D314/28</f>
        <v>265.17857142857144</v>
      </c>
      <c r="F314" s="5">
        <v>10591.28</v>
      </c>
      <c r="I314" s="19">
        <f>IF((D314/28)&gt;100,D314*2,D314*2)</f>
        <v>14850</v>
      </c>
      <c r="J314" t="b">
        <f>IF(F314&gt;1.2*I314,FALSE,TRUE)</f>
        <v>1</v>
      </c>
      <c r="K314" s="4">
        <f>F314/I314-1</f>
        <v>-0.28678249158249158</v>
      </c>
      <c r="N314"/>
      <c r="P314" t="s">
        <v>758</v>
      </c>
      <c r="Q314">
        <v>1498</v>
      </c>
      <c r="R314">
        <v>723.63</v>
      </c>
    </row>
    <row r="315" spans="1:18" hidden="1">
      <c r="A315" t="s">
        <v>1294</v>
      </c>
      <c r="B315" s="5" t="s">
        <v>355</v>
      </c>
      <c r="C315" s="27" t="s">
        <v>356</v>
      </c>
      <c r="D315" s="19">
        <v>1956</v>
      </c>
      <c r="E315" s="19">
        <f>D315/28</f>
        <v>69.857142857142861</v>
      </c>
      <c r="F315" s="5">
        <v>2476.0700000000002</v>
      </c>
      <c r="I315" s="19">
        <f>IF((D315/28)&gt;100,D315*2,D315*2)</f>
        <v>3912</v>
      </c>
      <c r="J315" t="b">
        <f>IF(F315&gt;1.2*I315,FALSE,TRUE)</f>
        <v>1</v>
      </c>
      <c r="K315" s="4">
        <f>F315/I315-1</f>
        <v>-0.36705777096114511</v>
      </c>
      <c r="N315"/>
      <c r="P315" t="s">
        <v>718</v>
      </c>
      <c r="Q315">
        <v>10278</v>
      </c>
      <c r="R315">
        <v>8437.92</v>
      </c>
    </row>
    <row r="316" spans="1:18" hidden="1">
      <c r="A316" t="s">
        <v>1294</v>
      </c>
      <c r="B316" t="s">
        <v>119</v>
      </c>
      <c r="C316" s="5" t="s">
        <v>120</v>
      </c>
      <c r="D316" s="19">
        <v>1485</v>
      </c>
      <c r="E316" s="19">
        <f>D316/28</f>
        <v>53.035714285714285</v>
      </c>
      <c r="F316" s="5">
        <v>2584.36</v>
      </c>
      <c r="I316" s="19">
        <f>IF((D316/28)&gt;100,D316*2,D316*2)</f>
        <v>2970</v>
      </c>
      <c r="J316" t="b">
        <f>IF(F316&gt;1.2*I316,FALSE,TRUE)</f>
        <v>1</v>
      </c>
      <c r="K316" s="4">
        <f>F316/I316-1</f>
        <v>-0.12984511784511776</v>
      </c>
      <c r="N316"/>
      <c r="P316" t="s">
        <v>841</v>
      </c>
      <c r="Q316">
        <v>1468</v>
      </c>
      <c r="R316">
        <v>459.8</v>
      </c>
    </row>
    <row r="317" spans="1:18" hidden="1">
      <c r="A317" t="s">
        <v>1294</v>
      </c>
      <c r="B317" s="27" t="s">
        <v>191</v>
      </c>
      <c r="C317" s="27" t="s">
        <v>192</v>
      </c>
      <c r="D317" s="19">
        <v>5887</v>
      </c>
      <c r="E317" s="19">
        <f>D317/28</f>
        <v>210.25</v>
      </c>
      <c r="F317" s="5">
        <v>8361.41</v>
      </c>
      <c r="I317" s="19">
        <f>IF((D317/28)&gt;100,D317*2,D317*2)</f>
        <v>11774</v>
      </c>
      <c r="J317" t="b">
        <f>IF(F317&gt;1.2*I317,FALSE,TRUE)</f>
        <v>1</v>
      </c>
      <c r="K317" s="4">
        <f>F317/I317-1</f>
        <v>-0.28984117547137767</v>
      </c>
      <c r="N317"/>
      <c r="P317" t="s">
        <v>833</v>
      </c>
      <c r="Q317">
        <v>1079</v>
      </c>
      <c r="R317">
        <v>2197.5700000000002</v>
      </c>
    </row>
    <row r="318" spans="1:18" hidden="1">
      <c r="A318" t="s">
        <v>1294</v>
      </c>
      <c r="B318" t="s">
        <v>639</v>
      </c>
      <c r="C318" t="s">
        <v>640</v>
      </c>
      <c r="D318" s="19">
        <v>2730</v>
      </c>
      <c r="E318" s="19">
        <f>D318/28</f>
        <v>97.5</v>
      </c>
      <c r="F318" s="5">
        <v>1562.66</v>
      </c>
      <c r="I318" s="19">
        <f>IF((D318/28)&gt;100,D318*2,D318*2)</f>
        <v>5460</v>
      </c>
      <c r="J318" t="b">
        <f>IF(F318&gt;1.2*I318,FALSE,TRUE)</f>
        <v>1</v>
      </c>
      <c r="K318" s="4">
        <f>F318/I318-1</f>
        <v>-0.71379853479853472</v>
      </c>
      <c r="N318"/>
      <c r="P318" t="s">
        <v>906</v>
      </c>
      <c r="Q318">
        <v>1017</v>
      </c>
      <c r="R318">
        <v>1281.21</v>
      </c>
    </row>
    <row r="319" spans="1:18" hidden="1">
      <c r="A319" t="s">
        <v>1295</v>
      </c>
      <c r="B319" t="s">
        <v>205</v>
      </c>
      <c r="C319" t="s">
        <v>206</v>
      </c>
      <c r="D319" s="19">
        <v>2231</v>
      </c>
      <c r="E319" s="19">
        <f>D319/28</f>
        <v>79.678571428571431</v>
      </c>
      <c r="F319" s="5">
        <v>3659.08</v>
      </c>
      <c r="I319" s="19">
        <f>IF((D319/28)&gt;100,D319*2,D319*2)</f>
        <v>4462</v>
      </c>
      <c r="J319" t="b">
        <f>IF(F319&gt;1.2*I319,FALSE,TRUE)</f>
        <v>1</v>
      </c>
      <c r="K319" s="4">
        <f>F319/I319-1</f>
        <v>-0.17994621246077991</v>
      </c>
      <c r="N319"/>
      <c r="P319" t="s">
        <v>845</v>
      </c>
      <c r="Q319">
        <v>1132</v>
      </c>
      <c r="R319">
        <v>960.15</v>
      </c>
    </row>
    <row r="320" spans="1:18">
      <c r="A320" t="s">
        <v>1295</v>
      </c>
      <c r="B320" t="s">
        <v>96</v>
      </c>
      <c r="C320" s="27" t="s">
        <v>97</v>
      </c>
      <c r="D320" s="28">
        <v>308</v>
      </c>
      <c r="E320" s="19">
        <f>D320/28</f>
        <v>11</v>
      </c>
      <c r="F320" s="5">
        <v>1567.86</v>
      </c>
      <c r="I320" s="19">
        <f>IF((D320/28)&gt;100,D320*2,D320*2)</f>
        <v>616</v>
      </c>
      <c r="J320" t="b">
        <f>IF(F320&gt;1.2*I320,FALSE,TRUE)</f>
        <v>0</v>
      </c>
      <c r="K320" s="4">
        <f>F320/I320-1</f>
        <v>1.5452272727272724</v>
      </c>
      <c r="N320"/>
      <c r="P320" t="s">
        <v>849</v>
      </c>
      <c r="Q320">
        <v>1142</v>
      </c>
      <c r="R320">
        <v>598.61</v>
      </c>
    </row>
    <row r="321" spans="1:18" hidden="1">
      <c r="A321" t="s">
        <v>1294</v>
      </c>
      <c r="B321" t="s">
        <v>35</v>
      </c>
      <c r="C321" t="s">
        <v>36</v>
      </c>
      <c r="D321" s="19">
        <v>2006</v>
      </c>
      <c r="E321" s="19">
        <f>D321/28</f>
        <v>71.642857142857139</v>
      </c>
      <c r="F321" s="5">
        <v>4628.97</v>
      </c>
      <c r="I321" s="19">
        <f>IF((D321/28)&gt;100,D321*2,D321*2)</f>
        <v>4012</v>
      </c>
      <c r="J321" t="b">
        <f>IF(F321&gt;1.2*I321,FALSE,TRUE)</f>
        <v>1</v>
      </c>
      <c r="K321" s="4">
        <f>F321/I321-1</f>
        <v>0.1537811565304088</v>
      </c>
      <c r="N321"/>
      <c r="P321" t="s">
        <v>947</v>
      </c>
      <c r="Q321">
        <v>1001</v>
      </c>
      <c r="R321">
        <v>1293.8800000000001</v>
      </c>
    </row>
    <row r="322" spans="1:18" hidden="1">
      <c r="A322" t="s">
        <v>1295</v>
      </c>
      <c r="B322" t="s">
        <v>92</v>
      </c>
      <c r="C322" t="s">
        <v>93</v>
      </c>
      <c r="D322" s="19">
        <v>1212</v>
      </c>
      <c r="E322" s="19">
        <f>D322/28</f>
        <v>43.285714285714285</v>
      </c>
      <c r="F322" s="5">
        <v>2183.6</v>
      </c>
      <c r="I322" s="19">
        <f>IF((D322/28)&gt;100,D322*2,D322*2)</f>
        <v>2424</v>
      </c>
      <c r="J322" t="b">
        <f>IF(F322&gt;1.2*I322,FALSE,TRUE)</f>
        <v>1</v>
      </c>
      <c r="K322" s="4">
        <f>F322/I322-1</f>
        <v>-9.9174917491749226E-2</v>
      </c>
      <c r="N322"/>
      <c r="P322" t="s">
        <v>859</v>
      </c>
      <c r="Q322">
        <v>442</v>
      </c>
      <c r="R322">
        <v>0</v>
      </c>
    </row>
    <row r="323" spans="1:18" hidden="1">
      <c r="A323" t="s">
        <v>1294</v>
      </c>
      <c r="B323" t="s">
        <v>121</v>
      </c>
      <c r="C323" t="s">
        <v>122</v>
      </c>
      <c r="D323" s="19">
        <v>1971</v>
      </c>
      <c r="E323" s="19">
        <f>D323/28</f>
        <v>70.392857142857139</v>
      </c>
      <c r="F323" s="5">
        <v>2504.3200000000002</v>
      </c>
      <c r="I323" s="19">
        <f>IF((D323/28)&gt;100,D323*2,D323*2)</f>
        <v>3942</v>
      </c>
      <c r="J323" t="b">
        <f>IF(F323&gt;1.2*I323,FALSE,TRUE)</f>
        <v>1</v>
      </c>
      <c r="K323" s="4">
        <f>F323/I323-1</f>
        <v>-0.36470826991374927</v>
      </c>
      <c r="N323"/>
      <c r="P323" t="s">
        <v>908</v>
      </c>
      <c r="Q323">
        <v>352</v>
      </c>
      <c r="R323">
        <v>304.18</v>
      </c>
    </row>
    <row r="324" spans="1:18">
      <c r="A324" t="s">
        <v>1294</v>
      </c>
      <c r="B324" s="55" t="s">
        <v>431</v>
      </c>
      <c r="C324" s="37" t="s">
        <v>432</v>
      </c>
      <c r="D324">
        <v>304</v>
      </c>
      <c r="E324" s="19">
        <f>D324/28</f>
        <v>10.857142857142858</v>
      </c>
      <c r="F324" s="5">
        <v>841.06</v>
      </c>
      <c r="I324" s="19">
        <f>IF((D324/28)&gt;100,D324*2,D324*2)</f>
        <v>608</v>
      </c>
      <c r="J324" t="b">
        <f>IF(F324&gt;1.2*I324,FALSE,TRUE)</f>
        <v>0</v>
      </c>
      <c r="K324" s="4">
        <f>F324/I324-1</f>
        <v>0.3833223684210525</v>
      </c>
      <c r="N324"/>
      <c r="P324" t="s">
        <v>1315</v>
      </c>
      <c r="Q324">
        <v>433</v>
      </c>
      <c r="R324">
        <v>283.95999999999998</v>
      </c>
    </row>
    <row r="325" spans="1:18" hidden="1">
      <c r="A325" t="s">
        <v>1294</v>
      </c>
      <c r="B325" t="s">
        <v>56</v>
      </c>
      <c r="C325" t="s">
        <v>57</v>
      </c>
      <c r="D325" s="19">
        <v>1115</v>
      </c>
      <c r="E325" s="19">
        <f>D325/28</f>
        <v>39.821428571428569</v>
      </c>
      <c r="F325" s="5">
        <v>2569.2399999999998</v>
      </c>
      <c r="I325" s="19">
        <f>IF((D325/28)&gt;100,D325*2,D325*2)</f>
        <v>2230</v>
      </c>
      <c r="J325" t="b">
        <f>IF(F325&gt;1.2*I325,FALSE,TRUE)</f>
        <v>1</v>
      </c>
      <c r="K325" s="4">
        <f>F325/I325-1</f>
        <v>0.15212556053811643</v>
      </c>
      <c r="N325"/>
      <c r="P325" t="s">
        <v>892</v>
      </c>
      <c r="Q325">
        <v>1773</v>
      </c>
      <c r="R325">
        <v>658.97</v>
      </c>
    </row>
    <row r="326" spans="1:18" hidden="1">
      <c r="A326" t="s">
        <v>1294</v>
      </c>
      <c r="B326" t="s">
        <v>58</v>
      </c>
      <c r="C326" t="s">
        <v>59</v>
      </c>
      <c r="D326" s="19">
        <v>1136</v>
      </c>
      <c r="E326" s="19">
        <f>D326/28</f>
        <v>40.571428571428569</v>
      </c>
      <c r="F326" s="5">
        <v>2536.15</v>
      </c>
      <c r="I326" s="19">
        <f>IF((D326/28)&gt;100,D326*2,D326*2)</f>
        <v>2272</v>
      </c>
      <c r="J326" t="b">
        <f>IF(F326&gt;1.2*I326,FALSE,TRUE)</f>
        <v>1</v>
      </c>
      <c r="K326" s="4">
        <f>F326/I326-1</f>
        <v>0.11626320422535219</v>
      </c>
      <c r="N326"/>
      <c r="P326" t="s">
        <v>886</v>
      </c>
      <c r="Q326">
        <v>4088</v>
      </c>
      <c r="R326">
        <v>1357.7</v>
      </c>
    </row>
    <row r="327" spans="1:18" hidden="1">
      <c r="A327" t="s">
        <v>1294</v>
      </c>
      <c r="B327" t="s">
        <v>90</v>
      </c>
      <c r="C327" t="s">
        <v>91</v>
      </c>
      <c r="D327" s="19">
        <v>1964</v>
      </c>
      <c r="E327" s="19">
        <f>D327/28</f>
        <v>70.142857142857139</v>
      </c>
      <c r="F327" s="5">
        <v>3821.81</v>
      </c>
      <c r="I327" s="19">
        <f>IF((D327/28)&gt;100,D327*2,D327*2)</f>
        <v>3928</v>
      </c>
      <c r="J327" t="b">
        <f>IF(F327&gt;1.2*I327,FALSE,TRUE)</f>
        <v>1</v>
      </c>
      <c r="K327" s="4">
        <f>F327/I327-1</f>
        <v>-2.7034114052953195E-2</v>
      </c>
      <c r="N327"/>
      <c r="P327" t="s">
        <v>912</v>
      </c>
      <c r="Q327">
        <v>307</v>
      </c>
      <c r="R327">
        <v>316.98</v>
      </c>
    </row>
    <row r="328" spans="1:18" hidden="1">
      <c r="A328" t="s">
        <v>1294</v>
      </c>
      <c r="B328" t="s">
        <v>94</v>
      </c>
      <c r="C328" t="s">
        <v>95</v>
      </c>
      <c r="D328" s="19">
        <v>1390</v>
      </c>
      <c r="E328" s="19">
        <f>D328/28</f>
        <v>49.642857142857146</v>
      </c>
      <c r="F328" s="5">
        <v>1442.9</v>
      </c>
      <c r="I328" s="19">
        <f>IF((D328/28)&gt;100,D328*2,D328*2)</f>
        <v>2780</v>
      </c>
      <c r="J328" t="b">
        <f>IF(F328&gt;1.2*I328,FALSE,TRUE)</f>
        <v>1</v>
      </c>
      <c r="K328" s="4">
        <f>F328/I328-1</f>
        <v>-0.48097122302158268</v>
      </c>
      <c r="N328"/>
      <c r="P328" t="s">
        <v>839</v>
      </c>
      <c r="Q328">
        <v>1359</v>
      </c>
      <c r="R328">
        <v>2670.18</v>
      </c>
    </row>
    <row r="329" spans="1:18" hidden="1">
      <c r="A329" t="s">
        <v>1294</v>
      </c>
      <c r="B329" t="s">
        <v>51</v>
      </c>
      <c r="C329" t="s">
        <v>52</v>
      </c>
      <c r="D329" s="19">
        <v>1466</v>
      </c>
      <c r="E329" s="19">
        <f>D329/28</f>
        <v>52.357142857142854</v>
      </c>
      <c r="F329" s="5">
        <v>3165.56</v>
      </c>
      <c r="I329" s="19">
        <f>IF((D329/28)&gt;100,D329*2,D329*2)</f>
        <v>2932</v>
      </c>
      <c r="J329" t="b">
        <f>IF(F329&gt;1.2*I329,FALSE,TRUE)</f>
        <v>1</v>
      </c>
      <c r="K329" s="4">
        <f>F329/I329-1</f>
        <v>7.9658935879945325E-2</v>
      </c>
      <c r="N329"/>
      <c r="P329" t="s">
        <v>981</v>
      </c>
      <c r="Q329">
        <v>4341</v>
      </c>
      <c r="R329">
        <v>5128.26</v>
      </c>
    </row>
    <row r="330" spans="1:18" hidden="1">
      <c r="A330" t="s">
        <v>1294</v>
      </c>
      <c r="B330" t="s">
        <v>129</v>
      </c>
      <c r="C330" t="s">
        <v>130</v>
      </c>
      <c r="D330" s="19">
        <v>5771</v>
      </c>
      <c r="E330" s="19">
        <f>D330/28</f>
        <v>206.10714285714286</v>
      </c>
      <c r="F330" s="5">
        <v>5277.72</v>
      </c>
      <c r="I330" s="19">
        <f>IF((D330/28)&gt;100,D330*2,D330*2)</f>
        <v>11542</v>
      </c>
      <c r="J330" t="b">
        <f>IF(F330&gt;1.2*I330,FALSE,TRUE)</f>
        <v>1</v>
      </c>
      <c r="K330" s="4">
        <f>F330/I330-1</f>
        <v>-0.54273782706636631</v>
      </c>
      <c r="N330"/>
      <c r="P330" t="s">
        <v>727</v>
      </c>
      <c r="Q330">
        <v>2197</v>
      </c>
      <c r="R330">
        <v>3365.88</v>
      </c>
    </row>
    <row r="331" spans="1:18" hidden="1">
      <c r="A331" t="s">
        <v>1296</v>
      </c>
      <c r="B331" t="s">
        <v>109</v>
      </c>
      <c r="C331" t="s">
        <v>110</v>
      </c>
      <c r="D331" s="19">
        <v>2512</v>
      </c>
      <c r="E331" s="19">
        <f>D331/28</f>
        <v>89.714285714285708</v>
      </c>
      <c r="F331" s="5">
        <v>3407.02</v>
      </c>
      <c r="I331" s="19">
        <f>IF((D331/28)&gt;100,D331*2,D331*2)</f>
        <v>5024</v>
      </c>
      <c r="J331" t="b">
        <f>IF(F331&gt;1.2*I331,FALSE,TRUE)</f>
        <v>1</v>
      </c>
      <c r="K331" s="4">
        <f>F331/I331-1</f>
        <v>-0.32185111464968152</v>
      </c>
      <c r="N331"/>
      <c r="P331" t="s">
        <v>904</v>
      </c>
      <c r="Q331">
        <v>680</v>
      </c>
      <c r="R331">
        <v>313.06</v>
      </c>
    </row>
    <row r="332" spans="1:18" hidden="1">
      <c r="A332" t="s">
        <v>1294</v>
      </c>
      <c r="B332" s="5" t="s">
        <v>62</v>
      </c>
      <c r="C332" s="5" t="s">
        <v>63</v>
      </c>
      <c r="D332" s="19">
        <v>2488</v>
      </c>
      <c r="E332" s="19">
        <f>D332/28</f>
        <v>88.857142857142861</v>
      </c>
      <c r="F332" s="5">
        <v>2458.29</v>
      </c>
      <c r="I332" s="19">
        <f>IF((D332/28)&gt;100,D332*2,D332*2)</f>
        <v>4976</v>
      </c>
      <c r="J332" t="b">
        <f>IF(F332&gt;1.2*I332,FALSE,TRUE)</f>
        <v>1</v>
      </c>
      <c r="K332" s="4">
        <f>F332/I332-1</f>
        <v>-0.5059706591639872</v>
      </c>
      <c r="N332"/>
      <c r="P332" t="s">
        <v>920</v>
      </c>
      <c r="Q332">
        <v>556</v>
      </c>
      <c r="R332">
        <v>825.59</v>
      </c>
    </row>
    <row r="333" spans="1:18" hidden="1">
      <c r="A333" t="s">
        <v>1294</v>
      </c>
      <c r="B333" t="s">
        <v>29</v>
      </c>
      <c r="C333" s="27" t="s">
        <v>30</v>
      </c>
      <c r="D333" s="19">
        <v>21279</v>
      </c>
      <c r="E333" s="19">
        <f>D333/28</f>
        <v>759.96428571428567</v>
      </c>
      <c r="F333" s="19">
        <v>20357.07</v>
      </c>
      <c r="I333" s="19">
        <f>IF((D333/28)&gt;100,D333*2,D333*2)</f>
        <v>42558</v>
      </c>
      <c r="J333" t="b">
        <f>IF(F333&gt;1.2*I333,FALSE,TRUE)</f>
        <v>1</v>
      </c>
      <c r="K333" s="4">
        <f>F333/I333-1</f>
        <v>-0.52166290709149865</v>
      </c>
      <c r="N333"/>
      <c r="P333" t="s">
        <v>922</v>
      </c>
      <c r="Q333">
        <v>709</v>
      </c>
      <c r="R333">
        <v>343.68</v>
      </c>
    </row>
    <row r="334" spans="1:18" hidden="1">
      <c r="A334" t="s">
        <v>1296</v>
      </c>
      <c r="B334" t="s">
        <v>20</v>
      </c>
      <c r="C334" t="s">
        <v>21</v>
      </c>
      <c r="D334" s="19">
        <v>12215</v>
      </c>
      <c r="E334" s="19">
        <f>D334/28</f>
        <v>436.25</v>
      </c>
      <c r="F334" s="5">
        <v>20296.990000000002</v>
      </c>
      <c r="I334" s="151">
        <f>IF((D334/28)&gt;100,D334*2,D334*2)</f>
        <v>24430</v>
      </c>
      <c r="J334" t="b">
        <f>IF(F334&gt;1.2*I334,FALSE,TRUE)</f>
        <v>1</v>
      </c>
      <c r="K334" s="4">
        <f>F334/I334-1</f>
        <v>-0.16917765042979938</v>
      </c>
      <c r="N334"/>
      <c r="P334" t="s">
        <v>748</v>
      </c>
      <c r="Q334">
        <v>1391</v>
      </c>
      <c r="R334">
        <v>753.72</v>
      </c>
    </row>
    <row r="335" spans="1:18" hidden="1">
      <c r="A335" t="s">
        <v>1296</v>
      </c>
      <c r="B335" t="s">
        <v>23</v>
      </c>
      <c r="C335" t="s">
        <v>24</v>
      </c>
      <c r="D335" s="19">
        <v>19700</v>
      </c>
      <c r="E335" s="19">
        <f>D335/28</f>
        <v>703.57142857142856</v>
      </c>
      <c r="F335" s="5">
        <v>17433.86</v>
      </c>
      <c r="I335" s="19">
        <f>IF((D335/28)&gt;100,D335*2,D335*2)</f>
        <v>39400</v>
      </c>
      <c r="J335" t="b">
        <f>IF(F335&gt;1.2*I335,FALSE,TRUE)</f>
        <v>1</v>
      </c>
      <c r="K335" s="4">
        <f>F335/I335-1</f>
        <v>-0.55751624365482233</v>
      </c>
      <c r="N335"/>
      <c r="P335" t="s">
        <v>996</v>
      </c>
      <c r="Q335">
        <v>994</v>
      </c>
      <c r="R335">
        <v>2606.08</v>
      </c>
    </row>
    <row r="336" spans="1:18" hidden="1">
      <c r="A336" t="s">
        <v>1295</v>
      </c>
      <c r="B336" t="s">
        <v>715</v>
      </c>
      <c r="C336" t="s">
        <v>716</v>
      </c>
      <c r="D336" s="19">
        <v>8582</v>
      </c>
      <c r="E336" s="19">
        <f>D336/28</f>
        <v>306.5</v>
      </c>
      <c r="F336" s="5">
        <v>11942.77</v>
      </c>
      <c r="I336" s="19">
        <f>IF((D336/28)&gt;100,D336*2,D336*2)</f>
        <v>17164</v>
      </c>
      <c r="J336" t="b">
        <f>IF(F336&gt;1.2*I336,FALSE,TRUE)</f>
        <v>1</v>
      </c>
      <c r="K336" s="4">
        <f>F336/I336-1</f>
        <v>-0.30419657422512236</v>
      </c>
      <c r="N336"/>
      <c r="P336" t="s">
        <v>983</v>
      </c>
      <c r="Q336">
        <v>2392</v>
      </c>
      <c r="R336">
        <v>3804.61</v>
      </c>
    </row>
    <row r="337" spans="1:18" hidden="1">
      <c r="A337" t="s">
        <v>1296</v>
      </c>
      <c r="B337" t="s">
        <v>710</v>
      </c>
      <c r="C337" t="s">
        <v>711</v>
      </c>
      <c r="D337" s="19">
        <v>60107</v>
      </c>
      <c r="E337" s="19">
        <f>D337/28</f>
        <v>2146.6785714285716</v>
      </c>
      <c r="F337" s="5">
        <v>58978.720000000001</v>
      </c>
      <c r="I337" s="19">
        <f>IF((D337/28)&gt;100,D337*2,D337*2)</f>
        <v>120214</v>
      </c>
      <c r="J337" t="b">
        <f>IF(F337&gt;1.2*I337,FALSE,TRUE)</f>
        <v>1</v>
      </c>
      <c r="K337" s="4">
        <f>F337/I337-1</f>
        <v>-0.50938559568769026</v>
      </c>
      <c r="N337"/>
      <c r="P337" t="s">
        <v>994</v>
      </c>
      <c r="Q337">
        <v>968</v>
      </c>
      <c r="R337">
        <v>2030.96</v>
      </c>
    </row>
    <row r="338" spans="1:18" hidden="1">
      <c r="A338" t="s">
        <v>1294</v>
      </c>
      <c r="B338" t="s">
        <v>713</v>
      </c>
      <c r="C338" t="s">
        <v>714</v>
      </c>
      <c r="D338" s="19">
        <v>2783</v>
      </c>
      <c r="E338" s="19">
        <f>D338/28</f>
        <v>99.392857142857139</v>
      </c>
      <c r="F338" s="5">
        <v>3593.65</v>
      </c>
      <c r="I338" s="19">
        <f>IF((D338/28)&gt;100,D338*2,D338*2)</f>
        <v>5566</v>
      </c>
      <c r="J338" t="b">
        <f>IF(F338&gt;1.2*I338,FALSE,TRUE)</f>
        <v>1</v>
      </c>
      <c r="K338" s="4">
        <f>F338/I338-1</f>
        <v>-0.35435680919870638</v>
      </c>
      <c r="N338"/>
      <c r="P338" t="s">
        <v>803</v>
      </c>
      <c r="Q338">
        <v>1050</v>
      </c>
      <c r="R338">
        <v>214.39</v>
      </c>
    </row>
    <row r="339" spans="1:18" hidden="1">
      <c r="A339" t="s">
        <v>1295</v>
      </c>
      <c r="B339" t="s">
        <v>1009</v>
      </c>
      <c r="C339" t="s">
        <v>1010</v>
      </c>
      <c r="D339" s="19">
        <v>764</v>
      </c>
      <c r="E339" s="19">
        <f>D339/28</f>
        <v>27.285714285714285</v>
      </c>
      <c r="F339" s="5">
        <v>880.58</v>
      </c>
      <c r="I339" s="19">
        <f>IF((D339/28)&gt;100,D339*2,D339*2)</f>
        <v>1528</v>
      </c>
      <c r="J339" t="b">
        <f>IF(F339&gt;1.2*I339,FALSE,TRUE)</f>
        <v>1</v>
      </c>
      <c r="K339" s="4">
        <f>F339/I339-1</f>
        <v>-0.42370418848167535</v>
      </c>
      <c r="N339"/>
      <c r="P339" t="s">
        <v>961</v>
      </c>
      <c r="Q339">
        <v>932</v>
      </c>
      <c r="R339">
        <v>1821.75</v>
      </c>
    </row>
    <row r="340" spans="1:18" hidden="1">
      <c r="A340" t="s">
        <v>1294</v>
      </c>
      <c r="B340" t="s">
        <v>729</v>
      </c>
      <c r="C340" t="s">
        <v>730</v>
      </c>
      <c r="D340" s="19">
        <v>3925</v>
      </c>
      <c r="E340" s="19">
        <f>D340/28</f>
        <v>140.17857142857142</v>
      </c>
      <c r="F340" s="5">
        <v>5806.95</v>
      </c>
      <c r="I340" s="19">
        <f>IF((D340/28)&gt;100,D340*2,D340*2)</f>
        <v>7850</v>
      </c>
      <c r="J340" t="b">
        <f>IF(F340&gt;1.2*I340,FALSE,TRUE)</f>
        <v>1</v>
      </c>
      <c r="K340" s="4">
        <f>F340/I340-1</f>
        <v>-0.26026114649681531</v>
      </c>
      <c r="N340"/>
      <c r="P340" t="s">
        <v>973</v>
      </c>
      <c r="Q340">
        <v>2202</v>
      </c>
      <c r="R340">
        <v>4728.72</v>
      </c>
    </row>
    <row r="341" spans="1:18" hidden="1">
      <c r="A341" t="s">
        <v>1296</v>
      </c>
      <c r="B341" s="27" t="s">
        <v>1013</v>
      </c>
      <c r="C341" t="s">
        <v>1014</v>
      </c>
      <c r="D341" s="19">
        <v>1073</v>
      </c>
      <c r="E341" s="19">
        <f>D341/28</f>
        <v>38.321428571428569</v>
      </c>
      <c r="F341" s="5">
        <v>1041.1600000000001</v>
      </c>
      <c r="I341" s="139">
        <f>IF((D341/28)&gt;100,D341*2,D341*2)</f>
        <v>2146</v>
      </c>
      <c r="J341" t="b">
        <f>IF(F341&gt;1.2*I341,FALSE,TRUE)</f>
        <v>1</v>
      </c>
      <c r="K341" s="4">
        <f>F341/I341-1</f>
        <v>-0.51483690587138864</v>
      </c>
      <c r="P341" t="s">
        <v>900</v>
      </c>
      <c r="Q341">
        <v>1002</v>
      </c>
      <c r="R341">
        <v>1222.03</v>
      </c>
    </row>
    <row r="342" spans="1:18" ht="30" hidden="1">
      <c r="A342" t="s">
        <v>1295</v>
      </c>
      <c r="B342" s="55" t="s">
        <v>717</v>
      </c>
      <c r="C342" s="37" t="s">
        <v>718</v>
      </c>
      <c r="D342">
        <v>8625</v>
      </c>
      <c r="E342" s="19">
        <f>D342/28</f>
        <v>308.03571428571428</v>
      </c>
      <c r="F342" s="151">
        <v>6940.6</v>
      </c>
      <c r="I342" s="19">
        <f>IF((D342/28)&gt;100,D342*2,D342*2)</f>
        <v>17250</v>
      </c>
      <c r="J342" t="b">
        <f>IF(F342&gt;1.2*I342,FALSE,TRUE)</f>
        <v>1</v>
      </c>
      <c r="K342" s="4">
        <f>F342/I342-1</f>
        <v>-0.59764637681159416</v>
      </c>
      <c r="N342"/>
      <c r="P342" t="s">
        <v>1012</v>
      </c>
      <c r="Q342">
        <v>871</v>
      </c>
      <c r="R342">
        <v>1788.28</v>
      </c>
    </row>
    <row r="343" spans="1:18" hidden="1">
      <c r="A343" t="s">
        <v>1295</v>
      </c>
      <c r="B343" t="s">
        <v>901</v>
      </c>
      <c r="C343" t="s">
        <v>902</v>
      </c>
      <c r="D343" s="19">
        <v>2265</v>
      </c>
      <c r="E343" s="19">
        <f>D343/28</f>
        <v>80.892857142857139</v>
      </c>
      <c r="F343" s="5">
        <v>2219.6799999999998</v>
      </c>
      <c r="I343" s="19">
        <f>IF((D343/28)&gt;100,D343*2,D343*2)</f>
        <v>4530</v>
      </c>
      <c r="J343" t="b">
        <f>IF(F343&gt;1.2*I343,FALSE,TRUE)</f>
        <v>1</v>
      </c>
      <c r="K343" s="4">
        <f>F343/I343-1</f>
        <v>-0.51000441501103755</v>
      </c>
      <c r="N343"/>
      <c r="Q343">
        <v>0</v>
      </c>
      <c r="R343">
        <v>0</v>
      </c>
    </row>
    <row r="344" spans="1:18" hidden="1">
      <c r="A344" t="s">
        <v>1294</v>
      </c>
      <c r="B344" s="54" t="s">
        <v>954</v>
      </c>
      <c r="C344" s="37" t="s">
        <v>955</v>
      </c>
      <c r="D344" s="19">
        <v>806</v>
      </c>
      <c r="E344" s="19">
        <f>D344/28</f>
        <v>28.785714285714285</v>
      </c>
      <c r="F344" s="5">
        <v>1032.08</v>
      </c>
      <c r="I344" s="19">
        <f>IF((D344/28)&gt;100,D344*2,D344*2)</f>
        <v>1612</v>
      </c>
      <c r="J344" t="b">
        <f>IF(F344&gt;1.2*I344,FALSE,TRUE)</f>
        <v>1</v>
      </c>
      <c r="K344" s="4">
        <f>F344/I344-1</f>
        <v>-0.35975186104218371</v>
      </c>
      <c r="N344"/>
      <c r="Q344">
        <v>0</v>
      </c>
      <c r="R344">
        <v>0</v>
      </c>
    </row>
    <row r="345" spans="1:18" hidden="1">
      <c r="A345" t="s">
        <v>1296</v>
      </c>
      <c r="B345" t="s">
        <v>743</v>
      </c>
      <c r="C345" t="s">
        <v>744</v>
      </c>
      <c r="D345" s="19">
        <v>947</v>
      </c>
      <c r="E345" s="19">
        <f>D345/28</f>
        <v>33.821428571428569</v>
      </c>
      <c r="F345" s="5">
        <v>2211.0500000000002</v>
      </c>
      <c r="I345" s="19">
        <f>IF((D345/28)&gt;100,D345*2,D345*2)</f>
        <v>1894</v>
      </c>
      <c r="J345" t="b">
        <f>IF(F345&gt;1.2*I345,FALSE,TRUE)</f>
        <v>1</v>
      </c>
      <c r="K345" s="4">
        <f>F345/I345-1</f>
        <v>0.16739704329461458</v>
      </c>
      <c r="N345"/>
      <c r="Q345">
        <v>0</v>
      </c>
      <c r="R345">
        <v>0</v>
      </c>
    </row>
    <row r="346" spans="1:18" hidden="1">
      <c r="A346" t="s">
        <v>1295</v>
      </c>
      <c r="B346" t="s">
        <v>960</v>
      </c>
      <c r="C346" t="s">
        <v>961</v>
      </c>
      <c r="D346" s="19">
        <v>832</v>
      </c>
      <c r="E346" s="19">
        <f>D346/28</f>
        <v>29.714285714285715</v>
      </c>
      <c r="F346" s="5">
        <v>710.41</v>
      </c>
      <c r="I346" s="19">
        <f>IF((D346/28)&gt;100,D346*2,D346*2)</f>
        <v>1664</v>
      </c>
      <c r="J346" t="b">
        <f>IF(F346&gt;1.2*I346,FALSE,TRUE)</f>
        <v>1</v>
      </c>
      <c r="K346" s="4">
        <f>F346/I346-1</f>
        <v>-0.57307091346153849</v>
      </c>
      <c r="N346"/>
      <c r="Q346">
        <v>0</v>
      </c>
      <c r="R346">
        <v>0</v>
      </c>
    </row>
    <row r="347" spans="1:18" hidden="1">
      <c r="A347" t="s">
        <v>1294</v>
      </c>
      <c r="B347" s="27" t="s">
        <v>789</v>
      </c>
      <c r="C347" s="27" t="s">
        <v>790</v>
      </c>
      <c r="D347" s="19">
        <v>1166</v>
      </c>
      <c r="E347" s="19">
        <f>D347/28</f>
        <v>41.642857142857146</v>
      </c>
      <c r="F347" s="5">
        <v>1363.33</v>
      </c>
      <c r="I347" s="154">
        <f>IF((D347/28)&gt;100,D347*2,D347*2)</f>
        <v>2332</v>
      </c>
      <c r="J347" t="b">
        <f>IF(F347&gt;1.2*I347,FALSE,TRUE)</f>
        <v>1</v>
      </c>
      <c r="K347" s="4">
        <f>F347/I347-1</f>
        <v>-0.41538164665523158</v>
      </c>
      <c r="N347"/>
      <c r="Q347">
        <v>0</v>
      </c>
      <c r="R347">
        <v>0</v>
      </c>
    </row>
    <row r="348" spans="1:18" hidden="1">
      <c r="A348" t="s">
        <v>1295</v>
      </c>
      <c r="B348" t="s">
        <v>745</v>
      </c>
      <c r="C348" t="s">
        <v>746</v>
      </c>
      <c r="D348" s="19">
        <v>1429</v>
      </c>
      <c r="E348" s="19">
        <f>D348/28</f>
        <v>51.035714285714285</v>
      </c>
      <c r="F348" s="5">
        <v>2141.7600000000002</v>
      </c>
      <c r="I348" s="151">
        <f>IF((D348/28)&gt;100,D348*2,D348*2)</f>
        <v>2858</v>
      </c>
      <c r="J348" t="b">
        <f>IF(F348&gt;1.2*I348,FALSE,TRUE)</f>
        <v>1</v>
      </c>
      <c r="K348" s="4">
        <f>F348/I348-1</f>
        <v>-0.25060881735479346</v>
      </c>
      <c r="N348"/>
      <c r="P348" t="s">
        <v>1039</v>
      </c>
      <c r="Q348">
        <v>2357</v>
      </c>
      <c r="R348">
        <v>4551.13</v>
      </c>
    </row>
    <row r="349" spans="1:18" hidden="1">
      <c r="A349" t="s">
        <v>1294</v>
      </c>
      <c r="B349" t="s">
        <v>956</v>
      </c>
      <c r="C349" t="s">
        <v>957</v>
      </c>
      <c r="D349" s="19">
        <v>895</v>
      </c>
      <c r="E349" s="19">
        <f>D349/28</f>
        <v>31.964285714285715</v>
      </c>
      <c r="F349" s="5">
        <v>652.22</v>
      </c>
      <c r="I349" s="19">
        <f>IF((D349/28)&gt;100,D349*2,D349*2)</f>
        <v>1790</v>
      </c>
      <c r="J349" t="b">
        <f>IF(F349&gt;1.2*I349,FALSE,TRUE)</f>
        <v>1</v>
      </c>
      <c r="K349" s="4">
        <f>F349/I349-1</f>
        <v>-0.63563128491620113</v>
      </c>
      <c r="N349"/>
      <c r="P349" t="s">
        <v>1087</v>
      </c>
      <c r="Q349">
        <v>1605</v>
      </c>
      <c r="R349">
        <v>1997.57</v>
      </c>
    </row>
    <row r="350" spans="1:18" hidden="1">
      <c r="A350" t="s">
        <v>1294</v>
      </c>
      <c r="B350" t="s">
        <v>974</v>
      </c>
      <c r="C350" t="s">
        <v>975</v>
      </c>
      <c r="D350" s="19">
        <v>941</v>
      </c>
      <c r="E350" s="19">
        <f>D350/28</f>
        <v>33.607142857142854</v>
      </c>
      <c r="F350" s="5">
        <v>2026.44</v>
      </c>
      <c r="I350" s="154">
        <f>IF((D350/28)&gt;100,D350*2,D350*2)</f>
        <v>1882</v>
      </c>
      <c r="J350" t="b">
        <f>IF(F350&gt;1.2*I350,FALSE,TRUE)</f>
        <v>1</v>
      </c>
      <c r="K350" s="4">
        <f>F350/I350-1</f>
        <v>7.6748140276301946E-2</v>
      </c>
      <c r="N350"/>
      <c r="P350" t="s">
        <v>1060</v>
      </c>
      <c r="Q350">
        <v>2820</v>
      </c>
      <c r="R350">
        <v>5352.41</v>
      </c>
    </row>
    <row r="351" spans="1:18" hidden="1">
      <c r="A351" t="s">
        <v>1296</v>
      </c>
      <c r="B351" t="s">
        <v>802</v>
      </c>
      <c r="C351" t="s">
        <v>803</v>
      </c>
      <c r="D351" s="19">
        <v>823</v>
      </c>
      <c r="E351" s="19">
        <f>D351/28</f>
        <v>29.392857142857142</v>
      </c>
      <c r="F351" s="5">
        <v>343.05</v>
      </c>
      <c r="I351" s="19">
        <f>IF((D351/28)&gt;100,D351*2,D351*2)</f>
        <v>1646</v>
      </c>
      <c r="J351" t="b">
        <f>IF(F351&gt;1.2*I351,FALSE,TRUE)</f>
        <v>1</v>
      </c>
      <c r="K351" s="4">
        <f>F351/I351-1</f>
        <v>-0.79158566221142168</v>
      </c>
      <c r="N351"/>
      <c r="P351" t="s">
        <v>1250</v>
      </c>
      <c r="Q351">
        <v>4202</v>
      </c>
      <c r="R351">
        <v>3829.56</v>
      </c>
    </row>
    <row r="352" spans="1:18" hidden="1">
      <c r="A352" t="s">
        <v>1295</v>
      </c>
      <c r="B352" t="s">
        <v>753</v>
      </c>
      <c r="C352" t="s">
        <v>754</v>
      </c>
      <c r="D352" s="19">
        <v>2627</v>
      </c>
      <c r="E352" s="19">
        <f>D352/28</f>
        <v>93.821428571428569</v>
      </c>
      <c r="F352" s="5">
        <v>3471.99</v>
      </c>
      <c r="I352" s="19">
        <f>IF((D352/28)&gt;100,D352*2,D352*2)</f>
        <v>5254</v>
      </c>
      <c r="J352" t="b">
        <f>IF(F352&gt;1.2*I352,FALSE,TRUE)</f>
        <v>1</v>
      </c>
      <c r="K352" s="4">
        <f>F352/I352-1</f>
        <v>-0.33917205938332706</v>
      </c>
      <c r="N352"/>
      <c r="P352" t="s">
        <v>1218</v>
      </c>
      <c r="Q352">
        <v>1460</v>
      </c>
      <c r="R352">
        <v>3168.75</v>
      </c>
    </row>
    <row r="353" spans="1:18" hidden="1">
      <c r="A353" t="s">
        <v>1294</v>
      </c>
      <c r="B353" t="s">
        <v>856</v>
      </c>
      <c r="C353" t="s">
        <v>857</v>
      </c>
      <c r="D353" s="19">
        <v>1455</v>
      </c>
      <c r="E353" s="19">
        <f>D353/28</f>
        <v>51.964285714285715</v>
      </c>
      <c r="F353" s="5">
        <v>0</v>
      </c>
      <c r="I353" s="19">
        <f>IF((D353/28)&gt;100,D353*2,D353*2)</f>
        <v>2910</v>
      </c>
      <c r="J353" t="b">
        <f>IF(F353&gt;1.2*I353,FALSE,TRUE)</f>
        <v>1</v>
      </c>
      <c r="K353" s="4">
        <f>F353/I353-1</f>
        <v>-1</v>
      </c>
      <c r="N353"/>
      <c r="P353" t="s">
        <v>1177</v>
      </c>
      <c r="Q353">
        <v>871</v>
      </c>
      <c r="R353">
        <v>1459.05</v>
      </c>
    </row>
    <row r="354" spans="1:18" hidden="1">
      <c r="A354" t="s">
        <v>1294</v>
      </c>
      <c r="B354" t="s">
        <v>976</v>
      </c>
      <c r="C354" t="s">
        <v>977</v>
      </c>
      <c r="D354" s="19">
        <v>1834</v>
      </c>
      <c r="E354" s="19">
        <f>D354/28</f>
        <v>65.5</v>
      </c>
      <c r="F354" s="5">
        <v>2128.16</v>
      </c>
      <c r="I354" s="154">
        <f>IF((D354/28)&gt;100,D354*2,D354*2)</f>
        <v>3668</v>
      </c>
      <c r="J354" t="b">
        <f>IF(F354&gt;1.2*I354,FALSE,TRUE)</f>
        <v>1</v>
      </c>
      <c r="K354" s="4">
        <f>F354/I354-1</f>
        <v>-0.41980370774263909</v>
      </c>
      <c r="P354" t="s">
        <v>1034</v>
      </c>
      <c r="Q354">
        <v>4871</v>
      </c>
      <c r="R354">
        <v>8603.15</v>
      </c>
    </row>
    <row r="355" spans="1:18" hidden="1">
      <c r="A355" t="s">
        <v>1295</v>
      </c>
      <c r="B355" t="s">
        <v>1007</v>
      </c>
      <c r="C355" t="s">
        <v>1008</v>
      </c>
      <c r="D355" s="19">
        <v>1495</v>
      </c>
      <c r="E355" s="19">
        <f>D355/28</f>
        <v>53.392857142857146</v>
      </c>
      <c r="F355" s="5">
        <v>2387.8200000000002</v>
      </c>
      <c r="I355" s="19">
        <f>IF((D355/28)&gt;100,D355*2,D355*2)</f>
        <v>2990</v>
      </c>
      <c r="J355" t="b">
        <f>IF(F355&gt;1.2*I355,FALSE,TRUE)</f>
        <v>1</v>
      </c>
      <c r="K355" s="4">
        <f>F355/I355-1</f>
        <v>-0.20139799331103669</v>
      </c>
      <c r="N355"/>
      <c r="P355" t="s">
        <v>1277</v>
      </c>
      <c r="Q355">
        <v>10863</v>
      </c>
      <c r="R355">
        <v>10572.08</v>
      </c>
    </row>
    <row r="356" spans="1:18" hidden="1">
      <c r="A356" t="s">
        <v>1295</v>
      </c>
      <c r="B356" t="s">
        <v>897</v>
      </c>
      <c r="C356" s="5" t="s">
        <v>898</v>
      </c>
      <c r="D356" s="19">
        <v>1118</v>
      </c>
      <c r="E356" s="19">
        <f>D356/28</f>
        <v>39.928571428571431</v>
      </c>
      <c r="F356" s="5">
        <v>1287.54</v>
      </c>
      <c r="I356" s="19">
        <f>IF((D356/28)&gt;100,D356*2,D356*2)</f>
        <v>2236</v>
      </c>
      <c r="J356" t="b">
        <f>IF(F356&gt;1.2*I356,FALSE,TRUE)</f>
        <v>1</v>
      </c>
      <c r="K356" s="4">
        <f>F356/I356-1</f>
        <v>-0.42417710196779967</v>
      </c>
      <c r="N356"/>
      <c r="P356" t="s">
        <v>1224</v>
      </c>
      <c r="Q356">
        <v>2105</v>
      </c>
      <c r="R356">
        <v>5222.25</v>
      </c>
    </row>
    <row r="357" spans="1:18" hidden="1">
      <c r="A357" t="s">
        <v>1294</v>
      </c>
      <c r="B357" t="s">
        <v>771</v>
      </c>
      <c r="C357" t="s">
        <v>772</v>
      </c>
      <c r="D357" s="19">
        <v>1006</v>
      </c>
      <c r="E357" s="19">
        <f>D357/28</f>
        <v>35.928571428571431</v>
      </c>
      <c r="F357" s="5">
        <v>1481.99</v>
      </c>
      <c r="I357" s="139">
        <f>IF((D357/28)&gt;100,D357*2,D357*2)</f>
        <v>2012</v>
      </c>
      <c r="J357" t="b">
        <f>IF(F357&gt;1.2*I357,FALSE,TRUE)</f>
        <v>1</v>
      </c>
      <c r="K357" s="4">
        <f>F357/I357-1</f>
        <v>-0.26342445328031805</v>
      </c>
      <c r="P357" t="s">
        <v>1123</v>
      </c>
      <c r="Q357">
        <v>1161</v>
      </c>
      <c r="R357">
        <v>1374.2</v>
      </c>
    </row>
    <row r="358" spans="1:18" hidden="1">
      <c r="A358" t="s">
        <v>1296</v>
      </c>
      <c r="B358" t="s">
        <v>991</v>
      </c>
      <c r="C358" t="s">
        <v>992</v>
      </c>
      <c r="D358" s="19">
        <v>1793</v>
      </c>
      <c r="E358" s="19">
        <f>D358/28</f>
        <v>64.035714285714292</v>
      </c>
      <c r="F358" s="5">
        <v>1892.79</v>
      </c>
      <c r="I358" s="19">
        <f>IF((D358/28)&gt;100,D358*2,D358*2)</f>
        <v>3586</v>
      </c>
      <c r="J358" t="b">
        <f>IF(F358&gt;1.2*I358,FALSE,TRUE)</f>
        <v>1</v>
      </c>
      <c r="K358" s="4">
        <f>F358/I358-1</f>
        <v>-0.47217233686558846</v>
      </c>
      <c r="N358"/>
      <c r="P358" t="s">
        <v>1046</v>
      </c>
      <c r="Q358">
        <v>2704</v>
      </c>
      <c r="R358">
        <v>3791.04</v>
      </c>
    </row>
    <row r="359" spans="1:18" hidden="1">
      <c r="A359" t="s">
        <v>1296</v>
      </c>
      <c r="B359" t="s">
        <v>934</v>
      </c>
      <c r="C359" s="27" t="s">
        <v>935</v>
      </c>
      <c r="D359" s="19">
        <v>1185</v>
      </c>
      <c r="E359" s="19">
        <f>D359/28</f>
        <v>42.321428571428569</v>
      </c>
      <c r="F359" s="5">
        <v>732.28</v>
      </c>
      <c r="I359" s="19">
        <f>IF((D359/28)&gt;100,D359*2,D359*2)</f>
        <v>2370</v>
      </c>
      <c r="J359" t="b">
        <f>IF(F359&gt;1.2*I359,FALSE,TRUE)</f>
        <v>1</v>
      </c>
      <c r="K359" s="4">
        <f>F359/I359-1</f>
        <v>-0.69102109704641346</v>
      </c>
      <c r="N359"/>
      <c r="P359" t="s">
        <v>1135</v>
      </c>
      <c r="Q359">
        <v>1464</v>
      </c>
      <c r="R359">
        <v>1310.06</v>
      </c>
    </row>
    <row r="360" spans="1:18" ht="16.5" hidden="1" customHeight="1">
      <c r="A360" t="s">
        <v>1296</v>
      </c>
      <c r="B360" t="s">
        <v>889</v>
      </c>
      <c r="C360" t="s">
        <v>890</v>
      </c>
      <c r="D360" s="19">
        <v>3400</v>
      </c>
      <c r="E360" s="19">
        <f>D360/28</f>
        <v>121.42857142857143</v>
      </c>
      <c r="F360" s="5">
        <v>3815.14</v>
      </c>
      <c r="I360" s="19">
        <f>IF((D360/28)&gt;100,D360*2,D360*2)</f>
        <v>6800</v>
      </c>
      <c r="J360" t="b">
        <f>IF(F360&gt;1.2*I360,FALSE,TRUE)</f>
        <v>1</v>
      </c>
      <c r="K360" s="4">
        <f>F360/I360-1</f>
        <v>-0.43895000000000006</v>
      </c>
      <c r="N360"/>
      <c r="P360" t="s">
        <v>1144</v>
      </c>
      <c r="Q360">
        <v>432</v>
      </c>
      <c r="R360">
        <v>657.51</v>
      </c>
    </row>
    <row r="361" spans="1:18" hidden="1">
      <c r="A361" t="s">
        <v>1295</v>
      </c>
      <c r="B361" t="s">
        <v>858</v>
      </c>
      <c r="C361" s="5" t="s">
        <v>859</v>
      </c>
      <c r="D361" s="19">
        <v>545</v>
      </c>
      <c r="E361" s="19">
        <f>D361/28</f>
        <v>19.464285714285715</v>
      </c>
      <c r="F361" s="5">
        <v>0</v>
      </c>
      <c r="I361" s="140">
        <f>IF((D361/28)&gt;100,D361*2,D361*2)</f>
        <v>1090</v>
      </c>
      <c r="J361" t="b">
        <f>IF(F361&gt;1.2*I361,FALSE,TRUE)</f>
        <v>1</v>
      </c>
      <c r="K361" s="4">
        <f>F361/I361-1</f>
        <v>-1</v>
      </c>
      <c r="P361" t="s">
        <v>1202</v>
      </c>
      <c r="Q361">
        <v>1424</v>
      </c>
      <c r="R361">
        <v>3264.21</v>
      </c>
    </row>
    <row r="362" spans="1:18" hidden="1">
      <c r="B362" t="s">
        <v>757</v>
      </c>
      <c r="C362" t="s">
        <v>758</v>
      </c>
      <c r="D362" s="19">
        <v>1562</v>
      </c>
      <c r="E362" s="19">
        <f>D362/28</f>
        <v>55.785714285714285</v>
      </c>
      <c r="F362" s="5">
        <v>944.77</v>
      </c>
      <c r="I362" s="140">
        <f>IF((D362/28)&gt;100,D362*2,D362*2)</f>
        <v>3124</v>
      </c>
      <c r="J362" t="b">
        <f>IF(F362&gt;1.2*I362,FALSE,TRUE)</f>
        <v>1</v>
      </c>
      <c r="K362" s="4">
        <f>F362/I362-1</f>
        <v>-0.69757682458386683</v>
      </c>
      <c r="P362" t="s">
        <v>1064</v>
      </c>
      <c r="Q362">
        <v>1014</v>
      </c>
      <c r="R362">
        <v>1354.39</v>
      </c>
    </row>
    <row r="363" spans="1:18" hidden="1">
      <c r="B363" t="s">
        <v>769</v>
      </c>
      <c r="C363" t="s">
        <v>770</v>
      </c>
      <c r="D363" s="19">
        <v>1646</v>
      </c>
      <c r="E363" s="19">
        <f>D363/28</f>
        <v>58.785714285714285</v>
      </c>
      <c r="F363" s="5">
        <v>2691.01</v>
      </c>
      <c r="I363" s="140">
        <f>IF((D363/28)&gt;100,D363*2,D363*2)</f>
        <v>3292</v>
      </c>
      <c r="J363" t="b">
        <f>IF(F363&gt;1.2*I363,FALSE,TRUE)</f>
        <v>1</v>
      </c>
      <c r="K363" s="4">
        <f>F363/I363-1</f>
        <v>-0.18256075334143373</v>
      </c>
      <c r="P363" t="s">
        <v>1069</v>
      </c>
      <c r="Q363">
        <v>1525</v>
      </c>
      <c r="R363">
        <v>2359.86</v>
      </c>
    </row>
    <row r="364" spans="1:18">
      <c r="A364" t="s">
        <v>1295</v>
      </c>
      <c r="B364" t="s">
        <v>217</v>
      </c>
      <c r="C364" t="s">
        <v>218</v>
      </c>
      <c r="D364" s="28">
        <v>280</v>
      </c>
      <c r="E364" s="19">
        <f>D364/28</f>
        <v>10</v>
      </c>
      <c r="F364" s="5">
        <v>773.63</v>
      </c>
      <c r="I364" s="19">
        <f>IF((D364/28)&gt;100,D364*2,D364*2)</f>
        <v>560</v>
      </c>
      <c r="J364" t="b">
        <f>IF(F364&gt;1.2*I364,FALSE,TRUE)</f>
        <v>0</v>
      </c>
      <c r="K364" s="4">
        <f>F364/I364-1</f>
        <v>0.38148214285714288</v>
      </c>
      <c r="N364"/>
      <c r="P364" t="s">
        <v>1232</v>
      </c>
      <c r="Q364">
        <v>816</v>
      </c>
      <c r="R364">
        <v>2073.8200000000002</v>
      </c>
    </row>
    <row r="365" spans="1:18" hidden="1">
      <c r="B365" t="s">
        <v>980</v>
      </c>
      <c r="C365" t="s">
        <v>981</v>
      </c>
      <c r="D365" s="19">
        <v>3628</v>
      </c>
      <c r="E365" s="19">
        <f>D365/28</f>
        <v>129.57142857142858</v>
      </c>
      <c r="F365" s="5">
        <v>1939.97</v>
      </c>
      <c r="I365" s="151">
        <f>IF((D365/28)&gt;100,D365*2,D365*2)</f>
        <v>7256</v>
      </c>
      <c r="J365" t="b">
        <f>IF(F365&gt;1.2*I365,FALSE,TRUE)</f>
        <v>1</v>
      </c>
      <c r="K365" s="4">
        <f>F365/I365-1</f>
        <v>-0.73263919514884235</v>
      </c>
      <c r="P365" t="s">
        <v>1103</v>
      </c>
      <c r="Q365">
        <v>1682</v>
      </c>
      <c r="R365">
        <v>580.09</v>
      </c>
    </row>
    <row r="366" spans="1:18" hidden="1">
      <c r="B366" t="s">
        <v>879</v>
      </c>
      <c r="C366" t="s">
        <v>880</v>
      </c>
      <c r="D366" s="19">
        <v>506</v>
      </c>
      <c r="E366" s="19">
        <f>D366/28</f>
        <v>18.071428571428573</v>
      </c>
      <c r="F366" s="5">
        <v>320.52999999999997</v>
      </c>
      <c r="I366" s="140">
        <f>IF((D366/28)&gt;100,D366*2,D366*2)</f>
        <v>1012</v>
      </c>
      <c r="J366" t="b">
        <f>IF(F366&gt;1.2*I366,FALSE,TRUE)</f>
        <v>1</v>
      </c>
      <c r="K366" s="4">
        <f>F366/I366-1</f>
        <v>-0.68327075098814238</v>
      </c>
      <c r="P366" t="s">
        <v>1169</v>
      </c>
      <c r="Q366">
        <v>261</v>
      </c>
      <c r="R366">
        <v>1405.71</v>
      </c>
    </row>
    <row r="367" spans="1:18" hidden="1">
      <c r="B367" s="54" t="s">
        <v>921</v>
      </c>
      <c r="C367" s="37" t="s">
        <v>922</v>
      </c>
      <c r="D367" s="19">
        <v>844</v>
      </c>
      <c r="E367" s="19">
        <f>D367/28</f>
        <v>30.142857142857142</v>
      </c>
      <c r="F367" s="5">
        <v>731.04</v>
      </c>
      <c r="I367" s="140">
        <f>IF((D367/28)&gt;100,D367*2,D367*2)</f>
        <v>1688</v>
      </c>
      <c r="J367" t="b">
        <f>IF(F367&gt;1.2*I367,FALSE,TRUE)</f>
        <v>1</v>
      </c>
      <c r="K367" s="4">
        <f>F367/I367-1</f>
        <v>-0.56691943127962086</v>
      </c>
      <c r="P367" t="s">
        <v>1079</v>
      </c>
      <c r="Q367">
        <v>1366</v>
      </c>
      <c r="R367">
        <v>3088.32</v>
      </c>
    </row>
    <row r="368" spans="1:18" hidden="1">
      <c r="B368" s="27" t="s">
        <v>852</v>
      </c>
      <c r="C368" s="27" t="s">
        <v>853</v>
      </c>
      <c r="D368" s="19">
        <v>787</v>
      </c>
      <c r="E368" s="19">
        <f>D368/28</f>
        <v>28.107142857142858</v>
      </c>
      <c r="F368" s="5">
        <v>1681.29</v>
      </c>
      <c r="I368" s="140">
        <f>IF((D368/28)&gt;100,D368*2,D368*2)</f>
        <v>1574</v>
      </c>
      <c r="J368" t="b">
        <f>IF(F368&gt;1.2*I368,FALSE,TRUE)</f>
        <v>1</v>
      </c>
      <c r="K368" s="4">
        <f>F368/I368-1</f>
        <v>6.8163913595933989E-2</v>
      </c>
      <c r="P368" t="s">
        <v>1133</v>
      </c>
      <c r="Q368">
        <v>1601</v>
      </c>
      <c r="R368">
        <v>3000.95</v>
      </c>
    </row>
    <row r="369" spans="2:18" hidden="1">
      <c r="B369" t="s">
        <v>1011</v>
      </c>
      <c r="C369" t="s">
        <v>1012</v>
      </c>
      <c r="D369" s="19">
        <v>1161</v>
      </c>
      <c r="E369" s="19">
        <f>D369/28</f>
        <v>41.464285714285715</v>
      </c>
      <c r="F369" s="5">
        <v>1906.03</v>
      </c>
      <c r="I369" s="140">
        <f>IF((D369/28)&gt;100,D369*2,D369*2)</f>
        <v>2322</v>
      </c>
      <c r="J369" t="b">
        <f>IF(F369&gt;1.2*I369,FALSE,TRUE)</f>
        <v>1</v>
      </c>
      <c r="K369" s="4">
        <f>F369/I369-1</f>
        <v>-0.17914298018949182</v>
      </c>
      <c r="P369" t="s">
        <v>1270</v>
      </c>
      <c r="Q369">
        <v>7185</v>
      </c>
      <c r="R369">
        <v>9078.4500000000007</v>
      </c>
    </row>
    <row r="370" spans="2:18" hidden="1">
      <c r="B370" t="s">
        <v>721</v>
      </c>
      <c r="C370" t="s">
        <v>722</v>
      </c>
      <c r="D370" s="19">
        <v>1312</v>
      </c>
      <c r="E370" s="19">
        <f>D370/28</f>
        <v>46.857142857142854</v>
      </c>
      <c r="F370" s="5">
        <v>1798.33</v>
      </c>
      <c r="I370" s="140">
        <f>IF((D370/28)&gt;100,D370*2,D370*2)</f>
        <v>2624</v>
      </c>
      <c r="J370" t="b">
        <f>IF(F370&gt;1.2*I370,FALSE,TRUE)</f>
        <v>1</v>
      </c>
      <c r="K370" s="4">
        <f>F370/I370-1</f>
        <v>-0.31466082317073174</v>
      </c>
      <c r="P370" t="s">
        <v>1238</v>
      </c>
      <c r="Q370">
        <v>1016</v>
      </c>
      <c r="R370">
        <v>2364.4699999999998</v>
      </c>
    </row>
    <row r="371" spans="2:18" hidden="1">
      <c r="B371" t="s">
        <v>966</v>
      </c>
      <c r="C371" t="s">
        <v>967</v>
      </c>
      <c r="D371" s="19">
        <v>782</v>
      </c>
      <c r="E371" s="19">
        <f>D371/28</f>
        <v>27.928571428571427</v>
      </c>
      <c r="F371" s="5">
        <v>979.31</v>
      </c>
      <c r="I371" s="140">
        <f>IF((D371/28)&gt;100,D371*2,D371*2)</f>
        <v>1564</v>
      </c>
      <c r="J371" t="b">
        <f>IF(F371&gt;1.2*I371,FALSE,TRUE)</f>
        <v>1</v>
      </c>
      <c r="K371" s="4">
        <f>F371/I371-1</f>
        <v>-0.37384271099744248</v>
      </c>
      <c r="P371" t="s">
        <v>1149</v>
      </c>
      <c r="Q371">
        <v>1074</v>
      </c>
      <c r="R371">
        <v>1191.3399999999999</v>
      </c>
    </row>
    <row r="372" spans="2:18" hidden="1">
      <c r="B372" t="s">
        <v>928</v>
      </c>
      <c r="C372" t="s">
        <v>929</v>
      </c>
      <c r="D372" s="19">
        <v>1093</v>
      </c>
      <c r="E372" s="19">
        <f>D372/28</f>
        <v>39.035714285714285</v>
      </c>
      <c r="F372" s="5">
        <v>1948.98</v>
      </c>
      <c r="I372" s="140">
        <f>IF((D372/28)&gt;100,D372*2,D372*2)</f>
        <v>2186</v>
      </c>
      <c r="J372" t="b">
        <f>IF(F372&gt;1.2*I372,FALSE,TRUE)</f>
        <v>1</v>
      </c>
      <c r="K372" s="4">
        <f>F372/I372-1</f>
        <v>-0.10842634949679775</v>
      </c>
      <c r="Q372">
        <v>0</v>
      </c>
      <c r="R372">
        <v>0</v>
      </c>
    </row>
    <row r="373" spans="2:18" hidden="1">
      <c r="B373" t="s">
        <v>823</v>
      </c>
      <c r="C373" t="s">
        <v>824</v>
      </c>
      <c r="D373" s="19">
        <v>1030</v>
      </c>
      <c r="E373" s="19">
        <f>D373/28</f>
        <v>36.785714285714285</v>
      </c>
      <c r="F373" s="5">
        <v>1686.7</v>
      </c>
      <c r="I373" s="140">
        <f>IF((D373/28)&gt;100,D373*2,D373*2)</f>
        <v>2060</v>
      </c>
      <c r="J373" t="b">
        <f>IF(F373&gt;1.2*I373,FALSE,TRUE)</f>
        <v>1</v>
      </c>
      <c r="K373" s="4">
        <f>F373/I373-1</f>
        <v>-0.1812135922330097</v>
      </c>
      <c r="P373" t="s">
        <v>1213</v>
      </c>
      <c r="Q373">
        <v>539</v>
      </c>
      <c r="R373">
        <v>1057.49</v>
      </c>
    </row>
    <row r="374" spans="2:18" ht="30.75">
      <c r="B374" s="55" t="s">
        <v>1174</v>
      </c>
      <c r="C374" t="s">
        <v>1175</v>
      </c>
      <c r="D374">
        <v>258</v>
      </c>
      <c r="E374" s="19">
        <f>D374/28</f>
        <v>9.2142857142857135</v>
      </c>
      <c r="F374" s="5">
        <v>662.92</v>
      </c>
      <c r="I374" s="140">
        <f>IF((D374/28)&gt;100,D374*2,D374*2)</f>
        <v>516</v>
      </c>
      <c r="J374" t="b">
        <f>IF(F374&gt;1.2*I374,FALSE,TRUE)</f>
        <v>0</v>
      </c>
      <c r="K374" s="4">
        <f>F374/I374-1</f>
        <v>0.28472868217054259</v>
      </c>
      <c r="P374" t="s">
        <v>1244</v>
      </c>
      <c r="Q374">
        <v>1075</v>
      </c>
      <c r="R374">
        <v>1761.57</v>
      </c>
    </row>
    <row r="375" spans="2:18" hidden="1">
      <c r="B375" t="s">
        <v>987</v>
      </c>
      <c r="C375" t="s">
        <v>988</v>
      </c>
      <c r="D375" s="19">
        <v>872</v>
      </c>
      <c r="E375" s="19">
        <f>D375/28</f>
        <v>31.142857142857142</v>
      </c>
      <c r="F375" s="5">
        <v>1163.69</v>
      </c>
      <c r="I375" s="140">
        <f>IF((D375/28)&gt;100,D375*2,D375*2)</f>
        <v>1744</v>
      </c>
      <c r="J375" t="b">
        <f>IF(F375&gt;1.2*I375,FALSE,TRUE)</f>
        <v>1</v>
      </c>
      <c r="K375" s="4">
        <f>F375/I375-1</f>
        <v>-0.33274655963302746</v>
      </c>
      <c r="P375" t="s">
        <v>1117</v>
      </c>
      <c r="Q375">
        <v>1470</v>
      </c>
      <c r="R375">
        <v>2032.1</v>
      </c>
    </row>
    <row r="376" spans="2:18" hidden="1">
      <c r="B376" t="s">
        <v>731</v>
      </c>
      <c r="C376" t="s">
        <v>732</v>
      </c>
      <c r="D376" s="19">
        <v>3016</v>
      </c>
      <c r="E376" s="19">
        <f>D376/28</f>
        <v>107.71428571428571</v>
      </c>
      <c r="F376" s="5">
        <v>5139.09</v>
      </c>
      <c r="I376" s="151">
        <f>IF((D376/28)&gt;100,D376*2,D376*2)</f>
        <v>6032</v>
      </c>
      <c r="J376" t="b">
        <f>IF(F376&gt;1.2*I376,FALSE,TRUE)</f>
        <v>1</v>
      </c>
      <c r="K376" s="4">
        <f>F376/I376-1</f>
        <v>-0.14802884615384615</v>
      </c>
      <c r="P376" t="s">
        <v>1071</v>
      </c>
      <c r="Q376">
        <v>1676</v>
      </c>
      <c r="R376">
        <v>2748.23</v>
      </c>
    </row>
    <row r="377" spans="2:18" hidden="1">
      <c r="B377" t="s">
        <v>958</v>
      </c>
      <c r="C377" t="s">
        <v>959</v>
      </c>
      <c r="D377" s="19">
        <v>1002</v>
      </c>
      <c r="E377" s="19">
        <f>D377/28</f>
        <v>35.785714285714285</v>
      </c>
      <c r="F377" s="5">
        <v>2243.92</v>
      </c>
      <c r="I377" s="140">
        <f>IF((D377/28)&gt;100,D377*2,D377*2)</f>
        <v>2004</v>
      </c>
      <c r="J377" t="b">
        <f>IF(F377&gt;1.2*I377,FALSE,TRUE)</f>
        <v>1</v>
      </c>
      <c r="K377" s="4">
        <f>F377/I377-1</f>
        <v>0.11972055888223565</v>
      </c>
      <c r="P377" t="s">
        <v>1181</v>
      </c>
      <c r="Q377">
        <v>556</v>
      </c>
      <c r="R377">
        <v>399.59</v>
      </c>
    </row>
    <row r="378" spans="2:18" hidden="1">
      <c r="B378" t="s">
        <v>946</v>
      </c>
      <c r="C378" t="s">
        <v>947</v>
      </c>
      <c r="D378" s="19">
        <v>724</v>
      </c>
      <c r="E378" s="19">
        <f>D378/28</f>
        <v>25.857142857142858</v>
      </c>
      <c r="F378" s="5">
        <v>951.93</v>
      </c>
      <c r="I378" s="140">
        <f>IF((D378/28)&gt;100,D378*2,D378*2)</f>
        <v>1448</v>
      </c>
      <c r="J378" t="b">
        <f>IF(F378&gt;1.2*I378,FALSE,TRUE)</f>
        <v>1</v>
      </c>
      <c r="K378" s="4">
        <f>F378/I378-1</f>
        <v>-0.3425897790055249</v>
      </c>
      <c r="P378" t="s">
        <v>1215</v>
      </c>
      <c r="Q378">
        <v>1179</v>
      </c>
      <c r="R378">
        <v>2708.58</v>
      </c>
    </row>
    <row r="379" spans="2:18" hidden="1">
      <c r="B379" t="s">
        <v>1019</v>
      </c>
      <c r="C379" t="s">
        <v>1020</v>
      </c>
      <c r="D379" s="19">
        <v>926</v>
      </c>
      <c r="E379" s="19">
        <f>D379/28</f>
        <v>33.071428571428569</v>
      </c>
      <c r="F379" s="5">
        <v>1781.53</v>
      </c>
      <c r="I379" s="140">
        <f>IF((D379/28)&gt;100,D379*2,D379*2)</f>
        <v>1852</v>
      </c>
      <c r="J379" t="b">
        <f>IF(F379&gt;1.2*I379,FALSE,TRUE)</f>
        <v>1</v>
      </c>
      <c r="K379" s="4">
        <f>F379/I379-1</f>
        <v>-3.8050755939524894E-2</v>
      </c>
      <c r="P379" t="s">
        <v>1226</v>
      </c>
      <c r="Q379">
        <v>1553</v>
      </c>
      <c r="R379">
        <v>1075</v>
      </c>
    </row>
    <row r="380" spans="2:18" hidden="1">
      <c r="B380" t="s">
        <v>827</v>
      </c>
      <c r="C380" t="s">
        <v>828</v>
      </c>
      <c r="D380" s="19">
        <v>899</v>
      </c>
      <c r="E380" s="19">
        <f>D380/28</f>
        <v>32.107142857142854</v>
      </c>
      <c r="F380" s="5">
        <v>1853.17</v>
      </c>
      <c r="I380" s="140">
        <f>IF((D380/28)&gt;100,D380*2,D380*2)</f>
        <v>1798</v>
      </c>
      <c r="J380" t="b">
        <f>IF(F380&gt;1.2*I380,FALSE,TRUE)</f>
        <v>1</v>
      </c>
      <c r="K380" s="4">
        <f>F380/I380-1</f>
        <v>3.0684093437152393E-2</v>
      </c>
      <c r="P380" t="s">
        <v>1240</v>
      </c>
      <c r="Q380">
        <v>1400</v>
      </c>
      <c r="R380">
        <v>1440.96</v>
      </c>
    </row>
    <row r="381" spans="2:18" hidden="1">
      <c r="B381" t="s">
        <v>887</v>
      </c>
      <c r="C381" t="s">
        <v>888</v>
      </c>
      <c r="D381" s="19">
        <v>356</v>
      </c>
      <c r="E381" s="19">
        <f>D381/28</f>
        <v>12.714285714285714</v>
      </c>
      <c r="F381" s="5">
        <v>272.25</v>
      </c>
      <c r="I381" s="140">
        <f>IF((D381/28)&gt;100,D381*2,D381*2)</f>
        <v>712</v>
      </c>
      <c r="J381" t="b">
        <f>IF(F381&gt;1.2*I381,FALSE,TRUE)</f>
        <v>1</v>
      </c>
      <c r="K381" s="4">
        <f>F381/I381-1</f>
        <v>-0.617626404494382</v>
      </c>
      <c r="P381" t="s">
        <v>1041</v>
      </c>
      <c r="Q381">
        <v>1462</v>
      </c>
      <c r="R381">
        <v>1070.9000000000001</v>
      </c>
    </row>
    <row r="382" spans="2:18" hidden="1">
      <c r="B382" t="s">
        <v>860</v>
      </c>
      <c r="C382" t="s">
        <v>861</v>
      </c>
      <c r="D382" s="19">
        <v>593</v>
      </c>
      <c r="E382" s="19">
        <f>D382/28</f>
        <v>21.178571428571427</v>
      </c>
      <c r="F382" s="5">
        <v>75.39</v>
      </c>
      <c r="I382" s="140">
        <f>IF((D382/28)&gt;100,D382*2,D382*2)</f>
        <v>1186</v>
      </c>
      <c r="J382" t="b">
        <f>IF(F382&gt;1.2*I382,FALSE,TRUE)</f>
        <v>1</v>
      </c>
      <c r="K382" s="4">
        <f>F382/I382-1</f>
        <v>-0.93643338954468802</v>
      </c>
      <c r="P382" t="s">
        <v>1262</v>
      </c>
      <c r="Q382">
        <v>7031</v>
      </c>
      <c r="R382">
        <v>6062.04</v>
      </c>
    </row>
    <row r="383" spans="2:18" hidden="1">
      <c r="B383" s="27" t="s">
        <v>877</v>
      </c>
      <c r="C383" s="27" t="s">
        <v>878</v>
      </c>
      <c r="D383" s="19">
        <v>911</v>
      </c>
      <c r="E383" s="19">
        <f>D383/28</f>
        <v>32.535714285714285</v>
      </c>
      <c r="F383" s="5">
        <v>1094.8800000000001</v>
      </c>
      <c r="I383" s="140">
        <f>IF((D383/28)&gt;100,D383*2,D383*2)</f>
        <v>1822</v>
      </c>
      <c r="J383" t="b">
        <f>IF(F383&gt;1.2*I383,FALSE,TRUE)</f>
        <v>1</v>
      </c>
      <c r="K383" s="4">
        <f>F383/I383-1</f>
        <v>-0.39907793633369915</v>
      </c>
      <c r="P383" t="s">
        <v>1165</v>
      </c>
      <c r="Q383">
        <v>1743</v>
      </c>
      <c r="R383">
        <v>2986.39</v>
      </c>
    </row>
    <row r="384" spans="2:18" hidden="1">
      <c r="B384" t="s">
        <v>930</v>
      </c>
      <c r="C384" t="s">
        <v>931</v>
      </c>
      <c r="D384" s="19">
        <v>1618</v>
      </c>
      <c r="E384" s="19">
        <f>D384/28</f>
        <v>57.785714285714285</v>
      </c>
      <c r="F384" s="5">
        <v>1263.28</v>
      </c>
      <c r="I384" s="140">
        <f>IF((D384/28)&gt;100,D384*2,D384*2)</f>
        <v>3236</v>
      </c>
      <c r="J384" t="b">
        <f>IF(F384&gt;1.2*I384,FALSE,TRUE)</f>
        <v>1</v>
      </c>
      <c r="K384" s="4">
        <f>F384/I384-1</f>
        <v>-0.60961681087762676</v>
      </c>
      <c r="P384" t="s">
        <v>1248</v>
      </c>
      <c r="Q384">
        <v>1235</v>
      </c>
      <c r="R384">
        <v>2031.46</v>
      </c>
    </row>
    <row r="385" spans="2:18" ht="30" hidden="1">
      <c r="B385" s="55" t="s">
        <v>982</v>
      </c>
      <c r="C385" s="37" t="s">
        <v>983</v>
      </c>
      <c r="D385" s="19">
        <v>2872</v>
      </c>
      <c r="E385" s="19">
        <f>D385/28</f>
        <v>102.57142857142857</v>
      </c>
      <c r="F385" s="5">
        <v>4806.25</v>
      </c>
      <c r="I385" s="140">
        <f>IF((D385/28)&gt;100,D385*2,D385*2)</f>
        <v>5744</v>
      </c>
      <c r="J385" t="b">
        <f>IF(F385&gt;1.2*I385,FALSE,TRUE)</f>
        <v>1</v>
      </c>
      <c r="K385" s="4">
        <f>F385/I385-1</f>
        <v>-0.16325731197771587</v>
      </c>
      <c r="P385" t="s">
        <v>1316</v>
      </c>
      <c r="Q385">
        <v>1</v>
      </c>
      <c r="R385">
        <v>0</v>
      </c>
    </row>
    <row r="386" spans="2:18" hidden="1">
      <c r="B386" t="s">
        <v>812</v>
      </c>
      <c r="C386" t="s">
        <v>813</v>
      </c>
      <c r="D386" s="19">
        <v>2607</v>
      </c>
      <c r="E386" s="19">
        <f>D386/28</f>
        <v>93.107142857142861</v>
      </c>
      <c r="F386" s="5">
        <v>1877.32</v>
      </c>
      <c r="I386" s="140">
        <f>IF((D386/28)&gt;100,D386*2,D386*2)</f>
        <v>5214</v>
      </c>
      <c r="J386" t="b">
        <f>IF(F386&gt;1.2*I386,FALSE,TRUE)</f>
        <v>1</v>
      </c>
      <c r="K386" s="4">
        <f>F386/I386-1</f>
        <v>-0.6399462984273111</v>
      </c>
      <c r="P386" t="s">
        <v>1246</v>
      </c>
      <c r="Q386">
        <v>1060</v>
      </c>
      <c r="R386">
        <v>1987.32</v>
      </c>
    </row>
    <row r="387" spans="2:18" hidden="1">
      <c r="B387" s="27" t="s">
        <v>844</v>
      </c>
      <c r="C387" s="37" t="s">
        <v>845</v>
      </c>
      <c r="D387" s="19">
        <v>789</v>
      </c>
      <c r="E387" s="19">
        <f>D387/28</f>
        <v>28.178571428571427</v>
      </c>
      <c r="F387" s="5">
        <v>552.34</v>
      </c>
      <c r="I387" s="140">
        <f>IF((D387/28)&gt;100,D387*2,D387*2)</f>
        <v>1578</v>
      </c>
      <c r="J387" t="b">
        <f>IF(F387&gt;1.2*I387,FALSE,TRUE)</f>
        <v>1</v>
      </c>
      <c r="K387" s="4">
        <f>F387/I387-1</f>
        <v>-0.64997465145754119</v>
      </c>
      <c r="P387" t="s">
        <v>1230</v>
      </c>
      <c r="Q387">
        <v>810</v>
      </c>
      <c r="R387">
        <v>987.64</v>
      </c>
    </row>
    <row r="388" spans="2:18" hidden="1">
      <c r="B388" t="s">
        <v>808</v>
      </c>
      <c r="C388" t="s">
        <v>809</v>
      </c>
      <c r="D388" s="19">
        <v>1287</v>
      </c>
      <c r="E388" s="19">
        <f>D388/28</f>
        <v>45.964285714285715</v>
      </c>
      <c r="F388" s="5">
        <v>1176.78</v>
      </c>
      <c r="I388" s="140">
        <f>IF((D388/28)&gt;100,D388*2,D388*2)</f>
        <v>2574</v>
      </c>
      <c r="J388" t="b">
        <f>IF(F388&gt;1.2*I388,FALSE,TRUE)</f>
        <v>1</v>
      </c>
      <c r="K388" s="4">
        <f>F388/I388-1</f>
        <v>-0.5428205128205128</v>
      </c>
      <c r="P388" t="s">
        <v>1206</v>
      </c>
      <c r="Q388">
        <v>1161</v>
      </c>
      <c r="R388">
        <v>2264.92</v>
      </c>
    </row>
    <row r="389" spans="2:18" ht="30" hidden="1">
      <c r="B389" s="150" t="s">
        <v>850</v>
      </c>
      <c r="C389" s="37" t="s">
        <v>851</v>
      </c>
      <c r="D389">
        <v>919</v>
      </c>
      <c r="E389" s="19">
        <f>D389/28</f>
        <v>32.821428571428569</v>
      </c>
      <c r="F389" s="151">
        <v>1684.38</v>
      </c>
      <c r="I389" s="140">
        <f>IF((D389/28)&gt;100,D389*2,D389*2)</f>
        <v>1838</v>
      </c>
      <c r="J389" t="b">
        <f>IF(F389&gt;1.2*I389,FALSE,TRUE)</f>
        <v>1</v>
      </c>
      <c r="K389" s="4">
        <f>F389/I389-1</f>
        <v>-8.3579978237214303E-2</v>
      </c>
      <c r="P389" t="s">
        <v>1266</v>
      </c>
      <c r="Q389">
        <v>1609</v>
      </c>
      <c r="R389">
        <v>1661.07</v>
      </c>
    </row>
    <row r="390" spans="2:18" hidden="1">
      <c r="B390" t="s">
        <v>791</v>
      </c>
      <c r="C390" t="s">
        <v>792</v>
      </c>
      <c r="D390" s="19">
        <v>5417</v>
      </c>
      <c r="E390" s="19">
        <f>D390/28</f>
        <v>193.46428571428572</v>
      </c>
      <c r="F390" s="5">
        <v>7264.3</v>
      </c>
      <c r="I390" s="140">
        <f>IF((D390/28)&gt;100,D390*2,D390*2)</f>
        <v>10834</v>
      </c>
      <c r="J390" t="b">
        <f>IF(F390&gt;1.2*I390,FALSE,TRUE)</f>
        <v>1</v>
      </c>
      <c r="K390" s="4">
        <f>F390/I390-1</f>
        <v>-0.32949049289274501</v>
      </c>
      <c r="P390" t="s">
        <v>1163</v>
      </c>
      <c r="Q390">
        <v>1107</v>
      </c>
      <c r="R390">
        <v>1110.52</v>
      </c>
    </row>
    <row r="391" spans="2:18" hidden="1">
      <c r="B391" t="s">
        <v>798</v>
      </c>
      <c r="C391" t="s">
        <v>799</v>
      </c>
      <c r="D391" s="19">
        <v>610</v>
      </c>
      <c r="E391" s="19">
        <f>D391/28</f>
        <v>21.785714285714285</v>
      </c>
      <c r="F391" s="5">
        <v>577.24</v>
      </c>
      <c r="I391" s="140">
        <f>IF((D391/28)&gt;100,D391*2,D391*2)</f>
        <v>1220</v>
      </c>
      <c r="J391" t="b">
        <f>IF(F391&gt;1.2*I391,FALSE,TRUE)</f>
        <v>1</v>
      </c>
      <c r="K391" s="4">
        <f>F391/I391-1</f>
        <v>-0.52685245901639344</v>
      </c>
      <c r="P391" t="s">
        <v>1137</v>
      </c>
      <c r="Q391">
        <v>550</v>
      </c>
      <c r="R391">
        <v>515.15</v>
      </c>
    </row>
    <row r="392" spans="2:18" hidden="1">
      <c r="B392" t="s">
        <v>818</v>
      </c>
      <c r="C392" t="s">
        <v>819</v>
      </c>
      <c r="D392" s="19">
        <v>1105</v>
      </c>
      <c r="E392" s="19">
        <f>D392/28</f>
        <v>39.464285714285715</v>
      </c>
      <c r="F392" s="5">
        <v>1245.75</v>
      </c>
      <c r="I392" s="140">
        <f>IF((D392/28)&gt;100,D392*2,D392*2)</f>
        <v>2210</v>
      </c>
      <c r="J392" t="b">
        <f>IF(F392&gt;1.2*I392,FALSE,TRUE)</f>
        <v>1</v>
      </c>
      <c r="K392" s="4">
        <f>F392/I392-1</f>
        <v>-0.43631221719457014</v>
      </c>
      <c r="P392" t="s">
        <v>1089</v>
      </c>
      <c r="Q392">
        <v>925</v>
      </c>
      <c r="R392">
        <v>1261.25</v>
      </c>
    </row>
    <row r="393" spans="2:18" hidden="1">
      <c r="B393" t="s">
        <v>814</v>
      </c>
      <c r="C393" t="s">
        <v>815</v>
      </c>
      <c r="D393" s="19">
        <v>3532</v>
      </c>
      <c r="E393" s="19">
        <f>D393/28</f>
        <v>126.14285714285714</v>
      </c>
      <c r="F393" s="5">
        <v>3761.54</v>
      </c>
      <c r="I393" s="140">
        <f>IF((D393/28)&gt;100,D393*2,D393*2)</f>
        <v>7064</v>
      </c>
      <c r="J393" t="b">
        <f>IF(F393&gt;1.2*I393,FALSE,TRUE)</f>
        <v>1</v>
      </c>
      <c r="K393" s="4">
        <f>F393/I393-1</f>
        <v>-0.46750566251415626</v>
      </c>
      <c r="P393" t="s">
        <v>1204</v>
      </c>
      <c r="Q393">
        <v>1375</v>
      </c>
      <c r="R393">
        <v>2480.4</v>
      </c>
    </row>
    <row r="394" spans="2:18" hidden="1">
      <c r="B394" t="s">
        <v>1021</v>
      </c>
      <c r="C394" t="s">
        <v>1022</v>
      </c>
      <c r="D394" s="19">
        <v>902</v>
      </c>
      <c r="E394" s="19">
        <f>D394/28</f>
        <v>32.214285714285715</v>
      </c>
      <c r="F394" s="5">
        <v>1379.85</v>
      </c>
      <c r="I394" s="140">
        <f>IF((D394/28)&gt;100,D394*2,D394*2)</f>
        <v>1804</v>
      </c>
      <c r="J394" t="b">
        <f>IF(F394&gt;1.2*I394,FALSE,TRUE)</f>
        <v>1</v>
      </c>
      <c r="K394" s="4">
        <f>F394/I394-1</f>
        <v>-0.23511640798226174</v>
      </c>
      <c r="P394" t="s">
        <v>1093</v>
      </c>
      <c r="Q394">
        <v>770</v>
      </c>
      <c r="R394">
        <v>85.89</v>
      </c>
    </row>
    <row r="395" spans="2:18" hidden="1">
      <c r="B395" t="s">
        <v>865</v>
      </c>
      <c r="C395" t="s">
        <v>866</v>
      </c>
      <c r="D395" s="19">
        <v>0</v>
      </c>
      <c r="E395" s="19">
        <f>D395/28</f>
        <v>0</v>
      </c>
      <c r="F395" s="5">
        <v>0</v>
      </c>
      <c r="I395" s="151">
        <f>IF((D395/28)&gt;100,D395*2,D395*2)</f>
        <v>0</v>
      </c>
      <c r="J395" t="b">
        <f>IF(F395&gt;1.2*I395,FALSE,TRUE)</f>
        <v>1</v>
      </c>
      <c r="K395" s="4" t="e">
        <f>F395/I395-1</f>
        <v>#DIV/0!</v>
      </c>
      <c r="P395" t="s">
        <v>1098</v>
      </c>
      <c r="Q395">
        <v>1104</v>
      </c>
      <c r="R395">
        <v>2117</v>
      </c>
    </row>
    <row r="396" spans="2:18" hidden="1">
      <c r="B396" t="s">
        <v>869</v>
      </c>
      <c r="C396" t="s">
        <v>870</v>
      </c>
      <c r="D396" s="19">
        <v>947</v>
      </c>
      <c r="E396" s="19">
        <f>D396/28</f>
        <v>33.821428571428569</v>
      </c>
      <c r="F396" s="5">
        <v>746.57</v>
      </c>
      <c r="I396" s="140">
        <f>IF((D396/28)&gt;100,D396*2,D396*2)</f>
        <v>1894</v>
      </c>
      <c r="J396" t="b">
        <f>IF(F396&gt;1.2*I396,FALSE,TRUE)</f>
        <v>1</v>
      </c>
      <c r="K396" s="4">
        <f>F396/I396-1</f>
        <v>-0.60582365364308344</v>
      </c>
      <c r="P396" t="s">
        <v>1044</v>
      </c>
      <c r="Q396">
        <v>1299</v>
      </c>
      <c r="R396">
        <v>2181.89</v>
      </c>
    </row>
    <row r="397" spans="2:18" hidden="1">
      <c r="B397" t="s">
        <v>867</v>
      </c>
      <c r="C397" t="s">
        <v>868</v>
      </c>
      <c r="D397" s="19">
        <v>0</v>
      </c>
      <c r="E397" s="19">
        <f>D397/28</f>
        <v>0</v>
      </c>
      <c r="F397" s="5">
        <v>0</v>
      </c>
      <c r="I397" s="140">
        <f>IF((D397/28)&gt;100,D397*2,D397*2)</f>
        <v>0</v>
      </c>
      <c r="J397" t="b">
        <f>IF(F397&gt;1.2*I397,FALSE,TRUE)</f>
        <v>1</v>
      </c>
      <c r="K397" s="4" t="e">
        <f>F397/I397-1</f>
        <v>#DIV/0!</v>
      </c>
      <c r="P397" t="s">
        <v>1125</v>
      </c>
      <c r="Q397">
        <v>930</v>
      </c>
      <c r="R397">
        <v>2178.85</v>
      </c>
    </row>
    <row r="398" spans="2:18" hidden="1">
      <c r="B398" t="s">
        <v>1023</v>
      </c>
      <c r="C398" t="s">
        <v>1024</v>
      </c>
      <c r="D398" s="19">
        <v>991</v>
      </c>
      <c r="E398" s="19">
        <f>D398/28</f>
        <v>35.392857142857146</v>
      </c>
      <c r="F398" s="5">
        <v>1689.48</v>
      </c>
      <c r="I398" s="140">
        <f>IF((D398/28)&gt;100,D398*2,D398*2)</f>
        <v>1982</v>
      </c>
      <c r="J398" t="b">
        <f>IF(F398&gt;1.2*I398,FALSE,TRUE)</f>
        <v>1</v>
      </c>
      <c r="K398" s="4">
        <f>F398/I398-1</f>
        <v>-0.14758829465186685</v>
      </c>
      <c r="P398" t="s">
        <v>1220</v>
      </c>
      <c r="Q398">
        <v>531</v>
      </c>
      <c r="R398">
        <v>251.56</v>
      </c>
    </row>
    <row r="399" spans="2:18" hidden="1">
      <c r="B399" t="s">
        <v>925</v>
      </c>
      <c r="C399" t="s">
        <v>926</v>
      </c>
      <c r="D399" s="19">
        <v>661</v>
      </c>
      <c r="E399" s="19">
        <f>D399/28</f>
        <v>23.607142857142858</v>
      </c>
      <c r="F399" s="5">
        <v>403.79</v>
      </c>
      <c r="I399" s="140">
        <f>IF((D399/28)&gt;100,D399*2,D399*2)</f>
        <v>1322</v>
      </c>
      <c r="J399" t="b">
        <f>IF(F399&gt;1.2*I399,FALSE,TRUE)</f>
        <v>1</v>
      </c>
      <c r="K399" s="4">
        <f>F399/I399-1</f>
        <v>-0.6945612708018154</v>
      </c>
      <c r="P399" t="s">
        <v>1198</v>
      </c>
      <c r="Q399">
        <v>1122</v>
      </c>
      <c r="R399">
        <v>2440.81</v>
      </c>
    </row>
    <row r="400" spans="2:18" hidden="1">
      <c r="B400" t="s">
        <v>915</v>
      </c>
      <c r="C400" t="s">
        <v>916</v>
      </c>
      <c r="D400" s="19">
        <v>0</v>
      </c>
      <c r="E400" s="19">
        <f>D400/28</f>
        <v>0</v>
      </c>
      <c r="F400" s="5">
        <v>0</v>
      </c>
      <c r="I400" s="140">
        <f>IF((D400/28)&gt;100,D400*2,D400*2)</f>
        <v>0</v>
      </c>
      <c r="J400" t="b">
        <f>IF(F400&gt;1.2*I400,FALSE,TRUE)</f>
        <v>1</v>
      </c>
      <c r="K400" s="4" t="e">
        <f>F400/I400-1</f>
        <v>#DIV/0!</v>
      </c>
      <c r="P400" t="s">
        <v>1127</v>
      </c>
      <c r="Q400">
        <v>325</v>
      </c>
      <c r="R400">
        <v>978.93</v>
      </c>
    </row>
    <row r="401" spans="2:18" hidden="1">
      <c r="B401" t="s">
        <v>932</v>
      </c>
      <c r="C401" t="s">
        <v>933</v>
      </c>
      <c r="D401" s="19">
        <v>435</v>
      </c>
      <c r="E401" s="19">
        <f>D401/28</f>
        <v>15.535714285714286</v>
      </c>
      <c r="F401" s="5">
        <v>194.12</v>
      </c>
      <c r="I401" s="140">
        <f>IF((D401/28)&gt;100,D401*2,D401*2)</f>
        <v>870</v>
      </c>
      <c r="J401" t="b">
        <f>IF(F401&gt;1.2*I401,FALSE,TRUE)</f>
        <v>1</v>
      </c>
      <c r="K401" s="4">
        <f>F401/I401-1</f>
        <v>-0.77687356321839074</v>
      </c>
      <c r="P401" t="s">
        <v>1236</v>
      </c>
      <c r="Q401">
        <v>1173</v>
      </c>
      <c r="R401">
        <v>2045.63</v>
      </c>
    </row>
    <row r="402" spans="2:18" hidden="1">
      <c r="B402" t="s">
        <v>909</v>
      </c>
      <c r="C402" t="s">
        <v>910</v>
      </c>
      <c r="D402" s="19">
        <v>239</v>
      </c>
      <c r="E402" s="19">
        <f>D402/28</f>
        <v>8.5357142857142865</v>
      </c>
      <c r="F402" s="5">
        <v>177.8</v>
      </c>
      <c r="I402" s="140">
        <f>IF((D402/28)&gt;100,D402*2,D402*2)</f>
        <v>478</v>
      </c>
      <c r="J402" t="b">
        <f>IF(F402&gt;1.2*I402,FALSE,TRUE)</f>
        <v>1</v>
      </c>
      <c r="K402" s="4">
        <f>F402/I402-1</f>
        <v>-0.6280334728033472</v>
      </c>
      <c r="P402" t="s">
        <v>1317</v>
      </c>
      <c r="Q402">
        <v>0</v>
      </c>
      <c r="R402">
        <v>0</v>
      </c>
    </row>
    <row r="403" spans="2:18" hidden="1">
      <c r="B403" t="s">
        <v>907</v>
      </c>
      <c r="C403" t="s">
        <v>908</v>
      </c>
      <c r="D403" s="19">
        <v>296</v>
      </c>
      <c r="E403" s="19">
        <f>D403/28</f>
        <v>10.571428571428571</v>
      </c>
      <c r="F403" s="5">
        <v>118.79</v>
      </c>
      <c r="I403" s="140">
        <f>IF((D403/28)&gt;100,D403*2,D403*2)</f>
        <v>592</v>
      </c>
      <c r="J403" t="b">
        <f>IF(F403&gt;1.2*I403,FALSE,TRUE)</f>
        <v>1</v>
      </c>
      <c r="K403" s="4">
        <f>F403/I403-1</f>
        <v>-0.79934121621621623</v>
      </c>
      <c r="Q403">
        <v>0</v>
      </c>
      <c r="R403">
        <v>0</v>
      </c>
    </row>
    <row r="404" spans="2:18" hidden="1">
      <c r="B404" t="s">
        <v>911</v>
      </c>
      <c r="C404" t="s">
        <v>912</v>
      </c>
      <c r="D404" s="19">
        <v>192</v>
      </c>
      <c r="E404" s="19">
        <f>D404/28</f>
        <v>6.8571428571428568</v>
      </c>
      <c r="F404" s="5">
        <v>109</v>
      </c>
      <c r="I404" s="140">
        <f>IF((D404/28)&gt;100,D404*2,D404*2)</f>
        <v>384</v>
      </c>
      <c r="J404" t="b">
        <f>IF(F404&gt;1.2*I404,FALSE,TRUE)</f>
        <v>1</v>
      </c>
      <c r="K404" s="4">
        <f>F404/I404-1</f>
        <v>-0.71614583333333326</v>
      </c>
      <c r="Q404">
        <v>0</v>
      </c>
      <c r="R404">
        <v>0</v>
      </c>
    </row>
    <row r="405" spans="2:18" ht="30" hidden="1">
      <c r="B405" s="24" t="s">
        <v>903</v>
      </c>
      <c r="C405" s="23" t="s">
        <v>904</v>
      </c>
      <c r="D405" s="19">
        <v>632</v>
      </c>
      <c r="E405" s="19">
        <f>D405/28</f>
        <v>22.571428571428573</v>
      </c>
      <c r="F405" s="5">
        <v>355.5</v>
      </c>
      <c r="I405" s="140">
        <f>IF((D405/28)&gt;100,D405*2,D405*2)</f>
        <v>1264</v>
      </c>
      <c r="J405" t="b">
        <f>IF(F405&gt;1.2*I405,FALSE,TRUE)</f>
        <v>1</v>
      </c>
      <c r="K405" s="4">
        <f>F405/I405-1</f>
        <v>-0.71875</v>
      </c>
      <c r="P405" t="s">
        <v>1056</v>
      </c>
      <c r="Q405">
        <v>1253</v>
      </c>
      <c r="R405">
        <v>1938.81</v>
      </c>
    </row>
    <row r="406" spans="2:18" hidden="1">
      <c r="B406" s="149" t="s">
        <v>883</v>
      </c>
      <c r="C406" s="37" t="s">
        <v>884</v>
      </c>
      <c r="D406">
        <v>487</v>
      </c>
      <c r="E406" s="19">
        <f>D406/28</f>
        <v>17.392857142857142</v>
      </c>
      <c r="F406" s="151">
        <v>300.45999999999998</v>
      </c>
      <c r="I406" s="140">
        <f>IF((D406/28)&gt;100,D406*2,D406*2)</f>
        <v>974</v>
      </c>
      <c r="J406" t="b">
        <f>IF(F406&gt;1.2*I406,FALSE,TRUE)</f>
        <v>1</v>
      </c>
      <c r="K406" s="4">
        <f>F406/I406-1</f>
        <v>-0.69151950718685828</v>
      </c>
      <c r="Q406">
        <v>0</v>
      </c>
      <c r="R406">
        <v>0</v>
      </c>
    </row>
    <row r="407" spans="2:18" hidden="1">
      <c r="B407" t="s">
        <v>940</v>
      </c>
      <c r="C407" t="s">
        <v>941</v>
      </c>
      <c r="D407" s="19">
        <v>581</v>
      </c>
      <c r="E407" s="19">
        <f>D407/28</f>
        <v>20.75</v>
      </c>
      <c r="F407" s="5">
        <v>545.65</v>
      </c>
      <c r="I407" s="140">
        <f>IF((D407/28)&gt;100,D407*2,D407*2)</f>
        <v>1162</v>
      </c>
      <c r="J407" t="b">
        <f>IF(F407&gt;1.2*I407,FALSE,TRUE)</f>
        <v>1</v>
      </c>
      <c r="K407" s="4">
        <f>F407/I407-1</f>
        <v>-0.53042168674698797</v>
      </c>
      <c r="P407" t="s">
        <v>1153</v>
      </c>
      <c r="Q407">
        <v>566</v>
      </c>
      <c r="R407">
        <v>1224.96</v>
      </c>
    </row>
    <row r="408" spans="2:18" hidden="1">
      <c r="B408" t="s">
        <v>1017</v>
      </c>
      <c r="C408" t="s">
        <v>1018</v>
      </c>
      <c r="D408" s="19">
        <v>176</v>
      </c>
      <c r="E408" s="19">
        <f>D408/28</f>
        <v>6.2857142857142856</v>
      </c>
      <c r="F408" s="5">
        <v>0</v>
      </c>
      <c r="I408" s="140">
        <f>IF((D408/28)&gt;100,D408*2,D408*2)</f>
        <v>352</v>
      </c>
      <c r="J408" t="b">
        <f>IF(F408&gt;1.2*I408,FALSE,TRUE)</f>
        <v>1</v>
      </c>
      <c r="K408" s="4">
        <f>F408/I408-1</f>
        <v>-1</v>
      </c>
      <c r="P408" t="s">
        <v>1196</v>
      </c>
      <c r="Q408">
        <v>601</v>
      </c>
      <c r="R408">
        <v>1605.96</v>
      </c>
    </row>
    <row r="409" spans="2:18" hidden="1">
      <c r="B409" s="149" t="s">
        <v>794</v>
      </c>
      <c r="C409" s="27" t="s">
        <v>795</v>
      </c>
      <c r="D409">
        <v>1620</v>
      </c>
      <c r="E409" s="19">
        <f>D409/28</f>
        <v>57.857142857142854</v>
      </c>
      <c r="F409" s="151">
        <v>2952.18</v>
      </c>
      <c r="I409" s="140">
        <f>IF((D409/28)&gt;100,D409*2,D409*2)</f>
        <v>3240</v>
      </c>
      <c r="J409" t="b">
        <f>IF(F409&gt;1.2*I409,FALSE,TRUE)</f>
        <v>1</v>
      </c>
      <c r="K409" s="4">
        <f>F409/I409-1</f>
        <v>-8.8833333333333431E-2</v>
      </c>
      <c r="P409" t="s">
        <v>1121</v>
      </c>
      <c r="Q409">
        <v>375</v>
      </c>
      <c r="R409">
        <v>652.58000000000004</v>
      </c>
    </row>
    <row r="410" spans="2:18" hidden="1">
      <c r="B410" t="s">
        <v>942</v>
      </c>
      <c r="C410" t="s">
        <v>943</v>
      </c>
      <c r="D410" s="19">
        <v>841</v>
      </c>
      <c r="E410" s="19">
        <f>D410/28</f>
        <v>30.035714285714285</v>
      </c>
      <c r="F410" s="5">
        <v>798.99</v>
      </c>
      <c r="I410" s="140">
        <f>IF((D410/28)&gt;100,D410*2,D410*2)</f>
        <v>1682</v>
      </c>
      <c r="J410" t="b">
        <f>IF(F410&gt;1.2*I410,FALSE,TRUE)</f>
        <v>1</v>
      </c>
      <c r="K410" s="4">
        <f>F410/I410-1</f>
        <v>-0.52497621878715817</v>
      </c>
      <c r="P410" t="s">
        <v>1188</v>
      </c>
      <c r="Q410">
        <v>17</v>
      </c>
      <c r="R410">
        <v>31</v>
      </c>
    </row>
    <row r="411" spans="2:18" hidden="1">
      <c r="B411" t="s">
        <v>948</v>
      </c>
      <c r="C411" t="s">
        <v>949</v>
      </c>
      <c r="D411" s="19">
        <v>522</v>
      </c>
      <c r="E411" s="19">
        <f>D411/28</f>
        <v>18.642857142857142</v>
      </c>
      <c r="F411" s="5">
        <v>1082.8699999999999</v>
      </c>
      <c r="I411" s="140">
        <f>IF((D411/28)&gt;100,D411*2,D411*2)</f>
        <v>1044</v>
      </c>
      <c r="J411" t="b">
        <f>IF(F411&gt;1.2*I411,FALSE,TRUE)</f>
        <v>1</v>
      </c>
      <c r="K411" s="4">
        <f>F411/I411-1</f>
        <v>3.7231800766283518E-2</v>
      </c>
      <c r="P411" t="s">
        <v>1192</v>
      </c>
      <c r="Q411">
        <v>0</v>
      </c>
      <c r="R411">
        <v>0</v>
      </c>
    </row>
    <row r="412" spans="2:18" hidden="1">
      <c r="B412" t="s">
        <v>806</v>
      </c>
      <c r="C412" t="s">
        <v>807</v>
      </c>
      <c r="D412" s="19">
        <v>1027</v>
      </c>
      <c r="E412" s="19">
        <f>D412/28</f>
        <v>36.678571428571431</v>
      </c>
      <c r="F412" s="5">
        <v>859.84</v>
      </c>
      <c r="I412" s="140">
        <f>IF((D412/28)&gt;100,D412*2,D412*2)</f>
        <v>2054</v>
      </c>
      <c r="J412" t="b">
        <f>IF(F412&gt;1.2*I412,FALSE,TRUE)</f>
        <v>1</v>
      </c>
      <c r="K412" s="4">
        <f>F412/I412-1</f>
        <v>-0.58138266796494642</v>
      </c>
      <c r="P412" t="s">
        <v>1111</v>
      </c>
      <c r="Q412">
        <v>966</v>
      </c>
      <c r="R412">
        <v>591.04999999999995</v>
      </c>
    </row>
    <row r="413" spans="2:18" hidden="1">
      <c r="B413" t="s">
        <v>832</v>
      </c>
      <c r="C413" t="s">
        <v>833</v>
      </c>
      <c r="D413" s="19">
        <v>1026</v>
      </c>
      <c r="E413" s="19">
        <f>D413/28</f>
        <v>36.642857142857146</v>
      </c>
      <c r="F413" s="5">
        <v>1628.08</v>
      </c>
      <c r="I413" s="140">
        <f>IF((D413/28)&gt;100,D413*2,D413*2)</f>
        <v>2052</v>
      </c>
      <c r="J413" t="b">
        <f>IF(F413&gt;1.2*I413,FALSE,TRUE)</f>
        <v>1</v>
      </c>
      <c r="K413" s="4">
        <f>F413/I413-1</f>
        <v>-0.2065886939571151</v>
      </c>
      <c r="P413" t="s">
        <v>1173</v>
      </c>
      <c r="Q413">
        <v>22</v>
      </c>
      <c r="R413">
        <v>26.05</v>
      </c>
    </row>
    <row r="414" spans="2:18" ht="30" hidden="1">
      <c r="B414" s="24" t="s">
        <v>913</v>
      </c>
      <c r="C414" s="23" t="s">
        <v>914</v>
      </c>
      <c r="D414" s="19">
        <v>680</v>
      </c>
      <c r="E414" s="19">
        <f>D414/28</f>
        <v>24.285714285714285</v>
      </c>
      <c r="F414" s="5">
        <v>951.64</v>
      </c>
      <c r="I414" s="140">
        <f>IF((D414/28)&gt;100,D414*2,D414*2)</f>
        <v>1360</v>
      </c>
      <c r="J414" t="b">
        <f>IF(F414&gt;1.2*I414,FALSE,TRUE)</f>
        <v>1</v>
      </c>
      <c r="K414" s="4">
        <f>F414/I414-1</f>
        <v>-0.30026470588235299</v>
      </c>
      <c r="P414" t="s">
        <v>1105</v>
      </c>
      <c r="Q414">
        <v>1292</v>
      </c>
      <c r="R414">
        <v>1954.98</v>
      </c>
    </row>
    <row r="415" spans="2:18" hidden="1">
      <c r="B415" t="s">
        <v>1005</v>
      </c>
      <c r="C415" t="s">
        <v>1006</v>
      </c>
      <c r="D415" s="19">
        <v>1545</v>
      </c>
      <c r="E415" s="19">
        <f>D415/28</f>
        <v>55.178571428571431</v>
      </c>
      <c r="F415" s="5">
        <v>1436.99</v>
      </c>
      <c r="I415" s="140">
        <f>IF((D415/28)&gt;100,D415*2,D415*2)</f>
        <v>3090</v>
      </c>
      <c r="J415" t="b">
        <f>IF(F415&gt;1.2*I415,FALSE,TRUE)</f>
        <v>1</v>
      </c>
      <c r="K415" s="4">
        <f>F415/I415-1</f>
        <v>-0.5349546925566343</v>
      </c>
      <c r="P415" t="s">
        <v>1257</v>
      </c>
      <c r="Q415">
        <v>840</v>
      </c>
      <c r="R415">
        <v>462.91</v>
      </c>
    </row>
    <row r="416" spans="2:18" hidden="1">
      <c r="B416" t="s">
        <v>777</v>
      </c>
      <c r="C416" t="s">
        <v>778</v>
      </c>
      <c r="D416" s="19">
        <v>540</v>
      </c>
      <c r="E416" s="19">
        <f>D416/28</f>
        <v>19.285714285714285</v>
      </c>
      <c r="F416" s="5">
        <v>1049.3399999999999</v>
      </c>
      <c r="I416" s="140">
        <f>IF((D416/28)&gt;100,D416*2,D416*2)</f>
        <v>1080</v>
      </c>
      <c r="J416" t="b">
        <f>IF(F416&gt;1.2*I416,FALSE,TRUE)</f>
        <v>1</v>
      </c>
      <c r="K416" s="4">
        <f>F416/I416-1</f>
        <v>-2.8388888888889019E-2</v>
      </c>
      <c r="P416" t="s">
        <v>1186</v>
      </c>
      <c r="Q416">
        <v>142</v>
      </c>
      <c r="R416">
        <v>0</v>
      </c>
    </row>
    <row r="417" spans="2:18" hidden="1">
      <c r="B417" t="s">
        <v>800</v>
      </c>
      <c r="C417" t="s">
        <v>801</v>
      </c>
      <c r="D417" s="19">
        <v>636</v>
      </c>
      <c r="E417" s="19">
        <f>D417/28</f>
        <v>22.714285714285715</v>
      </c>
      <c r="F417" s="5">
        <v>880.95</v>
      </c>
      <c r="I417" s="151">
        <f>IF((D417/28)&gt;100,D417*2,D417*2)</f>
        <v>1272</v>
      </c>
      <c r="J417" t="b">
        <f>IF(F417&gt;1.2*I417,FALSE,TRUE)</f>
        <v>1</v>
      </c>
      <c r="K417" s="4">
        <f>F417/I417-1</f>
        <v>-0.30742924528301885</v>
      </c>
      <c r="P417" t="s">
        <v>1129</v>
      </c>
      <c r="Q417">
        <v>131</v>
      </c>
      <c r="R417">
        <v>513.11</v>
      </c>
    </row>
    <row r="418" spans="2:18" hidden="1">
      <c r="B418" t="s">
        <v>848</v>
      </c>
      <c r="C418" t="s">
        <v>849</v>
      </c>
      <c r="D418" s="19">
        <v>852</v>
      </c>
      <c r="E418" s="19">
        <f>D418/28</f>
        <v>30.428571428571427</v>
      </c>
      <c r="F418" s="5">
        <v>1096.4100000000001</v>
      </c>
      <c r="I418" s="140">
        <f>IF((D418/28)&gt;100,D418*2,D418*2)</f>
        <v>1704</v>
      </c>
      <c r="J418" t="b">
        <f>IF(F418&gt;1.2*I418,FALSE,TRUE)</f>
        <v>1</v>
      </c>
      <c r="K418" s="4">
        <f>F418/I418-1</f>
        <v>-0.35656690140845071</v>
      </c>
      <c r="P418" t="s">
        <v>1147</v>
      </c>
      <c r="Q418">
        <v>0</v>
      </c>
      <c r="R418">
        <v>0</v>
      </c>
    </row>
    <row r="419" spans="2:18" hidden="1">
      <c r="B419" t="s">
        <v>834</v>
      </c>
      <c r="C419" t="s">
        <v>835</v>
      </c>
      <c r="D419" s="19">
        <v>594</v>
      </c>
      <c r="E419" s="19">
        <f>D419/28</f>
        <v>21.214285714285715</v>
      </c>
      <c r="F419" s="5">
        <v>555.82000000000005</v>
      </c>
      <c r="I419" s="140">
        <f>IF((D419/28)&gt;100,D419*2,D419*2)</f>
        <v>1188</v>
      </c>
      <c r="J419" t="b">
        <f>IF(F419&gt;1.2*I419,FALSE,TRUE)</f>
        <v>1</v>
      </c>
      <c r="K419" s="4">
        <f>F419/I419-1</f>
        <v>-0.53213804713804702</v>
      </c>
      <c r="P419" t="s">
        <v>1171</v>
      </c>
      <c r="Q419">
        <v>683</v>
      </c>
      <c r="R419">
        <v>642.48</v>
      </c>
    </row>
    <row r="420" spans="2:18" ht="30" hidden="1">
      <c r="B420" s="150" t="s">
        <v>842</v>
      </c>
      <c r="C420" s="37" t="s">
        <v>843</v>
      </c>
      <c r="D420">
        <v>423</v>
      </c>
      <c r="E420" s="19">
        <f>D420/28</f>
        <v>15.107142857142858</v>
      </c>
      <c r="F420" s="151">
        <v>418.48</v>
      </c>
      <c r="I420" s="151">
        <f>IF((D420/28)&gt;100,D420*2,D420*2)</f>
        <v>846</v>
      </c>
      <c r="J420" t="b">
        <f>IF(F420&gt;1.2*I420,FALSE,TRUE)</f>
        <v>1</v>
      </c>
      <c r="K420" s="4">
        <f>F420/I420-1</f>
        <v>-0.50534278959810874</v>
      </c>
      <c r="P420" t="s">
        <v>1155</v>
      </c>
      <c r="Q420">
        <v>276</v>
      </c>
      <c r="R420">
        <v>0</v>
      </c>
    </row>
    <row r="421" spans="2:18" hidden="1">
      <c r="B421" t="s">
        <v>944</v>
      </c>
      <c r="C421" t="s">
        <v>945</v>
      </c>
      <c r="D421" s="19">
        <v>1051</v>
      </c>
      <c r="E421" s="19">
        <f>D421/28</f>
        <v>37.535714285714285</v>
      </c>
      <c r="F421" s="5">
        <v>883.98</v>
      </c>
      <c r="I421" s="140">
        <f>IF((D421/28)&gt;100,D421*2,D421*2)</f>
        <v>2102</v>
      </c>
      <c r="J421" t="b">
        <f>IF(F421&gt;1.2*I421,FALSE,TRUE)</f>
        <v>1</v>
      </c>
      <c r="K421" s="4">
        <f>F421/I421-1</f>
        <v>-0.57945765937202665</v>
      </c>
      <c r="P421" t="s">
        <v>1157</v>
      </c>
      <c r="Q421">
        <v>295</v>
      </c>
      <c r="R421">
        <v>114.7</v>
      </c>
    </row>
    <row r="422" spans="2:18" hidden="1">
      <c r="B422" s="27" t="s">
        <v>871</v>
      </c>
      <c r="C422" s="27" t="s">
        <v>872</v>
      </c>
      <c r="D422" s="19">
        <v>1154</v>
      </c>
      <c r="E422" s="19">
        <f>D422/28</f>
        <v>41.214285714285715</v>
      </c>
      <c r="F422" s="5">
        <v>1345.8</v>
      </c>
      <c r="I422" s="140">
        <f>IF((D422/28)&gt;100,D422*2,D422*2)</f>
        <v>2308</v>
      </c>
      <c r="J422" t="b">
        <f>IF(F422&gt;1.2*I422,FALSE,TRUE)</f>
        <v>1</v>
      </c>
      <c r="K422" s="4">
        <f>F422/I422-1</f>
        <v>-0.41689774696707105</v>
      </c>
      <c r="P422" t="s">
        <v>1318</v>
      </c>
      <c r="Q422">
        <v>279</v>
      </c>
      <c r="R422">
        <v>0</v>
      </c>
    </row>
    <row r="423" spans="2:18" hidden="1">
      <c r="B423" t="s">
        <v>905</v>
      </c>
      <c r="C423" t="s">
        <v>906</v>
      </c>
      <c r="D423" s="19">
        <v>837</v>
      </c>
      <c r="E423" s="19">
        <f>D423/28</f>
        <v>29.892857142857142</v>
      </c>
      <c r="F423" s="5">
        <v>644.35</v>
      </c>
      <c r="I423" s="140">
        <f>IF((D423/28)&gt;100,D423*2,D423*2)</f>
        <v>1674</v>
      </c>
      <c r="J423" t="b">
        <f>IF(F423&gt;1.2*I423,FALSE,TRUE)</f>
        <v>1</v>
      </c>
      <c r="K423" s="4">
        <f>F423/I423-1</f>
        <v>-0.61508363201911587</v>
      </c>
      <c r="P423" t="s">
        <v>1081</v>
      </c>
      <c r="Q423">
        <v>1946</v>
      </c>
      <c r="R423">
        <v>2591</v>
      </c>
    </row>
    <row r="424" spans="2:18" ht="30" hidden="1">
      <c r="B424" s="150" t="s">
        <v>962</v>
      </c>
      <c r="C424" s="37" t="s">
        <v>963</v>
      </c>
      <c r="D424">
        <v>1228</v>
      </c>
      <c r="E424" s="19">
        <f>D424/28</f>
        <v>43.857142857142854</v>
      </c>
      <c r="F424" s="151">
        <v>1700.81</v>
      </c>
      <c r="I424" s="140">
        <f>IF((D424/28)&gt;100,D424*2,D424*2)</f>
        <v>2456</v>
      </c>
      <c r="J424" t="b">
        <f>IF(F424&gt;1.2*I424,FALSE,TRUE)</f>
        <v>1</v>
      </c>
      <c r="K424" s="4">
        <f>F424/I424-1</f>
        <v>-0.30748778501628671</v>
      </c>
      <c r="P424" t="s">
        <v>1107</v>
      </c>
      <c r="Q424">
        <v>1462</v>
      </c>
      <c r="R424">
        <v>2207.94</v>
      </c>
    </row>
    <row r="425" spans="2:18" hidden="1">
      <c r="B425" t="s">
        <v>993</v>
      </c>
      <c r="C425" t="s">
        <v>994</v>
      </c>
      <c r="D425" s="19">
        <v>906</v>
      </c>
      <c r="E425" s="19">
        <f>D425/28</f>
        <v>32.357142857142854</v>
      </c>
      <c r="F425" s="5">
        <v>1494.58</v>
      </c>
      <c r="I425" s="140">
        <f>IF((D425/28)&gt;100,D425*2,D425*2)</f>
        <v>1812</v>
      </c>
      <c r="J425" t="b">
        <f>IF(F425&gt;1.2*I425,FALSE,TRUE)</f>
        <v>1</v>
      </c>
      <c r="K425" s="4">
        <f>F425/I425-1</f>
        <v>-0.17517660044150118</v>
      </c>
      <c r="P425" t="s">
        <v>1030</v>
      </c>
      <c r="Q425">
        <v>2083</v>
      </c>
      <c r="R425">
        <v>2456.46</v>
      </c>
    </row>
    <row r="426" spans="2:18" hidden="1">
      <c r="B426" t="s">
        <v>899</v>
      </c>
      <c r="C426" t="s">
        <v>900</v>
      </c>
      <c r="D426" s="19">
        <v>813</v>
      </c>
      <c r="E426" s="19">
        <f>D426/28</f>
        <v>29.035714285714285</v>
      </c>
      <c r="F426" s="5">
        <v>871.23</v>
      </c>
      <c r="I426" s="140">
        <f>IF((D426/28)&gt;100,D426*2,D426*2)</f>
        <v>1626</v>
      </c>
      <c r="J426" t="b">
        <f>IF(F426&gt;1.2*I426,FALSE,TRUE)</f>
        <v>1</v>
      </c>
      <c r="K426" s="4">
        <f>F426/I426-1</f>
        <v>-0.46418819188191884</v>
      </c>
      <c r="P426" t="s">
        <v>1109</v>
      </c>
      <c r="Q426">
        <v>336</v>
      </c>
      <c r="R426">
        <v>1014.8</v>
      </c>
    </row>
    <row r="427" spans="2:18" hidden="1">
      <c r="B427" s="57" t="s">
        <v>1015</v>
      </c>
      <c r="C427" s="37" t="s">
        <v>1016</v>
      </c>
      <c r="D427" s="19">
        <v>1159</v>
      </c>
      <c r="E427" s="19">
        <f>D427/28</f>
        <v>41.392857142857146</v>
      </c>
      <c r="F427" s="5">
        <v>1494.44</v>
      </c>
      <c r="I427" s="140">
        <f>IF((D427/28)&gt;100,D427*2,D427*2)</f>
        <v>2318</v>
      </c>
      <c r="J427" t="b">
        <f>IF(F427&gt;1.2*I427,FALSE,TRUE)</f>
        <v>1</v>
      </c>
      <c r="K427" s="4">
        <f>F427/I427-1</f>
        <v>-0.35528904227782565</v>
      </c>
      <c r="P427" t="s">
        <v>1151</v>
      </c>
      <c r="Q427">
        <v>1332</v>
      </c>
      <c r="R427">
        <v>1485.85</v>
      </c>
    </row>
    <row r="428" spans="2:18" hidden="1">
      <c r="B428" t="s">
        <v>881</v>
      </c>
      <c r="C428" t="s">
        <v>882</v>
      </c>
      <c r="D428" s="19">
        <v>653</v>
      </c>
      <c r="E428" s="19">
        <f>D428/28</f>
        <v>23.321428571428573</v>
      </c>
      <c r="F428" s="5">
        <v>278.95999999999998</v>
      </c>
      <c r="I428" s="140">
        <f>IF((D428/28)&gt;100,D428*2,D428*2)</f>
        <v>1306</v>
      </c>
      <c r="J428" t="b">
        <f>IF(F428&gt;1.2*I428,FALSE,TRUE)</f>
        <v>1</v>
      </c>
      <c r="K428" s="4">
        <f>F428/I428-1</f>
        <v>-0.78640122511485455</v>
      </c>
      <c r="P428" t="s">
        <v>1167</v>
      </c>
      <c r="Q428">
        <v>796</v>
      </c>
      <c r="R428">
        <v>1368.16</v>
      </c>
    </row>
    <row r="429" spans="2:18" hidden="1">
      <c r="B429" t="s">
        <v>765</v>
      </c>
      <c r="C429" t="s">
        <v>766</v>
      </c>
      <c r="D429" s="19">
        <v>2508</v>
      </c>
      <c r="E429" s="19">
        <f>D429/28</f>
        <v>89.571428571428569</v>
      </c>
      <c r="F429" s="5">
        <v>2510.1799999999998</v>
      </c>
      <c r="I429" s="140">
        <f>IF((D429/28)&gt;100,D429*2,D429*2)</f>
        <v>5016</v>
      </c>
      <c r="J429" t="b">
        <f>IF(F429&gt;1.2*I429,FALSE,TRUE)</f>
        <v>1</v>
      </c>
      <c r="K429" s="4">
        <f>F429/I429-1</f>
        <v>-0.49956539074960127</v>
      </c>
      <c r="P429" t="s">
        <v>1259</v>
      </c>
      <c r="Q429">
        <v>3891</v>
      </c>
      <c r="R429">
        <v>3675.14</v>
      </c>
    </row>
    <row r="430" spans="2:18" hidden="1">
      <c r="B430" t="s">
        <v>816</v>
      </c>
      <c r="C430" t="s">
        <v>817</v>
      </c>
      <c r="D430" s="19">
        <v>755</v>
      </c>
      <c r="E430" s="19">
        <f>D430/28</f>
        <v>26.964285714285715</v>
      </c>
      <c r="F430" s="5">
        <v>229.5</v>
      </c>
      <c r="I430" s="140">
        <f>IF((D430/28)&gt;100,D430*2,D430*2)</f>
        <v>1510</v>
      </c>
      <c r="J430" t="b">
        <f>IF(F430&gt;1.2*I430,FALSE,TRUE)</f>
        <v>1</v>
      </c>
      <c r="K430" s="4">
        <f>F430/I430-1</f>
        <v>-0.84801324503311259</v>
      </c>
      <c r="P430" t="s">
        <v>1075</v>
      </c>
      <c r="Q430">
        <v>1452</v>
      </c>
      <c r="R430">
        <v>3178.29</v>
      </c>
    </row>
    <row r="431" spans="2:18" hidden="1">
      <c r="B431" t="s">
        <v>759</v>
      </c>
      <c r="C431" s="27" t="s">
        <v>760</v>
      </c>
      <c r="D431" s="19">
        <v>771</v>
      </c>
      <c r="E431" s="19">
        <f>D431/28</f>
        <v>27.535714285714285</v>
      </c>
      <c r="F431" s="5">
        <v>1109.6099999999999</v>
      </c>
      <c r="I431" s="140">
        <f>IF((D431/28)&gt;100,D431*2,D431*2)</f>
        <v>1542</v>
      </c>
      <c r="J431" t="b">
        <f>IF(F431&gt;1.2*I431,FALSE,TRUE)</f>
        <v>1</v>
      </c>
      <c r="K431" s="4">
        <f>F431/I431-1</f>
        <v>-0.28040856031128414</v>
      </c>
      <c r="P431" t="s">
        <v>1234</v>
      </c>
      <c r="Q431">
        <v>1547</v>
      </c>
      <c r="R431">
        <v>2379.5700000000002</v>
      </c>
    </row>
    <row r="432" spans="2:18" hidden="1">
      <c r="B432" t="s">
        <v>836</v>
      </c>
      <c r="C432" t="s">
        <v>837</v>
      </c>
      <c r="D432" s="19">
        <v>802</v>
      </c>
      <c r="E432" s="19">
        <f>D432/28</f>
        <v>28.642857142857142</v>
      </c>
      <c r="F432" s="5">
        <v>781.29</v>
      </c>
      <c r="I432" s="140">
        <f>IF((D432/28)&gt;100,D432*2,D432*2)</f>
        <v>1604</v>
      </c>
      <c r="J432" t="b">
        <f>IF(F432&gt;1.2*I432,FALSE,TRUE)</f>
        <v>1</v>
      </c>
      <c r="K432" s="4">
        <f>F432/I432-1</f>
        <v>-0.51291147132169579</v>
      </c>
      <c r="P432" t="s">
        <v>1096</v>
      </c>
      <c r="Q432">
        <v>303</v>
      </c>
      <c r="R432">
        <v>0</v>
      </c>
    </row>
    <row r="433" spans="2:18" hidden="1">
      <c r="B433" t="s">
        <v>873</v>
      </c>
      <c r="C433" t="s">
        <v>874</v>
      </c>
      <c r="D433" s="19">
        <v>782</v>
      </c>
      <c r="E433" s="19">
        <f>D433/28</f>
        <v>27.928571428571427</v>
      </c>
      <c r="F433" s="5">
        <v>487.94</v>
      </c>
      <c r="I433" s="140">
        <f>IF((D433/28)&gt;100,D433*2,D433*2)</f>
        <v>1564</v>
      </c>
      <c r="J433" t="b">
        <f>IF(F433&gt;1.2*I433,FALSE,TRUE)</f>
        <v>1</v>
      </c>
      <c r="K433" s="4">
        <f>F433/I433-1</f>
        <v>-0.68801790281329922</v>
      </c>
      <c r="P433" t="s">
        <v>1032</v>
      </c>
      <c r="Q433">
        <v>1797</v>
      </c>
      <c r="R433">
        <v>1445.79</v>
      </c>
    </row>
    <row r="434" spans="2:18" hidden="1">
      <c r="B434" t="s">
        <v>779</v>
      </c>
      <c r="C434" t="s">
        <v>780</v>
      </c>
      <c r="D434">
        <v>1006</v>
      </c>
      <c r="E434" s="19">
        <f>D434/28</f>
        <v>35.928571428571431</v>
      </c>
      <c r="F434" s="5">
        <v>1483.04</v>
      </c>
      <c r="I434" s="140">
        <f>IF((D434/28)&gt;100,D434*2,D434*2)</f>
        <v>2012</v>
      </c>
      <c r="J434" t="b">
        <f>IF(F434&gt;1.2*I434,FALSE,TRUE)</f>
        <v>1</v>
      </c>
      <c r="K434" s="4">
        <f>F434/I434-1</f>
        <v>-0.26290258449304171</v>
      </c>
      <c r="P434" t="s">
        <v>1184</v>
      </c>
      <c r="Q434">
        <v>313</v>
      </c>
      <c r="R434">
        <v>201.38</v>
      </c>
    </row>
    <row r="435" spans="2:18" ht="30" hidden="1">
      <c r="B435" s="55" t="s">
        <v>917</v>
      </c>
      <c r="C435" s="37" t="s">
        <v>918</v>
      </c>
      <c r="D435">
        <v>874</v>
      </c>
      <c r="E435" s="19">
        <f>D435/28</f>
        <v>31.214285714285715</v>
      </c>
      <c r="F435" s="5">
        <v>751.85</v>
      </c>
      <c r="I435" s="140">
        <f>IF((D435/28)&gt;100,D435*2,D435*2)</f>
        <v>1748</v>
      </c>
      <c r="J435" t="b">
        <f>IF(F435&gt;1.2*I435,FALSE,TRUE)</f>
        <v>1</v>
      </c>
      <c r="K435" s="4">
        <f>F435/I435-1</f>
        <v>-0.56987986270022883</v>
      </c>
      <c r="P435" t="s">
        <v>1119</v>
      </c>
      <c r="Q435">
        <v>742</v>
      </c>
      <c r="R435">
        <v>704.89</v>
      </c>
    </row>
    <row r="436" spans="2:18" ht="30" hidden="1">
      <c r="B436" s="55" t="s">
        <v>968</v>
      </c>
      <c r="C436" s="37" t="s">
        <v>969</v>
      </c>
      <c r="D436">
        <v>1603</v>
      </c>
      <c r="E436" s="19">
        <f>D436/28</f>
        <v>57.25</v>
      </c>
      <c r="F436" s="5">
        <v>2057.9</v>
      </c>
      <c r="I436" s="151">
        <f>IF((D436/28)&gt;100,D436*2,D436*2)</f>
        <v>3206</v>
      </c>
      <c r="J436" t="b">
        <f>IF(F436&gt;1.2*I436,FALSE,TRUE)</f>
        <v>1</v>
      </c>
      <c r="K436" s="4">
        <f>F436/I436-1</f>
        <v>-0.35810979413599497</v>
      </c>
      <c r="P436" t="s">
        <v>1228</v>
      </c>
      <c r="Q436">
        <v>356</v>
      </c>
      <c r="R436">
        <v>199.27</v>
      </c>
    </row>
    <row r="437" spans="2:18" ht="30" hidden="1">
      <c r="B437" s="156" t="s">
        <v>895</v>
      </c>
      <c r="C437" s="37" t="s">
        <v>896</v>
      </c>
      <c r="D437" s="19">
        <v>283</v>
      </c>
      <c r="E437" s="19">
        <f>D437/28</f>
        <v>10.107142857142858</v>
      </c>
      <c r="F437" s="151">
        <v>472.55</v>
      </c>
      <c r="I437" s="140">
        <f>IF((D437/28)&gt;100,D437*2,D437*2)</f>
        <v>566</v>
      </c>
      <c r="J437" t="b">
        <f>IF(F437&gt;1.2*I437,FALSE,TRUE)</f>
        <v>1</v>
      </c>
      <c r="K437" s="4">
        <f>F437/I437-1</f>
        <v>-0.16510600706713774</v>
      </c>
      <c r="P437" t="s">
        <v>1242</v>
      </c>
      <c r="Q437">
        <v>1874</v>
      </c>
      <c r="R437">
        <v>3772.22</v>
      </c>
    </row>
    <row r="438" spans="2:18" hidden="1">
      <c r="B438" t="s">
        <v>749</v>
      </c>
      <c r="C438" t="s">
        <v>750</v>
      </c>
      <c r="D438">
        <v>1276</v>
      </c>
      <c r="E438" s="19">
        <f>D438/28</f>
        <v>45.571428571428569</v>
      </c>
      <c r="F438" s="5">
        <v>1996.12</v>
      </c>
      <c r="I438" s="140">
        <f>IF((D438/28)&gt;100,D438*2,D438*2)</f>
        <v>2552</v>
      </c>
      <c r="J438" t="b">
        <f>IF(F438&gt;1.2*I438,FALSE,TRUE)</f>
        <v>1</v>
      </c>
      <c r="K438" s="4">
        <f>F438/I438-1</f>
        <v>-0.21782131661442006</v>
      </c>
      <c r="P438" t="s">
        <v>1179</v>
      </c>
      <c r="Q438">
        <v>434</v>
      </c>
      <c r="R438">
        <v>676.99</v>
      </c>
    </row>
    <row r="439" spans="2:18" hidden="1">
      <c r="B439" t="s">
        <v>840</v>
      </c>
      <c r="C439" t="s">
        <v>841</v>
      </c>
      <c r="D439">
        <v>1101</v>
      </c>
      <c r="E439" s="19">
        <f>D439/28</f>
        <v>39.321428571428569</v>
      </c>
      <c r="F439" s="5">
        <v>208.83</v>
      </c>
      <c r="I439" s="140">
        <f>IF((D439/28)&gt;100,D439*2,D439*2)</f>
        <v>2202</v>
      </c>
      <c r="J439" t="b">
        <f>IF(F439&gt;1.2*I439,FALSE,TRUE)</f>
        <v>1</v>
      </c>
      <c r="K439" s="4">
        <f>F439/I439-1</f>
        <v>-0.90516348773841959</v>
      </c>
      <c r="P439" t="s">
        <v>1159</v>
      </c>
      <c r="Q439">
        <v>922</v>
      </c>
      <c r="R439">
        <v>615.99</v>
      </c>
    </row>
    <row r="440" spans="2:18" hidden="1">
      <c r="B440" t="s">
        <v>978</v>
      </c>
      <c r="C440" t="s">
        <v>979</v>
      </c>
      <c r="D440">
        <v>940</v>
      </c>
      <c r="E440" s="19">
        <f>D440/28</f>
        <v>33.571428571428569</v>
      </c>
      <c r="F440" s="5">
        <v>1413.9099999999999</v>
      </c>
      <c r="I440" s="140">
        <f>IF((D440/28)&gt;100,D440*2,D440*2)</f>
        <v>1880</v>
      </c>
      <c r="J440" t="b">
        <f>IF(F440&gt;1.2*I440,FALSE,TRUE)</f>
        <v>1</v>
      </c>
      <c r="K440" s="4">
        <f>F440/I440-1</f>
        <v>-0.24792021276595755</v>
      </c>
      <c r="P440" t="s">
        <v>1077</v>
      </c>
      <c r="Q440">
        <v>1303</v>
      </c>
      <c r="R440">
        <v>976.48</v>
      </c>
    </row>
    <row r="441" spans="2:18" hidden="1">
      <c r="B441" t="s">
        <v>804</v>
      </c>
      <c r="C441" t="s">
        <v>805</v>
      </c>
      <c r="D441">
        <v>759</v>
      </c>
      <c r="E441" s="19">
        <f>D441/28</f>
        <v>27.107142857142858</v>
      </c>
      <c r="F441" s="5">
        <v>764.71</v>
      </c>
      <c r="I441" s="140">
        <f>IF((D441/28)&gt;100,D441*2,D441*2)</f>
        <v>1518</v>
      </c>
      <c r="J441" t="b">
        <f>IF(F441&gt;1.2*I441,FALSE,TRUE)</f>
        <v>1</v>
      </c>
      <c r="K441" s="4">
        <f>F441/I441-1</f>
        <v>-0.4962384716732543</v>
      </c>
      <c r="P441" t="s">
        <v>1200</v>
      </c>
      <c r="Q441">
        <v>1967</v>
      </c>
      <c r="R441">
        <v>2669.32</v>
      </c>
    </row>
    <row r="442" spans="2:18" hidden="1">
      <c r="B442" s="56" t="s">
        <v>810</v>
      </c>
      <c r="C442" s="37" t="s">
        <v>811</v>
      </c>
      <c r="D442">
        <v>1051</v>
      </c>
      <c r="E442" s="19">
        <f>D442/28</f>
        <v>37.535714285714285</v>
      </c>
      <c r="F442" s="5">
        <v>2004.94</v>
      </c>
      <c r="I442" s="140">
        <f>IF((D442/28)&gt;100,D442*2,D442*2)</f>
        <v>2102</v>
      </c>
      <c r="J442" t="b">
        <f>IF(F442&gt;1.2*I442,FALSE,TRUE)</f>
        <v>1</v>
      </c>
      <c r="K442" s="4">
        <f>F442/I442-1</f>
        <v>-4.6175071360608944E-2</v>
      </c>
      <c r="P442" t="s">
        <v>1050</v>
      </c>
      <c r="Q442">
        <v>2648</v>
      </c>
      <c r="R442">
        <v>1533.95</v>
      </c>
    </row>
    <row r="443" spans="2:18" hidden="1">
      <c r="B443" s="55" t="s">
        <v>830</v>
      </c>
      <c r="C443" s="37" t="s">
        <v>831</v>
      </c>
      <c r="D443">
        <v>168</v>
      </c>
      <c r="E443" s="19">
        <f>D443/28</f>
        <v>6</v>
      </c>
      <c r="F443" s="5">
        <v>337.75</v>
      </c>
      <c r="I443" s="140">
        <f>IF((D443/28)&gt;100,D443*2,D443*2)</f>
        <v>336</v>
      </c>
      <c r="J443" t="b">
        <f>IF(F443&gt;1.2*I443,FALSE,TRUE)</f>
        <v>1</v>
      </c>
      <c r="K443" s="4">
        <f>F443/I443-1</f>
        <v>5.2083333333332593E-3</v>
      </c>
      <c r="P443" t="s">
        <v>1091</v>
      </c>
      <c r="Q443">
        <v>1099</v>
      </c>
      <c r="R443">
        <v>1681.39</v>
      </c>
    </row>
    <row r="444" spans="2:18" hidden="1">
      <c r="B444" t="s">
        <v>970</v>
      </c>
      <c r="C444" t="s">
        <v>971</v>
      </c>
      <c r="D444">
        <v>262</v>
      </c>
      <c r="E444" s="19">
        <f>D444/28</f>
        <v>9.3571428571428577</v>
      </c>
      <c r="F444" s="5">
        <v>211.15</v>
      </c>
      <c r="I444" s="140">
        <f>IF((D444/28)&gt;100,D444*2,D444*2)</f>
        <v>524</v>
      </c>
      <c r="J444" t="b">
        <f>IF(F444&gt;1.2*I444,FALSE,TRUE)</f>
        <v>1</v>
      </c>
      <c r="K444" s="4">
        <f>F444/I444-1</f>
        <v>-0.59704198473282444</v>
      </c>
      <c r="P444" t="s">
        <v>1067</v>
      </c>
      <c r="Q444">
        <v>3298</v>
      </c>
      <c r="R444">
        <v>6920.57</v>
      </c>
    </row>
    <row r="445" spans="2:18" hidden="1">
      <c r="B445" s="56" t="s">
        <v>838</v>
      </c>
      <c r="C445" s="37" t="s">
        <v>839</v>
      </c>
      <c r="D445">
        <v>1399</v>
      </c>
      <c r="E445" s="19">
        <f>D445/28</f>
        <v>49.964285714285715</v>
      </c>
      <c r="F445" s="5">
        <v>2370.7199999999998</v>
      </c>
      <c r="I445" s="151">
        <f>IF((D445/28)&gt;100,D445*2,D445*2)</f>
        <v>2798</v>
      </c>
      <c r="J445" t="b">
        <f>IF(F445&gt;1.2*I445,FALSE,TRUE)</f>
        <v>1</v>
      </c>
      <c r="K445" s="4">
        <f>F445/I445-1</f>
        <v>-0.15270907791279498</v>
      </c>
      <c r="P445" t="s">
        <v>1175</v>
      </c>
      <c r="Q445">
        <v>355</v>
      </c>
      <c r="R445">
        <v>1017.38</v>
      </c>
    </row>
    <row r="446" spans="2:18" hidden="1">
      <c r="B446" t="s">
        <v>952</v>
      </c>
      <c r="C446" t="s">
        <v>953</v>
      </c>
      <c r="D446">
        <v>1357</v>
      </c>
      <c r="E446" s="19">
        <f>D446/28</f>
        <v>48.464285714285715</v>
      </c>
      <c r="F446" s="5">
        <v>1295.43</v>
      </c>
      <c r="I446" s="140">
        <f>IF((D446/28)&gt;100,D446*2,D446*2)</f>
        <v>2714</v>
      </c>
      <c r="J446" t="b">
        <f>IF(F446&gt;1.2*I446,FALSE,TRUE)</f>
        <v>1</v>
      </c>
      <c r="K446" s="4">
        <f>F446/I446-1</f>
        <v>-0.52268607221812813</v>
      </c>
      <c r="P446" t="s">
        <v>1139</v>
      </c>
      <c r="Q446">
        <v>4192</v>
      </c>
      <c r="R446">
        <v>3703.72</v>
      </c>
    </row>
    <row r="447" spans="2:18" hidden="1">
      <c r="B447" s="57" t="s">
        <v>891</v>
      </c>
      <c r="C447" s="37" t="s">
        <v>892</v>
      </c>
      <c r="D447">
        <v>1349</v>
      </c>
      <c r="E447" s="19">
        <f>D447/28</f>
        <v>48.178571428571431</v>
      </c>
      <c r="F447" s="5">
        <v>579.21</v>
      </c>
      <c r="I447" s="140">
        <f>IF((D447/28)&gt;100,D447*2,D447*2)</f>
        <v>2698</v>
      </c>
      <c r="J447" t="b">
        <f>IF(F447&gt;1.2*I447,FALSE,TRUE)</f>
        <v>1</v>
      </c>
      <c r="K447" s="4">
        <f>F447/I447-1</f>
        <v>-0.78531875463306156</v>
      </c>
      <c r="P447" t="s">
        <v>1028</v>
      </c>
      <c r="Q447">
        <v>5893</v>
      </c>
      <c r="R447">
        <v>4482.1899999999996</v>
      </c>
    </row>
    <row r="448" spans="2:18" hidden="1">
      <c r="B448" t="s">
        <v>825</v>
      </c>
      <c r="C448" t="s">
        <v>826</v>
      </c>
      <c r="D448">
        <v>470</v>
      </c>
      <c r="E448" s="19">
        <f>D448/28</f>
        <v>16.785714285714285</v>
      </c>
      <c r="F448" s="5">
        <v>920.91</v>
      </c>
      <c r="I448" s="140">
        <f>IF((D448/28)&gt;100,D448*2,D448*2)</f>
        <v>940</v>
      </c>
      <c r="J448" t="b">
        <f>IF(F448&gt;1.2*I448,FALSE,TRUE)</f>
        <v>1</v>
      </c>
      <c r="K448" s="4">
        <f>F448/I448-1</f>
        <v>-2.0308510638297861E-2</v>
      </c>
      <c r="P448" t="s">
        <v>1058</v>
      </c>
      <c r="Q448">
        <v>1168</v>
      </c>
      <c r="R448">
        <v>1022.36</v>
      </c>
    </row>
    <row r="449" spans="1:18" hidden="1">
      <c r="B449" t="s">
        <v>755</v>
      </c>
      <c r="C449" t="s">
        <v>756</v>
      </c>
      <c r="D449">
        <v>1242</v>
      </c>
      <c r="E449" s="19">
        <f>D449/28</f>
        <v>44.357142857142854</v>
      </c>
      <c r="F449" s="5">
        <v>1988.9</v>
      </c>
      <c r="I449" s="140">
        <f>IF((D449/28)&gt;100,D449*2,D449*2)</f>
        <v>2484</v>
      </c>
      <c r="J449" t="b">
        <f>IF(F449&gt;1.2*I449,FALSE,TRUE)</f>
        <v>1</v>
      </c>
      <c r="K449" s="4">
        <f>F449/I449-1</f>
        <v>-0.19931561996779379</v>
      </c>
      <c r="P449" t="s">
        <v>1073</v>
      </c>
      <c r="Q449">
        <v>660</v>
      </c>
      <c r="R449">
        <v>1099.67</v>
      </c>
    </row>
    <row r="450" spans="1:18" hidden="1">
      <c r="B450" t="s">
        <v>751</v>
      </c>
      <c r="C450" t="s">
        <v>752</v>
      </c>
      <c r="D450">
        <v>1782</v>
      </c>
      <c r="E450" s="19">
        <f>D450/28</f>
        <v>63.642857142857146</v>
      </c>
      <c r="F450" s="5">
        <v>1850.96</v>
      </c>
      <c r="I450" s="140">
        <f>IF((D450/28)&gt;100,D450*2,D450*2)</f>
        <v>3564</v>
      </c>
      <c r="J450" t="b">
        <f>IF(F450&gt;1.2*I450,FALSE,TRUE)</f>
        <v>1</v>
      </c>
      <c r="K450" s="4">
        <f>F450/I450-1</f>
        <v>-0.48065095398428725</v>
      </c>
      <c r="P450" t="s">
        <v>1113</v>
      </c>
      <c r="Q450">
        <v>1341</v>
      </c>
      <c r="R450">
        <v>2691.33</v>
      </c>
    </row>
    <row r="451" spans="1:18" hidden="1">
      <c r="B451" t="s">
        <v>938</v>
      </c>
      <c r="C451" t="s">
        <v>939</v>
      </c>
      <c r="D451">
        <v>692</v>
      </c>
      <c r="E451" s="19">
        <f>D451/28</f>
        <v>24.714285714285715</v>
      </c>
      <c r="F451" s="5">
        <v>764.17</v>
      </c>
      <c r="I451" s="140">
        <f>IF((D451/28)&gt;100,D451*2,D451*2)</f>
        <v>1384</v>
      </c>
      <c r="J451" t="b">
        <f>IF(F451&gt;1.2*I451,FALSE,TRUE)</f>
        <v>1</v>
      </c>
      <c r="K451" s="4">
        <f>F451/I451-1</f>
        <v>-0.44785404624277458</v>
      </c>
      <c r="P451" t="s">
        <v>1085</v>
      </c>
      <c r="Q451">
        <v>3129</v>
      </c>
      <c r="R451">
        <v>2951.94</v>
      </c>
    </row>
    <row r="452" spans="1:18" hidden="1">
      <c r="B452" t="s">
        <v>796</v>
      </c>
      <c r="C452" t="s">
        <v>797</v>
      </c>
      <c r="D452">
        <v>1809</v>
      </c>
      <c r="E452" s="19">
        <f>D452/28</f>
        <v>64.607142857142861</v>
      </c>
      <c r="F452" s="5">
        <v>1821.01</v>
      </c>
      <c r="I452" s="140">
        <f>IF((D452/28)&gt;100,D452*2,D452*2)</f>
        <v>3618</v>
      </c>
      <c r="J452" t="b">
        <f>IF(F452&gt;1.2*I452,FALSE,TRUE)</f>
        <v>1</v>
      </c>
      <c r="K452" s="4">
        <f>F452/I452-1</f>
        <v>-0.4966804864566059</v>
      </c>
      <c r="P452" t="s">
        <v>1048</v>
      </c>
      <c r="Q452">
        <v>3780</v>
      </c>
      <c r="R452">
        <v>6358.12</v>
      </c>
    </row>
    <row r="453" spans="1:18" hidden="1">
      <c r="B453" t="s">
        <v>989</v>
      </c>
      <c r="C453" t="s">
        <v>990</v>
      </c>
      <c r="D453">
        <v>1419</v>
      </c>
      <c r="E453" s="19">
        <f>D453/28</f>
        <v>50.678571428571431</v>
      </c>
      <c r="F453" s="5">
        <v>1505.1</v>
      </c>
      <c r="I453" s="140">
        <f>IF((D453/28)&gt;100,D453*2,D453*2)</f>
        <v>2838</v>
      </c>
      <c r="J453" t="b">
        <f>IF(F453&gt;1.2*I453,FALSE,TRUE)</f>
        <v>1</v>
      </c>
      <c r="K453" s="4">
        <f>F453/I453-1</f>
        <v>-0.46966173361522201</v>
      </c>
      <c r="P453" t="s">
        <v>1268</v>
      </c>
      <c r="Q453">
        <v>4424</v>
      </c>
      <c r="R453">
        <v>4518.8</v>
      </c>
    </row>
    <row r="454" spans="1:18" hidden="1">
      <c r="B454" t="s">
        <v>923</v>
      </c>
      <c r="C454" t="s">
        <v>924</v>
      </c>
      <c r="D454">
        <v>1031</v>
      </c>
      <c r="E454" s="19">
        <f>D454/28</f>
        <v>36.821428571428569</v>
      </c>
      <c r="F454" s="5">
        <v>1158.9000000000001</v>
      </c>
      <c r="I454" s="140">
        <f>IF((D454/28)&gt;100,D454*2,D454*2)</f>
        <v>2062</v>
      </c>
      <c r="J454" t="b">
        <f>IF(F454&gt;1.2*I454,FALSE,TRUE)</f>
        <v>1</v>
      </c>
      <c r="K454" s="4">
        <f>F454/I454-1</f>
        <v>-0.43797284190106689</v>
      </c>
      <c r="P454" t="s">
        <v>1211</v>
      </c>
      <c r="Q454">
        <v>910</v>
      </c>
      <c r="R454">
        <v>2003.82</v>
      </c>
    </row>
    <row r="455" spans="1:18" hidden="1">
      <c r="B455" t="s">
        <v>785</v>
      </c>
      <c r="C455" t="s">
        <v>786</v>
      </c>
      <c r="D455">
        <v>1110</v>
      </c>
      <c r="E455" s="19">
        <f>D455/28</f>
        <v>39.642857142857146</v>
      </c>
      <c r="F455" s="5">
        <v>875.08</v>
      </c>
      <c r="I455" s="140">
        <f>IF((D455/28)&gt;100,D455*2,D455*2)</f>
        <v>2220</v>
      </c>
      <c r="J455" t="b">
        <f>IF(F455&gt;1.2*I455,FALSE,TRUE)</f>
        <v>1</v>
      </c>
      <c r="K455" s="4">
        <f>F455/I455-1</f>
        <v>-0.6058198198198198</v>
      </c>
    </row>
    <row r="456" spans="1:18" hidden="1">
      <c r="B456" t="s">
        <v>740</v>
      </c>
      <c r="C456" t="s">
        <v>741</v>
      </c>
      <c r="D456">
        <v>2941</v>
      </c>
      <c r="E456" s="19">
        <f>D456/28</f>
        <v>105.03571428571429</v>
      </c>
      <c r="F456" s="5">
        <v>3387.76</v>
      </c>
      <c r="I456" s="140">
        <f>IF((D456/28)&gt;100,D456*2,D456*2)</f>
        <v>5882</v>
      </c>
      <c r="J456" t="b">
        <f>IF(F456&gt;1.2*I456,FALSE,TRUE)</f>
        <v>1</v>
      </c>
      <c r="K456" s="4">
        <f>F456/I456-1</f>
        <v>-0.42404624277456648</v>
      </c>
    </row>
    <row r="457" spans="1:18" hidden="1">
      <c r="B457" t="s">
        <v>734</v>
      </c>
      <c r="C457" t="s">
        <v>735</v>
      </c>
      <c r="D457">
        <v>1146</v>
      </c>
      <c r="E457" s="19">
        <f>D457/28</f>
        <v>40.928571428571431</v>
      </c>
      <c r="F457" s="5">
        <v>2491.85</v>
      </c>
      <c r="I457" s="140">
        <f>IF((D457/28)&gt;100,D457*2,D457*2)</f>
        <v>2292</v>
      </c>
      <c r="J457" t="b">
        <f>IF(F457&gt;1.2*I457,FALSE,TRUE)</f>
        <v>1</v>
      </c>
      <c r="K457" s="4">
        <f>F457/I457-1</f>
        <v>8.7194589877835904E-2</v>
      </c>
    </row>
    <row r="458" spans="1:18">
      <c r="A458" t="s">
        <v>1296</v>
      </c>
      <c r="B458" t="s">
        <v>177</v>
      </c>
      <c r="C458" t="s">
        <v>178</v>
      </c>
      <c r="D458" s="28">
        <v>224</v>
      </c>
      <c r="E458" s="19">
        <f>D458/28</f>
        <v>8</v>
      </c>
      <c r="F458" s="5">
        <v>1098.8499999999999</v>
      </c>
      <c r="I458" s="19">
        <f>IF((D458/28)&gt;100,D458*2,D458*2)</f>
        <v>448</v>
      </c>
      <c r="J458" t="b">
        <f>IF(F458&gt;1.2*I458,FALSE,TRUE)</f>
        <v>0</v>
      </c>
      <c r="K458" s="4">
        <f>F458/I458-1</f>
        <v>1.4527901785714286</v>
      </c>
      <c r="N458"/>
    </row>
    <row r="459" spans="1:18" hidden="1">
      <c r="B459" t="s">
        <v>999</v>
      </c>
      <c r="C459" t="s">
        <v>1000</v>
      </c>
      <c r="D459">
        <v>2539</v>
      </c>
      <c r="E459" s="19">
        <f>D459/28</f>
        <v>90.678571428571431</v>
      </c>
      <c r="F459" s="5">
        <v>3144.48</v>
      </c>
      <c r="I459" s="140">
        <f>IF((D459/28)&gt;100,D459*2,D459*2)</f>
        <v>5078</v>
      </c>
      <c r="J459" t="b">
        <f>IF(F459&gt;1.2*I459,FALSE,TRUE)</f>
        <v>1</v>
      </c>
      <c r="K459" s="4">
        <f>F459/I459-1</f>
        <v>-0.38076408034659315</v>
      </c>
    </row>
    <row r="460" spans="1:18" hidden="1">
      <c r="B460" t="s">
        <v>773</v>
      </c>
      <c r="C460" t="s">
        <v>774</v>
      </c>
      <c r="D460">
        <v>3685</v>
      </c>
      <c r="E460" s="19">
        <f>D460/28</f>
        <v>131.60714285714286</v>
      </c>
      <c r="F460" s="5">
        <v>4231.2</v>
      </c>
      <c r="I460" s="140">
        <f>IF((D460/28)&gt;100,D460*2,D460*2)</f>
        <v>7370</v>
      </c>
      <c r="J460" t="b">
        <f>IF(F460&gt;1.2*I460,FALSE,TRUE)</f>
        <v>1</v>
      </c>
      <c r="K460" s="4">
        <f>F460/I460-1</f>
        <v>-0.42588873812754413</v>
      </c>
    </row>
    <row r="461" spans="1:18" hidden="1">
      <c r="B461" t="s">
        <v>775</v>
      </c>
      <c r="C461" t="s">
        <v>776</v>
      </c>
      <c r="D461">
        <v>2182</v>
      </c>
      <c r="E461" s="19">
        <f>D461/28</f>
        <v>77.928571428571431</v>
      </c>
      <c r="F461" s="5">
        <v>1541.99</v>
      </c>
      <c r="I461" s="140">
        <f>IF((D461/28)&gt;100,D461*2,D461*2)</f>
        <v>4364</v>
      </c>
      <c r="J461" t="b">
        <f>IF(F461&gt;1.2*I461,FALSE,TRUE)</f>
        <v>1</v>
      </c>
      <c r="K461" s="4">
        <f>F461/I461-1</f>
        <v>-0.64665673693858849</v>
      </c>
    </row>
    <row r="462" spans="1:18" hidden="1">
      <c r="B462" t="s">
        <v>747</v>
      </c>
      <c r="C462" t="s">
        <v>748</v>
      </c>
      <c r="D462">
        <v>1469</v>
      </c>
      <c r="E462" s="19">
        <f>D462/28</f>
        <v>52.464285714285715</v>
      </c>
      <c r="F462" s="5">
        <v>1249.32</v>
      </c>
      <c r="I462" s="140">
        <f>IF((D462/28)&gt;100,D462*2,D462*2)</f>
        <v>2938</v>
      </c>
      <c r="J462" t="b">
        <f>IF(F462&gt;1.2*I462,FALSE,TRUE)</f>
        <v>1</v>
      </c>
      <c r="K462" s="4">
        <f>F462/I462-1</f>
        <v>-0.57477195371000689</v>
      </c>
    </row>
    <row r="463" spans="1:18" hidden="1">
      <c r="B463" t="s">
        <v>726</v>
      </c>
      <c r="C463" t="s">
        <v>727</v>
      </c>
      <c r="D463">
        <v>1949</v>
      </c>
      <c r="E463" s="19">
        <f>D463/28</f>
        <v>69.607142857142861</v>
      </c>
      <c r="F463" s="5">
        <v>2463.4699999999998</v>
      </c>
      <c r="I463" s="140">
        <f>IF((D463/28)&gt;100,D463*2,D463*2)</f>
        <v>3898</v>
      </c>
      <c r="J463" t="b">
        <f>IF(F463&gt;1.2*I463,FALSE,TRUE)</f>
        <v>1</v>
      </c>
      <c r="K463" s="4">
        <f>F463/I463-1</f>
        <v>-0.36801693175987693</v>
      </c>
    </row>
    <row r="464" spans="1:18" hidden="1">
      <c r="B464" t="s">
        <v>919</v>
      </c>
      <c r="C464" t="s">
        <v>920</v>
      </c>
      <c r="D464">
        <v>356</v>
      </c>
      <c r="E464" s="19">
        <f>D464/28</f>
        <v>12.714285714285714</v>
      </c>
      <c r="F464" s="5">
        <v>447.32</v>
      </c>
      <c r="I464" s="140">
        <f>IF((D464/28)&gt;100,D464*2,D464*2)</f>
        <v>712</v>
      </c>
      <c r="J464" t="b">
        <f>IF(F464&gt;1.2*I464,FALSE,TRUE)</f>
        <v>1</v>
      </c>
      <c r="K464" s="4">
        <f>F464/I464-1</f>
        <v>-0.37174157303370792</v>
      </c>
    </row>
    <row r="465" spans="2:11" hidden="1">
      <c r="B465" t="s">
        <v>767</v>
      </c>
      <c r="C465" t="s">
        <v>768</v>
      </c>
      <c r="D465">
        <v>751</v>
      </c>
      <c r="E465" s="19">
        <f>D465/28</f>
        <v>26.821428571428573</v>
      </c>
      <c r="F465" s="5">
        <v>1398</v>
      </c>
      <c r="I465" s="140">
        <f>IF((D465/28)&gt;100,D465*2,D465*2)</f>
        <v>1502</v>
      </c>
      <c r="J465" t="b">
        <f>IF(F465&gt;1.2*I465,FALSE,TRUE)</f>
        <v>1</v>
      </c>
      <c r="K465" s="4">
        <f>F465/I465-1</f>
        <v>-6.9241011984021328E-2</v>
      </c>
    </row>
    <row r="466" spans="2:11" hidden="1">
      <c r="B466" t="s">
        <v>936</v>
      </c>
      <c r="C466" t="s">
        <v>937</v>
      </c>
      <c r="D466">
        <v>2050</v>
      </c>
      <c r="E466" s="19">
        <f>D466/28</f>
        <v>73.214285714285708</v>
      </c>
      <c r="F466" s="5">
        <v>4145.09</v>
      </c>
      <c r="I466" s="140">
        <f>IF((D466/28)&gt;100,D466*2,D466*2)</f>
        <v>4100</v>
      </c>
      <c r="J466" t="b">
        <f>IF(F466&gt;1.2*I466,FALSE,TRUE)</f>
        <v>1</v>
      </c>
      <c r="K466" s="4">
        <f>F466/I466-1</f>
        <v>1.0997560975609888E-2</v>
      </c>
    </row>
    <row r="467" spans="2:11" hidden="1">
      <c r="B467" t="s">
        <v>995</v>
      </c>
      <c r="C467" t="s">
        <v>996</v>
      </c>
      <c r="D467">
        <v>424</v>
      </c>
      <c r="E467" s="19">
        <f>D467/28</f>
        <v>15.142857142857142</v>
      </c>
      <c r="F467" s="5">
        <v>355.95</v>
      </c>
      <c r="I467" s="140">
        <f>IF((D467/28)&gt;100,D467*2,D467*2)</f>
        <v>848</v>
      </c>
      <c r="J467" t="b">
        <f>IF(F467&gt;1.2*I467,FALSE,TRUE)</f>
        <v>1</v>
      </c>
      <c r="K467" s="4">
        <f>F467/I467-1</f>
        <v>-0.58024764150943398</v>
      </c>
    </row>
    <row r="468" spans="2:11" hidden="1">
      <c r="B468" t="s">
        <v>1001</v>
      </c>
      <c r="C468" t="s">
        <v>1002</v>
      </c>
      <c r="D468">
        <v>968</v>
      </c>
      <c r="E468" s="19">
        <f>D468/28</f>
        <v>34.571428571428569</v>
      </c>
      <c r="F468" s="5">
        <v>1658.58</v>
      </c>
      <c r="I468" s="140">
        <f>IF((D468/28)&gt;100,D468*2,D468*2)</f>
        <v>1936</v>
      </c>
      <c r="J468" t="b">
        <f>IF(F468&gt;1.2*I468,FALSE,TRUE)</f>
        <v>1</v>
      </c>
      <c r="K468" s="4">
        <f>F468/I468-1</f>
        <v>-0.14329545454545456</v>
      </c>
    </row>
    <row r="469" spans="2:11" hidden="1">
      <c r="B469" t="s">
        <v>783</v>
      </c>
      <c r="C469" t="s">
        <v>784</v>
      </c>
      <c r="D469">
        <v>3727</v>
      </c>
      <c r="E469" s="19">
        <f>D469/28</f>
        <v>133.10714285714286</v>
      </c>
      <c r="F469" s="5">
        <v>4253.92</v>
      </c>
      <c r="I469" s="140">
        <f>IF((D469/28)&gt;100,D469*2,D469*2)</f>
        <v>7454</v>
      </c>
      <c r="J469" t="b">
        <f>IF(F469&gt;1.2*I469,FALSE,TRUE)</f>
        <v>1</v>
      </c>
      <c r="K469" s="4">
        <f>F469/I469-1</f>
        <v>-0.42931043734907426</v>
      </c>
    </row>
    <row r="470" spans="2:11" hidden="1">
      <c r="B470" t="s">
        <v>885</v>
      </c>
      <c r="C470" t="s">
        <v>886</v>
      </c>
      <c r="D470">
        <v>6256</v>
      </c>
      <c r="E470" s="19">
        <f>D470/28</f>
        <v>223.42857142857142</v>
      </c>
      <c r="F470" s="5">
        <v>2769</v>
      </c>
      <c r="I470" s="140">
        <f>IF((D470/28)&gt;100,D470*2,D470*2)</f>
        <v>12512</v>
      </c>
      <c r="J470" t="b">
        <f>IF(F470&gt;1.2*I470,FALSE,TRUE)</f>
        <v>1</v>
      </c>
      <c r="K470" s="4">
        <f>F470/I470-1</f>
        <v>-0.77869245524296682</v>
      </c>
    </row>
    <row r="471" spans="2:11" hidden="1">
      <c r="B471" t="s">
        <v>997</v>
      </c>
      <c r="C471" t="s">
        <v>998</v>
      </c>
      <c r="D471">
        <v>869</v>
      </c>
      <c r="E471" s="19">
        <f>D471/28</f>
        <v>31.035714285714285</v>
      </c>
      <c r="F471" s="5">
        <v>1782.46</v>
      </c>
      <c r="I471" s="140">
        <f>IF((D471/28)&gt;100,D471*2,D471*2)</f>
        <v>1738</v>
      </c>
      <c r="J471" t="b">
        <f>IF(F471&gt;1.2*I471,FALSE,TRUE)</f>
        <v>1</v>
      </c>
      <c r="K471" s="4">
        <f>F471/I471-1</f>
        <v>2.5581127733026454E-2</v>
      </c>
    </row>
    <row r="472" spans="2:11" hidden="1">
      <c r="B472" t="s">
        <v>724</v>
      </c>
      <c r="C472" t="s">
        <v>725</v>
      </c>
      <c r="D472">
        <v>4142</v>
      </c>
      <c r="E472" s="19">
        <f>D472/28</f>
        <v>147.92857142857142</v>
      </c>
      <c r="F472" s="5">
        <v>5934.74</v>
      </c>
      <c r="I472" s="140">
        <f>IF((D472/28)&gt;100,D472*2,D472*2)</f>
        <v>8284</v>
      </c>
      <c r="J472" t="b">
        <f>IF(F472&gt;1.2*I472,FALSE,TRUE)</f>
        <v>1</v>
      </c>
      <c r="K472" s="4">
        <f>F472/I472-1</f>
        <v>-0.28359005311443752</v>
      </c>
    </row>
    <row r="473" spans="2:11" hidden="1">
      <c r="B473" t="s">
        <v>737</v>
      </c>
      <c r="C473" t="s">
        <v>738</v>
      </c>
      <c r="D473">
        <v>586</v>
      </c>
      <c r="E473" s="19">
        <f>D473/28</f>
        <v>20.928571428571427</v>
      </c>
      <c r="F473" s="5">
        <v>989.65</v>
      </c>
      <c r="I473" s="140">
        <f>IF((D473/28)&gt;100,D473*2,D473*2)</f>
        <v>1172</v>
      </c>
      <c r="J473" t="b">
        <f>IF(F473&gt;1.2*I473,FALSE,TRUE)</f>
        <v>1</v>
      </c>
      <c r="K473" s="4">
        <f>F473/I473-1</f>
        <v>-0.15558873720136523</v>
      </c>
    </row>
    <row r="474" spans="2:11">
      <c r="B474" s="55" t="s">
        <v>1189</v>
      </c>
      <c r="C474" s="37" t="s">
        <v>1190</v>
      </c>
      <c r="D474">
        <v>219</v>
      </c>
      <c r="E474" s="19">
        <f>D474/28</f>
        <v>7.8214285714285712</v>
      </c>
      <c r="F474" s="5">
        <v>761.13</v>
      </c>
      <c r="I474" s="151">
        <f>IF((D474/28)&gt;100,D474*2,D474*2)</f>
        <v>438</v>
      </c>
      <c r="J474" t="b">
        <f>IF(F474&gt;1.2*I474,FALSE,TRUE)</f>
        <v>0</v>
      </c>
      <c r="K474" s="4">
        <f>F474/I474-1</f>
        <v>0.73773972602739724</v>
      </c>
    </row>
    <row r="475" spans="2:11" hidden="1">
      <c r="B475" t="s">
        <v>761</v>
      </c>
      <c r="C475" t="s">
        <v>762</v>
      </c>
      <c r="D475">
        <v>198</v>
      </c>
      <c r="E475" s="19">
        <f>D475/28</f>
        <v>7.0714285714285712</v>
      </c>
      <c r="F475" s="5">
        <v>467.95</v>
      </c>
      <c r="I475" s="140">
        <f>IF((D475/28)&gt;100,D475*2,D475*2)</f>
        <v>396</v>
      </c>
      <c r="J475" t="b">
        <f>IF(F475&gt;1.2*I475,FALSE,TRUE)</f>
        <v>1</v>
      </c>
      <c r="K475" s="4">
        <f>F475/I475-1</f>
        <v>0.18169191919191907</v>
      </c>
    </row>
    <row r="476" spans="2:11" hidden="1">
      <c r="B476" t="s">
        <v>846</v>
      </c>
      <c r="C476" t="s">
        <v>847</v>
      </c>
      <c r="D476">
        <v>30</v>
      </c>
      <c r="E476" s="19">
        <f>D476/28</f>
        <v>1.0714285714285714</v>
      </c>
      <c r="F476" s="5">
        <v>5.92</v>
      </c>
      <c r="I476" s="140">
        <f>IF((D476/28)&gt;100,D476*2,D476*2)</f>
        <v>60</v>
      </c>
      <c r="J476" t="b">
        <f>IF(F476&gt;1.2*I476,FALSE,TRUE)</f>
        <v>1</v>
      </c>
      <c r="K476" s="4">
        <f>F476/I476-1</f>
        <v>-0.90133333333333332</v>
      </c>
    </row>
    <row r="477" spans="2:11" hidden="1">
      <c r="B477" t="s">
        <v>1027</v>
      </c>
      <c r="C477" t="s">
        <v>1028</v>
      </c>
      <c r="D477">
        <v>3360</v>
      </c>
      <c r="E477" s="19">
        <f>D477/28</f>
        <v>120</v>
      </c>
      <c r="F477" s="5">
        <v>2663.02</v>
      </c>
      <c r="I477" s="140">
        <f>IF((D477/28)&gt;100,D477*2,D477*2)</f>
        <v>6720</v>
      </c>
      <c r="J477" t="b">
        <f>IF(F477&gt;1.2*I477,FALSE,TRUE)</f>
        <v>1</v>
      </c>
      <c r="K477" s="4">
        <f>F477/I477-1</f>
        <v>-0.60371726190476194</v>
      </c>
    </row>
    <row r="478" spans="2:11" hidden="1">
      <c r="B478" t="s">
        <v>1029</v>
      </c>
      <c r="C478" t="s">
        <v>1030</v>
      </c>
      <c r="D478">
        <v>1116</v>
      </c>
      <c r="E478" s="19">
        <f>D478/28</f>
        <v>39.857142857142854</v>
      </c>
      <c r="F478" s="5">
        <v>1016.79</v>
      </c>
      <c r="I478" s="140">
        <f>IF((D478/28)&gt;100,D478*2,D478*2)</f>
        <v>2232</v>
      </c>
      <c r="J478" t="b">
        <f>IF(F478&gt;1.2*I478,FALSE,TRUE)</f>
        <v>1</v>
      </c>
      <c r="K478" s="4">
        <f>F478/I478-1</f>
        <v>-0.54444892473118278</v>
      </c>
    </row>
    <row r="479" spans="2:11" hidden="1">
      <c r="B479" t="s">
        <v>1031</v>
      </c>
      <c r="C479" t="s">
        <v>1032</v>
      </c>
      <c r="D479">
        <v>1653</v>
      </c>
      <c r="E479" s="19">
        <f>D479/28</f>
        <v>59.035714285714285</v>
      </c>
      <c r="F479" s="5">
        <v>1258</v>
      </c>
      <c r="I479" s="140">
        <f>IF((D479/28)&gt;100,D479*2,D479*2)</f>
        <v>3306</v>
      </c>
      <c r="J479" t="b">
        <f>IF(F479&gt;1.2*I479,FALSE,TRUE)</f>
        <v>1</v>
      </c>
      <c r="K479" s="4">
        <f>F479/I479-1</f>
        <v>-0.61947973381730193</v>
      </c>
    </row>
    <row r="480" spans="2:11" hidden="1">
      <c r="B480" t="s">
        <v>1033</v>
      </c>
      <c r="C480" t="s">
        <v>1034</v>
      </c>
      <c r="D480">
        <v>3499</v>
      </c>
      <c r="E480" s="19">
        <f>D480/28</f>
        <v>124.96428571428571</v>
      </c>
      <c r="F480" s="5">
        <v>4747.45</v>
      </c>
      <c r="I480" s="140">
        <f>IF((D480/28)&gt;100,D480*2,D480*2)</f>
        <v>6998</v>
      </c>
      <c r="J480" t="b">
        <f>IF(F480&gt;1.2*I480,FALSE,TRUE)</f>
        <v>1</v>
      </c>
      <c r="K480" s="4">
        <f>F480/I480-1</f>
        <v>-0.32159902829379827</v>
      </c>
    </row>
    <row r="481" spans="1:14">
      <c r="A481" t="s">
        <v>1294</v>
      </c>
      <c r="B481" t="s">
        <v>561</v>
      </c>
      <c r="C481" t="s">
        <v>562</v>
      </c>
      <c r="D481" s="28">
        <v>195</v>
      </c>
      <c r="E481" s="19">
        <f>D481/28</f>
        <v>6.9642857142857144</v>
      </c>
      <c r="F481" s="5">
        <v>675.68</v>
      </c>
      <c r="I481" s="19">
        <f>IF((D481/28)&gt;100,D481*2,D481*2)</f>
        <v>390</v>
      </c>
      <c r="J481" t="b">
        <f>IF(F481&gt;1.2*I481,FALSE,TRUE)</f>
        <v>0</v>
      </c>
      <c r="K481" s="4">
        <f>F481/I481-1</f>
        <v>0.73251282051282041</v>
      </c>
      <c r="N481"/>
    </row>
    <row r="482" spans="1:14" hidden="1">
      <c r="B482" t="s">
        <v>1038</v>
      </c>
      <c r="C482" t="s">
        <v>1039</v>
      </c>
      <c r="D482">
        <v>2094</v>
      </c>
      <c r="E482" s="19">
        <f>D482/28</f>
        <v>74.785714285714292</v>
      </c>
      <c r="F482" s="5">
        <v>3672.39</v>
      </c>
      <c r="I482" s="140">
        <f>IF((D482/28)&gt;100,D482*2,D482*2)</f>
        <v>4188</v>
      </c>
      <c r="J482" t="b">
        <f>IF(F482&gt;1.2*I482,FALSE,TRUE)</f>
        <v>1</v>
      </c>
      <c r="K482" s="4">
        <f>F482/I482-1</f>
        <v>-0.12311604584527225</v>
      </c>
    </row>
    <row r="483" spans="1:14" hidden="1">
      <c r="B483" t="s">
        <v>1040</v>
      </c>
      <c r="C483" t="s">
        <v>1041</v>
      </c>
      <c r="D483">
        <v>1245</v>
      </c>
      <c r="E483" s="19">
        <f>D483/28</f>
        <v>44.464285714285715</v>
      </c>
      <c r="F483" s="5">
        <v>1258.04</v>
      </c>
      <c r="I483" s="140">
        <f>IF((D483/28)&gt;100,D483*2,D483*2)</f>
        <v>2490</v>
      </c>
      <c r="J483" t="b">
        <f>IF(F483&gt;1.2*I483,FALSE,TRUE)</f>
        <v>1</v>
      </c>
      <c r="K483" s="4">
        <f>F483/I483-1</f>
        <v>-0.49476305220883532</v>
      </c>
    </row>
    <row r="484" spans="1:14" hidden="1">
      <c r="B484" t="s">
        <v>1043</v>
      </c>
      <c r="C484" t="s">
        <v>1044</v>
      </c>
      <c r="D484">
        <v>1434</v>
      </c>
      <c r="E484" s="19">
        <f>D484/28</f>
        <v>51.214285714285715</v>
      </c>
      <c r="F484" s="5">
        <v>2341.8200000000002</v>
      </c>
      <c r="I484" s="140">
        <f>IF((D484/28)&gt;100,D484*2,D484*2)</f>
        <v>2868</v>
      </c>
      <c r="J484" t="b">
        <f>IF(F484&gt;1.2*I484,FALSE,TRUE)</f>
        <v>1</v>
      </c>
      <c r="K484" s="4">
        <f>F484/I484-1</f>
        <v>-0.18346582984658288</v>
      </c>
    </row>
    <row r="485" spans="1:14" hidden="1">
      <c r="B485" t="s">
        <v>1045</v>
      </c>
      <c r="C485" t="s">
        <v>1046</v>
      </c>
      <c r="D485">
        <v>2544</v>
      </c>
      <c r="E485" s="19">
        <f>D485/28</f>
        <v>90.857142857142861</v>
      </c>
      <c r="F485" s="5">
        <v>2374.85</v>
      </c>
      <c r="I485" s="140">
        <f>IF((D485/28)&gt;100,D485*2,D485*2)</f>
        <v>5088</v>
      </c>
      <c r="J485" t="b">
        <f>IF(F485&gt;1.2*I485,FALSE,TRUE)</f>
        <v>1</v>
      </c>
      <c r="K485" s="4">
        <f>F485/I485-1</f>
        <v>-0.53324488993710695</v>
      </c>
    </row>
    <row r="486" spans="1:14" ht="30" hidden="1">
      <c r="B486" s="55" t="s">
        <v>1047</v>
      </c>
      <c r="C486" s="27" t="s">
        <v>1048</v>
      </c>
      <c r="D486">
        <v>3031</v>
      </c>
      <c r="E486" s="19">
        <f>D486/28</f>
        <v>108.25</v>
      </c>
      <c r="F486" s="5">
        <v>5686.76</v>
      </c>
      <c r="I486" s="151">
        <f>IF((D486/28)&gt;100,D486*2,D486*2)</f>
        <v>6062</v>
      </c>
      <c r="J486" t="b">
        <f>IF(F486&gt;1.2*I486,FALSE,TRUE)</f>
        <v>1</v>
      </c>
      <c r="K486" s="4">
        <f>F486/I486-1</f>
        <v>-6.1900362916529117E-2</v>
      </c>
    </row>
    <row r="487" spans="1:14" hidden="1">
      <c r="B487" t="s">
        <v>1049</v>
      </c>
      <c r="C487" t="s">
        <v>1050</v>
      </c>
      <c r="D487">
        <v>2454</v>
      </c>
      <c r="E487" s="19">
        <f>D487/28</f>
        <v>87.642857142857139</v>
      </c>
      <c r="F487" s="5">
        <v>1646.05</v>
      </c>
      <c r="I487" s="140">
        <f>IF((D487/28)&gt;100,D487*2,D487*2)</f>
        <v>4908</v>
      </c>
      <c r="J487" t="b">
        <f>IF(F487&gt;1.2*I487,FALSE,TRUE)</f>
        <v>1</v>
      </c>
      <c r="K487" s="4">
        <f>F487/I487-1</f>
        <v>-0.66461898940505293</v>
      </c>
    </row>
    <row r="488" spans="1:14">
      <c r="B488" s="55" t="s">
        <v>1128</v>
      </c>
      <c r="C488" t="s">
        <v>1129</v>
      </c>
      <c r="D488">
        <v>169</v>
      </c>
      <c r="E488" s="19">
        <f>D488/28</f>
        <v>6.0357142857142856</v>
      </c>
      <c r="F488" s="5">
        <v>804.68</v>
      </c>
      <c r="I488" s="140">
        <f>IF((D488/28)&gt;100,D488*2,D488*2)</f>
        <v>338</v>
      </c>
      <c r="J488" t="b">
        <f>IF(F488&gt;1.2*I488,FALSE,TRUE)</f>
        <v>0</v>
      </c>
      <c r="K488" s="4">
        <f>F488/I488-1</f>
        <v>1.3807100591715975</v>
      </c>
    </row>
    <row r="489" spans="1:14" ht="30" hidden="1">
      <c r="B489" s="55" t="s">
        <v>1053</v>
      </c>
      <c r="C489" s="37" t="s">
        <v>1054</v>
      </c>
      <c r="D489">
        <v>1388</v>
      </c>
      <c r="E489" s="19">
        <f>D489/28</f>
        <v>49.571428571428569</v>
      </c>
      <c r="F489" s="5">
        <v>2463.38</v>
      </c>
      <c r="I489" s="140">
        <f>IF((D489/28)&gt;100,D489*2,D489*2)</f>
        <v>2776</v>
      </c>
      <c r="J489" t="b">
        <f>IF(F489&gt;1.2*I489,FALSE,TRUE)</f>
        <v>1</v>
      </c>
      <c r="K489" s="4">
        <f>F489/I489-1</f>
        <v>-0.11261527377521607</v>
      </c>
    </row>
    <row r="490" spans="1:14" hidden="1">
      <c r="B490" t="s">
        <v>1055</v>
      </c>
      <c r="C490" t="s">
        <v>1056</v>
      </c>
      <c r="D490">
        <v>1059</v>
      </c>
      <c r="E490" s="19">
        <f>D490/28</f>
        <v>37.821428571428569</v>
      </c>
      <c r="F490" s="5">
        <v>1653.37</v>
      </c>
      <c r="I490" s="140">
        <f>IF((D490/28)&gt;100,D490*2,D490*2)</f>
        <v>2118</v>
      </c>
      <c r="J490" t="b">
        <f>IF(F490&gt;1.2*I490,FALSE,TRUE)</f>
        <v>1</v>
      </c>
      <c r="K490" s="4">
        <f>F490/I490-1</f>
        <v>-0.21937204910292729</v>
      </c>
    </row>
    <row r="491" spans="1:14" hidden="1">
      <c r="B491" t="s">
        <v>1057</v>
      </c>
      <c r="C491" t="s">
        <v>1058</v>
      </c>
      <c r="D491">
        <v>1066</v>
      </c>
      <c r="E491" s="19">
        <f>D491/28</f>
        <v>38.071428571428569</v>
      </c>
      <c r="F491" s="5">
        <v>1545.48</v>
      </c>
      <c r="I491" s="140">
        <f>IF((D491/28)&gt;100,D491*2,D491*2)</f>
        <v>2132</v>
      </c>
      <c r="J491" t="b">
        <f>IF(F491&gt;1.2*I491,FALSE,TRUE)</f>
        <v>1</v>
      </c>
      <c r="K491" s="4">
        <f>F491/I491-1</f>
        <v>-0.27510318949343338</v>
      </c>
    </row>
    <row r="492" spans="1:14" hidden="1">
      <c r="B492" t="s">
        <v>1059</v>
      </c>
      <c r="C492" t="s">
        <v>1060</v>
      </c>
      <c r="D492">
        <v>2110</v>
      </c>
      <c r="E492" s="19">
        <f>D492/28</f>
        <v>75.357142857142861</v>
      </c>
      <c r="F492" s="5">
        <v>1087.69</v>
      </c>
      <c r="I492" s="140">
        <f>IF((D492/28)&gt;100,D492*2,D492*2)</f>
        <v>4220</v>
      </c>
      <c r="J492" t="b">
        <f>IF(F492&gt;1.2*I492,FALSE,TRUE)</f>
        <v>1</v>
      </c>
      <c r="K492" s="4">
        <f>F492/I492-1</f>
        <v>-0.74225355450236963</v>
      </c>
    </row>
    <row r="493" spans="1:14" hidden="1">
      <c r="B493" t="s">
        <v>1061</v>
      </c>
      <c r="C493" t="s">
        <v>1062</v>
      </c>
      <c r="D493">
        <v>1277</v>
      </c>
      <c r="E493" s="19">
        <f>D493/28</f>
        <v>45.607142857142854</v>
      </c>
      <c r="F493" s="5">
        <v>2143.2199999999998</v>
      </c>
      <c r="I493" s="140">
        <f>IF((D493/28)&gt;100,D493*2,D493*2)</f>
        <v>2554</v>
      </c>
      <c r="J493" t="b">
        <f>IF(F493&gt;1.2*I493,FALSE,TRUE)</f>
        <v>1</v>
      </c>
      <c r="K493" s="4">
        <f>F493/I493-1</f>
        <v>-0.1608379013312452</v>
      </c>
    </row>
    <row r="494" spans="1:14" hidden="1">
      <c r="B494" t="s">
        <v>1063</v>
      </c>
      <c r="C494" t="s">
        <v>1064</v>
      </c>
      <c r="D494">
        <v>837</v>
      </c>
      <c r="E494" s="19">
        <f>D494/28</f>
        <v>29.892857142857142</v>
      </c>
      <c r="F494" s="5">
        <v>692.61</v>
      </c>
      <c r="I494" s="140">
        <f>IF((D494/28)&gt;100,D494*2,D494*2)</f>
        <v>1674</v>
      </c>
      <c r="J494" t="b">
        <f>IF(F494&gt;1.2*I494,FALSE,TRUE)</f>
        <v>1</v>
      </c>
      <c r="K494" s="4">
        <f>F494/I494-1</f>
        <v>-0.58625448028673832</v>
      </c>
    </row>
    <row r="495" spans="1:14" hidden="1">
      <c r="B495" t="s">
        <v>1066</v>
      </c>
      <c r="C495" t="s">
        <v>1067</v>
      </c>
      <c r="D495">
        <v>1993</v>
      </c>
      <c r="E495" s="19">
        <f>D495/28</f>
        <v>71.178571428571431</v>
      </c>
      <c r="F495" s="5">
        <v>3541.81</v>
      </c>
      <c r="I495" s="140">
        <f>IF((D495/28)&gt;100,D495*2,D495*2)</f>
        <v>3986</v>
      </c>
      <c r="J495" t="b">
        <f>IF(F495&gt;1.2*I495,FALSE,TRUE)</f>
        <v>1</v>
      </c>
      <c r="K495" s="4">
        <f>F495/I495-1</f>
        <v>-0.1114375313597592</v>
      </c>
    </row>
    <row r="496" spans="1:14" hidden="1">
      <c r="B496" t="s">
        <v>1068</v>
      </c>
      <c r="C496" t="s">
        <v>1069</v>
      </c>
      <c r="D496">
        <v>1155</v>
      </c>
      <c r="E496" s="19">
        <f>D496/28</f>
        <v>41.25</v>
      </c>
      <c r="F496" s="5">
        <v>1359.98</v>
      </c>
      <c r="I496" s="140">
        <f>IF((D496/28)&gt;100,D496*2,D496*2)</f>
        <v>2310</v>
      </c>
      <c r="J496" t="b">
        <f>IF(F496&gt;1.2*I496,FALSE,TRUE)</f>
        <v>1</v>
      </c>
      <c r="K496" s="4">
        <f>F496/I496-1</f>
        <v>-0.41126406926406922</v>
      </c>
    </row>
    <row r="497" spans="2:11" hidden="1">
      <c r="B497" t="s">
        <v>1070</v>
      </c>
      <c r="C497" t="s">
        <v>1071</v>
      </c>
      <c r="D497">
        <v>1675</v>
      </c>
      <c r="E497" s="19">
        <f>D497/28</f>
        <v>59.821428571428569</v>
      </c>
      <c r="F497" s="5">
        <v>2198.66</v>
      </c>
      <c r="I497" s="140">
        <f>IF((D497/28)&gt;100,D497*2,D497*2)</f>
        <v>3350</v>
      </c>
      <c r="J497" t="b">
        <f>IF(F497&gt;1.2*I497,FALSE,TRUE)</f>
        <v>1</v>
      </c>
      <c r="K497" s="4">
        <f>F497/I497-1</f>
        <v>-0.3436835820895523</v>
      </c>
    </row>
    <row r="498" spans="2:11" hidden="1">
      <c r="B498" t="s">
        <v>1072</v>
      </c>
      <c r="C498" t="s">
        <v>1073</v>
      </c>
      <c r="D498">
        <v>514</v>
      </c>
      <c r="E498" s="19">
        <f>D498/28</f>
        <v>18.357142857142858</v>
      </c>
      <c r="F498" s="5">
        <v>882.42</v>
      </c>
      <c r="I498" s="140">
        <f>IF((D498/28)&gt;100,D498*2,D498*2)</f>
        <v>1028</v>
      </c>
      <c r="J498" t="b">
        <f>IF(F498&gt;1.2*I498,FALSE,TRUE)</f>
        <v>1</v>
      </c>
      <c r="K498" s="4">
        <f>F498/I498-1</f>
        <v>-0.14161478599221788</v>
      </c>
    </row>
    <row r="499" spans="2:11" hidden="1">
      <c r="B499" t="s">
        <v>1074</v>
      </c>
      <c r="C499" t="s">
        <v>1075</v>
      </c>
      <c r="D499">
        <v>984</v>
      </c>
      <c r="E499" s="19">
        <f>D499/28</f>
        <v>35.142857142857146</v>
      </c>
      <c r="F499" s="5">
        <v>2135.5100000000002</v>
      </c>
      <c r="I499" s="140">
        <f>IF((D499/28)&gt;100,D499*2,D499*2)</f>
        <v>1968</v>
      </c>
      <c r="J499" t="b">
        <f>IF(F499&gt;1.2*I499,FALSE,TRUE)</f>
        <v>1</v>
      </c>
      <c r="K499" s="4">
        <f>F499/I499-1</f>
        <v>8.5116869918699267E-2</v>
      </c>
    </row>
    <row r="500" spans="2:11" hidden="1">
      <c r="B500" t="s">
        <v>1076</v>
      </c>
      <c r="C500" t="s">
        <v>1077</v>
      </c>
      <c r="D500">
        <v>915</v>
      </c>
      <c r="E500" s="19">
        <f>D500/28</f>
        <v>32.678571428571431</v>
      </c>
      <c r="F500" s="5">
        <v>795.07</v>
      </c>
      <c r="I500" s="140">
        <f>IF((D500/28)&gt;100,D500*2,D500*2)</f>
        <v>1830</v>
      </c>
      <c r="J500" t="b">
        <f>IF(F500&gt;1.2*I500,FALSE,TRUE)</f>
        <v>1</v>
      </c>
      <c r="K500" s="4">
        <f>F500/I500-1</f>
        <v>-0.56553551912568301</v>
      </c>
    </row>
    <row r="501" spans="2:11" hidden="1">
      <c r="B501" t="s">
        <v>1078</v>
      </c>
      <c r="C501" t="s">
        <v>1079</v>
      </c>
      <c r="D501">
        <v>1236</v>
      </c>
      <c r="E501" s="19">
        <f>D501/28</f>
        <v>44.142857142857146</v>
      </c>
      <c r="F501" s="5">
        <v>2905.27</v>
      </c>
      <c r="I501" s="140">
        <f>IF((D501/28)&gt;100,D501*2,D501*2)</f>
        <v>2472</v>
      </c>
      <c r="J501" t="b">
        <f>IF(F501&gt;1.2*I501,FALSE,TRUE)</f>
        <v>1</v>
      </c>
      <c r="K501" s="4">
        <f>F501/I501-1</f>
        <v>0.17527103559870549</v>
      </c>
    </row>
    <row r="502" spans="2:11" hidden="1">
      <c r="B502" t="s">
        <v>1080</v>
      </c>
      <c r="C502" t="s">
        <v>1081</v>
      </c>
      <c r="D502">
        <v>1527</v>
      </c>
      <c r="E502" s="19">
        <f>D502/28</f>
        <v>54.535714285714285</v>
      </c>
      <c r="F502" s="5">
        <v>1404.11</v>
      </c>
      <c r="I502" s="140">
        <f>IF((D502/28)&gt;100,D502*2,D502*2)</f>
        <v>3054</v>
      </c>
      <c r="J502" t="b">
        <f>IF(F502&gt;1.2*I502,FALSE,TRUE)</f>
        <v>1</v>
      </c>
      <c r="K502" s="4">
        <f>F502/I502-1</f>
        <v>-0.54023903077930591</v>
      </c>
    </row>
    <row r="503" spans="2:11">
      <c r="B503" t="s">
        <v>1168</v>
      </c>
      <c r="C503" t="s">
        <v>1169</v>
      </c>
      <c r="D503">
        <v>152</v>
      </c>
      <c r="E503" s="19">
        <f>D503/28</f>
        <v>5.4285714285714288</v>
      </c>
      <c r="F503" s="5">
        <v>778.12</v>
      </c>
      <c r="I503" s="140">
        <f>IF((D503/28)&gt;100,D503*2,D503*2)</f>
        <v>304</v>
      </c>
      <c r="J503" t="b">
        <f>IF(F503&gt;1.2*I503,FALSE,TRUE)</f>
        <v>0</v>
      </c>
      <c r="K503" s="4">
        <f>F503/I503-1</f>
        <v>1.5596052631578949</v>
      </c>
    </row>
    <row r="504" spans="2:11" hidden="1">
      <c r="B504" t="s">
        <v>1084</v>
      </c>
      <c r="C504" t="s">
        <v>1085</v>
      </c>
      <c r="D504">
        <v>2679</v>
      </c>
      <c r="E504" s="19">
        <f>D504/28</f>
        <v>95.678571428571431</v>
      </c>
      <c r="F504" s="5">
        <v>3004.17</v>
      </c>
      <c r="I504" s="140">
        <f>IF((D504/28)&gt;100,D504*2,D504*2)</f>
        <v>5358</v>
      </c>
      <c r="J504" t="b">
        <f>IF(F504&gt;1.2*I504,FALSE,TRUE)</f>
        <v>1</v>
      </c>
      <c r="K504" s="4">
        <f>F504/I504-1</f>
        <v>-0.43931131019036951</v>
      </c>
    </row>
    <row r="505" spans="2:11" hidden="1">
      <c r="B505" t="s">
        <v>1086</v>
      </c>
      <c r="C505" t="s">
        <v>1087</v>
      </c>
      <c r="D505">
        <v>1267</v>
      </c>
      <c r="E505" s="19">
        <f>D505/28</f>
        <v>45.25</v>
      </c>
      <c r="F505" s="5">
        <v>888.5</v>
      </c>
      <c r="I505" s="140">
        <f>IF((D505/28)&gt;100,D505*2,D505*2)</f>
        <v>2534</v>
      </c>
      <c r="J505" t="b">
        <f>IF(F505&gt;1.2*I505,FALSE,TRUE)</f>
        <v>1</v>
      </c>
      <c r="K505" s="4">
        <f>F505/I505-1</f>
        <v>-0.64936858721389101</v>
      </c>
    </row>
    <row r="506" spans="2:11" hidden="1">
      <c r="B506" t="s">
        <v>1088</v>
      </c>
      <c r="C506" t="s">
        <v>1089</v>
      </c>
      <c r="D506">
        <v>707</v>
      </c>
      <c r="E506" s="19">
        <f>D506/28</f>
        <v>25.25</v>
      </c>
      <c r="F506" s="5">
        <v>1405.49</v>
      </c>
      <c r="I506" s="140">
        <f>IF((D506/28)&gt;100,D506*2,D506*2)</f>
        <v>1414</v>
      </c>
      <c r="J506" t="b">
        <f>IF(F506&gt;1.2*I506,FALSE,TRUE)</f>
        <v>1</v>
      </c>
      <c r="K506" s="4">
        <f>F506/I506-1</f>
        <v>-6.0183875530409603E-3</v>
      </c>
    </row>
    <row r="507" spans="2:11" hidden="1">
      <c r="B507" t="s">
        <v>1090</v>
      </c>
      <c r="C507" t="s">
        <v>1091</v>
      </c>
      <c r="D507">
        <v>746</v>
      </c>
      <c r="E507" s="19">
        <f>D507/28</f>
        <v>26.642857142857142</v>
      </c>
      <c r="F507" s="5">
        <v>1569.72</v>
      </c>
      <c r="I507" s="140">
        <f>IF((D507/28)&gt;100,D507*2,D507*2)</f>
        <v>1492</v>
      </c>
      <c r="J507" t="b">
        <f>IF(F507&gt;1.2*I507,FALSE,TRUE)</f>
        <v>1</v>
      </c>
      <c r="K507" s="4">
        <f>F507/I507-1</f>
        <v>5.209115281501342E-2</v>
      </c>
    </row>
    <row r="508" spans="2:11" hidden="1">
      <c r="B508" t="s">
        <v>1092</v>
      </c>
      <c r="C508" t="s">
        <v>1093</v>
      </c>
      <c r="D508">
        <v>140</v>
      </c>
      <c r="E508" s="19">
        <f>D508/28</f>
        <v>5</v>
      </c>
      <c r="F508" s="5">
        <v>119.56</v>
      </c>
      <c r="I508" s="140">
        <f>IF((D508/28)&gt;100,D508*2,D508*2)</f>
        <v>280</v>
      </c>
      <c r="J508" t="b">
        <f>IF(F508&gt;1.2*I508,FALSE,TRUE)</f>
        <v>1</v>
      </c>
      <c r="K508" s="4">
        <f>F508/I508-1</f>
        <v>-0.57299999999999995</v>
      </c>
    </row>
    <row r="509" spans="2:11" hidden="1">
      <c r="B509" t="s">
        <v>1095</v>
      </c>
      <c r="C509" t="s">
        <v>1096</v>
      </c>
      <c r="D509">
        <v>173</v>
      </c>
      <c r="E509" s="19">
        <f>D509/28</f>
        <v>6.1785714285714288</v>
      </c>
      <c r="F509" s="5">
        <v>0</v>
      </c>
      <c r="I509" s="140">
        <f>IF((D509/28)&gt;100,D509*2,D509*2)</f>
        <v>346</v>
      </c>
      <c r="J509" t="b">
        <f>IF(F509&gt;1.2*I509,FALSE,TRUE)</f>
        <v>1</v>
      </c>
      <c r="K509" s="4">
        <f>F509/I509-1</f>
        <v>-1</v>
      </c>
    </row>
    <row r="510" spans="2:11" hidden="1">
      <c r="B510" t="s">
        <v>1097</v>
      </c>
      <c r="C510" t="s">
        <v>1098</v>
      </c>
      <c r="D510">
        <v>863</v>
      </c>
      <c r="E510" s="19">
        <f>D510/28</f>
        <v>30.821428571428573</v>
      </c>
      <c r="F510" s="5">
        <v>1359.68</v>
      </c>
      <c r="I510" s="140">
        <f>IF((D510/28)&gt;100,D510*2,D510*2)</f>
        <v>1726</v>
      </c>
      <c r="J510" t="b">
        <f>IF(F510&gt;1.2*I510,FALSE,TRUE)</f>
        <v>1</v>
      </c>
      <c r="K510" s="4">
        <f>F510/I510-1</f>
        <v>-0.21223638470451911</v>
      </c>
    </row>
    <row r="511" spans="2:11" hidden="1">
      <c r="B511" t="s">
        <v>1099</v>
      </c>
      <c r="C511" t="s">
        <v>1100</v>
      </c>
      <c r="D511">
        <v>657</v>
      </c>
      <c r="E511" s="19">
        <f>D511/28</f>
        <v>23.464285714285715</v>
      </c>
      <c r="F511" s="5">
        <v>1016.94</v>
      </c>
      <c r="I511" s="140">
        <f>IF((D511/28)&gt;100,D511*2,D511*2)</f>
        <v>1314</v>
      </c>
      <c r="J511" t="b">
        <f>IF(F511&gt;1.2*I511,FALSE,TRUE)</f>
        <v>1</v>
      </c>
      <c r="K511" s="4">
        <f>F511/I511-1</f>
        <v>-0.22607305936073052</v>
      </c>
    </row>
    <row r="512" spans="2:11" hidden="1">
      <c r="B512" t="s">
        <v>1102</v>
      </c>
      <c r="C512" t="s">
        <v>1103</v>
      </c>
      <c r="D512">
        <v>1229</v>
      </c>
      <c r="E512" s="19">
        <f>D512/28</f>
        <v>43.892857142857146</v>
      </c>
      <c r="F512" s="5">
        <v>1018.51</v>
      </c>
      <c r="I512" s="140">
        <f>IF((D512/28)&gt;100,D512*2,D512*2)</f>
        <v>2458</v>
      </c>
      <c r="J512" t="b">
        <f>IF(F512&gt;1.2*I512,FALSE,TRUE)</f>
        <v>1</v>
      </c>
      <c r="K512" s="4">
        <f>F512/I512-1</f>
        <v>-0.58563466232709516</v>
      </c>
    </row>
    <row r="513" spans="1:14" hidden="1">
      <c r="B513" t="s">
        <v>1104</v>
      </c>
      <c r="C513" t="s">
        <v>1105</v>
      </c>
      <c r="D513">
        <v>993</v>
      </c>
      <c r="E513" s="19">
        <f>D513/28</f>
        <v>35.464285714285715</v>
      </c>
      <c r="F513" s="5">
        <v>1303.75</v>
      </c>
      <c r="I513" s="140">
        <f>IF((D513/28)&gt;100,D513*2,D513*2)</f>
        <v>1986</v>
      </c>
      <c r="J513" t="b">
        <f>IF(F513&gt;1.2*I513,FALSE,TRUE)</f>
        <v>1</v>
      </c>
      <c r="K513" s="4">
        <f>F513/I513-1</f>
        <v>-0.34352970795568982</v>
      </c>
    </row>
    <row r="514" spans="1:14" hidden="1">
      <c r="B514" t="s">
        <v>1106</v>
      </c>
      <c r="C514" t="s">
        <v>1107</v>
      </c>
      <c r="D514">
        <v>875</v>
      </c>
      <c r="E514" s="19">
        <f>D514/28</f>
        <v>31.25</v>
      </c>
      <c r="F514" s="5">
        <v>1721.15</v>
      </c>
      <c r="I514" s="140">
        <f>IF((D514/28)&gt;100,D514*2,D514*2)</f>
        <v>1750</v>
      </c>
      <c r="J514" t="b">
        <f>IF(F514&gt;1.2*I514,FALSE,TRUE)</f>
        <v>1</v>
      </c>
      <c r="K514" s="4">
        <f>F514/I514-1</f>
        <v>-1.6485714285714215E-2</v>
      </c>
    </row>
    <row r="515" spans="1:14">
      <c r="A515" t="s">
        <v>1296</v>
      </c>
      <c r="B515" s="55" t="s">
        <v>179</v>
      </c>
      <c r="C515" s="37" t="s">
        <v>180</v>
      </c>
      <c r="D515" s="28">
        <v>114</v>
      </c>
      <c r="E515" s="19">
        <f>D515/28</f>
        <v>4.0714285714285712</v>
      </c>
      <c r="F515" s="5">
        <v>595.46</v>
      </c>
      <c r="I515" s="154">
        <f>IF((D515/28)&gt;100,D515*2,D515*2)</f>
        <v>228</v>
      </c>
      <c r="J515" t="b">
        <f>IF(F515&gt;1.2*I515,FALSE,TRUE)</f>
        <v>0</v>
      </c>
      <c r="K515" s="4">
        <f>F515/I515-1</f>
        <v>1.6116666666666668</v>
      </c>
      <c r="N515"/>
    </row>
    <row r="516" spans="1:14" hidden="1">
      <c r="B516" t="s">
        <v>1110</v>
      </c>
      <c r="C516" t="s">
        <v>1111</v>
      </c>
      <c r="D516">
        <v>951</v>
      </c>
      <c r="E516" s="19">
        <f>D516/28</f>
        <v>33.964285714285715</v>
      </c>
      <c r="F516" s="5">
        <v>697.43</v>
      </c>
      <c r="I516" s="140">
        <f>IF((D516/28)&gt;100,D516*2,D516*2)</f>
        <v>1902</v>
      </c>
      <c r="J516" t="b">
        <f>IF(F516&gt;1.2*I516,FALSE,TRUE)</f>
        <v>1</v>
      </c>
      <c r="K516" s="4">
        <f>F516/I516-1</f>
        <v>-0.63331756046267085</v>
      </c>
    </row>
    <row r="517" spans="1:14" hidden="1">
      <c r="B517" t="s">
        <v>1112</v>
      </c>
      <c r="C517" t="s">
        <v>1113</v>
      </c>
      <c r="D517">
        <v>614</v>
      </c>
      <c r="E517" s="19">
        <f>D517/28</f>
        <v>21.928571428571427</v>
      </c>
      <c r="F517" s="5">
        <v>482.05</v>
      </c>
      <c r="I517" s="140">
        <f>IF((D517/28)&gt;100,D517*2,D517*2)</f>
        <v>1228</v>
      </c>
      <c r="J517" t="b">
        <f>IF(F517&gt;1.2*I517,FALSE,TRUE)</f>
        <v>1</v>
      </c>
      <c r="K517" s="4">
        <f>F517/I517-1</f>
        <v>-0.60745114006514656</v>
      </c>
    </row>
    <row r="518" spans="1:14">
      <c r="B518" t="s">
        <v>787</v>
      </c>
      <c r="C518" t="s">
        <v>788</v>
      </c>
      <c r="D518">
        <v>62</v>
      </c>
      <c r="E518" s="19">
        <f>D518/28</f>
        <v>2.2142857142857144</v>
      </c>
      <c r="F518" s="5">
        <v>219.09</v>
      </c>
      <c r="I518" s="140">
        <f>IF((D518/28)&gt;100,D518*2,D518*2)</f>
        <v>124</v>
      </c>
      <c r="J518" t="b">
        <f>IF(F518&gt;1.2*I518,FALSE,TRUE)</f>
        <v>0</v>
      </c>
      <c r="K518" s="4">
        <f>F518/I518-1</f>
        <v>0.76685483870967741</v>
      </c>
    </row>
    <row r="519" spans="1:14" hidden="1">
      <c r="B519" t="s">
        <v>1116</v>
      </c>
      <c r="C519" t="s">
        <v>1117</v>
      </c>
      <c r="D519">
        <v>1242</v>
      </c>
      <c r="E519" s="19">
        <f>D519/28</f>
        <v>44.357142857142854</v>
      </c>
      <c r="F519" s="5">
        <v>1369.61</v>
      </c>
      <c r="I519" s="140">
        <f>IF((D519/28)&gt;100,D519*2,D519*2)</f>
        <v>2484</v>
      </c>
      <c r="J519" t="b">
        <f>IF(F519&gt;1.2*I519,FALSE,TRUE)</f>
        <v>1</v>
      </c>
      <c r="K519" s="4">
        <f>F519/I519-1</f>
        <v>-0.44862721417069251</v>
      </c>
    </row>
    <row r="520" spans="1:14" hidden="1">
      <c r="B520" t="s">
        <v>1118</v>
      </c>
      <c r="C520" t="s">
        <v>1119</v>
      </c>
      <c r="D520">
        <v>657</v>
      </c>
      <c r="E520" s="19">
        <f>D520/28</f>
        <v>23.464285714285715</v>
      </c>
      <c r="F520" s="5">
        <v>583.92999999999995</v>
      </c>
      <c r="I520" s="140">
        <f>IF((D520/28)&gt;100,D520*2,D520*2)</f>
        <v>1314</v>
      </c>
      <c r="J520" t="b">
        <f>IF(F520&gt;1.2*I520,FALSE,TRUE)</f>
        <v>1</v>
      </c>
      <c r="K520" s="4">
        <f>F520/I520-1</f>
        <v>-0.55560882800608824</v>
      </c>
    </row>
    <row r="521" spans="1:14" hidden="1">
      <c r="B521" t="s">
        <v>1120</v>
      </c>
      <c r="C521" t="s">
        <v>1121</v>
      </c>
      <c r="D521">
        <v>193</v>
      </c>
      <c r="E521" s="19">
        <f>D521/28</f>
        <v>6.8928571428571432</v>
      </c>
      <c r="F521" s="5">
        <v>0</v>
      </c>
      <c r="I521" s="140">
        <f>IF((D521/28)&gt;100,D521*2,D521*2)</f>
        <v>386</v>
      </c>
      <c r="J521" t="b">
        <f>IF(F521&gt;1.2*I521,FALSE,TRUE)</f>
        <v>1</v>
      </c>
      <c r="K521" s="4">
        <f>F521/I521-1</f>
        <v>-1</v>
      </c>
    </row>
    <row r="522" spans="1:14" hidden="1">
      <c r="B522" t="s">
        <v>1122</v>
      </c>
      <c r="C522" t="s">
        <v>1123</v>
      </c>
      <c r="D522">
        <v>880</v>
      </c>
      <c r="E522" s="19">
        <f>D522/28</f>
        <v>31.428571428571427</v>
      </c>
      <c r="F522" s="5">
        <v>1470.12</v>
      </c>
      <c r="I522" s="140">
        <f>IF((D522/28)&gt;100,D522*2,D522*2)</f>
        <v>1760</v>
      </c>
      <c r="J522" t="b">
        <f>IF(F522&gt;1.2*I522,FALSE,TRUE)</f>
        <v>1</v>
      </c>
      <c r="K522" s="4">
        <f>F522/I522-1</f>
        <v>-0.16470454545454549</v>
      </c>
    </row>
    <row r="523" spans="1:14" hidden="1">
      <c r="B523" t="s">
        <v>1124</v>
      </c>
      <c r="C523" t="s">
        <v>1125</v>
      </c>
      <c r="D523">
        <v>738</v>
      </c>
      <c r="E523" s="19">
        <f>D523/28</f>
        <v>26.357142857142858</v>
      </c>
      <c r="F523" s="5">
        <v>1461.12</v>
      </c>
      <c r="I523" s="140">
        <f>IF((D523/28)&gt;100,D523*2,D523*2)</f>
        <v>1476</v>
      </c>
      <c r="J523" t="b">
        <f>IF(F523&gt;1.2*I523,FALSE,TRUE)</f>
        <v>1</v>
      </c>
      <c r="K523" s="4">
        <f>F523/I523-1</f>
        <v>-1.0081300813008176E-2</v>
      </c>
    </row>
    <row r="524" spans="1:14" hidden="1">
      <c r="B524" s="55" t="s">
        <v>1126</v>
      </c>
      <c r="C524" s="37" t="s">
        <v>1127</v>
      </c>
      <c r="D524">
        <v>365</v>
      </c>
      <c r="E524" s="19">
        <f>D524/28</f>
        <v>13.035714285714286</v>
      </c>
      <c r="F524" s="5">
        <v>417.37</v>
      </c>
      <c r="I524" s="151">
        <f>IF((D524/28)&gt;100,D524*2,D524*2)</f>
        <v>730</v>
      </c>
      <c r="J524" t="b">
        <f>IF(F524&gt;1.2*I524,FALSE,TRUE)</f>
        <v>1</v>
      </c>
      <c r="K524" s="4">
        <f>F524/I524-1</f>
        <v>-0.42826027397260269</v>
      </c>
    </row>
    <row r="525" spans="1:14">
      <c r="A525" t="s">
        <v>1296</v>
      </c>
      <c r="B525" t="s">
        <v>339</v>
      </c>
      <c r="C525" t="s">
        <v>340</v>
      </c>
      <c r="D525" s="28">
        <v>49</v>
      </c>
      <c r="E525" s="19">
        <f>D525/28</f>
        <v>1.75</v>
      </c>
      <c r="F525" s="5">
        <v>123.22</v>
      </c>
      <c r="I525" s="19">
        <f>IF((D525/28)&gt;100,D525*2,D525*2)</f>
        <v>98</v>
      </c>
      <c r="J525" t="b">
        <f>IF(F525&gt;1.2*I525,FALSE,TRUE)</f>
        <v>0</v>
      </c>
      <c r="K525" s="4">
        <f>F525/I525-1</f>
        <v>0.25734693877551029</v>
      </c>
      <c r="N525"/>
    </row>
    <row r="526" spans="1:14" hidden="1">
      <c r="B526" s="56" t="s">
        <v>1130</v>
      </c>
      <c r="C526" s="37" t="s">
        <v>1131</v>
      </c>
      <c r="D526">
        <v>858</v>
      </c>
      <c r="E526" s="19">
        <f>D526/28</f>
        <v>30.642857142857142</v>
      </c>
      <c r="F526" s="5">
        <v>959.73</v>
      </c>
      <c r="I526" s="151">
        <f>IF((D526/28)&gt;100,D526*2,D526*2)</f>
        <v>1716</v>
      </c>
      <c r="J526" t="b">
        <f>IF(F526&gt;1.2*I526,FALSE,TRUE)</f>
        <v>1</v>
      </c>
      <c r="K526" s="4">
        <f>F526/I526-1</f>
        <v>-0.4407167832167832</v>
      </c>
    </row>
    <row r="527" spans="1:14" hidden="1">
      <c r="B527" t="s">
        <v>1132</v>
      </c>
      <c r="C527" t="s">
        <v>1133</v>
      </c>
      <c r="D527">
        <v>837</v>
      </c>
      <c r="E527" s="19">
        <f>D527/28</f>
        <v>29.892857142857142</v>
      </c>
      <c r="F527" s="5">
        <v>1647.7</v>
      </c>
      <c r="I527" s="140">
        <f>IF((D527/28)&gt;100,D527*2,D527*2)</f>
        <v>1674</v>
      </c>
      <c r="J527" t="b">
        <f>IF(F527&gt;1.2*I527,FALSE,TRUE)</f>
        <v>1</v>
      </c>
      <c r="K527" s="4">
        <f>F527/I527-1</f>
        <v>-1.5710872162485012E-2</v>
      </c>
    </row>
    <row r="528" spans="1:14" hidden="1">
      <c r="B528" t="s">
        <v>1134</v>
      </c>
      <c r="C528" t="s">
        <v>1135</v>
      </c>
      <c r="D528">
        <v>1117</v>
      </c>
      <c r="E528" s="19">
        <f>D528/28</f>
        <v>39.892857142857146</v>
      </c>
      <c r="F528" s="5">
        <v>865.17</v>
      </c>
      <c r="I528" s="140">
        <f>IF((D528/28)&gt;100,D528*2,D528*2)</f>
        <v>2234</v>
      </c>
      <c r="J528" t="b">
        <f>IF(F528&gt;1.2*I528,FALSE,TRUE)</f>
        <v>1</v>
      </c>
      <c r="K528" s="4">
        <f>F528/I528-1</f>
        <v>-0.61272605192479856</v>
      </c>
    </row>
    <row r="529" spans="1:14" hidden="1">
      <c r="B529" s="27" t="s">
        <v>1136</v>
      </c>
      <c r="C529" s="27" t="s">
        <v>1137</v>
      </c>
      <c r="D529">
        <v>2</v>
      </c>
      <c r="E529" s="19">
        <f>D529/28</f>
        <v>7.1428571428571425E-2</v>
      </c>
      <c r="F529" s="5">
        <v>0</v>
      </c>
      <c r="I529" s="140">
        <f>IF((D529/28)&gt;100,D529*2,D529*2)</f>
        <v>4</v>
      </c>
      <c r="J529" t="b">
        <f>IF(F529&gt;1.2*I529,FALSE,TRUE)</f>
        <v>1</v>
      </c>
      <c r="K529" s="4">
        <f>F529/I529-1</f>
        <v>-1</v>
      </c>
    </row>
    <row r="530" spans="1:14" hidden="1">
      <c r="B530" t="s">
        <v>1138</v>
      </c>
      <c r="C530" t="s">
        <v>1139</v>
      </c>
      <c r="D530">
        <v>3785</v>
      </c>
      <c r="E530" s="19">
        <f>D530/28</f>
        <v>135.17857142857142</v>
      </c>
      <c r="F530" s="5">
        <v>2038.27</v>
      </c>
      <c r="I530" s="140">
        <f>IF((D530/28)&gt;100,D530*2,D530*2)</f>
        <v>7570</v>
      </c>
      <c r="J530" t="b">
        <f>IF(F530&gt;1.2*I530,FALSE,TRUE)</f>
        <v>1</v>
      </c>
      <c r="K530" s="4">
        <f>F530/I530-1</f>
        <v>-0.7307437252311757</v>
      </c>
    </row>
    <row r="531" spans="1:14" hidden="1">
      <c r="B531" t="s">
        <v>1141</v>
      </c>
      <c r="C531" t="s">
        <v>1142</v>
      </c>
      <c r="D531">
        <v>1023</v>
      </c>
      <c r="E531" s="19">
        <f>D531/28</f>
        <v>36.535714285714285</v>
      </c>
      <c r="F531" s="5">
        <v>2097.7600000000002</v>
      </c>
      <c r="I531" s="140">
        <f>IF((D531/28)&gt;100,D531*2,D531*2)</f>
        <v>2046</v>
      </c>
      <c r="J531" t="b">
        <f>IF(F531&gt;1.2*I531,FALSE,TRUE)</f>
        <v>1</v>
      </c>
      <c r="K531" s="4">
        <f>F531/I531-1</f>
        <v>2.529814271749764E-2</v>
      </c>
    </row>
    <row r="532" spans="1:14" hidden="1">
      <c r="B532" t="s">
        <v>1143</v>
      </c>
      <c r="C532" t="s">
        <v>1144</v>
      </c>
      <c r="D532">
        <v>296</v>
      </c>
      <c r="E532" s="19">
        <f>D532/28</f>
        <v>10.571428571428571</v>
      </c>
      <c r="F532" s="5">
        <v>416.47</v>
      </c>
      <c r="I532" s="140">
        <f>IF((D532/28)&gt;100,D532*2,D532*2)</f>
        <v>592</v>
      </c>
      <c r="J532" t="b">
        <f>IF(F532&gt;1.2*I532,FALSE,TRUE)</f>
        <v>1</v>
      </c>
      <c r="K532" s="4">
        <f>F532/I532-1</f>
        <v>-0.29650337837837837</v>
      </c>
    </row>
    <row r="533" spans="1:14" hidden="1">
      <c r="B533" s="27" t="s">
        <v>1146</v>
      </c>
      <c r="C533" t="s">
        <v>1147</v>
      </c>
      <c r="D533">
        <v>377</v>
      </c>
      <c r="E533" s="19">
        <f>D533/28</f>
        <v>13.464285714285714</v>
      </c>
      <c r="F533" s="5">
        <v>131.4</v>
      </c>
      <c r="I533" s="151">
        <f>IF((D533/28)&gt;100,D533*2,D533*2)</f>
        <v>754</v>
      </c>
      <c r="J533" t="b">
        <f>IF(F533&gt;1.2*I533,FALSE,TRUE)</f>
        <v>1</v>
      </c>
      <c r="K533" s="4">
        <f>F533/I533-1</f>
        <v>-0.82572944297082229</v>
      </c>
    </row>
    <row r="534" spans="1:14" hidden="1">
      <c r="B534" s="56" t="s">
        <v>1148</v>
      </c>
      <c r="C534" s="37" t="s">
        <v>1149</v>
      </c>
      <c r="D534">
        <v>800</v>
      </c>
      <c r="E534" s="19">
        <f>D534/28</f>
        <v>28.571428571428573</v>
      </c>
      <c r="F534" s="5">
        <v>929.38</v>
      </c>
      <c r="I534" s="151">
        <f>IF((D534/28)&gt;100,D534*2,D534*2)</f>
        <v>1600</v>
      </c>
      <c r="J534" t="b">
        <f>IF(F534&gt;1.2*I534,FALSE,TRUE)</f>
        <v>1</v>
      </c>
      <c r="K534" s="4">
        <f>F534/I534-1</f>
        <v>-0.41913750000000005</v>
      </c>
    </row>
    <row r="535" spans="1:14" hidden="1">
      <c r="B535" s="27" t="s">
        <v>1150</v>
      </c>
      <c r="C535" s="27" t="s">
        <v>1151</v>
      </c>
      <c r="D535">
        <v>819</v>
      </c>
      <c r="E535" s="19">
        <f>D535/28</f>
        <v>29.25</v>
      </c>
      <c r="F535" s="5">
        <v>655.82</v>
      </c>
      <c r="I535" s="140">
        <f>IF((D535/28)&gt;100,D535*2,D535*2)</f>
        <v>1638</v>
      </c>
      <c r="J535" t="b">
        <f>IF(F535&gt;1.2*I535,FALSE,TRUE)</f>
        <v>1</v>
      </c>
      <c r="K535" s="4">
        <f>F535/I535-1</f>
        <v>-0.59962148962148953</v>
      </c>
    </row>
    <row r="536" spans="1:14" hidden="1">
      <c r="B536" t="s">
        <v>1152</v>
      </c>
      <c r="C536" t="s">
        <v>1153</v>
      </c>
      <c r="D536">
        <v>374</v>
      </c>
      <c r="E536" s="19">
        <f>D536/28</f>
        <v>13.357142857142858</v>
      </c>
      <c r="F536" s="5">
        <v>407.95</v>
      </c>
      <c r="I536" s="140">
        <f>IF((D536/28)&gt;100,D536*2,D536*2)</f>
        <v>748</v>
      </c>
      <c r="J536" t="b">
        <f>IF(F536&gt;1.2*I536,FALSE,TRUE)</f>
        <v>1</v>
      </c>
      <c r="K536" s="4">
        <f>F536/I536-1</f>
        <v>-0.45461229946524062</v>
      </c>
    </row>
    <row r="537" spans="1:14" hidden="1">
      <c r="B537" t="s">
        <v>1154</v>
      </c>
      <c r="C537" t="s">
        <v>1155</v>
      </c>
      <c r="D537">
        <v>256</v>
      </c>
      <c r="E537" s="19">
        <f>D537/28</f>
        <v>9.1428571428571423</v>
      </c>
      <c r="F537" s="5">
        <v>0</v>
      </c>
      <c r="I537" s="140">
        <f>IF((D537/28)&gt;100,D537*2,D537*2)</f>
        <v>512</v>
      </c>
      <c r="J537" t="b">
        <f>IF(F537&gt;1.2*I537,FALSE,TRUE)</f>
        <v>1</v>
      </c>
      <c r="K537" s="4">
        <f>F537/I537-1</f>
        <v>-1</v>
      </c>
    </row>
    <row r="538" spans="1:14" hidden="1">
      <c r="B538" t="s">
        <v>1156</v>
      </c>
      <c r="C538" t="s">
        <v>1157</v>
      </c>
      <c r="D538">
        <v>224</v>
      </c>
      <c r="E538" s="19">
        <f>D538/28</f>
        <v>8</v>
      </c>
      <c r="F538" s="5">
        <v>413.91</v>
      </c>
      <c r="I538" s="140">
        <f>IF((D538/28)&gt;100,D538*2,D538*2)</f>
        <v>448</v>
      </c>
      <c r="J538" t="b">
        <f>IF(F538&gt;1.2*I538,FALSE,TRUE)</f>
        <v>1</v>
      </c>
      <c r="K538" s="4">
        <f>F538/I538-1</f>
        <v>-7.609374999999996E-2</v>
      </c>
    </row>
    <row r="539" spans="1:14" hidden="1">
      <c r="B539" t="s">
        <v>1158</v>
      </c>
      <c r="C539" t="s">
        <v>1159</v>
      </c>
      <c r="D539">
        <v>855</v>
      </c>
      <c r="E539" s="19">
        <f>D539/28</f>
        <v>30.535714285714285</v>
      </c>
      <c r="F539" s="5">
        <v>616.45000000000005</v>
      </c>
      <c r="I539" s="140">
        <f>IF((D539/28)&gt;100,D539*2,D539*2)</f>
        <v>1710</v>
      </c>
      <c r="J539" t="b">
        <f>IF(F539&gt;1.2*I539,FALSE,TRUE)</f>
        <v>1</v>
      </c>
      <c r="K539" s="4">
        <f>F539/I539-1</f>
        <v>-0.63950292397660813</v>
      </c>
    </row>
    <row r="540" spans="1:14">
      <c r="A540" t="s">
        <v>1294</v>
      </c>
      <c r="B540" t="s">
        <v>311</v>
      </c>
      <c r="C540" t="s">
        <v>312</v>
      </c>
      <c r="D540" s="28">
        <v>48</v>
      </c>
      <c r="E540" s="19">
        <f>D540/28</f>
        <v>1.7142857142857142</v>
      </c>
      <c r="F540" s="5">
        <v>165.79</v>
      </c>
      <c r="I540" s="19">
        <f>IF((D540/28)&gt;100,D540*2,D540*2)</f>
        <v>96</v>
      </c>
      <c r="J540" t="b">
        <f>IF(F540&gt;1.2*I540,FALSE,TRUE)</f>
        <v>0</v>
      </c>
      <c r="K540" s="4">
        <f>F540/I540-1</f>
        <v>0.72697916666666651</v>
      </c>
      <c r="N540"/>
    </row>
    <row r="541" spans="1:14" hidden="1">
      <c r="B541" t="s">
        <v>1162</v>
      </c>
      <c r="C541" t="s">
        <v>1163</v>
      </c>
      <c r="D541">
        <v>734</v>
      </c>
      <c r="E541" s="19">
        <f>D541/28</f>
        <v>26.214285714285715</v>
      </c>
      <c r="F541" s="5">
        <v>636.79999999999995</v>
      </c>
      <c r="I541" s="140">
        <f>IF((D541/28)&gt;100,D541*2,D541*2)</f>
        <v>1468</v>
      </c>
      <c r="J541" t="b">
        <f>IF(F541&gt;1.2*I541,FALSE,TRUE)</f>
        <v>1</v>
      </c>
      <c r="K541" s="4">
        <f>F541/I541-1</f>
        <v>-0.56621253405994554</v>
      </c>
    </row>
    <row r="542" spans="1:14" hidden="1">
      <c r="B542" t="s">
        <v>1164</v>
      </c>
      <c r="C542" s="5" t="s">
        <v>1165</v>
      </c>
      <c r="D542">
        <v>977</v>
      </c>
      <c r="E542" s="19">
        <f>D542/28</f>
        <v>34.892857142857146</v>
      </c>
      <c r="F542" s="5">
        <v>1453.99</v>
      </c>
      <c r="I542" s="140">
        <f>IF((D542/28)&gt;100,D542*2,D542*2)</f>
        <v>1954</v>
      </c>
      <c r="J542" t="b">
        <f>IF(F542&gt;1.2*I542,FALSE,TRUE)</f>
        <v>1</v>
      </c>
      <c r="K542" s="4">
        <f>F542/I542-1</f>
        <v>-0.25589048106448309</v>
      </c>
    </row>
    <row r="543" spans="1:14" ht="30" hidden="1">
      <c r="B543" s="55" t="s">
        <v>1166</v>
      </c>
      <c r="C543" s="37" t="s">
        <v>1167</v>
      </c>
      <c r="D543">
        <v>518</v>
      </c>
      <c r="E543" s="19">
        <f>D543/28</f>
        <v>18.5</v>
      </c>
      <c r="F543" s="5">
        <v>806.86</v>
      </c>
      <c r="I543" s="140">
        <f>IF((D543/28)&gt;100,D543*2,D543*2)</f>
        <v>1036</v>
      </c>
      <c r="J543" t="b">
        <f>IF(F543&gt;1.2*I543,FALSE,TRUE)</f>
        <v>1</v>
      </c>
      <c r="K543" s="4">
        <f>F543/I543-1</f>
        <v>-0.22117760617760618</v>
      </c>
    </row>
    <row r="544" spans="1:14">
      <c r="A544" t="s">
        <v>1296</v>
      </c>
      <c r="B544" t="s">
        <v>369</v>
      </c>
      <c r="C544" t="s">
        <v>370</v>
      </c>
      <c r="D544" s="28">
        <v>33</v>
      </c>
      <c r="E544" s="19">
        <f>D544/28</f>
        <v>1.1785714285714286</v>
      </c>
      <c r="F544" s="5">
        <v>85.9</v>
      </c>
      <c r="I544" s="19">
        <f>IF((D544/28)&gt;100,D544*2,D544*2)</f>
        <v>66</v>
      </c>
      <c r="J544" t="b">
        <f>IF(F544&gt;1.2*I544,FALSE,TRUE)</f>
        <v>0</v>
      </c>
      <c r="K544" s="4">
        <f>F544/I544-1</f>
        <v>0.30151515151515151</v>
      </c>
      <c r="N544"/>
    </row>
    <row r="545" spans="1:14" hidden="1">
      <c r="B545" t="s">
        <v>1170</v>
      </c>
      <c r="C545" t="s">
        <v>1171</v>
      </c>
      <c r="D545">
        <v>677</v>
      </c>
      <c r="E545" s="19">
        <f>D545/28</f>
        <v>24.178571428571427</v>
      </c>
      <c r="F545" s="5">
        <v>707.75</v>
      </c>
      <c r="I545" s="140">
        <f>IF((D545/28)&gt;100,D545*2,D545*2)</f>
        <v>1354</v>
      </c>
      <c r="J545" t="b">
        <f>IF(F545&gt;1.2*I545,FALSE,TRUE)</f>
        <v>1</v>
      </c>
      <c r="K545" s="4">
        <f>F545/I545-1</f>
        <v>-0.47728951255539143</v>
      </c>
    </row>
    <row r="546" spans="1:14" hidden="1">
      <c r="B546" t="s">
        <v>1172</v>
      </c>
      <c r="C546" t="s">
        <v>1173</v>
      </c>
      <c r="D546">
        <v>13</v>
      </c>
      <c r="E546" s="19">
        <f>D546/28</f>
        <v>0.4642857142857143</v>
      </c>
      <c r="F546" s="5">
        <v>16.14</v>
      </c>
      <c r="I546" s="151">
        <f>IF((D546/28)&gt;100,D546*2,D546*2)</f>
        <v>26</v>
      </c>
      <c r="J546" t="b">
        <f>IF(F546&gt;1.2*I546,FALSE,TRUE)</f>
        <v>1</v>
      </c>
      <c r="K546" s="4">
        <f>F546/I546-1</f>
        <v>-0.37923076923076926</v>
      </c>
    </row>
    <row r="547" spans="1:14">
      <c r="A547" t="s">
        <v>1294</v>
      </c>
      <c r="B547" t="s">
        <v>307</v>
      </c>
      <c r="C547" t="s">
        <v>308</v>
      </c>
      <c r="D547" s="28">
        <v>4</v>
      </c>
      <c r="E547" s="19">
        <f>D547/28</f>
        <v>0.14285714285714285</v>
      </c>
      <c r="F547" s="5">
        <v>174.52</v>
      </c>
      <c r="I547" s="19">
        <f>IF((D547/28)&gt;100,D547*2,D547*2)</f>
        <v>8</v>
      </c>
      <c r="J547" t="b">
        <f>IF(F547&gt;1.2*I547,FALSE,TRUE)</f>
        <v>0</v>
      </c>
      <c r="K547" s="4">
        <f>F547/I547-1</f>
        <v>20.815000000000001</v>
      </c>
      <c r="N547"/>
    </row>
    <row r="548" spans="1:14" hidden="1">
      <c r="B548" t="s">
        <v>1176</v>
      </c>
      <c r="C548" t="s">
        <v>1177</v>
      </c>
      <c r="D548">
        <v>799</v>
      </c>
      <c r="E548" s="19">
        <f>D548/28</f>
        <v>28.535714285714285</v>
      </c>
      <c r="F548" s="5">
        <v>770.42</v>
      </c>
      <c r="I548" s="140">
        <f>IF((D548/28)&gt;100,D548*2,D548*2)</f>
        <v>1598</v>
      </c>
      <c r="J548" t="b">
        <f>IF(F548&gt;1.2*I548,FALSE,TRUE)</f>
        <v>1</v>
      </c>
      <c r="K548" s="4">
        <f>F548/I548-1</f>
        <v>-0.51788485607008772</v>
      </c>
    </row>
    <row r="549" spans="1:14" hidden="1">
      <c r="B549" t="s">
        <v>1178</v>
      </c>
      <c r="C549" t="s">
        <v>1179</v>
      </c>
      <c r="D549">
        <v>0</v>
      </c>
      <c r="E549" s="19">
        <f>D549/28</f>
        <v>0</v>
      </c>
      <c r="F549" s="5">
        <v>0</v>
      </c>
      <c r="I549" s="140">
        <f>IF((D549/28)&gt;100,D549*2,D549*2)</f>
        <v>0</v>
      </c>
      <c r="J549" t="b">
        <f>IF(F549&gt;1.2*I549,FALSE,TRUE)</f>
        <v>1</v>
      </c>
      <c r="K549" s="4" t="e">
        <f>F549/I549-1</f>
        <v>#DIV/0!</v>
      </c>
    </row>
    <row r="550" spans="1:14" hidden="1">
      <c r="B550" s="37" t="s">
        <v>1180</v>
      </c>
      <c r="C550" s="37" t="s">
        <v>1181</v>
      </c>
      <c r="D550">
        <v>0</v>
      </c>
      <c r="E550" s="19">
        <f>D550/28</f>
        <v>0</v>
      </c>
      <c r="F550" s="5">
        <v>0</v>
      </c>
      <c r="I550" s="140">
        <f>IF((D550/28)&gt;100,D550*2,D550*2)</f>
        <v>0</v>
      </c>
      <c r="J550" t="b">
        <f>IF(F550&gt;1.2*I550,FALSE,TRUE)</f>
        <v>1</v>
      </c>
      <c r="K550" s="4" t="e">
        <f>F550/I550-1</f>
        <v>#DIV/0!</v>
      </c>
    </row>
    <row r="551" spans="1:14" ht="30" hidden="1">
      <c r="B551" s="55" t="s">
        <v>1183</v>
      </c>
      <c r="C551" s="37" t="s">
        <v>1184</v>
      </c>
      <c r="D551">
        <v>0</v>
      </c>
      <c r="E551" s="19">
        <f>D551/28</f>
        <v>0</v>
      </c>
      <c r="F551" s="5">
        <v>0</v>
      </c>
      <c r="I551" s="151">
        <f>IF((D551/28)&gt;100,D551*2,D551*2)</f>
        <v>0</v>
      </c>
      <c r="J551" t="b">
        <f>IF(F551&gt;1.2*I551,FALSE,TRUE)</f>
        <v>1</v>
      </c>
      <c r="K551" s="4" t="e">
        <f>F551/I551-1</f>
        <v>#DIV/0!</v>
      </c>
    </row>
    <row r="552" spans="1:14" ht="30" hidden="1">
      <c r="B552" s="55" t="s">
        <v>1185</v>
      </c>
      <c r="C552" s="37" t="s">
        <v>1186</v>
      </c>
      <c r="D552">
        <v>0</v>
      </c>
      <c r="E552" s="19">
        <f>D552/28</f>
        <v>0</v>
      </c>
      <c r="F552" s="5">
        <v>0</v>
      </c>
      <c r="I552" s="140">
        <f>IF((D552/28)&gt;100,D552*2,D552*2)</f>
        <v>0</v>
      </c>
      <c r="J552" t="b">
        <f>IF(F552&gt;1.2*I552,FALSE,TRUE)</f>
        <v>1</v>
      </c>
      <c r="K552" s="4" t="e">
        <f>F552/I552-1</f>
        <v>#DIV/0!</v>
      </c>
    </row>
    <row r="553" spans="1:14" ht="30" hidden="1">
      <c r="B553" s="55" t="s">
        <v>1187</v>
      </c>
      <c r="C553" s="37" t="s">
        <v>1188</v>
      </c>
      <c r="D553">
        <v>13</v>
      </c>
      <c r="E553" s="19">
        <f>D553/28</f>
        <v>0.4642857142857143</v>
      </c>
      <c r="F553" s="5">
        <v>13.85</v>
      </c>
      <c r="I553" s="140">
        <f>IF((D553/28)&gt;100,D553*2,D553*2)</f>
        <v>26</v>
      </c>
      <c r="J553" t="b">
        <f>IF(F553&gt;1.2*I553,FALSE,TRUE)</f>
        <v>1</v>
      </c>
      <c r="K553" s="4">
        <f>F553/I553-1</f>
        <v>-0.46730769230769231</v>
      </c>
    </row>
    <row r="554" spans="1:14">
      <c r="A554" t="s">
        <v>1294</v>
      </c>
      <c r="B554" t="s">
        <v>443</v>
      </c>
      <c r="C554" t="s">
        <v>444</v>
      </c>
      <c r="D554" s="28">
        <v>0</v>
      </c>
      <c r="E554" s="19">
        <f>D554/28</f>
        <v>0</v>
      </c>
      <c r="F554" s="5">
        <v>5.98</v>
      </c>
      <c r="I554" s="19">
        <f>IF((D554/28)&gt;100,D554*2,D554*2)</f>
        <v>0</v>
      </c>
      <c r="J554" t="b">
        <f>IF(F554&gt;1.2*I554,FALSE,TRUE)</f>
        <v>0</v>
      </c>
      <c r="K554" s="4" t="e">
        <f>F554/I554-1</f>
        <v>#DIV/0!</v>
      </c>
      <c r="N554"/>
    </row>
    <row r="555" spans="1:14" ht="30" hidden="1">
      <c r="B555" s="55" t="s">
        <v>1191</v>
      </c>
      <c r="C555" s="161" t="s">
        <v>1192</v>
      </c>
      <c r="D555">
        <v>220</v>
      </c>
      <c r="E555" s="19">
        <f t="shared" ref="E554:E556" si="4">D555/28</f>
        <v>7.8571428571428568</v>
      </c>
      <c r="F555" s="5">
        <v>271.39999999999998</v>
      </c>
      <c r="I555" s="151">
        <f t="shared" ref="I530:I556" si="5">IF((D555/28)&gt;100,D555*2,D555*2)</f>
        <v>440</v>
      </c>
      <c r="J555" t="b">
        <f t="shared" ref="J554:J556" si="6">IF(F555&gt;1.2*I555,FALSE,TRUE)</f>
        <v>1</v>
      </c>
      <c r="K555" s="4">
        <f t="shared" ref="K554:K556" si="7">F555/I555-1</f>
        <v>-0.38318181818181818</v>
      </c>
    </row>
    <row r="556" spans="1:14" ht="30" hidden="1">
      <c r="B556" s="55" t="s">
        <v>1193</v>
      </c>
      <c r="C556" s="37" t="s">
        <v>1194</v>
      </c>
      <c r="D556">
        <v>4166</v>
      </c>
      <c r="E556" s="19">
        <f t="shared" si="4"/>
        <v>148.78571428571428</v>
      </c>
      <c r="F556" s="5">
        <v>6037.93</v>
      </c>
      <c r="I556" s="151">
        <f t="shared" si="5"/>
        <v>8332</v>
      </c>
      <c r="J556" t="b">
        <f t="shared" si="6"/>
        <v>1</v>
      </c>
      <c r="K556" s="4">
        <f t="shared" si="7"/>
        <v>-0.27533245319251076</v>
      </c>
    </row>
    <row r="557" spans="1:14" hidden="1">
      <c r="B557" t="s">
        <v>1195</v>
      </c>
      <c r="C557" t="s">
        <v>1196</v>
      </c>
      <c r="D557">
        <v>313</v>
      </c>
      <c r="F557" s="151">
        <v>727.7</v>
      </c>
    </row>
    <row r="558" spans="1:14" hidden="1">
      <c r="B558" t="s">
        <v>1197</v>
      </c>
      <c r="C558" t="s">
        <v>1198</v>
      </c>
      <c r="D558">
        <v>629</v>
      </c>
      <c r="F558" s="151">
        <v>2135.34</v>
      </c>
    </row>
    <row r="559" spans="1:14" hidden="1">
      <c r="B559" t="s">
        <v>1199</v>
      </c>
      <c r="C559" t="s">
        <v>1200</v>
      </c>
      <c r="D559">
        <v>1178</v>
      </c>
      <c r="F559" s="151">
        <v>1118.1500000000001</v>
      </c>
    </row>
    <row r="560" spans="1:14" hidden="1">
      <c r="B560" t="s">
        <v>1201</v>
      </c>
      <c r="C560" t="s">
        <v>1202</v>
      </c>
      <c r="D560">
        <v>1410</v>
      </c>
      <c r="F560" s="151">
        <v>2182.37</v>
      </c>
    </row>
    <row r="561" spans="2:6" hidden="1">
      <c r="B561" t="s">
        <v>1203</v>
      </c>
      <c r="C561" t="s">
        <v>1204</v>
      </c>
      <c r="D561">
        <v>1735</v>
      </c>
      <c r="F561" s="151">
        <v>2427.6799999999998</v>
      </c>
    </row>
    <row r="562" spans="2:6" hidden="1">
      <c r="B562" t="s">
        <v>1205</v>
      </c>
      <c r="C562" t="s">
        <v>1206</v>
      </c>
      <c r="D562">
        <v>1225</v>
      </c>
      <c r="F562" s="151">
        <v>1189.3900000000001</v>
      </c>
    </row>
    <row r="563" spans="2:6" hidden="1">
      <c r="B563" t="s">
        <v>1208</v>
      </c>
      <c r="C563" t="s">
        <v>1209</v>
      </c>
      <c r="D563">
        <v>1498</v>
      </c>
      <c r="F563" s="151">
        <v>3609.87</v>
      </c>
    </row>
    <row r="564" spans="2:6" hidden="1">
      <c r="B564" t="s">
        <v>1210</v>
      </c>
      <c r="C564" t="s">
        <v>1211</v>
      </c>
      <c r="D564">
        <v>408</v>
      </c>
      <c r="F564" s="151">
        <v>205.24</v>
      </c>
    </row>
    <row r="565" spans="2:6" hidden="1">
      <c r="B565" t="s">
        <v>1212</v>
      </c>
      <c r="C565" t="s">
        <v>1213</v>
      </c>
      <c r="D565">
        <v>910</v>
      </c>
      <c r="F565" s="151">
        <v>1616.6</v>
      </c>
    </row>
    <row r="566" spans="2:6" hidden="1">
      <c r="B566" t="s">
        <v>1214</v>
      </c>
      <c r="C566" t="s">
        <v>1215</v>
      </c>
      <c r="D566">
        <v>980</v>
      </c>
      <c r="F566" s="151">
        <v>2267.9699999999998</v>
      </c>
    </row>
    <row r="567" spans="2:6" hidden="1">
      <c r="B567" t="s">
        <v>1217</v>
      </c>
      <c r="C567" t="s">
        <v>1218</v>
      </c>
      <c r="D567">
        <v>1559</v>
      </c>
      <c r="F567" s="151">
        <v>2170.8200000000002</v>
      </c>
    </row>
    <row r="568" spans="2:6" hidden="1">
      <c r="B568" t="s">
        <v>1219</v>
      </c>
      <c r="C568" t="s">
        <v>1220</v>
      </c>
      <c r="D568">
        <v>475</v>
      </c>
      <c r="F568" s="151">
        <v>426.99</v>
      </c>
    </row>
    <row r="569" spans="2:6" hidden="1">
      <c r="B569" t="s">
        <v>1221</v>
      </c>
      <c r="C569" t="s">
        <v>1222</v>
      </c>
      <c r="D569">
        <v>823</v>
      </c>
      <c r="F569" s="151">
        <v>1387.2</v>
      </c>
    </row>
    <row r="570" spans="2:6" hidden="1">
      <c r="B570" t="s">
        <v>1223</v>
      </c>
      <c r="C570" t="s">
        <v>1224</v>
      </c>
      <c r="D570">
        <v>1122</v>
      </c>
      <c r="F570" s="151">
        <v>1612.08</v>
      </c>
    </row>
    <row r="571" spans="2:6" hidden="1">
      <c r="B571" t="s">
        <v>1225</v>
      </c>
      <c r="C571" t="s">
        <v>1226</v>
      </c>
      <c r="D571">
        <v>1208</v>
      </c>
      <c r="F571" s="151">
        <v>1127.74</v>
      </c>
    </row>
    <row r="572" spans="2:6" hidden="1">
      <c r="B572" t="s">
        <v>1227</v>
      </c>
      <c r="C572" t="s">
        <v>1228</v>
      </c>
      <c r="D572">
        <v>372</v>
      </c>
      <c r="F572" s="151">
        <v>174.76</v>
      </c>
    </row>
    <row r="573" spans="2:6" hidden="1">
      <c r="B573" t="s">
        <v>1229</v>
      </c>
      <c r="C573" t="s">
        <v>1230</v>
      </c>
      <c r="D573">
        <v>864</v>
      </c>
      <c r="F573" s="151">
        <v>843.84</v>
      </c>
    </row>
    <row r="574" spans="2:6" hidden="1">
      <c r="B574" t="s">
        <v>1231</v>
      </c>
      <c r="C574" t="s">
        <v>1232</v>
      </c>
      <c r="D574">
        <v>1205</v>
      </c>
      <c r="F574" s="151">
        <v>1933.6</v>
      </c>
    </row>
    <row r="575" spans="2:6" hidden="1">
      <c r="B575" t="s">
        <v>1233</v>
      </c>
      <c r="C575" t="s">
        <v>1234</v>
      </c>
      <c r="D575">
        <v>1183</v>
      </c>
      <c r="F575" s="151">
        <v>1378.76</v>
      </c>
    </row>
    <row r="576" spans="2:6" hidden="1">
      <c r="B576" t="s">
        <v>1235</v>
      </c>
      <c r="C576" t="s">
        <v>1236</v>
      </c>
      <c r="D576">
        <v>1240</v>
      </c>
      <c r="F576" s="151">
        <v>2146.34</v>
      </c>
    </row>
    <row r="577" spans="2:6" hidden="1">
      <c r="B577" t="s">
        <v>1237</v>
      </c>
      <c r="C577" t="s">
        <v>1238</v>
      </c>
      <c r="D577">
        <v>1339</v>
      </c>
      <c r="F577" s="151">
        <v>1702.27</v>
      </c>
    </row>
    <row r="578" spans="2:6" hidden="1">
      <c r="B578" t="s">
        <v>1239</v>
      </c>
      <c r="C578" t="s">
        <v>1240</v>
      </c>
      <c r="D578">
        <v>1308</v>
      </c>
      <c r="F578" s="151">
        <v>1170.07</v>
      </c>
    </row>
    <row r="579" spans="2:6" hidden="1">
      <c r="B579" t="s">
        <v>1241</v>
      </c>
      <c r="C579" t="s">
        <v>1242</v>
      </c>
      <c r="D579">
        <v>1137</v>
      </c>
      <c r="F579" s="151">
        <v>1066.4000000000001</v>
      </c>
    </row>
    <row r="580" spans="2:6" hidden="1">
      <c r="B580" t="s">
        <v>1243</v>
      </c>
      <c r="C580" t="s">
        <v>1244</v>
      </c>
      <c r="D580">
        <v>1077</v>
      </c>
      <c r="F580" s="151">
        <v>1220.92</v>
      </c>
    </row>
    <row r="581" spans="2:6" hidden="1">
      <c r="B581" t="s">
        <v>1245</v>
      </c>
      <c r="C581" t="s">
        <v>1246</v>
      </c>
      <c r="D581">
        <v>1246</v>
      </c>
      <c r="F581" s="151">
        <v>2247.5300000000002</v>
      </c>
    </row>
    <row r="582" spans="2:6" hidden="1">
      <c r="B582" t="s">
        <v>1247</v>
      </c>
      <c r="C582" t="s">
        <v>1248</v>
      </c>
      <c r="D582">
        <v>526</v>
      </c>
      <c r="F582" s="151">
        <v>616.26</v>
      </c>
    </row>
    <row r="583" spans="2:6" hidden="1">
      <c r="B583" t="s">
        <v>1249</v>
      </c>
      <c r="C583" t="s">
        <v>1250</v>
      </c>
      <c r="D583">
        <v>3268</v>
      </c>
      <c r="F583" s="151">
        <v>2222.52</v>
      </c>
    </row>
    <row r="584" spans="2:6" hidden="1">
      <c r="B584" t="s">
        <v>1252</v>
      </c>
      <c r="C584" t="s">
        <v>1253</v>
      </c>
      <c r="D584">
        <v>395</v>
      </c>
      <c r="F584" s="151">
        <v>553.41</v>
      </c>
    </row>
    <row r="585" spans="2:6" hidden="1">
      <c r="B585" t="s">
        <v>1254</v>
      </c>
      <c r="C585" t="s">
        <v>1255</v>
      </c>
      <c r="D585">
        <v>249</v>
      </c>
      <c r="F585" s="151">
        <v>1040.6500000000001</v>
      </c>
    </row>
    <row r="586" spans="2:6" hidden="1">
      <c r="B586" t="s">
        <v>1256</v>
      </c>
      <c r="C586" t="s">
        <v>1257</v>
      </c>
      <c r="D586">
        <v>1422</v>
      </c>
      <c r="F586" s="151">
        <v>1334.37</v>
      </c>
    </row>
    <row r="587" spans="2:6" hidden="1">
      <c r="B587" t="s">
        <v>1258</v>
      </c>
      <c r="C587" t="s">
        <v>1259</v>
      </c>
      <c r="D587">
        <v>5647</v>
      </c>
      <c r="F587" s="151">
        <v>7173.38</v>
      </c>
    </row>
    <row r="588" spans="2:6" hidden="1">
      <c r="B588" t="s">
        <v>972</v>
      </c>
      <c r="C588" t="s">
        <v>1260</v>
      </c>
      <c r="D588">
        <v>1202</v>
      </c>
      <c r="F588" s="151">
        <v>3086.69</v>
      </c>
    </row>
    <row r="589" spans="2:6" hidden="1">
      <c r="B589" t="s">
        <v>1261</v>
      </c>
      <c r="C589" t="s">
        <v>1262</v>
      </c>
      <c r="D589">
        <v>5310</v>
      </c>
      <c r="F589" s="151">
        <v>5405.73</v>
      </c>
    </row>
    <row r="590" spans="2:6" hidden="1">
      <c r="B590" t="s">
        <v>1263</v>
      </c>
      <c r="C590" t="s">
        <v>1264</v>
      </c>
      <c r="D590">
        <v>611</v>
      </c>
      <c r="F590" s="151">
        <v>2072.69</v>
      </c>
    </row>
    <row r="591" spans="2:6" hidden="1">
      <c r="B591" t="s">
        <v>1265</v>
      </c>
      <c r="C591" t="s">
        <v>1266</v>
      </c>
      <c r="D591">
        <v>1897</v>
      </c>
      <c r="F591" s="151">
        <v>1871.7</v>
      </c>
    </row>
    <row r="592" spans="2:6" hidden="1">
      <c r="B592" t="s">
        <v>1267</v>
      </c>
      <c r="C592" t="s">
        <v>1268</v>
      </c>
      <c r="D592">
        <v>3570</v>
      </c>
      <c r="F592" s="151">
        <v>4714.21</v>
      </c>
    </row>
    <row r="593" spans="2:6" hidden="1">
      <c r="B593" t="s">
        <v>1269</v>
      </c>
      <c r="C593" t="s">
        <v>1270</v>
      </c>
      <c r="D593">
        <v>6892</v>
      </c>
      <c r="F593" s="151">
        <v>6645.38</v>
      </c>
    </row>
    <row r="594" spans="2:6" hidden="1">
      <c r="B594" t="s">
        <v>1272</v>
      </c>
      <c r="C594" t="s">
        <v>1273</v>
      </c>
      <c r="D594">
        <v>2799</v>
      </c>
      <c r="F594" s="151">
        <v>5601.25</v>
      </c>
    </row>
    <row r="595" spans="2:6" hidden="1">
      <c r="B595" t="s">
        <v>1274</v>
      </c>
      <c r="C595" t="s">
        <v>1275</v>
      </c>
      <c r="D595">
        <v>5085</v>
      </c>
      <c r="F595" s="151">
        <v>4982.4399999999996</v>
      </c>
    </row>
    <row r="596" spans="2:6" hidden="1">
      <c r="B596" t="s">
        <v>1276</v>
      </c>
      <c r="C596" t="s">
        <v>1277</v>
      </c>
      <c r="D596">
        <v>12292</v>
      </c>
      <c r="F596" s="151">
        <v>12299.44</v>
      </c>
    </row>
    <row r="597" spans="2:6" hidden="1">
      <c r="B597" t="s">
        <v>1279</v>
      </c>
      <c r="C597" t="s">
        <v>1280</v>
      </c>
      <c r="D597">
        <v>0</v>
      </c>
      <c r="F597" s="151">
        <v>0.75</v>
      </c>
    </row>
    <row r="598" spans="2:6" hidden="1">
      <c r="B598" t="s">
        <v>1281</v>
      </c>
      <c r="C598" t="s">
        <v>1282</v>
      </c>
      <c r="D598">
        <v>0</v>
      </c>
      <c r="F598" s="151">
        <v>0</v>
      </c>
    </row>
  </sheetData>
  <autoFilter ref="A1:N598" xr:uid="{EAD0D377-3820-4DB4-B8D5-8AE187021F68}">
    <filterColumn colId="9">
      <filters>
        <filter val="FALSE"/>
      </filters>
    </filterColumn>
    <sortState xmlns:xlrd2="http://schemas.microsoft.com/office/spreadsheetml/2017/richdata2" ref="A2:N598">
      <sortCondition descending="1" ref="I1:I598"/>
    </sortState>
  </autoFilter>
  <sortState xmlns:xlrd2="http://schemas.microsoft.com/office/spreadsheetml/2017/richdata2" ref="A2:F360">
    <sortCondition descending="1" ref="E1:E36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L54"/>
  <sheetViews>
    <sheetView tabSelected="1" topLeftCell="X1" zoomScale="85" zoomScaleNormal="85" workbookViewId="0">
      <selection activeCell="AN7" sqref="AN7"/>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14" width="15" customWidth="1"/>
    <col min="15" max="25" width="15.28515625" customWidth="1"/>
    <col min="26" max="26" width="15.85546875" customWidth="1"/>
    <col min="27" max="28" width="16.42578125" customWidth="1"/>
    <col min="29" max="29" width="14.28515625" customWidth="1"/>
    <col min="30" max="30" width="16.42578125" customWidth="1"/>
    <col min="31" max="33" width="16.5703125" customWidth="1"/>
    <col min="34" max="34" width="13.7109375" customWidth="1"/>
    <col min="35" max="35" width="16.5703125" customWidth="1"/>
    <col min="36" max="36" width="15.7109375" customWidth="1"/>
    <col min="37" max="37" width="14.28515625" customWidth="1"/>
    <col min="38" max="38" width="18.28515625" customWidth="1"/>
  </cols>
  <sheetData>
    <row r="1" spans="1:38">
      <c r="A1" s="36" t="s">
        <v>1319</v>
      </c>
      <c r="B1" s="58" t="s">
        <v>1320</v>
      </c>
      <c r="C1" s="58" t="s">
        <v>1321</v>
      </c>
      <c r="D1" s="58" t="s">
        <v>1322</v>
      </c>
      <c r="E1" s="58" t="s">
        <v>1323</v>
      </c>
      <c r="F1" s="58" t="s">
        <v>1324</v>
      </c>
      <c r="G1" s="58" t="s">
        <v>1325</v>
      </c>
      <c r="H1" s="58" t="s">
        <v>1326</v>
      </c>
      <c r="I1" s="58" t="s">
        <v>1327</v>
      </c>
      <c r="J1" s="58" t="s">
        <v>1328</v>
      </c>
      <c r="K1" s="58" t="s">
        <v>1329</v>
      </c>
      <c r="L1" s="58" t="s">
        <v>1330</v>
      </c>
      <c r="M1" s="58" t="s">
        <v>1331</v>
      </c>
      <c r="N1" s="58" t="s">
        <v>1332</v>
      </c>
      <c r="O1" s="58" t="s">
        <v>1333</v>
      </c>
      <c r="P1" s="58" t="s">
        <v>1334</v>
      </c>
      <c r="Q1" s="58" t="s">
        <v>1335</v>
      </c>
      <c r="R1" s="58" t="s">
        <v>1336</v>
      </c>
      <c r="S1" s="58" t="s">
        <v>1337</v>
      </c>
      <c r="T1" s="58" t="s">
        <v>1338</v>
      </c>
      <c r="U1" s="58" t="s">
        <v>1339</v>
      </c>
      <c r="V1" s="58" t="s">
        <v>1340</v>
      </c>
      <c r="W1" s="58" t="s">
        <v>1341</v>
      </c>
      <c r="X1" s="58" t="s">
        <v>1342</v>
      </c>
      <c r="Y1" s="59" t="s">
        <v>1343</v>
      </c>
      <c r="Z1" s="59" t="s">
        <v>1344</v>
      </c>
      <c r="AA1" s="59" t="s">
        <v>1345</v>
      </c>
      <c r="AB1" s="59" t="s">
        <v>1346</v>
      </c>
      <c r="AC1" s="59" t="s">
        <v>1347</v>
      </c>
      <c r="AD1" s="59" t="s">
        <v>1348</v>
      </c>
      <c r="AE1" s="59" t="s">
        <v>1349</v>
      </c>
      <c r="AF1" s="59" t="s">
        <v>1350</v>
      </c>
      <c r="AG1" s="59" t="s">
        <v>1351</v>
      </c>
      <c r="AH1" s="59" t="s">
        <v>1352</v>
      </c>
      <c r="AI1" s="59" t="s">
        <v>1353</v>
      </c>
      <c r="AJ1" s="59" t="s">
        <v>1354</v>
      </c>
      <c r="AK1" s="59" t="s">
        <v>1355</v>
      </c>
      <c r="AL1" s="59" t="s">
        <v>1356</v>
      </c>
    </row>
    <row r="2" spans="1:38">
      <c r="A2" s="60" t="s">
        <v>1357</v>
      </c>
      <c r="B2" s="61">
        <v>4932070</v>
      </c>
      <c r="C2" s="61">
        <v>4882291</v>
      </c>
      <c r="D2" s="61">
        <v>5747107</v>
      </c>
      <c r="E2" s="61">
        <v>5558578</v>
      </c>
      <c r="F2" s="61">
        <v>5608447</v>
      </c>
      <c r="G2" s="61">
        <v>5365821</v>
      </c>
      <c r="H2" s="61">
        <v>6175048</v>
      </c>
      <c r="I2" s="61">
        <v>6208913</v>
      </c>
      <c r="J2" s="61">
        <v>6107157</v>
      </c>
      <c r="K2" s="61">
        <v>6062880</v>
      </c>
      <c r="L2" s="61">
        <v>6409021</v>
      </c>
      <c r="M2" s="61">
        <v>5849059</v>
      </c>
      <c r="N2" s="96">
        <v>7678962</v>
      </c>
      <c r="O2" s="61">
        <v>8708296</v>
      </c>
      <c r="P2" s="61">
        <v>10429669.960000001</v>
      </c>
      <c r="Q2" s="61">
        <v>12527965</v>
      </c>
      <c r="R2" s="61">
        <v>12400737</v>
      </c>
      <c r="S2" s="61">
        <v>12318165</v>
      </c>
      <c r="T2" s="61">
        <v>13296822</v>
      </c>
      <c r="U2" s="61">
        <v>12427810.4</v>
      </c>
      <c r="V2" s="61">
        <v>12425462.310000001</v>
      </c>
      <c r="W2" s="61">
        <v>13116754.92</v>
      </c>
      <c r="X2" s="61">
        <v>13168808.529999999</v>
      </c>
      <c r="Y2" s="61">
        <v>13467008.08</v>
      </c>
      <c r="Z2" s="61">
        <v>16902826.940000001</v>
      </c>
      <c r="AA2" s="61">
        <v>17685415.640000001</v>
      </c>
      <c r="AB2" s="61">
        <v>17844095.539999999</v>
      </c>
      <c r="AC2" s="61">
        <v>20055646.200000003</v>
      </c>
      <c r="AD2" s="61">
        <v>18715254.290000007</v>
      </c>
      <c r="AE2" s="61">
        <v>17998376.469999991</v>
      </c>
      <c r="AF2" s="61">
        <v>18949710.699999999</v>
      </c>
      <c r="AG2" s="61">
        <v>19163616.800000019</v>
      </c>
      <c r="AH2" s="61"/>
      <c r="AI2" s="61"/>
      <c r="AJ2" s="61"/>
      <c r="AK2" s="61"/>
      <c r="AL2" s="61">
        <f>SUM(Z2:AK2)</f>
        <v>147314942.58000001</v>
      </c>
    </row>
    <row r="3" spans="1:38">
      <c r="A3" s="63" t="s">
        <v>1358</v>
      </c>
      <c r="B3" s="64">
        <v>2297147</v>
      </c>
      <c r="C3" s="64">
        <v>2150420</v>
      </c>
      <c r="D3" s="64">
        <v>2629984</v>
      </c>
      <c r="E3" s="64">
        <v>2521569</v>
      </c>
      <c r="F3" s="64">
        <v>2259914</v>
      </c>
      <c r="G3" s="64">
        <v>2519256</v>
      </c>
      <c r="H3" s="64">
        <v>2827089</v>
      </c>
      <c r="I3" s="64">
        <v>2875100</v>
      </c>
      <c r="J3" s="64">
        <v>3207713</v>
      </c>
      <c r="K3" s="64">
        <v>2859584</v>
      </c>
      <c r="L3" s="64">
        <v>3081446</v>
      </c>
      <c r="M3" s="64">
        <v>3056146</v>
      </c>
      <c r="N3" s="97">
        <v>3844080</v>
      </c>
      <c r="O3" s="64">
        <v>3634529</v>
      </c>
      <c r="P3" s="64">
        <v>3706201</v>
      </c>
      <c r="Q3" s="64">
        <v>3814600</v>
      </c>
      <c r="R3" s="64">
        <v>3900991</v>
      </c>
      <c r="S3" s="64">
        <v>3690019</v>
      </c>
      <c r="T3" s="64">
        <v>3951398</v>
      </c>
      <c r="U3" s="64">
        <v>3583522.44</v>
      </c>
      <c r="V3" s="64">
        <v>3864300.73</v>
      </c>
      <c r="W3" s="64">
        <v>4230378.59</v>
      </c>
      <c r="X3" s="64">
        <v>4478555.7300000004</v>
      </c>
      <c r="Y3" s="64">
        <v>4536415</v>
      </c>
      <c r="Z3" s="64">
        <v>5536315.4100000001</v>
      </c>
      <c r="AA3" s="64">
        <v>5487073.7100000009</v>
      </c>
      <c r="AB3" s="64">
        <v>5227360</v>
      </c>
      <c r="AC3" s="64">
        <v>5178806.76</v>
      </c>
      <c r="AD3" s="64">
        <v>5401656.5199999977</v>
      </c>
      <c r="AE3" s="64">
        <v>5377394.1300000018</v>
      </c>
      <c r="AF3" s="64">
        <v>5402282.9000000004</v>
      </c>
      <c r="AG3" s="64">
        <v>5390114.6100000003</v>
      </c>
      <c r="AH3" s="64"/>
      <c r="AI3" s="64"/>
      <c r="AJ3" s="64"/>
      <c r="AK3" s="64"/>
      <c r="AL3" s="64">
        <f>SUM(Z3:AK3)</f>
        <v>43001004.039999999</v>
      </c>
    </row>
    <row r="4" spans="1:38">
      <c r="A4" s="65" t="s">
        <v>1359</v>
      </c>
      <c r="B4" s="66">
        <v>1279804</v>
      </c>
      <c r="C4" s="66">
        <v>1268372</v>
      </c>
      <c r="D4" s="66">
        <v>1573830</v>
      </c>
      <c r="E4" s="66">
        <v>1506528</v>
      </c>
      <c r="F4" s="66">
        <v>1655029</v>
      </c>
      <c r="G4" s="66">
        <v>1700272</v>
      </c>
      <c r="H4" s="66">
        <v>2169477</v>
      </c>
      <c r="I4" s="66">
        <v>2248226</v>
      </c>
      <c r="J4" s="66">
        <v>2556442</v>
      </c>
      <c r="K4" s="66">
        <v>2514905</v>
      </c>
      <c r="L4" s="66">
        <v>2557339</v>
      </c>
      <c r="M4" s="66">
        <v>2415591</v>
      </c>
      <c r="N4" s="98">
        <v>2984457</v>
      </c>
      <c r="O4" s="66">
        <v>2977315</v>
      </c>
      <c r="P4" s="66">
        <v>3001644</v>
      </c>
      <c r="Q4" s="66">
        <v>3078498</v>
      </c>
      <c r="R4" s="66">
        <v>3417854</v>
      </c>
      <c r="S4" s="66">
        <v>2883462</v>
      </c>
      <c r="T4" s="66">
        <v>2983823.16</v>
      </c>
      <c r="U4" s="66">
        <v>2907226.21</v>
      </c>
      <c r="V4" s="66">
        <v>3099136.78</v>
      </c>
      <c r="W4" s="66">
        <v>3166072.06</v>
      </c>
      <c r="X4" s="66">
        <v>3138932.53</v>
      </c>
      <c r="Y4" s="66">
        <v>2941749.11</v>
      </c>
      <c r="Z4" s="66">
        <v>3609131</v>
      </c>
      <c r="AA4" s="66">
        <v>3670417.9999999991</v>
      </c>
      <c r="AB4" s="66">
        <v>3674547</v>
      </c>
      <c r="AC4" s="66">
        <v>3639874.11</v>
      </c>
      <c r="AD4" s="66">
        <v>3427273.69</v>
      </c>
      <c r="AE4" s="66">
        <v>3583478.2000000016</v>
      </c>
      <c r="AF4" s="66">
        <v>3585858.0100000007</v>
      </c>
      <c r="AG4" s="66">
        <v>3428271.4200000004</v>
      </c>
      <c r="AH4" s="66"/>
      <c r="AI4" s="66"/>
      <c r="AJ4" s="66"/>
      <c r="AK4" s="66"/>
      <c r="AL4" s="66">
        <f>SUM(Z4:AK4)</f>
        <v>28618851.430000007</v>
      </c>
    </row>
    <row r="5" spans="1:38">
      <c r="A5" s="67" t="s">
        <v>1360</v>
      </c>
      <c r="B5" s="68">
        <v>8509021</v>
      </c>
      <c r="C5" s="68">
        <v>8301083</v>
      </c>
      <c r="D5" s="68">
        <v>9950921</v>
      </c>
      <c r="E5" s="68">
        <v>9586675</v>
      </c>
      <c r="F5" s="68">
        <v>9523390</v>
      </c>
      <c r="G5" s="68">
        <v>9585349</v>
      </c>
      <c r="H5" s="68">
        <v>11171614</v>
      </c>
      <c r="I5" s="68">
        <v>11332239</v>
      </c>
      <c r="J5" s="68">
        <v>11871312</v>
      </c>
      <c r="K5" s="68">
        <v>11437369</v>
      </c>
      <c r="L5" s="68">
        <v>12047806</v>
      </c>
      <c r="M5" s="68">
        <v>11320796</v>
      </c>
      <c r="N5" s="99">
        <v>14507499</v>
      </c>
      <c r="O5" s="68">
        <v>15320140</v>
      </c>
      <c r="P5" s="68">
        <v>17137514.960000001</v>
      </c>
      <c r="Q5" s="68">
        <v>19421063</v>
      </c>
      <c r="R5" s="68">
        <v>19719582</v>
      </c>
      <c r="S5" s="68">
        <v>18891646</v>
      </c>
      <c r="T5" s="68">
        <v>20232043.16</v>
      </c>
      <c r="U5" s="68">
        <v>18918559.050000001</v>
      </c>
      <c r="V5" s="68">
        <v>19388899.82</v>
      </c>
      <c r="W5" s="68">
        <v>20513205.57</v>
      </c>
      <c r="X5" s="68">
        <v>20786296.789999999</v>
      </c>
      <c r="Y5" s="68">
        <f t="shared" ref="Y5:AD5" si="0">SUM(Y2:Y4)</f>
        <v>20945172.189999998</v>
      </c>
      <c r="Z5" s="68">
        <f t="shared" si="0"/>
        <v>26048273.350000001</v>
      </c>
      <c r="AA5" s="68">
        <f t="shared" si="0"/>
        <v>26842907.350000001</v>
      </c>
      <c r="AB5" s="68">
        <f t="shared" si="0"/>
        <v>26746002.539999999</v>
      </c>
      <c r="AC5" s="68">
        <f t="shared" si="0"/>
        <v>28874327.07</v>
      </c>
      <c r="AD5" s="68">
        <f t="shared" si="0"/>
        <v>27544184.500000004</v>
      </c>
      <c r="AE5" s="68">
        <f t="shared" ref="AE5" si="1">SUM(AE2:AE4)</f>
        <v>26959248.799999997</v>
      </c>
      <c r="AF5" s="68">
        <f>SUM(AF2:AF4)</f>
        <v>27937851.610000003</v>
      </c>
      <c r="AG5" s="68">
        <f>SUM(AG2:AG4)</f>
        <v>27982002.830000021</v>
      </c>
      <c r="AH5" s="68"/>
      <c r="AI5" s="68"/>
      <c r="AJ5" s="68"/>
      <c r="AK5" s="68"/>
      <c r="AL5" s="68">
        <f>SUM(AL2:AL4)</f>
        <v>218934798.05000001</v>
      </c>
    </row>
    <row r="6" spans="1:38">
      <c r="A6" s="69"/>
      <c r="B6" s="69"/>
      <c r="C6" s="69"/>
      <c r="D6" s="69"/>
      <c r="E6" s="69"/>
      <c r="F6" s="69"/>
      <c r="G6" s="69"/>
      <c r="H6" s="69"/>
      <c r="I6" s="69"/>
      <c r="J6" s="69"/>
      <c r="K6" s="69"/>
      <c r="L6" s="69"/>
      <c r="M6" s="69"/>
      <c r="N6" s="69"/>
      <c r="O6" s="69"/>
      <c r="P6" s="69"/>
      <c r="Q6" s="69"/>
      <c r="R6" s="69"/>
      <c r="S6" s="69"/>
      <c r="T6" s="69"/>
      <c r="U6" s="62"/>
      <c r="V6" s="62"/>
      <c r="W6" s="62"/>
      <c r="X6" s="62"/>
      <c r="Y6" s="62"/>
      <c r="Z6" s="62"/>
      <c r="AA6" s="62"/>
      <c r="AB6" s="62"/>
      <c r="AC6" s="62"/>
      <c r="AI6" s="177"/>
      <c r="AJ6" s="178"/>
    </row>
    <row r="7" spans="1:38">
      <c r="A7" s="27"/>
      <c r="B7" s="27"/>
      <c r="C7" s="27"/>
      <c r="D7" s="27"/>
      <c r="E7" s="27"/>
      <c r="F7" s="27"/>
      <c r="G7" s="27"/>
      <c r="H7" s="27"/>
      <c r="I7" s="27"/>
      <c r="J7" s="27"/>
      <c r="K7" s="27"/>
      <c r="L7" s="27"/>
      <c r="M7" s="27"/>
      <c r="N7" s="27"/>
      <c r="O7" s="27"/>
      <c r="P7" s="27"/>
      <c r="Q7" s="27"/>
      <c r="R7" s="27"/>
      <c r="S7" s="27"/>
      <c r="T7" s="27"/>
      <c r="U7" s="27"/>
      <c r="V7" s="179"/>
      <c r="W7" s="27"/>
      <c r="X7" s="27"/>
      <c r="Y7" s="27"/>
      <c r="Z7" s="27"/>
      <c r="AA7" s="27"/>
      <c r="AB7" s="27"/>
      <c r="AD7" s="27"/>
      <c r="AE7" s="27"/>
      <c r="AF7" s="27"/>
      <c r="AG7" s="27"/>
      <c r="AL7" s="62"/>
    </row>
    <row r="8" spans="1:38">
      <c r="A8" s="36" t="s">
        <v>1361</v>
      </c>
      <c r="B8" s="58" t="s">
        <v>1320</v>
      </c>
      <c r="C8" s="58" t="s">
        <v>1321</v>
      </c>
      <c r="D8" s="58" t="s">
        <v>1322</v>
      </c>
      <c r="E8" s="58" t="s">
        <v>1323</v>
      </c>
      <c r="F8" s="58" t="s">
        <v>1324</v>
      </c>
      <c r="G8" s="58" t="s">
        <v>1325</v>
      </c>
      <c r="H8" s="58" t="s">
        <v>1326</v>
      </c>
      <c r="I8" s="58" t="s">
        <v>1327</v>
      </c>
      <c r="J8" s="58" t="s">
        <v>1328</v>
      </c>
      <c r="K8" s="58" t="s">
        <v>1329</v>
      </c>
      <c r="L8" s="58" t="s">
        <v>1330</v>
      </c>
      <c r="M8" s="58" t="s">
        <v>1331</v>
      </c>
      <c r="N8" s="58" t="s">
        <v>1332</v>
      </c>
      <c r="O8" s="58" t="s">
        <v>1333</v>
      </c>
      <c r="P8" s="58" t="s">
        <v>1334</v>
      </c>
      <c r="Q8" s="58" t="s">
        <v>1335</v>
      </c>
      <c r="R8" s="58" t="s">
        <v>1336</v>
      </c>
      <c r="S8" s="58" t="s">
        <v>1337</v>
      </c>
      <c r="T8" s="58" t="s">
        <v>1338</v>
      </c>
      <c r="U8" s="58" t="s">
        <v>1339</v>
      </c>
      <c r="V8" s="58" t="s">
        <v>1340</v>
      </c>
      <c r="W8" s="58" t="s">
        <v>1341</v>
      </c>
      <c r="X8" s="58" t="s">
        <v>1342</v>
      </c>
      <c r="Y8" s="59" t="s">
        <v>1343</v>
      </c>
      <c r="Z8" s="59" t="s">
        <v>1344</v>
      </c>
      <c r="AA8" s="59" t="s">
        <v>1345</v>
      </c>
      <c r="AB8" s="59" t="s">
        <v>1346</v>
      </c>
      <c r="AC8" s="59" t="s">
        <v>1347</v>
      </c>
      <c r="AD8" s="59" t="s">
        <v>1348</v>
      </c>
      <c r="AE8" s="59" t="s">
        <v>1349</v>
      </c>
      <c r="AF8" s="59" t="s">
        <v>1350</v>
      </c>
      <c r="AG8" s="59" t="s">
        <v>1351</v>
      </c>
      <c r="AH8" s="59" t="s">
        <v>1352</v>
      </c>
      <c r="AI8" s="59" t="s">
        <v>1353</v>
      </c>
      <c r="AJ8" s="59" t="s">
        <v>1354</v>
      </c>
      <c r="AK8" s="59" t="s">
        <v>1355</v>
      </c>
      <c r="AL8" s="59" t="s">
        <v>1356</v>
      </c>
    </row>
    <row r="9" spans="1:38">
      <c r="A9" s="60" t="s">
        <v>1357</v>
      </c>
      <c r="B9" s="70"/>
      <c r="C9" s="70"/>
      <c r="D9" s="70"/>
      <c r="E9" s="70"/>
      <c r="F9" s="70"/>
      <c r="G9" s="70"/>
      <c r="H9" s="70"/>
      <c r="I9" s="61">
        <v>1904424</v>
      </c>
      <c r="J9" s="61">
        <v>1695098</v>
      </c>
      <c r="K9" s="61">
        <v>1666813</v>
      </c>
      <c r="L9" s="61">
        <v>1750099</v>
      </c>
      <c r="M9" s="61">
        <v>1643527</v>
      </c>
      <c r="N9" s="96">
        <v>2406151</v>
      </c>
      <c r="O9" s="61">
        <v>2919412.87</v>
      </c>
      <c r="P9" s="61">
        <v>3048758.81</v>
      </c>
      <c r="Q9" s="61">
        <v>3106780.26</v>
      </c>
      <c r="R9" s="61">
        <v>2784737.18</v>
      </c>
      <c r="S9" s="61">
        <v>3492681.52</v>
      </c>
      <c r="T9" s="61">
        <v>4066064.7</v>
      </c>
      <c r="U9" s="61">
        <v>3748577.68</v>
      </c>
      <c r="V9" s="61">
        <v>3443396.96</v>
      </c>
      <c r="W9" s="61">
        <v>3525797.52</v>
      </c>
      <c r="X9" s="61">
        <v>3658847.17</v>
      </c>
      <c r="Y9" s="61">
        <v>3834500.07</v>
      </c>
      <c r="Z9" s="61">
        <v>5020104.29</v>
      </c>
      <c r="AA9" s="61">
        <v>5590028.4100000001</v>
      </c>
      <c r="AB9" s="61">
        <v>5666226.75</v>
      </c>
      <c r="AC9" s="124">
        <v>5447442.3499999996</v>
      </c>
      <c r="AD9" s="124">
        <v>5556379.3300000019</v>
      </c>
      <c r="AE9" s="124">
        <v>5686329.8300000038</v>
      </c>
      <c r="AF9" s="124">
        <v>6201229.6000000006</v>
      </c>
      <c r="AG9" s="124">
        <v>6672753.96</v>
      </c>
      <c r="AH9" s="124"/>
      <c r="AI9" s="124"/>
      <c r="AJ9" s="124"/>
      <c r="AK9" s="124"/>
      <c r="AL9" s="125"/>
    </row>
    <row r="10" spans="1:38">
      <c r="A10" s="63" t="s">
        <v>1358</v>
      </c>
      <c r="B10" s="71"/>
      <c r="C10" s="71"/>
      <c r="D10" s="71"/>
      <c r="E10" s="71"/>
      <c r="F10" s="71"/>
      <c r="G10" s="71"/>
      <c r="H10" s="71"/>
      <c r="I10" s="64">
        <v>706024</v>
      </c>
      <c r="J10" s="64">
        <v>780336</v>
      </c>
      <c r="K10" s="64">
        <v>681505.29</v>
      </c>
      <c r="L10" s="64">
        <v>757472</v>
      </c>
      <c r="M10" s="64">
        <v>689408</v>
      </c>
      <c r="N10" s="97">
        <v>1042938</v>
      </c>
      <c r="O10" s="64">
        <v>993958</v>
      </c>
      <c r="P10" s="64">
        <v>1014061</v>
      </c>
      <c r="Q10" s="64">
        <v>988563</v>
      </c>
      <c r="R10" s="64">
        <v>976671</v>
      </c>
      <c r="S10" s="64">
        <v>810220</v>
      </c>
      <c r="T10" s="64">
        <v>880304</v>
      </c>
      <c r="U10" s="64">
        <v>819190</v>
      </c>
      <c r="V10" s="64">
        <v>844494</v>
      </c>
      <c r="W10" s="64">
        <v>986509</v>
      </c>
      <c r="X10" s="64">
        <v>1077277</v>
      </c>
      <c r="Y10" s="64">
        <v>1149351</v>
      </c>
      <c r="Z10" s="64">
        <v>1516609</v>
      </c>
      <c r="AA10" s="64">
        <v>1641173.6800000006</v>
      </c>
      <c r="AB10" s="64">
        <v>1512470</v>
      </c>
      <c r="AC10" s="126">
        <v>1319420</v>
      </c>
      <c r="AD10" s="126">
        <v>1455364.5700000005</v>
      </c>
      <c r="AE10" s="126">
        <v>1354767.88</v>
      </c>
      <c r="AF10" s="126">
        <v>1343264.7299999997</v>
      </c>
      <c r="AG10" s="126">
        <v>1451271.0299999998</v>
      </c>
      <c r="AH10" s="126"/>
      <c r="AI10" s="126"/>
      <c r="AJ10" s="126"/>
      <c r="AK10" s="126"/>
      <c r="AL10" s="129"/>
    </row>
    <row r="11" spans="1:38">
      <c r="A11" s="65" t="s">
        <v>1359</v>
      </c>
      <c r="B11" s="72"/>
      <c r="C11" s="72"/>
      <c r="D11" s="72"/>
      <c r="E11" s="72"/>
      <c r="F11" s="72"/>
      <c r="G11" s="72"/>
      <c r="H11" s="72"/>
      <c r="I11" s="66">
        <v>601219</v>
      </c>
      <c r="J11" s="66">
        <v>693403</v>
      </c>
      <c r="K11" s="66">
        <v>656364.23</v>
      </c>
      <c r="L11" s="66">
        <v>695530</v>
      </c>
      <c r="M11" s="66">
        <v>708403</v>
      </c>
      <c r="N11" s="98">
        <v>973949</v>
      </c>
      <c r="O11" s="66">
        <v>951983</v>
      </c>
      <c r="P11" s="66">
        <v>931209</v>
      </c>
      <c r="Q11" s="66">
        <v>895312</v>
      </c>
      <c r="R11" s="66">
        <v>1019778</v>
      </c>
      <c r="S11" s="66">
        <v>790104</v>
      </c>
      <c r="T11" s="66">
        <v>808969</v>
      </c>
      <c r="U11" s="66">
        <v>809964</v>
      </c>
      <c r="V11" s="66">
        <v>874705</v>
      </c>
      <c r="W11" s="66">
        <v>857979</v>
      </c>
      <c r="X11" s="66">
        <v>789235</v>
      </c>
      <c r="Y11" s="66">
        <v>795115</v>
      </c>
      <c r="Z11" s="66">
        <v>1098357</v>
      </c>
      <c r="AA11" s="66">
        <v>1160975.4900000002</v>
      </c>
      <c r="AB11" s="66">
        <v>1171911</v>
      </c>
      <c r="AC11" s="127">
        <v>969742</v>
      </c>
      <c r="AD11" s="127">
        <v>1028082.6799999999</v>
      </c>
      <c r="AE11" s="127">
        <v>1013652.5499999993</v>
      </c>
      <c r="AF11" s="127">
        <v>1025221.4600000005</v>
      </c>
      <c r="AG11" s="127">
        <v>1066714.2000000004</v>
      </c>
      <c r="AH11" s="127"/>
      <c r="AI11" s="127"/>
      <c r="AJ11" s="127"/>
      <c r="AK11" s="127"/>
      <c r="AL11" s="130"/>
    </row>
    <row r="12" spans="1:38">
      <c r="A12" s="67" t="s">
        <v>1360</v>
      </c>
      <c r="B12" s="73"/>
      <c r="C12" s="73"/>
      <c r="D12" s="73"/>
      <c r="E12" s="73"/>
      <c r="F12" s="73"/>
      <c r="G12" s="73"/>
      <c r="H12" s="73"/>
      <c r="I12" s="68">
        <v>3211667</v>
      </c>
      <c r="J12" s="68">
        <v>3168837</v>
      </c>
      <c r="K12" s="68">
        <v>3004682.52</v>
      </c>
      <c r="L12" s="68">
        <v>3203101</v>
      </c>
      <c r="M12" s="68">
        <v>3041338</v>
      </c>
      <c r="N12" s="99">
        <v>4423038</v>
      </c>
      <c r="O12" s="68">
        <v>4865353.87</v>
      </c>
      <c r="P12" s="68">
        <v>4994028.8099999996</v>
      </c>
      <c r="Q12" s="68">
        <v>4990655.26</v>
      </c>
      <c r="R12" s="68">
        <v>4781186.18</v>
      </c>
      <c r="S12" s="68">
        <v>5093005.5199999996</v>
      </c>
      <c r="T12" s="68">
        <v>5755337.7000000002</v>
      </c>
      <c r="U12" s="68">
        <v>5377731.6799999997</v>
      </c>
      <c r="V12" s="68">
        <v>5162595.96</v>
      </c>
      <c r="W12" s="68">
        <v>5370285.5199999996</v>
      </c>
      <c r="X12" s="68">
        <v>5525359.1699999999</v>
      </c>
      <c r="Y12" s="68">
        <v>5778966.0700000003</v>
      </c>
      <c r="Z12" s="68">
        <f t="shared" ref="Z12:AE12" si="2">SUM(Z9:Z11)</f>
        <v>7635070.29</v>
      </c>
      <c r="AA12" s="68">
        <f t="shared" si="2"/>
        <v>8392177.5800000019</v>
      </c>
      <c r="AB12" s="68">
        <f t="shared" si="2"/>
        <v>8350607.75</v>
      </c>
      <c r="AC12" s="128">
        <f t="shared" si="2"/>
        <v>7736604.3499999996</v>
      </c>
      <c r="AD12" s="128">
        <f t="shared" si="2"/>
        <v>8039826.5800000019</v>
      </c>
      <c r="AE12" s="128">
        <f t="shared" si="2"/>
        <v>8054750.2600000035</v>
      </c>
      <c r="AF12" s="128">
        <f>SUM(AF9:AF11)</f>
        <v>8569715.790000001</v>
      </c>
      <c r="AG12" s="128">
        <f>SUM(AG9:AG11)</f>
        <v>9190739.1900000013</v>
      </c>
      <c r="AH12" s="128"/>
      <c r="AI12" s="128"/>
      <c r="AJ12" s="128"/>
      <c r="AK12" s="128"/>
      <c r="AL12" s="131"/>
    </row>
    <row r="13" spans="1:38">
      <c r="A13" s="69"/>
      <c r="B13" s="69"/>
      <c r="C13" s="69"/>
      <c r="D13" s="69"/>
      <c r="E13" s="69"/>
      <c r="F13" s="69"/>
      <c r="G13" s="69"/>
      <c r="H13" s="69"/>
      <c r="I13" s="69"/>
      <c r="J13" s="69"/>
      <c r="K13" s="69"/>
      <c r="L13" s="69"/>
      <c r="M13" s="69"/>
      <c r="N13" s="62"/>
      <c r="O13" s="62"/>
      <c r="P13" s="62"/>
      <c r="Q13" s="62"/>
      <c r="R13" s="62"/>
      <c r="S13" s="62"/>
      <c r="T13" s="62"/>
      <c r="U13" s="62"/>
      <c r="V13" s="62"/>
      <c r="W13" s="62"/>
      <c r="X13" s="62"/>
      <c r="Y13" s="62"/>
      <c r="Z13" s="62"/>
      <c r="AA13" s="27"/>
      <c r="AB13" s="27"/>
      <c r="AC13" s="27"/>
      <c r="AD13" s="27"/>
      <c r="AE13" s="27"/>
      <c r="AF13" s="27"/>
      <c r="AG13" s="27"/>
    </row>
    <row r="14" spans="1:38">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spans="1:38">
      <c r="A15" s="36" t="s">
        <v>1362</v>
      </c>
      <c r="B15" s="58" t="s">
        <v>1320</v>
      </c>
      <c r="C15" s="58" t="s">
        <v>1321</v>
      </c>
      <c r="D15" s="58" t="s">
        <v>1322</v>
      </c>
      <c r="E15" s="58" t="s">
        <v>1323</v>
      </c>
      <c r="F15" s="58" t="s">
        <v>1324</v>
      </c>
      <c r="G15" s="58" t="s">
        <v>1325</v>
      </c>
      <c r="H15" s="58" t="s">
        <v>1326</v>
      </c>
      <c r="I15" s="58" t="s">
        <v>1327</v>
      </c>
      <c r="J15" s="58" t="s">
        <v>1328</v>
      </c>
      <c r="K15" s="58" t="s">
        <v>1329</v>
      </c>
      <c r="L15" s="58" t="s">
        <v>1330</v>
      </c>
      <c r="M15" s="58" t="s">
        <v>1331</v>
      </c>
      <c r="N15" s="58" t="s">
        <v>1332</v>
      </c>
      <c r="O15" s="58" t="s">
        <v>1333</v>
      </c>
      <c r="P15" s="58" t="s">
        <v>1334</v>
      </c>
      <c r="Q15" s="58" t="s">
        <v>1335</v>
      </c>
      <c r="R15" s="58" t="s">
        <v>1336</v>
      </c>
      <c r="S15" s="58" t="s">
        <v>1337</v>
      </c>
      <c r="T15" s="58" t="s">
        <v>1338</v>
      </c>
      <c r="U15" s="58" t="s">
        <v>1339</v>
      </c>
      <c r="V15" s="58" t="s">
        <v>1340</v>
      </c>
      <c r="W15" s="58" t="s">
        <v>1341</v>
      </c>
      <c r="X15" s="58" t="s">
        <v>1342</v>
      </c>
      <c r="Y15" s="59" t="s">
        <v>1343</v>
      </c>
      <c r="Z15" s="59" t="s">
        <v>1344</v>
      </c>
      <c r="AA15" s="59" t="s">
        <v>1345</v>
      </c>
      <c r="AB15" s="59" t="s">
        <v>1346</v>
      </c>
      <c r="AC15" s="59" t="s">
        <v>1347</v>
      </c>
      <c r="AD15" s="59" t="s">
        <v>1348</v>
      </c>
      <c r="AE15" s="59" t="s">
        <v>1349</v>
      </c>
      <c r="AF15" s="59" t="s">
        <v>1350</v>
      </c>
      <c r="AG15" s="59" t="s">
        <v>1351</v>
      </c>
      <c r="AH15" s="59" t="s">
        <v>1352</v>
      </c>
      <c r="AI15" s="59" t="s">
        <v>1353</v>
      </c>
      <c r="AJ15" s="59" t="s">
        <v>1354</v>
      </c>
      <c r="AK15" s="59" t="s">
        <v>1355</v>
      </c>
      <c r="AL15" s="59" t="s">
        <v>1356</v>
      </c>
    </row>
    <row r="16" spans="1:38">
      <c r="A16" s="60" t="s">
        <v>1357</v>
      </c>
      <c r="B16" s="70"/>
      <c r="C16" s="61">
        <v>281621</v>
      </c>
      <c r="D16" s="61">
        <v>273878</v>
      </c>
      <c r="E16" s="61">
        <v>277809</v>
      </c>
      <c r="F16" s="61">
        <v>254443</v>
      </c>
      <c r="G16" s="61">
        <v>260570</v>
      </c>
      <c r="H16" s="61">
        <v>336892</v>
      </c>
      <c r="I16" s="61">
        <v>353937</v>
      </c>
      <c r="J16" s="61">
        <v>290810</v>
      </c>
      <c r="K16" s="61">
        <v>287548</v>
      </c>
      <c r="L16" s="61">
        <v>293581</v>
      </c>
      <c r="M16" s="61">
        <v>260800</v>
      </c>
      <c r="N16" s="96">
        <v>391789.03</v>
      </c>
      <c r="O16" s="61">
        <v>456957.97</v>
      </c>
      <c r="P16" s="61">
        <v>433741.56</v>
      </c>
      <c r="Q16" s="61">
        <v>417240.93</v>
      </c>
      <c r="R16" s="61">
        <v>378268.57</v>
      </c>
      <c r="S16" s="61">
        <v>447394</v>
      </c>
      <c r="T16" s="61">
        <v>520052.15</v>
      </c>
      <c r="U16" s="61">
        <v>506057.84</v>
      </c>
      <c r="V16" s="61">
        <v>490372.32</v>
      </c>
      <c r="W16" s="61">
        <v>483724.33</v>
      </c>
      <c r="X16" s="61">
        <v>522704.26</v>
      </c>
      <c r="Y16" s="61">
        <v>560029.31999999995</v>
      </c>
      <c r="Z16" s="61">
        <v>771258.65</v>
      </c>
      <c r="AA16" s="61">
        <v>816469.8</v>
      </c>
      <c r="AB16" s="61">
        <v>775860.44</v>
      </c>
      <c r="AC16" s="124">
        <v>712776.75</v>
      </c>
      <c r="AD16" s="124">
        <v>749152.51000000071</v>
      </c>
      <c r="AE16" s="124">
        <v>784754.15999999898</v>
      </c>
      <c r="AF16" s="124">
        <v>879983.60000000033</v>
      </c>
      <c r="AG16" s="124">
        <v>999082.41999999993</v>
      </c>
      <c r="AH16" s="124"/>
      <c r="AI16" s="124"/>
      <c r="AJ16" s="124"/>
      <c r="AK16" s="124"/>
      <c r="AL16" s="125"/>
    </row>
    <row r="17" spans="1:38">
      <c r="A17" s="63" t="s">
        <v>1358</v>
      </c>
      <c r="B17" s="71"/>
      <c r="C17" s="64">
        <v>157254</v>
      </c>
      <c r="D17" s="64">
        <v>174005</v>
      </c>
      <c r="E17" s="64">
        <v>171273</v>
      </c>
      <c r="F17" s="64">
        <v>118695</v>
      </c>
      <c r="G17" s="64">
        <v>125637</v>
      </c>
      <c r="H17" s="64">
        <v>173332</v>
      </c>
      <c r="I17" s="64">
        <v>150428</v>
      </c>
      <c r="J17" s="64">
        <v>151620</v>
      </c>
      <c r="K17" s="64">
        <v>124967</v>
      </c>
      <c r="L17" s="64">
        <v>130035</v>
      </c>
      <c r="M17" s="64">
        <v>120095.34</v>
      </c>
      <c r="N17" s="97">
        <v>195481</v>
      </c>
      <c r="O17" s="64">
        <v>192130</v>
      </c>
      <c r="P17" s="64">
        <v>176189</v>
      </c>
      <c r="Q17" s="64">
        <v>173609</v>
      </c>
      <c r="R17" s="64">
        <v>163129</v>
      </c>
      <c r="S17" s="64">
        <v>151125</v>
      </c>
      <c r="T17" s="64">
        <v>162391</v>
      </c>
      <c r="U17" s="64">
        <v>165932.48000000001</v>
      </c>
      <c r="V17" s="64">
        <v>174978.27</v>
      </c>
      <c r="W17" s="64">
        <v>190435</v>
      </c>
      <c r="X17" s="64">
        <v>218696</v>
      </c>
      <c r="Y17" s="64">
        <v>248084</v>
      </c>
      <c r="Z17" s="64">
        <v>331372</v>
      </c>
      <c r="AA17" s="64">
        <v>332112</v>
      </c>
      <c r="AB17" s="64">
        <v>291118</v>
      </c>
      <c r="AC17" s="126">
        <v>253586</v>
      </c>
      <c r="AD17" s="126">
        <v>279025.34999999998</v>
      </c>
      <c r="AE17" s="126">
        <v>263243.46999999997</v>
      </c>
      <c r="AF17" s="126">
        <v>247762.80000000016</v>
      </c>
      <c r="AG17" s="126">
        <v>283642.8600000001</v>
      </c>
      <c r="AH17" s="126"/>
      <c r="AI17" s="126"/>
      <c r="AJ17" s="126"/>
      <c r="AK17" s="126"/>
      <c r="AL17" s="129"/>
    </row>
    <row r="18" spans="1:38">
      <c r="A18" s="65" t="s">
        <v>1359</v>
      </c>
      <c r="B18" s="72"/>
      <c r="C18" s="66">
        <v>105644</v>
      </c>
      <c r="D18" s="66">
        <v>123530</v>
      </c>
      <c r="E18" s="66">
        <v>111756</v>
      </c>
      <c r="F18" s="66">
        <v>101708</v>
      </c>
      <c r="G18" s="66">
        <v>115414</v>
      </c>
      <c r="H18" s="66">
        <v>149559</v>
      </c>
      <c r="I18" s="66">
        <v>140607</v>
      </c>
      <c r="J18" s="66">
        <v>149786</v>
      </c>
      <c r="K18" s="66">
        <v>131233</v>
      </c>
      <c r="L18" s="66">
        <v>134895</v>
      </c>
      <c r="M18" s="66">
        <v>135219</v>
      </c>
      <c r="N18" s="98">
        <v>200784</v>
      </c>
      <c r="O18" s="66">
        <v>185443</v>
      </c>
      <c r="P18" s="66">
        <v>173278</v>
      </c>
      <c r="Q18" s="66">
        <v>161823</v>
      </c>
      <c r="R18" s="66">
        <v>174040</v>
      </c>
      <c r="S18" s="66">
        <v>147768</v>
      </c>
      <c r="T18" s="66">
        <v>154351</v>
      </c>
      <c r="U18" s="66">
        <v>166396.01999999999</v>
      </c>
      <c r="V18" s="66">
        <v>184384.8</v>
      </c>
      <c r="W18" s="66">
        <v>169616</v>
      </c>
      <c r="X18" s="66">
        <v>160236</v>
      </c>
      <c r="Y18" s="66">
        <v>168096</v>
      </c>
      <c r="Z18" s="66">
        <v>231151</v>
      </c>
      <c r="AA18" s="66">
        <v>232388</v>
      </c>
      <c r="AB18" s="66">
        <v>226071</v>
      </c>
      <c r="AC18" s="127">
        <v>182617</v>
      </c>
      <c r="AD18" s="127">
        <v>193963.78</v>
      </c>
      <c r="AE18" s="127">
        <v>188323.60999999993</v>
      </c>
      <c r="AF18" s="127">
        <v>190799.73999999993</v>
      </c>
      <c r="AG18" s="127">
        <v>207714.62</v>
      </c>
      <c r="AH18" s="127"/>
      <c r="AI18" s="127"/>
      <c r="AJ18" s="127"/>
      <c r="AK18" s="127"/>
      <c r="AL18" s="130"/>
    </row>
    <row r="19" spans="1:38">
      <c r="A19" s="67" t="s">
        <v>1360</v>
      </c>
      <c r="B19" s="73"/>
      <c r="C19" s="68">
        <v>544519</v>
      </c>
      <c r="D19" s="68">
        <v>571413</v>
      </c>
      <c r="E19" s="68">
        <v>560838</v>
      </c>
      <c r="F19" s="68">
        <v>474846</v>
      </c>
      <c r="G19" s="68">
        <v>501621</v>
      </c>
      <c r="H19" s="68">
        <v>659783</v>
      </c>
      <c r="I19" s="68">
        <v>644972</v>
      </c>
      <c r="J19" s="68">
        <v>592216</v>
      </c>
      <c r="K19" s="68">
        <v>543748</v>
      </c>
      <c r="L19" s="68">
        <v>558511</v>
      </c>
      <c r="M19" s="68">
        <v>516114.34</v>
      </c>
      <c r="N19" s="99">
        <v>788054.03</v>
      </c>
      <c r="O19" s="68">
        <v>834530.97</v>
      </c>
      <c r="P19" s="68">
        <v>783208.56</v>
      </c>
      <c r="Q19" s="68">
        <v>752672.93</v>
      </c>
      <c r="R19" s="68">
        <v>715437.57</v>
      </c>
      <c r="S19" s="68">
        <v>746287</v>
      </c>
      <c r="T19" s="68">
        <v>836794.15</v>
      </c>
      <c r="U19" s="68">
        <v>838386.34</v>
      </c>
      <c r="V19" s="68">
        <v>849735.39</v>
      </c>
      <c r="W19" s="68">
        <v>843775.33</v>
      </c>
      <c r="X19" s="68">
        <v>901636.26</v>
      </c>
      <c r="Y19" s="68">
        <v>976209.32</v>
      </c>
      <c r="Z19" s="68">
        <f t="shared" ref="Z19:AE19" si="3">SUM(Z16:Z18)</f>
        <v>1333781.6499999999</v>
      </c>
      <c r="AA19" s="68">
        <f t="shared" si="3"/>
        <v>1380969.8</v>
      </c>
      <c r="AB19" s="68">
        <f t="shared" si="3"/>
        <v>1293049.44</v>
      </c>
      <c r="AC19" s="128">
        <f t="shared" si="3"/>
        <v>1148979.75</v>
      </c>
      <c r="AD19" s="128">
        <f t="shared" si="3"/>
        <v>1222141.6400000006</v>
      </c>
      <c r="AE19" s="128">
        <f t="shared" si="3"/>
        <v>1236321.2399999988</v>
      </c>
      <c r="AF19" s="128">
        <f>SUM(AF16:AF18)</f>
        <v>1318546.1400000004</v>
      </c>
      <c r="AG19" s="128">
        <f>SUM(AG16:AG18)</f>
        <v>1490439.9</v>
      </c>
      <c r="AH19" s="128"/>
      <c r="AI19" s="128"/>
      <c r="AJ19" s="128"/>
      <c r="AK19" s="128"/>
      <c r="AL19" s="131"/>
    </row>
    <row r="20" spans="1:38">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row>
    <row r="21" spans="1:38">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row>
    <row r="22" spans="1:38">
      <c r="A22" s="36" t="s">
        <v>705</v>
      </c>
      <c r="B22" s="58" t="s">
        <v>1320</v>
      </c>
      <c r="C22" s="58" t="s">
        <v>1321</v>
      </c>
      <c r="D22" s="58" t="s">
        <v>1322</v>
      </c>
      <c r="E22" s="58" t="s">
        <v>1323</v>
      </c>
      <c r="F22" s="58" t="s">
        <v>1324</v>
      </c>
      <c r="G22" s="58" t="s">
        <v>1325</v>
      </c>
      <c r="H22" s="58" t="s">
        <v>1326</v>
      </c>
      <c r="I22" s="58" t="s">
        <v>1327</v>
      </c>
      <c r="J22" s="58" t="s">
        <v>1328</v>
      </c>
      <c r="K22" s="58" t="s">
        <v>1329</v>
      </c>
      <c r="L22" s="58" t="s">
        <v>1330</v>
      </c>
      <c r="M22" s="58" t="s">
        <v>1331</v>
      </c>
      <c r="N22" s="58" t="s">
        <v>1332</v>
      </c>
      <c r="O22" s="58" t="s">
        <v>1333</v>
      </c>
      <c r="P22" s="58" t="s">
        <v>1334</v>
      </c>
      <c r="Q22" s="58" t="s">
        <v>1335</v>
      </c>
      <c r="R22" s="58" t="s">
        <v>1336</v>
      </c>
      <c r="S22" s="58" t="s">
        <v>1337</v>
      </c>
      <c r="T22" s="58" t="s">
        <v>1338</v>
      </c>
      <c r="U22" s="58" t="s">
        <v>1339</v>
      </c>
      <c r="V22" s="58" t="s">
        <v>1340</v>
      </c>
      <c r="W22" s="58" t="s">
        <v>1341</v>
      </c>
      <c r="X22" s="58" t="s">
        <v>1342</v>
      </c>
      <c r="Y22" s="59" t="s">
        <v>1343</v>
      </c>
      <c r="Z22" s="59" t="s">
        <v>1344</v>
      </c>
      <c r="AA22" s="59" t="s">
        <v>1345</v>
      </c>
      <c r="AB22" s="59" t="s">
        <v>1346</v>
      </c>
      <c r="AC22" s="59" t="s">
        <v>1347</v>
      </c>
      <c r="AD22" s="59" t="s">
        <v>1348</v>
      </c>
      <c r="AE22" s="59" t="s">
        <v>1349</v>
      </c>
      <c r="AF22" s="59" t="s">
        <v>1350</v>
      </c>
      <c r="AG22" s="59" t="s">
        <v>1351</v>
      </c>
      <c r="AH22" s="59" t="s">
        <v>1352</v>
      </c>
      <c r="AI22" s="59" t="s">
        <v>1353</v>
      </c>
      <c r="AJ22" s="58" t="s">
        <v>1354</v>
      </c>
      <c r="AK22" s="182" t="s">
        <v>1355</v>
      </c>
      <c r="AL22" s="69"/>
    </row>
    <row r="23" spans="1:38">
      <c r="A23" s="60" t="s">
        <v>1357</v>
      </c>
      <c r="B23" s="75">
        <v>0</v>
      </c>
      <c r="C23" s="75">
        <v>5.7700000000000001E-2</v>
      </c>
      <c r="D23" s="75">
        <v>4.7699999999999999E-2</v>
      </c>
      <c r="E23" s="75">
        <v>0.05</v>
      </c>
      <c r="F23" s="75">
        <v>4.5400000000000003E-2</v>
      </c>
      <c r="G23" s="75">
        <v>4.8599999999999997E-2</v>
      </c>
      <c r="H23" s="75">
        <v>5.4600000000000003E-2</v>
      </c>
      <c r="I23" s="75">
        <v>5.7000000000000002E-2</v>
      </c>
      <c r="J23" s="75">
        <v>4.7600000000000003E-2</v>
      </c>
      <c r="K23" s="75">
        <v>4.7399999999999998E-2</v>
      </c>
      <c r="L23" s="75">
        <v>4.58E-2</v>
      </c>
      <c r="M23" s="75">
        <v>4.4600000000000001E-2</v>
      </c>
      <c r="N23" s="100">
        <v>5.0999999999999997E-2</v>
      </c>
      <c r="O23" s="75">
        <v>5.2499999999999998E-2</v>
      </c>
      <c r="P23" s="75">
        <v>4.1599999999999998E-2</v>
      </c>
      <c r="Q23" s="75">
        <v>3.3300000000000003E-2</v>
      </c>
      <c r="R23" s="75">
        <v>3.0499999999999999E-2</v>
      </c>
      <c r="S23" s="75">
        <v>3.6299999999999999E-2</v>
      </c>
      <c r="T23" s="75">
        <v>3.9100000000000003E-2</v>
      </c>
      <c r="U23" s="75">
        <v>4.07E-2</v>
      </c>
      <c r="V23" s="75">
        <v>3.95E-2</v>
      </c>
      <c r="W23" s="75">
        <v>3.6900000000000002E-2</v>
      </c>
      <c r="X23" s="75">
        <v>3.9699999999999999E-2</v>
      </c>
      <c r="Y23" s="75">
        <v>3.9699999999999999E-2</v>
      </c>
      <c r="Z23" s="75">
        <f t="shared" ref="Z23:AA26" si="4">Z16/Z2</f>
        <v>4.5628973942509046E-2</v>
      </c>
      <c r="AA23" s="75">
        <f t="shared" si="4"/>
        <v>4.6166277152873296E-2</v>
      </c>
      <c r="AB23" s="75">
        <f>AB16/AB2</f>
        <v>4.3479953257412336E-2</v>
      </c>
      <c r="AC23" s="101">
        <f>AC16/AC2</f>
        <v>3.5539954329669013E-2</v>
      </c>
      <c r="AD23" s="101">
        <f>AD16/AD2</f>
        <v>4.0028978414698338E-2</v>
      </c>
      <c r="AE23" s="101">
        <f>AE16/AE2</f>
        <v>4.3601386008790342E-2</v>
      </c>
      <c r="AF23" s="101">
        <f>AF16/AF2</f>
        <v>4.6437838230427464E-2</v>
      </c>
      <c r="AG23" s="101">
        <f>AG16/AG2</f>
        <v>5.2134335101085873E-2</v>
      </c>
      <c r="AH23" s="101" t="e">
        <f t="shared" ref="AH23:AK23" si="5">AH16/AH2</f>
        <v>#DIV/0!</v>
      </c>
      <c r="AI23" s="101" t="e">
        <f t="shared" si="5"/>
        <v>#DIV/0!</v>
      </c>
      <c r="AJ23" s="75" t="e">
        <f t="shared" si="5"/>
        <v>#DIV/0!</v>
      </c>
      <c r="AK23" s="183" t="e">
        <f t="shared" si="5"/>
        <v>#DIV/0!</v>
      </c>
      <c r="AL23" s="180"/>
    </row>
    <row r="24" spans="1:38">
      <c r="A24" s="63" t="s">
        <v>1358</v>
      </c>
      <c r="B24" s="77">
        <v>0</v>
      </c>
      <c r="C24" s="77">
        <v>7.3099999999999998E-2</v>
      </c>
      <c r="D24" s="77">
        <v>6.6199999999999995E-2</v>
      </c>
      <c r="E24" s="77">
        <v>6.7900000000000002E-2</v>
      </c>
      <c r="F24" s="77">
        <v>5.2499999999999998E-2</v>
      </c>
      <c r="G24" s="77">
        <v>4.99E-2</v>
      </c>
      <c r="H24" s="77">
        <v>6.13E-2</v>
      </c>
      <c r="I24" s="77">
        <v>5.2299999999999999E-2</v>
      </c>
      <c r="J24" s="77">
        <v>4.7300000000000002E-2</v>
      </c>
      <c r="K24" s="77">
        <v>4.3700000000000003E-2</v>
      </c>
      <c r="L24" s="77">
        <v>4.2200000000000001E-2</v>
      </c>
      <c r="M24" s="77">
        <v>3.9300000000000002E-2</v>
      </c>
      <c r="N24" s="102">
        <v>5.0900000000000001E-2</v>
      </c>
      <c r="O24" s="77">
        <v>5.2900000000000003E-2</v>
      </c>
      <c r="P24" s="77">
        <v>4.7500000000000001E-2</v>
      </c>
      <c r="Q24" s="77">
        <v>4.5499999999999999E-2</v>
      </c>
      <c r="R24" s="77">
        <v>4.1799999999999997E-2</v>
      </c>
      <c r="S24" s="77">
        <v>4.1000000000000002E-2</v>
      </c>
      <c r="T24" s="77">
        <v>4.1099999999999998E-2</v>
      </c>
      <c r="U24" s="77">
        <v>4.6300000000000001E-2</v>
      </c>
      <c r="V24" s="77">
        <v>4.53E-2</v>
      </c>
      <c r="W24" s="77">
        <v>4.4999999999999998E-2</v>
      </c>
      <c r="X24" s="77">
        <v>4.8800000000000003E-2</v>
      </c>
      <c r="Y24" s="77">
        <v>4.8800000000000003E-2</v>
      </c>
      <c r="Z24" s="77">
        <f t="shared" si="4"/>
        <v>5.9854248802634603E-2</v>
      </c>
      <c r="AA24" s="77">
        <f t="shared" si="4"/>
        <v>6.05262508857385E-2</v>
      </c>
      <c r="AB24" s="77">
        <f t="shared" ref="AB24" si="6">AB17/AB3</f>
        <v>5.5691209329374672E-2</v>
      </c>
      <c r="AC24" s="103">
        <f>AC17/AC3</f>
        <v>4.8966105852538126E-2</v>
      </c>
      <c r="AD24" s="103">
        <f>AD17/AD3</f>
        <v>5.1655515112241916E-2</v>
      </c>
      <c r="AE24" s="103">
        <f>AE17/AE3</f>
        <v>4.8953724357191551E-2</v>
      </c>
      <c r="AF24" s="103">
        <f>AF17/AF3</f>
        <v>4.586261115647982E-2</v>
      </c>
      <c r="AG24" s="103">
        <f>AG17/AG3</f>
        <v>5.2622788293549862E-2</v>
      </c>
      <c r="AH24" s="103" t="e">
        <f t="shared" ref="AH24:AK24" si="7">AH17/AH3</f>
        <v>#DIV/0!</v>
      </c>
      <c r="AI24" s="103" t="e">
        <f t="shared" si="7"/>
        <v>#DIV/0!</v>
      </c>
      <c r="AJ24" s="77" t="e">
        <f t="shared" si="7"/>
        <v>#DIV/0!</v>
      </c>
      <c r="AK24" s="184" t="e">
        <f t="shared" si="7"/>
        <v>#DIV/0!</v>
      </c>
      <c r="AL24" s="181"/>
    </row>
    <row r="25" spans="1:38">
      <c r="A25" s="65" t="s">
        <v>1359</v>
      </c>
      <c r="B25" s="79">
        <v>0</v>
      </c>
      <c r="C25" s="79">
        <v>8.3299999999999999E-2</v>
      </c>
      <c r="D25" s="79">
        <v>7.85E-2</v>
      </c>
      <c r="E25" s="79">
        <v>7.4200000000000002E-2</v>
      </c>
      <c r="F25" s="79">
        <v>6.1499999999999999E-2</v>
      </c>
      <c r="G25" s="79">
        <v>6.7900000000000002E-2</v>
      </c>
      <c r="H25" s="79">
        <v>6.8900000000000003E-2</v>
      </c>
      <c r="I25" s="79">
        <v>6.25E-2</v>
      </c>
      <c r="J25" s="79">
        <v>5.8599999999999999E-2</v>
      </c>
      <c r="K25" s="79">
        <v>5.2200000000000003E-2</v>
      </c>
      <c r="L25" s="79">
        <v>5.2699999999999997E-2</v>
      </c>
      <c r="M25" s="79">
        <v>5.6000000000000001E-2</v>
      </c>
      <c r="N25" s="104">
        <v>6.7299999999999999E-2</v>
      </c>
      <c r="O25" s="79">
        <v>6.2300000000000001E-2</v>
      </c>
      <c r="P25" s="79">
        <v>5.7700000000000001E-2</v>
      </c>
      <c r="Q25" s="79">
        <v>5.2600000000000001E-2</v>
      </c>
      <c r="R25" s="79">
        <v>5.0900000000000001E-2</v>
      </c>
      <c r="S25" s="79">
        <v>5.1200000000000002E-2</v>
      </c>
      <c r="T25" s="79">
        <v>5.1700000000000003E-2</v>
      </c>
      <c r="U25" s="79">
        <v>5.7200000000000001E-2</v>
      </c>
      <c r="V25" s="79">
        <v>5.9499999999999997E-2</v>
      </c>
      <c r="W25" s="79">
        <v>5.3600000000000002E-2</v>
      </c>
      <c r="X25" s="79">
        <v>5.0999999999999997E-2</v>
      </c>
      <c r="Y25" s="79">
        <v>5.0999999999999997E-2</v>
      </c>
      <c r="Z25" s="79">
        <f t="shared" si="4"/>
        <v>6.4046165129500704E-2</v>
      </c>
      <c r="AA25" s="79">
        <f t="shared" si="4"/>
        <v>6.3313769712332504E-2</v>
      </c>
      <c r="AB25" s="79">
        <f t="shared" ref="AB25" si="8">AB18/AB4</f>
        <v>6.1523502080664635E-2</v>
      </c>
      <c r="AC25" s="105">
        <f t="shared" ref="AC25:AD25" si="9">AC18/AC4</f>
        <v>5.0171240675134232E-2</v>
      </c>
      <c r="AD25" s="105">
        <f t="shared" si="9"/>
        <v>5.6594190468634564E-2</v>
      </c>
      <c r="AE25" s="105">
        <f>AE18/AE4</f>
        <v>5.255330142653019E-2</v>
      </c>
      <c r="AF25" s="105">
        <f>AF18/AF4</f>
        <v>5.3208950122372499E-2</v>
      </c>
      <c r="AG25" s="105">
        <f>AG18/AG4</f>
        <v>6.058873249889881E-2</v>
      </c>
      <c r="AH25" s="105" t="e">
        <f t="shared" ref="AH25:AK25" si="10">AH18/AH4</f>
        <v>#DIV/0!</v>
      </c>
      <c r="AI25" s="105" t="e">
        <f t="shared" si="10"/>
        <v>#DIV/0!</v>
      </c>
      <c r="AJ25" s="79" t="e">
        <f t="shared" si="10"/>
        <v>#DIV/0!</v>
      </c>
      <c r="AK25" s="185" t="e">
        <f t="shared" si="10"/>
        <v>#DIV/0!</v>
      </c>
      <c r="AL25" s="181"/>
    </row>
    <row r="26" spans="1:38">
      <c r="A26" s="67" t="s">
        <v>1360</v>
      </c>
      <c r="B26" s="81">
        <v>0</v>
      </c>
      <c r="C26" s="81">
        <v>6.5600000000000006E-2</v>
      </c>
      <c r="D26" s="81">
        <v>5.74E-2</v>
      </c>
      <c r="E26" s="81">
        <v>5.8500000000000003E-2</v>
      </c>
      <c r="F26" s="81">
        <v>4.99E-2</v>
      </c>
      <c r="G26" s="81">
        <v>5.2299999999999999E-2</v>
      </c>
      <c r="H26" s="81">
        <v>5.91E-2</v>
      </c>
      <c r="I26" s="81">
        <v>5.6899999999999999E-2</v>
      </c>
      <c r="J26" s="81">
        <v>4.99E-2</v>
      </c>
      <c r="K26" s="81">
        <v>4.7500000000000001E-2</v>
      </c>
      <c r="L26" s="81">
        <v>4.6399999999999997E-2</v>
      </c>
      <c r="M26" s="81">
        <v>4.5600000000000002E-2</v>
      </c>
      <c r="N26" s="106">
        <v>5.4300000000000001E-2</v>
      </c>
      <c r="O26" s="81">
        <v>5.45E-2</v>
      </c>
      <c r="P26" s="81">
        <v>4.5699999999999998E-2</v>
      </c>
      <c r="Q26" s="81">
        <v>3.8800000000000001E-2</v>
      </c>
      <c r="R26" s="81">
        <v>3.6299999999999999E-2</v>
      </c>
      <c r="S26" s="81">
        <v>3.95E-2</v>
      </c>
      <c r="T26" s="81">
        <v>4.1399999999999999E-2</v>
      </c>
      <c r="U26" s="81">
        <v>4.4299999999999999E-2</v>
      </c>
      <c r="V26" s="81">
        <v>4.3799999999999999E-2</v>
      </c>
      <c r="W26" s="81">
        <v>4.1099999999999998E-2</v>
      </c>
      <c r="X26" s="81">
        <v>4.3400000000000001E-2</v>
      </c>
      <c r="Y26" s="81">
        <v>4.3400000000000001E-2</v>
      </c>
      <c r="Z26" s="81">
        <f t="shared" si="4"/>
        <v>5.1204225020158575E-2</v>
      </c>
      <c r="AA26" s="81">
        <f t="shared" si="4"/>
        <v>5.144635720690665E-2</v>
      </c>
      <c r="AB26" s="81">
        <f t="shared" ref="AB26" si="11">AB19/AB5</f>
        <v>4.8345521468719642E-2</v>
      </c>
      <c r="AC26" s="107">
        <f t="shared" ref="AC26" si="12">AC19/AC5</f>
        <v>3.9792433853593524E-2</v>
      </c>
      <c r="AD26" s="107">
        <f>AD19/AD5</f>
        <v>4.4370224139327868E-2</v>
      </c>
      <c r="AE26" s="107">
        <f>AE19/AE5</f>
        <v>4.585889054890873E-2</v>
      </c>
      <c r="AF26" s="107">
        <f>AF19/AF5</f>
        <v>4.7195688430388946E-2</v>
      </c>
      <c r="AG26" s="107">
        <f>AG19/AG5</f>
        <v>5.3264232337296165E-2</v>
      </c>
      <c r="AH26" s="107" t="e">
        <f t="shared" ref="AH26:AK26" si="13">AH19/AH5</f>
        <v>#DIV/0!</v>
      </c>
      <c r="AI26" s="107" t="e">
        <f t="shared" si="13"/>
        <v>#DIV/0!</v>
      </c>
      <c r="AJ26" s="81" t="e">
        <f t="shared" si="13"/>
        <v>#DIV/0!</v>
      </c>
      <c r="AK26" s="186" t="e">
        <f t="shared" si="13"/>
        <v>#DIV/0!</v>
      </c>
      <c r="AL26" s="181"/>
    </row>
    <row r="27" spans="1:38">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row>
    <row r="28" spans="1:3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row>
    <row r="29" spans="1:38">
      <c r="A29" s="36" t="s">
        <v>1363</v>
      </c>
      <c r="B29" s="58" t="s">
        <v>1320</v>
      </c>
      <c r="C29" s="58" t="s">
        <v>1321</v>
      </c>
      <c r="D29" s="58" t="s">
        <v>1322</v>
      </c>
      <c r="E29" s="58" t="s">
        <v>1323</v>
      </c>
      <c r="F29" s="58" t="s">
        <v>1324</v>
      </c>
      <c r="G29" s="58" t="s">
        <v>1325</v>
      </c>
      <c r="H29" s="58" t="s">
        <v>1326</v>
      </c>
      <c r="I29" s="58" t="s">
        <v>1327</v>
      </c>
      <c r="J29" s="58" t="s">
        <v>1328</v>
      </c>
      <c r="K29" s="58" t="s">
        <v>1329</v>
      </c>
      <c r="L29" s="58" t="s">
        <v>1330</v>
      </c>
      <c r="M29" s="58" t="s">
        <v>1331</v>
      </c>
      <c r="N29" s="58" t="s">
        <v>1332</v>
      </c>
      <c r="O29" s="58" t="s">
        <v>1333</v>
      </c>
      <c r="P29" s="58" t="s">
        <v>1334</v>
      </c>
      <c r="Q29" s="58" t="s">
        <v>1335</v>
      </c>
      <c r="R29" s="58" t="s">
        <v>1336</v>
      </c>
      <c r="S29" s="58" t="s">
        <v>1337</v>
      </c>
      <c r="T29" s="58" t="s">
        <v>1338</v>
      </c>
      <c r="U29" s="58" t="s">
        <v>1339</v>
      </c>
      <c r="V29" s="58" t="s">
        <v>1340</v>
      </c>
      <c r="W29" s="58" t="s">
        <v>1341</v>
      </c>
      <c r="X29" s="58" t="s">
        <v>1342</v>
      </c>
      <c r="Y29" s="59" t="s">
        <v>1343</v>
      </c>
      <c r="Z29" s="59" t="s">
        <v>1344</v>
      </c>
      <c r="AA29" s="59" t="s">
        <v>1345</v>
      </c>
      <c r="AB29" s="59" t="s">
        <v>1346</v>
      </c>
      <c r="AC29" s="59" t="s">
        <v>1347</v>
      </c>
      <c r="AD29" s="59" t="s">
        <v>1348</v>
      </c>
      <c r="AE29" s="59" t="s">
        <v>1349</v>
      </c>
      <c r="AF29" s="59" t="s">
        <v>1350</v>
      </c>
      <c r="AG29" s="59" t="s">
        <v>1351</v>
      </c>
      <c r="AH29" s="59" t="s">
        <v>1352</v>
      </c>
      <c r="AI29" s="59" t="s">
        <v>1353</v>
      </c>
      <c r="AJ29" s="58" t="s">
        <v>1354</v>
      </c>
      <c r="AK29" s="182" t="s">
        <v>1355</v>
      </c>
      <c r="AL29" s="69"/>
    </row>
    <row r="30" spans="1:38">
      <c r="A30" s="60" t="s">
        <v>1357</v>
      </c>
      <c r="B30" s="74"/>
      <c r="C30" s="74"/>
      <c r="D30" s="70" t="e">
        <v>#DIV/0!</v>
      </c>
      <c r="E30" s="70" t="e">
        <v>#DIV/0!</v>
      </c>
      <c r="F30" s="70" t="e">
        <v>#DIV/0!</v>
      </c>
      <c r="G30" s="70" t="e">
        <v>#DIV/0!</v>
      </c>
      <c r="H30" s="70" t="e">
        <v>#DIV/0!</v>
      </c>
      <c r="I30" s="75">
        <v>0.18579999999999999</v>
      </c>
      <c r="J30" s="75">
        <v>0.1716</v>
      </c>
      <c r="K30" s="75">
        <v>0.17249999999999999</v>
      </c>
      <c r="L30" s="75">
        <v>0.1678</v>
      </c>
      <c r="M30" s="75">
        <v>0.15870000000000001</v>
      </c>
      <c r="N30" s="100">
        <v>0.1628</v>
      </c>
      <c r="O30" s="75">
        <v>0.1565</v>
      </c>
      <c r="P30" s="75">
        <v>0.14230000000000001</v>
      </c>
      <c r="Q30" s="75">
        <v>0.1343</v>
      </c>
      <c r="R30" s="75">
        <v>0.1358</v>
      </c>
      <c r="S30" s="75">
        <v>0.12809999999999999</v>
      </c>
      <c r="T30" s="75">
        <v>0.12790000000000001</v>
      </c>
      <c r="U30" s="75">
        <v>0.13500000000000001</v>
      </c>
      <c r="V30" s="75">
        <v>0.1424</v>
      </c>
      <c r="W30" s="75">
        <v>0.13719999999999999</v>
      </c>
      <c r="X30" s="75">
        <v>0.1429</v>
      </c>
      <c r="Y30" s="75">
        <v>0.1429</v>
      </c>
      <c r="Z30" s="75">
        <f t="shared" ref="Z30:AA33" si="14">Z16/Z9</f>
        <v>0.15363398954406982</v>
      </c>
      <c r="AA30" s="75">
        <f t="shared" si="14"/>
        <v>0.14605825590070659</v>
      </c>
      <c r="AB30" s="75">
        <f>AB16/AB9</f>
        <v>0.13692717821432049</v>
      </c>
      <c r="AC30" s="101">
        <f>AC16/AC9</f>
        <v>0.13084613001916395</v>
      </c>
      <c r="AD30" s="101">
        <f>AD16/AD9</f>
        <v>0.1348274596651774</v>
      </c>
      <c r="AE30" s="101">
        <f>AE16/AE9</f>
        <v>0.13800714757342847</v>
      </c>
      <c r="AF30" s="101">
        <f>AF16/AF9</f>
        <v>0.1419046958041999</v>
      </c>
      <c r="AG30" s="101">
        <f>AG16/AG9</f>
        <v>0.14972564940787955</v>
      </c>
      <c r="AH30" s="101" t="e">
        <f t="shared" ref="AH30:AK30" si="15">AH16/AH9</f>
        <v>#DIV/0!</v>
      </c>
      <c r="AI30" s="101" t="e">
        <f t="shared" si="15"/>
        <v>#DIV/0!</v>
      </c>
      <c r="AJ30" s="75" t="e">
        <f t="shared" si="15"/>
        <v>#DIV/0!</v>
      </c>
      <c r="AK30" s="183" t="e">
        <f t="shared" si="15"/>
        <v>#DIV/0!</v>
      </c>
      <c r="AL30" s="180"/>
    </row>
    <row r="31" spans="1:38">
      <c r="A31" s="63" t="s">
        <v>1358</v>
      </c>
      <c r="B31" s="76"/>
      <c r="C31" s="76"/>
      <c r="D31" s="71" t="e">
        <v>#DIV/0!</v>
      </c>
      <c r="E31" s="71" t="e">
        <v>#DIV/0!</v>
      </c>
      <c r="F31" s="71" t="e">
        <v>#DIV/0!</v>
      </c>
      <c r="G31" s="71" t="e">
        <v>#DIV/0!</v>
      </c>
      <c r="H31" s="71" t="e">
        <v>#DIV/0!</v>
      </c>
      <c r="I31" s="77">
        <v>0.21310000000000001</v>
      </c>
      <c r="J31" s="77">
        <v>0.1943</v>
      </c>
      <c r="K31" s="77">
        <v>0.18340000000000001</v>
      </c>
      <c r="L31" s="77">
        <v>0.17169999999999999</v>
      </c>
      <c r="M31" s="77">
        <v>0.17419999999999999</v>
      </c>
      <c r="N31" s="102">
        <v>0.18740000000000001</v>
      </c>
      <c r="O31" s="77">
        <v>0.1933</v>
      </c>
      <c r="P31" s="77">
        <v>0.17369999999999999</v>
      </c>
      <c r="Q31" s="77">
        <v>0.17560000000000001</v>
      </c>
      <c r="R31" s="77">
        <v>0.16700000000000001</v>
      </c>
      <c r="S31" s="77">
        <v>0.1865</v>
      </c>
      <c r="T31" s="77">
        <v>0.1845</v>
      </c>
      <c r="U31" s="77">
        <v>0.2026</v>
      </c>
      <c r="V31" s="77">
        <v>0.2072</v>
      </c>
      <c r="W31" s="77">
        <v>0.193</v>
      </c>
      <c r="X31" s="77">
        <v>0.20300000000000001</v>
      </c>
      <c r="Y31" s="77">
        <v>0.20300000000000001</v>
      </c>
      <c r="Z31" s="77">
        <f t="shared" si="14"/>
        <v>0.21849534059207087</v>
      </c>
      <c r="AA31" s="77">
        <f t="shared" si="14"/>
        <v>0.20236249462640654</v>
      </c>
      <c r="AB31" s="77">
        <f t="shared" ref="AB31" si="16">AB17/AB10</f>
        <v>0.19247852849973884</v>
      </c>
      <c r="AC31" s="103">
        <f t="shared" ref="AC31:AD31" si="17">AC17/AC10</f>
        <v>0.19219505540313167</v>
      </c>
      <c r="AD31" s="103">
        <f t="shared" si="17"/>
        <v>0.19172196146014456</v>
      </c>
      <c r="AE31" s="103">
        <f t="shared" ref="AE31:AF31" si="18">AE17/AE10</f>
        <v>0.19430890995142283</v>
      </c>
      <c r="AF31" s="103">
        <f t="shared" si="18"/>
        <v>0.18444822860792318</v>
      </c>
      <c r="AG31" s="103">
        <f t="shared" ref="AG31:AK31" si="19">AG17/AG10</f>
        <v>0.19544444430893115</v>
      </c>
      <c r="AH31" s="103" t="e">
        <f t="shared" si="19"/>
        <v>#DIV/0!</v>
      </c>
      <c r="AI31" s="103" t="e">
        <f t="shared" si="19"/>
        <v>#DIV/0!</v>
      </c>
      <c r="AJ31" s="77" t="e">
        <f t="shared" si="19"/>
        <v>#DIV/0!</v>
      </c>
      <c r="AK31" s="184" t="e">
        <f t="shared" si="19"/>
        <v>#DIV/0!</v>
      </c>
      <c r="AL31" s="181"/>
    </row>
    <row r="32" spans="1:38">
      <c r="A32" s="65" t="s">
        <v>1359</v>
      </c>
      <c r="B32" s="78"/>
      <c r="C32" s="78"/>
      <c r="D32" s="72" t="e">
        <v>#DIV/0!</v>
      </c>
      <c r="E32" s="72" t="e">
        <v>#DIV/0!</v>
      </c>
      <c r="F32" s="72" t="e">
        <v>#DIV/0!</v>
      </c>
      <c r="G32" s="72" t="e">
        <v>#DIV/0!</v>
      </c>
      <c r="H32" s="72" t="e">
        <v>#DIV/0!</v>
      </c>
      <c r="I32" s="79">
        <v>0.2339</v>
      </c>
      <c r="J32" s="79">
        <v>0.216</v>
      </c>
      <c r="K32" s="79">
        <v>0.19989999999999999</v>
      </c>
      <c r="L32" s="79">
        <v>0.19389999999999999</v>
      </c>
      <c r="M32" s="79">
        <v>0.19089999999999999</v>
      </c>
      <c r="N32" s="104">
        <v>0.20619999999999999</v>
      </c>
      <c r="O32" s="79">
        <v>0.1948</v>
      </c>
      <c r="P32" s="79">
        <v>0.18609999999999999</v>
      </c>
      <c r="Q32" s="79">
        <v>0.1807</v>
      </c>
      <c r="R32" s="79">
        <v>0.17069999999999999</v>
      </c>
      <c r="S32" s="79">
        <v>0.187</v>
      </c>
      <c r="T32" s="79">
        <v>0.1908</v>
      </c>
      <c r="U32" s="79">
        <v>0.2054</v>
      </c>
      <c r="V32" s="79">
        <v>0.21079999999999999</v>
      </c>
      <c r="W32" s="79">
        <v>0.19769999999999999</v>
      </c>
      <c r="X32" s="79">
        <v>0.20300000000000001</v>
      </c>
      <c r="Y32" s="79">
        <v>0.20300000000000001</v>
      </c>
      <c r="Z32" s="79">
        <f t="shared" si="14"/>
        <v>0.21045161090610795</v>
      </c>
      <c r="AA32" s="79">
        <f t="shared" si="14"/>
        <v>0.20016615510117269</v>
      </c>
      <c r="AB32" s="79">
        <f t="shared" ref="AB32" si="20">AB18/AB11</f>
        <v>0.19290799386642843</v>
      </c>
      <c r="AC32" s="105">
        <f t="shared" ref="AC32:AD32" si="21">AC18/AC11</f>
        <v>0.18831503637049854</v>
      </c>
      <c r="AD32" s="105">
        <f t="shared" si="21"/>
        <v>0.18866554584890002</v>
      </c>
      <c r="AE32" s="105">
        <f t="shared" ref="AE32:AF32" si="22">AE18/AE11</f>
        <v>0.18578714175779468</v>
      </c>
      <c r="AF32" s="105">
        <f t="shared" si="22"/>
        <v>0.18610587804121836</v>
      </c>
      <c r="AG32" s="105">
        <f t="shared" ref="AG32:AK32" si="23">AG18/AG11</f>
        <v>0.19472377887160394</v>
      </c>
      <c r="AH32" s="105" t="e">
        <f t="shared" si="23"/>
        <v>#DIV/0!</v>
      </c>
      <c r="AI32" s="105" t="e">
        <f t="shared" si="23"/>
        <v>#DIV/0!</v>
      </c>
      <c r="AJ32" s="79" t="e">
        <f t="shared" si="23"/>
        <v>#DIV/0!</v>
      </c>
      <c r="AK32" s="185" t="e">
        <f t="shared" si="23"/>
        <v>#DIV/0!</v>
      </c>
      <c r="AL32" s="181"/>
    </row>
    <row r="33" spans="1:38">
      <c r="A33" s="67" t="s">
        <v>1360</v>
      </c>
      <c r="B33" s="80"/>
      <c r="C33" s="80"/>
      <c r="D33" s="73" t="e">
        <v>#DIV/0!</v>
      </c>
      <c r="E33" s="73" t="e">
        <v>#DIV/0!</v>
      </c>
      <c r="F33" s="73" t="e">
        <v>#DIV/0!</v>
      </c>
      <c r="G33" s="73" t="e">
        <v>#DIV/0!</v>
      </c>
      <c r="H33" s="73" t="e">
        <v>#DIV/0!</v>
      </c>
      <c r="I33" s="81">
        <v>0.20080000000000001</v>
      </c>
      <c r="J33" s="81">
        <v>0.18690000000000001</v>
      </c>
      <c r="K33" s="81">
        <v>0.18099999999999999</v>
      </c>
      <c r="L33" s="81">
        <v>0.1744</v>
      </c>
      <c r="M33" s="81">
        <v>0.16969999999999999</v>
      </c>
      <c r="N33" s="106">
        <v>0.1782</v>
      </c>
      <c r="O33" s="81">
        <v>0.17150000000000001</v>
      </c>
      <c r="P33" s="81">
        <v>0.15679999999999999</v>
      </c>
      <c r="Q33" s="81">
        <v>0.15079999999999999</v>
      </c>
      <c r="R33" s="81">
        <v>0.14960000000000001</v>
      </c>
      <c r="S33" s="81">
        <v>0.14649999999999999</v>
      </c>
      <c r="T33" s="81">
        <v>0.1454</v>
      </c>
      <c r="U33" s="81">
        <v>0.15590000000000001</v>
      </c>
      <c r="V33" s="81">
        <v>0.1646</v>
      </c>
      <c r="W33" s="81">
        <v>0.15709999999999999</v>
      </c>
      <c r="X33" s="81">
        <v>0.16320000000000001</v>
      </c>
      <c r="Y33" s="81">
        <v>0.16320000000000001</v>
      </c>
      <c r="Z33" s="81">
        <f t="shared" si="14"/>
        <v>0.17469146967080507</v>
      </c>
      <c r="AA33" s="81">
        <f t="shared" si="14"/>
        <v>0.16455440639043289</v>
      </c>
      <c r="AB33" s="81">
        <f t="shared" ref="AB33" si="24">AB19/AB12</f>
        <v>0.15484495005767693</v>
      </c>
      <c r="AC33" s="107">
        <f t="shared" ref="AC33:AD33" si="25">AC19/AC12</f>
        <v>0.14851215055349187</v>
      </c>
      <c r="AD33" s="107">
        <f t="shared" si="25"/>
        <v>0.15201094548982177</v>
      </c>
      <c r="AE33" s="107">
        <f t="shared" ref="AE33:AF33" si="26">AE19/AE12</f>
        <v>0.15348970484405786</v>
      </c>
      <c r="AF33" s="107">
        <f t="shared" si="26"/>
        <v>0.15386112822301662</v>
      </c>
      <c r="AG33" s="107">
        <f t="shared" ref="AG33:AK33" si="27">AG19/AG12</f>
        <v>0.16216757642537344</v>
      </c>
      <c r="AH33" s="107" t="e">
        <f t="shared" si="27"/>
        <v>#DIV/0!</v>
      </c>
      <c r="AI33" s="107" t="e">
        <f t="shared" si="27"/>
        <v>#DIV/0!</v>
      </c>
      <c r="AJ33" s="81" t="e">
        <f t="shared" si="27"/>
        <v>#DIV/0!</v>
      </c>
      <c r="AK33" s="186" t="e">
        <f t="shared" si="27"/>
        <v>#DIV/0!</v>
      </c>
      <c r="AL33" s="181"/>
    </row>
    <row r="34" spans="1:38">
      <c r="A34" s="69"/>
      <c r="B34" s="69"/>
      <c r="C34" s="69"/>
      <c r="D34" s="69"/>
      <c r="E34" s="69"/>
      <c r="F34" s="69"/>
      <c r="G34" s="69"/>
      <c r="H34" s="69"/>
      <c r="I34" s="69"/>
      <c r="J34" s="69"/>
      <c r="K34" s="69"/>
      <c r="L34" s="69"/>
      <c r="M34" s="69"/>
      <c r="N34" s="62"/>
      <c r="O34" s="62"/>
      <c r="P34" s="62"/>
      <c r="Q34" s="62"/>
      <c r="R34" s="62"/>
      <c r="S34" s="62"/>
      <c r="T34" s="62"/>
      <c r="U34" s="62"/>
      <c r="V34" s="62"/>
      <c r="W34" s="62"/>
      <c r="X34" s="62"/>
      <c r="Y34" s="62"/>
      <c r="Z34" s="62"/>
      <c r="AA34" s="62"/>
      <c r="AB34" s="62"/>
      <c r="AC34" s="62"/>
      <c r="AD34" s="62"/>
      <c r="AE34" s="62"/>
      <c r="AF34" s="62"/>
      <c r="AG34" s="62"/>
    </row>
    <row r="35" spans="1:38">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row>
    <row r="36" spans="1:38">
      <c r="A36" s="82" t="s">
        <v>699</v>
      </c>
      <c r="B36" s="83" t="s">
        <v>1320</v>
      </c>
      <c r="C36" s="83" t="s">
        <v>1321</v>
      </c>
      <c r="D36" s="83" t="s">
        <v>1322</v>
      </c>
      <c r="E36" s="83" t="s">
        <v>1323</v>
      </c>
      <c r="F36" s="83" t="s">
        <v>1324</v>
      </c>
      <c r="G36" s="83" t="s">
        <v>1325</v>
      </c>
      <c r="H36" s="83" t="s">
        <v>1326</v>
      </c>
      <c r="I36" s="83" t="s">
        <v>1327</v>
      </c>
      <c r="J36" s="83" t="s">
        <v>1328</v>
      </c>
      <c r="K36" s="83" t="s">
        <v>1329</v>
      </c>
      <c r="L36" s="83" t="s">
        <v>1330</v>
      </c>
      <c r="M36" s="83" t="s">
        <v>1331</v>
      </c>
      <c r="N36" s="83" t="s">
        <v>1332</v>
      </c>
      <c r="O36" s="83" t="s">
        <v>1333</v>
      </c>
      <c r="P36" s="83" t="s">
        <v>1334</v>
      </c>
      <c r="Q36" s="83" t="s">
        <v>1335</v>
      </c>
      <c r="R36" s="83" t="s">
        <v>1336</v>
      </c>
      <c r="S36" s="83" t="s">
        <v>1337</v>
      </c>
      <c r="T36" s="83" t="s">
        <v>1338</v>
      </c>
      <c r="U36" s="83" t="s">
        <v>1339</v>
      </c>
      <c r="V36" s="83" t="s">
        <v>1340</v>
      </c>
      <c r="W36" s="83" t="s">
        <v>1341</v>
      </c>
      <c r="X36" s="83" t="s">
        <v>1342</v>
      </c>
      <c r="Y36" s="84" t="s">
        <v>1343</v>
      </c>
      <c r="Z36" s="59" t="s">
        <v>1344</v>
      </c>
      <c r="AA36" s="59" t="s">
        <v>1345</v>
      </c>
      <c r="AB36" s="59" t="s">
        <v>1346</v>
      </c>
      <c r="AC36" s="59" t="s">
        <v>1347</v>
      </c>
      <c r="AD36" s="59" t="s">
        <v>1348</v>
      </c>
      <c r="AE36" s="59" t="s">
        <v>1349</v>
      </c>
      <c r="AF36" s="59" t="s">
        <v>1350</v>
      </c>
      <c r="AG36" s="59" t="s">
        <v>1351</v>
      </c>
      <c r="AH36" s="59" t="s">
        <v>1352</v>
      </c>
      <c r="AI36" s="59" t="s">
        <v>1353</v>
      </c>
      <c r="AJ36" s="59" t="s">
        <v>1354</v>
      </c>
      <c r="AK36" s="59" t="s">
        <v>1355</v>
      </c>
      <c r="AL36" s="59" t="s">
        <v>1356</v>
      </c>
    </row>
    <row r="37" spans="1:38">
      <c r="A37" s="85" t="s">
        <v>1357</v>
      </c>
      <c r="B37" s="86">
        <v>206450</v>
      </c>
      <c r="C37" s="86">
        <v>201966</v>
      </c>
      <c r="D37" s="86">
        <v>232244</v>
      </c>
      <c r="E37" s="86">
        <v>230500</v>
      </c>
      <c r="F37" s="86">
        <v>228949</v>
      </c>
      <c r="G37" s="86">
        <v>216548</v>
      </c>
      <c r="H37" s="86">
        <v>229222</v>
      </c>
      <c r="I37" s="86">
        <v>226692</v>
      </c>
      <c r="J37" s="86">
        <v>230639</v>
      </c>
      <c r="K37" s="86">
        <v>252280</v>
      </c>
      <c r="L37" s="86">
        <v>264001</v>
      </c>
      <c r="M37" s="108">
        <v>231198</v>
      </c>
      <c r="N37" s="117">
        <v>301961</v>
      </c>
      <c r="O37" s="118">
        <v>331009</v>
      </c>
      <c r="P37" s="118">
        <v>369644</v>
      </c>
      <c r="Q37" s="118">
        <v>419338</v>
      </c>
      <c r="R37" s="118">
        <v>403325</v>
      </c>
      <c r="S37" s="118">
        <v>407084</v>
      </c>
      <c r="T37" s="118">
        <v>446387</v>
      </c>
      <c r="U37" s="118">
        <v>410269</v>
      </c>
      <c r="V37" s="118">
        <v>413757</v>
      </c>
      <c r="W37" s="118">
        <v>445439</v>
      </c>
      <c r="X37" s="118">
        <v>453965</v>
      </c>
      <c r="Y37" s="118">
        <v>462128</v>
      </c>
      <c r="Z37" s="118">
        <v>572775</v>
      </c>
      <c r="AA37" s="118">
        <v>615883</v>
      </c>
      <c r="AB37" s="118">
        <v>604860</v>
      </c>
      <c r="AC37" s="113">
        <v>683843</v>
      </c>
      <c r="AD37" s="113">
        <v>636705</v>
      </c>
      <c r="AE37" s="113">
        <v>621195</v>
      </c>
      <c r="AF37" s="164">
        <v>689495</v>
      </c>
      <c r="AG37" s="168">
        <v>689517</v>
      </c>
      <c r="AH37" s="168"/>
      <c r="AI37" s="168"/>
      <c r="AJ37" s="168"/>
      <c r="AK37" s="168"/>
      <c r="AL37" s="125"/>
    </row>
    <row r="38" spans="1:38">
      <c r="A38" s="87" t="s">
        <v>1358</v>
      </c>
      <c r="B38" s="88">
        <v>103070</v>
      </c>
      <c r="C38" s="88">
        <v>98910</v>
      </c>
      <c r="D38" s="88">
        <v>116062</v>
      </c>
      <c r="E38" s="88">
        <v>116489</v>
      </c>
      <c r="F38" s="88">
        <v>102286</v>
      </c>
      <c r="G38" s="88">
        <v>110085</v>
      </c>
      <c r="H38" s="88">
        <v>115702</v>
      </c>
      <c r="I38" s="88">
        <v>120670</v>
      </c>
      <c r="J38" s="88">
        <v>142446</v>
      </c>
      <c r="K38" s="88">
        <v>136602</v>
      </c>
      <c r="L38" s="88">
        <v>152488</v>
      </c>
      <c r="M38" s="109">
        <v>144866</v>
      </c>
      <c r="N38" s="119">
        <v>190333</v>
      </c>
      <c r="O38" s="88">
        <v>179484</v>
      </c>
      <c r="P38" s="88">
        <v>182162</v>
      </c>
      <c r="Q38" s="88">
        <v>182919</v>
      </c>
      <c r="R38" s="88">
        <v>183923</v>
      </c>
      <c r="S38" s="88">
        <v>173556</v>
      </c>
      <c r="T38" s="88">
        <v>186892</v>
      </c>
      <c r="U38" s="88">
        <v>171949</v>
      </c>
      <c r="V38" s="88">
        <v>182461</v>
      </c>
      <c r="W38" s="88">
        <v>199796</v>
      </c>
      <c r="X38" s="88">
        <v>214586</v>
      </c>
      <c r="Y38" s="88">
        <v>215754</v>
      </c>
      <c r="Z38" s="88">
        <v>251772</v>
      </c>
      <c r="AA38" s="88">
        <v>247829</v>
      </c>
      <c r="AB38" s="88">
        <v>229484</v>
      </c>
      <c r="AC38" s="114">
        <v>226754</v>
      </c>
      <c r="AD38" s="114">
        <v>241827</v>
      </c>
      <c r="AE38" s="114">
        <v>238449</v>
      </c>
      <c r="AF38" s="165">
        <v>252691</v>
      </c>
      <c r="AG38" s="169">
        <v>248792</v>
      </c>
      <c r="AH38" s="169"/>
      <c r="AI38" s="169"/>
      <c r="AJ38" s="169"/>
      <c r="AK38" s="169"/>
      <c r="AL38" s="129"/>
    </row>
    <row r="39" spans="1:38">
      <c r="A39" s="89" t="s">
        <v>1359</v>
      </c>
      <c r="B39" s="90">
        <v>65792</v>
      </c>
      <c r="C39" s="90">
        <v>66921</v>
      </c>
      <c r="D39" s="90">
        <v>80622</v>
      </c>
      <c r="E39" s="90">
        <v>81286</v>
      </c>
      <c r="F39" s="90">
        <v>88250</v>
      </c>
      <c r="G39" s="90">
        <v>90033</v>
      </c>
      <c r="H39" s="90">
        <v>103104</v>
      </c>
      <c r="I39" s="90">
        <v>103860</v>
      </c>
      <c r="J39" s="90">
        <v>124892</v>
      </c>
      <c r="K39" s="90">
        <v>133302</v>
      </c>
      <c r="L39" s="90">
        <v>140626</v>
      </c>
      <c r="M39" s="110">
        <v>128870</v>
      </c>
      <c r="N39" s="120">
        <v>159471</v>
      </c>
      <c r="O39" s="90">
        <v>157686</v>
      </c>
      <c r="P39" s="90">
        <v>154308</v>
      </c>
      <c r="Q39" s="90">
        <v>154291</v>
      </c>
      <c r="R39" s="90">
        <v>162133</v>
      </c>
      <c r="S39" s="90">
        <v>136127</v>
      </c>
      <c r="T39" s="90">
        <v>146540</v>
      </c>
      <c r="U39" s="90">
        <v>144576</v>
      </c>
      <c r="V39" s="90">
        <v>153627</v>
      </c>
      <c r="W39" s="90">
        <v>158313</v>
      </c>
      <c r="X39" s="90">
        <v>155184</v>
      </c>
      <c r="Y39" s="90">
        <v>141383</v>
      </c>
      <c r="Z39" s="90">
        <v>167484</v>
      </c>
      <c r="AA39" s="90">
        <v>171660</v>
      </c>
      <c r="AB39" s="90">
        <v>168751</v>
      </c>
      <c r="AC39" s="115">
        <v>167429</v>
      </c>
      <c r="AD39" s="115">
        <v>154307</v>
      </c>
      <c r="AE39" s="115">
        <v>166411</v>
      </c>
      <c r="AF39" s="166">
        <v>170327</v>
      </c>
      <c r="AG39" s="170">
        <v>159080</v>
      </c>
      <c r="AH39" s="170"/>
      <c r="AI39" s="170"/>
      <c r="AJ39" s="170"/>
      <c r="AK39" s="170"/>
      <c r="AL39" s="130"/>
    </row>
    <row r="40" spans="1:38">
      <c r="A40" s="91" t="s">
        <v>1360</v>
      </c>
      <c r="B40" s="92">
        <v>375312</v>
      </c>
      <c r="C40" s="92">
        <v>367797</v>
      </c>
      <c r="D40" s="92">
        <v>428928</v>
      </c>
      <c r="E40" s="92">
        <v>428275</v>
      </c>
      <c r="F40" s="92">
        <v>419485</v>
      </c>
      <c r="G40" s="92">
        <v>416666</v>
      </c>
      <c r="H40" s="92">
        <v>448028</v>
      </c>
      <c r="I40" s="92">
        <v>451222</v>
      </c>
      <c r="J40" s="92">
        <v>497977</v>
      </c>
      <c r="K40" s="92">
        <v>522184</v>
      </c>
      <c r="L40" s="92">
        <v>557115</v>
      </c>
      <c r="M40" s="111">
        <v>504934</v>
      </c>
      <c r="N40" s="121">
        <v>651765</v>
      </c>
      <c r="O40" s="92">
        <v>668179</v>
      </c>
      <c r="P40" s="92">
        <v>706114</v>
      </c>
      <c r="Q40" s="92">
        <v>756548</v>
      </c>
      <c r="R40" s="92">
        <v>749381</v>
      </c>
      <c r="S40" s="92">
        <v>716767</v>
      </c>
      <c r="T40" s="92">
        <v>779819</v>
      </c>
      <c r="U40" s="92">
        <v>726794</v>
      </c>
      <c r="V40" s="92">
        <v>749845</v>
      </c>
      <c r="W40" s="92">
        <v>803548</v>
      </c>
      <c r="X40" s="92">
        <v>823735</v>
      </c>
      <c r="Y40" s="92">
        <f t="shared" ref="Y40:AD40" si="28">SUM(Y37:Y39)</f>
        <v>819265</v>
      </c>
      <c r="Z40" s="92">
        <f t="shared" si="28"/>
        <v>992031</v>
      </c>
      <c r="AA40" s="92">
        <f t="shared" si="28"/>
        <v>1035372</v>
      </c>
      <c r="AB40" s="92">
        <f t="shared" si="28"/>
        <v>1003095</v>
      </c>
      <c r="AC40" s="92">
        <f t="shared" si="28"/>
        <v>1078026</v>
      </c>
      <c r="AD40" s="92">
        <f t="shared" si="28"/>
        <v>1032839</v>
      </c>
      <c r="AE40" s="92">
        <f>SUM(AE37:AE39)</f>
        <v>1026055</v>
      </c>
      <c r="AF40" s="111">
        <f>SUM(AF37:AF39)</f>
        <v>1112513</v>
      </c>
      <c r="AG40" s="171">
        <f>SUM(AG37:AG39)</f>
        <v>1097389</v>
      </c>
      <c r="AH40" s="171"/>
      <c r="AI40" s="171"/>
      <c r="AJ40" s="171"/>
      <c r="AK40" s="171"/>
      <c r="AL40" s="131"/>
    </row>
    <row r="41" spans="1:38">
      <c r="A41" s="93" t="s">
        <v>1364</v>
      </c>
      <c r="B41" s="94"/>
      <c r="C41" s="95">
        <v>-0.02</v>
      </c>
      <c r="D41" s="95">
        <v>0.17</v>
      </c>
      <c r="E41" s="95">
        <v>0</v>
      </c>
      <c r="F41" s="95">
        <v>-0.02</v>
      </c>
      <c r="G41" s="95">
        <v>-0.01</v>
      </c>
      <c r="H41" s="95">
        <v>0.08</v>
      </c>
      <c r="I41" s="95">
        <v>0.01</v>
      </c>
      <c r="J41" s="95">
        <v>0.1</v>
      </c>
      <c r="K41" s="95">
        <v>0.05</v>
      </c>
      <c r="L41" s="95">
        <v>7.0000000000000007E-2</v>
      </c>
      <c r="M41" s="112">
        <v>-0.09</v>
      </c>
      <c r="N41" s="122">
        <v>0.28999999999999998</v>
      </c>
      <c r="O41" s="123">
        <v>0.03</v>
      </c>
      <c r="P41" s="123">
        <v>0.06</v>
      </c>
      <c r="Q41" s="123">
        <v>7.0000000000000007E-2</v>
      </c>
      <c r="R41" s="123">
        <v>-0.01</v>
      </c>
      <c r="S41" s="123">
        <v>-0.04</v>
      </c>
      <c r="T41" s="123">
        <v>0.09</v>
      </c>
      <c r="U41" s="123">
        <v>-7.0000000000000007E-2</v>
      </c>
      <c r="V41" s="123">
        <v>0.03</v>
      </c>
      <c r="W41" s="123">
        <v>7.0000000000000007E-2</v>
      </c>
      <c r="X41" s="123">
        <v>0.03</v>
      </c>
      <c r="Y41" s="123">
        <v>0</v>
      </c>
      <c r="Z41" s="123">
        <f t="shared" ref="Z41:AG41" si="29">(Z40-Y40)/Y40</f>
        <v>0.21087926373029484</v>
      </c>
      <c r="AA41" s="123">
        <f t="shared" si="29"/>
        <v>4.3689158907332534E-2</v>
      </c>
      <c r="AB41" s="123">
        <f t="shared" si="29"/>
        <v>-3.1174302569511248E-2</v>
      </c>
      <c r="AC41" s="116">
        <f t="shared" si="29"/>
        <v>7.4699804106291026E-2</v>
      </c>
      <c r="AD41" s="116">
        <f t="shared" si="29"/>
        <v>-4.1916428731774556E-2</v>
      </c>
      <c r="AE41" s="116">
        <f t="shared" si="29"/>
        <v>-6.5683034819560455E-3</v>
      </c>
      <c r="AF41" s="167">
        <f t="shared" si="29"/>
        <v>8.4262539532481195E-2</v>
      </c>
      <c r="AG41" s="172">
        <f t="shared" si="29"/>
        <v>-1.3594447885103365E-2</v>
      </c>
      <c r="AH41" s="172">
        <f t="shared" ref="AH41" si="30">(AH40-AG40)/AG40</f>
        <v>-1</v>
      </c>
      <c r="AI41" s="172" t="e">
        <f t="shared" ref="AI41" si="31">(AI40-AH40)/AH40</f>
        <v>#DIV/0!</v>
      </c>
      <c r="AJ41" s="172" t="e">
        <f t="shared" ref="AJ41" si="32">(AJ40-AI40)/AI40</f>
        <v>#DIV/0!</v>
      </c>
      <c r="AK41" s="172" t="e">
        <f t="shared" ref="AK41:AL41" si="33">(AK40-AJ40)/AJ40</f>
        <v>#DIV/0!</v>
      </c>
      <c r="AL41" s="172" t="e">
        <f t="shared" si="33"/>
        <v>#DIV/0!</v>
      </c>
    </row>
    <row r="42" spans="1:38">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row>
    <row r="43" spans="1:38">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row>
    <row r="44" spans="1:38">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row>
    <row r="45" spans="1:38">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row>
    <row r="46" spans="1:38">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row>
    <row r="47" spans="1:38">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row>
    <row r="48" spans="1:3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row>
    <row r="49" spans="1:30">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row>
    <row r="50" spans="1:3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30">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30">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30">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30">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sheetData>
  <phoneticPr fontId="13"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L488"/>
  <sheetViews>
    <sheetView topLeftCell="A430" zoomScale="85" zoomScaleNormal="85" workbookViewId="0">
      <selection activeCell="W450" sqref="W450"/>
    </sheetView>
  </sheetViews>
  <sheetFormatPr defaultRowHeight="15"/>
  <cols>
    <col min="1" max="1" width="21.5703125" customWidth="1"/>
    <col min="2" max="10" width="23.85546875" customWidth="1"/>
    <col min="11" max="11" width="22" customWidth="1"/>
    <col min="12" max="14" width="26.5703125" customWidth="1"/>
    <col min="15" max="23" width="23.85546875" customWidth="1"/>
    <col min="24" max="24" width="24.85546875" customWidth="1"/>
    <col min="25" max="25" width="25.85546875" customWidth="1"/>
    <col min="26" max="26" width="29.7109375" customWidth="1"/>
    <col min="27" max="27" width="28.85546875" customWidth="1"/>
    <col min="28" max="28" width="0" hidden="1" customWidth="1"/>
    <col min="29" max="29" width="9.140625" hidden="1" customWidth="1"/>
    <col min="30" max="30" width="14.5703125" hidden="1" customWidth="1"/>
    <col min="31" max="31" width="32.28515625" hidden="1" customWidth="1"/>
    <col min="32" max="32" width="26.140625" hidden="1" customWidth="1"/>
    <col min="33" max="33" width="31.5703125" hidden="1" customWidth="1"/>
    <col min="34" max="34" width="25.7109375" hidden="1" customWidth="1"/>
    <col min="35" max="35" width="30" hidden="1" customWidth="1"/>
    <col min="36" max="36" width="17.28515625" hidden="1" customWidth="1"/>
    <col min="37" max="37" width="0" hidden="1" customWidth="1"/>
  </cols>
  <sheetData>
    <row r="1" spans="1:36" hidden="1">
      <c r="A1" s="38" t="s">
        <v>5</v>
      </c>
      <c r="B1" s="38" t="s">
        <v>1365</v>
      </c>
      <c r="C1" s="38" t="s">
        <v>1366</v>
      </c>
      <c r="D1" s="38" t="s">
        <v>1367</v>
      </c>
      <c r="E1" s="38" t="s">
        <v>1368</v>
      </c>
      <c r="F1" s="38" t="s">
        <v>1369</v>
      </c>
      <c r="G1" s="38" t="s">
        <v>1370</v>
      </c>
      <c r="H1" s="38" t="s">
        <v>1371</v>
      </c>
      <c r="I1" s="38" t="s">
        <v>1372</v>
      </c>
      <c r="J1" s="38" t="s">
        <v>1373</v>
      </c>
      <c r="K1" s="38" t="s">
        <v>1374</v>
      </c>
      <c r="L1" s="38" t="s">
        <v>1375</v>
      </c>
      <c r="M1" s="38" t="s">
        <v>1376</v>
      </c>
      <c r="N1" s="38" t="s">
        <v>1377</v>
      </c>
      <c r="O1" s="38" t="s">
        <v>1378</v>
      </c>
      <c r="P1" s="38" t="s">
        <v>1379</v>
      </c>
      <c r="Q1" s="38" t="s">
        <v>1380</v>
      </c>
      <c r="R1" s="38" t="s">
        <v>1381</v>
      </c>
      <c r="S1" s="38" t="s">
        <v>1382</v>
      </c>
      <c r="T1" s="38" t="s">
        <v>1383</v>
      </c>
      <c r="U1" s="38" t="s">
        <v>1384</v>
      </c>
      <c r="V1" s="38" t="s">
        <v>1385</v>
      </c>
      <c r="W1" s="38" t="s">
        <v>1386</v>
      </c>
      <c r="X1" s="38" t="s">
        <v>1387</v>
      </c>
      <c r="Y1" s="38" t="s">
        <v>1388</v>
      </c>
      <c r="Z1" s="38" t="s">
        <v>1389</v>
      </c>
      <c r="AA1" s="38" t="s">
        <v>1390</v>
      </c>
      <c r="AD1" s="148" t="s">
        <v>1285</v>
      </c>
      <c r="AE1" s="38" t="s">
        <v>1391</v>
      </c>
      <c r="AF1" s="38" t="s">
        <v>1392</v>
      </c>
      <c r="AG1" s="38" t="s">
        <v>1393</v>
      </c>
      <c r="AH1" s="38" t="s">
        <v>1394</v>
      </c>
      <c r="AI1" s="38" t="s">
        <v>1395</v>
      </c>
      <c r="AJ1" s="38" t="s">
        <v>1396</v>
      </c>
    </row>
    <row r="2" spans="1:36" hidden="1">
      <c r="A2" s="39" t="s">
        <v>198</v>
      </c>
      <c r="B2" s="39">
        <v>3591</v>
      </c>
      <c r="C2" s="39">
        <v>5033</v>
      </c>
      <c r="D2" s="39">
        <v>3472</v>
      </c>
      <c r="E2" s="39">
        <v>6534</v>
      </c>
      <c r="F2" s="39">
        <v>5480</v>
      </c>
      <c r="G2" s="39">
        <v>4553</v>
      </c>
      <c r="H2" s="39">
        <v>15646</v>
      </c>
      <c r="I2" s="39">
        <v>5423</v>
      </c>
      <c r="J2" s="39">
        <v>4135</v>
      </c>
      <c r="K2">
        <v>3762</v>
      </c>
      <c r="L2">
        <v>3361</v>
      </c>
      <c r="M2">
        <v>2925</v>
      </c>
      <c r="N2">
        <v>5767</v>
      </c>
      <c r="O2">
        <v>830</v>
      </c>
      <c r="P2">
        <v>949</v>
      </c>
      <c r="Q2">
        <v>615</v>
      </c>
      <c r="R2">
        <v>1182</v>
      </c>
      <c r="S2">
        <v>1059</v>
      </c>
      <c r="T2">
        <v>868</v>
      </c>
      <c r="U2">
        <v>1282</v>
      </c>
      <c r="V2">
        <v>1003</v>
      </c>
      <c r="W2">
        <v>775</v>
      </c>
      <c r="X2">
        <v>791</v>
      </c>
      <c r="Y2">
        <v>762</v>
      </c>
      <c r="Z2">
        <v>607</v>
      </c>
      <c r="AA2">
        <v>836</v>
      </c>
      <c r="AD2" t="s">
        <v>692</v>
      </c>
      <c r="AE2" s="28">
        <v>67399</v>
      </c>
      <c r="AF2">
        <v>297250</v>
      </c>
      <c r="AG2">
        <v>63452</v>
      </c>
      <c r="AH2">
        <v>220366</v>
      </c>
    </row>
    <row r="3" spans="1:36" hidden="1">
      <c r="A3" s="39" t="s">
        <v>316</v>
      </c>
      <c r="B3" s="39">
        <v>1487</v>
      </c>
      <c r="C3" s="39">
        <v>1490</v>
      </c>
      <c r="D3" s="39">
        <v>1213</v>
      </c>
      <c r="E3" s="39">
        <v>1477</v>
      </c>
      <c r="F3" s="39">
        <v>1181</v>
      </c>
      <c r="G3" s="39">
        <v>1914</v>
      </c>
      <c r="H3" s="39">
        <v>1610</v>
      </c>
      <c r="I3" s="39">
        <v>1971</v>
      </c>
      <c r="J3" s="39">
        <v>3959</v>
      </c>
      <c r="K3">
        <v>1873</v>
      </c>
      <c r="L3">
        <v>556</v>
      </c>
      <c r="M3">
        <v>3789</v>
      </c>
      <c r="N3">
        <v>7411</v>
      </c>
      <c r="O3">
        <v>368</v>
      </c>
      <c r="P3">
        <v>393</v>
      </c>
      <c r="Q3">
        <v>316</v>
      </c>
      <c r="R3">
        <v>369</v>
      </c>
      <c r="S3">
        <v>352</v>
      </c>
      <c r="T3">
        <v>508</v>
      </c>
      <c r="U3">
        <v>475</v>
      </c>
      <c r="V3">
        <v>519</v>
      </c>
      <c r="W3">
        <v>1081</v>
      </c>
      <c r="X3">
        <v>483</v>
      </c>
      <c r="Y3">
        <v>156</v>
      </c>
      <c r="Z3">
        <v>1067</v>
      </c>
      <c r="AA3">
        <v>1424</v>
      </c>
      <c r="AD3" t="s">
        <v>168</v>
      </c>
      <c r="AE3" s="28">
        <v>4822</v>
      </c>
      <c r="AF3">
        <v>29959</v>
      </c>
      <c r="AG3">
        <v>4146</v>
      </c>
      <c r="AH3">
        <v>24385</v>
      </c>
    </row>
    <row r="4" spans="1:36" hidden="1">
      <c r="A4" s="39" t="s">
        <v>140</v>
      </c>
      <c r="B4" s="39">
        <v>16658</v>
      </c>
      <c r="C4" s="39">
        <v>30899</v>
      </c>
      <c r="D4" s="39">
        <v>78885</v>
      </c>
      <c r="E4" s="39">
        <v>85527</v>
      </c>
      <c r="F4" s="39">
        <v>47308</v>
      </c>
      <c r="G4" s="39">
        <v>81411</v>
      </c>
      <c r="H4" s="39">
        <v>35571</v>
      </c>
      <c r="I4" s="39">
        <v>48721</v>
      </c>
      <c r="J4" s="39">
        <v>25564</v>
      </c>
      <c r="K4">
        <v>23851</v>
      </c>
      <c r="L4">
        <v>39817</v>
      </c>
      <c r="M4">
        <v>14538</v>
      </c>
      <c r="N4">
        <v>54946</v>
      </c>
      <c r="O4">
        <v>3336</v>
      </c>
      <c r="P4">
        <v>5787</v>
      </c>
      <c r="Q4">
        <v>12299</v>
      </c>
      <c r="R4">
        <v>11391</v>
      </c>
      <c r="S4">
        <v>8342</v>
      </c>
      <c r="T4">
        <v>14734</v>
      </c>
      <c r="U4">
        <v>7820</v>
      </c>
      <c r="V4">
        <v>11514</v>
      </c>
      <c r="W4">
        <v>6245</v>
      </c>
      <c r="X4">
        <v>6054</v>
      </c>
      <c r="Y4">
        <v>10104</v>
      </c>
      <c r="Z4">
        <v>4521</v>
      </c>
      <c r="AA4">
        <v>10395</v>
      </c>
      <c r="AD4" t="s">
        <v>33</v>
      </c>
      <c r="AE4" s="28">
        <v>10249</v>
      </c>
      <c r="AF4">
        <v>30497</v>
      </c>
      <c r="AG4">
        <v>11317</v>
      </c>
      <c r="AH4">
        <v>40299</v>
      </c>
    </row>
    <row r="5" spans="1:36" hidden="1">
      <c r="A5" s="39" t="s">
        <v>918</v>
      </c>
      <c r="B5" s="39">
        <v>1398</v>
      </c>
      <c r="C5" s="39">
        <v>1450</v>
      </c>
      <c r="D5" s="39">
        <v>1595</v>
      </c>
      <c r="E5" s="39">
        <v>1135</v>
      </c>
      <c r="F5" s="39">
        <v>997</v>
      </c>
      <c r="G5" s="39">
        <v>1326</v>
      </c>
      <c r="H5" s="39">
        <v>1041</v>
      </c>
      <c r="I5" s="39">
        <v>798</v>
      </c>
      <c r="J5" s="39">
        <v>627</v>
      </c>
      <c r="K5">
        <v>744</v>
      </c>
      <c r="L5">
        <v>533</v>
      </c>
      <c r="M5">
        <v>695</v>
      </c>
      <c r="N5">
        <v>1260</v>
      </c>
      <c r="O5">
        <v>273</v>
      </c>
      <c r="P5">
        <v>281</v>
      </c>
      <c r="Q5">
        <v>271</v>
      </c>
      <c r="R5">
        <v>250</v>
      </c>
      <c r="S5">
        <v>231</v>
      </c>
      <c r="T5">
        <v>274</v>
      </c>
      <c r="U5">
        <v>238</v>
      </c>
      <c r="V5">
        <v>252</v>
      </c>
      <c r="W5">
        <v>168</v>
      </c>
      <c r="X5">
        <v>283</v>
      </c>
      <c r="Y5">
        <v>170</v>
      </c>
      <c r="Z5">
        <v>162</v>
      </c>
      <c r="AA5">
        <v>272</v>
      </c>
      <c r="AD5" t="s">
        <v>30</v>
      </c>
      <c r="AE5" s="28">
        <v>26241</v>
      </c>
      <c r="AF5">
        <v>119613</v>
      </c>
      <c r="AG5">
        <v>21449</v>
      </c>
      <c r="AH5">
        <v>89404</v>
      </c>
    </row>
    <row r="6" spans="1:36" hidden="1">
      <c r="A6" s="39" t="s">
        <v>554</v>
      </c>
      <c r="B6" s="39">
        <v>3844</v>
      </c>
      <c r="C6" s="39">
        <v>4014</v>
      </c>
      <c r="D6" s="39">
        <v>4538</v>
      </c>
      <c r="E6" s="39">
        <v>5254</v>
      </c>
      <c r="F6" s="39">
        <v>4263</v>
      </c>
      <c r="G6" s="39">
        <v>2871</v>
      </c>
      <c r="H6" s="39">
        <v>5344</v>
      </c>
      <c r="I6" s="39">
        <v>3059</v>
      </c>
      <c r="J6" s="39">
        <v>3399</v>
      </c>
      <c r="K6">
        <v>3929</v>
      </c>
      <c r="L6">
        <v>4007</v>
      </c>
      <c r="M6">
        <v>4426</v>
      </c>
      <c r="N6">
        <v>4126</v>
      </c>
      <c r="O6">
        <v>967</v>
      </c>
      <c r="P6">
        <v>1074</v>
      </c>
      <c r="Q6">
        <v>966</v>
      </c>
      <c r="R6">
        <v>1242</v>
      </c>
      <c r="S6">
        <v>1147</v>
      </c>
      <c r="T6">
        <v>881</v>
      </c>
      <c r="U6">
        <v>878</v>
      </c>
      <c r="V6">
        <v>833</v>
      </c>
      <c r="W6">
        <v>864</v>
      </c>
      <c r="X6">
        <v>995</v>
      </c>
      <c r="Y6">
        <v>1181</v>
      </c>
      <c r="Z6">
        <v>1259</v>
      </c>
      <c r="AA6">
        <v>1148</v>
      </c>
      <c r="AD6" t="s">
        <v>27</v>
      </c>
      <c r="AE6" s="28">
        <v>20605</v>
      </c>
      <c r="AF6">
        <v>87723</v>
      </c>
      <c r="AG6">
        <v>17467</v>
      </c>
      <c r="AH6">
        <v>88572</v>
      </c>
    </row>
    <row r="7" spans="1:36" hidden="1">
      <c r="A7" s="39" t="s">
        <v>73</v>
      </c>
      <c r="B7" s="39">
        <v>5966</v>
      </c>
      <c r="C7" s="39">
        <v>5536</v>
      </c>
      <c r="D7" s="39">
        <v>4172</v>
      </c>
      <c r="E7" s="39">
        <v>4356</v>
      </c>
      <c r="F7" s="39">
        <v>3592</v>
      </c>
      <c r="G7" s="39">
        <v>3729</v>
      </c>
      <c r="H7" s="39">
        <v>4120</v>
      </c>
      <c r="I7" s="39">
        <v>3692</v>
      </c>
      <c r="J7" s="39">
        <v>4656</v>
      </c>
      <c r="K7">
        <v>4414</v>
      </c>
      <c r="L7">
        <v>4545</v>
      </c>
      <c r="M7">
        <v>4562</v>
      </c>
      <c r="N7">
        <v>4126</v>
      </c>
      <c r="O7">
        <v>1085</v>
      </c>
      <c r="P7">
        <v>973</v>
      </c>
      <c r="Q7">
        <v>761</v>
      </c>
      <c r="R7">
        <v>844</v>
      </c>
      <c r="S7">
        <v>776</v>
      </c>
      <c r="T7">
        <v>736</v>
      </c>
      <c r="U7">
        <v>760</v>
      </c>
      <c r="V7">
        <v>886</v>
      </c>
      <c r="W7">
        <v>993</v>
      </c>
      <c r="X7">
        <v>938</v>
      </c>
      <c r="Y7">
        <v>1001</v>
      </c>
      <c r="Z7">
        <v>987</v>
      </c>
      <c r="AA7">
        <v>926</v>
      </c>
      <c r="AD7" t="s">
        <v>682</v>
      </c>
      <c r="AE7" s="28">
        <v>6929</v>
      </c>
      <c r="AF7">
        <v>20535</v>
      </c>
      <c r="AG7">
        <v>6853</v>
      </c>
      <c r="AH7">
        <v>20846</v>
      </c>
    </row>
    <row r="8" spans="1:36" hidden="1">
      <c r="A8" s="39" t="s">
        <v>504</v>
      </c>
      <c r="B8" s="39">
        <v>1688</v>
      </c>
      <c r="C8" s="39">
        <v>1592</v>
      </c>
      <c r="D8" s="39">
        <v>1521</v>
      </c>
      <c r="E8" s="39">
        <v>1648</v>
      </c>
      <c r="F8" s="39">
        <v>1746</v>
      </c>
      <c r="G8" s="39">
        <v>1535</v>
      </c>
      <c r="H8" s="39">
        <v>1551</v>
      </c>
      <c r="I8" s="39">
        <v>1971</v>
      </c>
      <c r="J8" s="39">
        <v>2343</v>
      </c>
      <c r="K8">
        <v>2362</v>
      </c>
      <c r="L8">
        <v>1558</v>
      </c>
      <c r="M8">
        <v>1189</v>
      </c>
      <c r="N8">
        <v>4102</v>
      </c>
      <c r="O8">
        <v>348</v>
      </c>
      <c r="P8">
        <v>338</v>
      </c>
      <c r="Q8">
        <v>372</v>
      </c>
      <c r="R8">
        <v>366</v>
      </c>
      <c r="S8">
        <v>403</v>
      </c>
      <c r="T8">
        <v>328</v>
      </c>
      <c r="U8">
        <v>379</v>
      </c>
      <c r="V8">
        <v>466</v>
      </c>
      <c r="W8">
        <v>504</v>
      </c>
      <c r="X8">
        <v>536</v>
      </c>
      <c r="Y8">
        <v>430</v>
      </c>
      <c r="Z8">
        <v>296</v>
      </c>
      <c r="AA8">
        <v>553</v>
      </c>
      <c r="AD8" t="s">
        <v>676</v>
      </c>
      <c r="AE8" s="28">
        <v>2129</v>
      </c>
      <c r="AF8">
        <v>8488</v>
      </c>
      <c r="AG8">
        <v>2143</v>
      </c>
      <c r="AH8">
        <v>9087</v>
      </c>
    </row>
    <row r="9" spans="1:36" hidden="1">
      <c r="A9" s="39" t="s">
        <v>202</v>
      </c>
      <c r="B9" s="39">
        <v>2241</v>
      </c>
      <c r="C9" s="39">
        <v>2869</v>
      </c>
      <c r="D9" s="39">
        <v>2475</v>
      </c>
      <c r="E9" s="39">
        <v>2346</v>
      </c>
      <c r="F9" s="39">
        <v>2356</v>
      </c>
      <c r="G9" s="39">
        <v>2232</v>
      </c>
      <c r="H9" s="39">
        <v>2382</v>
      </c>
      <c r="I9" s="39">
        <v>2655</v>
      </c>
      <c r="J9" s="39">
        <v>2719</v>
      </c>
      <c r="K9">
        <v>3108</v>
      </c>
      <c r="L9">
        <v>2807</v>
      </c>
      <c r="M9">
        <v>2079</v>
      </c>
      <c r="N9">
        <v>4200</v>
      </c>
      <c r="O9">
        <v>822</v>
      </c>
      <c r="P9">
        <v>840</v>
      </c>
      <c r="Q9">
        <v>824</v>
      </c>
      <c r="R9">
        <v>668</v>
      </c>
      <c r="S9">
        <v>697</v>
      </c>
      <c r="T9">
        <v>695</v>
      </c>
      <c r="U9">
        <v>718</v>
      </c>
      <c r="V9">
        <v>757</v>
      </c>
      <c r="W9">
        <v>905</v>
      </c>
      <c r="X9">
        <v>998</v>
      </c>
      <c r="Y9">
        <v>1037</v>
      </c>
      <c r="Z9">
        <v>703</v>
      </c>
      <c r="AA9">
        <v>1185</v>
      </c>
      <c r="AD9" t="s">
        <v>81</v>
      </c>
      <c r="AE9" s="28">
        <v>11862</v>
      </c>
      <c r="AF9">
        <v>26335</v>
      </c>
      <c r="AG9">
        <v>11360</v>
      </c>
      <c r="AH9">
        <v>25016</v>
      </c>
    </row>
    <row r="10" spans="1:36" hidden="1">
      <c r="A10" s="39" t="s">
        <v>678</v>
      </c>
      <c r="B10" s="39">
        <v>4923</v>
      </c>
      <c r="C10" s="39">
        <v>5641</v>
      </c>
      <c r="D10" s="39">
        <v>4456</v>
      </c>
      <c r="E10" s="39">
        <v>4936</v>
      </c>
      <c r="F10" s="39">
        <v>5716</v>
      </c>
      <c r="G10" s="39">
        <v>6278</v>
      </c>
      <c r="H10" s="39">
        <v>5569</v>
      </c>
      <c r="I10" s="39">
        <v>5685</v>
      </c>
      <c r="J10" s="39">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c r="AD10" t="s">
        <v>73</v>
      </c>
      <c r="AE10" s="28">
        <v>4129</v>
      </c>
      <c r="AF10">
        <v>18813</v>
      </c>
      <c r="AG10">
        <v>5345</v>
      </c>
      <c r="AH10">
        <v>22943</v>
      </c>
    </row>
    <row r="11" spans="1:36" hidden="1">
      <c r="A11" s="39" t="s">
        <v>212</v>
      </c>
      <c r="B11" s="39">
        <v>861</v>
      </c>
      <c r="C11" s="39">
        <v>747</v>
      </c>
      <c r="D11" s="39">
        <v>763</v>
      </c>
      <c r="E11" s="39">
        <v>879</v>
      </c>
      <c r="F11" s="39">
        <v>857</v>
      </c>
      <c r="G11" s="39">
        <v>797</v>
      </c>
      <c r="H11" s="39">
        <v>772</v>
      </c>
      <c r="I11" s="39">
        <v>826</v>
      </c>
      <c r="J11" s="39">
        <v>821</v>
      </c>
      <c r="K11">
        <v>798</v>
      </c>
      <c r="L11">
        <v>649</v>
      </c>
      <c r="M11">
        <v>650</v>
      </c>
      <c r="N11">
        <v>1190</v>
      </c>
      <c r="O11">
        <v>171</v>
      </c>
      <c r="P11">
        <v>137</v>
      </c>
      <c r="Q11">
        <v>126</v>
      </c>
      <c r="R11">
        <v>178</v>
      </c>
      <c r="S11">
        <v>171</v>
      </c>
      <c r="T11">
        <v>179</v>
      </c>
      <c r="U11">
        <v>173</v>
      </c>
      <c r="V11">
        <v>174</v>
      </c>
      <c r="W11">
        <v>205</v>
      </c>
      <c r="X11">
        <v>189</v>
      </c>
      <c r="Y11">
        <v>180</v>
      </c>
      <c r="Z11">
        <v>152</v>
      </c>
      <c r="AA11">
        <v>228</v>
      </c>
      <c r="AD11" t="s">
        <v>140</v>
      </c>
      <c r="AE11" s="28">
        <v>25786</v>
      </c>
      <c r="AF11">
        <v>115850</v>
      </c>
      <c r="AG11">
        <v>23841</v>
      </c>
      <c r="AH11">
        <v>98104</v>
      </c>
    </row>
    <row r="12" spans="1:36" hidden="1">
      <c r="A12" s="39" t="s">
        <v>732</v>
      </c>
      <c r="B12" s="39">
        <v>4756</v>
      </c>
      <c r="C12" s="39">
        <v>4401</v>
      </c>
      <c r="D12" s="39">
        <v>3375</v>
      </c>
      <c r="E12" s="39">
        <v>2711</v>
      </c>
      <c r="F12" s="39">
        <v>2154</v>
      </c>
      <c r="G12" s="39">
        <v>2492</v>
      </c>
      <c r="H12" s="39">
        <v>2441</v>
      </c>
      <c r="I12" s="39">
        <v>2387</v>
      </c>
      <c r="J12" s="39">
        <v>2192</v>
      </c>
      <c r="K12">
        <v>5826</v>
      </c>
      <c r="L12">
        <v>1778</v>
      </c>
      <c r="M12">
        <v>2728</v>
      </c>
      <c r="N12">
        <v>3129</v>
      </c>
      <c r="O12">
        <v>1284</v>
      </c>
      <c r="P12">
        <v>1113</v>
      </c>
      <c r="Q12">
        <v>889</v>
      </c>
      <c r="R12">
        <v>656</v>
      </c>
      <c r="S12">
        <v>730</v>
      </c>
      <c r="T12">
        <v>754</v>
      </c>
      <c r="U12">
        <v>744</v>
      </c>
      <c r="V12">
        <v>764</v>
      </c>
      <c r="W12">
        <v>748</v>
      </c>
      <c r="X12">
        <v>1657</v>
      </c>
      <c r="Y12">
        <v>615</v>
      </c>
      <c r="Z12">
        <v>808</v>
      </c>
      <c r="AA12">
        <v>909</v>
      </c>
      <c r="AD12" t="s">
        <v>684</v>
      </c>
      <c r="AE12" s="28">
        <v>4818</v>
      </c>
      <c r="AF12">
        <v>12139</v>
      </c>
      <c r="AG12">
        <v>3375</v>
      </c>
      <c r="AH12">
        <v>8797</v>
      </c>
    </row>
    <row r="13" spans="1:36" hidden="1">
      <c r="A13" s="39" t="s">
        <v>904</v>
      </c>
      <c r="B13" s="39">
        <v>532</v>
      </c>
      <c r="C13" s="39">
        <v>765</v>
      </c>
      <c r="D13" s="39">
        <v>1661</v>
      </c>
      <c r="E13" s="39">
        <v>674</v>
      </c>
      <c r="F13" s="39">
        <v>684</v>
      </c>
      <c r="G13" s="39">
        <v>1793</v>
      </c>
      <c r="H13" s="39">
        <v>963</v>
      </c>
      <c r="I13" s="39">
        <v>922</v>
      </c>
      <c r="J13" s="39">
        <v>637</v>
      </c>
      <c r="K13">
        <v>525</v>
      </c>
      <c r="L13">
        <v>470</v>
      </c>
      <c r="M13">
        <v>483</v>
      </c>
      <c r="N13">
        <v>494</v>
      </c>
      <c r="O13">
        <v>129</v>
      </c>
      <c r="P13">
        <v>168</v>
      </c>
      <c r="Q13">
        <v>265</v>
      </c>
      <c r="R13">
        <v>169</v>
      </c>
      <c r="S13">
        <v>145</v>
      </c>
      <c r="T13">
        <v>303</v>
      </c>
      <c r="U13">
        <v>216</v>
      </c>
      <c r="V13">
        <v>240</v>
      </c>
      <c r="W13">
        <v>174</v>
      </c>
      <c r="X13">
        <v>192</v>
      </c>
      <c r="Y13">
        <v>153</v>
      </c>
      <c r="Z13">
        <v>152</v>
      </c>
      <c r="AA13">
        <v>143</v>
      </c>
      <c r="AD13" t="s">
        <v>202</v>
      </c>
      <c r="AE13" s="28">
        <v>3732</v>
      </c>
      <c r="AF13">
        <v>12113</v>
      </c>
      <c r="AG13">
        <v>3441</v>
      </c>
      <c r="AH13">
        <v>11479</v>
      </c>
    </row>
    <row r="14" spans="1:36" hidden="1">
      <c r="A14" s="39" t="s">
        <v>524</v>
      </c>
      <c r="B14" s="39">
        <v>1912</v>
      </c>
      <c r="C14" s="39">
        <v>1956</v>
      </c>
      <c r="D14" s="39">
        <v>1740</v>
      </c>
      <c r="E14" s="39">
        <v>1413</v>
      </c>
      <c r="F14" s="39">
        <v>1833</v>
      </c>
      <c r="G14" s="39">
        <v>2677</v>
      </c>
      <c r="H14" s="39">
        <v>2190</v>
      </c>
      <c r="I14" s="39">
        <v>2027</v>
      </c>
      <c r="J14" s="39">
        <v>1633</v>
      </c>
      <c r="K14">
        <v>1832</v>
      </c>
      <c r="L14">
        <v>1435</v>
      </c>
      <c r="M14">
        <v>1408</v>
      </c>
      <c r="N14">
        <v>1776</v>
      </c>
      <c r="O14">
        <v>304</v>
      </c>
      <c r="P14">
        <v>366</v>
      </c>
      <c r="Q14">
        <v>351</v>
      </c>
      <c r="R14">
        <v>345</v>
      </c>
      <c r="S14">
        <v>462</v>
      </c>
      <c r="T14">
        <v>590</v>
      </c>
      <c r="U14">
        <v>553</v>
      </c>
      <c r="V14">
        <v>572</v>
      </c>
      <c r="W14">
        <v>459</v>
      </c>
      <c r="X14">
        <v>453</v>
      </c>
      <c r="Y14">
        <v>421</v>
      </c>
      <c r="Z14">
        <v>396</v>
      </c>
      <c r="AA14">
        <v>518</v>
      </c>
      <c r="AD14" t="s">
        <v>690</v>
      </c>
      <c r="AE14" s="28">
        <v>11641</v>
      </c>
      <c r="AF14">
        <v>28899</v>
      </c>
      <c r="AG14">
        <v>10424</v>
      </c>
      <c r="AH14">
        <v>27780</v>
      </c>
    </row>
    <row r="15" spans="1:36" hidden="1">
      <c r="A15" s="39" t="s">
        <v>374</v>
      </c>
      <c r="B15" s="39">
        <v>1255</v>
      </c>
      <c r="C15" s="39">
        <v>1309</v>
      </c>
      <c r="D15" s="39">
        <v>1188</v>
      </c>
      <c r="E15" s="39">
        <v>1177</v>
      </c>
      <c r="F15" s="39">
        <v>969</v>
      </c>
      <c r="G15" s="39">
        <v>930</v>
      </c>
      <c r="H15" s="39">
        <v>983</v>
      </c>
      <c r="I15" s="39">
        <v>1126</v>
      </c>
      <c r="J15" s="39">
        <v>1079</v>
      </c>
      <c r="K15">
        <v>1054</v>
      </c>
      <c r="L15">
        <v>1015</v>
      </c>
      <c r="M15">
        <v>906</v>
      </c>
      <c r="N15">
        <v>1289</v>
      </c>
      <c r="O15">
        <v>201</v>
      </c>
      <c r="P15">
        <v>168</v>
      </c>
      <c r="Q15">
        <v>212</v>
      </c>
      <c r="R15">
        <v>230</v>
      </c>
      <c r="S15">
        <v>223</v>
      </c>
      <c r="T15">
        <v>261</v>
      </c>
      <c r="U15">
        <v>188</v>
      </c>
      <c r="V15">
        <v>247</v>
      </c>
      <c r="W15">
        <v>263</v>
      </c>
      <c r="X15">
        <v>227</v>
      </c>
      <c r="Y15">
        <v>227</v>
      </c>
      <c r="Z15">
        <v>174</v>
      </c>
      <c r="AA15">
        <v>290</v>
      </c>
      <c r="AD15" t="s">
        <v>694</v>
      </c>
      <c r="AE15" s="28">
        <v>7271</v>
      </c>
      <c r="AF15">
        <v>24464</v>
      </c>
      <c r="AG15">
        <v>10543</v>
      </c>
      <c r="AH15">
        <v>40468</v>
      </c>
    </row>
    <row r="16" spans="1:36" hidden="1">
      <c r="A16" s="39" t="s">
        <v>226</v>
      </c>
      <c r="B16" s="39">
        <v>2626</v>
      </c>
      <c r="C16" s="39">
        <v>3952</v>
      </c>
      <c r="D16" s="39">
        <v>4615</v>
      </c>
      <c r="E16" s="39">
        <v>2880</v>
      </c>
      <c r="F16" s="39">
        <v>2635</v>
      </c>
      <c r="G16" s="39">
        <v>2191</v>
      </c>
      <c r="H16" s="39">
        <v>2469</v>
      </c>
      <c r="I16" s="39">
        <v>2406</v>
      </c>
      <c r="J16" s="39">
        <v>2429</v>
      </c>
      <c r="K16">
        <v>2214</v>
      </c>
      <c r="L16">
        <v>2115</v>
      </c>
      <c r="M16">
        <v>2439</v>
      </c>
      <c r="N16">
        <v>3954</v>
      </c>
      <c r="O16">
        <v>568</v>
      </c>
      <c r="P16">
        <v>843</v>
      </c>
      <c r="Q16">
        <v>962</v>
      </c>
      <c r="R16">
        <v>740</v>
      </c>
      <c r="S16">
        <v>734</v>
      </c>
      <c r="T16">
        <v>678</v>
      </c>
      <c r="U16">
        <v>625</v>
      </c>
      <c r="V16">
        <v>683</v>
      </c>
      <c r="W16">
        <v>742</v>
      </c>
      <c r="X16">
        <v>685</v>
      </c>
      <c r="Y16">
        <v>663</v>
      </c>
      <c r="Z16">
        <v>623</v>
      </c>
      <c r="AA16">
        <v>984</v>
      </c>
      <c r="AD16" t="s">
        <v>192</v>
      </c>
      <c r="AE16" s="28">
        <v>4069</v>
      </c>
      <c r="AF16">
        <v>14752</v>
      </c>
      <c r="AG16">
        <v>3844</v>
      </c>
      <c r="AH16">
        <v>14485</v>
      </c>
    </row>
    <row r="17" spans="1:34" hidden="1">
      <c r="A17" s="39" t="s">
        <v>350</v>
      </c>
      <c r="B17" s="39">
        <v>2251</v>
      </c>
      <c r="C17" s="39">
        <v>1981</v>
      </c>
      <c r="D17" s="39">
        <v>2209</v>
      </c>
      <c r="E17" s="39">
        <v>1972</v>
      </c>
      <c r="F17" s="39">
        <v>2037</v>
      </c>
      <c r="G17" s="39">
        <v>1574</v>
      </c>
      <c r="H17" s="39">
        <v>1888</v>
      </c>
      <c r="I17" s="39">
        <v>1598</v>
      </c>
      <c r="J17" s="39">
        <v>1823</v>
      </c>
      <c r="K17">
        <v>1655</v>
      </c>
      <c r="L17">
        <v>1763</v>
      </c>
      <c r="M17">
        <v>1796</v>
      </c>
      <c r="N17">
        <v>2081</v>
      </c>
      <c r="O17">
        <v>468</v>
      </c>
      <c r="P17">
        <v>440</v>
      </c>
      <c r="Q17">
        <v>411</v>
      </c>
      <c r="R17">
        <v>391</v>
      </c>
      <c r="S17">
        <v>403</v>
      </c>
      <c r="T17">
        <v>297</v>
      </c>
      <c r="U17">
        <v>327</v>
      </c>
      <c r="V17">
        <v>286</v>
      </c>
      <c r="W17">
        <v>353</v>
      </c>
      <c r="X17">
        <v>316</v>
      </c>
      <c r="Y17">
        <v>411</v>
      </c>
      <c r="Z17">
        <v>390</v>
      </c>
      <c r="AA17">
        <v>494</v>
      </c>
      <c r="AD17" t="s">
        <v>638</v>
      </c>
      <c r="AE17" s="28">
        <v>3689</v>
      </c>
      <c r="AF17">
        <v>14117</v>
      </c>
      <c r="AG17">
        <v>3473</v>
      </c>
      <c r="AH17">
        <v>14892</v>
      </c>
    </row>
    <row r="18" spans="1:34" hidden="1">
      <c r="A18" s="39" t="s">
        <v>534</v>
      </c>
      <c r="B18" s="39">
        <v>2912</v>
      </c>
      <c r="C18" s="39">
        <v>3613</v>
      </c>
      <c r="D18" s="39">
        <v>3895</v>
      </c>
      <c r="E18" s="39">
        <v>3361</v>
      </c>
      <c r="F18" s="39">
        <v>2176</v>
      </c>
      <c r="G18" s="39">
        <v>2473</v>
      </c>
      <c r="H18" s="39">
        <v>1708</v>
      </c>
      <c r="I18" s="39">
        <v>1921</v>
      </c>
      <c r="J18" s="39">
        <v>2401</v>
      </c>
      <c r="K18">
        <v>1834</v>
      </c>
      <c r="L18">
        <v>1629</v>
      </c>
      <c r="M18">
        <v>1433</v>
      </c>
      <c r="N18">
        <v>1702</v>
      </c>
      <c r="O18">
        <v>681</v>
      </c>
      <c r="P18">
        <v>842</v>
      </c>
      <c r="Q18">
        <v>1179</v>
      </c>
      <c r="R18">
        <v>984</v>
      </c>
      <c r="S18">
        <v>676</v>
      </c>
      <c r="T18">
        <v>707</v>
      </c>
      <c r="U18">
        <v>580</v>
      </c>
      <c r="V18">
        <v>624</v>
      </c>
      <c r="W18">
        <v>764</v>
      </c>
      <c r="X18">
        <v>664</v>
      </c>
      <c r="Y18">
        <v>605</v>
      </c>
      <c r="Z18">
        <v>520</v>
      </c>
      <c r="AA18">
        <v>599</v>
      </c>
      <c r="AD18" t="s">
        <v>654</v>
      </c>
      <c r="AE18" s="28">
        <v>1500</v>
      </c>
      <c r="AF18">
        <v>6351</v>
      </c>
      <c r="AH18">
        <v>0</v>
      </c>
    </row>
    <row r="19" spans="1:34" hidden="1">
      <c r="A19" s="39" t="s">
        <v>544</v>
      </c>
      <c r="B19" s="39">
        <v>0</v>
      </c>
      <c r="C19" s="39">
        <v>1748</v>
      </c>
      <c r="D19" s="39">
        <v>1392</v>
      </c>
      <c r="E19" s="39">
        <v>1702</v>
      </c>
      <c r="F19" s="39">
        <v>1694</v>
      </c>
      <c r="G19" s="39">
        <v>1549</v>
      </c>
      <c r="H19" s="39">
        <v>1385</v>
      </c>
      <c r="I19" s="39">
        <v>893</v>
      </c>
      <c r="J19" s="39">
        <v>1336</v>
      </c>
      <c r="K19">
        <v>1120</v>
      </c>
      <c r="L19">
        <v>1198</v>
      </c>
      <c r="M19">
        <v>1005</v>
      </c>
      <c r="N19">
        <v>1435</v>
      </c>
      <c r="O19">
        <v>0</v>
      </c>
      <c r="P19">
        <v>287</v>
      </c>
      <c r="Q19">
        <v>199</v>
      </c>
      <c r="R19">
        <v>228</v>
      </c>
      <c r="S19">
        <v>225</v>
      </c>
      <c r="T19">
        <v>203</v>
      </c>
      <c r="U19">
        <v>218</v>
      </c>
      <c r="V19">
        <v>202</v>
      </c>
      <c r="W19">
        <v>274</v>
      </c>
      <c r="X19">
        <v>235</v>
      </c>
      <c r="Y19">
        <v>206</v>
      </c>
      <c r="Z19">
        <v>197</v>
      </c>
      <c r="AA19">
        <v>274</v>
      </c>
      <c r="AD19" t="s">
        <v>156</v>
      </c>
      <c r="AE19" s="28">
        <v>2196</v>
      </c>
      <c r="AF19">
        <v>5001</v>
      </c>
      <c r="AG19">
        <v>2246</v>
      </c>
      <c r="AH19">
        <v>4686</v>
      </c>
    </row>
    <row r="20" spans="1:34" hidden="1">
      <c r="A20" s="39" t="s">
        <v>304</v>
      </c>
      <c r="B20" s="39">
        <v>1166</v>
      </c>
      <c r="C20" s="39">
        <v>1365</v>
      </c>
      <c r="D20" s="39">
        <v>1305</v>
      </c>
      <c r="E20" s="39">
        <v>1369</v>
      </c>
      <c r="F20" s="39">
        <v>1204</v>
      </c>
      <c r="G20" s="39">
        <v>1479</v>
      </c>
      <c r="H20" s="39">
        <v>2276</v>
      </c>
      <c r="I20" s="39">
        <v>2413</v>
      </c>
      <c r="J20" s="39">
        <v>2415</v>
      </c>
      <c r="K20">
        <v>1982</v>
      </c>
      <c r="L20">
        <v>1332</v>
      </c>
      <c r="M20">
        <v>1273</v>
      </c>
      <c r="N20">
        <v>1332</v>
      </c>
      <c r="O20">
        <v>191</v>
      </c>
      <c r="P20">
        <v>245</v>
      </c>
      <c r="Q20">
        <v>282</v>
      </c>
      <c r="R20">
        <v>280</v>
      </c>
      <c r="S20">
        <v>242</v>
      </c>
      <c r="T20">
        <v>289</v>
      </c>
      <c r="U20">
        <v>294</v>
      </c>
      <c r="V20">
        <v>321</v>
      </c>
      <c r="W20">
        <v>314</v>
      </c>
      <c r="X20">
        <v>255</v>
      </c>
      <c r="Y20">
        <v>225</v>
      </c>
      <c r="Z20">
        <v>186</v>
      </c>
      <c r="AA20">
        <v>238</v>
      </c>
      <c r="AD20" t="s">
        <v>648</v>
      </c>
      <c r="AE20" s="28">
        <v>1326</v>
      </c>
      <c r="AF20">
        <v>7012</v>
      </c>
      <c r="AH20">
        <v>0</v>
      </c>
    </row>
    <row r="21" spans="1:34" hidden="1">
      <c r="A21" s="39" t="s">
        <v>114</v>
      </c>
      <c r="B21" s="39">
        <v>0</v>
      </c>
      <c r="C21" s="39">
        <v>2043</v>
      </c>
      <c r="D21" s="39">
        <v>2010</v>
      </c>
      <c r="E21" s="39">
        <v>1973</v>
      </c>
      <c r="F21" s="39">
        <v>1304</v>
      </c>
      <c r="G21" s="39">
        <v>1219</v>
      </c>
      <c r="H21" s="39">
        <v>1175</v>
      </c>
      <c r="I21" s="39">
        <v>1201</v>
      </c>
      <c r="J21" s="39">
        <v>1105</v>
      </c>
      <c r="K21">
        <v>1069</v>
      </c>
      <c r="L21">
        <v>983</v>
      </c>
      <c r="M21">
        <v>992</v>
      </c>
      <c r="N21">
        <v>1228</v>
      </c>
      <c r="O21">
        <v>0</v>
      </c>
      <c r="P21">
        <v>795</v>
      </c>
      <c r="Q21">
        <v>769</v>
      </c>
      <c r="R21">
        <v>713</v>
      </c>
      <c r="S21">
        <v>483</v>
      </c>
      <c r="T21">
        <v>508</v>
      </c>
      <c r="U21">
        <v>479</v>
      </c>
      <c r="V21">
        <v>509</v>
      </c>
      <c r="W21">
        <v>484</v>
      </c>
      <c r="X21">
        <v>452</v>
      </c>
      <c r="Y21">
        <v>435</v>
      </c>
      <c r="Z21">
        <v>440</v>
      </c>
      <c r="AA21">
        <v>520</v>
      </c>
      <c r="AD21" t="s">
        <v>466</v>
      </c>
      <c r="AE21" s="28">
        <v>1109</v>
      </c>
      <c r="AF21">
        <v>3594</v>
      </c>
      <c r="AG21">
        <v>916</v>
      </c>
      <c r="AH21">
        <v>4179</v>
      </c>
    </row>
    <row r="22" spans="1:34" hidden="1">
      <c r="A22" s="39" t="s">
        <v>857</v>
      </c>
      <c r="B22" s="39">
        <v>805</v>
      </c>
      <c r="C22" s="39">
        <v>2222</v>
      </c>
      <c r="D22" s="39">
        <v>770</v>
      </c>
      <c r="E22" s="39">
        <v>1022</v>
      </c>
      <c r="F22" s="39">
        <v>847</v>
      </c>
      <c r="G22" s="39">
        <v>1065</v>
      </c>
      <c r="H22" s="39">
        <v>741</v>
      </c>
      <c r="I22" s="39">
        <v>957</v>
      </c>
      <c r="J22" s="39">
        <v>661</v>
      </c>
      <c r="K22">
        <v>1346</v>
      </c>
      <c r="L22">
        <v>643</v>
      </c>
      <c r="M22">
        <v>930</v>
      </c>
      <c r="N22">
        <v>1036</v>
      </c>
      <c r="O22">
        <v>135</v>
      </c>
      <c r="P22">
        <v>356</v>
      </c>
      <c r="Q22">
        <v>156</v>
      </c>
      <c r="R22">
        <v>237</v>
      </c>
      <c r="S22">
        <v>210</v>
      </c>
      <c r="T22">
        <v>292</v>
      </c>
      <c r="U22">
        <v>163</v>
      </c>
      <c r="V22">
        <v>266</v>
      </c>
      <c r="W22">
        <v>193</v>
      </c>
      <c r="X22">
        <v>328</v>
      </c>
      <c r="Y22">
        <v>224</v>
      </c>
      <c r="Z22">
        <v>274</v>
      </c>
      <c r="AA22">
        <v>298</v>
      </c>
      <c r="AD22" t="s">
        <v>664</v>
      </c>
      <c r="AE22" s="28">
        <v>4052</v>
      </c>
      <c r="AF22">
        <v>25148</v>
      </c>
      <c r="AG22">
        <v>2601</v>
      </c>
      <c r="AH22">
        <v>23557</v>
      </c>
    </row>
    <row r="23" spans="1:34" hidden="1">
      <c r="A23" s="39" t="s">
        <v>168</v>
      </c>
      <c r="B23" s="39">
        <v>2837</v>
      </c>
      <c r="C23" s="39">
        <v>3008</v>
      </c>
      <c r="D23" s="39">
        <v>3196</v>
      </c>
      <c r="E23" s="39">
        <v>8455</v>
      </c>
      <c r="F23" s="39">
        <v>7979</v>
      </c>
      <c r="G23" s="39">
        <v>10916</v>
      </c>
      <c r="H23" s="39">
        <v>6931</v>
      </c>
      <c r="I23" s="39">
        <v>7015</v>
      </c>
      <c r="J23" s="39">
        <v>5966</v>
      </c>
      <c r="K23">
        <v>4340</v>
      </c>
      <c r="L23">
        <v>7601</v>
      </c>
      <c r="M23">
        <v>9082</v>
      </c>
      <c r="N23">
        <v>8055</v>
      </c>
      <c r="O23">
        <v>393</v>
      </c>
      <c r="P23">
        <v>400</v>
      </c>
      <c r="Q23">
        <v>425</v>
      </c>
      <c r="R23">
        <v>1142</v>
      </c>
      <c r="S23">
        <v>957</v>
      </c>
      <c r="T23">
        <v>1323</v>
      </c>
      <c r="U23">
        <v>976</v>
      </c>
      <c r="V23">
        <v>1388</v>
      </c>
      <c r="W23">
        <v>892</v>
      </c>
      <c r="X23">
        <v>694</v>
      </c>
      <c r="Y23">
        <v>1372</v>
      </c>
      <c r="Z23">
        <v>1378</v>
      </c>
      <c r="AA23">
        <v>1573</v>
      </c>
      <c r="AD23" t="s">
        <v>596</v>
      </c>
      <c r="AE23" s="28">
        <v>1476</v>
      </c>
      <c r="AF23">
        <v>6959</v>
      </c>
      <c r="AH23">
        <v>0</v>
      </c>
    </row>
    <row r="24" spans="1:34" hidden="1">
      <c r="A24" s="39" t="s">
        <v>288</v>
      </c>
      <c r="B24" s="39">
        <v>1158</v>
      </c>
      <c r="C24" s="39">
        <v>1375</v>
      </c>
      <c r="D24" s="39">
        <v>622</v>
      </c>
      <c r="E24" s="39">
        <v>552</v>
      </c>
      <c r="F24" s="39">
        <v>735</v>
      </c>
      <c r="G24" s="39">
        <v>710</v>
      </c>
      <c r="H24" s="39">
        <v>805</v>
      </c>
      <c r="I24" s="39">
        <v>937</v>
      </c>
      <c r="J24" s="39">
        <v>1084</v>
      </c>
      <c r="K24">
        <v>746</v>
      </c>
      <c r="L24">
        <v>566</v>
      </c>
      <c r="M24">
        <v>528</v>
      </c>
      <c r="N24">
        <v>887</v>
      </c>
      <c r="O24">
        <v>54</v>
      </c>
      <c r="P24">
        <v>110</v>
      </c>
      <c r="Q24">
        <v>113</v>
      </c>
      <c r="R24">
        <v>81</v>
      </c>
      <c r="S24">
        <v>103</v>
      </c>
      <c r="T24">
        <v>126</v>
      </c>
      <c r="U24">
        <v>153</v>
      </c>
      <c r="V24">
        <v>216</v>
      </c>
      <c r="W24">
        <v>230</v>
      </c>
      <c r="X24">
        <v>141</v>
      </c>
      <c r="Y24">
        <v>111</v>
      </c>
      <c r="Z24">
        <v>89</v>
      </c>
      <c r="AA24">
        <v>182</v>
      </c>
      <c r="AD24" t="s">
        <v>316</v>
      </c>
      <c r="AE24" s="28">
        <v>14987</v>
      </c>
      <c r="AF24">
        <v>52476</v>
      </c>
      <c r="AG24">
        <v>15202</v>
      </c>
      <c r="AH24">
        <v>62646</v>
      </c>
    </row>
    <row r="25" spans="1:34" hidden="1">
      <c r="A25" s="39" t="s">
        <v>242</v>
      </c>
      <c r="B25" s="39">
        <v>1208</v>
      </c>
      <c r="C25" s="39">
        <v>1250</v>
      </c>
      <c r="D25" s="39">
        <v>871</v>
      </c>
      <c r="E25" s="39">
        <v>821</v>
      </c>
      <c r="F25" s="39">
        <v>689</v>
      </c>
      <c r="G25" s="39">
        <v>638</v>
      </c>
      <c r="H25" s="39">
        <v>695</v>
      </c>
      <c r="I25" s="39">
        <v>1739</v>
      </c>
      <c r="J25" s="39">
        <v>849</v>
      </c>
      <c r="K25">
        <v>938</v>
      </c>
      <c r="L25">
        <v>850</v>
      </c>
      <c r="M25">
        <v>913</v>
      </c>
      <c r="N25">
        <v>1214</v>
      </c>
      <c r="O25">
        <v>325</v>
      </c>
      <c r="P25">
        <v>361</v>
      </c>
      <c r="Q25">
        <v>290</v>
      </c>
      <c r="R25">
        <v>277</v>
      </c>
      <c r="S25">
        <v>274</v>
      </c>
      <c r="T25">
        <v>252</v>
      </c>
      <c r="U25">
        <v>291</v>
      </c>
      <c r="V25">
        <v>611</v>
      </c>
      <c r="W25">
        <v>332</v>
      </c>
      <c r="X25">
        <v>382</v>
      </c>
      <c r="Y25">
        <v>427</v>
      </c>
      <c r="Z25">
        <v>361</v>
      </c>
      <c r="AA25">
        <v>487</v>
      </c>
      <c r="AD25" t="s">
        <v>486</v>
      </c>
      <c r="AE25" s="28">
        <v>652</v>
      </c>
      <c r="AF25">
        <v>3797</v>
      </c>
      <c r="AG25">
        <v>750</v>
      </c>
      <c r="AH25">
        <v>3773</v>
      </c>
    </row>
    <row r="26" spans="1:34" hidden="1">
      <c r="A26" s="39" t="s">
        <v>452</v>
      </c>
      <c r="B26" s="39">
        <v>1350</v>
      </c>
      <c r="C26" s="39">
        <v>1572</v>
      </c>
      <c r="D26" s="39">
        <v>1531</v>
      </c>
      <c r="E26" s="39">
        <v>1099</v>
      </c>
      <c r="F26" s="39">
        <v>993</v>
      </c>
      <c r="G26" s="39">
        <v>953</v>
      </c>
      <c r="H26" s="39">
        <v>1321</v>
      </c>
      <c r="I26" s="39">
        <v>1159</v>
      </c>
      <c r="J26" s="39">
        <v>1280</v>
      </c>
      <c r="K26">
        <v>1374</v>
      </c>
      <c r="L26">
        <v>952</v>
      </c>
      <c r="M26">
        <v>1057</v>
      </c>
      <c r="N26">
        <v>1414</v>
      </c>
      <c r="O26">
        <v>184</v>
      </c>
      <c r="P26">
        <v>212</v>
      </c>
      <c r="Q26">
        <v>218</v>
      </c>
      <c r="R26">
        <v>166</v>
      </c>
      <c r="S26">
        <v>146</v>
      </c>
      <c r="T26">
        <v>129</v>
      </c>
      <c r="U26">
        <v>156</v>
      </c>
      <c r="V26">
        <v>159</v>
      </c>
      <c r="W26">
        <v>162</v>
      </c>
      <c r="X26">
        <v>200</v>
      </c>
      <c r="Y26">
        <v>166</v>
      </c>
      <c r="Z26">
        <v>220</v>
      </c>
      <c r="AA26">
        <v>235</v>
      </c>
      <c r="AD26" s="37" t="s">
        <v>592</v>
      </c>
      <c r="AE26" s="28">
        <v>1671</v>
      </c>
      <c r="AF26">
        <v>3766</v>
      </c>
      <c r="AG26">
        <v>1289</v>
      </c>
      <c r="AH26">
        <v>3350</v>
      </c>
    </row>
    <row r="27" spans="1:34" hidden="1">
      <c r="A27" s="39" t="s">
        <v>622</v>
      </c>
      <c r="B27" s="39">
        <v>665</v>
      </c>
      <c r="C27" s="39">
        <v>685</v>
      </c>
      <c r="D27" s="39">
        <v>512</v>
      </c>
      <c r="E27" s="39">
        <v>531</v>
      </c>
      <c r="F27" s="39">
        <v>543</v>
      </c>
      <c r="G27" s="39">
        <v>726</v>
      </c>
      <c r="H27" s="39">
        <v>571</v>
      </c>
      <c r="I27" s="39">
        <v>593</v>
      </c>
      <c r="J27" s="39">
        <v>602</v>
      </c>
      <c r="K27">
        <v>563</v>
      </c>
      <c r="L27">
        <v>564</v>
      </c>
      <c r="M27">
        <v>541</v>
      </c>
      <c r="N27">
        <v>685</v>
      </c>
      <c r="O27">
        <v>149</v>
      </c>
      <c r="P27">
        <v>135</v>
      </c>
      <c r="Q27">
        <v>100</v>
      </c>
      <c r="R27">
        <v>154</v>
      </c>
      <c r="S27">
        <v>168</v>
      </c>
      <c r="T27">
        <v>212</v>
      </c>
      <c r="U27">
        <v>154</v>
      </c>
      <c r="V27">
        <v>188</v>
      </c>
      <c r="W27">
        <v>209</v>
      </c>
      <c r="X27">
        <v>206</v>
      </c>
      <c r="Y27">
        <v>211</v>
      </c>
      <c r="Z27">
        <v>178</v>
      </c>
      <c r="AA27">
        <v>237</v>
      </c>
      <c r="AD27" t="s">
        <v>366</v>
      </c>
      <c r="AE27" s="28">
        <v>2656</v>
      </c>
      <c r="AF27">
        <v>14102</v>
      </c>
      <c r="AG27">
        <v>1956</v>
      </c>
      <c r="AH27">
        <v>10593</v>
      </c>
    </row>
    <row r="28" spans="1:34" hidden="1">
      <c r="A28" s="39" t="s">
        <v>244</v>
      </c>
      <c r="B28" s="39">
        <v>1234</v>
      </c>
      <c r="C28" s="39">
        <v>1378</v>
      </c>
      <c r="D28" s="39">
        <v>1315</v>
      </c>
      <c r="E28" s="39">
        <v>1069</v>
      </c>
      <c r="F28" s="39">
        <v>963</v>
      </c>
      <c r="G28" s="39">
        <v>1037</v>
      </c>
      <c r="H28" s="39">
        <v>872</v>
      </c>
      <c r="I28" s="39">
        <v>952</v>
      </c>
      <c r="J28" s="39">
        <v>1143</v>
      </c>
      <c r="K28">
        <v>1047</v>
      </c>
      <c r="L28">
        <v>862</v>
      </c>
      <c r="M28">
        <v>920</v>
      </c>
      <c r="N28">
        <v>1554</v>
      </c>
      <c r="O28">
        <v>454</v>
      </c>
      <c r="P28">
        <v>495</v>
      </c>
      <c r="Q28">
        <v>444</v>
      </c>
      <c r="R28">
        <v>424</v>
      </c>
      <c r="S28">
        <v>398</v>
      </c>
      <c r="T28">
        <v>416</v>
      </c>
      <c r="U28">
        <v>313</v>
      </c>
      <c r="V28">
        <v>402</v>
      </c>
      <c r="W28">
        <v>430</v>
      </c>
      <c r="X28">
        <v>374</v>
      </c>
      <c r="Y28">
        <v>348</v>
      </c>
      <c r="Z28">
        <v>395</v>
      </c>
      <c r="AA28">
        <v>594</v>
      </c>
      <c r="AD28" t="s">
        <v>584</v>
      </c>
      <c r="AE28" s="28">
        <v>596</v>
      </c>
      <c r="AF28">
        <v>3841</v>
      </c>
      <c r="AH28">
        <v>0</v>
      </c>
    </row>
    <row r="29" spans="1:34" hidden="1">
      <c r="A29" s="39" t="s">
        <v>192</v>
      </c>
      <c r="B29" s="39">
        <v>2643</v>
      </c>
      <c r="C29" s="39">
        <v>2194</v>
      </c>
      <c r="D29" s="39">
        <v>2460</v>
      </c>
      <c r="E29" s="39">
        <v>3131</v>
      </c>
      <c r="F29" s="39">
        <v>5169</v>
      </c>
      <c r="G29" s="39">
        <v>5311</v>
      </c>
      <c r="H29" s="39">
        <v>4351</v>
      </c>
      <c r="I29" s="39">
        <v>3748</v>
      </c>
      <c r="J29" s="39">
        <v>3306</v>
      </c>
      <c r="K29">
        <v>3286</v>
      </c>
      <c r="L29">
        <v>2361</v>
      </c>
      <c r="M29">
        <v>2038</v>
      </c>
      <c r="N29">
        <v>3435</v>
      </c>
      <c r="O29">
        <v>711</v>
      </c>
      <c r="P29">
        <v>586</v>
      </c>
      <c r="Q29">
        <v>659</v>
      </c>
      <c r="R29">
        <v>902</v>
      </c>
      <c r="S29">
        <v>1232</v>
      </c>
      <c r="T29">
        <v>1377</v>
      </c>
      <c r="U29">
        <v>1016</v>
      </c>
      <c r="V29">
        <v>1019</v>
      </c>
      <c r="W29">
        <v>854</v>
      </c>
      <c r="X29">
        <v>955</v>
      </c>
      <c r="Y29">
        <v>705</v>
      </c>
      <c r="Z29">
        <v>572</v>
      </c>
      <c r="AA29">
        <v>946</v>
      </c>
      <c r="AD29" t="s">
        <v>160</v>
      </c>
      <c r="AE29" s="28">
        <v>1681</v>
      </c>
      <c r="AF29">
        <v>7809</v>
      </c>
      <c r="AG29">
        <v>1626</v>
      </c>
      <c r="AH29">
        <v>6360</v>
      </c>
    </row>
    <row r="30" spans="1:34" hidden="1">
      <c r="A30" s="39" t="s">
        <v>668</v>
      </c>
      <c r="B30" s="39">
        <v>1291</v>
      </c>
      <c r="C30" s="39">
        <v>1246</v>
      </c>
      <c r="D30" s="39">
        <v>1323</v>
      </c>
      <c r="E30" s="39">
        <v>1384</v>
      </c>
      <c r="F30" s="39">
        <v>2896</v>
      </c>
      <c r="G30" s="39">
        <v>3091</v>
      </c>
      <c r="H30" s="39">
        <v>1801</v>
      </c>
      <c r="I30" s="39">
        <v>1312</v>
      </c>
      <c r="J30" s="39">
        <v>1316</v>
      </c>
      <c r="K30">
        <v>1231</v>
      </c>
      <c r="L30">
        <v>1033</v>
      </c>
      <c r="M30">
        <v>878</v>
      </c>
      <c r="N30">
        <v>1263</v>
      </c>
      <c r="O30">
        <v>128</v>
      </c>
      <c r="P30">
        <v>337</v>
      </c>
      <c r="Q30">
        <v>295</v>
      </c>
      <c r="R30">
        <v>320</v>
      </c>
      <c r="S30">
        <v>520</v>
      </c>
      <c r="T30">
        <v>495</v>
      </c>
      <c r="U30">
        <v>369</v>
      </c>
      <c r="V30">
        <v>309</v>
      </c>
      <c r="W30">
        <v>344</v>
      </c>
      <c r="X30">
        <v>306</v>
      </c>
      <c r="Y30">
        <v>274</v>
      </c>
      <c r="Z30">
        <v>224</v>
      </c>
      <c r="AA30">
        <v>343</v>
      </c>
      <c r="AD30" s="37" t="s">
        <v>372</v>
      </c>
      <c r="AE30" s="28">
        <v>1969</v>
      </c>
      <c r="AF30">
        <v>3186</v>
      </c>
      <c r="AG30">
        <v>1236</v>
      </c>
      <c r="AH30">
        <v>3337</v>
      </c>
    </row>
    <row r="31" spans="1:34" hidden="1">
      <c r="A31" s="39" t="s">
        <v>284</v>
      </c>
      <c r="B31" s="39">
        <v>1802</v>
      </c>
      <c r="C31" s="39">
        <v>2266</v>
      </c>
      <c r="D31" s="39">
        <v>2188</v>
      </c>
      <c r="E31" s="39">
        <v>2260</v>
      </c>
      <c r="F31" s="39">
        <v>1855</v>
      </c>
      <c r="G31" s="39">
        <v>1756</v>
      </c>
      <c r="H31" s="39">
        <v>1896</v>
      </c>
      <c r="I31" s="39">
        <v>1935</v>
      </c>
      <c r="J31" s="39">
        <v>2329</v>
      </c>
      <c r="K31">
        <v>3193</v>
      </c>
      <c r="L31">
        <v>2270</v>
      </c>
      <c r="M31">
        <v>1891</v>
      </c>
      <c r="N31">
        <v>2542</v>
      </c>
      <c r="O31">
        <v>112</v>
      </c>
      <c r="P31">
        <v>322</v>
      </c>
      <c r="Q31">
        <v>424</v>
      </c>
      <c r="R31">
        <v>422</v>
      </c>
      <c r="S31">
        <v>346</v>
      </c>
      <c r="T31">
        <v>313</v>
      </c>
      <c r="U31">
        <v>348</v>
      </c>
      <c r="V31">
        <v>323</v>
      </c>
      <c r="W31">
        <v>411</v>
      </c>
      <c r="X31">
        <v>635</v>
      </c>
      <c r="Y31">
        <v>454</v>
      </c>
      <c r="Z31">
        <v>365</v>
      </c>
      <c r="AA31">
        <v>540</v>
      </c>
      <c r="AD31" s="37" t="s">
        <v>482</v>
      </c>
      <c r="AE31" s="28">
        <v>1923</v>
      </c>
      <c r="AF31">
        <v>7678</v>
      </c>
      <c r="AG31">
        <v>1586</v>
      </c>
      <c r="AH31">
        <v>6667</v>
      </c>
    </row>
    <row r="32" spans="1:34" hidden="1">
      <c r="A32" s="39" t="s">
        <v>548</v>
      </c>
      <c r="B32" s="39">
        <v>1697</v>
      </c>
      <c r="C32" s="39">
        <v>1662</v>
      </c>
      <c r="D32" s="39">
        <v>1362</v>
      </c>
      <c r="E32" s="39">
        <v>1046</v>
      </c>
      <c r="F32" s="39">
        <v>973</v>
      </c>
      <c r="G32" s="39">
        <v>1027</v>
      </c>
      <c r="H32" s="39">
        <v>1129</v>
      </c>
      <c r="I32" s="39">
        <v>893</v>
      </c>
      <c r="J32" s="39">
        <v>844</v>
      </c>
      <c r="K32">
        <v>759</v>
      </c>
      <c r="L32">
        <v>683</v>
      </c>
      <c r="M32">
        <v>552</v>
      </c>
      <c r="N32">
        <v>750</v>
      </c>
      <c r="O32">
        <v>377</v>
      </c>
      <c r="P32">
        <v>343</v>
      </c>
      <c r="Q32">
        <v>338</v>
      </c>
      <c r="R32">
        <v>274</v>
      </c>
      <c r="S32">
        <v>237</v>
      </c>
      <c r="T32">
        <v>236</v>
      </c>
      <c r="U32">
        <v>268</v>
      </c>
      <c r="V32">
        <v>203</v>
      </c>
      <c r="W32">
        <v>211</v>
      </c>
      <c r="X32">
        <v>204</v>
      </c>
      <c r="Y32">
        <v>192</v>
      </c>
      <c r="Z32">
        <v>164</v>
      </c>
      <c r="AA32">
        <v>204</v>
      </c>
      <c r="AD32" t="s">
        <v>254</v>
      </c>
      <c r="AE32" s="28">
        <v>1541</v>
      </c>
      <c r="AF32">
        <v>5675</v>
      </c>
      <c r="AG32">
        <v>1822</v>
      </c>
      <c r="AH32">
        <v>6730</v>
      </c>
    </row>
    <row r="33" spans="1:34" hidden="1">
      <c r="A33" s="39" t="s">
        <v>618</v>
      </c>
      <c r="B33" s="39">
        <v>2049</v>
      </c>
      <c r="C33" s="39">
        <v>2090</v>
      </c>
      <c r="D33" s="39">
        <v>1579</v>
      </c>
      <c r="E33" s="39">
        <v>1696</v>
      </c>
      <c r="F33" s="39">
        <v>1568</v>
      </c>
      <c r="G33" s="39">
        <v>1921</v>
      </c>
      <c r="H33" s="39">
        <v>1701</v>
      </c>
      <c r="I33" s="39">
        <v>1734</v>
      </c>
      <c r="J33" s="39">
        <v>1785</v>
      </c>
      <c r="K33">
        <v>1672</v>
      </c>
      <c r="L33">
        <v>1332</v>
      </c>
      <c r="M33">
        <v>1412</v>
      </c>
      <c r="N33">
        <v>1775</v>
      </c>
      <c r="O33">
        <v>391</v>
      </c>
      <c r="P33">
        <v>425</v>
      </c>
      <c r="Q33">
        <v>424</v>
      </c>
      <c r="R33">
        <v>371</v>
      </c>
      <c r="S33">
        <v>364</v>
      </c>
      <c r="T33">
        <v>421</v>
      </c>
      <c r="U33">
        <v>412</v>
      </c>
      <c r="V33">
        <v>413</v>
      </c>
      <c r="W33">
        <v>432</v>
      </c>
      <c r="X33">
        <v>398</v>
      </c>
      <c r="Y33">
        <v>340</v>
      </c>
      <c r="Z33">
        <v>338</v>
      </c>
      <c r="AA33">
        <v>371</v>
      </c>
      <c r="AD33" t="s">
        <v>434</v>
      </c>
      <c r="AE33" s="28">
        <v>2159</v>
      </c>
      <c r="AF33">
        <v>7520</v>
      </c>
      <c r="AG33">
        <v>2259</v>
      </c>
      <c r="AH33">
        <v>7860</v>
      </c>
    </row>
    <row r="34" spans="1:34" hidden="1">
      <c r="A34" s="39" t="s">
        <v>588</v>
      </c>
      <c r="B34" s="39">
        <v>0</v>
      </c>
      <c r="C34" s="39">
        <v>0</v>
      </c>
      <c r="D34" s="39">
        <v>0</v>
      </c>
      <c r="E34" s="39">
        <v>0</v>
      </c>
      <c r="F34" s="39">
        <v>0</v>
      </c>
      <c r="G34" s="39">
        <v>0</v>
      </c>
      <c r="H34" s="39">
        <v>0</v>
      </c>
      <c r="I34" s="39">
        <v>0</v>
      </c>
      <c r="J34" s="39">
        <v>825</v>
      </c>
      <c r="K34">
        <v>820</v>
      </c>
      <c r="L34">
        <v>1364</v>
      </c>
      <c r="M34">
        <v>677</v>
      </c>
      <c r="N34">
        <v>514</v>
      </c>
      <c r="O34">
        <v>0</v>
      </c>
      <c r="P34">
        <v>0</v>
      </c>
      <c r="Q34">
        <v>0</v>
      </c>
      <c r="R34">
        <v>0</v>
      </c>
      <c r="S34">
        <v>0</v>
      </c>
      <c r="T34">
        <v>0</v>
      </c>
      <c r="U34">
        <v>0</v>
      </c>
      <c r="V34">
        <v>0</v>
      </c>
      <c r="W34">
        <v>34</v>
      </c>
      <c r="X34">
        <v>202</v>
      </c>
      <c r="Y34">
        <v>493</v>
      </c>
      <c r="Z34">
        <v>45</v>
      </c>
      <c r="AA34">
        <v>141</v>
      </c>
      <c r="AD34" t="s">
        <v>250</v>
      </c>
      <c r="AE34" s="28">
        <v>1658</v>
      </c>
      <c r="AF34">
        <v>6313</v>
      </c>
      <c r="AG34">
        <v>1995</v>
      </c>
      <c r="AH34">
        <v>7785</v>
      </c>
    </row>
    <row r="35" spans="1:34" hidden="1">
      <c r="A35" s="39" t="s">
        <v>412</v>
      </c>
      <c r="B35" s="39">
        <v>1612</v>
      </c>
      <c r="C35" s="39">
        <v>1612</v>
      </c>
      <c r="D35" s="39">
        <v>1268</v>
      </c>
      <c r="E35" s="39">
        <v>1177</v>
      </c>
      <c r="F35" s="39">
        <v>1265</v>
      </c>
      <c r="G35" s="39">
        <v>1237</v>
      </c>
      <c r="H35" s="39">
        <v>1282</v>
      </c>
      <c r="I35" s="39">
        <v>1568</v>
      </c>
      <c r="J35" s="39">
        <v>1412</v>
      </c>
      <c r="K35">
        <v>1492</v>
      </c>
      <c r="L35">
        <v>1521</v>
      </c>
      <c r="M35">
        <v>1456</v>
      </c>
      <c r="N35">
        <v>2046</v>
      </c>
      <c r="O35">
        <v>332</v>
      </c>
      <c r="P35">
        <v>374</v>
      </c>
      <c r="Q35">
        <v>377</v>
      </c>
      <c r="R35">
        <v>351</v>
      </c>
      <c r="S35">
        <v>302</v>
      </c>
      <c r="T35">
        <v>317</v>
      </c>
      <c r="U35">
        <v>308</v>
      </c>
      <c r="V35">
        <v>353</v>
      </c>
      <c r="W35">
        <v>384</v>
      </c>
      <c r="X35">
        <v>405</v>
      </c>
      <c r="Y35">
        <v>403</v>
      </c>
      <c r="Z35">
        <v>363</v>
      </c>
      <c r="AA35">
        <v>482</v>
      </c>
      <c r="AD35" t="s">
        <v>442</v>
      </c>
      <c r="AE35" s="28">
        <v>1546</v>
      </c>
      <c r="AF35">
        <v>6817</v>
      </c>
      <c r="AH35">
        <v>0</v>
      </c>
    </row>
    <row r="36" spans="1:34" hidden="1">
      <c r="A36" s="39" t="s">
        <v>486</v>
      </c>
      <c r="B36" s="39">
        <v>1438</v>
      </c>
      <c r="C36" s="39">
        <v>1596</v>
      </c>
      <c r="D36" s="39">
        <v>1534</v>
      </c>
      <c r="E36" s="39">
        <v>1000</v>
      </c>
      <c r="F36" s="39">
        <v>813</v>
      </c>
      <c r="G36" s="39">
        <v>737</v>
      </c>
      <c r="H36" s="39">
        <v>772</v>
      </c>
      <c r="I36" s="39">
        <v>1128</v>
      </c>
      <c r="J36" s="39">
        <v>987</v>
      </c>
      <c r="K36">
        <v>807</v>
      </c>
      <c r="L36">
        <v>912</v>
      </c>
      <c r="M36">
        <v>972</v>
      </c>
      <c r="N36">
        <v>1050</v>
      </c>
      <c r="O36">
        <v>272</v>
      </c>
      <c r="P36">
        <v>327</v>
      </c>
      <c r="Q36">
        <v>237</v>
      </c>
      <c r="R36">
        <v>138</v>
      </c>
      <c r="S36">
        <v>119</v>
      </c>
      <c r="T36">
        <v>95</v>
      </c>
      <c r="U36">
        <v>111</v>
      </c>
      <c r="V36">
        <v>219</v>
      </c>
      <c r="W36">
        <v>156</v>
      </c>
      <c r="X36">
        <v>143</v>
      </c>
      <c r="Y36">
        <v>143</v>
      </c>
      <c r="Z36">
        <v>173</v>
      </c>
      <c r="AA36">
        <v>179</v>
      </c>
      <c r="AD36" t="s">
        <v>294</v>
      </c>
      <c r="AE36" s="28">
        <v>2684</v>
      </c>
      <c r="AF36">
        <v>10777</v>
      </c>
      <c r="AG36">
        <v>2343</v>
      </c>
      <c r="AH36">
        <v>9865</v>
      </c>
    </row>
    <row r="37" spans="1:34" hidden="1">
      <c r="A37" s="39" t="s">
        <v>752</v>
      </c>
      <c r="B37" s="39">
        <v>1173</v>
      </c>
      <c r="C37" s="39">
        <v>1416</v>
      </c>
      <c r="D37" s="39">
        <v>1415</v>
      </c>
      <c r="E37" s="39">
        <v>1937</v>
      </c>
      <c r="F37" s="39">
        <v>1513</v>
      </c>
      <c r="G37" s="39">
        <v>1190</v>
      </c>
      <c r="H37" s="39">
        <v>1096</v>
      </c>
      <c r="I37" s="39">
        <v>1043</v>
      </c>
      <c r="J37" s="39">
        <v>1008</v>
      </c>
      <c r="K37">
        <v>997</v>
      </c>
      <c r="L37">
        <v>831</v>
      </c>
      <c r="M37">
        <v>782</v>
      </c>
      <c r="N37">
        <v>1235</v>
      </c>
      <c r="O37">
        <v>508</v>
      </c>
      <c r="P37">
        <v>615</v>
      </c>
      <c r="Q37">
        <v>723</v>
      </c>
      <c r="R37">
        <v>929</v>
      </c>
      <c r="S37">
        <v>694</v>
      </c>
      <c r="T37">
        <v>571</v>
      </c>
      <c r="U37">
        <v>578</v>
      </c>
      <c r="V37">
        <v>556</v>
      </c>
      <c r="W37">
        <v>571</v>
      </c>
      <c r="X37">
        <v>519</v>
      </c>
      <c r="Y37">
        <v>487</v>
      </c>
      <c r="Z37">
        <v>443</v>
      </c>
      <c r="AA37">
        <v>672</v>
      </c>
      <c r="AD37" t="s">
        <v>89</v>
      </c>
      <c r="AE37" s="28">
        <v>4901</v>
      </c>
      <c r="AF37">
        <v>19375</v>
      </c>
      <c r="AG37">
        <v>5061</v>
      </c>
      <c r="AH37">
        <v>23565</v>
      </c>
    </row>
    <row r="38" spans="1:34" hidden="1">
      <c r="A38" s="39" t="s">
        <v>898</v>
      </c>
      <c r="B38" s="39">
        <v>520</v>
      </c>
      <c r="C38" s="39">
        <v>584</v>
      </c>
      <c r="D38" s="39">
        <v>493</v>
      </c>
      <c r="E38" s="39">
        <v>425</v>
      </c>
      <c r="F38" s="39">
        <v>379</v>
      </c>
      <c r="G38" s="39">
        <v>478</v>
      </c>
      <c r="H38" s="39">
        <v>501</v>
      </c>
      <c r="I38" s="39">
        <v>487</v>
      </c>
      <c r="J38" s="39">
        <v>540</v>
      </c>
      <c r="K38">
        <v>402</v>
      </c>
      <c r="L38">
        <v>381</v>
      </c>
      <c r="M38">
        <v>402</v>
      </c>
      <c r="N38">
        <v>534</v>
      </c>
      <c r="O38">
        <v>111</v>
      </c>
      <c r="P38">
        <v>166</v>
      </c>
      <c r="Q38">
        <v>127</v>
      </c>
      <c r="R38">
        <v>138</v>
      </c>
      <c r="S38">
        <v>137</v>
      </c>
      <c r="T38">
        <v>168</v>
      </c>
      <c r="U38">
        <v>208</v>
      </c>
      <c r="V38">
        <v>200</v>
      </c>
      <c r="W38">
        <v>198</v>
      </c>
      <c r="X38">
        <v>206</v>
      </c>
      <c r="Y38">
        <v>186</v>
      </c>
      <c r="Z38">
        <v>158</v>
      </c>
      <c r="AA38">
        <v>265</v>
      </c>
      <c r="AD38" t="s">
        <v>292</v>
      </c>
      <c r="AE38" s="28">
        <v>1150</v>
      </c>
      <c r="AF38">
        <v>3529</v>
      </c>
      <c r="AH38">
        <v>0</v>
      </c>
    </row>
    <row r="39" spans="1:34" hidden="1">
      <c r="A39" s="39" t="s">
        <v>690</v>
      </c>
      <c r="B39" s="39">
        <v>3440</v>
      </c>
      <c r="C39" s="39">
        <v>3745</v>
      </c>
      <c r="D39" s="39">
        <v>3270</v>
      </c>
      <c r="E39" s="39">
        <v>2648</v>
      </c>
      <c r="F39" s="39">
        <v>2103</v>
      </c>
      <c r="G39" s="39">
        <v>2343</v>
      </c>
      <c r="H39" s="39">
        <v>3264</v>
      </c>
      <c r="I39" s="39">
        <v>2287</v>
      </c>
      <c r="J39" s="39">
        <v>2689</v>
      </c>
      <c r="K39">
        <v>4401</v>
      </c>
      <c r="L39">
        <v>4969</v>
      </c>
      <c r="M39">
        <v>5817</v>
      </c>
      <c r="N39">
        <v>5630</v>
      </c>
      <c r="O39">
        <v>996</v>
      </c>
      <c r="P39">
        <v>1006</v>
      </c>
      <c r="Q39">
        <v>1006</v>
      </c>
      <c r="R39">
        <v>861</v>
      </c>
      <c r="S39">
        <v>839</v>
      </c>
      <c r="T39">
        <v>752</v>
      </c>
      <c r="U39">
        <v>1064</v>
      </c>
      <c r="V39">
        <v>905</v>
      </c>
      <c r="W39">
        <v>1062</v>
      </c>
      <c r="X39">
        <v>1761</v>
      </c>
      <c r="Y39">
        <v>1931</v>
      </c>
      <c r="Z39">
        <v>2393</v>
      </c>
      <c r="AA39">
        <v>2243</v>
      </c>
      <c r="AD39" t="s">
        <v>662</v>
      </c>
      <c r="AE39" s="28">
        <v>3490</v>
      </c>
      <c r="AF39">
        <v>18684</v>
      </c>
      <c r="AG39">
        <v>4073</v>
      </c>
      <c r="AH39">
        <v>21724</v>
      </c>
    </row>
    <row r="40" spans="1:34" hidden="1">
      <c r="A40" s="39" t="s">
        <v>880</v>
      </c>
      <c r="B40" s="39">
        <v>520</v>
      </c>
      <c r="C40" s="39">
        <v>405</v>
      </c>
      <c r="D40" s="39">
        <v>397</v>
      </c>
      <c r="E40" s="39">
        <v>425</v>
      </c>
      <c r="F40" s="39">
        <v>312</v>
      </c>
      <c r="G40" s="39">
        <v>227</v>
      </c>
      <c r="H40" s="39">
        <v>265</v>
      </c>
      <c r="I40" s="39">
        <v>201</v>
      </c>
      <c r="J40" s="39">
        <v>246</v>
      </c>
      <c r="K40">
        <v>185</v>
      </c>
      <c r="L40">
        <v>164</v>
      </c>
      <c r="M40">
        <v>187</v>
      </c>
      <c r="N40">
        <v>236</v>
      </c>
      <c r="O40">
        <v>196</v>
      </c>
      <c r="P40">
        <v>143</v>
      </c>
      <c r="Q40">
        <v>172</v>
      </c>
      <c r="R40">
        <v>176</v>
      </c>
      <c r="S40">
        <v>158</v>
      </c>
      <c r="T40">
        <v>116</v>
      </c>
      <c r="U40">
        <v>173</v>
      </c>
      <c r="V40">
        <v>144</v>
      </c>
      <c r="W40">
        <v>126</v>
      </c>
      <c r="X40">
        <v>125</v>
      </c>
      <c r="Y40">
        <v>104</v>
      </c>
      <c r="Z40">
        <v>90</v>
      </c>
      <c r="AA40">
        <v>143</v>
      </c>
      <c r="AD40" t="s">
        <v>472</v>
      </c>
      <c r="AE40" s="28">
        <v>973</v>
      </c>
      <c r="AF40">
        <v>4096</v>
      </c>
      <c r="AH40">
        <v>0</v>
      </c>
    </row>
    <row r="41" spans="1:34" hidden="1">
      <c r="A41" s="39" t="s">
        <v>194</v>
      </c>
      <c r="B41" s="39">
        <v>4037</v>
      </c>
      <c r="C41" s="39">
        <v>3903</v>
      </c>
      <c r="D41" s="39">
        <v>3419</v>
      </c>
      <c r="E41" s="39">
        <v>3701</v>
      </c>
      <c r="F41" s="39">
        <v>2603</v>
      </c>
      <c r="G41" s="39">
        <v>2448</v>
      </c>
      <c r="H41" s="39">
        <v>2013</v>
      </c>
      <c r="I41" s="39">
        <v>1537</v>
      </c>
      <c r="J41" s="39">
        <v>2097</v>
      </c>
      <c r="K41">
        <v>2074</v>
      </c>
      <c r="L41">
        <v>1918</v>
      </c>
      <c r="M41">
        <v>1615</v>
      </c>
      <c r="N41">
        <v>2039</v>
      </c>
      <c r="O41">
        <v>757</v>
      </c>
      <c r="P41">
        <v>749</v>
      </c>
      <c r="Q41">
        <v>666</v>
      </c>
      <c r="R41">
        <v>700</v>
      </c>
      <c r="S41">
        <v>574</v>
      </c>
      <c r="T41">
        <v>551</v>
      </c>
      <c r="U41">
        <v>379</v>
      </c>
      <c r="V41">
        <v>296</v>
      </c>
      <c r="W41">
        <v>536</v>
      </c>
      <c r="X41">
        <v>503</v>
      </c>
      <c r="Y41">
        <v>490</v>
      </c>
      <c r="Z41">
        <v>374</v>
      </c>
      <c r="AA41">
        <v>484</v>
      </c>
      <c r="AD41" t="s">
        <v>238</v>
      </c>
      <c r="AE41" s="28">
        <v>1611</v>
      </c>
      <c r="AF41">
        <v>4335</v>
      </c>
      <c r="AG41">
        <v>1357</v>
      </c>
      <c r="AH41">
        <v>2617</v>
      </c>
    </row>
    <row r="42" spans="1:34" hidden="1">
      <c r="A42" s="39" t="s">
        <v>741</v>
      </c>
      <c r="B42" s="39">
        <v>2406</v>
      </c>
      <c r="C42" s="39">
        <v>2851</v>
      </c>
      <c r="D42" s="39">
        <v>2786</v>
      </c>
      <c r="E42" s="39">
        <v>2649</v>
      </c>
      <c r="F42" s="39">
        <v>2343</v>
      </c>
      <c r="G42" s="39">
        <v>2072</v>
      </c>
      <c r="H42" s="39">
        <v>1866</v>
      </c>
      <c r="I42" s="39">
        <v>1847</v>
      </c>
      <c r="J42" s="39">
        <v>1790</v>
      </c>
      <c r="K42">
        <v>3299</v>
      </c>
      <c r="L42">
        <v>6309</v>
      </c>
      <c r="M42">
        <v>10864</v>
      </c>
      <c r="N42">
        <v>3244</v>
      </c>
      <c r="O42">
        <v>673</v>
      </c>
      <c r="P42">
        <v>802</v>
      </c>
      <c r="Q42">
        <v>786</v>
      </c>
      <c r="R42">
        <v>852</v>
      </c>
      <c r="S42">
        <v>776</v>
      </c>
      <c r="T42">
        <v>770</v>
      </c>
      <c r="U42">
        <v>701</v>
      </c>
      <c r="V42">
        <v>674</v>
      </c>
      <c r="W42">
        <v>664</v>
      </c>
      <c r="X42">
        <v>886</v>
      </c>
      <c r="Y42">
        <v>1081</v>
      </c>
      <c r="Z42">
        <v>1138</v>
      </c>
      <c r="AA42">
        <v>722</v>
      </c>
      <c r="AD42" t="s">
        <v>196</v>
      </c>
      <c r="AE42" s="28">
        <v>2321</v>
      </c>
      <c r="AF42">
        <v>21220</v>
      </c>
      <c r="AG42">
        <v>2515</v>
      </c>
      <c r="AH42">
        <v>18482</v>
      </c>
    </row>
    <row r="43" spans="1:34" hidden="1">
      <c r="A43" s="39" t="s">
        <v>941</v>
      </c>
      <c r="B43" s="39">
        <v>639</v>
      </c>
      <c r="C43" s="39">
        <v>656</v>
      </c>
      <c r="D43" s="39">
        <v>555</v>
      </c>
      <c r="E43" s="39">
        <v>594</v>
      </c>
      <c r="F43" s="39">
        <v>550</v>
      </c>
      <c r="G43" s="39">
        <v>465</v>
      </c>
      <c r="H43" s="39">
        <v>502</v>
      </c>
      <c r="I43" s="39">
        <v>452</v>
      </c>
      <c r="J43" s="39">
        <v>383</v>
      </c>
      <c r="K43">
        <v>524</v>
      </c>
      <c r="L43">
        <v>338</v>
      </c>
      <c r="M43">
        <v>450</v>
      </c>
      <c r="N43">
        <v>692</v>
      </c>
      <c r="O43">
        <v>169</v>
      </c>
      <c r="P43">
        <v>177</v>
      </c>
      <c r="Q43">
        <v>168</v>
      </c>
      <c r="R43">
        <v>156</v>
      </c>
      <c r="S43">
        <v>200</v>
      </c>
      <c r="T43">
        <v>169</v>
      </c>
      <c r="U43">
        <v>159</v>
      </c>
      <c r="V43">
        <v>145</v>
      </c>
      <c r="W43">
        <v>136</v>
      </c>
      <c r="X43">
        <v>167</v>
      </c>
      <c r="Y43">
        <v>115</v>
      </c>
      <c r="Z43">
        <v>138</v>
      </c>
      <c r="AA43">
        <v>208</v>
      </c>
      <c r="AD43" t="s">
        <v>512</v>
      </c>
      <c r="AE43" s="28">
        <v>2223</v>
      </c>
      <c r="AF43">
        <v>12395</v>
      </c>
      <c r="AG43">
        <v>2088</v>
      </c>
      <c r="AH43">
        <v>12498</v>
      </c>
    </row>
    <row r="44" spans="1:34" hidden="1">
      <c r="A44" s="39" t="s">
        <v>943</v>
      </c>
      <c r="B44" s="39">
        <v>775</v>
      </c>
      <c r="C44" s="39">
        <v>731</v>
      </c>
      <c r="D44" s="39">
        <v>667</v>
      </c>
      <c r="E44" s="39">
        <v>630</v>
      </c>
      <c r="F44" s="39">
        <v>391</v>
      </c>
      <c r="G44" s="39">
        <v>443</v>
      </c>
      <c r="H44" s="39">
        <v>465</v>
      </c>
      <c r="I44" s="39">
        <v>548</v>
      </c>
      <c r="J44" s="39">
        <v>560</v>
      </c>
      <c r="K44">
        <v>541</v>
      </c>
      <c r="L44">
        <v>589</v>
      </c>
      <c r="M44">
        <v>603</v>
      </c>
      <c r="N44">
        <v>566</v>
      </c>
      <c r="O44">
        <v>225</v>
      </c>
      <c r="P44">
        <v>224</v>
      </c>
      <c r="Q44">
        <v>209</v>
      </c>
      <c r="R44">
        <v>214</v>
      </c>
      <c r="S44">
        <v>176</v>
      </c>
      <c r="T44">
        <v>185</v>
      </c>
      <c r="U44">
        <v>200</v>
      </c>
      <c r="V44">
        <v>235</v>
      </c>
      <c r="W44">
        <v>241</v>
      </c>
      <c r="X44">
        <v>223</v>
      </c>
      <c r="Y44">
        <v>285</v>
      </c>
      <c r="Z44">
        <v>224</v>
      </c>
      <c r="AA44">
        <v>287</v>
      </c>
      <c r="AD44" t="s">
        <v>416</v>
      </c>
      <c r="AE44" s="28">
        <v>741</v>
      </c>
      <c r="AF44">
        <v>2337</v>
      </c>
      <c r="AG44">
        <v>580</v>
      </c>
      <c r="AH44">
        <v>1736</v>
      </c>
    </row>
    <row r="45" spans="1:34" hidden="1">
      <c r="A45" s="39" t="s">
        <v>981</v>
      </c>
      <c r="B45" s="39">
        <v>4597</v>
      </c>
      <c r="C45" s="39">
        <v>4821</v>
      </c>
      <c r="D45" s="39">
        <v>4592</v>
      </c>
      <c r="E45" s="39">
        <v>4863</v>
      </c>
      <c r="F45" s="39">
        <v>4459</v>
      </c>
      <c r="G45" s="39">
        <v>3738</v>
      </c>
      <c r="H45" s="39">
        <v>3250</v>
      </c>
      <c r="I45" s="39">
        <v>2725</v>
      </c>
      <c r="J45" s="39">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c r="AD45" t="s">
        <v>494</v>
      </c>
      <c r="AE45" s="28">
        <v>1931</v>
      </c>
      <c r="AF45">
        <v>6561</v>
      </c>
      <c r="AG45">
        <v>890</v>
      </c>
      <c r="AH45">
        <v>2945</v>
      </c>
    </row>
    <row r="46" spans="1:34" hidden="1">
      <c r="A46" s="39" t="s">
        <v>900</v>
      </c>
      <c r="B46" s="39">
        <v>1517</v>
      </c>
      <c r="C46" s="39">
        <v>1163</v>
      </c>
      <c r="D46" s="39">
        <v>772</v>
      </c>
      <c r="E46" s="39">
        <v>568</v>
      </c>
      <c r="F46" s="39">
        <v>433</v>
      </c>
      <c r="G46" s="39">
        <v>366</v>
      </c>
      <c r="H46" s="39">
        <v>467</v>
      </c>
      <c r="I46" s="39">
        <v>512</v>
      </c>
      <c r="J46" s="39">
        <v>473</v>
      </c>
      <c r="K46">
        <v>1521</v>
      </c>
      <c r="L46">
        <v>1458</v>
      </c>
      <c r="M46">
        <v>3166</v>
      </c>
      <c r="N46">
        <v>930</v>
      </c>
      <c r="O46">
        <v>248</v>
      </c>
      <c r="P46">
        <v>246</v>
      </c>
      <c r="Q46">
        <v>183</v>
      </c>
      <c r="R46">
        <v>162</v>
      </c>
      <c r="S46">
        <v>145</v>
      </c>
      <c r="T46">
        <v>117</v>
      </c>
      <c r="U46">
        <v>167</v>
      </c>
      <c r="V46">
        <v>182</v>
      </c>
      <c r="W46">
        <v>160</v>
      </c>
      <c r="X46">
        <v>392</v>
      </c>
      <c r="Y46">
        <v>328</v>
      </c>
      <c r="Z46">
        <v>438</v>
      </c>
      <c r="AA46">
        <v>298</v>
      </c>
      <c r="AD46" t="s">
        <v>674</v>
      </c>
      <c r="AE46" s="28">
        <v>1390</v>
      </c>
      <c r="AF46">
        <v>8504</v>
      </c>
      <c r="AH46">
        <v>0</v>
      </c>
    </row>
    <row r="47" spans="1:34" hidden="1">
      <c r="A47" s="39" t="s">
        <v>210</v>
      </c>
      <c r="B47" s="39">
        <v>2202</v>
      </c>
      <c r="C47" s="39">
        <v>2261</v>
      </c>
      <c r="D47" s="39">
        <v>2587</v>
      </c>
      <c r="E47" s="39">
        <v>1966</v>
      </c>
      <c r="F47" s="39">
        <v>1833</v>
      </c>
      <c r="G47" s="39">
        <v>1661</v>
      </c>
      <c r="H47" s="39">
        <v>1989</v>
      </c>
      <c r="I47" s="39">
        <v>2059</v>
      </c>
      <c r="J47" s="39">
        <v>2115</v>
      </c>
      <c r="K47">
        <v>1904</v>
      </c>
      <c r="L47">
        <v>2927</v>
      </c>
      <c r="M47">
        <v>2058</v>
      </c>
      <c r="N47">
        <v>2693</v>
      </c>
      <c r="O47">
        <v>375</v>
      </c>
      <c r="P47">
        <v>371</v>
      </c>
      <c r="Q47">
        <v>417</v>
      </c>
      <c r="R47">
        <v>372</v>
      </c>
      <c r="S47">
        <v>413</v>
      </c>
      <c r="T47">
        <v>334</v>
      </c>
      <c r="U47">
        <v>370</v>
      </c>
      <c r="V47">
        <v>412</v>
      </c>
      <c r="W47">
        <v>436</v>
      </c>
      <c r="X47">
        <v>422</v>
      </c>
      <c r="Y47">
        <v>665</v>
      </c>
      <c r="Z47">
        <v>454</v>
      </c>
      <c r="AA47">
        <v>610</v>
      </c>
      <c r="AD47" s="37" t="s">
        <v>624</v>
      </c>
      <c r="AE47" s="28">
        <v>940</v>
      </c>
      <c r="AF47">
        <v>3810</v>
      </c>
      <c r="AG47">
        <v>1019</v>
      </c>
      <c r="AH47">
        <v>5786</v>
      </c>
    </row>
    <row r="48" spans="1:34" hidden="1">
      <c r="A48" s="39" t="s">
        <v>362</v>
      </c>
      <c r="B48" s="39">
        <v>1165</v>
      </c>
      <c r="C48" s="39">
        <v>1108</v>
      </c>
      <c r="D48" s="39">
        <v>2964</v>
      </c>
      <c r="E48" s="39">
        <v>8</v>
      </c>
      <c r="F48" s="39">
        <v>0</v>
      </c>
      <c r="G48" s="39">
        <v>626</v>
      </c>
      <c r="H48" s="39">
        <v>1040</v>
      </c>
      <c r="I48" s="39">
        <v>1161</v>
      </c>
      <c r="J48" s="39">
        <v>1011</v>
      </c>
      <c r="K48">
        <v>943</v>
      </c>
      <c r="L48">
        <v>618</v>
      </c>
      <c r="M48">
        <v>631</v>
      </c>
      <c r="N48">
        <v>782</v>
      </c>
      <c r="O48">
        <v>202</v>
      </c>
      <c r="P48">
        <v>180</v>
      </c>
      <c r="Q48">
        <v>610</v>
      </c>
      <c r="R48">
        <v>1</v>
      </c>
      <c r="S48">
        <v>0</v>
      </c>
      <c r="T48">
        <v>85</v>
      </c>
      <c r="U48">
        <v>240</v>
      </c>
      <c r="V48">
        <v>226</v>
      </c>
      <c r="W48">
        <v>214</v>
      </c>
      <c r="X48">
        <v>176</v>
      </c>
      <c r="Y48">
        <v>105</v>
      </c>
      <c r="Z48">
        <v>149</v>
      </c>
      <c r="AA48">
        <v>156</v>
      </c>
      <c r="AD48" t="s">
        <v>36</v>
      </c>
      <c r="AE48" s="28">
        <v>3488</v>
      </c>
      <c r="AF48">
        <v>16265</v>
      </c>
      <c r="AH48">
        <v>0</v>
      </c>
    </row>
    <row r="49" spans="1:34" hidden="1">
      <c r="A49" s="39" t="s">
        <v>902</v>
      </c>
      <c r="B49" s="39">
        <v>789</v>
      </c>
      <c r="C49" s="39">
        <v>638</v>
      </c>
      <c r="D49" s="39">
        <v>560</v>
      </c>
      <c r="E49" s="39">
        <v>595</v>
      </c>
      <c r="F49" s="39">
        <v>668</v>
      </c>
      <c r="G49" s="39">
        <v>611</v>
      </c>
      <c r="H49" s="39">
        <v>761</v>
      </c>
      <c r="I49" s="39">
        <v>780</v>
      </c>
      <c r="J49" s="39">
        <v>653</v>
      </c>
      <c r="K49">
        <v>783</v>
      </c>
      <c r="L49">
        <v>937</v>
      </c>
      <c r="M49">
        <v>780</v>
      </c>
      <c r="N49">
        <v>968</v>
      </c>
      <c r="O49">
        <v>275</v>
      </c>
      <c r="P49">
        <v>276</v>
      </c>
      <c r="Q49">
        <v>276</v>
      </c>
      <c r="R49">
        <v>278</v>
      </c>
      <c r="S49">
        <v>308</v>
      </c>
      <c r="T49">
        <v>290</v>
      </c>
      <c r="U49">
        <v>378</v>
      </c>
      <c r="V49">
        <v>367</v>
      </c>
      <c r="W49">
        <v>315</v>
      </c>
      <c r="X49">
        <v>403</v>
      </c>
      <c r="Y49">
        <v>498</v>
      </c>
      <c r="Z49">
        <v>410</v>
      </c>
      <c r="AA49">
        <v>531</v>
      </c>
      <c r="AD49" t="s">
        <v>204</v>
      </c>
      <c r="AE49" s="28">
        <v>5377</v>
      </c>
      <c r="AF49">
        <v>25769</v>
      </c>
      <c r="AG49">
        <v>5780</v>
      </c>
      <c r="AH49">
        <v>29652</v>
      </c>
    </row>
    <row r="50" spans="1:34" hidden="1">
      <c r="A50" s="39" t="s">
        <v>835</v>
      </c>
      <c r="B50" s="39">
        <v>598</v>
      </c>
      <c r="C50" s="39">
        <v>376</v>
      </c>
      <c r="D50" s="39">
        <v>314</v>
      </c>
      <c r="E50" s="39">
        <v>285</v>
      </c>
      <c r="F50" s="39">
        <v>298</v>
      </c>
      <c r="G50" s="39">
        <v>282</v>
      </c>
      <c r="H50" s="39">
        <v>327</v>
      </c>
      <c r="I50" s="39">
        <v>376</v>
      </c>
      <c r="J50" s="39">
        <v>344</v>
      </c>
      <c r="K50">
        <v>251</v>
      </c>
      <c r="L50">
        <v>288</v>
      </c>
      <c r="M50">
        <v>269</v>
      </c>
      <c r="N50">
        <v>411</v>
      </c>
      <c r="O50">
        <v>210</v>
      </c>
      <c r="P50">
        <v>147</v>
      </c>
      <c r="Q50">
        <v>148</v>
      </c>
      <c r="R50">
        <v>123</v>
      </c>
      <c r="S50">
        <v>135</v>
      </c>
      <c r="T50">
        <v>114</v>
      </c>
      <c r="U50">
        <v>137</v>
      </c>
      <c r="V50">
        <v>182</v>
      </c>
      <c r="W50">
        <v>167</v>
      </c>
      <c r="X50">
        <v>139</v>
      </c>
      <c r="Y50">
        <v>132</v>
      </c>
      <c r="Z50">
        <v>114</v>
      </c>
      <c r="AA50">
        <v>159</v>
      </c>
      <c r="AD50" t="s">
        <v>632</v>
      </c>
      <c r="AE50" s="28">
        <v>633</v>
      </c>
      <c r="AF50">
        <v>2757</v>
      </c>
      <c r="AH50">
        <v>0</v>
      </c>
    </row>
    <row r="51" spans="1:34" hidden="1">
      <c r="A51" s="39" t="s">
        <v>638</v>
      </c>
      <c r="B51" s="39">
        <v>3107</v>
      </c>
      <c r="C51" s="39">
        <v>2997</v>
      </c>
      <c r="D51" s="39">
        <v>6966</v>
      </c>
      <c r="E51" s="39">
        <v>2340</v>
      </c>
      <c r="F51" s="39">
        <v>1935</v>
      </c>
      <c r="G51" s="39">
        <v>2093</v>
      </c>
      <c r="H51" s="39">
        <v>1135</v>
      </c>
      <c r="I51" s="39">
        <v>2075</v>
      </c>
      <c r="J51" s="39">
        <v>1715</v>
      </c>
      <c r="K51">
        <v>1716</v>
      </c>
      <c r="L51">
        <v>1560</v>
      </c>
      <c r="M51">
        <v>1419</v>
      </c>
      <c r="N51">
        <v>3552</v>
      </c>
      <c r="O51">
        <v>652</v>
      </c>
      <c r="P51">
        <v>615</v>
      </c>
      <c r="Q51">
        <v>927</v>
      </c>
      <c r="R51">
        <v>594</v>
      </c>
      <c r="S51">
        <v>559</v>
      </c>
      <c r="T51">
        <v>531</v>
      </c>
      <c r="U51">
        <v>307</v>
      </c>
      <c r="V51">
        <v>516</v>
      </c>
      <c r="W51">
        <v>434</v>
      </c>
      <c r="X51">
        <v>504</v>
      </c>
      <c r="Y51">
        <v>420</v>
      </c>
      <c r="Z51">
        <v>369</v>
      </c>
      <c r="AA51">
        <v>813</v>
      </c>
      <c r="AD51" t="s">
        <v>564</v>
      </c>
      <c r="AE51" s="28">
        <v>1412</v>
      </c>
      <c r="AF51">
        <v>5438</v>
      </c>
      <c r="AG51">
        <v>1615</v>
      </c>
      <c r="AH51">
        <v>5779</v>
      </c>
    </row>
    <row r="52" spans="1:34" hidden="1">
      <c r="A52" s="39" t="s">
        <v>474</v>
      </c>
      <c r="B52" s="39">
        <v>1714</v>
      </c>
      <c r="C52" s="39">
        <v>1951</v>
      </c>
      <c r="D52" s="39">
        <v>1431</v>
      </c>
      <c r="E52" s="39">
        <v>1568</v>
      </c>
      <c r="F52" s="39">
        <v>1278</v>
      </c>
      <c r="G52" s="39">
        <v>880</v>
      </c>
      <c r="H52" s="39">
        <v>971</v>
      </c>
      <c r="I52" s="39">
        <v>712</v>
      </c>
      <c r="J52" s="39">
        <v>1022</v>
      </c>
      <c r="K52">
        <v>904</v>
      </c>
      <c r="L52">
        <v>845</v>
      </c>
      <c r="M52">
        <v>764</v>
      </c>
      <c r="N52">
        <v>962</v>
      </c>
      <c r="O52">
        <v>290</v>
      </c>
      <c r="P52">
        <v>329</v>
      </c>
      <c r="Q52">
        <v>287</v>
      </c>
      <c r="R52">
        <v>267</v>
      </c>
      <c r="S52">
        <v>216</v>
      </c>
      <c r="T52">
        <v>192</v>
      </c>
      <c r="U52">
        <v>240</v>
      </c>
      <c r="V52">
        <v>217</v>
      </c>
      <c r="W52">
        <v>204</v>
      </c>
      <c r="X52">
        <v>234</v>
      </c>
      <c r="Y52">
        <v>239</v>
      </c>
      <c r="Z52">
        <v>213</v>
      </c>
      <c r="AA52">
        <v>274</v>
      </c>
      <c r="AD52" t="s">
        <v>500</v>
      </c>
      <c r="AE52" s="28">
        <v>829</v>
      </c>
      <c r="AF52">
        <v>3547</v>
      </c>
      <c r="AH52">
        <v>0</v>
      </c>
    </row>
    <row r="53" spans="1:34" hidden="1">
      <c r="A53" s="39" t="s">
        <v>564</v>
      </c>
      <c r="B53" s="39">
        <v>0</v>
      </c>
      <c r="C53" s="39">
        <v>0</v>
      </c>
      <c r="D53" s="39">
        <v>0</v>
      </c>
      <c r="E53" s="39">
        <v>0</v>
      </c>
      <c r="F53" s="39">
        <v>1346</v>
      </c>
      <c r="G53" s="39">
        <v>1294</v>
      </c>
      <c r="H53" s="39">
        <v>1208</v>
      </c>
      <c r="I53" s="39">
        <v>1210</v>
      </c>
      <c r="J53" s="39">
        <v>1161</v>
      </c>
      <c r="K53">
        <v>1136</v>
      </c>
      <c r="L53">
        <v>1060</v>
      </c>
      <c r="M53">
        <v>912</v>
      </c>
      <c r="N53">
        <v>1478</v>
      </c>
      <c r="O53">
        <v>0</v>
      </c>
      <c r="P53">
        <v>0</v>
      </c>
      <c r="Q53">
        <v>0</v>
      </c>
      <c r="R53">
        <v>0</v>
      </c>
      <c r="S53">
        <v>389</v>
      </c>
      <c r="T53">
        <v>384</v>
      </c>
      <c r="U53">
        <v>323</v>
      </c>
      <c r="V53">
        <v>350</v>
      </c>
      <c r="W53">
        <v>336</v>
      </c>
      <c r="X53">
        <v>331</v>
      </c>
      <c r="Y53">
        <v>309</v>
      </c>
      <c r="Z53">
        <v>267</v>
      </c>
      <c r="AA53">
        <v>409</v>
      </c>
      <c r="AD53" t="s">
        <v>410</v>
      </c>
      <c r="AE53" s="28">
        <v>3176</v>
      </c>
      <c r="AF53">
        <v>14241</v>
      </c>
      <c r="AG53">
        <v>2909</v>
      </c>
      <c r="AH53">
        <v>12706</v>
      </c>
    </row>
    <row r="54" spans="1:34" hidden="1">
      <c r="A54" s="39" t="s">
        <v>590</v>
      </c>
      <c r="B54" s="39">
        <v>1713</v>
      </c>
      <c r="C54" s="39">
        <v>2945</v>
      </c>
      <c r="D54" s="39">
        <v>4035</v>
      </c>
      <c r="E54" s="39">
        <v>1162</v>
      </c>
      <c r="F54" s="39">
        <v>888</v>
      </c>
      <c r="G54" s="39">
        <v>964</v>
      </c>
      <c r="H54" s="39">
        <v>928</v>
      </c>
      <c r="I54" s="39">
        <v>975</v>
      </c>
      <c r="J54" s="39">
        <v>957</v>
      </c>
      <c r="K54">
        <v>893</v>
      </c>
      <c r="L54">
        <v>838</v>
      </c>
      <c r="M54">
        <v>850</v>
      </c>
      <c r="N54">
        <v>1169</v>
      </c>
      <c r="O54">
        <v>321</v>
      </c>
      <c r="P54">
        <v>480</v>
      </c>
      <c r="Q54">
        <v>520</v>
      </c>
      <c r="R54">
        <v>342</v>
      </c>
      <c r="S54">
        <v>289</v>
      </c>
      <c r="T54">
        <v>244</v>
      </c>
      <c r="U54">
        <v>235</v>
      </c>
      <c r="V54">
        <v>308</v>
      </c>
      <c r="W54">
        <v>285</v>
      </c>
      <c r="X54">
        <v>268</v>
      </c>
      <c r="Y54">
        <v>233</v>
      </c>
      <c r="Z54">
        <v>263</v>
      </c>
      <c r="AA54">
        <v>365</v>
      </c>
      <c r="AD54" t="s">
        <v>138</v>
      </c>
      <c r="AE54" s="28">
        <v>775</v>
      </c>
      <c r="AF54">
        <v>3944</v>
      </c>
      <c r="AH54">
        <v>0</v>
      </c>
    </row>
    <row r="55" spans="1:34" hidden="1">
      <c r="A55" s="39" t="s">
        <v>1397</v>
      </c>
      <c r="B55" s="39">
        <v>0</v>
      </c>
      <c r="C55" s="39">
        <v>0</v>
      </c>
      <c r="D55" s="39">
        <v>0</v>
      </c>
      <c r="E55" s="39">
        <v>0</v>
      </c>
      <c r="F55" s="39">
        <v>0</v>
      </c>
      <c r="G55" s="39">
        <v>0</v>
      </c>
      <c r="H55" s="39">
        <v>0</v>
      </c>
      <c r="I55" s="39">
        <v>0</v>
      </c>
      <c r="J55" s="39">
        <v>0</v>
      </c>
      <c r="K55">
        <v>692</v>
      </c>
      <c r="L55">
        <v>130</v>
      </c>
      <c r="M55">
        <v>487</v>
      </c>
      <c r="N55">
        <v>78</v>
      </c>
      <c r="O55">
        <v>0</v>
      </c>
      <c r="P55">
        <v>0</v>
      </c>
      <c r="Q55">
        <v>0</v>
      </c>
      <c r="R55">
        <v>0</v>
      </c>
      <c r="S55">
        <v>0</v>
      </c>
      <c r="T55">
        <v>0</v>
      </c>
      <c r="U55">
        <v>0</v>
      </c>
      <c r="V55">
        <v>0</v>
      </c>
      <c r="W55">
        <v>0</v>
      </c>
      <c r="X55">
        <v>2</v>
      </c>
      <c r="Y55">
        <v>27</v>
      </c>
      <c r="Z55">
        <v>45</v>
      </c>
      <c r="AA55">
        <v>1</v>
      </c>
      <c r="AD55" t="s">
        <v>568</v>
      </c>
      <c r="AE55" s="28">
        <v>652</v>
      </c>
      <c r="AF55">
        <v>4042</v>
      </c>
      <c r="AG55">
        <v>684</v>
      </c>
      <c r="AH55">
        <v>4399</v>
      </c>
    </row>
    <row r="56" spans="1:34" hidden="1">
      <c r="A56" s="39" t="s">
        <v>922</v>
      </c>
      <c r="B56" s="39">
        <v>705</v>
      </c>
      <c r="C56" s="39">
        <v>778</v>
      </c>
      <c r="D56" s="39">
        <v>1098</v>
      </c>
      <c r="E56" s="39">
        <v>862</v>
      </c>
      <c r="F56" s="39">
        <v>999</v>
      </c>
      <c r="G56" s="39">
        <v>968</v>
      </c>
      <c r="H56" s="39">
        <v>794</v>
      </c>
      <c r="I56" s="39">
        <v>740</v>
      </c>
      <c r="J56" s="39">
        <v>644</v>
      </c>
      <c r="K56">
        <v>526</v>
      </c>
      <c r="L56">
        <v>629</v>
      </c>
      <c r="M56">
        <v>505</v>
      </c>
      <c r="N56">
        <v>505</v>
      </c>
      <c r="O56">
        <v>218</v>
      </c>
      <c r="P56">
        <v>267</v>
      </c>
      <c r="Q56">
        <v>238</v>
      </c>
      <c r="R56">
        <v>239</v>
      </c>
      <c r="S56">
        <v>315</v>
      </c>
      <c r="T56">
        <v>281</v>
      </c>
      <c r="U56">
        <v>270</v>
      </c>
      <c r="V56">
        <v>279</v>
      </c>
      <c r="W56">
        <v>243</v>
      </c>
      <c r="X56">
        <v>213</v>
      </c>
      <c r="Y56">
        <v>273</v>
      </c>
      <c r="Z56">
        <v>212</v>
      </c>
      <c r="AA56">
        <v>257</v>
      </c>
      <c r="AD56" t="s">
        <v>21</v>
      </c>
      <c r="AE56" s="28">
        <v>7423</v>
      </c>
      <c r="AF56">
        <v>30685</v>
      </c>
      <c r="AG56">
        <v>9541</v>
      </c>
      <c r="AH56">
        <v>38305</v>
      </c>
    </row>
    <row r="57" spans="1:34" hidden="1">
      <c r="A57" s="39" t="s">
        <v>890</v>
      </c>
      <c r="B57" s="39">
        <v>1649</v>
      </c>
      <c r="C57" s="39">
        <v>812</v>
      </c>
      <c r="D57" s="39">
        <v>0</v>
      </c>
      <c r="E57" s="39">
        <v>2488</v>
      </c>
      <c r="F57" s="39">
        <v>1265</v>
      </c>
      <c r="G57" s="39">
        <v>1119</v>
      </c>
      <c r="H57" s="39">
        <v>1033</v>
      </c>
      <c r="I57" s="39">
        <v>1417</v>
      </c>
      <c r="J57" s="39">
        <v>1890</v>
      </c>
      <c r="K57">
        <v>1181</v>
      </c>
      <c r="L57">
        <v>1588</v>
      </c>
      <c r="M57">
        <v>1385</v>
      </c>
      <c r="N57">
        <v>2365</v>
      </c>
      <c r="O57">
        <v>272</v>
      </c>
      <c r="P57">
        <v>58</v>
      </c>
      <c r="Q57">
        <v>0</v>
      </c>
      <c r="R57">
        <v>136</v>
      </c>
      <c r="S57">
        <v>69</v>
      </c>
      <c r="T57">
        <v>121</v>
      </c>
      <c r="U57">
        <v>601</v>
      </c>
      <c r="V57">
        <v>357</v>
      </c>
      <c r="W57">
        <v>927</v>
      </c>
      <c r="X57">
        <v>405</v>
      </c>
      <c r="Y57">
        <v>941</v>
      </c>
      <c r="Z57">
        <v>778</v>
      </c>
      <c r="AA57">
        <v>1179</v>
      </c>
      <c r="AD57" t="s">
        <v>186</v>
      </c>
      <c r="AE57" s="28">
        <v>1327</v>
      </c>
      <c r="AF57">
        <v>11643</v>
      </c>
      <c r="AG57">
        <v>1380</v>
      </c>
      <c r="AH57">
        <v>10923</v>
      </c>
    </row>
    <row r="58" spans="1:34" hidden="1">
      <c r="A58" s="39" t="s">
        <v>935</v>
      </c>
      <c r="B58" s="39">
        <v>600</v>
      </c>
      <c r="C58" s="39">
        <v>710</v>
      </c>
      <c r="D58" s="39">
        <v>611</v>
      </c>
      <c r="E58" s="39">
        <v>504</v>
      </c>
      <c r="F58" s="39">
        <v>427</v>
      </c>
      <c r="G58" s="39">
        <v>647</v>
      </c>
      <c r="H58" s="39">
        <v>517</v>
      </c>
      <c r="I58" s="39">
        <v>693</v>
      </c>
      <c r="J58" s="39">
        <v>1153</v>
      </c>
      <c r="K58">
        <v>1013</v>
      </c>
      <c r="L58">
        <v>1336</v>
      </c>
      <c r="M58">
        <v>1197</v>
      </c>
      <c r="N58">
        <v>3505</v>
      </c>
      <c r="O58">
        <v>139</v>
      </c>
      <c r="P58">
        <v>164</v>
      </c>
      <c r="Q58">
        <v>143</v>
      </c>
      <c r="R58">
        <v>138</v>
      </c>
      <c r="S58">
        <v>130</v>
      </c>
      <c r="T58">
        <v>153</v>
      </c>
      <c r="U58">
        <v>156</v>
      </c>
      <c r="V58">
        <v>199</v>
      </c>
      <c r="W58">
        <v>312</v>
      </c>
      <c r="X58">
        <v>288</v>
      </c>
      <c r="Y58">
        <v>427</v>
      </c>
      <c r="Z58">
        <v>293</v>
      </c>
      <c r="AA58">
        <v>958</v>
      </c>
      <c r="AD58" t="s">
        <v>578</v>
      </c>
      <c r="AE58" s="28">
        <v>932</v>
      </c>
      <c r="AF58">
        <v>4545</v>
      </c>
      <c r="AH58">
        <v>0</v>
      </c>
    </row>
    <row r="59" spans="1:34" hidden="1">
      <c r="A59" s="39" t="s">
        <v>33</v>
      </c>
      <c r="B59" s="39">
        <v>6904</v>
      </c>
      <c r="C59" s="39">
        <v>6392</v>
      </c>
      <c r="D59" s="39">
        <v>5424</v>
      </c>
      <c r="E59" s="39">
        <v>5782</v>
      </c>
      <c r="F59" s="39">
        <v>5396</v>
      </c>
      <c r="G59" s="39">
        <v>5490</v>
      </c>
      <c r="H59" s="39">
        <v>4963</v>
      </c>
      <c r="I59" s="39">
        <v>6007</v>
      </c>
      <c r="J59" s="39">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c r="AD59" t="s">
        <v>604</v>
      </c>
      <c r="AE59" s="28">
        <v>1214</v>
      </c>
      <c r="AF59">
        <v>4168</v>
      </c>
      <c r="AH59">
        <v>0</v>
      </c>
    </row>
    <row r="60" spans="1:34" hidden="1">
      <c r="A60" s="39" t="s">
        <v>738</v>
      </c>
      <c r="B60" s="39">
        <v>1711</v>
      </c>
      <c r="C60" s="39">
        <v>1416</v>
      </c>
      <c r="D60" s="39">
        <v>900</v>
      </c>
      <c r="E60" s="39">
        <v>932</v>
      </c>
      <c r="F60" s="39">
        <v>700</v>
      </c>
      <c r="G60" s="39">
        <v>565</v>
      </c>
      <c r="H60" s="39">
        <v>1216</v>
      </c>
      <c r="I60" s="39">
        <v>1004</v>
      </c>
      <c r="J60" s="39">
        <v>972</v>
      </c>
      <c r="K60">
        <v>613</v>
      </c>
      <c r="L60">
        <v>602</v>
      </c>
      <c r="M60">
        <v>649</v>
      </c>
      <c r="N60">
        <v>1002</v>
      </c>
      <c r="O60">
        <v>621</v>
      </c>
      <c r="P60">
        <v>579</v>
      </c>
      <c r="Q60">
        <v>398</v>
      </c>
      <c r="R60">
        <v>453</v>
      </c>
      <c r="S60">
        <v>393</v>
      </c>
      <c r="T60">
        <v>319</v>
      </c>
      <c r="U60">
        <v>885</v>
      </c>
      <c r="V60">
        <v>469</v>
      </c>
      <c r="W60">
        <v>437</v>
      </c>
      <c r="X60">
        <v>346</v>
      </c>
      <c r="Y60">
        <v>294</v>
      </c>
      <c r="Z60">
        <v>315</v>
      </c>
      <c r="AA60">
        <v>432</v>
      </c>
      <c r="AD60" t="s">
        <v>582</v>
      </c>
      <c r="AE60" s="28">
        <v>1982</v>
      </c>
      <c r="AF60">
        <v>4535</v>
      </c>
      <c r="AG60">
        <v>1664</v>
      </c>
      <c r="AH60">
        <v>3195</v>
      </c>
    </row>
    <row r="61" spans="1:34" hidden="1">
      <c r="A61" s="39" t="s">
        <v>841</v>
      </c>
      <c r="B61" s="39">
        <v>2915</v>
      </c>
      <c r="C61" s="39">
        <v>1681</v>
      </c>
      <c r="D61" s="39">
        <v>1501</v>
      </c>
      <c r="E61" s="39">
        <v>1123</v>
      </c>
      <c r="F61" s="39">
        <v>1016</v>
      </c>
      <c r="G61" s="39">
        <v>1109</v>
      </c>
      <c r="H61" s="39">
        <v>1044</v>
      </c>
      <c r="I61" s="39">
        <v>1063</v>
      </c>
      <c r="J61" s="39">
        <v>1121</v>
      </c>
      <c r="K61">
        <v>969</v>
      </c>
      <c r="L61">
        <v>941</v>
      </c>
      <c r="M61">
        <v>776</v>
      </c>
      <c r="N61">
        <v>1013</v>
      </c>
      <c r="O61">
        <v>711</v>
      </c>
      <c r="P61">
        <v>395</v>
      </c>
      <c r="Q61">
        <v>379</v>
      </c>
      <c r="R61">
        <v>335</v>
      </c>
      <c r="S61">
        <v>335</v>
      </c>
      <c r="T61">
        <v>385</v>
      </c>
      <c r="U61">
        <v>318</v>
      </c>
      <c r="V61">
        <v>379</v>
      </c>
      <c r="W61">
        <v>354</v>
      </c>
      <c r="X61">
        <v>342</v>
      </c>
      <c r="Y61">
        <v>353</v>
      </c>
      <c r="Z61">
        <v>276</v>
      </c>
      <c r="AA61">
        <v>385</v>
      </c>
      <c r="AD61" s="27" t="s">
        <v>152</v>
      </c>
      <c r="AE61" s="28">
        <v>1254</v>
      </c>
      <c r="AF61">
        <v>8932</v>
      </c>
      <c r="AG61">
        <v>767</v>
      </c>
      <c r="AH61">
        <v>5607</v>
      </c>
    </row>
    <row r="62" spans="1:34" hidden="1">
      <c r="A62" s="39" t="s">
        <v>184</v>
      </c>
      <c r="B62" s="39">
        <v>2151</v>
      </c>
      <c r="C62" s="39">
        <v>2594</v>
      </c>
      <c r="D62" s="39">
        <v>6699</v>
      </c>
      <c r="E62" s="39">
        <v>2080</v>
      </c>
      <c r="F62" s="39">
        <v>2415</v>
      </c>
      <c r="G62" s="39">
        <v>2029</v>
      </c>
      <c r="H62" s="39">
        <v>2033</v>
      </c>
      <c r="I62" s="39">
        <v>2191</v>
      </c>
      <c r="J62" s="39">
        <v>2233</v>
      </c>
      <c r="K62">
        <v>1930</v>
      </c>
      <c r="L62">
        <v>3145</v>
      </c>
      <c r="M62">
        <v>2109</v>
      </c>
      <c r="N62">
        <v>3759</v>
      </c>
      <c r="O62">
        <v>413</v>
      </c>
      <c r="P62">
        <v>493</v>
      </c>
      <c r="Q62">
        <v>701</v>
      </c>
      <c r="R62">
        <v>450</v>
      </c>
      <c r="S62">
        <v>651</v>
      </c>
      <c r="T62">
        <v>579</v>
      </c>
      <c r="U62">
        <v>551</v>
      </c>
      <c r="V62">
        <v>531</v>
      </c>
      <c r="W62">
        <v>538</v>
      </c>
      <c r="X62">
        <v>472</v>
      </c>
      <c r="Y62">
        <v>1096</v>
      </c>
      <c r="Z62">
        <v>560</v>
      </c>
      <c r="AA62">
        <v>956</v>
      </c>
      <c r="AD62" t="s">
        <v>452</v>
      </c>
      <c r="AE62" s="28">
        <v>971</v>
      </c>
      <c r="AF62">
        <v>5979</v>
      </c>
      <c r="AG62">
        <v>844</v>
      </c>
      <c r="AH62">
        <v>5430</v>
      </c>
    </row>
    <row r="63" spans="1:34" hidden="1">
      <c r="A63" s="39" t="s">
        <v>214</v>
      </c>
      <c r="B63" s="39">
        <v>1075</v>
      </c>
      <c r="C63" s="39">
        <v>1310</v>
      </c>
      <c r="D63" s="39">
        <v>1452</v>
      </c>
      <c r="E63" s="39">
        <v>1196</v>
      </c>
      <c r="F63" s="39">
        <v>1309</v>
      </c>
      <c r="G63" s="39">
        <v>912</v>
      </c>
      <c r="H63" s="39">
        <v>937</v>
      </c>
      <c r="I63" s="39">
        <v>918</v>
      </c>
      <c r="J63" s="39">
        <v>765</v>
      </c>
      <c r="K63">
        <v>547</v>
      </c>
      <c r="L63">
        <v>687</v>
      </c>
      <c r="M63">
        <v>727</v>
      </c>
      <c r="N63">
        <v>1318</v>
      </c>
      <c r="O63">
        <v>183</v>
      </c>
      <c r="P63">
        <v>235</v>
      </c>
      <c r="Q63">
        <v>261</v>
      </c>
      <c r="R63">
        <v>189</v>
      </c>
      <c r="S63">
        <v>244</v>
      </c>
      <c r="T63">
        <v>198</v>
      </c>
      <c r="U63">
        <v>167</v>
      </c>
      <c r="V63">
        <v>205</v>
      </c>
      <c r="W63">
        <v>149</v>
      </c>
      <c r="X63">
        <v>119</v>
      </c>
      <c r="Y63">
        <v>124</v>
      </c>
      <c r="Z63">
        <v>169</v>
      </c>
      <c r="AA63">
        <v>206</v>
      </c>
      <c r="AD63" t="s">
        <v>226</v>
      </c>
      <c r="AE63" s="28">
        <v>3925</v>
      </c>
      <c r="AF63">
        <v>15541</v>
      </c>
      <c r="AG63">
        <v>3954</v>
      </c>
      <c r="AH63">
        <v>14023</v>
      </c>
    </row>
    <row r="64" spans="1:34" hidden="1">
      <c r="A64" s="39" t="s">
        <v>514</v>
      </c>
      <c r="B64" s="39">
        <v>1071</v>
      </c>
      <c r="C64" s="39">
        <v>1232</v>
      </c>
      <c r="D64" s="39">
        <v>1079</v>
      </c>
      <c r="E64" s="39">
        <v>1252</v>
      </c>
      <c r="F64" s="39">
        <v>968</v>
      </c>
      <c r="G64" s="39">
        <v>924</v>
      </c>
      <c r="H64" s="39">
        <v>867</v>
      </c>
      <c r="I64" s="39">
        <v>710</v>
      </c>
      <c r="J64" s="39">
        <v>843</v>
      </c>
      <c r="K64">
        <v>652</v>
      </c>
      <c r="L64">
        <v>1050</v>
      </c>
      <c r="M64">
        <v>1073</v>
      </c>
      <c r="N64">
        <v>1234</v>
      </c>
      <c r="O64">
        <v>294</v>
      </c>
      <c r="P64">
        <v>330</v>
      </c>
      <c r="Q64">
        <v>282</v>
      </c>
      <c r="R64">
        <v>299</v>
      </c>
      <c r="S64">
        <v>255</v>
      </c>
      <c r="T64">
        <v>268</v>
      </c>
      <c r="U64">
        <v>241</v>
      </c>
      <c r="V64">
        <v>244</v>
      </c>
      <c r="W64">
        <v>285</v>
      </c>
      <c r="X64">
        <v>234</v>
      </c>
      <c r="Y64">
        <v>260</v>
      </c>
      <c r="Z64">
        <v>234</v>
      </c>
      <c r="AA64">
        <v>314</v>
      </c>
      <c r="AD64" t="s">
        <v>354</v>
      </c>
      <c r="AE64" s="28">
        <v>470</v>
      </c>
      <c r="AF64">
        <v>1786</v>
      </c>
      <c r="AH64">
        <v>0</v>
      </c>
    </row>
    <row r="65" spans="1:34" hidden="1">
      <c r="A65" s="39" t="s">
        <v>314</v>
      </c>
      <c r="B65" s="39">
        <v>4762</v>
      </c>
      <c r="C65" s="39">
        <v>5839</v>
      </c>
      <c r="D65" s="39">
        <v>5526</v>
      </c>
      <c r="E65" s="39">
        <v>12099</v>
      </c>
      <c r="F65" s="39">
        <v>5977</v>
      </c>
      <c r="G65" s="39">
        <v>9576</v>
      </c>
      <c r="H65" s="39">
        <v>13936</v>
      </c>
      <c r="I65" s="39">
        <v>8649</v>
      </c>
      <c r="J65" s="39">
        <v>5550</v>
      </c>
      <c r="K65">
        <v>5893</v>
      </c>
      <c r="L65">
        <v>5155</v>
      </c>
      <c r="M65">
        <v>2684</v>
      </c>
      <c r="N65">
        <v>2430</v>
      </c>
      <c r="O65">
        <v>951</v>
      </c>
      <c r="P65">
        <v>1239</v>
      </c>
      <c r="Q65">
        <v>1150</v>
      </c>
      <c r="R65">
        <v>1697</v>
      </c>
      <c r="S65">
        <v>360</v>
      </c>
      <c r="T65">
        <v>1279</v>
      </c>
      <c r="U65">
        <v>2744</v>
      </c>
      <c r="V65">
        <v>1651</v>
      </c>
      <c r="W65">
        <v>1166</v>
      </c>
      <c r="X65">
        <v>1203</v>
      </c>
      <c r="Y65">
        <v>1240</v>
      </c>
      <c r="Z65">
        <v>617</v>
      </c>
      <c r="AA65">
        <v>589</v>
      </c>
      <c r="AD65" t="s">
        <v>504</v>
      </c>
      <c r="AE65" s="28">
        <v>2026</v>
      </c>
      <c r="AF65">
        <v>10626</v>
      </c>
      <c r="AG65">
        <v>1840</v>
      </c>
      <c r="AH65">
        <v>7932</v>
      </c>
    </row>
    <row r="66" spans="1:34" hidden="1">
      <c r="A66" s="39" t="s">
        <v>560</v>
      </c>
      <c r="B66" s="39">
        <v>0</v>
      </c>
      <c r="C66" s="39">
        <v>0</v>
      </c>
      <c r="D66" s="39">
        <v>441</v>
      </c>
      <c r="E66" s="39">
        <v>1139</v>
      </c>
      <c r="F66" s="39">
        <v>932</v>
      </c>
      <c r="G66" s="39">
        <v>832</v>
      </c>
      <c r="H66" s="39">
        <v>1086</v>
      </c>
      <c r="I66" s="39">
        <v>954</v>
      </c>
      <c r="J66" s="39">
        <v>834</v>
      </c>
      <c r="K66">
        <v>1064</v>
      </c>
      <c r="L66">
        <v>1104</v>
      </c>
      <c r="M66">
        <v>1099</v>
      </c>
      <c r="N66">
        <v>1295</v>
      </c>
      <c r="O66">
        <v>0</v>
      </c>
      <c r="P66">
        <v>0</v>
      </c>
      <c r="Q66">
        <v>115</v>
      </c>
      <c r="R66">
        <v>298</v>
      </c>
      <c r="S66">
        <v>212</v>
      </c>
      <c r="T66">
        <v>205</v>
      </c>
      <c r="U66">
        <v>240</v>
      </c>
      <c r="V66">
        <v>221</v>
      </c>
      <c r="W66">
        <v>219</v>
      </c>
      <c r="X66">
        <v>292</v>
      </c>
      <c r="Y66">
        <v>273</v>
      </c>
      <c r="Z66">
        <v>242</v>
      </c>
      <c r="AA66">
        <v>338</v>
      </c>
      <c r="AD66" t="s">
        <v>148</v>
      </c>
      <c r="AE66" s="28">
        <v>2247</v>
      </c>
      <c r="AF66">
        <v>9320</v>
      </c>
      <c r="AG66">
        <v>2293</v>
      </c>
      <c r="AH66">
        <v>8955</v>
      </c>
    </row>
    <row r="67" spans="1:34" hidden="1">
      <c r="A67" s="39" t="s">
        <v>1398</v>
      </c>
      <c r="B67" s="39">
        <v>1074</v>
      </c>
      <c r="C67" s="39">
        <v>995</v>
      </c>
      <c r="D67" s="39">
        <v>1182</v>
      </c>
      <c r="E67" s="39">
        <v>780</v>
      </c>
      <c r="F67" s="39">
        <v>771</v>
      </c>
      <c r="G67" s="39">
        <v>652</v>
      </c>
      <c r="H67" s="39">
        <v>675</v>
      </c>
      <c r="I67" s="39">
        <v>672</v>
      </c>
      <c r="J67" s="39">
        <v>676</v>
      </c>
      <c r="K67">
        <v>0</v>
      </c>
      <c r="L67">
        <v>0</v>
      </c>
      <c r="M67">
        <v>0</v>
      </c>
      <c r="N67">
        <v>0</v>
      </c>
      <c r="O67">
        <v>182</v>
      </c>
      <c r="P67">
        <v>154</v>
      </c>
      <c r="Q67">
        <v>206</v>
      </c>
      <c r="R67">
        <v>133</v>
      </c>
      <c r="S67">
        <v>166</v>
      </c>
      <c r="T67">
        <v>137</v>
      </c>
      <c r="U67">
        <v>137</v>
      </c>
      <c r="V67">
        <v>137</v>
      </c>
      <c r="W67">
        <v>143</v>
      </c>
      <c r="X67">
        <v>1</v>
      </c>
      <c r="Y67">
        <v>0</v>
      </c>
      <c r="Z67">
        <v>0</v>
      </c>
      <c r="AA67">
        <v>0</v>
      </c>
      <c r="AD67" t="s">
        <v>302</v>
      </c>
      <c r="AE67" s="28">
        <v>2514</v>
      </c>
      <c r="AF67">
        <v>14408</v>
      </c>
      <c r="AG67">
        <v>2314</v>
      </c>
      <c r="AH67">
        <v>9966</v>
      </c>
    </row>
    <row r="68" spans="1:34" hidden="1">
      <c r="A68" s="39" t="s">
        <v>598</v>
      </c>
      <c r="B68" s="39">
        <v>2356</v>
      </c>
      <c r="C68" s="39">
        <v>4166</v>
      </c>
      <c r="D68" s="39">
        <v>4947</v>
      </c>
      <c r="E68" s="39">
        <v>1743</v>
      </c>
      <c r="F68" s="39">
        <v>2316</v>
      </c>
      <c r="G68" s="39">
        <v>535</v>
      </c>
      <c r="H68" s="39">
        <v>1144</v>
      </c>
      <c r="I68" s="39">
        <v>1118</v>
      </c>
      <c r="J68" s="39">
        <v>892</v>
      </c>
      <c r="K68">
        <v>691</v>
      </c>
      <c r="L68">
        <v>583</v>
      </c>
      <c r="M68">
        <v>612</v>
      </c>
      <c r="N68">
        <v>1172</v>
      </c>
      <c r="O68">
        <v>405</v>
      </c>
      <c r="P68">
        <v>438</v>
      </c>
      <c r="Q68">
        <v>614</v>
      </c>
      <c r="R68">
        <v>437</v>
      </c>
      <c r="S68">
        <v>515</v>
      </c>
      <c r="T68">
        <v>70</v>
      </c>
      <c r="U68">
        <v>306</v>
      </c>
      <c r="V68">
        <v>283</v>
      </c>
      <c r="W68">
        <v>319</v>
      </c>
      <c r="X68">
        <v>248</v>
      </c>
      <c r="Y68">
        <v>190</v>
      </c>
      <c r="Z68">
        <v>193</v>
      </c>
      <c r="AA68">
        <v>367</v>
      </c>
      <c r="AD68" t="s">
        <v>566</v>
      </c>
      <c r="AE68" s="28">
        <v>666</v>
      </c>
      <c r="AF68">
        <v>3291</v>
      </c>
      <c r="AH68">
        <v>0</v>
      </c>
    </row>
    <row r="69" spans="1:34" hidden="1">
      <c r="A69" s="39" t="s">
        <v>957</v>
      </c>
      <c r="B69" s="39">
        <v>842</v>
      </c>
      <c r="C69" s="39">
        <v>638</v>
      </c>
      <c r="D69" s="39">
        <v>426</v>
      </c>
      <c r="E69" s="39">
        <v>403</v>
      </c>
      <c r="F69" s="39">
        <v>359</v>
      </c>
      <c r="G69" s="39">
        <v>317</v>
      </c>
      <c r="H69" s="39">
        <v>310</v>
      </c>
      <c r="I69" s="39">
        <v>362</v>
      </c>
      <c r="J69" s="39">
        <v>322</v>
      </c>
      <c r="K69">
        <v>435</v>
      </c>
      <c r="L69">
        <v>490</v>
      </c>
      <c r="M69">
        <v>312</v>
      </c>
      <c r="N69">
        <v>424</v>
      </c>
      <c r="O69">
        <v>359</v>
      </c>
      <c r="P69">
        <v>265</v>
      </c>
      <c r="Q69">
        <v>199</v>
      </c>
      <c r="R69">
        <v>236</v>
      </c>
      <c r="S69">
        <v>248</v>
      </c>
      <c r="T69">
        <v>210</v>
      </c>
      <c r="U69">
        <v>199</v>
      </c>
      <c r="V69">
        <v>217</v>
      </c>
      <c r="W69">
        <v>221</v>
      </c>
      <c r="X69">
        <v>270</v>
      </c>
      <c r="Y69">
        <v>297</v>
      </c>
      <c r="Z69">
        <v>204</v>
      </c>
      <c r="AA69">
        <v>289</v>
      </c>
      <c r="AD69" t="s">
        <v>538</v>
      </c>
      <c r="AE69" s="28">
        <v>2677</v>
      </c>
      <c r="AF69">
        <v>7629</v>
      </c>
      <c r="AG69">
        <v>3124</v>
      </c>
      <c r="AH69">
        <v>9860</v>
      </c>
    </row>
    <row r="70" spans="1:34" hidden="1">
      <c r="A70" s="39" t="s">
        <v>870</v>
      </c>
      <c r="B70" s="39">
        <v>806</v>
      </c>
      <c r="C70" s="39">
        <v>802</v>
      </c>
      <c r="D70" s="39">
        <v>1030</v>
      </c>
      <c r="E70" s="39">
        <v>913</v>
      </c>
      <c r="F70" s="39">
        <v>725</v>
      </c>
      <c r="G70" s="39">
        <v>689</v>
      </c>
      <c r="H70" s="39">
        <v>571</v>
      </c>
      <c r="I70" s="39">
        <v>568</v>
      </c>
      <c r="J70" s="39">
        <v>586</v>
      </c>
      <c r="K70">
        <v>672</v>
      </c>
      <c r="L70">
        <v>591</v>
      </c>
      <c r="M70">
        <v>557</v>
      </c>
      <c r="N70">
        <v>651</v>
      </c>
      <c r="O70">
        <v>256</v>
      </c>
      <c r="P70">
        <v>313</v>
      </c>
      <c r="Q70">
        <v>304</v>
      </c>
      <c r="R70">
        <v>283</v>
      </c>
      <c r="S70">
        <v>282</v>
      </c>
      <c r="T70">
        <v>268</v>
      </c>
      <c r="U70">
        <v>256</v>
      </c>
      <c r="V70">
        <v>260</v>
      </c>
      <c r="W70">
        <v>290</v>
      </c>
      <c r="X70">
        <v>304</v>
      </c>
      <c r="Y70">
        <v>256</v>
      </c>
      <c r="Z70">
        <v>241</v>
      </c>
      <c r="AA70">
        <v>279</v>
      </c>
      <c r="AD70" t="s">
        <v>236</v>
      </c>
      <c r="AE70" s="28">
        <v>1267</v>
      </c>
      <c r="AF70">
        <v>6553</v>
      </c>
      <c r="AG70">
        <v>1252</v>
      </c>
      <c r="AH70">
        <v>6536</v>
      </c>
    </row>
    <row r="71" spans="1:34" hidden="1">
      <c r="A71" s="39" t="s">
        <v>933</v>
      </c>
      <c r="B71" s="39">
        <v>308</v>
      </c>
      <c r="C71" s="39">
        <v>509</v>
      </c>
      <c r="D71" s="39">
        <v>351</v>
      </c>
      <c r="E71" s="39">
        <v>429</v>
      </c>
      <c r="F71" s="39">
        <v>224</v>
      </c>
      <c r="G71" s="39">
        <v>241</v>
      </c>
      <c r="H71" s="39">
        <v>274</v>
      </c>
      <c r="I71" s="39">
        <v>272</v>
      </c>
      <c r="J71" s="39">
        <v>311</v>
      </c>
      <c r="K71">
        <v>348</v>
      </c>
      <c r="L71">
        <v>386</v>
      </c>
      <c r="M71">
        <v>287</v>
      </c>
      <c r="N71">
        <v>355</v>
      </c>
      <c r="O71">
        <v>122</v>
      </c>
      <c r="P71">
        <v>139</v>
      </c>
      <c r="Q71">
        <v>99</v>
      </c>
      <c r="R71">
        <v>142</v>
      </c>
      <c r="S71">
        <v>80</v>
      </c>
      <c r="T71">
        <v>87</v>
      </c>
      <c r="U71">
        <v>97</v>
      </c>
      <c r="V71">
        <v>105</v>
      </c>
      <c r="W71">
        <v>116</v>
      </c>
      <c r="X71">
        <v>109</v>
      </c>
      <c r="Y71">
        <v>171</v>
      </c>
      <c r="Z71">
        <v>103</v>
      </c>
      <c r="AA71">
        <v>169</v>
      </c>
      <c r="AD71" t="s">
        <v>256</v>
      </c>
      <c r="AE71" s="28">
        <v>1937</v>
      </c>
      <c r="AF71">
        <v>8681</v>
      </c>
      <c r="AG71">
        <v>1898</v>
      </c>
      <c r="AH71">
        <v>8948</v>
      </c>
    </row>
    <row r="72" spans="1:34" hidden="1">
      <c r="A72" s="39" t="s">
        <v>886</v>
      </c>
      <c r="B72" s="39">
        <v>2377</v>
      </c>
      <c r="C72" s="39">
        <v>2225</v>
      </c>
      <c r="D72" s="39">
        <v>1589</v>
      </c>
      <c r="E72" s="39">
        <v>1287</v>
      </c>
      <c r="F72" s="39">
        <v>883</v>
      </c>
      <c r="G72" s="39">
        <v>1077</v>
      </c>
      <c r="H72" s="39">
        <v>1580</v>
      </c>
      <c r="I72" s="39">
        <v>1922</v>
      </c>
      <c r="J72" s="39">
        <v>1790</v>
      </c>
      <c r="K72">
        <v>1622</v>
      </c>
      <c r="L72">
        <v>2721</v>
      </c>
      <c r="M72">
        <v>2958</v>
      </c>
      <c r="N72">
        <v>2109</v>
      </c>
      <c r="O72">
        <v>713</v>
      </c>
      <c r="P72">
        <v>863</v>
      </c>
      <c r="Q72">
        <v>604</v>
      </c>
      <c r="R72">
        <v>601</v>
      </c>
      <c r="S72">
        <v>470</v>
      </c>
      <c r="T72">
        <v>450</v>
      </c>
      <c r="U72">
        <v>484</v>
      </c>
      <c r="V72">
        <v>656</v>
      </c>
      <c r="W72">
        <v>594</v>
      </c>
      <c r="X72">
        <v>621</v>
      </c>
      <c r="Y72">
        <v>1451</v>
      </c>
      <c r="Z72">
        <v>913</v>
      </c>
      <c r="AA72">
        <v>849</v>
      </c>
      <c r="AD72" t="s">
        <v>220</v>
      </c>
      <c r="AE72" s="28">
        <v>898</v>
      </c>
      <c r="AF72">
        <v>2535</v>
      </c>
      <c r="AH72">
        <v>0</v>
      </c>
    </row>
    <row r="73" spans="1:34" hidden="1">
      <c r="A73" s="39" t="s">
        <v>280</v>
      </c>
      <c r="B73" s="39">
        <v>2161</v>
      </c>
      <c r="C73" s="39">
        <v>2173</v>
      </c>
      <c r="D73" s="39">
        <v>1377</v>
      </c>
      <c r="E73" s="39">
        <v>1420</v>
      </c>
      <c r="F73" s="39">
        <v>169</v>
      </c>
      <c r="G73" s="39">
        <v>1268</v>
      </c>
      <c r="H73" s="39">
        <v>1048</v>
      </c>
      <c r="I73" s="39">
        <v>1075</v>
      </c>
      <c r="J73" s="39">
        <v>1192</v>
      </c>
      <c r="K73">
        <v>1118</v>
      </c>
      <c r="L73">
        <v>1058</v>
      </c>
      <c r="M73">
        <v>944</v>
      </c>
      <c r="N73">
        <v>1539</v>
      </c>
      <c r="O73">
        <v>410</v>
      </c>
      <c r="P73">
        <v>407</v>
      </c>
      <c r="Q73">
        <v>425</v>
      </c>
      <c r="R73">
        <v>428</v>
      </c>
      <c r="S73">
        <v>7</v>
      </c>
      <c r="T73">
        <v>353</v>
      </c>
      <c r="U73">
        <v>315</v>
      </c>
      <c r="V73">
        <v>306</v>
      </c>
      <c r="W73">
        <v>361</v>
      </c>
      <c r="X73">
        <v>360</v>
      </c>
      <c r="Y73">
        <v>356</v>
      </c>
      <c r="Z73">
        <v>293</v>
      </c>
      <c r="AA73">
        <v>451</v>
      </c>
      <c r="AD73" t="s">
        <v>540</v>
      </c>
      <c r="AE73" s="28">
        <v>866</v>
      </c>
      <c r="AF73">
        <v>4550</v>
      </c>
      <c r="AH73">
        <v>0</v>
      </c>
    </row>
    <row r="74" spans="1:34" hidden="1">
      <c r="A74" s="39" t="s">
        <v>188</v>
      </c>
      <c r="B74" s="39">
        <v>2210</v>
      </c>
      <c r="C74" s="39">
        <v>3028</v>
      </c>
      <c r="D74" s="39">
        <v>3623</v>
      </c>
      <c r="E74" s="39">
        <v>3181</v>
      </c>
      <c r="F74" s="39">
        <v>2203</v>
      </c>
      <c r="G74" s="39">
        <v>2217</v>
      </c>
      <c r="H74" s="39">
        <v>2451</v>
      </c>
      <c r="I74" s="39">
        <v>2601</v>
      </c>
      <c r="J74" s="39">
        <v>2823</v>
      </c>
      <c r="K74">
        <v>3020</v>
      </c>
      <c r="L74">
        <v>2259</v>
      </c>
      <c r="M74">
        <v>2814</v>
      </c>
      <c r="N74">
        <v>4111</v>
      </c>
      <c r="O74">
        <v>352</v>
      </c>
      <c r="P74">
        <v>455</v>
      </c>
      <c r="Q74">
        <v>449</v>
      </c>
      <c r="R74">
        <v>457</v>
      </c>
      <c r="S74">
        <v>378</v>
      </c>
      <c r="T74">
        <v>377</v>
      </c>
      <c r="U74">
        <v>425</v>
      </c>
      <c r="V74">
        <v>451</v>
      </c>
      <c r="W74">
        <v>475</v>
      </c>
      <c r="X74">
        <v>589</v>
      </c>
      <c r="Y74">
        <v>484</v>
      </c>
      <c r="Z74">
        <v>611</v>
      </c>
      <c r="AA74">
        <v>837</v>
      </c>
      <c r="AD74" s="27" t="s">
        <v>536</v>
      </c>
      <c r="AE74" s="28">
        <v>1675</v>
      </c>
      <c r="AF74">
        <v>10426</v>
      </c>
      <c r="AG74">
        <v>2155</v>
      </c>
      <c r="AH74">
        <v>11551</v>
      </c>
    </row>
    <row r="75" spans="1:34" hidden="1">
      <c r="A75" s="39" t="s">
        <v>670</v>
      </c>
      <c r="B75" s="39">
        <v>7420</v>
      </c>
      <c r="C75" s="39">
        <v>9064</v>
      </c>
      <c r="D75" s="39">
        <v>7113</v>
      </c>
      <c r="E75" s="39">
        <v>7511</v>
      </c>
      <c r="F75" s="39">
        <v>10781</v>
      </c>
      <c r="G75" s="39">
        <v>6137</v>
      </c>
      <c r="H75" s="39">
        <v>4806</v>
      </c>
      <c r="I75" s="39">
        <v>4603</v>
      </c>
      <c r="J75" s="39">
        <v>5082</v>
      </c>
      <c r="K75">
        <v>4032</v>
      </c>
      <c r="L75">
        <v>4557</v>
      </c>
      <c r="M75">
        <v>3120</v>
      </c>
      <c r="N75">
        <v>3964</v>
      </c>
      <c r="O75">
        <v>1284</v>
      </c>
      <c r="P75">
        <v>1383</v>
      </c>
      <c r="Q75">
        <v>1154</v>
      </c>
      <c r="R75">
        <v>1183</v>
      </c>
      <c r="S75">
        <v>1367</v>
      </c>
      <c r="T75">
        <v>1027</v>
      </c>
      <c r="U75">
        <v>837</v>
      </c>
      <c r="V75">
        <v>764</v>
      </c>
      <c r="W75">
        <v>939</v>
      </c>
      <c r="X75">
        <v>778</v>
      </c>
      <c r="Y75">
        <v>1033</v>
      </c>
      <c r="Z75">
        <v>712</v>
      </c>
      <c r="AA75">
        <v>890</v>
      </c>
      <c r="AD75" t="s">
        <v>404</v>
      </c>
      <c r="AE75" s="28">
        <v>821</v>
      </c>
      <c r="AF75">
        <v>3505</v>
      </c>
      <c r="AH75">
        <v>0</v>
      </c>
    </row>
    <row r="76" spans="1:34" hidden="1">
      <c r="A76" s="39" t="s">
        <v>27</v>
      </c>
      <c r="B76" s="39">
        <v>14958</v>
      </c>
      <c r="C76" s="39">
        <v>14790</v>
      </c>
      <c r="D76" s="39">
        <v>32925</v>
      </c>
      <c r="E76" s="39">
        <v>57954</v>
      </c>
      <c r="F76" s="39">
        <v>81282</v>
      </c>
      <c r="G76" s="39">
        <v>59715</v>
      </c>
      <c r="H76" s="39">
        <v>27814</v>
      </c>
      <c r="I76" s="39">
        <v>24145</v>
      </c>
      <c r="J76" s="39">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c r="AD76" t="s">
        <v>462</v>
      </c>
      <c r="AE76" s="28">
        <v>472</v>
      </c>
      <c r="AF76">
        <v>1955</v>
      </c>
      <c r="AH76">
        <v>0</v>
      </c>
    </row>
    <row r="77" spans="1:34" hidden="1">
      <c r="A77" s="39" t="s">
        <v>156</v>
      </c>
      <c r="B77" s="39">
        <v>784</v>
      </c>
      <c r="C77" s="39">
        <v>894</v>
      </c>
      <c r="D77" s="39">
        <v>1045</v>
      </c>
      <c r="E77" s="39">
        <v>822</v>
      </c>
      <c r="F77" s="39">
        <v>652</v>
      </c>
      <c r="G77" s="39">
        <v>715</v>
      </c>
      <c r="H77" s="39">
        <v>843</v>
      </c>
      <c r="I77" s="39">
        <v>803</v>
      </c>
      <c r="J77" s="39">
        <v>1022</v>
      </c>
      <c r="K77">
        <v>907</v>
      </c>
      <c r="L77">
        <v>734</v>
      </c>
      <c r="M77">
        <v>775</v>
      </c>
      <c r="N77">
        <v>1187</v>
      </c>
      <c r="O77">
        <v>377</v>
      </c>
      <c r="P77">
        <v>441</v>
      </c>
      <c r="Q77">
        <v>437</v>
      </c>
      <c r="R77">
        <v>408</v>
      </c>
      <c r="S77">
        <v>361</v>
      </c>
      <c r="T77">
        <v>403</v>
      </c>
      <c r="U77">
        <v>438</v>
      </c>
      <c r="V77">
        <v>424</v>
      </c>
      <c r="W77">
        <v>514</v>
      </c>
      <c r="X77">
        <v>494</v>
      </c>
      <c r="Y77">
        <v>463</v>
      </c>
      <c r="Z77">
        <v>385</v>
      </c>
      <c r="AA77">
        <v>536</v>
      </c>
      <c r="AD77" t="s">
        <v>476</v>
      </c>
      <c r="AE77" s="28">
        <v>525</v>
      </c>
      <c r="AF77">
        <v>1914</v>
      </c>
      <c r="AH77">
        <v>0</v>
      </c>
    </row>
    <row r="78" spans="1:34" hidden="1">
      <c r="A78" s="39" t="s">
        <v>408</v>
      </c>
      <c r="B78" s="39">
        <v>800</v>
      </c>
      <c r="C78" s="39">
        <v>768</v>
      </c>
      <c r="D78" s="39">
        <v>939</v>
      </c>
      <c r="E78" s="39">
        <v>644</v>
      </c>
      <c r="F78" s="39">
        <v>589</v>
      </c>
      <c r="G78" s="39">
        <v>693</v>
      </c>
      <c r="H78" s="39">
        <v>820</v>
      </c>
      <c r="I78" s="39">
        <v>492</v>
      </c>
      <c r="J78" s="39">
        <v>431</v>
      </c>
      <c r="K78">
        <v>442</v>
      </c>
      <c r="L78">
        <v>378</v>
      </c>
      <c r="M78">
        <v>412</v>
      </c>
      <c r="N78">
        <v>671</v>
      </c>
      <c r="O78">
        <v>139</v>
      </c>
      <c r="P78">
        <v>143</v>
      </c>
      <c r="Q78">
        <v>124</v>
      </c>
      <c r="R78">
        <v>105</v>
      </c>
      <c r="S78">
        <v>94</v>
      </c>
      <c r="T78">
        <v>132</v>
      </c>
      <c r="U78">
        <v>131</v>
      </c>
      <c r="V78">
        <v>96</v>
      </c>
      <c r="W78">
        <v>102</v>
      </c>
      <c r="X78">
        <v>80</v>
      </c>
      <c r="Y78">
        <v>95</v>
      </c>
      <c r="Z78">
        <v>87</v>
      </c>
      <c r="AA78">
        <v>136</v>
      </c>
      <c r="AD78" t="s">
        <v>388</v>
      </c>
      <c r="AE78" s="28">
        <v>901</v>
      </c>
      <c r="AF78">
        <v>2044</v>
      </c>
      <c r="AH78">
        <v>0</v>
      </c>
    </row>
    <row r="79" spans="1:34" hidden="1">
      <c r="A79" s="39" t="s">
        <v>200</v>
      </c>
      <c r="B79" s="39">
        <v>2815</v>
      </c>
      <c r="C79" s="39">
        <v>1982</v>
      </c>
      <c r="D79" s="39">
        <v>1912</v>
      </c>
      <c r="E79" s="39">
        <v>1912</v>
      </c>
      <c r="F79" s="39">
        <v>1533</v>
      </c>
      <c r="G79" s="39">
        <v>1405</v>
      </c>
      <c r="H79" s="39">
        <v>1810</v>
      </c>
      <c r="I79" s="39">
        <v>1581</v>
      </c>
      <c r="J79" s="39">
        <v>1788</v>
      </c>
      <c r="K79">
        <v>2156</v>
      </c>
      <c r="L79">
        <v>1366</v>
      </c>
      <c r="M79">
        <v>988</v>
      </c>
      <c r="N79">
        <v>1352</v>
      </c>
      <c r="O79">
        <v>581</v>
      </c>
      <c r="P79">
        <v>493</v>
      </c>
      <c r="Q79">
        <v>504</v>
      </c>
      <c r="R79">
        <v>449</v>
      </c>
      <c r="S79">
        <v>374</v>
      </c>
      <c r="T79">
        <v>298</v>
      </c>
      <c r="U79">
        <v>510</v>
      </c>
      <c r="V79">
        <v>347</v>
      </c>
      <c r="W79">
        <v>369</v>
      </c>
      <c r="X79">
        <v>466</v>
      </c>
      <c r="Y79">
        <v>207</v>
      </c>
      <c r="Z79">
        <v>171</v>
      </c>
      <c r="AA79">
        <v>331</v>
      </c>
      <c r="AD79" t="s">
        <v>534</v>
      </c>
      <c r="AE79" s="28">
        <v>2428</v>
      </c>
      <c r="AF79">
        <v>7026</v>
      </c>
      <c r="AG79">
        <v>2713</v>
      </c>
      <c r="AH79">
        <v>9376</v>
      </c>
    </row>
    <row r="80" spans="1:34" hidden="1">
      <c r="A80" s="39" t="s">
        <v>238</v>
      </c>
      <c r="B80" s="39">
        <v>1231</v>
      </c>
      <c r="C80" s="39">
        <v>1312</v>
      </c>
      <c r="D80" s="39">
        <v>956</v>
      </c>
      <c r="E80" s="39">
        <v>752</v>
      </c>
      <c r="F80" s="39">
        <v>805</v>
      </c>
      <c r="G80" s="39">
        <v>765</v>
      </c>
      <c r="H80" s="39">
        <v>897</v>
      </c>
      <c r="I80" s="39">
        <v>836</v>
      </c>
      <c r="J80" s="39">
        <v>715</v>
      </c>
      <c r="K80">
        <v>852</v>
      </c>
      <c r="L80">
        <v>672</v>
      </c>
      <c r="M80">
        <v>597</v>
      </c>
      <c r="N80">
        <v>2995</v>
      </c>
      <c r="O80">
        <v>428</v>
      </c>
      <c r="P80">
        <v>480</v>
      </c>
      <c r="Q80">
        <v>449</v>
      </c>
      <c r="R80">
        <v>362</v>
      </c>
      <c r="S80">
        <v>375</v>
      </c>
      <c r="T80">
        <v>330</v>
      </c>
      <c r="U80">
        <v>344</v>
      </c>
      <c r="V80">
        <v>339</v>
      </c>
      <c r="W80">
        <v>370</v>
      </c>
      <c r="X80">
        <v>417</v>
      </c>
      <c r="Y80">
        <v>373</v>
      </c>
      <c r="Z80">
        <v>329</v>
      </c>
      <c r="AA80">
        <v>565</v>
      </c>
      <c r="AD80" t="s">
        <v>262</v>
      </c>
      <c r="AE80" s="28">
        <v>1476</v>
      </c>
      <c r="AF80">
        <v>4569</v>
      </c>
      <c r="AH80">
        <v>0</v>
      </c>
    </row>
    <row r="81" spans="1:34" hidden="1">
      <c r="A81" s="39" t="s">
        <v>81</v>
      </c>
      <c r="B81" s="39">
        <v>4947</v>
      </c>
      <c r="C81" s="39">
        <v>5221</v>
      </c>
      <c r="D81" s="39">
        <v>5089</v>
      </c>
      <c r="E81" s="39">
        <v>5351</v>
      </c>
      <c r="F81" s="39">
        <v>4403</v>
      </c>
      <c r="G81" s="39">
        <v>4309</v>
      </c>
      <c r="H81" s="39">
        <v>4807</v>
      </c>
      <c r="I81" s="39">
        <v>4661</v>
      </c>
      <c r="J81" s="39">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c r="AD81" t="s">
        <v>342</v>
      </c>
      <c r="AE81" s="28">
        <v>978</v>
      </c>
      <c r="AF81">
        <v>5143</v>
      </c>
      <c r="AH81">
        <v>0</v>
      </c>
    </row>
    <row r="82" spans="1:34" hidden="1">
      <c r="A82" s="39" t="s">
        <v>837</v>
      </c>
      <c r="B82" s="39">
        <v>624</v>
      </c>
      <c r="C82" s="39">
        <v>693</v>
      </c>
      <c r="D82" s="39">
        <v>602</v>
      </c>
      <c r="E82" s="39">
        <v>594</v>
      </c>
      <c r="F82" s="39">
        <v>501</v>
      </c>
      <c r="G82" s="39">
        <v>410</v>
      </c>
      <c r="H82" s="39">
        <v>476</v>
      </c>
      <c r="I82" s="39">
        <v>463</v>
      </c>
      <c r="J82" s="39">
        <v>458</v>
      </c>
      <c r="K82">
        <v>468</v>
      </c>
      <c r="L82">
        <v>509</v>
      </c>
      <c r="M82">
        <v>414</v>
      </c>
      <c r="N82">
        <v>890</v>
      </c>
      <c r="O82">
        <v>212</v>
      </c>
      <c r="P82">
        <v>226</v>
      </c>
      <c r="Q82">
        <v>221</v>
      </c>
      <c r="R82">
        <v>210</v>
      </c>
      <c r="S82">
        <v>210</v>
      </c>
      <c r="T82">
        <v>186</v>
      </c>
      <c r="U82">
        <v>209</v>
      </c>
      <c r="V82">
        <v>192</v>
      </c>
      <c r="W82">
        <v>206</v>
      </c>
      <c r="X82">
        <v>225</v>
      </c>
      <c r="Y82">
        <v>243</v>
      </c>
      <c r="Z82">
        <v>179</v>
      </c>
      <c r="AA82">
        <v>263</v>
      </c>
      <c r="AD82" t="s">
        <v>214</v>
      </c>
      <c r="AE82" s="28">
        <v>952</v>
      </c>
      <c r="AF82">
        <v>5221</v>
      </c>
      <c r="AG82">
        <v>883</v>
      </c>
      <c r="AH82">
        <v>5063</v>
      </c>
    </row>
    <row r="83" spans="1:34" hidden="1">
      <c r="A83" s="39" t="s">
        <v>874</v>
      </c>
      <c r="B83" s="39">
        <v>1634</v>
      </c>
      <c r="C83" s="39">
        <v>510</v>
      </c>
      <c r="D83" s="39">
        <v>569</v>
      </c>
      <c r="E83" s="39">
        <v>304</v>
      </c>
      <c r="F83" s="39">
        <v>647</v>
      </c>
      <c r="G83" s="39">
        <v>771</v>
      </c>
      <c r="H83" s="39">
        <v>706</v>
      </c>
      <c r="I83" s="39">
        <v>1038</v>
      </c>
      <c r="J83" s="39">
        <v>1047</v>
      </c>
      <c r="K83">
        <v>834</v>
      </c>
      <c r="L83">
        <v>695</v>
      </c>
      <c r="M83">
        <v>550</v>
      </c>
      <c r="N83">
        <v>835</v>
      </c>
      <c r="O83">
        <v>215</v>
      </c>
      <c r="P83">
        <v>40</v>
      </c>
      <c r="Q83">
        <v>102</v>
      </c>
      <c r="R83">
        <v>103</v>
      </c>
      <c r="S83">
        <v>169</v>
      </c>
      <c r="T83">
        <v>176</v>
      </c>
      <c r="U83">
        <v>175</v>
      </c>
      <c r="V83">
        <v>205</v>
      </c>
      <c r="W83">
        <v>181</v>
      </c>
      <c r="X83">
        <v>174</v>
      </c>
      <c r="Y83">
        <v>180</v>
      </c>
      <c r="Z83">
        <v>131</v>
      </c>
      <c r="AA83">
        <v>173</v>
      </c>
      <c r="AD83" t="s">
        <v>290</v>
      </c>
      <c r="AE83" s="28">
        <v>1631</v>
      </c>
      <c r="AF83">
        <v>7645</v>
      </c>
      <c r="AG83">
        <v>1902</v>
      </c>
      <c r="AH83">
        <v>9147</v>
      </c>
    </row>
    <row r="84" spans="1:34" hidden="1">
      <c r="A84" s="39" t="s">
        <v>392</v>
      </c>
      <c r="B84" s="39">
        <v>0</v>
      </c>
      <c r="C84" s="39">
        <v>829</v>
      </c>
      <c r="D84" s="39">
        <v>3224</v>
      </c>
      <c r="E84" s="39">
        <v>3573</v>
      </c>
      <c r="F84" s="39">
        <v>56</v>
      </c>
      <c r="G84" s="39">
        <v>1278</v>
      </c>
      <c r="H84" s="39">
        <v>2263</v>
      </c>
      <c r="I84" s="39">
        <v>1919</v>
      </c>
      <c r="J84" s="39">
        <v>1664</v>
      </c>
      <c r="K84">
        <v>1472</v>
      </c>
      <c r="L84">
        <v>1940</v>
      </c>
      <c r="M84">
        <v>1434</v>
      </c>
      <c r="N84">
        <v>1612</v>
      </c>
      <c r="O84">
        <v>0</v>
      </c>
      <c r="P84">
        <v>203</v>
      </c>
      <c r="Q84">
        <v>360</v>
      </c>
      <c r="R84">
        <v>442</v>
      </c>
      <c r="S84">
        <v>1</v>
      </c>
      <c r="T84">
        <v>89</v>
      </c>
      <c r="U84">
        <v>156</v>
      </c>
      <c r="V84">
        <v>208</v>
      </c>
      <c r="W84">
        <v>185</v>
      </c>
      <c r="X84">
        <v>214</v>
      </c>
      <c r="Y84">
        <v>389</v>
      </c>
      <c r="Z84">
        <v>184</v>
      </c>
      <c r="AA84">
        <v>282</v>
      </c>
      <c r="AD84" t="s">
        <v>480</v>
      </c>
      <c r="AE84" s="28">
        <v>602</v>
      </c>
      <c r="AF84">
        <v>3783</v>
      </c>
      <c r="AH84">
        <v>0</v>
      </c>
    </row>
    <row r="85" spans="1:34" hidden="1">
      <c r="A85" s="39" t="s">
        <v>908</v>
      </c>
      <c r="B85" s="39">
        <v>235</v>
      </c>
      <c r="C85" s="39">
        <v>211</v>
      </c>
      <c r="D85" s="39">
        <v>226</v>
      </c>
      <c r="E85" s="39">
        <v>165</v>
      </c>
      <c r="F85" s="39">
        <v>188</v>
      </c>
      <c r="G85" s="39">
        <v>143</v>
      </c>
      <c r="H85" s="39">
        <v>158</v>
      </c>
      <c r="I85" s="39">
        <v>155</v>
      </c>
      <c r="J85" s="39">
        <v>164</v>
      </c>
      <c r="K85">
        <v>173</v>
      </c>
      <c r="L85">
        <v>138</v>
      </c>
      <c r="M85">
        <v>151</v>
      </c>
      <c r="N85">
        <v>259</v>
      </c>
      <c r="O85">
        <v>53</v>
      </c>
      <c r="P85">
        <v>61</v>
      </c>
      <c r="Q85">
        <v>70</v>
      </c>
      <c r="R85">
        <v>53</v>
      </c>
      <c r="S85">
        <v>64</v>
      </c>
      <c r="T85">
        <v>43</v>
      </c>
      <c r="U85">
        <v>71</v>
      </c>
      <c r="V85">
        <v>63</v>
      </c>
      <c r="W85">
        <v>76</v>
      </c>
      <c r="X85">
        <v>66</v>
      </c>
      <c r="Y85">
        <v>69</v>
      </c>
      <c r="Z85">
        <v>69</v>
      </c>
      <c r="AA85">
        <v>102</v>
      </c>
      <c r="AD85" t="s">
        <v>496</v>
      </c>
      <c r="AE85" s="28">
        <v>1231</v>
      </c>
      <c r="AF85">
        <v>4891</v>
      </c>
      <c r="AG85">
        <v>1385</v>
      </c>
      <c r="AH85">
        <v>5413</v>
      </c>
    </row>
    <row r="86" spans="1:34" hidden="1">
      <c r="A86" s="39" t="s">
        <v>1302</v>
      </c>
      <c r="B86" s="39">
        <v>2417</v>
      </c>
      <c r="C86" s="39">
        <v>2300</v>
      </c>
      <c r="D86" s="39">
        <v>1974</v>
      </c>
      <c r="E86" s="39">
        <v>1692</v>
      </c>
      <c r="F86" s="39">
        <v>1407</v>
      </c>
      <c r="G86" s="39">
        <v>1118</v>
      </c>
      <c r="H86" s="39">
        <v>888</v>
      </c>
      <c r="I86" s="39">
        <v>1165</v>
      </c>
      <c r="J86" s="39">
        <v>847</v>
      </c>
      <c r="K86">
        <v>433</v>
      </c>
      <c r="L86">
        <v>400</v>
      </c>
      <c r="M86">
        <v>0</v>
      </c>
      <c r="N86">
        <v>0</v>
      </c>
      <c r="O86">
        <v>333</v>
      </c>
      <c r="P86">
        <v>385</v>
      </c>
      <c r="Q86">
        <v>273</v>
      </c>
      <c r="R86">
        <v>289</v>
      </c>
      <c r="S86">
        <v>249</v>
      </c>
      <c r="T86">
        <v>197</v>
      </c>
      <c r="U86">
        <v>150</v>
      </c>
      <c r="V86">
        <v>197</v>
      </c>
      <c r="W86">
        <v>143</v>
      </c>
      <c r="X86">
        <v>122</v>
      </c>
      <c r="Y86">
        <v>101</v>
      </c>
      <c r="Z86">
        <v>2</v>
      </c>
      <c r="AA86">
        <v>0</v>
      </c>
      <c r="AD86" t="s">
        <v>510</v>
      </c>
      <c r="AE86" s="28">
        <v>1672</v>
      </c>
      <c r="AF86">
        <v>9371</v>
      </c>
      <c r="AG86">
        <v>1619</v>
      </c>
      <c r="AH86">
        <v>9686</v>
      </c>
    </row>
    <row r="87" spans="1:34" hidden="1">
      <c r="A87" s="39" t="s">
        <v>1312</v>
      </c>
      <c r="B87" s="39">
        <v>98</v>
      </c>
      <c r="C87" s="39">
        <v>97</v>
      </c>
      <c r="D87" s="39">
        <v>88</v>
      </c>
      <c r="E87" s="39">
        <v>73</v>
      </c>
      <c r="F87" s="39">
        <v>70</v>
      </c>
      <c r="G87" s="39">
        <v>64</v>
      </c>
      <c r="H87" s="39">
        <v>70</v>
      </c>
      <c r="I87" s="39">
        <v>73</v>
      </c>
      <c r="J87" s="39">
        <v>61</v>
      </c>
      <c r="K87">
        <v>57</v>
      </c>
      <c r="L87">
        <v>60</v>
      </c>
      <c r="M87">
        <v>85</v>
      </c>
      <c r="N87">
        <v>84</v>
      </c>
      <c r="O87">
        <v>56</v>
      </c>
      <c r="P87">
        <v>38</v>
      </c>
      <c r="Q87">
        <v>27</v>
      </c>
      <c r="R87">
        <v>25</v>
      </c>
      <c r="S87">
        <v>39</v>
      </c>
      <c r="T87">
        <v>26</v>
      </c>
      <c r="U87">
        <v>34</v>
      </c>
      <c r="V87">
        <v>27</v>
      </c>
      <c r="W87">
        <v>31</v>
      </c>
      <c r="X87">
        <v>28</v>
      </c>
      <c r="Y87">
        <v>21</v>
      </c>
      <c r="Z87">
        <v>40</v>
      </c>
      <c r="AA87">
        <v>21</v>
      </c>
      <c r="AD87" t="s">
        <v>336</v>
      </c>
      <c r="AE87" s="28">
        <v>662</v>
      </c>
      <c r="AF87">
        <v>2203</v>
      </c>
      <c r="AG87">
        <v>660</v>
      </c>
      <c r="AH87">
        <v>2078</v>
      </c>
    </row>
    <row r="88" spans="1:34" hidden="1">
      <c r="A88" s="39" t="s">
        <v>1259</v>
      </c>
      <c r="B88" s="39">
        <v>5274</v>
      </c>
      <c r="C88" s="39">
        <v>957</v>
      </c>
      <c r="D88" s="39">
        <v>2180</v>
      </c>
      <c r="E88" s="39">
        <v>3131</v>
      </c>
      <c r="F88" s="39">
        <v>2602</v>
      </c>
      <c r="G88" s="39">
        <v>2583</v>
      </c>
      <c r="H88" s="39">
        <v>2693</v>
      </c>
      <c r="I88" s="39">
        <v>3088</v>
      </c>
      <c r="J88" s="39">
        <v>3606</v>
      </c>
      <c r="K88">
        <v>4139</v>
      </c>
      <c r="L88">
        <v>2554</v>
      </c>
      <c r="M88">
        <v>2027</v>
      </c>
      <c r="N88">
        <v>2983</v>
      </c>
      <c r="O88">
        <v>1056</v>
      </c>
      <c r="P88">
        <v>161</v>
      </c>
      <c r="Q88">
        <v>778</v>
      </c>
      <c r="R88">
        <v>981</v>
      </c>
      <c r="S88">
        <v>733</v>
      </c>
      <c r="T88">
        <v>731</v>
      </c>
      <c r="U88">
        <v>780</v>
      </c>
      <c r="V88">
        <v>823</v>
      </c>
      <c r="W88">
        <v>952</v>
      </c>
      <c r="X88">
        <v>1164</v>
      </c>
      <c r="Y88">
        <v>897</v>
      </c>
      <c r="Z88">
        <v>732</v>
      </c>
      <c r="AA88">
        <v>1056</v>
      </c>
      <c r="AD88" t="s">
        <v>296</v>
      </c>
      <c r="AE88" s="28">
        <v>423</v>
      </c>
      <c r="AF88">
        <v>2735</v>
      </c>
      <c r="AG88">
        <v>560</v>
      </c>
      <c r="AH88">
        <v>3270</v>
      </c>
    </row>
    <row r="89" spans="1:34" hidden="1">
      <c r="A89" s="39" t="s">
        <v>1399</v>
      </c>
      <c r="B89" s="39">
        <v>1401</v>
      </c>
      <c r="C89" s="39">
        <v>1191</v>
      </c>
      <c r="D89" s="39">
        <v>565</v>
      </c>
      <c r="E89" s="39">
        <v>259</v>
      </c>
      <c r="F89" s="39">
        <v>29</v>
      </c>
      <c r="G89" s="39">
        <v>0</v>
      </c>
      <c r="H89" s="39">
        <v>0</v>
      </c>
      <c r="I89" s="39">
        <v>0</v>
      </c>
      <c r="J89" s="39">
        <v>0</v>
      </c>
      <c r="K89">
        <v>104</v>
      </c>
      <c r="L89">
        <v>0</v>
      </c>
      <c r="M89">
        <v>602</v>
      </c>
      <c r="N89">
        <v>994</v>
      </c>
      <c r="O89">
        <v>366</v>
      </c>
      <c r="P89">
        <v>306</v>
      </c>
      <c r="Q89">
        <v>143</v>
      </c>
      <c r="R89">
        <v>88</v>
      </c>
      <c r="S89">
        <v>3</v>
      </c>
      <c r="T89">
        <v>0</v>
      </c>
      <c r="U89">
        <v>0</v>
      </c>
      <c r="V89">
        <v>0</v>
      </c>
      <c r="W89">
        <v>0</v>
      </c>
      <c r="X89">
        <v>18</v>
      </c>
      <c r="Y89">
        <v>0</v>
      </c>
      <c r="Z89">
        <v>102</v>
      </c>
      <c r="AA89">
        <v>116</v>
      </c>
      <c r="AD89" t="s">
        <v>424</v>
      </c>
      <c r="AE89" s="28">
        <v>431</v>
      </c>
      <c r="AF89">
        <v>2578</v>
      </c>
      <c r="AH89">
        <v>0</v>
      </c>
    </row>
    <row r="90" spans="1:34" hidden="1">
      <c r="A90" s="39" t="s">
        <v>1186</v>
      </c>
      <c r="B90" s="39">
        <v>539</v>
      </c>
      <c r="C90" s="39">
        <v>362</v>
      </c>
      <c r="D90" s="39">
        <v>249</v>
      </c>
      <c r="E90" s="39">
        <v>229</v>
      </c>
      <c r="F90" s="39">
        <v>207</v>
      </c>
      <c r="G90" s="39">
        <v>220</v>
      </c>
      <c r="H90" s="39">
        <v>297</v>
      </c>
      <c r="I90" s="39">
        <v>137</v>
      </c>
      <c r="J90" s="39">
        <v>96</v>
      </c>
      <c r="K90">
        <v>140</v>
      </c>
      <c r="L90">
        <v>0</v>
      </c>
      <c r="M90">
        <v>134</v>
      </c>
      <c r="N90">
        <v>222</v>
      </c>
      <c r="O90">
        <v>72</v>
      </c>
      <c r="P90">
        <v>117</v>
      </c>
      <c r="Q90">
        <v>63</v>
      </c>
      <c r="R90">
        <v>80</v>
      </c>
      <c r="S90">
        <v>84</v>
      </c>
      <c r="T90">
        <v>75</v>
      </c>
      <c r="U90">
        <v>144</v>
      </c>
      <c r="V90">
        <v>60</v>
      </c>
      <c r="W90">
        <v>46</v>
      </c>
      <c r="X90">
        <v>75</v>
      </c>
      <c r="Y90">
        <v>0</v>
      </c>
      <c r="Z90">
        <v>40</v>
      </c>
      <c r="AA90">
        <v>56</v>
      </c>
      <c r="AD90" t="s">
        <v>1300</v>
      </c>
      <c r="AE90" s="28">
        <v>208</v>
      </c>
      <c r="AF90">
        <v>1108</v>
      </c>
      <c r="AH90">
        <v>0</v>
      </c>
    </row>
    <row r="91" spans="1:34" hidden="1">
      <c r="A91" s="39" t="s">
        <v>89</v>
      </c>
      <c r="B91" s="39">
        <v>2661</v>
      </c>
      <c r="C91" s="39">
        <v>3561</v>
      </c>
      <c r="D91" s="39">
        <v>3146</v>
      </c>
      <c r="E91" s="39">
        <v>3133</v>
      </c>
      <c r="F91" s="39">
        <v>2990</v>
      </c>
      <c r="G91" s="39">
        <v>5395</v>
      </c>
      <c r="H91" s="39">
        <v>3136</v>
      </c>
      <c r="I91" s="39">
        <v>2754</v>
      </c>
      <c r="J91" s="39">
        <v>3536</v>
      </c>
      <c r="K91">
        <v>6006</v>
      </c>
      <c r="L91">
        <v>3772</v>
      </c>
      <c r="M91">
        <v>3383</v>
      </c>
      <c r="N91">
        <v>4768</v>
      </c>
      <c r="O91">
        <v>624</v>
      </c>
      <c r="P91">
        <v>799</v>
      </c>
      <c r="Q91">
        <v>725</v>
      </c>
      <c r="R91">
        <v>799</v>
      </c>
      <c r="S91">
        <v>748</v>
      </c>
      <c r="T91">
        <v>1050</v>
      </c>
      <c r="U91">
        <v>876</v>
      </c>
      <c r="V91">
        <v>790</v>
      </c>
      <c r="W91">
        <v>921</v>
      </c>
      <c r="X91">
        <v>1831</v>
      </c>
      <c r="Y91">
        <v>1052</v>
      </c>
      <c r="Z91">
        <v>919</v>
      </c>
      <c r="AA91">
        <v>1203</v>
      </c>
      <c r="AD91" t="s">
        <v>320</v>
      </c>
      <c r="AE91" s="28">
        <v>427</v>
      </c>
      <c r="AF91">
        <v>2097</v>
      </c>
      <c r="AH91">
        <v>0</v>
      </c>
    </row>
    <row r="92" spans="1:34" hidden="1">
      <c r="A92" s="39" t="s">
        <v>582</v>
      </c>
      <c r="B92" s="39">
        <v>1256</v>
      </c>
      <c r="C92" s="39">
        <v>916</v>
      </c>
      <c r="D92" s="39">
        <v>731</v>
      </c>
      <c r="E92" s="39">
        <v>867</v>
      </c>
      <c r="F92" s="39">
        <v>838</v>
      </c>
      <c r="G92" s="39">
        <v>745</v>
      </c>
      <c r="H92" s="39">
        <v>692</v>
      </c>
      <c r="I92" s="39">
        <v>721</v>
      </c>
      <c r="J92" s="39">
        <v>652</v>
      </c>
      <c r="K92">
        <v>690</v>
      </c>
      <c r="L92">
        <v>597</v>
      </c>
      <c r="M92">
        <v>459</v>
      </c>
      <c r="N92">
        <v>2757</v>
      </c>
      <c r="O92">
        <v>210</v>
      </c>
      <c r="P92">
        <v>211</v>
      </c>
      <c r="Q92">
        <v>211</v>
      </c>
      <c r="R92">
        <v>334</v>
      </c>
      <c r="S92">
        <v>290</v>
      </c>
      <c r="T92">
        <v>296</v>
      </c>
      <c r="U92">
        <v>258</v>
      </c>
      <c r="V92">
        <v>260</v>
      </c>
      <c r="W92">
        <v>254</v>
      </c>
      <c r="X92">
        <v>376</v>
      </c>
      <c r="Y92">
        <v>333</v>
      </c>
      <c r="Z92">
        <v>293</v>
      </c>
      <c r="AA92">
        <v>669</v>
      </c>
      <c r="AD92" t="s">
        <v>678</v>
      </c>
      <c r="AE92" s="28">
        <v>6857</v>
      </c>
      <c r="AF92">
        <v>24329</v>
      </c>
      <c r="AG92">
        <v>6633</v>
      </c>
      <c r="AH92">
        <v>23253</v>
      </c>
    </row>
    <row r="93" spans="1:34" hidden="1">
      <c r="A93" s="39" t="s">
        <v>336</v>
      </c>
      <c r="B93" s="39">
        <v>0</v>
      </c>
      <c r="C93" s="39">
        <v>400</v>
      </c>
      <c r="D93" s="39">
        <v>321</v>
      </c>
      <c r="E93" s="39">
        <v>270</v>
      </c>
      <c r="F93" s="39">
        <v>345</v>
      </c>
      <c r="G93" s="39">
        <v>165</v>
      </c>
      <c r="H93" s="39">
        <v>426</v>
      </c>
      <c r="I93" s="39">
        <v>412</v>
      </c>
      <c r="J93" s="39">
        <v>372</v>
      </c>
      <c r="K93">
        <v>346</v>
      </c>
      <c r="L93">
        <v>504</v>
      </c>
      <c r="M93">
        <v>410</v>
      </c>
      <c r="N93">
        <v>650</v>
      </c>
      <c r="O93">
        <v>0</v>
      </c>
      <c r="P93">
        <v>73</v>
      </c>
      <c r="Q93">
        <v>49</v>
      </c>
      <c r="R93">
        <v>76</v>
      </c>
      <c r="S93">
        <v>101</v>
      </c>
      <c r="T93">
        <v>32</v>
      </c>
      <c r="U93">
        <v>102</v>
      </c>
      <c r="V93">
        <v>89</v>
      </c>
      <c r="W93">
        <v>105</v>
      </c>
      <c r="X93">
        <v>83</v>
      </c>
      <c r="Y93">
        <v>121</v>
      </c>
      <c r="Z93">
        <v>85</v>
      </c>
      <c r="AA93">
        <v>160</v>
      </c>
      <c r="AD93" t="s">
        <v>560</v>
      </c>
      <c r="AE93" s="28">
        <v>1277</v>
      </c>
      <c r="AF93">
        <v>5528</v>
      </c>
      <c r="AG93">
        <v>1354</v>
      </c>
      <c r="AH93">
        <v>5274</v>
      </c>
    </row>
    <row r="94" spans="1:34" hidden="1">
      <c r="A94" s="39" t="s">
        <v>1137</v>
      </c>
      <c r="B94" s="39">
        <v>1047</v>
      </c>
      <c r="C94" s="39">
        <v>1003</v>
      </c>
      <c r="D94" s="39">
        <v>1070</v>
      </c>
      <c r="E94" s="39">
        <v>936</v>
      </c>
      <c r="F94" s="39">
        <v>532</v>
      </c>
      <c r="G94" s="39">
        <v>490</v>
      </c>
      <c r="H94" s="39">
        <v>575</v>
      </c>
      <c r="I94" s="39">
        <v>466</v>
      </c>
      <c r="J94" s="39">
        <v>438</v>
      </c>
      <c r="K94">
        <v>373</v>
      </c>
      <c r="L94">
        <v>350</v>
      </c>
      <c r="M94">
        <v>403</v>
      </c>
      <c r="N94">
        <v>547</v>
      </c>
      <c r="O94">
        <v>200</v>
      </c>
      <c r="P94">
        <v>193</v>
      </c>
      <c r="Q94">
        <v>158</v>
      </c>
      <c r="R94">
        <v>172</v>
      </c>
      <c r="S94">
        <v>135</v>
      </c>
      <c r="T94">
        <v>145</v>
      </c>
      <c r="U94">
        <v>167</v>
      </c>
      <c r="V94">
        <v>149</v>
      </c>
      <c r="W94">
        <v>118</v>
      </c>
      <c r="X94">
        <v>137</v>
      </c>
      <c r="Y94">
        <v>141</v>
      </c>
      <c r="Z94">
        <v>138</v>
      </c>
      <c r="AA94">
        <v>119</v>
      </c>
      <c r="AD94" t="s">
        <v>474</v>
      </c>
      <c r="AE94" s="28">
        <v>1046</v>
      </c>
      <c r="AF94">
        <v>4252</v>
      </c>
      <c r="AG94">
        <v>963</v>
      </c>
      <c r="AH94">
        <v>3558</v>
      </c>
    </row>
    <row r="95" spans="1:34" hidden="1">
      <c r="A95" s="39" t="s">
        <v>1159</v>
      </c>
      <c r="B95" s="39">
        <v>569</v>
      </c>
      <c r="C95" s="39">
        <v>464</v>
      </c>
      <c r="D95" s="39">
        <v>413</v>
      </c>
      <c r="E95" s="39">
        <v>490</v>
      </c>
      <c r="F95" s="39">
        <v>388</v>
      </c>
      <c r="G95" s="39">
        <v>490</v>
      </c>
      <c r="H95" s="39">
        <v>570</v>
      </c>
      <c r="I95" s="39">
        <v>520</v>
      </c>
      <c r="J95" s="39">
        <v>455</v>
      </c>
      <c r="K95">
        <v>471</v>
      </c>
      <c r="L95">
        <v>330</v>
      </c>
      <c r="M95">
        <v>395</v>
      </c>
      <c r="N95">
        <v>623</v>
      </c>
      <c r="O95">
        <v>153</v>
      </c>
      <c r="P95">
        <v>131</v>
      </c>
      <c r="Q95">
        <v>113</v>
      </c>
      <c r="R95">
        <v>125</v>
      </c>
      <c r="S95">
        <v>141</v>
      </c>
      <c r="T95">
        <v>188</v>
      </c>
      <c r="U95">
        <v>215</v>
      </c>
      <c r="V95">
        <v>209</v>
      </c>
      <c r="W95">
        <v>181</v>
      </c>
      <c r="X95">
        <v>203</v>
      </c>
      <c r="Y95">
        <v>135</v>
      </c>
      <c r="Z95">
        <v>170</v>
      </c>
      <c r="AA95">
        <v>233</v>
      </c>
      <c r="AD95" t="s">
        <v>348</v>
      </c>
      <c r="AE95" s="28">
        <v>577</v>
      </c>
      <c r="AF95">
        <v>2249</v>
      </c>
      <c r="AH95">
        <v>0</v>
      </c>
    </row>
    <row r="96" spans="1:34" hidden="1">
      <c r="A96" s="39" t="s">
        <v>1139</v>
      </c>
      <c r="B96" s="39">
        <v>4013</v>
      </c>
      <c r="C96" s="39">
        <v>2760</v>
      </c>
      <c r="D96" s="39">
        <v>1710</v>
      </c>
      <c r="E96" s="39">
        <v>2229</v>
      </c>
      <c r="F96" s="39">
        <v>2199</v>
      </c>
      <c r="G96" s="39">
        <v>2033</v>
      </c>
      <c r="H96" s="39">
        <v>2284</v>
      </c>
      <c r="I96" s="39">
        <v>2387</v>
      </c>
      <c r="J96" s="39">
        <v>2687</v>
      </c>
      <c r="K96">
        <v>2842</v>
      </c>
      <c r="L96">
        <v>2037</v>
      </c>
      <c r="M96">
        <v>2126</v>
      </c>
      <c r="N96">
        <v>3080</v>
      </c>
      <c r="O96">
        <v>1342</v>
      </c>
      <c r="P96">
        <v>1081</v>
      </c>
      <c r="Q96">
        <v>760</v>
      </c>
      <c r="R96">
        <v>779</v>
      </c>
      <c r="S96">
        <v>809</v>
      </c>
      <c r="T96">
        <v>763</v>
      </c>
      <c r="U96">
        <v>879</v>
      </c>
      <c r="V96">
        <v>971</v>
      </c>
      <c r="W96">
        <v>954</v>
      </c>
      <c r="X96">
        <v>973</v>
      </c>
      <c r="Y96">
        <v>866</v>
      </c>
      <c r="Z96">
        <v>771</v>
      </c>
      <c r="AA96">
        <v>1073</v>
      </c>
      <c r="AD96" t="s">
        <v>378</v>
      </c>
      <c r="AE96" s="28">
        <v>576</v>
      </c>
      <c r="AF96">
        <v>1593</v>
      </c>
      <c r="AH96">
        <v>0</v>
      </c>
    </row>
    <row r="97" spans="1:34" hidden="1">
      <c r="A97" s="39" t="s">
        <v>1270</v>
      </c>
      <c r="B97" s="39">
        <v>4430</v>
      </c>
      <c r="C97" s="39">
        <v>4077</v>
      </c>
      <c r="D97" s="39">
        <v>4073</v>
      </c>
      <c r="E97" s="39">
        <v>5819</v>
      </c>
      <c r="F97" s="39">
        <v>4803</v>
      </c>
      <c r="G97" s="39">
        <v>3465</v>
      </c>
      <c r="H97" s="39">
        <v>2984</v>
      </c>
      <c r="I97" s="39">
        <v>3286</v>
      </c>
      <c r="J97" s="39">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c r="AD97" t="s">
        <v>600</v>
      </c>
      <c r="AE97" s="28">
        <v>752</v>
      </c>
      <c r="AF97">
        <v>2822</v>
      </c>
      <c r="AH97">
        <v>0</v>
      </c>
    </row>
    <row r="98" spans="1:34" hidden="1">
      <c r="A98" s="39" t="s">
        <v>817</v>
      </c>
      <c r="B98" s="39">
        <v>877</v>
      </c>
      <c r="C98" s="39">
        <v>834</v>
      </c>
      <c r="D98" s="39">
        <v>498</v>
      </c>
      <c r="E98" s="39">
        <v>593</v>
      </c>
      <c r="F98" s="39">
        <v>469</v>
      </c>
      <c r="G98" s="39">
        <v>364</v>
      </c>
      <c r="H98" s="39">
        <v>309</v>
      </c>
      <c r="I98" s="39">
        <v>310</v>
      </c>
      <c r="J98" s="39">
        <v>325</v>
      </c>
      <c r="K98">
        <v>292</v>
      </c>
      <c r="L98">
        <v>306</v>
      </c>
      <c r="M98">
        <v>409</v>
      </c>
      <c r="N98">
        <v>568</v>
      </c>
      <c r="O98">
        <v>335</v>
      </c>
      <c r="P98">
        <v>274</v>
      </c>
      <c r="Q98">
        <v>156</v>
      </c>
      <c r="R98">
        <v>169</v>
      </c>
      <c r="S98">
        <v>168</v>
      </c>
      <c r="T98">
        <v>105</v>
      </c>
      <c r="U98">
        <v>180</v>
      </c>
      <c r="V98">
        <v>157</v>
      </c>
      <c r="W98">
        <v>145</v>
      </c>
      <c r="X98">
        <v>211</v>
      </c>
      <c r="Y98">
        <v>159</v>
      </c>
      <c r="Z98">
        <v>204</v>
      </c>
      <c r="AA98">
        <v>269</v>
      </c>
      <c r="AD98" t="s">
        <v>484</v>
      </c>
      <c r="AE98" s="28">
        <v>613</v>
      </c>
      <c r="AF98">
        <v>10530</v>
      </c>
      <c r="AG98">
        <v>503</v>
      </c>
      <c r="AH98">
        <v>7597</v>
      </c>
    </row>
    <row r="99" spans="1:34" hidden="1">
      <c r="A99" s="39" t="s">
        <v>18</v>
      </c>
      <c r="B99" s="39">
        <v>8670</v>
      </c>
      <c r="C99" s="39">
        <v>10909</v>
      </c>
      <c r="D99" s="39">
        <v>20029</v>
      </c>
      <c r="E99" s="39">
        <v>36832</v>
      </c>
      <c r="F99" s="39">
        <v>48074</v>
      </c>
      <c r="G99" s="39">
        <v>8569</v>
      </c>
      <c r="H99" s="39">
        <v>38597</v>
      </c>
      <c r="I99" s="39">
        <v>35871</v>
      </c>
      <c r="J99" s="39">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c r="AD99" t="s">
        <v>154</v>
      </c>
      <c r="AE99" s="28">
        <v>1880</v>
      </c>
      <c r="AF99">
        <v>18081</v>
      </c>
      <c r="AG99">
        <v>1564</v>
      </c>
      <c r="AH99">
        <v>15682</v>
      </c>
    </row>
    <row r="100" spans="1:34" hidden="1">
      <c r="A100" s="39" t="s">
        <v>610</v>
      </c>
      <c r="B100" s="39">
        <v>760</v>
      </c>
      <c r="C100" s="39">
        <v>617</v>
      </c>
      <c r="D100" s="39">
        <v>797</v>
      </c>
      <c r="E100" s="39">
        <v>929</v>
      </c>
      <c r="F100" s="39">
        <v>661</v>
      </c>
      <c r="G100" s="39">
        <v>307</v>
      </c>
      <c r="H100" s="39">
        <v>441</v>
      </c>
      <c r="I100" s="39">
        <v>360</v>
      </c>
      <c r="J100" s="39">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c r="AD100" t="s">
        <v>332</v>
      </c>
      <c r="AE100" s="28">
        <v>513</v>
      </c>
      <c r="AF100">
        <v>2211</v>
      </c>
      <c r="AH100">
        <v>0</v>
      </c>
    </row>
    <row r="101" spans="1:34" hidden="1">
      <c r="A101" s="39" t="s">
        <v>602</v>
      </c>
      <c r="B101" s="39">
        <v>632</v>
      </c>
      <c r="C101" s="39">
        <v>1062</v>
      </c>
      <c r="D101" s="39">
        <v>1126</v>
      </c>
      <c r="E101" s="39">
        <v>1227</v>
      </c>
      <c r="F101" s="39">
        <v>713</v>
      </c>
      <c r="G101" s="39">
        <v>320</v>
      </c>
      <c r="H101" s="39">
        <v>544</v>
      </c>
      <c r="I101" s="39">
        <v>581</v>
      </c>
      <c r="J101" s="39">
        <v>434</v>
      </c>
      <c r="K101">
        <v>541</v>
      </c>
      <c r="L101">
        <v>380</v>
      </c>
      <c r="M101">
        <v>394</v>
      </c>
      <c r="N101">
        <v>195</v>
      </c>
      <c r="O101">
        <v>193</v>
      </c>
      <c r="P101">
        <v>297</v>
      </c>
      <c r="Q101">
        <v>180</v>
      </c>
      <c r="R101">
        <v>225</v>
      </c>
      <c r="S101">
        <v>107</v>
      </c>
      <c r="T101">
        <v>37</v>
      </c>
      <c r="U101">
        <v>147</v>
      </c>
      <c r="V101">
        <v>162</v>
      </c>
      <c r="W101">
        <v>141</v>
      </c>
      <c r="X101">
        <v>139</v>
      </c>
      <c r="Y101">
        <v>104</v>
      </c>
      <c r="Z101">
        <v>96</v>
      </c>
      <c r="AA101">
        <v>51</v>
      </c>
      <c r="AD101" t="s">
        <v>502</v>
      </c>
      <c r="AE101" s="28">
        <v>196</v>
      </c>
      <c r="AF101">
        <v>1176</v>
      </c>
      <c r="AH101">
        <v>0</v>
      </c>
    </row>
    <row r="102" spans="1:34" hidden="1">
      <c r="A102" s="39" t="s">
        <v>344</v>
      </c>
      <c r="B102" s="39">
        <v>417</v>
      </c>
      <c r="C102" s="39">
        <v>369</v>
      </c>
      <c r="D102" s="39">
        <v>427</v>
      </c>
      <c r="E102" s="39">
        <v>482</v>
      </c>
      <c r="F102" s="39">
        <v>418</v>
      </c>
      <c r="G102" s="39">
        <v>408</v>
      </c>
      <c r="H102" s="39">
        <v>412</v>
      </c>
      <c r="I102" s="39">
        <v>489</v>
      </c>
      <c r="J102" s="39">
        <v>404</v>
      </c>
      <c r="K102">
        <v>390</v>
      </c>
      <c r="L102">
        <v>383</v>
      </c>
      <c r="M102">
        <v>392</v>
      </c>
      <c r="N102">
        <v>567</v>
      </c>
      <c r="O102">
        <v>80</v>
      </c>
      <c r="P102">
        <v>69</v>
      </c>
      <c r="Q102">
        <v>69</v>
      </c>
      <c r="R102">
        <v>85</v>
      </c>
      <c r="S102">
        <v>84</v>
      </c>
      <c r="T102">
        <v>60</v>
      </c>
      <c r="U102">
        <v>80</v>
      </c>
      <c r="V102">
        <v>84</v>
      </c>
      <c r="W102">
        <v>60</v>
      </c>
      <c r="X102">
        <v>83</v>
      </c>
      <c r="Y102">
        <v>78</v>
      </c>
      <c r="Z102">
        <v>52</v>
      </c>
      <c r="AA102">
        <v>110</v>
      </c>
      <c r="AD102" t="s">
        <v>530</v>
      </c>
      <c r="AE102" s="28">
        <v>707</v>
      </c>
      <c r="AF102">
        <v>3766</v>
      </c>
      <c r="AH102">
        <v>0</v>
      </c>
    </row>
    <row r="103" spans="1:34" hidden="1">
      <c r="A103" s="39" t="s">
        <v>224</v>
      </c>
      <c r="B103" s="39">
        <v>1416</v>
      </c>
      <c r="C103" s="39">
        <v>1319</v>
      </c>
      <c r="D103" s="39">
        <v>1252</v>
      </c>
      <c r="E103" s="39">
        <v>1470</v>
      </c>
      <c r="F103" s="39">
        <v>1502</v>
      </c>
      <c r="G103" s="39">
        <v>1536</v>
      </c>
      <c r="H103" s="39">
        <v>1132</v>
      </c>
      <c r="I103" s="39">
        <v>1296</v>
      </c>
      <c r="J103" s="39">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c r="AD103" t="s">
        <v>392</v>
      </c>
      <c r="AE103" s="28">
        <v>1594</v>
      </c>
      <c r="AF103">
        <v>8161</v>
      </c>
      <c r="AG103">
        <v>1148</v>
      </c>
      <c r="AH103">
        <v>7643</v>
      </c>
    </row>
    <row r="104" spans="1:34" hidden="1">
      <c r="A104" s="39" t="s">
        <v>448</v>
      </c>
      <c r="B104" s="39">
        <v>2658</v>
      </c>
      <c r="C104" s="39">
        <v>1941</v>
      </c>
      <c r="D104" s="39">
        <v>1600</v>
      </c>
      <c r="E104" s="39">
        <v>2850</v>
      </c>
      <c r="F104" s="39">
        <v>2049</v>
      </c>
      <c r="G104" s="39">
        <v>1591</v>
      </c>
      <c r="H104" s="39">
        <v>1100</v>
      </c>
      <c r="I104" s="39">
        <v>1282</v>
      </c>
      <c r="J104" s="39">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c r="AD104" t="s">
        <v>570</v>
      </c>
      <c r="AE104" s="28">
        <v>2511</v>
      </c>
      <c r="AF104">
        <v>12700</v>
      </c>
      <c r="AG104">
        <v>2624</v>
      </c>
      <c r="AH104">
        <v>11543</v>
      </c>
    </row>
    <row r="105" spans="1:34" hidden="1">
      <c r="A105" s="39" t="s">
        <v>148</v>
      </c>
      <c r="B105" s="39">
        <v>1711</v>
      </c>
      <c r="C105" s="39">
        <v>1517</v>
      </c>
      <c r="D105" s="39">
        <v>1607</v>
      </c>
      <c r="E105" s="39">
        <v>1913</v>
      </c>
      <c r="F105" s="39">
        <v>1166</v>
      </c>
      <c r="G105" s="39">
        <v>1267</v>
      </c>
      <c r="H105" s="39">
        <v>1273</v>
      </c>
      <c r="I105" s="39">
        <v>1016</v>
      </c>
      <c r="J105" s="39">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c r="AD105" t="s">
        <v>544</v>
      </c>
      <c r="AE105" s="28">
        <v>1114</v>
      </c>
      <c r="AF105">
        <v>6172</v>
      </c>
      <c r="AG105">
        <v>1024</v>
      </c>
      <c r="AH105">
        <v>5169</v>
      </c>
    </row>
    <row r="106" spans="1:34" hidden="1">
      <c r="A106" s="39" t="s">
        <v>1266</v>
      </c>
      <c r="B106" s="39">
        <v>1350</v>
      </c>
      <c r="C106" s="39">
        <v>1288</v>
      </c>
      <c r="D106" s="39">
        <v>1007</v>
      </c>
      <c r="E106" s="39">
        <v>920</v>
      </c>
      <c r="F106" s="39">
        <v>747</v>
      </c>
      <c r="G106" s="39">
        <v>676</v>
      </c>
      <c r="H106" s="39">
        <v>705</v>
      </c>
      <c r="I106" s="39">
        <v>751</v>
      </c>
      <c r="J106" s="39">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c r="AD106" t="s">
        <v>396</v>
      </c>
      <c r="AE106" s="28">
        <v>950</v>
      </c>
      <c r="AF106">
        <v>2213</v>
      </c>
      <c r="AH106">
        <v>0</v>
      </c>
    </row>
    <row r="107" spans="1:34" hidden="1">
      <c r="A107" s="39" t="s">
        <v>1318</v>
      </c>
      <c r="B107" s="39">
        <v>0</v>
      </c>
      <c r="C107" s="39">
        <v>0</v>
      </c>
      <c r="D107" s="39">
        <v>0</v>
      </c>
      <c r="E107" s="39">
        <v>0</v>
      </c>
      <c r="F107" s="39">
        <v>0</v>
      </c>
      <c r="G107" s="39">
        <v>0</v>
      </c>
      <c r="H107" s="39">
        <v>208</v>
      </c>
      <c r="I107" s="39">
        <v>163</v>
      </c>
      <c r="J107" s="39">
        <v>136</v>
      </c>
      <c r="K107">
        <v>90</v>
      </c>
      <c r="L107">
        <v>112</v>
      </c>
      <c r="M107">
        <v>98</v>
      </c>
      <c r="N107">
        <v>107</v>
      </c>
      <c r="O107">
        <v>0</v>
      </c>
      <c r="P107">
        <v>0</v>
      </c>
      <c r="Q107">
        <v>0</v>
      </c>
      <c r="R107">
        <v>0</v>
      </c>
      <c r="S107">
        <v>0</v>
      </c>
      <c r="T107">
        <v>0</v>
      </c>
      <c r="U107">
        <v>53</v>
      </c>
      <c r="V107">
        <v>0</v>
      </c>
      <c r="W107">
        <v>89</v>
      </c>
      <c r="X107">
        <v>76</v>
      </c>
      <c r="Y107">
        <v>65</v>
      </c>
      <c r="Z107">
        <v>59</v>
      </c>
      <c r="AA107">
        <v>71</v>
      </c>
      <c r="AD107" t="s">
        <v>398</v>
      </c>
      <c r="AE107" s="28">
        <v>756</v>
      </c>
      <c r="AF107">
        <v>2872</v>
      </c>
      <c r="AH107">
        <v>0</v>
      </c>
    </row>
    <row r="108" spans="1:34" hidden="1">
      <c r="A108" s="39" t="s">
        <v>1149</v>
      </c>
      <c r="B108" s="39">
        <v>974</v>
      </c>
      <c r="C108" s="39">
        <v>1095</v>
      </c>
      <c r="D108" s="39">
        <v>2094</v>
      </c>
      <c r="E108" s="39">
        <v>1713</v>
      </c>
      <c r="F108" s="39">
        <v>1063</v>
      </c>
      <c r="G108" s="39">
        <v>7926</v>
      </c>
      <c r="H108" s="39">
        <v>1635</v>
      </c>
      <c r="I108" s="39">
        <v>895</v>
      </c>
      <c r="J108" s="39">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c r="AD108" t="s">
        <v>380</v>
      </c>
      <c r="AE108" s="28">
        <v>535</v>
      </c>
      <c r="AF108">
        <v>2720</v>
      </c>
      <c r="AH108">
        <v>0</v>
      </c>
    </row>
    <row r="109" spans="1:34" hidden="1">
      <c r="A109" s="39" t="s">
        <v>1060</v>
      </c>
      <c r="B109" s="39">
        <v>3177</v>
      </c>
      <c r="C109" s="39">
        <v>2464</v>
      </c>
      <c r="D109" s="39">
        <v>2763</v>
      </c>
      <c r="E109" s="39">
        <v>1976</v>
      </c>
      <c r="F109" s="39">
        <v>1821</v>
      </c>
      <c r="G109" s="39">
        <v>2050</v>
      </c>
      <c r="H109" s="39">
        <v>1848</v>
      </c>
      <c r="I109" s="39">
        <v>3303</v>
      </c>
      <c r="J109" s="39">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c r="AD109" t="s">
        <v>114</v>
      </c>
      <c r="AE109" s="28">
        <v>1992</v>
      </c>
      <c r="AF109">
        <v>4809</v>
      </c>
      <c r="AG109">
        <v>1876</v>
      </c>
      <c r="AH109">
        <v>4381</v>
      </c>
    </row>
    <row r="110" spans="1:34" hidden="1">
      <c r="A110" s="39" t="s">
        <v>434</v>
      </c>
      <c r="B110" s="39">
        <v>1558</v>
      </c>
      <c r="C110" s="39">
        <v>1634</v>
      </c>
      <c r="D110" s="39">
        <v>1646</v>
      </c>
      <c r="E110" s="39">
        <v>1521</v>
      </c>
      <c r="F110" s="39">
        <v>1323</v>
      </c>
      <c r="G110" s="39">
        <v>1390</v>
      </c>
      <c r="H110" s="39">
        <v>1297</v>
      </c>
      <c r="I110" s="39">
        <v>1409</v>
      </c>
      <c r="J110" s="39">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c r="AD110" s="37" t="s">
        <v>612</v>
      </c>
      <c r="AE110" s="28">
        <v>910</v>
      </c>
      <c r="AF110">
        <v>4186</v>
      </c>
      <c r="AG110">
        <v>683</v>
      </c>
      <c r="AH110">
        <v>5958</v>
      </c>
    </row>
    <row r="111" spans="1:34" hidden="1">
      <c r="A111" s="39" t="s">
        <v>558</v>
      </c>
      <c r="B111" s="39">
        <v>1299</v>
      </c>
      <c r="C111" s="39">
        <v>1499</v>
      </c>
      <c r="D111" s="39">
        <v>1816</v>
      </c>
      <c r="E111" s="39">
        <v>1430</v>
      </c>
      <c r="F111" s="39">
        <v>1165</v>
      </c>
      <c r="G111" s="39">
        <v>1127</v>
      </c>
      <c r="H111" s="39">
        <v>1156</v>
      </c>
      <c r="I111" s="39">
        <v>1195</v>
      </c>
      <c r="J111" s="39">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c r="AD111" t="s">
        <v>516</v>
      </c>
      <c r="AE111" s="28">
        <v>991</v>
      </c>
      <c r="AF111">
        <v>4900</v>
      </c>
      <c r="AH111">
        <v>0</v>
      </c>
    </row>
    <row r="112" spans="1:34" hidden="1">
      <c r="A112" s="39" t="s">
        <v>1135</v>
      </c>
      <c r="B112" s="39">
        <v>1354</v>
      </c>
      <c r="C112" s="39">
        <v>1035</v>
      </c>
      <c r="D112" s="39">
        <v>988</v>
      </c>
      <c r="E112" s="39">
        <v>832</v>
      </c>
      <c r="F112" s="39">
        <v>578</v>
      </c>
      <c r="G112" s="39">
        <v>641</v>
      </c>
      <c r="H112" s="39">
        <v>495</v>
      </c>
      <c r="I112" s="39">
        <v>449</v>
      </c>
      <c r="J112" s="39">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c r="AD112" t="s">
        <v>212</v>
      </c>
      <c r="AE112" s="28">
        <v>1070</v>
      </c>
      <c r="AF112">
        <v>4644</v>
      </c>
      <c r="AG112">
        <v>1149</v>
      </c>
      <c r="AH112">
        <v>4926</v>
      </c>
    </row>
    <row r="113" spans="1:34" hidden="1">
      <c r="A113" s="39" t="s">
        <v>1400</v>
      </c>
      <c r="B113" s="39">
        <v>2000</v>
      </c>
      <c r="C113" s="39">
        <v>2085</v>
      </c>
      <c r="D113" s="39">
        <v>1899</v>
      </c>
      <c r="E113" s="39">
        <v>1650</v>
      </c>
      <c r="F113" s="39">
        <v>382</v>
      </c>
      <c r="G113" s="39">
        <v>0</v>
      </c>
      <c r="H113" s="39">
        <v>22</v>
      </c>
      <c r="I113" s="39">
        <v>12</v>
      </c>
      <c r="J113" s="39">
        <v>0</v>
      </c>
      <c r="K113">
        <v>6</v>
      </c>
      <c r="L113">
        <v>0</v>
      </c>
      <c r="M113">
        <v>0</v>
      </c>
      <c r="N113">
        <v>0</v>
      </c>
      <c r="O113">
        <v>746</v>
      </c>
      <c r="P113">
        <v>797</v>
      </c>
      <c r="Q113">
        <v>748</v>
      </c>
      <c r="R113">
        <v>696</v>
      </c>
      <c r="S113">
        <v>44</v>
      </c>
      <c r="T113">
        <v>0</v>
      </c>
      <c r="U113">
        <v>6</v>
      </c>
      <c r="V113">
        <v>2</v>
      </c>
      <c r="W113">
        <v>0</v>
      </c>
      <c r="X113">
        <v>1</v>
      </c>
      <c r="Y113">
        <v>0</v>
      </c>
      <c r="Z113">
        <v>0</v>
      </c>
      <c r="AA113">
        <v>0</v>
      </c>
      <c r="AD113" t="s">
        <v>478</v>
      </c>
      <c r="AE113" s="28">
        <v>269</v>
      </c>
      <c r="AF113">
        <v>1012</v>
      </c>
      <c r="AH113">
        <v>0</v>
      </c>
    </row>
    <row r="114" spans="1:34" hidden="1">
      <c r="A114" s="39" t="s">
        <v>1171</v>
      </c>
      <c r="B114" s="39">
        <v>485</v>
      </c>
      <c r="C114" s="39">
        <v>784</v>
      </c>
      <c r="D114" s="39">
        <v>1103</v>
      </c>
      <c r="E114" s="39">
        <v>586</v>
      </c>
      <c r="F114" s="39">
        <v>489</v>
      </c>
      <c r="G114" s="39">
        <v>498</v>
      </c>
      <c r="H114" s="39">
        <v>519</v>
      </c>
      <c r="I114" s="39">
        <v>491</v>
      </c>
      <c r="J114" s="39">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c r="AD114" t="s">
        <v>344</v>
      </c>
      <c r="AE114" s="28">
        <v>366</v>
      </c>
      <c r="AF114">
        <v>2376</v>
      </c>
      <c r="AG114">
        <v>335</v>
      </c>
      <c r="AH114">
        <v>2573</v>
      </c>
    </row>
    <row r="115" spans="1:34" hidden="1">
      <c r="A115" s="39" t="s">
        <v>1240</v>
      </c>
      <c r="B115" s="39">
        <v>1192</v>
      </c>
      <c r="C115" s="39">
        <v>1048</v>
      </c>
      <c r="D115" s="39">
        <v>821</v>
      </c>
      <c r="E115" s="39">
        <v>1049</v>
      </c>
      <c r="F115" s="39">
        <v>657</v>
      </c>
      <c r="G115" s="39">
        <v>569</v>
      </c>
      <c r="H115" s="39">
        <v>676</v>
      </c>
      <c r="I115" s="39">
        <v>751</v>
      </c>
      <c r="J115" s="39">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c r="AD115" t="s">
        <v>242</v>
      </c>
      <c r="AE115" s="28">
        <v>2113</v>
      </c>
      <c r="AF115">
        <v>5392</v>
      </c>
      <c r="AG115">
        <v>1765</v>
      </c>
      <c r="AH115">
        <v>4661</v>
      </c>
    </row>
    <row r="116" spans="1:34" hidden="1">
      <c r="A116" s="39" t="s">
        <v>1100</v>
      </c>
      <c r="B116" s="39">
        <v>1214</v>
      </c>
      <c r="C116" s="39">
        <v>674</v>
      </c>
      <c r="D116" s="39">
        <v>89</v>
      </c>
      <c r="E116" s="39">
        <v>820</v>
      </c>
      <c r="F116" s="39">
        <v>684</v>
      </c>
      <c r="G116" s="39">
        <v>594</v>
      </c>
      <c r="H116" s="39">
        <v>649</v>
      </c>
      <c r="I116" s="39">
        <v>840</v>
      </c>
      <c r="J116" s="39">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c r="AD116" t="s">
        <v>128</v>
      </c>
      <c r="AE116" s="28">
        <v>1161</v>
      </c>
      <c r="AF116">
        <v>5011</v>
      </c>
      <c r="AG116">
        <v>1486</v>
      </c>
      <c r="AH116">
        <v>6808</v>
      </c>
    </row>
    <row r="117" spans="1:34" hidden="1">
      <c r="A117" s="39" t="s">
        <v>1401</v>
      </c>
      <c r="B117" s="39">
        <v>128</v>
      </c>
      <c r="C117" s="39">
        <v>112</v>
      </c>
      <c r="D117" s="39">
        <v>69</v>
      </c>
      <c r="E117" s="39">
        <v>74</v>
      </c>
      <c r="F117" s="39">
        <v>64</v>
      </c>
      <c r="G117" s="39">
        <v>77</v>
      </c>
      <c r="H117" s="39">
        <v>86</v>
      </c>
      <c r="I117" s="39">
        <v>74</v>
      </c>
      <c r="J117" s="39">
        <v>72</v>
      </c>
      <c r="K117">
        <v>67</v>
      </c>
      <c r="L117">
        <v>63</v>
      </c>
      <c r="M117">
        <v>67</v>
      </c>
      <c r="N117">
        <v>263</v>
      </c>
      <c r="O117">
        <v>33</v>
      </c>
      <c r="P117">
        <v>29</v>
      </c>
      <c r="Q117">
        <v>23</v>
      </c>
      <c r="R117">
        <v>29</v>
      </c>
      <c r="S117">
        <v>18</v>
      </c>
      <c r="T117">
        <v>31</v>
      </c>
      <c r="U117">
        <v>36</v>
      </c>
      <c r="V117">
        <v>23</v>
      </c>
      <c r="W117">
        <v>33</v>
      </c>
      <c r="X117">
        <v>40</v>
      </c>
      <c r="Y117">
        <v>26</v>
      </c>
      <c r="Z117">
        <v>28</v>
      </c>
      <c r="AA117">
        <v>88</v>
      </c>
      <c r="AD117" t="s">
        <v>306</v>
      </c>
      <c r="AE117" s="28">
        <v>690</v>
      </c>
      <c r="AF117">
        <v>1755</v>
      </c>
      <c r="AH117">
        <v>0</v>
      </c>
    </row>
    <row r="118" spans="1:34" hidden="1">
      <c r="A118" s="39" t="s">
        <v>859</v>
      </c>
      <c r="B118" s="39">
        <v>198</v>
      </c>
      <c r="C118" s="39">
        <v>302</v>
      </c>
      <c r="D118" s="39">
        <v>84</v>
      </c>
      <c r="E118" s="39">
        <v>72</v>
      </c>
      <c r="F118" s="39">
        <v>53</v>
      </c>
      <c r="G118" s="39">
        <v>62</v>
      </c>
      <c r="H118" s="39">
        <v>107</v>
      </c>
      <c r="I118" s="39">
        <v>137</v>
      </c>
      <c r="J118" s="39">
        <v>147</v>
      </c>
      <c r="K118">
        <v>127</v>
      </c>
      <c r="L118">
        <v>161</v>
      </c>
      <c r="M118">
        <v>164</v>
      </c>
      <c r="N118">
        <v>206</v>
      </c>
      <c r="O118">
        <v>12</v>
      </c>
      <c r="P118">
        <v>33</v>
      </c>
      <c r="Q118">
        <v>6</v>
      </c>
      <c r="R118">
        <v>21</v>
      </c>
      <c r="S118">
        <v>13</v>
      </c>
      <c r="T118">
        <v>18</v>
      </c>
      <c r="U118">
        <v>47</v>
      </c>
      <c r="V118">
        <v>61</v>
      </c>
      <c r="W118">
        <v>67</v>
      </c>
      <c r="X118">
        <v>51</v>
      </c>
      <c r="Y118">
        <v>90</v>
      </c>
      <c r="Z118">
        <v>75</v>
      </c>
      <c r="AA118">
        <v>129</v>
      </c>
      <c r="AD118" t="s">
        <v>576</v>
      </c>
      <c r="AE118" s="28">
        <v>1115</v>
      </c>
      <c r="AF118">
        <v>4213</v>
      </c>
      <c r="AG118">
        <v>995</v>
      </c>
      <c r="AH118">
        <v>3952</v>
      </c>
    </row>
    <row r="119" spans="1:34" hidden="1">
      <c r="A119" s="39" t="s">
        <v>1313</v>
      </c>
      <c r="B119" s="39">
        <v>28</v>
      </c>
      <c r="C119" s="39">
        <v>33</v>
      </c>
      <c r="D119" s="39">
        <v>39</v>
      </c>
      <c r="E119" s="39">
        <v>35</v>
      </c>
      <c r="F119" s="39">
        <v>36</v>
      </c>
      <c r="G119" s="39">
        <v>26</v>
      </c>
      <c r="H119" s="39">
        <v>51</v>
      </c>
      <c r="I119" s="39">
        <v>43</v>
      </c>
      <c r="J119" s="39">
        <v>53</v>
      </c>
      <c r="K119">
        <v>67</v>
      </c>
      <c r="L119">
        <v>59</v>
      </c>
      <c r="M119">
        <v>63</v>
      </c>
      <c r="N119">
        <v>73</v>
      </c>
      <c r="O119">
        <v>20</v>
      </c>
      <c r="P119">
        <v>13</v>
      </c>
      <c r="Q119">
        <v>18</v>
      </c>
      <c r="R119">
        <v>17</v>
      </c>
      <c r="S119">
        <v>21</v>
      </c>
      <c r="T119">
        <v>21</v>
      </c>
      <c r="U119">
        <v>23</v>
      </c>
      <c r="V119">
        <v>20</v>
      </c>
      <c r="W119">
        <v>30</v>
      </c>
      <c r="X119">
        <v>29</v>
      </c>
      <c r="Y119">
        <v>33</v>
      </c>
      <c r="Z119">
        <v>23</v>
      </c>
      <c r="AA119">
        <v>29</v>
      </c>
      <c r="AD119" t="s">
        <v>382</v>
      </c>
      <c r="AE119" s="28">
        <v>1273</v>
      </c>
      <c r="AF119">
        <v>4614</v>
      </c>
      <c r="AG119">
        <v>1509</v>
      </c>
      <c r="AH119">
        <v>5326</v>
      </c>
    </row>
    <row r="120" spans="1:34" hidden="1">
      <c r="A120" s="39" t="s">
        <v>861</v>
      </c>
      <c r="B120" s="39">
        <v>1002</v>
      </c>
      <c r="C120" s="39">
        <v>1034</v>
      </c>
      <c r="D120" s="39">
        <v>660</v>
      </c>
      <c r="E120" s="39">
        <v>563</v>
      </c>
      <c r="F120" s="39">
        <v>480</v>
      </c>
      <c r="G120" s="39">
        <v>479</v>
      </c>
      <c r="H120" s="39">
        <v>567</v>
      </c>
      <c r="I120" s="39">
        <v>408</v>
      </c>
      <c r="J120" s="39">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c r="AD120" t="s">
        <v>374</v>
      </c>
      <c r="AE120" s="28">
        <v>1003</v>
      </c>
      <c r="AF120">
        <v>5089</v>
      </c>
      <c r="AG120">
        <v>1135</v>
      </c>
      <c r="AH120">
        <v>6127</v>
      </c>
    </row>
    <row r="121" spans="1:34" hidden="1">
      <c r="A121" s="39" t="s">
        <v>382</v>
      </c>
      <c r="B121" s="39">
        <v>556</v>
      </c>
      <c r="C121" s="39">
        <v>644</v>
      </c>
      <c r="D121" s="39">
        <v>668</v>
      </c>
      <c r="E121" s="39">
        <v>708</v>
      </c>
      <c r="F121" s="39">
        <v>563</v>
      </c>
      <c r="G121" s="39">
        <v>598</v>
      </c>
      <c r="H121" s="39">
        <v>612</v>
      </c>
      <c r="I121" s="39">
        <v>598</v>
      </c>
      <c r="J121" s="39">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c r="AD121" t="s">
        <v>506</v>
      </c>
      <c r="AE121" s="28">
        <v>425</v>
      </c>
      <c r="AF121">
        <v>1216</v>
      </c>
      <c r="AH121">
        <v>0</v>
      </c>
    </row>
    <row r="122" spans="1:34" hidden="1">
      <c r="A122" s="39" t="s">
        <v>384</v>
      </c>
      <c r="B122" s="39">
        <v>1013</v>
      </c>
      <c r="C122" s="39">
        <v>1382</v>
      </c>
      <c r="D122" s="39">
        <v>1449</v>
      </c>
      <c r="E122" s="39">
        <v>2537</v>
      </c>
      <c r="F122" s="39">
        <v>1852</v>
      </c>
      <c r="G122" s="39">
        <v>1365</v>
      </c>
      <c r="H122" s="39">
        <v>998</v>
      </c>
      <c r="I122" s="39">
        <v>1016</v>
      </c>
      <c r="J122" s="39">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c r="AD122" t="s">
        <v>556</v>
      </c>
      <c r="AE122" s="28">
        <v>457</v>
      </c>
      <c r="AF122">
        <v>2842</v>
      </c>
      <c r="AH122">
        <v>0</v>
      </c>
    </row>
    <row r="123" spans="1:34" hidden="1">
      <c r="A123" s="39" t="s">
        <v>276</v>
      </c>
      <c r="B123" s="39">
        <v>426</v>
      </c>
      <c r="C123" s="39">
        <v>462</v>
      </c>
      <c r="D123" s="39">
        <v>516</v>
      </c>
      <c r="E123" s="39">
        <v>557</v>
      </c>
      <c r="F123" s="39">
        <v>514</v>
      </c>
      <c r="G123" s="39">
        <v>606</v>
      </c>
      <c r="H123" s="39">
        <v>431</v>
      </c>
      <c r="I123" s="39">
        <v>496</v>
      </c>
      <c r="J123" s="39">
        <v>579</v>
      </c>
      <c r="K123">
        <v>611</v>
      </c>
      <c r="L123">
        <v>0</v>
      </c>
      <c r="M123">
        <v>455</v>
      </c>
      <c r="N123">
        <v>937</v>
      </c>
      <c r="O123">
        <v>89</v>
      </c>
      <c r="P123">
        <v>102</v>
      </c>
      <c r="Q123">
        <v>118</v>
      </c>
      <c r="R123">
        <v>109</v>
      </c>
      <c r="S123">
        <v>102</v>
      </c>
      <c r="T123">
        <v>90</v>
      </c>
      <c r="U123">
        <v>94</v>
      </c>
      <c r="V123">
        <v>112</v>
      </c>
      <c r="W123">
        <v>157</v>
      </c>
      <c r="X123">
        <v>136</v>
      </c>
      <c r="Y123">
        <v>0</v>
      </c>
      <c r="Z123">
        <v>148</v>
      </c>
      <c r="AA123">
        <v>232</v>
      </c>
      <c r="AD123" t="s">
        <v>498</v>
      </c>
      <c r="AE123" s="28">
        <v>396</v>
      </c>
      <c r="AF123">
        <v>1089</v>
      </c>
      <c r="AH123">
        <v>0</v>
      </c>
    </row>
    <row r="124" spans="1:34" hidden="1">
      <c r="A124" s="39" t="s">
        <v>132</v>
      </c>
      <c r="B124" s="39">
        <v>2274</v>
      </c>
      <c r="C124" s="39">
        <v>2856</v>
      </c>
      <c r="D124" s="39">
        <v>3377</v>
      </c>
      <c r="E124" s="39">
        <v>5031</v>
      </c>
      <c r="F124" s="39">
        <v>5590</v>
      </c>
      <c r="G124" s="39">
        <v>4851</v>
      </c>
      <c r="H124" s="39">
        <v>4649</v>
      </c>
      <c r="I124" s="39">
        <v>6101</v>
      </c>
      <c r="J124" s="39">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c r="AD124" t="s">
        <v>364</v>
      </c>
      <c r="AE124" s="28">
        <v>374</v>
      </c>
      <c r="AF124">
        <v>1383</v>
      </c>
      <c r="AH124">
        <v>0</v>
      </c>
    </row>
    <row r="125" spans="1:34" hidden="1">
      <c r="A125" s="39" t="s">
        <v>234</v>
      </c>
      <c r="B125" s="39">
        <v>879</v>
      </c>
      <c r="C125" s="39">
        <v>1082</v>
      </c>
      <c r="D125" s="39">
        <v>983</v>
      </c>
      <c r="E125" s="39">
        <v>1031</v>
      </c>
      <c r="F125" s="39">
        <v>927</v>
      </c>
      <c r="G125" s="39">
        <v>974</v>
      </c>
      <c r="H125" s="39">
        <v>1011</v>
      </c>
      <c r="I125" s="39">
        <v>1156</v>
      </c>
      <c r="J125" s="39">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c r="AD125" t="s">
        <v>284</v>
      </c>
      <c r="AE125" s="28">
        <v>2024</v>
      </c>
      <c r="AF125">
        <v>10130</v>
      </c>
      <c r="AG125">
        <v>2145</v>
      </c>
      <c r="AH125">
        <v>9967</v>
      </c>
    </row>
    <row r="126" spans="1:34" hidden="1">
      <c r="A126" s="39" t="s">
        <v>1050</v>
      </c>
      <c r="B126" s="39">
        <v>1634</v>
      </c>
      <c r="C126" s="39">
        <v>1088</v>
      </c>
      <c r="D126" s="39">
        <v>1379</v>
      </c>
      <c r="E126" s="39">
        <v>1401</v>
      </c>
      <c r="F126" s="39">
        <v>1057</v>
      </c>
      <c r="G126" s="39">
        <v>1155</v>
      </c>
      <c r="H126" s="39">
        <v>1143</v>
      </c>
      <c r="I126" s="39">
        <v>1093</v>
      </c>
      <c r="J126" s="39">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c r="AD126" t="s">
        <v>468</v>
      </c>
      <c r="AE126" s="28">
        <v>444</v>
      </c>
      <c r="AF126">
        <v>1903</v>
      </c>
      <c r="AH126">
        <v>0</v>
      </c>
    </row>
    <row r="127" spans="1:34" hidden="1">
      <c r="A127" s="39" t="s">
        <v>1402</v>
      </c>
      <c r="B127" s="39">
        <v>550</v>
      </c>
      <c r="C127" s="39">
        <v>528</v>
      </c>
      <c r="D127" s="39">
        <v>327</v>
      </c>
      <c r="E127" s="39">
        <v>306</v>
      </c>
      <c r="F127" s="39">
        <v>296</v>
      </c>
      <c r="G127" s="39">
        <v>241</v>
      </c>
      <c r="H127" s="39">
        <v>257</v>
      </c>
      <c r="I127" s="39">
        <v>382</v>
      </c>
      <c r="J127" s="39">
        <v>0</v>
      </c>
      <c r="K127">
        <v>2</v>
      </c>
      <c r="L127">
        <v>0</v>
      </c>
      <c r="M127">
        <v>0</v>
      </c>
      <c r="N127">
        <v>0</v>
      </c>
      <c r="O127">
        <v>164</v>
      </c>
      <c r="P127">
        <v>142</v>
      </c>
      <c r="Q127">
        <v>146</v>
      </c>
      <c r="R127">
        <v>116</v>
      </c>
      <c r="S127">
        <v>130</v>
      </c>
      <c r="T127">
        <v>118</v>
      </c>
      <c r="U127">
        <v>138</v>
      </c>
      <c r="V127">
        <v>136</v>
      </c>
      <c r="W127">
        <v>0</v>
      </c>
      <c r="X127">
        <v>2</v>
      </c>
      <c r="Y127">
        <v>0</v>
      </c>
      <c r="Z127">
        <v>0</v>
      </c>
      <c r="AA127">
        <v>0</v>
      </c>
      <c r="AD127" t="s">
        <v>352</v>
      </c>
      <c r="AE127" s="28">
        <v>384</v>
      </c>
      <c r="AF127">
        <v>1342</v>
      </c>
      <c r="AH127">
        <v>0</v>
      </c>
    </row>
    <row r="128" spans="1:34" hidden="1">
      <c r="A128" s="39" t="s">
        <v>246</v>
      </c>
      <c r="B128" s="39">
        <v>0</v>
      </c>
      <c r="C128" s="39">
        <v>687</v>
      </c>
      <c r="D128" s="39">
        <v>1065</v>
      </c>
      <c r="E128" s="39">
        <v>1231</v>
      </c>
      <c r="F128" s="39">
        <v>754</v>
      </c>
      <c r="G128" s="39">
        <v>682</v>
      </c>
      <c r="H128" s="39">
        <v>1047</v>
      </c>
      <c r="I128" s="39">
        <v>797</v>
      </c>
      <c r="J128" s="39">
        <v>826</v>
      </c>
      <c r="K128">
        <v>771</v>
      </c>
      <c r="L128">
        <v>636</v>
      </c>
      <c r="M128">
        <v>704</v>
      </c>
      <c r="N128">
        <v>901</v>
      </c>
      <c r="O128">
        <v>0</v>
      </c>
      <c r="P128">
        <v>53</v>
      </c>
      <c r="Q128">
        <v>159</v>
      </c>
      <c r="R128">
        <v>206</v>
      </c>
      <c r="S128">
        <v>130</v>
      </c>
      <c r="T128">
        <v>139</v>
      </c>
      <c r="U128">
        <v>251</v>
      </c>
      <c r="V128">
        <v>156</v>
      </c>
      <c r="W128">
        <v>167</v>
      </c>
      <c r="X128">
        <v>148</v>
      </c>
      <c r="Y128">
        <v>148</v>
      </c>
      <c r="Z128">
        <v>131</v>
      </c>
      <c r="AA128">
        <v>180</v>
      </c>
      <c r="AD128" t="s">
        <v>132</v>
      </c>
      <c r="AE128" s="28">
        <v>4667</v>
      </c>
      <c r="AF128">
        <v>17712</v>
      </c>
      <c r="AG128">
        <v>4531</v>
      </c>
      <c r="AH128">
        <v>24486</v>
      </c>
    </row>
    <row r="129" spans="1:34" hidden="1">
      <c r="A129" s="39" t="s">
        <v>1010</v>
      </c>
      <c r="B129" s="39">
        <v>109</v>
      </c>
      <c r="C129" s="39">
        <v>64</v>
      </c>
      <c r="D129" s="39">
        <v>94</v>
      </c>
      <c r="E129" s="39">
        <v>63</v>
      </c>
      <c r="F129" s="39">
        <v>86</v>
      </c>
      <c r="G129" s="39">
        <v>93</v>
      </c>
      <c r="H129" s="39">
        <v>96</v>
      </c>
      <c r="I129" s="39">
        <v>208</v>
      </c>
      <c r="J129" s="39">
        <v>240</v>
      </c>
      <c r="K129">
        <v>192</v>
      </c>
      <c r="L129">
        <v>211</v>
      </c>
      <c r="M129">
        <v>238</v>
      </c>
      <c r="N129">
        <v>282</v>
      </c>
      <c r="O129">
        <v>21</v>
      </c>
      <c r="P129">
        <v>13</v>
      </c>
      <c r="Q129">
        <v>34</v>
      </c>
      <c r="R129">
        <v>29</v>
      </c>
      <c r="S129">
        <v>33</v>
      </c>
      <c r="T129">
        <v>33</v>
      </c>
      <c r="U129">
        <v>32</v>
      </c>
      <c r="V129">
        <v>99</v>
      </c>
      <c r="W129">
        <v>111</v>
      </c>
      <c r="X129">
        <v>85</v>
      </c>
      <c r="Y129">
        <v>90</v>
      </c>
      <c r="Z129">
        <v>128</v>
      </c>
      <c r="AA129">
        <v>152</v>
      </c>
      <c r="AD129" t="s">
        <v>488</v>
      </c>
      <c r="AE129" s="28">
        <v>2577</v>
      </c>
      <c r="AF129">
        <v>9416</v>
      </c>
      <c r="AG129">
        <v>2224</v>
      </c>
      <c r="AH129">
        <v>8107</v>
      </c>
    </row>
    <row r="130" spans="1:34" hidden="1">
      <c r="A130" s="39" t="s">
        <v>1262</v>
      </c>
      <c r="B130" s="39">
        <v>4323</v>
      </c>
      <c r="C130" s="39">
        <v>3717</v>
      </c>
      <c r="D130" s="39">
        <v>6969</v>
      </c>
      <c r="E130" s="39">
        <v>12230</v>
      </c>
      <c r="F130" s="39">
        <v>8131</v>
      </c>
      <c r="G130" s="39">
        <v>5322</v>
      </c>
      <c r="H130" s="39">
        <v>3436</v>
      </c>
      <c r="I130" s="39">
        <v>3161</v>
      </c>
      <c r="J130" s="39">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c r="AD130" t="s">
        <v>244</v>
      </c>
      <c r="AE130" s="28">
        <v>2165</v>
      </c>
      <c r="AF130">
        <v>5383</v>
      </c>
      <c r="AG130">
        <v>2320</v>
      </c>
      <c r="AH130">
        <v>5350</v>
      </c>
    </row>
    <row r="131" spans="1:34" hidden="1">
      <c r="A131" s="39" t="s">
        <v>1085</v>
      </c>
      <c r="B131" s="39">
        <v>1450</v>
      </c>
      <c r="C131" s="39">
        <v>1559</v>
      </c>
      <c r="D131" s="39">
        <v>1228</v>
      </c>
      <c r="E131" s="39">
        <v>1388</v>
      </c>
      <c r="F131" s="39">
        <v>1438</v>
      </c>
      <c r="G131" s="39">
        <v>1443</v>
      </c>
      <c r="H131" s="39">
        <v>1497</v>
      </c>
      <c r="I131" s="39">
        <v>1915</v>
      </c>
      <c r="J131" s="39">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c r="AD131" t="s">
        <v>304</v>
      </c>
      <c r="AE131" s="28">
        <v>1108</v>
      </c>
      <c r="AF131">
        <v>5115</v>
      </c>
      <c r="AG131">
        <v>971</v>
      </c>
      <c r="AH131">
        <v>4608</v>
      </c>
    </row>
    <row r="132" spans="1:34" hidden="1">
      <c r="A132" s="39" t="s">
        <v>1041</v>
      </c>
      <c r="B132" s="39">
        <v>1100</v>
      </c>
      <c r="C132" s="39">
        <v>860</v>
      </c>
      <c r="D132" s="39">
        <v>863</v>
      </c>
      <c r="E132" s="39">
        <v>884</v>
      </c>
      <c r="F132" s="39">
        <v>902</v>
      </c>
      <c r="G132" s="39">
        <v>813</v>
      </c>
      <c r="H132" s="39">
        <v>690</v>
      </c>
      <c r="I132" s="39">
        <v>871</v>
      </c>
      <c r="J132" s="39">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c r="AD132" t="s">
        <v>210</v>
      </c>
      <c r="AE132" s="28">
        <v>2302</v>
      </c>
      <c r="AF132">
        <v>10218</v>
      </c>
      <c r="AG132">
        <v>2189</v>
      </c>
      <c r="AH132">
        <v>9526</v>
      </c>
    </row>
    <row r="133" spans="1:34" hidden="1">
      <c r="A133" s="39" t="s">
        <v>1058</v>
      </c>
      <c r="B133" s="39">
        <v>310</v>
      </c>
      <c r="C133" s="39">
        <v>322</v>
      </c>
      <c r="D133" s="39">
        <v>924</v>
      </c>
      <c r="E133" s="39">
        <v>1220</v>
      </c>
      <c r="F133" s="39">
        <v>1061</v>
      </c>
      <c r="G133" s="39">
        <v>741</v>
      </c>
      <c r="H133" s="39">
        <v>669</v>
      </c>
      <c r="I133" s="39">
        <v>633</v>
      </c>
      <c r="J133" s="39">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c r="AD133" t="s">
        <v>234</v>
      </c>
      <c r="AE133" s="28">
        <v>2047</v>
      </c>
      <c r="AF133">
        <v>7282</v>
      </c>
      <c r="AG133">
        <v>1788</v>
      </c>
      <c r="AH133">
        <v>6367</v>
      </c>
    </row>
    <row r="134" spans="1:34" hidden="1">
      <c r="A134" s="39" t="s">
        <v>1173</v>
      </c>
      <c r="B134" s="39">
        <v>21</v>
      </c>
      <c r="C134" s="39">
        <v>23</v>
      </c>
      <c r="D134" s="39">
        <v>38</v>
      </c>
      <c r="E134" s="39">
        <v>47</v>
      </c>
      <c r="F134" s="39">
        <v>34</v>
      </c>
      <c r="G134" s="39">
        <v>33</v>
      </c>
      <c r="H134" s="39">
        <v>22</v>
      </c>
      <c r="I134" s="39">
        <v>28</v>
      </c>
      <c r="J134" s="39">
        <v>39</v>
      </c>
      <c r="K134">
        <v>30</v>
      </c>
      <c r="L134">
        <v>28</v>
      </c>
      <c r="M134">
        <v>24</v>
      </c>
      <c r="N134">
        <v>56</v>
      </c>
      <c r="O134">
        <v>3</v>
      </c>
      <c r="P134">
        <v>4</v>
      </c>
      <c r="Q134">
        <v>4</v>
      </c>
      <c r="R134">
        <v>3</v>
      </c>
      <c r="S134">
        <v>5</v>
      </c>
      <c r="T134">
        <v>1</v>
      </c>
      <c r="U134">
        <v>1</v>
      </c>
      <c r="V134">
        <v>2</v>
      </c>
      <c r="W134">
        <v>4</v>
      </c>
      <c r="X134">
        <v>1</v>
      </c>
      <c r="Y134">
        <v>6</v>
      </c>
      <c r="Z134">
        <v>3</v>
      </c>
      <c r="AA134">
        <v>6</v>
      </c>
      <c r="AD134" t="s">
        <v>324</v>
      </c>
      <c r="AE134" s="28">
        <v>760</v>
      </c>
      <c r="AF134">
        <v>2586</v>
      </c>
      <c r="AG134">
        <v>654</v>
      </c>
      <c r="AH134">
        <v>2486</v>
      </c>
    </row>
    <row r="135" spans="1:34" hidden="1">
      <c r="A135" s="39" t="s">
        <v>1175</v>
      </c>
      <c r="B135" s="39">
        <v>66</v>
      </c>
      <c r="C135" s="39">
        <v>134</v>
      </c>
      <c r="D135" s="39">
        <v>267</v>
      </c>
      <c r="E135" s="39">
        <v>141</v>
      </c>
      <c r="F135" s="39">
        <v>86</v>
      </c>
      <c r="G135" s="39">
        <v>77</v>
      </c>
      <c r="H135" s="39">
        <v>87</v>
      </c>
      <c r="I135" s="39">
        <v>169</v>
      </c>
      <c r="J135" s="39">
        <v>166</v>
      </c>
      <c r="K135">
        <v>162</v>
      </c>
      <c r="L135">
        <v>254</v>
      </c>
      <c r="M135">
        <v>250</v>
      </c>
      <c r="N135">
        <v>537</v>
      </c>
      <c r="O135">
        <v>20</v>
      </c>
      <c r="P135">
        <v>32</v>
      </c>
      <c r="Q135">
        <v>78</v>
      </c>
      <c r="R135">
        <v>29</v>
      </c>
      <c r="S135">
        <v>31</v>
      </c>
      <c r="T135">
        <v>22</v>
      </c>
      <c r="U135">
        <v>25</v>
      </c>
      <c r="V135">
        <v>55</v>
      </c>
      <c r="W135">
        <v>38</v>
      </c>
      <c r="X135">
        <v>67</v>
      </c>
      <c r="Y135">
        <v>86</v>
      </c>
      <c r="Z135">
        <v>53</v>
      </c>
      <c r="AA135">
        <v>102</v>
      </c>
      <c r="AD135" t="s">
        <v>200</v>
      </c>
      <c r="AE135" s="28">
        <v>1249</v>
      </c>
      <c r="AF135">
        <v>5495</v>
      </c>
      <c r="AG135">
        <v>1127</v>
      </c>
      <c r="AH135">
        <v>5014</v>
      </c>
    </row>
    <row r="136" spans="1:34" hidden="1">
      <c r="A136" s="39" t="s">
        <v>694</v>
      </c>
      <c r="B136" s="39">
        <v>5320</v>
      </c>
      <c r="C136" s="39">
        <v>3011</v>
      </c>
      <c r="D136" s="39">
        <v>1145</v>
      </c>
      <c r="E136" s="39">
        <v>3689</v>
      </c>
      <c r="F136" s="39">
        <v>2504</v>
      </c>
      <c r="G136" s="39">
        <v>2187</v>
      </c>
      <c r="H136" s="39">
        <v>2306</v>
      </c>
      <c r="I136" s="39">
        <v>2366</v>
      </c>
      <c r="J136" s="39">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c r="AE136" s="28">
        <v>0</v>
      </c>
      <c r="AF136">
        <v>0</v>
      </c>
    </row>
    <row r="137" spans="1:34" hidden="1">
      <c r="A137" s="39" t="s">
        <v>290</v>
      </c>
      <c r="B137" s="39">
        <v>1619</v>
      </c>
      <c r="C137" s="39">
        <v>1633</v>
      </c>
      <c r="D137" s="39">
        <v>717</v>
      </c>
      <c r="E137" s="39">
        <v>826</v>
      </c>
      <c r="F137" s="39">
        <v>650</v>
      </c>
      <c r="G137" s="39">
        <v>725</v>
      </c>
      <c r="H137" s="39">
        <v>777</v>
      </c>
      <c r="I137" s="39">
        <v>962</v>
      </c>
      <c r="J137" s="39">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c r="AE137" s="28">
        <v>0</v>
      </c>
      <c r="AF137">
        <v>0</v>
      </c>
    </row>
    <row r="138" spans="1:34" hidden="1">
      <c r="A138" s="39" t="s">
        <v>294</v>
      </c>
      <c r="B138" s="39">
        <v>2361</v>
      </c>
      <c r="C138" s="39">
        <v>2605</v>
      </c>
      <c r="D138" s="39">
        <v>2688</v>
      </c>
      <c r="E138" s="39">
        <v>3554</v>
      </c>
      <c r="F138" s="39">
        <v>3657</v>
      </c>
      <c r="G138" s="39">
        <v>3360</v>
      </c>
      <c r="H138" s="39">
        <v>3137</v>
      </c>
      <c r="I138" s="39">
        <v>3454</v>
      </c>
      <c r="J138" s="39">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c r="AE138" s="28">
        <v>0</v>
      </c>
      <c r="AF138">
        <v>0</v>
      </c>
    </row>
    <row r="139" spans="1:34" hidden="1">
      <c r="A139" s="39" t="s">
        <v>256</v>
      </c>
      <c r="B139" s="39">
        <v>1476</v>
      </c>
      <c r="C139" s="39">
        <v>1945</v>
      </c>
      <c r="D139" s="39">
        <v>2127</v>
      </c>
      <c r="E139" s="39">
        <v>2420</v>
      </c>
      <c r="F139" s="39">
        <v>2366</v>
      </c>
      <c r="G139" s="39">
        <v>2349</v>
      </c>
      <c r="H139" s="39">
        <v>2432</v>
      </c>
      <c r="I139" s="39">
        <v>2364</v>
      </c>
      <c r="J139" s="39">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c r="AE139" s="28">
        <v>0</v>
      </c>
      <c r="AF139">
        <v>0</v>
      </c>
    </row>
    <row r="140" spans="1:34" hidden="1">
      <c r="A140" s="39" t="s">
        <v>21</v>
      </c>
      <c r="B140" s="39">
        <v>5127</v>
      </c>
      <c r="C140" s="39">
        <v>2691</v>
      </c>
      <c r="D140" s="39">
        <v>3374</v>
      </c>
      <c r="E140" s="39">
        <v>5722</v>
      </c>
      <c r="F140" s="39">
        <v>4410</v>
      </c>
      <c r="G140" s="39">
        <v>4656</v>
      </c>
      <c r="H140" s="39">
        <v>5272</v>
      </c>
      <c r="I140" s="39">
        <v>3944</v>
      </c>
      <c r="J140" s="39">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c r="AE140" s="28">
        <v>0</v>
      </c>
      <c r="AF140">
        <v>0</v>
      </c>
    </row>
    <row r="141" spans="1:34" hidden="1">
      <c r="A141" s="39" t="s">
        <v>532</v>
      </c>
      <c r="B141" s="39">
        <v>5383</v>
      </c>
      <c r="C141" s="39">
        <v>4790</v>
      </c>
      <c r="D141" s="39">
        <v>3916</v>
      </c>
      <c r="E141" s="39">
        <v>3315</v>
      </c>
      <c r="F141" s="39">
        <v>2791</v>
      </c>
      <c r="G141" s="39">
        <v>2696</v>
      </c>
      <c r="H141" s="39">
        <v>2057</v>
      </c>
      <c r="I141" s="39">
        <v>3008</v>
      </c>
      <c r="J141" s="39">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c r="AE141" s="28">
        <v>0</v>
      </c>
      <c r="AF141">
        <v>0</v>
      </c>
    </row>
    <row r="142" spans="1:34" hidden="1">
      <c r="A142" s="39" t="s">
        <v>518</v>
      </c>
      <c r="B142" s="39">
        <v>0</v>
      </c>
      <c r="C142" s="39">
        <v>2098</v>
      </c>
      <c r="D142" s="39">
        <v>2243</v>
      </c>
      <c r="E142" s="39">
        <v>2036</v>
      </c>
      <c r="F142" s="39">
        <v>1818</v>
      </c>
      <c r="G142" s="39">
        <v>2072</v>
      </c>
      <c r="H142" s="39">
        <v>1235</v>
      </c>
      <c r="I142" s="39">
        <v>1323</v>
      </c>
      <c r="J142" s="39">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c r="AD142" t="s">
        <v>408</v>
      </c>
      <c r="AE142" s="28">
        <v>477</v>
      </c>
      <c r="AF142">
        <v>2478</v>
      </c>
      <c r="AG142">
        <v>475</v>
      </c>
      <c r="AH142">
        <v>2376</v>
      </c>
    </row>
    <row r="143" spans="1:34" hidden="1">
      <c r="A143" s="39" t="s">
        <v>650</v>
      </c>
      <c r="B143" s="39">
        <v>762</v>
      </c>
      <c r="C143" s="39">
        <v>1141</v>
      </c>
      <c r="D143" s="39">
        <v>996</v>
      </c>
      <c r="E143" s="39">
        <v>2175</v>
      </c>
      <c r="F143" s="39">
        <v>1366</v>
      </c>
      <c r="G143" s="39">
        <v>2724</v>
      </c>
      <c r="H143" s="39">
        <v>1011</v>
      </c>
      <c r="I143" s="39">
        <v>1058</v>
      </c>
      <c r="J143" s="39">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c r="AD143" s="37" t="s">
        <v>432</v>
      </c>
      <c r="AE143" s="28">
        <v>732</v>
      </c>
      <c r="AF143">
        <v>3414</v>
      </c>
      <c r="AG143">
        <v>738</v>
      </c>
      <c r="AH143">
        <v>3203</v>
      </c>
    </row>
    <row r="144" spans="1:34" hidden="1">
      <c r="A144" s="39" t="s">
        <v>264</v>
      </c>
      <c r="B144" s="39">
        <v>1491</v>
      </c>
      <c r="C144" s="39">
        <v>1436</v>
      </c>
      <c r="D144" s="39">
        <v>1225</v>
      </c>
      <c r="E144" s="39">
        <v>1684</v>
      </c>
      <c r="F144" s="39">
        <v>1462</v>
      </c>
      <c r="G144" s="39">
        <v>1782</v>
      </c>
      <c r="H144" s="39">
        <v>1906</v>
      </c>
      <c r="I144" s="39">
        <v>1800</v>
      </c>
      <c r="J144" s="39">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c r="AD144" t="s">
        <v>288</v>
      </c>
      <c r="AE144" s="28">
        <v>807</v>
      </c>
      <c r="AF144">
        <v>3474</v>
      </c>
      <c r="AG144">
        <v>685</v>
      </c>
      <c r="AH144">
        <v>3403</v>
      </c>
    </row>
    <row r="145" spans="1:34" hidden="1">
      <c r="A145" s="39" t="s">
        <v>1230</v>
      </c>
      <c r="B145" s="39">
        <v>1434</v>
      </c>
      <c r="C145" s="39">
        <v>1037</v>
      </c>
      <c r="D145" s="39">
        <v>643</v>
      </c>
      <c r="E145" s="39">
        <v>560</v>
      </c>
      <c r="F145" s="39">
        <v>454</v>
      </c>
      <c r="G145" s="39">
        <v>513</v>
      </c>
      <c r="H145" s="39">
        <v>583</v>
      </c>
      <c r="I145" s="39">
        <v>404</v>
      </c>
      <c r="J145" s="39">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c r="AD145" t="s">
        <v>514</v>
      </c>
      <c r="AE145" s="28">
        <v>1176</v>
      </c>
      <c r="AF145">
        <v>4928</v>
      </c>
      <c r="AG145">
        <v>1070</v>
      </c>
      <c r="AH145">
        <v>3829</v>
      </c>
    </row>
    <row r="146" spans="1:34" hidden="1">
      <c r="A146" s="39" t="s">
        <v>1403</v>
      </c>
      <c r="B146" s="39">
        <v>602</v>
      </c>
      <c r="C146" s="39">
        <v>454</v>
      </c>
      <c r="D146" s="39">
        <v>98</v>
      </c>
      <c r="E146" s="39">
        <v>417</v>
      </c>
      <c r="F146" s="39">
        <v>336</v>
      </c>
      <c r="G146" s="39">
        <v>285</v>
      </c>
      <c r="H146" s="39">
        <v>926</v>
      </c>
      <c r="I146" s="39">
        <v>289</v>
      </c>
      <c r="J146" s="39">
        <v>0</v>
      </c>
      <c r="K146">
        <v>4</v>
      </c>
      <c r="L146">
        <v>2</v>
      </c>
      <c r="M146">
        <v>0</v>
      </c>
      <c r="N146">
        <v>0</v>
      </c>
      <c r="O146">
        <v>175</v>
      </c>
      <c r="P146">
        <v>91</v>
      </c>
      <c r="Q146">
        <v>0</v>
      </c>
      <c r="R146">
        <v>160</v>
      </c>
      <c r="S146">
        <v>111</v>
      </c>
      <c r="T146">
        <v>111</v>
      </c>
      <c r="U146">
        <v>399</v>
      </c>
      <c r="V146">
        <v>61</v>
      </c>
      <c r="W146">
        <v>1</v>
      </c>
      <c r="X146">
        <v>2</v>
      </c>
      <c r="Y146">
        <v>1</v>
      </c>
      <c r="Z146">
        <v>0</v>
      </c>
      <c r="AA146">
        <v>0</v>
      </c>
      <c r="AD146" t="s">
        <v>602</v>
      </c>
      <c r="AE146" s="28">
        <v>485</v>
      </c>
      <c r="AF146">
        <v>1503</v>
      </c>
      <c r="AG146">
        <v>600</v>
      </c>
      <c r="AH146">
        <v>2244</v>
      </c>
    </row>
    <row r="147" spans="1:34" hidden="1">
      <c r="A147" s="39" t="s">
        <v>1404</v>
      </c>
      <c r="B147" s="39">
        <v>511</v>
      </c>
      <c r="C147" s="39">
        <v>0</v>
      </c>
      <c r="D147" s="39">
        <v>0</v>
      </c>
      <c r="E147" s="39">
        <v>0</v>
      </c>
      <c r="F147" s="39">
        <v>0</v>
      </c>
      <c r="G147" s="39">
        <v>0</v>
      </c>
      <c r="H147" s="39">
        <v>0</v>
      </c>
      <c r="I147" s="39">
        <v>0</v>
      </c>
      <c r="J147" s="39">
        <v>107</v>
      </c>
      <c r="K147">
        <v>0</v>
      </c>
      <c r="L147">
        <v>127</v>
      </c>
      <c r="M147">
        <v>22</v>
      </c>
      <c r="N147">
        <v>51</v>
      </c>
      <c r="O147">
        <v>153</v>
      </c>
      <c r="P147">
        <v>0</v>
      </c>
      <c r="Q147">
        <v>0</v>
      </c>
      <c r="R147">
        <v>0</v>
      </c>
      <c r="S147">
        <v>0</v>
      </c>
      <c r="T147">
        <v>0</v>
      </c>
      <c r="U147">
        <v>0</v>
      </c>
      <c r="V147">
        <v>0</v>
      </c>
      <c r="W147">
        <v>21</v>
      </c>
      <c r="X147">
        <v>1</v>
      </c>
      <c r="Y147">
        <v>25</v>
      </c>
      <c r="Z147">
        <v>1</v>
      </c>
      <c r="AA147">
        <v>9</v>
      </c>
      <c r="AD147" t="s">
        <v>686</v>
      </c>
      <c r="AE147" s="28">
        <v>1603</v>
      </c>
      <c r="AF147">
        <v>5425</v>
      </c>
      <c r="AG147">
        <v>1488</v>
      </c>
      <c r="AH147">
        <v>5220</v>
      </c>
    </row>
    <row r="148" spans="1:34" hidden="1">
      <c r="A148" s="39" t="s">
        <v>1119</v>
      </c>
      <c r="B148" s="39">
        <v>446</v>
      </c>
      <c r="C148" s="39">
        <v>408</v>
      </c>
      <c r="D148" s="39">
        <v>328</v>
      </c>
      <c r="E148" s="39">
        <v>346</v>
      </c>
      <c r="F148" s="39">
        <v>332</v>
      </c>
      <c r="G148" s="39">
        <v>369</v>
      </c>
      <c r="H148" s="39">
        <v>428</v>
      </c>
      <c r="I148" s="39">
        <v>522</v>
      </c>
      <c r="J148" s="39">
        <v>778</v>
      </c>
      <c r="K148">
        <v>704</v>
      </c>
      <c r="L148">
        <v>572</v>
      </c>
      <c r="M148">
        <v>423</v>
      </c>
      <c r="N148">
        <v>526</v>
      </c>
      <c r="O148">
        <v>11</v>
      </c>
      <c r="P148">
        <v>88</v>
      </c>
      <c r="Q148">
        <v>85</v>
      </c>
      <c r="R148">
        <v>99</v>
      </c>
      <c r="S148">
        <v>107</v>
      </c>
      <c r="T148">
        <v>93</v>
      </c>
      <c r="U148">
        <v>125</v>
      </c>
      <c r="V148">
        <v>205</v>
      </c>
      <c r="W148">
        <v>261</v>
      </c>
      <c r="X148">
        <v>219</v>
      </c>
      <c r="Y148">
        <v>247</v>
      </c>
      <c r="Z148">
        <v>131</v>
      </c>
      <c r="AA148">
        <v>176</v>
      </c>
      <c r="AD148" t="s">
        <v>520</v>
      </c>
      <c r="AE148" s="28">
        <v>5633</v>
      </c>
      <c r="AF148">
        <v>24131</v>
      </c>
      <c r="AG148">
        <v>5006</v>
      </c>
      <c r="AH148">
        <v>20579</v>
      </c>
    </row>
    <row r="149" spans="1:34" hidden="1">
      <c r="A149" s="39" t="s">
        <v>1228</v>
      </c>
      <c r="B149" s="39">
        <v>198</v>
      </c>
      <c r="C149" s="39">
        <v>149</v>
      </c>
      <c r="D149" s="39">
        <v>200</v>
      </c>
      <c r="E149" s="39">
        <v>244</v>
      </c>
      <c r="F149" s="39">
        <v>134</v>
      </c>
      <c r="G149" s="39">
        <v>153</v>
      </c>
      <c r="H149" s="39">
        <v>155</v>
      </c>
      <c r="I149" s="39">
        <v>204</v>
      </c>
      <c r="J149" s="39">
        <v>198</v>
      </c>
      <c r="K149">
        <v>145</v>
      </c>
      <c r="L149">
        <v>180</v>
      </c>
      <c r="M149">
        <v>144</v>
      </c>
      <c r="N149">
        <v>144</v>
      </c>
      <c r="O149">
        <v>66</v>
      </c>
      <c r="P149">
        <v>49</v>
      </c>
      <c r="Q149">
        <v>88</v>
      </c>
      <c r="R149">
        <v>98</v>
      </c>
      <c r="S149">
        <v>31</v>
      </c>
      <c r="T149">
        <v>52</v>
      </c>
      <c r="U149">
        <v>56</v>
      </c>
      <c r="V149">
        <v>84</v>
      </c>
      <c r="W149">
        <v>90</v>
      </c>
      <c r="X149">
        <v>83</v>
      </c>
      <c r="Y149">
        <v>72</v>
      </c>
      <c r="Z149">
        <v>78</v>
      </c>
      <c r="AA149">
        <v>84</v>
      </c>
      <c r="AD149" t="s">
        <v>198</v>
      </c>
      <c r="AE149" s="28">
        <v>3162</v>
      </c>
      <c r="AF149">
        <v>14680</v>
      </c>
      <c r="AG149">
        <v>3141</v>
      </c>
      <c r="AH149">
        <v>14722</v>
      </c>
    </row>
    <row r="150" spans="1:34" hidden="1">
      <c r="A150" s="39" t="s">
        <v>824</v>
      </c>
      <c r="B150" s="39">
        <v>336</v>
      </c>
      <c r="C150" s="39">
        <v>468</v>
      </c>
      <c r="D150" s="39">
        <v>470</v>
      </c>
      <c r="E150" s="39">
        <v>532</v>
      </c>
      <c r="F150" s="39">
        <v>375</v>
      </c>
      <c r="G150" s="39">
        <v>397</v>
      </c>
      <c r="H150" s="39">
        <v>488</v>
      </c>
      <c r="I150" s="39">
        <v>590</v>
      </c>
      <c r="J150" s="39">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c r="AD150" t="s">
        <v>1301</v>
      </c>
      <c r="AE150" s="28">
        <v>401</v>
      </c>
      <c r="AF150">
        <v>2749</v>
      </c>
      <c r="AH150">
        <v>0</v>
      </c>
    </row>
    <row r="151" spans="1:34" hidden="1">
      <c r="A151" s="39" t="s">
        <v>1405</v>
      </c>
      <c r="B151" s="39">
        <v>0</v>
      </c>
      <c r="C151" s="39">
        <v>298</v>
      </c>
      <c r="D151" s="39">
        <v>1106</v>
      </c>
      <c r="E151" s="39">
        <v>743</v>
      </c>
      <c r="F151" s="39">
        <v>683</v>
      </c>
      <c r="G151" s="39">
        <v>854</v>
      </c>
      <c r="H151" s="39">
        <v>562</v>
      </c>
      <c r="I151" s="39">
        <v>553</v>
      </c>
      <c r="J151" s="39">
        <v>893</v>
      </c>
      <c r="K151">
        <v>3</v>
      </c>
      <c r="L151">
        <v>0</v>
      </c>
      <c r="M151">
        <v>0</v>
      </c>
      <c r="N151">
        <v>0</v>
      </c>
      <c r="O151">
        <v>0</v>
      </c>
      <c r="P151">
        <v>24</v>
      </c>
      <c r="Q151">
        <v>100</v>
      </c>
      <c r="R151">
        <v>73</v>
      </c>
      <c r="S151">
        <v>72</v>
      </c>
      <c r="T151">
        <v>110</v>
      </c>
      <c r="U151">
        <v>69</v>
      </c>
      <c r="V151">
        <v>65</v>
      </c>
      <c r="W151">
        <v>103</v>
      </c>
      <c r="X151">
        <v>2</v>
      </c>
      <c r="Y151">
        <v>0</v>
      </c>
      <c r="Z151">
        <v>0</v>
      </c>
      <c r="AA151">
        <v>0</v>
      </c>
      <c r="AD151" t="s">
        <v>666</v>
      </c>
      <c r="AE151" s="28">
        <v>1430</v>
      </c>
      <c r="AF151">
        <v>3218</v>
      </c>
      <c r="AG151">
        <v>1479</v>
      </c>
      <c r="AH151">
        <v>2963</v>
      </c>
    </row>
    <row r="152" spans="1:34" hidden="1">
      <c r="A152" s="39" t="s">
        <v>1073</v>
      </c>
      <c r="B152" s="39">
        <v>637</v>
      </c>
      <c r="C152" s="39">
        <v>380</v>
      </c>
      <c r="D152" s="39">
        <v>776</v>
      </c>
      <c r="E152" s="39">
        <v>625</v>
      </c>
      <c r="F152" s="39">
        <v>736</v>
      </c>
      <c r="G152" s="39">
        <v>1280</v>
      </c>
      <c r="H152" s="39">
        <v>1008</v>
      </c>
      <c r="I152" s="39">
        <v>646</v>
      </c>
      <c r="J152" s="39">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c r="AD152" t="s">
        <v>436</v>
      </c>
      <c r="AE152" s="28">
        <v>751</v>
      </c>
      <c r="AF152">
        <v>2346</v>
      </c>
      <c r="AH152">
        <v>0</v>
      </c>
    </row>
    <row r="153" spans="1:34" hidden="1">
      <c r="A153" s="39" t="s">
        <v>1310</v>
      </c>
      <c r="B153" s="39">
        <v>260</v>
      </c>
      <c r="C153" s="39">
        <v>216</v>
      </c>
      <c r="D153" s="39">
        <v>283</v>
      </c>
      <c r="E153" s="39">
        <v>204</v>
      </c>
      <c r="F153" s="39">
        <v>165</v>
      </c>
      <c r="G153" s="39">
        <v>228</v>
      </c>
      <c r="H153" s="39">
        <v>208</v>
      </c>
      <c r="I153" s="39">
        <v>201</v>
      </c>
      <c r="J153" s="39">
        <v>173</v>
      </c>
      <c r="K153">
        <v>160</v>
      </c>
      <c r="L153">
        <v>141</v>
      </c>
      <c r="M153">
        <v>148</v>
      </c>
      <c r="N153">
        <v>0</v>
      </c>
      <c r="O153">
        <v>88</v>
      </c>
      <c r="P153">
        <v>71</v>
      </c>
      <c r="Q153">
        <v>60</v>
      </c>
      <c r="R153">
        <v>72</v>
      </c>
      <c r="S153">
        <v>73</v>
      </c>
      <c r="T153">
        <v>84</v>
      </c>
      <c r="U153">
        <v>68</v>
      </c>
      <c r="V153">
        <v>81</v>
      </c>
      <c r="W153">
        <v>89</v>
      </c>
      <c r="X153">
        <v>56</v>
      </c>
      <c r="Y153">
        <v>72</v>
      </c>
      <c r="Z153">
        <v>63</v>
      </c>
      <c r="AA153">
        <v>0</v>
      </c>
      <c r="AD153" t="s">
        <v>628</v>
      </c>
      <c r="AE153" s="28">
        <v>696</v>
      </c>
      <c r="AF153">
        <v>1647</v>
      </c>
      <c r="AH153">
        <v>0</v>
      </c>
    </row>
    <row r="154" spans="1:34" hidden="1">
      <c r="A154" s="39" t="s">
        <v>868</v>
      </c>
      <c r="B154" s="39">
        <v>404</v>
      </c>
      <c r="C154" s="39">
        <v>496</v>
      </c>
      <c r="D154" s="39">
        <v>401</v>
      </c>
      <c r="E154" s="39">
        <v>381</v>
      </c>
      <c r="F154" s="39">
        <v>413</v>
      </c>
      <c r="G154" s="39">
        <v>334</v>
      </c>
      <c r="H154" s="39">
        <v>330</v>
      </c>
      <c r="I154" s="39">
        <v>340</v>
      </c>
      <c r="J154" s="39">
        <v>279</v>
      </c>
      <c r="K154">
        <v>18</v>
      </c>
      <c r="L154">
        <v>0</v>
      </c>
      <c r="M154">
        <v>3</v>
      </c>
      <c r="N154">
        <v>0</v>
      </c>
      <c r="O154">
        <v>111</v>
      </c>
      <c r="P154">
        <v>203</v>
      </c>
      <c r="Q154">
        <v>114</v>
      </c>
      <c r="R154">
        <v>201</v>
      </c>
      <c r="S154">
        <v>108</v>
      </c>
      <c r="T154">
        <v>98</v>
      </c>
      <c r="U154">
        <v>89</v>
      </c>
      <c r="V154">
        <v>101</v>
      </c>
      <c r="W154">
        <v>118</v>
      </c>
      <c r="X154">
        <v>6</v>
      </c>
      <c r="Y154">
        <v>0</v>
      </c>
      <c r="Z154">
        <v>0</v>
      </c>
      <c r="AA154">
        <v>0</v>
      </c>
      <c r="AD154" t="s">
        <v>258</v>
      </c>
      <c r="AE154" s="28">
        <v>1272</v>
      </c>
      <c r="AF154">
        <v>3593</v>
      </c>
      <c r="AG154">
        <v>1083</v>
      </c>
      <c r="AH154">
        <v>3121</v>
      </c>
    </row>
    <row r="155" spans="1:34" hidden="1">
      <c r="A155" s="39" t="s">
        <v>983</v>
      </c>
      <c r="B155" s="39">
        <v>1239</v>
      </c>
      <c r="C155" s="39">
        <v>1315</v>
      </c>
      <c r="D155" s="39">
        <v>1112</v>
      </c>
      <c r="E155" s="39">
        <v>1316</v>
      </c>
      <c r="F155" s="39">
        <v>1188</v>
      </c>
      <c r="G155" s="39">
        <v>1019</v>
      </c>
      <c r="H155" s="39">
        <v>1042</v>
      </c>
      <c r="I155" s="39">
        <v>1211</v>
      </c>
      <c r="J155" s="39">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c r="AD155" s="37" t="s">
        <v>328</v>
      </c>
      <c r="AE155" s="28">
        <v>924</v>
      </c>
      <c r="AF155">
        <v>5069</v>
      </c>
      <c r="AG155">
        <v>968</v>
      </c>
      <c r="AH155">
        <v>5496</v>
      </c>
    </row>
    <row r="156" spans="1:34" hidden="1">
      <c r="A156" s="39" t="s">
        <v>1032</v>
      </c>
      <c r="B156" s="39">
        <v>0</v>
      </c>
      <c r="C156" s="39">
        <v>334</v>
      </c>
      <c r="D156" s="39">
        <v>746</v>
      </c>
      <c r="E156" s="39">
        <v>755</v>
      </c>
      <c r="F156" s="39">
        <v>764</v>
      </c>
      <c r="G156" s="39">
        <v>776</v>
      </c>
      <c r="H156" s="39">
        <v>736</v>
      </c>
      <c r="I156" s="39">
        <v>863</v>
      </c>
      <c r="J156" s="39">
        <v>821</v>
      </c>
      <c r="K156">
        <v>694</v>
      </c>
      <c r="L156">
        <v>791</v>
      </c>
      <c r="M156">
        <v>634</v>
      </c>
      <c r="N156">
        <v>958</v>
      </c>
      <c r="O156">
        <v>0</v>
      </c>
      <c r="P156">
        <v>0</v>
      </c>
      <c r="Q156">
        <v>95</v>
      </c>
      <c r="R156">
        <v>371</v>
      </c>
      <c r="S156">
        <v>320</v>
      </c>
      <c r="T156">
        <v>332</v>
      </c>
      <c r="U156">
        <v>309</v>
      </c>
      <c r="V156">
        <v>403</v>
      </c>
      <c r="W156">
        <v>340</v>
      </c>
      <c r="X156">
        <v>314</v>
      </c>
      <c r="Y156">
        <v>441</v>
      </c>
      <c r="Z156">
        <v>273</v>
      </c>
      <c r="AA156">
        <v>444</v>
      </c>
      <c r="AD156" t="s">
        <v>1302</v>
      </c>
      <c r="AE156" s="28">
        <v>3</v>
      </c>
      <c r="AF156">
        <v>134</v>
      </c>
      <c r="AG156">
        <v>11</v>
      </c>
      <c r="AH156">
        <v>171</v>
      </c>
    </row>
    <row r="157" spans="1:34" hidden="1">
      <c r="A157" s="39" t="s">
        <v>1093</v>
      </c>
      <c r="B157" s="39">
        <v>715</v>
      </c>
      <c r="C157" s="39">
        <v>979</v>
      </c>
      <c r="D157" s="39">
        <v>854</v>
      </c>
      <c r="E157" s="39">
        <v>785</v>
      </c>
      <c r="F157" s="39">
        <v>626</v>
      </c>
      <c r="G157" s="39">
        <v>719</v>
      </c>
      <c r="H157" s="39">
        <v>373</v>
      </c>
      <c r="I157" s="39">
        <v>642</v>
      </c>
      <c r="J157" s="39">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c r="AD157" t="s">
        <v>526</v>
      </c>
      <c r="AE157" s="28">
        <v>654</v>
      </c>
      <c r="AF157">
        <v>2670</v>
      </c>
      <c r="AG157">
        <v>562</v>
      </c>
      <c r="AH157">
        <v>2401</v>
      </c>
    </row>
    <row r="158" spans="1:34" hidden="1">
      <c r="A158" s="39" t="s">
        <v>1179</v>
      </c>
      <c r="B158" s="39">
        <v>1369</v>
      </c>
      <c r="C158" s="39">
        <v>297</v>
      </c>
      <c r="D158" s="39">
        <v>0</v>
      </c>
      <c r="E158" s="39">
        <v>848</v>
      </c>
      <c r="F158" s="39">
        <v>772</v>
      </c>
      <c r="G158" s="39">
        <v>797</v>
      </c>
      <c r="H158" s="39">
        <v>491</v>
      </c>
      <c r="I158" s="39">
        <v>684</v>
      </c>
      <c r="J158" s="39">
        <v>620</v>
      </c>
      <c r="K158">
        <v>435</v>
      </c>
      <c r="L158">
        <v>807</v>
      </c>
      <c r="M158">
        <v>784</v>
      </c>
      <c r="N158">
        <v>629</v>
      </c>
      <c r="O158">
        <v>342</v>
      </c>
      <c r="P158">
        <v>0</v>
      </c>
      <c r="Q158">
        <v>36</v>
      </c>
      <c r="R158">
        <v>255</v>
      </c>
      <c r="S158">
        <v>250</v>
      </c>
      <c r="T158">
        <v>258</v>
      </c>
      <c r="U158">
        <v>142</v>
      </c>
      <c r="V158">
        <v>217</v>
      </c>
      <c r="W158">
        <v>214</v>
      </c>
      <c r="X158">
        <v>145</v>
      </c>
      <c r="Y158">
        <v>268</v>
      </c>
      <c r="Z158">
        <v>150</v>
      </c>
      <c r="AA158">
        <v>169</v>
      </c>
      <c r="AD158" t="s">
        <v>1303</v>
      </c>
      <c r="AE158" s="28">
        <v>272</v>
      </c>
      <c r="AF158">
        <v>858</v>
      </c>
      <c r="AH158">
        <v>0</v>
      </c>
    </row>
    <row r="159" spans="1:34" hidden="1">
      <c r="A159" s="39" t="s">
        <v>1206</v>
      </c>
      <c r="B159" s="39">
        <v>819</v>
      </c>
      <c r="C159" s="39">
        <v>1055</v>
      </c>
      <c r="D159" s="39">
        <v>723</v>
      </c>
      <c r="E159" s="39">
        <v>644</v>
      </c>
      <c r="F159" s="39">
        <v>477</v>
      </c>
      <c r="G159" s="39">
        <v>469</v>
      </c>
      <c r="H159" s="39">
        <v>483</v>
      </c>
      <c r="I159" s="39">
        <v>630</v>
      </c>
      <c r="J159" s="39">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c r="AD159" t="s">
        <v>1304</v>
      </c>
      <c r="AE159" s="28">
        <v>8</v>
      </c>
      <c r="AF159">
        <v>68</v>
      </c>
      <c r="AH159">
        <v>0</v>
      </c>
    </row>
    <row r="160" spans="1:34" hidden="1">
      <c r="A160" s="39" t="s">
        <v>1069</v>
      </c>
      <c r="B160" s="39">
        <v>2153</v>
      </c>
      <c r="C160" s="39">
        <v>2493</v>
      </c>
      <c r="D160" s="39">
        <v>2220</v>
      </c>
      <c r="E160" s="39">
        <v>2376</v>
      </c>
      <c r="F160" s="39">
        <v>1752</v>
      </c>
      <c r="G160" s="39">
        <v>1787</v>
      </c>
      <c r="H160" s="39">
        <v>1888</v>
      </c>
      <c r="I160" s="39">
        <v>2022</v>
      </c>
      <c r="J160" s="39">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c r="AD160" t="s">
        <v>454</v>
      </c>
      <c r="AE160" s="28">
        <v>460</v>
      </c>
      <c r="AF160">
        <v>2947</v>
      </c>
      <c r="AH160">
        <v>0</v>
      </c>
    </row>
    <row r="161" spans="1:34" hidden="1">
      <c r="A161" s="39" t="s">
        <v>1157</v>
      </c>
      <c r="B161" s="39">
        <v>0</v>
      </c>
      <c r="C161" s="39">
        <v>0</v>
      </c>
      <c r="D161" s="39">
        <v>0</v>
      </c>
      <c r="E161" s="39">
        <v>36</v>
      </c>
      <c r="F161" s="39">
        <v>172</v>
      </c>
      <c r="G161" s="39">
        <v>179</v>
      </c>
      <c r="H161" s="39">
        <v>394</v>
      </c>
      <c r="I161" s="39">
        <v>608</v>
      </c>
      <c r="J161" s="39">
        <v>276</v>
      </c>
      <c r="K161">
        <v>322</v>
      </c>
      <c r="L161">
        <v>310</v>
      </c>
      <c r="M161">
        <v>225</v>
      </c>
      <c r="N161">
        <v>249</v>
      </c>
      <c r="O161">
        <v>0</v>
      </c>
      <c r="P161">
        <v>0</v>
      </c>
      <c r="Q161">
        <v>0</v>
      </c>
      <c r="R161">
        <v>0</v>
      </c>
      <c r="S161">
        <v>44</v>
      </c>
      <c r="T161">
        <v>55</v>
      </c>
      <c r="U161">
        <v>111</v>
      </c>
      <c r="V161">
        <v>163</v>
      </c>
      <c r="W161">
        <v>67</v>
      </c>
      <c r="X161">
        <v>69</v>
      </c>
      <c r="Y161">
        <v>80</v>
      </c>
      <c r="Z161">
        <v>38</v>
      </c>
      <c r="AA161">
        <v>63</v>
      </c>
      <c r="AD161" t="s">
        <v>558</v>
      </c>
      <c r="AE161" s="28">
        <v>1605</v>
      </c>
      <c r="AF161">
        <v>4839</v>
      </c>
      <c r="AG161">
        <v>1480</v>
      </c>
      <c r="AH161">
        <v>4715</v>
      </c>
    </row>
    <row r="162" spans="1:34" hidden="1">
      <c r="A162" s="39" t="s">
        <v>853</v>
      </c>
      <c r="B162" s="39">
        <v>558</v>
      </c>
      <c r="C162" s="39">
        <v>624</v>
      </c>
      <c r="D162" s="39">
        <v>980</v>
      </c>
      <c r="E162" s="39">
        <v>460</v>
      </c>
      <c r="F162" s="39">
        <v>324</v>
      </c>
      <c r="G162" s="39">
        <v>407</v>
      </c>
      <c r="H162" s="39">
        <v>537</v>
      </c>
      <c r="I162" s="39">
        <v>403</v>
      </c>
      <c r="J162" s="39">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c r="AD162" t="s">
        <v>622</v>
      </c>
      <c r="AE162" s="28">
        <v>906</v>
      </c>
      <c r="AF162">
        <v>2927</v>
      </c>
      <c r="AG162">
        <v>951</v>
      </c>
      <c r="AH162">
        <v>3156</v>
      </c>
    </row>
    <row r="163" spans="1:34" hidden="1">
      <c r="A163" s="39" t="s">
        <v>878</v>
      </c>
      <c r="B163" s="39">
        <v>424</v>
      </c>
      <c r="C163" s="39">
        <v>475</v>
      </c>
      <c r="D163" s="39">
        <v>420</v>
      </c>
      <c r="E163" s="39">
        <v>447</v>
      </c>
      <c r="F163" s="39">
        <v>461</v>
      </c>
      <c r="G163" s="39">
        <v>434</v>
      </c>
      <c r="H163" s="39">
        <v>476</v>
      </c>
      <c r="I163" s="39">
        <v>441</v>
      </c>
      <c r="J163" s="39">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c r="AD163" t="s">
        <v>1305</v>
      </c>
      <c r="AE163" s="28">
        <v>2</v>
      </c>
      <c r="AF163">
        <v>10</v>
      </c>
      <c r="AH163">
        <v>0</v>
      </c>
    </row>
    <row r="164" spans="1:34" hidden="1">
      <c r="A164" s="39" t="s">
        <v>1103</v>
      </c>
      <c r="B164" s="39">
        <v>3418</v>
      </c>
      <c r="C164" s="39">
        <v>372</v>
      </c>
      <c r="D164" s="39">
        <v>1874</v>
      </c>
      <c r="E164" s="39">
        <v>2165</v>
      </c>
      <c r="F164" s="39">
        <v>1222</v>
      </c>
      <c r="G164" s="39">
        <v>918</v>
      </c>
      <c r="H164" s="39">
        <v>2617</v>
      </c>
      <c r="I164" s="39">
        <v>1522</v>
      </c>
      <c r="J164" s="39">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c r="AD164" t="s">
        <v>270</v>
      </c>
      <c r="AE164" s="28">
        <v>910</v>
      </c>
      <c r="AF164">
        <v>2491</v>
      </c>
      <c r="AG164">
        <v>794</v>
      </c>
      <c r="AH164">
        <v>2329</v>
      </c>
    </row>
    <row r="165" spans="1:34" hidden="1">
      <c r="A165" s="39" t="s">
        <v>1111</v>
      </c>
      <c r="B165" s="39">
        <v>985</v>
      </c>
      <c r="C165" s="39">
        <v>847</v>
      </c>
      <c r="D165" s="39">
        <v>817</v>
      </c>
      <c r="E165" s="39">
        <v>688</v>
      </c>
      <c r="F165" s="39">
        <v>499</v>
      </c>
      <c r="G165" s="39">
        <v>442</v>
      </c>
      <c r="H165" s="39">
        <v>445</v>
      </c>
      <c r="I165" s="39">
        <v>515</v>
      </c>
      <c r="J165" s="39">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c r="AD165" t="s">
        <v>224</v>
      </c>
      <c r="AE165" s="28">
        <v>2224</v>
      </c>
      <c r="AF165">
        <v>6292</v>
      </c>
      <c r="AG165">
        <v>2171</v>
      </c>
      <c r="AH165">
        <v>6267</v>
      </c>
    </row>
    <row r="166" spans="1:34" hidden="1">
      <c r="A166" s="39" t="s">
        <v>813</v>
      </c>
      <c r="B166" s="39">
        <v>2497</v>
      </c>
      <c r="C166" s="39">
        <v>1850</v>
      </c>
      <c r="D166" s="39">
        <v>1991</v>
      </c>
      <c r="E166" s="39">
        <v>2772</v>
      </c>
      <c r="F166" s="39">
        <v>2176</v>
      </c>
      <c r="G166" s="39">
        <v>1501</v>
      </c>
      <c r="H166" s="39">
        <v>1366</v>
      </c>
      <c r="I166" s="39">
        <v>1596</v>
      </c>
      <c r="J166" s="39">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c r="AD166" t="s">
        <v>246</v>
      </c>
      <c r="AE166" s="28">
        <v>739</v>
      </c>
      <c r="AF166">
        <v>3285</v>
      </c>
      <c r="AG166">
        <v>766</v>
      </c>
      <c r="AH166">
        <v>3874</v>
      </c>
    </row>
    <row r="167" spans="1:34" hidden="1">
      <c r="A167" s="39" t="s">
        <v>128</v>
      </c>
      <c r="B167" s="39">
        <v>1688</v>
      </c>
      <c r="C167" s="39">
        <v>1053</v>
      </c>
      <c r="D167" s="39">
        <v>946</v>
      </c>
      <c r="E167" s="39">
        <v>928</v>
      </c>
      <c r="F167" s="39">
        <v>934</v>
      </c>
      <c r="G167" s="39">
        <v>895</v>
      </c>
      <c r="H167" s="39">
        <v>975</v>
      </c>
      <c r="I167" s="39">
        <v>944</v>
      </c>
      <c r="J167" s="39">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c r="AD167" t="s">
        <v>1406</v>
      </c>
      <c r="AE167" s="28">
        <v>189</v>
      </c>
      <c r="AF167">
        <v>685</v>
      </c>
      <c r="AH167">
        <v>0</v>
      </c>
    </row>
    <row r="168" spans="1:34" hidden="1">
      <c r="A168" s="39" t="s">
        <v>718</v>
      </c>
      <c r="B168" s="39">
        <v>7650</v>
      </c>
      <c r="C168" s="39">
        <v>13806</v>
      </c>
      <c r="D168" s="39">
        <v>6603</v>
      </c>
      <c r="E168" s="39">
        <v>5324</v>
      </c>
      <c r="F168" s="39">
        <v>5917</v>
      </c>
      <c r="G168" s="39">
        <v>5980</v>
      </c>
      <c r="H168" s="39">
        <v>3818</v>
      </c>
      <c r="I168" s="39">
        <v>7142</v>
      </c>
      <c r="J168" s="39">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c r="AD168" t="s">
        <v>1306</v>
      </c>
      <c r="AE168" s="28">
        <v>131</v>
      </c>
      <c r="AF168">
        <v>710</v>
      </c>
      <c r="AH168">
        <v>0</v>
      </c>
    </row>
    <row r="169" spans="1:34" hidden="1">
      <c r="A169" s="39" t="s">
        <v>888</v>
      </c>
      <c r="B169" s="39">
        <v>670</v>
      </c>
      <c r="C169" s="39">
        <v>116</v>
      </c>
      <c r="D169" s="39">
        <v>398</v>
      </c>
      <c r="E169" s="39">
        <v>445</v>
      </c>
      <c r="F169" s="39">
        <v>359</v>
      </c>
      <c r="G169" s="39">
        <v>355</v>
      </c>
      <c r="H169" s="39">
        <v>239</v>
      </c>
      <c r="I169" s="39">
        <v>322</v>
      </c>
      <c r="J169" s="39">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c r="AD169" t="s">
        <v>490</v>
      </c>
      <c r="AE169" s="29">
        <v>241</v>
      </c>
      <c r="AF169">
        <v>1588</v>
      </c>
      <c r="AG169">
        <v>264</v>
      </c>
      <c r="AH169">
        <v>1608</v>
      </c>
    </row>
    <row r="170" spans="1:34" hidden="1">
      <c r="A170" s="39" t="s">
        <v>494</v>
      </c>
      <c r="B170" s="39">
        <v>416</v>
      </c>
      <c r="C170" s="39">
        <v>1739</v>
      </c>
      <c r="D170" s="39">
        <v>1284</v>
      </c>
      <c r="E170" s="39">
        <v>1175</v>
      </c>
      <c r="F170" s="39">
        <v>1221</v>
      </c>
      <c r="G170" s="39">
        <v>1495</v>
      </c>
      <c r="H170" s="39">
        <v>657</v>
      </c>
      <c r="I170" s="39">
        <v>1287</v>
      </c>
      <c r="J170" s="39">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c r="AD170" t="s">
        <v>188</v>
      </c>
      <c r="AE170" s="28">
        <v>2823</v>
      </c>
      <c r="AF170">
        <v>12738</v>
      </c>
      <c r="AG170">
        <v>2583</v>
      </c>
      <c r="AH170">
        <v>13375</v>
      </c>
    </row>
    <row r="171" spans="1:34" hidden="1">
      <c r="A171" s="39" t="s">
        <v>1028</v>
      </c>
      <c r="B171" s="39">
        <v>0</v>
      </c>
      <c r="C171" s="39">
        <v>0</v>
      </c>
      <c r="D171" s="39">
        <v>0</v>
      </c>
      <c r="E171" s="39">
        <v>0</v>
      </c>
      <c r="F171" s="39">
        <v>0</v>
      </c>
      <c r="G171" s="39">
        <v>144</v>
      </c>
      <c r="H171" s="39">
        <v>2461</v>
      </c>
      <c r="I171" s="39">
        <v>2491</v>
      </c>
      <c r="J171" s="39">
        <v>2416</v>
      </c>
      <c r="K171">
        <v>987</v>
      </c>
      <c r="L171">
        <v>1751</v>
      </c>
      <c r="M171">
        <v>2342</v>
      </c>
      <c r="N171">
        <v>3384</v>
      </c>
      <c r="O171">
        <v>0</v>
      </c>
      <c r="P171">
        <v>0</v>
      </c>
      <c r="Q171">
        <v>0</v>
      </c>
      <c r="R171">
        <v>0</v>
      </c>
      <c r="S171">
        <v>0</v>
      </c>
      <c r="T171">
        <v>0</v>
      </c>
      <c r="U171">
        <v>882</v>
      </c>
      <c r="V171">
        <v>79</v>
      </c>
      <c r="W171">
        <v>531</v>
      </c>
      <c r="X171">
        <v>276</v>
      </c>
      <c r="Y171">
        <v>575</v>
      </c>
      <c r="Z171">
        <v>889</v>
      </c>
      <c r="AA171">
        <v>1165</v>
      </c>
      <c r="AD171" t="s">
        <v>418</v>
      </c>
      <c r="AE171" s="28">
        <v>1428</v>
      </c>
      <c r="AF171">
        <v>3763</v>
      </c>
      <c r="AG171">
        <v>1354</v>
      </c>
      <c r="AH171">
        <v>3424</v>
      </c>
    </row>
    <row r="172" spans="1:34" hidden="1">
      <c r="A172" s="39" t="s">
        <v>662</v>
      </c>
      <c r="B172" s="39">
        <v>4005</v>
      </c>
      <c r="C172" s="39">
        <v>3935</v>
      </c>
      <c r="D172" s="39">
        <v>4402</v>
      </c>
      <c r="E172" s="39">
        <v>4192</v>
      </c>
      <c r="F172" s="39">
        <v>3156</v>
      </c>
      <c r="G172" s="39">
        <v>3022</v>
      </c>
      <c r="H172" s="39">
        <v>3527</v>
      </c>
      <c r="I172" s="39">
        <v>3401</v>
      </c>
      <c r="J172" s="39">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c r="AD172" t="s">
        <v>368</v>
      </c>
      <c r="AE172" s="28">
        <v>623</v>
      </c>
      <c r="AF172">
        <v>2903</v>
      </c>
      <c r="AG172">
        <v>624</v>
      </c>
      <c r="AH172">
        <v>2785</v>
      </c>
    </row>
    <row r="173" spans="1:34" hidden="1">
      <c r="A173" s="39" t="s">
        <v>1030</v>
      </c>
      <c r="B173" s="39">
        <v>1177</v>
      </c>
      <c r="C173" s="39">
        <v>669</v>
      </c>
      <c r="D173" s="39">
        <v>478</v>
      </c>
      <c r="E173" s="39">
        <v>414</v>
      </c>
      <c r="F173" s="39">
        <v>676</v>
      </c>
      <c r="G173" s="39">
        <v>792</v>
      </c>
      <c r="H173" s="39">
        <v>567</v>
      </c>
      <c r="I173" s="39">
        <v>1795</v>
      </c>
      <c r="J173" s="39">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c r="AD173" t="s">
        <v>610</v>
      </c>
      <c r="AE173" s="28">
        <v>787</v>
      </c>
      <c r="AF173">
        <v>2041</v>
      </c>
      <c r="AG173">
        <v>864</v>
      </c>
      <c r="AH173">
        <v>2251</v>
      </c>
    </row>
    <row r="174" spans="1:34" hidden="1">
      <c r="A174" s="39" t="s">
        <v>1184</v>
      </c>
      <c r="B174" s="39">
        <v>420</v>
      </c>
      <c r="C174" s="39">
        <v>905</v>
      </c>
      <c r="D174" s="39">
        <v>0</v>
      </c>
      <c r="E174" s="39">
        <v>0</v>
      </c>
      <c r="F174" s="39">
        <v>243</v>
      </c>
      <c r="G174" s="39">
        <v>230</v>
      </c>
      <c r="H174" s="39">
        <v>245</v>
      </c>
      <c r="I174" s="39">
        <v>313</v>
      </c>
      <c r="J174" s="39">
        <v>176</v>
      </c>
      <c r="K174">
        <v>217</v>
      </c>
      <c r="L174">
        <v>419</v>
      </c>
      <c r="M174">
        <v>313</v>
      </c>
      <c r="N174">
        <v>293</v>
      </c>
      <c r="O174">
        <v>82</v>
      </c>
      <c r="P174">
        <v>168</v>
      </c>
      <c r="Q174">
        <v>3</v>
      </c>
      <c r="R174">
        <v>6</v>
      </c>
      <c r="S174">
        <v>73</v>
      </c>
      <c r="T174">
        <v>50</v>
      </c>
      <c r="U174">
        <v>78</v>
      </c>
      <c r="V174">
        <v>72</v>
      </c>
      <c r="W174">
        <v>51</v>
      </c>
      <c r="X174">
        <v>60</v>
      </c>
      <c r="Y174">
        <v>102</v>
      </c>
      <c r="Z174">
        <v>70</v>
      </c>
      <c r="AA174">
        <v>80</v>
      </c>
      <c r="AD174" t="s">
        <v>542</v>
      </c>
      <c r="AE174" s="28">
        <v>626</v>
      </c>
      <c r="AF174">
        <v>2805</v>
      </c>
      <c r="AG174">
        <v>606</v>
      </c>
      <c r="AH174">
        <v>2642</v>
      </c>
    </row>
    <row r="175" spans="1:34" hidden="1">
      <c r="A175" s="39" t="s">
        <v>236</v>
      </c>
      <c r="B175" s="39">
        <v>1339</v>
      </c>
      <c r="C175" s="39">
        <v>1142</v>
      </c>
      <c r="D175" s="39">
        <v>1084</v>
      </c>
      <c r="E175" s="39">
        <v>933</v>
      </c>
      <c r="F175" s="39">
        <v>792</v>
      </c>
      <c r="G175" s="39">
        <v>1046</v>
      </c>
      <c r="H175" s="39">
        <v>1128</v>
      </c>
      <c r="I175" s="39">
        <v>1509</v>
      </c>
      <c r="J175" s="39">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c r="AD175" t="s">
        <v>362</v>
      </c>
      <c r="AE175" s="28">
        <v>685</v>
      </c>
      <c r="AF175">
        <v>3289</v>
      </c>
      <c r="AG175">
        <v>567</v>
      </c>
      <c r="AH175">
        <v>2661</v>
      </c>
    </row>
    <row r="176" spans="1:34" hidden="1">
      <c r="A176" s="39" t="s">
        <v>760</v>
      </c>
      <c r="B176" s="39">
        <v>265</v>
      </c>
      <c r="C176" s="39">
        <v>246</v>
      </c>
      <c r="D176" s="39">
        <v>232</v>
      </c>
      <c r="E176" s="39">
        <v>236</v>
      </c>
      <c r="F176" s="39">
        <v>206</v>
      </c>
      <c r="G176" s="39">
        <v>182</v>
      </c>
      <c r="H176" s="39">
        <v>226</v>
      </c>
      <c r="I176" s="39">
        <v>213</v>
      </c>
      <c r="J176" s="39">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c r="AD176" t="s">
        <v>598</v>
      </c>
      <c r="AE176" s="28">
        <v>1328</v>
      </c>
      <c r="AF176">
        <v>4299</v>
      </c>
      <c r="AG176">
        <v>1212</v>
      </c>
      <c r="AH176">
        <v>3861</v>
      </c>
    </row>
    <row r="177" spans="1:34" hidden="1">
      <c r="A177" s="39" t="s">
        <v>1006</v>
      </c>
      <c r="B177" s="39">
        <v>2923</v>
      </c>
      <c r="C177" s="39">
        <v>1362</v>
      </c>
      <c r="D177" s="39">
        <v>2460</v>
      </c>
      <c r="E177" s="39">
        <v>3056</v>
      </c>
      <c r="F177" s="39">
        <v>2721</v>
      </c>
      <c r="G177" s="39">
        <v>1512</v>
      </c>
      <c r="H177" s="39">
        <v>1170</v>
      </c>
      <c r="I177" s="39">
        <v>1378</v>
      </c>
      <c r="J177" s="39">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c r="AD177" s="37" t="s">
        <v>176</v>
      </c>
      <c r="AE177" s="28">
        <v>668</v>
      </c>
      <c r="AF177">
        <v>7767</v>
      </c>
      <c r="AG177">
        <v>1143</v>
      </c>
      <c r="AH177">
        <v>10440</v>
      </c>
    </row>
    <row r="178" spans="1:34" hidden="1">
      <c r="A178" s="39" t="s">
        <v>204</v>
      </c>
      <c r="B178" s="39">
        <v>6001</v>
      </c>
      <c r="C178" s="39">
        <v>12082</v>
      </c>
      <c r="D178" s="39">
        <v>8755</v>
      </c>
      <c r="E178" s="39">
        <v>13184</v>
      </c>
      <c r="F178" s="39">
        <v>12988</v>
      </c>
      <c r="G178" s="39">
        <v>6562</v>
      </c>
      <c r="H178" s="39">
        <v>7094</v>
      </c>
      <c r="I178" s="39">
        <v>7373</v>
      </c>
      <c r="J178" s="39">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c r="AD178" t="s">
        <v>590</v>
      </c>
      <c r="AE178" s="28">
        <v>1208</v>
      </c>
      <c r="AF178">
        <v>4295</v>
      </c>
      <c r="AG178">
        <v>1090</v>
      </c>
      <c r="AH178">
        <v>3763</v>
      </c>
    </row>
    <row r="179" spans="1:34" hidden="1">
      <c r="A179" s="39" t="s">
        <v>150</v>
      </c>
      <c r="B179" s="39">
        <v>4791</v>
      </c>
      <c r="C179" s="39">
        <v>7626</v>
      </c>
      <c r="D179" s="39">
        <v>2539</v>
      </c>
      <c r="E179" s="39">
        <v>3770</v>
      </c>
      <c r="F179" s="39">
        <v>2839</v>
      </c>
      <c r="G179" s="39">
        <v>2086</v>
      </c>
      <c r="H179" s="39">
        <v>1005</v>
      </c>
      <c r="I179" s="39">
        <v>1990</v>
      </c>
      <c r="J179" s="39">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c r="AD179" t="s">
        <v>672</v>
      </c>
      <c r="AE179" s="28">
        <v>1509</v>
      </c>
      <c r="AF179">
        <v>9133</v>
      </c>
      <c r="AG179">
        <v>1433</v>
      </c>
      <c r="AH179">
        <v>8539</v>
      </c>
    </row>
    <row r="180" spans="1:34" hidden="1">
      <c r="A180" s="39" t="s">
        <v>1096</v>
      </c>
      <c r="B180" s="39">
        <v>0</v>
      </c>
      <c r="C180" s="39">
        <v>0</v>
      </c>
      <c r="D180" s="39">
        <v>0</v>
      </c>
      <c r="E180" s="39">
        <v>0</v>
      </c>
      <c r="F180" s="39">
        <v>0</v>
      </c>
      <c r="G180" s="39">
        <v>15</v>
      </c>
      <c r="H180" s="39">
        <v>156</v>
      </c>
      <c r="I180" s="39">
        <v>386</v>
      </c>
      <c r="J180" s="39">
        <v>397</v>
      </c>
      <c r="K180">
        <v>168</v>
      </c>
      <c r="L180">
        <v>292</v>
      </c>
      <c r="M180">
        <v>335</v>
      </c>
      <c r="N180">
        <v>522</v>
      </c>
      <c r="O180">
        <v>0</v>
      </c>
      <c r="P180">
        <v>0</v>
      </c>
      <c r="Q180">
        <v>0</v>
      </c>
      <c r="R180">
        <v>0</v>
      </c>
      <c r="S180">
        <v>0</v>
      </c>
      <c r="T180">
        <v>0</v>
      </c>
      <c r="U180">
        <v>14</v>
      </c>
      <c r="V180">
        <v>3</v>
      </c>
      <c r="W180">
        <v>44</v>
      </c>
      <c r="X180">
        <v>18</v>
      </c>
      <c r="Y180">
        <v>37</v>
      </c>
      <c r="Z180">
        <v>29</v>
      </c>
      <c r="AA180">
        <v>77</v>
      </c>
      <c r="AD180" t="s">
        <v>688</v>
      </c>
      <c r="AE180" s="28">
        <v>3022</v>
      </c>
      <c r="AF180">
        <v>9157</v>
      </c>
      <c r="AG180">
        <v>3472</v>
      </c>
      <c r="AH180">
        <v>9708</v>
      </c>
    </row>
    <row r="181" spans="1:34" hidden="1">
      <c r="A181" s="39" t="s">
        <v>758</v>
      </c>
      <c r="B181" s="39">
        <v>2331</v>
      </c>
      <c r="C181" s="39">
        <v>2258</v>
      </c>
      <c r="D181" s="39">
        <v>2009</v>
      </c>
      <c r="E181" s="39">
        <v>1233</v>
      </c>
      <c r="F181" s="39">
        <v>987</v>
      </c>
      <c r="G181" s="39">
        <v>1447</v>
      </c>
      <c r="H181" s="39">
        <v>3227</v>
      </c>
      <c r="I181" s="39">
        <v>1849</v>
      </c>
      <c r="J181" s="39">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c r="AD181" t="s">
        <v>310</v>
      </c>
      <c r="AE181" s="28">
        <v>1145</v>
      </c>
      <c r="AF181">
        <v>4679</v>
      </c>
      <c r="AG181">
        <v>696</v>
      </c>
      <c r="AH181">
        <v>3009</v>
      </c>
    </row>
    <row r="182" spans="1:34" hidden="1">
      <c r="A182" s="39" t="s">
        <v>118</v>
      </c>
      <c r="B182" s="39">
        <v>6166</v>
      </c>
      <c r="C182" s="39">
        <v>18443</v>
      </c>
      <c r="D182" s="39">
        <v>18111</v>
      </c>
      <c r="E182" s="39">
        <v>43927</v>
      </c>
      <c r="F182" s="39">
        <v>45214</v>
      </c>
      <c r="G182" s="39">
        <v>42221</v>
      </c>
      <c r="H182" s="39">
        <v>32418</v>
      </c>
      <c r="I182" s="39">
        <v>43067</v>
      </c>
      <c r="J182" s="39">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c r="AD182" t="s">
        <v>103</v>
      </c>
      <c r="AE182" s="28">
        <v>1394</v>
      </c>
      <c r="AF182">
        <v>5524</v>
      </c>
      <c r="AG182">
        <v>1299</v>
      </c>
      <c r="AH182">
        <v>5554</v>
      </c>
    </row>
    <row r="183" spans="1:34" hidden="1">
      <c r="A183" s="39" t="s">
        <v>722</v>
      </c>
      <c r="B183" s="39">
        <v>2775</v>
      </c>
      <c r="C183" s="39">
        <v>5453</v>
      </c>
      <c r="D183" s="39">
        <v>3575</v>
      </c>
      <c r="E183" s="39">
        <v>939</v>
      </c>
      <c r="F183" s="39">
        <v>1665</v>
      </c>
      <c r="G183" s="39">
        <v>1015</v>
      </c>
      <c r="H183" s="39">
        <v>1447</v>
      </c>
      <c r="I183" s="39">
        <v>1250</v>
      </c>
      <c r="J183" s="39">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c r="AD183" t="s">
        <v>18</v>
      </c>
      <c r="AE183" s="28">
        <v>33472</v>
      </c>
      <c r="AF183">
        <v>138011</v>
      </c>
      <c r="AG183">
        <v>30123</v>
      </c>
      <c r="AH183">
        <v>128160</v>
      </c>
    </row>
    <row r="184" spans="1:34" hidden="1">
      <c r="A184" s="39" t="s">
        <v>1167</v>
      </c>
      <c r="B184" s="39">
        <v>772</v>
      </c>
      <c r="C184" s="39">
        <v>752</v>
      </c>
      <c r="D184" s="39">
        <v>882</v>
      </c>
      <c r="E184" s="39">
        <v>751</v>
      </c>
      <c r="F184" s="39">
        <v>516</v>
      </c>
      <c r="G184" s="39">
        <v>729</v>
      </c>
      <c r="H184" s="39">
        <v>560</v>
      </c>
      <c r="I184" s="39">
        <v>630</v>
      </c>
      <c r="J184" s="39">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c r="AD184" t="s">
        <v>448</v>
      </c>
      <c r="AE184" s="28">
        <v>1079</v>
      </c>
      <c r="AF184">
        <v>6617</v>
      </c>
      <c r="AG184">
        <v>1129</v>
      </c>
      <c r="AH184">
        <v>6537</v>
      </c>
    </row>
    <row r="185" spans="1:34" hidden="1">
      <c r="A185" s="39" t="s">
        <v>1250</v>
      </c>
      <c r="B185" s="39">
        <v>3362</v>
      </c>
      <c r="C185" s="39">
        <v>5362</v>
      </c>
      <c r="D185" s="39">
        <v>4587</v>
      </c>
      <c r="E185" s="39">
        <v>3398</v>
      </c>
      <c r="F185" s="39">
        <v>2881</v>
      </c>
      <c r="G185" s="39">
        <v>3856</v>
      </c>
      <c r="H185" s="39">
        <v>4317</v>
      </c>
      <c r="I185" s="39">
        <v>3115</v>
      </c>
      <c r="J185" s="39">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c r="AD185" s="27" t="s">
        <v>580</v>
      </c>
      <c r="AE185" s="29">
        <v>1417</v>
      </c>
      <c r="AF185">
        <v>8552</v>
      </c>
      <c r="AG185">
        <v>1530</v>
      </c>
      <c r="AH185">
        <v>8951</v>
      </c>
    </row>
    <row r="186" spans="1:34" hidden="1">
      <c r="A186" s="39" t="s">
        <v>1244</v>
      </c>
      <c r="B186" s="39">
        <v>490</v>
      </c>
      <c r="C186" s="39">
        <v>818</v>
      </c>
      <c r="D186" s="39">
        <v>604</v>
      </c>
      <c r="E186" s="39">
        <v>782</v>
      </c>
      <c r="F186" s="39">
        <v>746</v>
      </c>
      <c r="G186" s="39">
        <v>684</v>
      </c>
      <c r="H186" s="39">
        <v>1002</v>
      </c>
      <c r="I186" s="39">
        <v>1213</v>
      </c>
      <c r="J186" s="39">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c r="AD186" t="s">
        <v>548</v>
      </c>
      <c r="AE186" s="28">
        <v>834</v>
      </c>
      <c r="AF186">
        <v>3151</v>
      </c>
      <c r="AG186">
        <v>740</v>
      </c>
      <c r="AH186">
        <v>2672</v>
      </c>
    </row>
    <row r="187" spans="1:34" hidden="1">
      <c r="A187" s="39" t="s">
        <v>819</v>
      </c>
      <c r="B187" s="39">
        <v>0</v>
      </c>
      <c r="C187" s="39">
        <v>0</v>
      </c>
      <c r="D187" s="39">
        <v>0</v>
      </c>
      <c r="E187" s="39">
        <v>0</v>
      </c>
      <c r="F187" s="39">
        <v>0</v>
      </c>
      <c r="G187" s="39">
        <v>0</v>
      </c>
      <c r="H187" s="39">
        <v>0</v>
      </c>
      <c r="I187" s="39">
        <v>1279</v>
      </c>
      <c r="J187" s="39">
        <v>1150</v>
      </c>
      <c r="K187">
        <v>1046</v>
      </c>
      <c r="L187">
        <v>790</v>
      </c>
      <c r="M187">
        <v>838</v>
      </c>
      <c r="N187">
        <v>1196</v>
      </c>
      <c r="O187">
        <v>0</v>
      </c>
      <c r="P187">
        <v>0</v>
      </c>
      <c r="Q187">
        <v>0</v>
      </c>
      <c r="R187">
        <v>0</v>
      </c>
      <c r="S187">
        <v>0</v>
      </c>
      <c r="T187">
        <v>0</v>
      </c>
      <c r="U187">
        <v>0</v>
      </c>
      <c r="V187">
        <v>448</v>
      </c>
      <c r="W187">
        <v>368</v>
      </c>
      <c r="X187">
        <v>341</v>
      </c>
      <c r="Y187">
        <v>308</v>
      </c>
      <c r="Z187">
        <v>334</v>
      </c>
      <c r="AA187">
        <v>434</v>
      </c>
      <c r="AD187" t="s">
        <v>280</v>
      </c>
      <c r="AE187" s="28">
        <v>1625</v>
      </c>
      <c r="AF187">
        <v>5322</v>
      </c>
      <c r="AG187">
        <v>1697</v>
      </c>
      <c r="AH187">
        <v>6038</v>
      </c>
    </row>
    <row r="188" spans="1:34" hidden="1">
      <c r="A188" s="39" t="s">
        <v>780</v>
      </c>
      <c r="B188" s="39">
        <v>803</v>
      </c>
      <c r="C188" s="39">
        <v>744</v>
      </c>
      <c r="D188" s="39">
        <v>538</v>
      </c>
      <c r="E188" s="39">
        <v>968</v>
      </c>
      <c r="F188" s="39">
        <v>1086</v>
      </c>
      <c r="G188" s="39">
        <v>1251</v>
      </c>
      <c r="H188" s="39">
        <v>1003</v>
      </c>
      <c r="I188" s="39">
        <v>1410</v>
      </c>
      <c r="J188" s="39">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c r="AD188" t="s">
        <v>182</v>
      </c>
      <c r="AE188" s="28">
        <v>1102</v>
      </c>
      <c r="AF188">
        <v>5414</v>
      </c>
      <c r="AG188">
        <v>1212</v>
      </c>
      <c r="AH188">
        <v>6482</v>
      </c>
    </row>
    <row r="189" spans="1:34" hidden="1">
      <c r="A189" s="39" t="s">
        <v>1277</v>
      </c>
      <c r="B189" s="39">
        <v>8044</v>
      </c>
      <c r="C189" s="39">
        <v>7125</v>
      </c>
      <c r="D189" s="39">
        <v>5755</v>
      </c>
      <c r="E189" s="39">
        <v>6160</v>
      </c>
      <c r="F189" s="39">
        <v>5552</v>
      </c>
      <c r="G189" s="39">
        <v>5251</v>
      </c>
      <c r="H189" s="39">
        <v>4817</v>
      </c>
      <c r="I189" s="39">
        <v>5169</v>
      </c>
      <c r="J189" s="39">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c r="AD189" t="s">
        <v>522</v>
      </c>
      <c r="AE189" s="28">
        <v>2369</v>
      </c>
      <c r="AF189">
        <v>7209</v>
      </c>
      <c r="AG189">
        <v>1913</v>
      </c>
      <c r="AH189">
        <v>5327</v>
      </c>
    </row>
    <row r="190" spans="1:34" hidden="1">
      <c r="A190" s="39" t="s">
        <v>1268</v>
      </c>
      <c r="B190" s="39">
        <v>1959</v>
      </c>
      <c r="C190" s="39">
        <v>1940</v>
      </c>
      <c r="D190" s="39">
        <v>1506</v>
      </c>
      <c r="E190" s="39">
        <v>1606</v>
      </c>
      <c r="F190" s="39">
        <v>1689</v>
      </c>
      <c r="G190" s="39">
        <v>1668</v>
      </c>
      <c r="H190" s="39">
        <v>1723</v>
      </c>
      <c r="I190" s="39">
        <v>3158</v>
      </c>
      <c r="J190" s="39">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c r="AD190" t="s">
        <v>272</v>
      </c>
      <c r="AE190" s="28">
        <v>399</v>
      </c>
      <c r="AF190">
        <v>1384</v>
      </c>
      <c r="AG190">
        <v>351</v>
      </c>
      <c r="AH190">
        <v>1247</v>
      </c>
    </row>
    <row r="191" spans="1:34" hidden="1">
      <c r="A191" s="39" t="s">
        <v>1213</v>
      </c>
      <c r="B191" s="39">
        <v>0</v>
      </c>
      <c r="C191" s="39">
        <v>0</v>
      </c>
      <c r="D191" s="39">
        <v>0</v>
      </c>
      <c r="E191" s="39">
        <v>0</v>
      </c>
      <c r="F191" s="39">
        <v>0</v>
      </c>
      <c r="G191" s="39">
        <v>0</v>
      </c>
      <c r="H191" s="39">
        <v>0</v>
      </c>
      <c r="I191" s="39">
        <v>0</v>
      </c>
      <c r="J191" s="39">
        <v>638</v>
      </c>
      <c r="K191">
        <v>1403</v>
      </c>
      <c r="L191">
        <v>422</v>
      </c>
      <c r="M191">
        <v>727</v>
      </c>
      <c r="N191">
        <v>698</v>
      </c>
      <c r="O191">
        <v>0</v>
      </c>
      <c r="P191">
        <v>0</v>
      </c>
      <c r="Q191">
        <v>0</v>
      </c>
      <c r="R191">
        <v>0</v>
      </c>
      <c r="S191">
        <v>0</v>
      </c>
      <c r="T191">
        <v>0</v>
      </c>
      <c r="U191">
        <v>0</v>
      </c>
      <c r="V191">
        <v>0</v>
      </c>
      <c r="W191">
        <v>237</v>
      </c>
      <c r="X191">
        <v>204</v>
      </c>
      <c r="Y191">
        <v>165</v>
      </c>
      <c r="Z191">
        <v>174</v>
      </c>
      <c r="AA191">
        <v>189</v>
      </c>
      <c r="AD191" s="37" t="s">
        <v>166</v>
      </c>
      <c r="AE191" s="28">
        <v>2274</v>
      </c>
      <c r="AF191">
        <v>14366</v>
      </c>
      <c r="AG191">
        <v>1868</v>
      </c>
      <c r="AH191">
        <v>10981</v>
      </c>
    </row>
    <row r="192" spans="1:34" hidden="1">
      <c r="A192" s="39" t="s">
        <v>1188</v>
      </c>
      <c r="B192" s="39">
        <v>34</v>
      </c>
      <c r="C192" s="39">
        <v>25</v>
      </c>
      <c r="D192" s="39">
        <v>24</v>
      </c>
      <c r="E192" s="39">
        <v>24</v>
      </c>
      <c r="F192" s="39">
        <v>23</v>
      </c>
      <c r="G192" s="39">
        <v>17</v>
      </c>
      <c r="H192" s="39">
        <v>19</v>
      </c>
      <c r="I192" s="39">
        <v>20</v>
      </c>
      <c r="J192" s="39">
        <v>20</v>
      </c>
      <c r="K192">
        <v>22</v>
      </c>
      <c r="L192">
        <v>24</v>
      </c>
      <c r="M192">
        <v>19</v>
      </c>
      <c r="N192">
        <v>16</v>
      </c>
      <c r="O192">
        <v>2</v>
      </c>
      <c r="P192">
        <v>1</v>
      </c>
      <c r="Q192">
        <v>8</v>
      </c>
      <c r="R192">
        <v>4</v>
      </c>
      <c r="S192">
        <v>3</v>
      </c>
      <c r="T192">
        <v>4</v>
      </c>
      <c r="U192">
        <v>6</v>
      </c>
      <c r="V192">
        <v>9</v>
      </c>
      <c r="W192">
        <v>3</v>
      </c>
      <c r="X192">
        <v>4</v>
      </c>
      <c r="Y192">
        <v>8</v>
      </c>
      <c r="Z192">
        <v>8</v>
      </c>
      <c r="AA192">
        <v>4</v>
      </c>
      <c r="AD192" t="s">
        <v>298</v>
      </c>
      <c r="AE192" s="28">
        <v>15</v>
      </c>
      <c r="AF192">
        <v>246</v>
      </c>
      <c r="AG192">
        <v>15</v>
      </c>
      <c r="AH192">
        <v>139</v>
      </c>
    </row>
    <row r="193" spans="1:34" hidden="1">
      <c r="A193" s="39" t="s">
        <v>912</v>
      </c>
      <c r="B193" s="39">
        <v>243</v>
      </c>
      <c r="C193" s="39">
        <v>0</v>
      </c>
      <c r="D193" s="39">
        <v>379</v>
      </c>
      <c r="E193" s="39">
        <v>196</v>
      </c>
      <c r="F193" s="39">
        <v>201</v>
      </c>
      <c r="G193" s="39">
        <v>212</v>
      </c>
      <c r="H193" s="39">
        <v>110</v>
      </c>
      <c r="I193" s="39">
        <v>239</v>
      </c>
      <c r="J193" s="39">
        <v>216</v>
      </c>
      <c r="K193">
        <v>193</v>
      </c>
      <c r="L193">
        <v>232</v>
      </c>
      <c r="M193">
        <v>204</v>
      </c>
      <c r="N193">
        <v>211</v>
      </c>
      <c r="O193">
        <v>78</v>
      </c>
      <c r="P193">
        <v>0</v>
      </c>
      <c r="Q193">
        <v>88</v>
      </c>
      <c r="R193">
        <v>81</v>
      </c>
      <c r="S193">
        <v>54</v>
      </c>
      <c r="T193">
        <v>56</v>
      </c>
      <c r="U193">
        <v>26</v>
      </c>
      <c r="V193">
        <v>60</v>
      </c>
      <c r="W193">
        <v>55</v>
      </c>
      <c r="X193">
        <v>65</v>
      </c>
      <c r="Y193">
        <v>86</v>
      </c>
      <c r="Z193">
        <v>50</v>
      </c>
      <c r="AA193">
        <v>64</v>
      </c>
      <c r="AD193" t="s">
        <v>668</v>
      </c>
      <c r="AE193" s="28">
        <v>1363</v>
      </c>
      <c r="AF193">
        <v>4949</v>
      </c>
      <c r="AG193">
        <v>1260</v>
      </c>
      <c r="AH193">
        <v>4741</v>
      </c>
    </row>
    <row r="194" spans="1:34" hidden="1">
      <c r="A194" s="39" t="s">
        <v>160</v>
      </c>
      <c r="B194" s="39">
        <v>2807</v>
      </c>
      <c r="C194" s="39">
        <v>3308</v>
      </c>
      <c r="D194" s="39">
        <v>2318</v>
      </c>
      <c r="E194" s="39">
        <v>1462</v>
      </c>
      <c r="F194" s="39">
        <v>1432</v>
      </c>
      <c r="G194" s="39">
        <v>1427</v>
      </c>
      <c r="H194" s="39">
        <v>1178</v>
      </c>
      <c r="I194" s="39">
        <v>1374</v>
      </c>
      <c r="J194" s="39">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c r="AD194" t="s">
        <v>264</v>
      </c>
      <c r="AE194" s="28">
        <v>3262</v>
      </c>
      <c r="AF194">
        <v>9770</v>
      </c>
      <c r="AG194">
        <v>3190</v>
      </c>
      <c r="AH194">
        <v>9222</v>
      </c>
    </row>
    <row r="195" spans="1:34" hidden="1">
      <c r="A195" s="39" t="s">
        <v>748</v>
      </c>
      <c r="B195" s="39">
        <v>1489</v>
      </c>
      <c r="C195" s="39">
        <v>1414</v>
      </c>
      <c r="D195" s="39">
        <v>1815</v>
      </c>
      <c r="E195" s="39">
        <v>1285</v>
      </c>
      <c r="F195" s="39">
        <v>1025</v>
      </c>
      <c r="G195" s="39">
        <v>1202</v>
      </c>
      <c r="H195" s="39">
        <v>1602</v>
      </c>
      <c r="I195" s="39">
        <v>1525</v>
      </c>
      <c r="J195" s="39">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c r="AD195" t="s">
        <v>330</v>
      </c>
      <c r="AE195" s="28">
        <v>1048</v>
      </c>
      <c r="AF195">
        <v>4779</v>
      </c>
      <c r="AG195">
        <v>1064</v>
      </c>
      <c r="AH195">
        <v>4496</v>
      </c>
    </row>
    <row r="196" spans="1:34" hidden="1">
      <c r="A196" s="39" t="s">
        <v>914</v>
      </c>
      <c r="B196" s="39">
        <v>944</v>
      </c>
      <c r="C196" s="39">
        <v>1028</v>
      </c>
      <c r="D196" s="39">
        <v>907</v>
      </c>
      <c r="E196" s="39">
        <v>912</v>
      </c>
      <c r="F196" s="39">
        <v>577</v>
      </c>
      <c r="G196" s="39">
        <v>850</v>
      </c>
      <c r="H196" s="39">
        <v>494</v>
      </c>
      <c r="I196" s="39">
        <v>552</v>
      </c>
      <c r="J196" s="39">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c r="AD196" t="s">
        <v>572</v>
      </c>
      <c r="AE196" s="28">
        <v>1647</v>
      </c>
      <c r="AF196">
        <v>5378</v>
      </c>
      <c r="AG196">
        <v>1530</v>
      </c>
      <c r="AH196">
        <v>5058</v>
      </c>
    </row>
    <row r="197" spans="1:34" hidden="1">
      <c r="A197" s="39" t="s">
        <v>809</v>
      </c>
      <c r="B197" s="39">
        <v>1615</v>
      </c>
      <c r="C197" s="39">
        <v>1381</v>
      </c>
      <c r="D197" s="39">
        <v>982</v>
      </c>
      <c r="E197" s="39">
        <v>920</v>
      </c>
      <c r="F197" s="39">
        <v>824</v>
      </c>
      <c r="G197" s="39">
        <v>771</v>
      </c>
      <c r="H197" s="39">
        <v>667</v>
      </c>
      <c r="I197" s="39">
        <v>757</v>
      </c>
      <c r="J197" s="39">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c r="AD197" t="s">
        <v>276</v>
      </c>
      <c r="AE197" s="28">
        <v>704</v>
      </c>
      <c r="AF197">
        <v>2761</v>
      </c>
      <c r="AG197">
        <v>830</v>
      </c>
      <c r="AH197">
        <v>3002</v>
      </c>
    </row>
    <row r="198" spans="1:34" hidden="1">
      <c r="A198" s="39" t="s">
        <v>725</v>
      </c>
      <c r="B198" s="39">
        <v>2755</v>
      </c>
      <c r="C198" s="39">
        <v>2732</v>
      </c>
      <c r="D198" s="39">
        <v>3730</v>
      </c>
      <c r="E198" s="39">
        <v>2782</v>
      </c>
      <c r="F198" s="39">
        <v>2268</v>
      </c>
      <c r="G198" s="39">
        <v>2521</v>
      </c>
      <c r="H198" s="39">
        <v>2102</v>
      </c>
      <c r="I198" s="39">
        <v>2669</v>
      </c>
      <c r="J198" s="39">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c r="AD198" s="27" t="s">
        <v>232</v>
      </c>
      <c r="AE198" s="28">
        <v>1322</v>
      </c>
      <c r="AF198">
        <v>6586</v>
      </c>
      <c r="AG198">
        <v>1285</v>
      </c>
      <c r="AH198">
        <v>6266</v>
      </c>
    </row>
    <row r="199" spans="1:34" hidden="1">
      <c r="A199" s="39" t="s">
        <v>992</v>
      </c>
      <c r="B199" s="39">
        <v>1109</v>
      </c>
      <c r="C199" s="39">
        <v>944</v>
      </c>
      <c r="D199" s="39">
        <v>927</v>
      </c>
      <c r="E199" s="39">
        <v>989</v>
      </c>
      <c r="F199" s="39">
        <v>1019</v>
      </c>
      <c r="G199" s="39">
        <v>945</v>
      </c>
      <c r="H199" s="39">
        <v>963</v>
      </c>
      <c r="I199" s="39">
        <v>934</v>
      </c>
      <c r="J199" s="39">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c r="AD199" t="s">
        <v>384</v>
      </c>
      <c r="AE199" s="28">
        <v>1858</v>
      </c>
      <c r="AF199">
        <v>4998</v>
      </c>
      <c r="AG199">
        <v>1799</v>
      </c>
      <c r="AH199">
        <v>4894</v>
      </c>
    </row>
    <row r="200" spans="1:34" hidden="1">
      <c r="A200" s="39" t="s">
        <v>803</v>
      </c>
      <c r="B200" s="39">
        <v>788</v>
      </c>
      <c r="C200" s="39">
        <v>1486</v>
      </c>
      <c r="D200" s="39">
        <v>760</v>
      </c>
      <c r="E200" s="39">
        <v>625</v>
      </c>
      <c r="F200" s="39">
        <v>615</v>
      </c>
      <c r="G200" s="39">
        <v>631</v>
      </c>
      <c r="H200" s="39">
        <v>485</v>
      </c>
      <c r="I200" s="39">
        <v>978</v>
      </c>
      <c r="J200" s="39">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c r="AD200" t="s">
        <v>222</v>
      </c>
      <c r="AE200" s="28">
        <v>1829</v>
      </c>
      <c r="AF200">
        <v>9027</v>
      </c>
      <c r="AG200">
        <v>1855</v>
      </c>
      <c r="AH200">
        <v>7726</v>
      </c>
    </row>
    <row r="201" spans="1:34" hidden="1">
      <c r="A201" s="39" t="s">
        <v>330</v>
      </c>
      <c r="B201" s="39">
        <v>1756</v>
      </c>
      <c r="C201" s="39">
        <v>2130</v>
      </c>
      <c r="D201" s="39">
        <v>4704</v>
      </c>
      <c r="E201" s="39">
        <v>2398</v>
      </c>
      <c r="F201" s="39">
        <v>2991</v>
      </c>
      <c r="G201" s="39">
        <v>1792</v>
      </c>
      <c r="H201" s="39">
        <v>1099</v>
      </c>
      <c r="I201" s="39">
        <v>4398</v>
      </c>
      <c r="J201" s="39">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c r="AD201" t="s">
        <v>650</v>
      </c>
      <c r="AE201" s="28">
        <v>1488</v>
      </c>
      <c r="AF201">
        <v>6357</v>
      </c>
      <c r="AG201">
        <v>1363</v>
      </c>
      <c r="AH201">
        <v>5727</v>
      </c>
    </row>
    <row r="202" spans="1:34" hidden="1">
      <c r="A202" s="39" t="s">
        <v>1218</v>
      </c>
      <c r="B202" s="39">
        <v>1769</v>
      </c>
      <c r="C202" s="39">
        <v>891</v>
      </c>
      <c r="D202" s="39">
        <v>46</v>
      </c>
      <c r="E202" s="39">
        <v>1060</v>
      </c>
      <c r="F202" s="39">
        <v>1496</v>
      </c>
      <c r="G202" s="39">
        <v>1484</v>
      </c>
      <c r="H202" s="39">
        <v>1170</v>
      </c>
      <c r="I202" s="39">
        <v>1548</v>
      </c>
      <c r="J202" s="39">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c r="AD202" t="s">
        <v>150</v>
      </c>
      <c r="AE202" s="28">
        <v>4708</v>
      </c>
      <c r="AF202">
        <v>13533</v>
      </c>
      <c r="AG202">
        <v>4276</v>
      </c>
      <c r="AH202">
        <v>10352</v>
      </c>
    </row>
    <row r="203" spans="1:34" hidden="1">
      <c r="A203" s="39" t="s">
        <v>1087</v>
      </c>
      <c r="B203" s="39">
        <v>1169</v>
      </c>
      <c r="C203" s="39">
        <v>1287</v>
      </c>
      <c r="D203" s="39">
        <v>1659</v>
      </c>
      <c r="E203" s="39">
        <v>1409</v>
      </c>
      <c r="F203" s="39">
        <v>1673</v>
      </c>
      <c r="G203" s="39">
        <v>1641</v>
      </c>
      <c r="H203" s="39">
        <v>1234</v>
      </c>
      <c r="I203" s="39">
        <v>1346</v>
      </c>
      <c r="J203" s="39">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c r="AD203" t="s">
        <v>412</v>
      </c>
      <c r="AE203" s="28">
        <v>1863</v>
      </c>
      <c r="AF203">
        <v>7779</v>
      </c>
      <c r="AG203">
        <v>1886</v>
      </c>
      <c r="AH203">
        <v>7731</v>
      </c>
    </row>
    <row r="204" spans="1:34" hidden="1">
      <c r="A204" s="39" t="s">
        <v>1163</v>
      </c>
      <c r="B204" s="39">
        <v>2223</v>
      </c>
      <c r="C204" s="39">
        <v>2498</v>
      </c>
      <c r="D204" s="39">
        <v>2104</v>
      </c>
      <c r="E204" s="39">
        <v>2020</v>
      </c>
      <c r="F204" s="39">
        <v>1803</v>
      </c>
      <c r="G204" s="39">
        <v>1278</v>
      </c>
      <c r="H204" s="39">
        <v>1057</v>
      </c>
      <c r="I204" s="39">
        <v>1016</v>
      </c>
      <c r="J204" s="39">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c r="AD204" t="s">
        <v>660</v>
      </c>
      <c r="AE204" s="28">
        <v>872</v>
      </c>
      <c r="AF204">
        <v>2950</v>
      </c>
      <c r="AH204">
        <v>0</v>
      </c>
    </row>
    <row r="205" spans="1:34" hidden="1">
      <c r="A205" s="39" t="s">
        <v>1224</v>
      </c>
      <c r="B205" s="39">
        <v>1237</v>
      </c>
      <c r="C205" s="39">
        <v>833</v>
      </c>
      <c r="D205" s="39">
        <v>804</v>
      </c>
      <c r="E205" s="39">
        <v>2592</v>
      </c>
      <c r="F205" s="39">
        <v>984</v>
      </c>
      <c r="G205" s="39">
        <v>1591</v>
      </c>
      <c r="H205" s="39">
        <v>966</v>
      </c>
      <c r="I205" s="39">
        <v>1220</v>
      </c>
      <c r="J205" s="39">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c r="AD205" t="s">
        <v>518</v>
      </c>
      <c r="AE205" s="28">
        <v>881</v>
      </c>
      <c r="AF205">
        <v>4215</v>
      </c>
      <c r="AG205">
        <v>883</v>
      </c>
      <c r="AH205">
        <v>4039</v>
      </c>
    </row>
    <row r="206" spans="1:34" hidden="1">
      <c r="A206" s="39" t="s">
        <v>1242</v>
      </c>
      <c r="B206" s="39">
        <v>1768</v>
      </c>
      <c r="C206" s="39">
        <v>1586</v>
      </c>
      <c r="D206" s="39">
        <v>1711</v>
      </c>
      <c r="E206" s="39">
        <v>2105</v>
      </c>
      <c r="F206" s="39">
        <v>1778</v>
      </c>
      <c r="G206" s="39">
        <v>3232</v>
      </c>
      <c r="H206" s="39">
        <v>1148</v>
      </c>
      <c r="I206" s="39">
        <v>1287</v>
      </c>
      <c r="J206" s="39">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c r="AD206" t="s">
        <v>680</v>
      </c>
      <c r="AE206" s="28">
        <v>1829</v>
      </c>
      <c r="AF206">
        <v>5765</v>
      </c>
      <c r="AG206">
        <v>1757</v>
      </c>
      <c r="AH206">
        <v>5305</v>
      </c>
    </row>
    <row r="207" spans="1:34" hidden="1">
      <c r="A207" s="39" t="s">
        <v>1048</v>
      </c>
      <c r="B207" s="39">
        <v>1118</v>
      </c>
      <c r="C207" s="39">
        <v>1244</v>
      </c>
      <c r="D207" s="39">
        <v>1200</v>
      </c>
      <c r="E207" s="39">
        <v>1279</v>
      </c>
      <c r="F207" s="39">
        <v>1042</v>
      </c>
      <c r="G207" s="39">
        <v>1108</v>
      </c>
      <c r="H207" s="39">
        <v>981</v>
      </c>
      <c r="I207" s="39">
        <v>1299</v>
      </c>
      <c r="J207" s="39">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c r="AD207" t="s">
        <v>1307</v>
      </c>
      <c r="AE207" s="28">
        <v>0</v>
      </c>
      <c r="AF207">
        <v>0</v>
      </c>
      <c r="AH207">
        <v>0</v>
      </c>
    </row>
    <row r="208" spans="1:34" hidden="1">
      <c r="A208" s="39" t="s">
        <v>1248</v>
      </c>
      <c r="B208" s="39">
        <v>1120</v>
      </c>
      <c r="C208" s="39">
        <v>1188</v>
      </c>
      <c r="D208" s="39">
        <v>573</v>
      </c>
      <c r="E208" s="39">
        <v>556</v>
      </c>
      <c r="F208" s="39">
        <v>816</v>
      </c>
      <c r="G208" s="39">
        <v>832</v>
      </c>
      <c r="H208" s="39">
        <v>1186</v>
      </c>
      <c r="I208" s="39">
        <v>1343</v>
      </c>
      <c r="J208" s="39">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c r="AD208" t="s">
        <v>75</v>
      </c>
      <c r="AE208" s="28">
        <v>3661</v>
      </c>
      <c r="AF208">
        <v>22624</v>
      </c>
      <c r="AG208">
        <v>4033</v>
      </c>
      <c r="AH208">
        <v>23512</v>
      </c>
    </row>
    <row r="209" spans="1:34" hidden="1">
      <c r="A209" s="39" t="s">
        <v>1165</v>
      </c>
      <c r="B209" s="39">
        <v>0</v>
      </c>
      <c r="C209" s="39">
        <v>0</v>
      </c>
      <c r="D209" s="39">
        <v>0</v>
      </c>
      <c r="E209" s="39">
        <v>1898</v>
      </c>
      <c r="F209" s="39">
        <v>1728</v>
      </c>
      <c r="G209" s="39">
        <v>1394</v>
      </c>
      <c r="H209" s="39">
        <v>1405</v>
      </c>
      <c r="I209" s="39">
        <v>934</v>
      </c>
      <c r="J209" s="39">
        <v>1260</v>
      </c>
      <c r="K209">
        <v>1121</v>
      </c>
      <c r="L209">
        <v>866</v>
      </c>
      <c r="M209">
        <v>974</v>
      </c>
      <c r="N209">
        <v>1352</v>
      </c>
      <c r="O209">
        <v>0</v>
      </c>
      <c r="P209">
        <v>0</v>
      </c>
      <c r="Q209">
        <v>0</v>
      </c>
      <c r="R209">
        <v>521</v>
      </c>
      <c r="S209">
        <v>453</v>
      </c>
      <c r="T209">
        <v>319</v>
      </c>
      <c r="U209">
        <v>288</v>
      </c>
      <c r="V209">
        <v>232</v>
      </c>
      <c r="W209">
        <v>305</v>
      </c>
      <c r="X209">
        <v>325</v>
      </c>
      <c r="Y209">
        <v>270</v>
      </c>
      <c r="Z209">
        <v>261</v>
      </c>
      <c r="AA209">
        <v>385</v>
      </c>
      <c r="AD209" t="s">
        <v>614</v>
      </c>
      <c r="AE209" s="28">
        <v>941</v>
      </c>
      <c r="AF209">
        <v>5236</v>
      </c>
      <c r="AG209">
        <v>989</v>
      </c>
      <c r="AH209">
        <v>5612</v>
      </c>
    </row>
    <row r="210" spans="1:34" hidden="1">
      <c r="A210" s="39" t="s">
        <v>1407</v>
      </c>
      <c r="B210" s="39">
        <v>0</v>
      </c>
      <c r="C210" s="39">
        <v>5</v>
      </c>
      <c r="D210" s="39">
        <v>0</v>
      </c>
      <c r="E210" s="39">
        <v>0</v>
      </c>
      <c r="F210" s="39">
        <v>0</v>
      </c>
      <c r="G210" s="39">
        <v>0</v>
      </c>
      <c r="H210" s="39">
        <v>0</v>
      </c>
      <c r="I210" s="39">
        <v>0</v>
      </c>
      <c r="J210" s="39">
        <v>0</v>
      </c>
      <c r="K210">
        <v>154</v>
      </c>
      <c r="L210">
        <v>0</v>
      </c>
      <c r="M210">
        <v>0</v>
      </c>
      <c r="N210">
        <v>0</v>
      </c>
      <c r="O210">
        <v>0</v>
      </c>
      <c r="P210">
        <v>2</v>
      </c>
      <c r="Q210">
        <v>0</v>
      </c>
      <c r="R210">
        <v>0</v>
      </c>
      <c r="S210">
        <v>0</v>
      </c>
      <c r="T210">
        <v>0</v>
      </c>
      <c r="U210">
        <v>0</v>
      </c>
      <c r="V210">
        <v>0</v>
      </c>
      <c r="W210">
        <v>0</v>
      </c>
      <c r="X210">
        <v>15</v>
      </c>
      <c r="Y210">
        <v>0</v>
      </c>
      <c r="Z210">
        <v>0</v>
      </c>
      <c r="AA210">
        <v>0</v>
      </c>
      <c r="AD210" t="s">
        <v>402</v>
      </c>
      <c r="AE210" s="28">
        <v>1614</v>
      </c>
      <c r="AF210">
        <v>9176</v>
      </c>
      <c r="AG210">
        <v>1395</v>
      </c>
      <c r="AH210">
        <v>8238</v>
      </c>
    </row>
    <row r="211" spans="1:34" hidden="1">
      <c r="A211" s="39" t="s">
        <v>1056</v>
      </c>
      <c r="B211" s="39">
        <v>1237</v>
      </c>
      <c r="C211" s="39">
        <v>2363</v>
      </c>
      <c r="D211" s="39">
        <v>1303</v>
      </c>
      <c r="E211" s="39">
        <v>1272</v>
      </c>
      <c r="F211" s="39">
        <v>966</v>
      </c>
      <c r="G211" s="39">
        <v>979</v>
      </c>
      <c r="H211" s="39">
        <v>1008</v>
      </c>
      <c r="I211" s="39">
        <v>952</v>
      </c>
      <c r="J211" s="39">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c r="AD211" t="s">
        <v>278</v>
      </c>
      <c r="AE211" s="28">
        <v>627</v>
      </c>
      <c r="AF211">
        <v>2213</v>
      </c>
      <c r="AG211">
        <v>57</v>
      </c>
      <c r="AH211">
        <v>143</v>
      </c>
    </row>
    <row r="212" spans="1:34" hidden="1">
      <c r="A212" s="39" t="s">
        <v>1144</v>
      </c>
      <c r="B212" s="39">
        <v>635</v>
      </c>
      <c r="C212" s="39">
        <v>544</v>
      </c>
      <c r="D212" s="39">
        <v>394</v>
      </c>
      <c r="E212" s="39">
        <v>374</v>
      </c>
      <c r="F212" s="39">
        <v>247</v>
      </c>
      <c r="G212" s="39">
        <v>361</v>
      </c>
      <c r="H212" s="39">
        <v>1056</v>
      </c>
      <c r="I212" s="39">
        <v>749</v>
      </c>
      <c r="J212" s="39">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c r="AD212" t="s">
        <v>524</v>
      </c>
      <c r="AE212" s="28">
        <v>1753</v>
      </c>
      <c r="AF212">
        <v>6030</v>
      </c>
      <c r="AG212">
        <v>1659</v>
      </c>
      <c r="AH212">
        <v>4782</v>
      </c>
    </row>
    <row r="213" spans="1:34" hidden="1">
      <c r="A213" s="39" t="s">
        <v>666</v>
      </c>
      <c r="B213" s="39">
        <v>0</v>
      </c>
      <c r="C213" s="39">
        <v>639</v>
      </c>
      <c r="D213" s="39">
        <v>547</v>
      </c>
      <c r="E213" s="39">
        <v>724</v>
      </c>
      <c r="F213" s="39">
        <v>597</v>
      </c>
      <c r="G213" s="39">
        <v>623</v>
      </c>
      <c r="H213" s="39">
        <v>573</v>
      </c>
      <c r="I213" s="39">
        <v>591</v>
      </c>
      <c r="J213" s="39">
        <v>485</v>
      </c>
      <c r="K213">
        <v>599</v>
      </c>
      <c r="L213">
        <v>782</v>
      </c>
      <c r="M213">
        <v>699</v>
      </c>
      <c r="N213">
        <v>854</v>
      </c>
      <c r="O213">
        <v>0</v>
      </c>
      <c r="P213">
        <v>28</v>
      </c>
      <c r="Q213">
        <v>223</v>
      </c>
      <c r="R213">
        <v>365</v>
      </c>
      <c r="S213">
        <v>281</v>
      </c>
      <c r="T213">
        <v>269</v>
      </c>
      <c r="U213">
        <v>299</v>
      </c>
      <c r="V213">
        <v>233</v>
      </c>
      <c r="W213">
        <v>244</v>
      </c>
      <c r="X213">
        <v>250</v>
      </c>
      <c r="Y213">
        <v>273</v>
      </c>
      <c r="Z213">
        <v>273</v>
      </c>
      <c r="AA213">
        <v>405</v>
      </c>
      <c r="AD213" t="s">
        <v>618</v>
      </c>
      <c r="AE213" s="28">
        <v>1376</v>
      </c>
      <c r="AF213">
        <v>6277</v>
      </c>
      <c r="AG213">
        <v>1364</v>
      </c>
      <c r="AH213">
        <v>5971</v>
      </c>
    </row>
    <row r="214" spans="1:34" hidden="1">
      <c r="A214" s="39" t="s">
        <v>258</v>
      </c>
      <c r="B214" s="39">
        <v>597</v>
      </c>
      <c r="C214" s="39">
        <v>557</v>
      </c>
      <c r="D214" s="39">
        <v>571</v>
      </c>
      <c r="E214" s="39">
        <v>571</v>
      </c>
      <c r="F214" s="39">
        <v>514</v>
      </c>
      <c r="G214" s="39">
        <v>590</v>
      </c>
      <c r="H214" s="39">
        <v>601</v>
      </c>
      <c r="I214" s="39">
        <v>587</v>
      </c>
      <c r="J214" s="39">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c r="AD214" t="s">
        <v>588</v>
      </c>
      <c r="AE214" s="28">
        <v>351</v>
      </c>
      <c r="AF214">
        <v>1660</v>
      </c>
      <c r="AG214">
        <v>871</v>
      </c>
      <c r="AH214">
        <v>2942</v>
      </c>
    </row>
    <row r="215" spans="1:34" hidden="1">
      <c r="A215" s="39" t="s">
        <v>684</v>
      </c>
      <c r="B215" s="39">
        <v>1712</v>
      </c>
      <c r="C215" s="39">
        <v>1625</v>
      </c>
      <c r="D215" s="39">
        <v>1508</v>
      </c>
      <c r="E215" s="39">
        <v>2088</v>
      </c>
      <c r="F215" s="39">
        <v>2519</v>
      </c>
      <c r="G215" s="39">
        <v>1783</v>
      </c>
      <c r="H215" s="39">
        <v>1946</v>
      </c>
      <c r="I215" s="39">
        <v>1727</v>
      </c>
      <c r="J215" s="39">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c r="AD215" t="s">
        <v>358</v>
      </c>
      <c r="AE215" s="28">
        <v>4617</v>
      </c>
      <c r="AF215">
        <v>30049</v>
      </c>
      <c r="AG215">
        <v>3650</v>
      </c>
      <c r="AH215">
        <v>25130</v>
      </c>
    </row>
    <row r="216" spans="1:34" hidden="1">
      <c r="A216" s="39" t="s">
        <v>334</v>
      </c>
      <c r="B216" s="39">
        <v>779</v>
      </c>
      <c r="C216" s="39">
        <v>580</v>
      </c>
      <c r="D216" s="39">
        <v>444</v>
      </c>
      <c r="E216" s="39">
        <v>479</v>
      </c>
      <c r="F216" s="39">
        <v>360</v>
      </c>
      <c r="G216" s="39">
        <v>449</v>
      </c>
      <c r="H216" s="39">
        <v>378</v>
      </c>
      <c r="I216" s="39">
        <v>741</v>
      </c>
      <c r="J216" s="39">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c r="AD216" t="s">
        <v>184</v>
      </c>
      <c r="AE216" s="28">
        <v>3350</v>
      </c>
      <c r="AF216">
        <v>13606</v>
      </c>
      <c r="AG216">
        <v>2931</v>
      </c>
      <c r="AH216">
        <v>11927</v>
      </c>
    </row>
    <row r="217" spans="1:34" hidden="1">
      <c r="A217" s="39" t="s">
        <v>682</v>
      </c>
      <c r="B217" s="39">
        <v>2633</v>
      </c>
      <c r="C217" s="39">
        <v>3011</v>
      </c>
      <c r="D217" s="39">
        <v>2255</v>
      </c>
      <c r="E217" s="39">
        <v>2706</v>
      </c>
      <c r="F217" s="39">
        <v>2629</v>
      </c>
      <c r="G217" s="39">
        <v>2994</v>
      </c>
      <c r="H217" s="39">
        <v>2355</v>
      </c>
      <c r="I217" s="39">
        <v>2124</v>
      </c>
      <c r="J217" s="39">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c r="AD217" t="s">
        <v>616</v>
      </c>
      <c r="AE217" s="28">
        <v>1866</v>
      </c>
      <c r="AF217">
        <v>6089</v>
      </c>
      <c r="AG217">
        <v>1815</v>
      </c>
      <c r="AH217">
        <v>6215</v>
      </c>
    </row>
    <row r="218" spans="1:34" hidden="1">
      <c r="A218" s="39" t="s">
        <v>692</v>
      </c>
      <c r="B218" s="39">
        <v>4738</v>
      </c>
      <c r="C218" s="39">
        <v>4476</v>
      </c>
      <c r="D218" s="39">
        <v>4408</v>
      </c>
      <c r="E218" s="39">
        <v>4991</v>
      </c>
      <c r="F218" s="39">
        <v>0</v>
      </c>
      <c r="G218" s="39">
        <v>18476</v>
      </c>
      <c r="H218" s="39">
        <v>4034</v>
      </c>
      <c r="I218" s="39">
        <v>12946</v>
      </c>
      <c r="J218" s="39">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c r="AD218" t="s">
        <v>390</v>
      </c>
      <c r="AE218" s="28">
        <v>1077</v>
      </c>
      <c r="AF218">
        <v>6667</v>
      </c>
      <c r="AG218">
        <v>881</v>
      </c>
      <c r="AH218">
        <v>8278</v>
      </c>
    </row>
    <row r="219" spans="1:34" hidden="1">
      <c r="A219" s="39" t="s">
        <v>892</v>
      </c>
      <c r="B219" s="39">
        <v>1830</v>
      </c>
      <c r="C219" s="39">
        <v>2841</v>
      </c>
      <c r="D219" s="39">
        <v>3914</v>
      </c>
      <c r="E219" s="39">
        <v>5183</v>
      </c>
      <c r="F219" s="39">
        <v>1988</v>
      </c>
      <c r="G219" s="39">
        <v>1740</v>
      </c>
      <c r="H219" s="39">
        <v>1307</v>
      </c>
      <c r="I219" s="39">
        <v>1032</v>
      </c>
      <c r="J219" s="39">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c r="AD219" t="s">
        <v>268</v>
      </c>
      <c r="AE219" s="28">
        <v>746</v>
      </c>
      <c r="AF219">
        <v>3743</v>
      </c>
      <c r="AH219">
        <v>0</v>
      </c>
    </row>
    <row r="220" spans="1:34" hidden="1">
      <c r="A220" s="39" t="s">
        <v>1067</v>
      </c>
      <c r="B220" s="39">
        <v>859</v>
      </c>
      <c r="C220" s="39">
        <v>993</v>
      </c>
      <c r="D220" s="39">
        <v>921</v>
      </c>
      <c r="E220" s="39">
        <v>1014</v>
      </c>
      <c r="F220" s="39">
        <v>985</v>
      </c>
      <c r="G220" s="39">
        <v>907</v>
      </c>
      <c r="H220" s="39">
        <v>1104</v>
      </c>
      <c r="I220" s="39">
        <v>1503</v>
      </c>
      <c r="J220" s="39">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c r="AD220" t="s">
        <v>142</v>
      </c>
      <c r="AE220" s="28">
        <v>1508</v>
      </c>
      <c r="AF220">
        <v>5344</v>
      </c>
      <c r="AG220">
        <v>1937</v>
      </c>
      <c r="AH220">
        <v>7566</v>
      </c>
    </row>
    <row r="221" spans="1:34" hidden="1">
      <c r="A221" s="39" t="s">
        <v>795</v>
      </c>
      <c r="B221" s="39">
        <v>0</v>
      </c>
      <c r="C221" s="39">
        <v>262</v>
      </c>
      <c r="D221" s="39">
        <v>1302</v>
      </c>
      <c r="E221" s="39">
        <v>1630</v>
      </c>
      <c r="F221" s="39">
        <v>1087</v>
      </c>
      <c r="G221" s="39">
        <v>967</v>
      </c>
      <c r="H221" s="39">
        <v>1199</v>
      </c>
      <c r="I221" s="39">
        <v>1971</v>
      </c>
      <c r="J221" s="39">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c r="AD221" t="s">
        <v>334</v>
      </c>
      <c r="AE221" s="28">
        <v>1031</v>
      </c>
      <c r="AF221">
        <v>2567</v>
      </c>
      <c r="AG221">
        <v>796</v>
      </c>
      <c r="AH221">
        <v>1997</v>
      </c>
    </row>
    <row r="222" spans="1:34" hidden="1">
      <c r="A222" s="39" t="s">
        <v>1016</v>
      </c>
      <c r="B222" s="39">
        <v>2136</v>
      </c>
      <c r="C222" s="39">
        <v>2353</v>
      </c>
      <c r="D222" s="39">
        <v>1497</v>
      </c>
      <c r="E222" s="39">
        <v>1319</v>
      </c>
      <c r="F222" s="39">
        <v>1243</v>
      </c>
      <c r="G222" s="39">
        <v>1281</v>
      </c>
      <c r="H222" s="39">
        <v>1054</v>
      </c>
      <c r="I222" s="39">
        <v>1336</v>
      </c>
      <c r="J222" s="39">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c r="AD222" t="s">
        <v>554</v>
      </c>
      <c r="AE222" s="28">
        <v>4286</v>
      </c>
      <c r="AF222">
        <v>16357</v>
      </c>
      <c r="AG222">
        <v>4089</v>
      </c>
      <c r="AH222">
        <v>14561</v>
      </c>
    </row>
    <row r="223" spans="1:34" hidden="1">
      <c r="A223" s="39" t="s">
        <v>949</v>
      </c>
      <c r="B223" s="39">
        <v>1728</v>
      </c>
      <c r="C223" s="39">
        <v>813</v>
      </c>
      <c r="D223" s="39">
        <v>816</v>
      </c>
      <c r="E223" s="39">
        <v>1103</v>
      </c>
      <c r="F223" s="39">
        <v>891</v>
      </c>
      <c r="G223" s="39">
        <v>694</v>
      </c>
      <c r="H223" s="39">
        <v>648</v>
      </c>
      <c r="I223" s="39">
        <v>694</v>
      </c>
      <c r="J223" s="39">
        <v>582</v>
      </c>
      <c r="K223">
        <v>735</v>
      </c>
      <c r="L223">
        <v>953</v>
      </c>
      <c r="M223">
        <v>853</v>
      </c>
      <c r="N223">
        <v>974</v>
      </c>
      <c r="O223">
        <v>130</v>
      </c>
      <c r="P223">
        <v>92</v>
      </c>
      <c r="Q223">
        <v>174</v>
      </c>
      <c r="R223">
        <v>138</v>
      </c>
      <c r="S223">
        <v>242</v>
      </c>
      <c r="T223">
        <v>170</v>
      </c>
      <c r="U223">
        <v>89</v>
      </c>
      <c r="V223">
        <v>175</v>
      </c>
      <c r="W223">
        <v>83</v>
      </c>
      <c r="X223">
        <v>134</v>
      </c>
      <c r="Y223">
        <v>366</v>
      </c>
      <c r="Z223">
        <v>221</v>
      </c>
      <c r="AA223">
        <v>314</v>
      </c>
      <c r="AD223" t="s">
        <v>532</v>
      </c>
      <c r="AE223" s="28">
        <v>5987</v>
      </c>
      <c r="AF223">
        <v>17769</v>
      </c>
      <c r="AG223">
        <v>4693</v>
      </c>
      <c r="AH223">
        <v>11762</v>
      </c>
    </row>
    <row r="224" spans="1:34" hidden="1">
      <c r="A224" s="39" t="s">
        <v>1408</v>
      </c>
      <c r="B224" s="39">
        <v>0</v>
      </c>
      <c r="C224" s="39">
        <v>0</v>
      </c>
      <c r="D224" s="39">
        <v>0</v>
      </c>
      <c r="E224" s="39">
        <v>0</v>
      </c>
      <c r="F224" s="39">
        <v>0</v>
      </c>
      <c r="G224" s="39">
        <v>0</v>
      </c>
      <c r="H224" s="39">
        <v>0</v>
      </c>
      <c r="I224" s="39">
        <v>0</v>
      </c>
      <c r="J224" s="39">
        <v>320</v>
      </c>
      <c r="K224">
        <v>1016</v>
      </c>
      <c r="L224">
        <v>435</v>
      </c>
      <c r="M224">
        <v>670</v>
      </c>
      <c r="N224">
        <v>683</v>
      </c>
      <c r="O224">
        <v>0</v>
      </c>
      <c r="P224">
        <v>0</v>
      </c>
      <c r="Q224">
        <v>0</v>
      </c>
      <c r="R224">
        <v>0</v>
      </c>
      <c r="S224">
        <v>0</v>
      </c>
      <c r="T224">
        <v>0</v>
      </c>
      <c r="U224">
        <v>0</v>
      </c>
      <c r="V224">
        <v>0</v>
      </c>
      <c r="W224">
        <v>91</v>
      </c>
      <c r="X224">
        <v>283</v>
      </c>
      <c r="Y224">
        <v>119</v>
      </c>
      <c r="Z224">
        <v>141</v>
      </c>
      <c r="AA224">
        <v>167</v>
      </c>
      <c r="AD224" t="s">
        <v>314</v>
      </c>
      <c r="AE224" s="28">
        <v>2067</v>
      </c>
      <c r="AF224">
        <v>8979</v>
      </c>
      <c r="AG224">
        <v>1894</v>
      </c>
      <c r="AH224">
        <v>6815</v>
      </c>
    </row>
    <row r="225" spans="1:34" hidden="1">
      <c r="A225" s="39" t="s">
        <v>716</v>
      </c>
      <c r="B225" s="39">
        <v>6790</v>
      </c>
      <c r="C225" s="39">
        <v>6625</v>
      </c>
      <c r="D225" s="39">
        <v>4246</v>
      </c>
      <c r="E225" s="39">
        <v>3787</v>
      </c>
      <c r="F225" s="39">
        <v>4239</v>
      </c>
      <c r="G225" s="39">
        <v>3515</v>
      </c>
      <c r="H225" s="39">
        <v>3929</v>
      </c>
      <c r="I225" s="39">
        <v>3313</v>
      </c>
      <c r="J225" s="39">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c r="AD225" t="s">
        <v>670</v>
      </c>
      <c r="AE225" s="28">
        <v>3090</v>
      </c>
      <c r="AF225">
        <v>13684</v>
      </c>
      <c r="AG225">
        <v>2906</v>
      </c>
      <c r="AH225">
        <v>11295</v>
      </c>
    </row>
    <row r="226" spans="1:34" hidden="1">
      <c r="A226" s="39" t="s">
        <v>1117</v>
      </c>
      <c r="B226" s="39">
        <v>1353</v>
      </c>
      <c r="C226" s="39">
        <v>1212</v>
      </c>
      <c r="D226" s="39">
        <v>1254</v>
      </c>
      <c r="E226" s="39">
        <v>1058</v>
      </c>
      <c r="F226" s="39">
        <v>1069</v>
      </c>
      <c r="G226" s="39">
        <v>992</v>
      </c>
      <c r="H226" s="39">
        <v>1002</v>
      </c>
      <c r="I226" s="39">
        <v>1015</v>
      </c>
      <c r="J226" s="39">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c r="AD226" t="s">
        <v>350</v>
      </c>
      <c r="AE226" s="28">
        <v>1664</v>
      </c>
      <c r="AF226">
        <v>9255</v>
      </c>
      <c r="AG226">
        <v>1604</v>
      </c>
      <c r="AH226">
        <v>7391</v>
      </c>
    </row>
    <row r="227" spans="1:34" hidden="1">
      <c r="A227" s="39" t="s">
        <v>792</v>
      </c>
      <c r="B227" s="39">
        <v>2428</v>
      </c>
      <c r="C227" s="39">
        <v>2992</v>
      </c>
      <c r="D227" s="39">
        <v>3055</v>
      </c>
      <c r="E227" s="39">
        <v>2948</v>
      </c>
      <c r="F227" s="39">
        <v>2517</v>
      </c>
      <c r="G227" s="39">
        <v>2548</v>
      </c>
      <c r="H227" s="39">
        <v>2539</v>
      </c>
      <c r="I227" s="39">
        <v>2879</v>
      </c>
      <c r="J227" s="39">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c r="AD227" t="s">
        <v>546</v>
      </c>
      <c r="AE227" s="28">
        <v>124</v>
      </c>
      <c r="AF227">
        <v>519</v>
      </c>
      <c r="AG227">
        <v>412</v>
      </c>
      <c r="AH227">
        <v>1805</v>
      </c>
    </row>
    <row r="228" spans="1:34" hidden="1">
      <c r="A228" s="39" t="s">
        <v>1409</v>
      </c>
      <c r="B228" s="39">
        <v>2330</v>
      </c>
      <c r="C228" s="39">
        <v>1555</v>
      </c>
      <c r="D228" s="39">
        <v>2367</v>
      </c>
      <c r="E228" s="39">
        <v>1074</v>
      </c>
      <c r="F228" s="39">
        <v>585</v>
      </c>
      <c r="G228" s="39">
        <v>770</v>
      </c>
      <c r="H228" s="39">
        <v>721</v>
      </c>
      <c r="I228" s="39">
        <v>685</v>
      </c>
      <c r="J228" s="39">
        <v>716</v>
      </c>
      <c r="K228">
        <v>549</v>
      </c>
      <c r="L228">
        <v>490</v>
      </c>
      <c r="M228">
        <v>0</v>
      </c>
      <c r="N228">
        <v>0</v>
      </c>
      <c r="O228">
        <v>274</v>
      </c>
      <c r="P228">
        <v>201</v>
      </c>
      <c r="Q228">
        <v>283</v>
      </c>
      <c r="R228">
        <v>185</v>
      </c>
      <c r="S228">
        <v>111</v>
      </c>
      <c r="T228">
        <v>135</v>
      </c>
      <c r="U228">
        <v>156</v>
      </c>
      <c r="V228">
        <v>127</v>
      </c>
      <c r="W228">
        <v>144</v>
      </c>
      <c r="X228">
        <v>137</v>
      </c>
      <c r="Y228">
        <v>132</v>
      </c>
      <c r="Z228">
        <v>2</v>
      </c>
      <c r="AA228">
        <v>0</v>
      </c>
      <c r="AD228" t="s">
        <v>1308</v>
      </c>
      <c r="AE228" s="28">
        <v>64</v>
      </c>
      <c r="AF228">
        <v>405</v>
      </c>
      <c r="AH228">
        <v>0</v>
      </c>
    </row>
    <row r="229" spans="1:34" hidden="1">
      <c r="A229" s="39" t="s">
        <v>1155</v>
      </c>
      <c r="B229" s="39">
        <v>641</v>
      </c>
      <c r="C229" s="39">
        <v>615</v>
      </c>
      <c r="D229" s="39">
        <v>441</v>
      </c>
      <c r="E229" s="39">
        <v>252</v>
      </c>
      <c r="F229" s="39">
        <v>319</v>
      </c>
      <c r="G229" s="39">
        <v>283</v>
      </c>
      <c r="H229" s="39">
        <v>127</v>
      </c>
      <c r="I229" s="39">
        <v>344</v>
      </c>
      <c r="J229" s="39">
        <v>331</v>
      </c>
      <c r="K229">
        <v>328</v>
      </c>
      <c r="L229">
        <v>315</v>
      </c>
      <c r="M229">
        <v>274</v>
      </c>
      <c r="N229">
        <v>334</v>
      </c>
      <c r="O229">
        <v>119</v>
      </c>
      <c r="P229">
        <v>107</v>
      </c>
      <c r="Q229">
        <v>99</v>
      </c>
      <c r="R229">
        <v>42</v>
      </c>
      <c r="S229">
        <v>79</v>
      </c>
      <c r="T229">
        <v>67</v>
      </c>
      <c r="U229">
        <v>17</v>
      </c>
      <c r="V229">
        <v>74</v>
      </c>
      <c r="W229">
        <v>59</v>
      </c>
      <c r="X229">
        <v>96</v>
      </c>
      <c r="Y229">
        <v>61</v>
      </c>
      <c r="Z229">
        <v>60</v>
      </c>
      <c r="AA229">
        <v>83</v>
      </c>
      <c r="AD229" t="s">
        <v>194</v>
      </c>
      <c r="AE229" s="28">
        <v>1664</v>
      </c>
      <c r="AF229">
        <v>6998</v>
      </c>
      <c r="AG229">
        <v>1595</v>
      </c>
      <c r="AH229">
        <v>6871</v>
      </c>
    </row>
    <row r="230" spans="1:34" hidden="1">
      <c r="A230" s="39" t="s">
        <v>1246</v>
      </c>
      <c r="B230" s="39">
        <v>1539</v>
      </c>
      <c r="C230" s="39">
        <v>925</v>
      </c>
      <c r="D230" s="39">
        <v>921</v>
      </c>
      <c r="E230" s="39">
        <v>740</v>
      </c>
      <c r="F230" s="39">
        <v>659</v>
      </c>
      <c r="G230" s="39">
        <v>582</v>
      </c>
      <c r="H230" s="39">
        <v>467</v>
      </c>
      <c r="I230" s="39">
        <v>616</v>
      </c>
      <c r="J230" s="39">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c r="AD230" t="s">
        <v>430</v>
      </c>
      <c r="AE230" s="28">
        <v>1145</v>
      </c>
      <c r="AF230">
        <v>5474</v>
      </c>
      <c r="AG230">
        <v>928</v>
      </c>
      <c r="AH230">
        <v>4468</v>
      </c>
    </row>
    <row r="231" spans="1:34" hidden="1">
      <c r="A231" s="39" t="s">
        <v>1081</v>
      </c>
      <c r="B231" s="39">
        <v>2507</v>
      </c>
      <c r="C231" s="39">
        <v>2195</v>
      </c>
      <c r="D231" s="39">
        <v>5543</v>
      </c>
      <c r="E231" s="39">
        <v>2949</v>
      </c>
      <c r="F231" s="39">
        <v>4757</v>
      </c>
      <c r="G231" s="39">
        <v>2710</v>
      </c>
      <c r="H231" s="39">
        <v>2773</v>
      </c>
      <c r="I231" s="39">
        <v>2627</v>
      </c>
      <c r="J231" s="39">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c r="AD231" t="s">
        <v>260</v>
      </c>
      <c r="AE231" s="28">
        <v>1134</v>
      </c>
      <c r="AF231">
        <v>6878</v>
      </c>
      <c r="AG231">
        <v>1112</v>
      </c>
      <c r="AH231">
        <v>6349</v>
      </c>
    </row>
    <row r="232" spans="1:34" hidden="1">
      <c r="A232" s="39" t="s">
        <v>1075</v>
      </c>
      <c r="B232" s="39">
        <v>1053</v>
      </c>
      <c r="C232" s="39">
        <v>1148</v>
      </c>
      <c r="D232" s="39">
        <v>826</v>
      </c>
      <c r="E232" s="39">
        <v>993</v>
      </c>
      <c r="F232" s="39">
        <v>685</v>
      </c>
      <c r="G232" s="39">
        <v>806</v>
      </c>
      <c r="H232" s="39">
        <v>602</v>
      </c>
      <c r="I232" s="39">
        <v>1053</v>
      </c>
      <c r="J232" s="39">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c r="AD232" t="s">
        <v>208</v>
      </c>
      <c r="AE232" s="28">
        <v>38</v>
      </c>
      <c r="AF232">
        <v>780</v>
      </c>
      <c r="AG232">
        <v>951</v>
      </c>
      <c r="AH232">
        <v>3312</v>
      </c>
    </row>
    <row r="233" spans="1:34" hidden="1">
      <c r="A233" s="39" t="s">
        <v>1034</v>
      </c>
      <c r="B233" s="39">
        <v>5762</v>
      </c>
      <c r="C233" s="39">
        <v>4959</v>
      </c>
      <c r="D233" s="39">
        <v>5692</v>
      </c>
      <c r="E233" s="39">
        <v>5409</v>
      </c>
      <c r="F233" s="39">
        <v>4892</v>
      </c>
      <c r="G233" s="39">
        <v>4067</v>
      </c>
      <c r="H233" s="39">
        <v>2818</v>
      </c>
      <c r="I233" s="39">
        <v>2952</v>
      </c>
      <c r="J233" s="39">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c r="AD233" t="s">
        <v>83</v>
      </c>
      <c r="AE233" s="28">
        <v>4242</v>
      </c>
      <c r="AF233">
        <v>16553</v>
      </c>
      <c r="AG233">
        <v>4087</v>
      </c>
      <c r="AH233">
        <v>16799</v>
      </c>
    </row>
    <row r="234" spans="1:34" hidden="1">
      <c r="A234" s="39" t="s">
        <v>1044</v>
      </c>
      <c r="B234" s="39">
        <v>651</v>
      </c>
      <c r="C234" s="39">
        <v>722</v>
      </c>
      <c r="D234" s="39">
        <v>660</v>
      </c>
      <c r="E234" s="39">
        <v>708</v>
      </c>
      <c r="F234" s="39">
        <v>570</v>
      </c>
      <c r="G234" s="39">
        <v>553</v>
      </c>
      <c r="H234" s="39">
        <v>472</v>
      </c>
      <c r="I234" s="39">
        <v>615</v>
      </c>
      <c r="J234" s="39">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c r="AD234" t="s">
        <v>230</v>
      </c>
      <c r="AE234" s="28">
        <v>6399</v>
      </c>
      <c r="AF234">
        <v>28292</v>
      </c>
      <c r="AG234">
        <v>5244</v>
      </c>
      <c r="AH234">
        <v>21070</v>
      </c>
    </row>
    <row r="235" spans="1:34" hidden="1">
      <c r="A235" s="39" t="s">
        <v>1079</v>
      </c>
      <c r="B235" s="39">
        <v>981</v>
      </c>
      <c r="C235" s="39">
        <v>927</v>
      </c>
      <c r="D235" s="39">
        <v>872</v>
      </c>
      <c r="E235" s="39">
        <v>773</v>
      </c>
      <c r="F235" s="39">
        <v>884</v>
      </c>
      <c r="G235" s="39">
        <v>1202</v>
      </c>
      <c r="H235" s="39">
        <v>852</v>
      </c>
      <c r="I235" s="39">
        <v>1061</v>
      </c>
      <c r="J235" s="39">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c r="AD235" t="s">
        <v>118</v>
      </c>
      <c r="AE235" s="28">
        <v>18410</v>
      </c>
      <c r="AF235">
        <v>95635</v>
      </c>
      <c r="AG235">
        <v>15225</v>
      </c>
      <c r="AH235">
        <v>72670</v>
      </c>
    </row>
    <row r="236" spans="1:34" hidden="1">
      <c r="A236" s="39" t="s">
        <v>1204</v>
      </c>
      <c r="B236" s="39">
        <v>1446</v>
      </c>
      <c r="C236" s="39">
        <v>1145</v>
      </c>
      <c r="D236" s="39">
        <v>785</v>
      </c>
      <c r="E236" s="39">
        <v>592</v>
      </c>
      <c r="F236" s="39">
        <v>634</v>
      </c>
      <c r="G236" s="39">
        <v>737</v>
      </c>
      <c r="H236" s="39">
        <v>690</v>
      </c>
      <c r="I236" s="39">
        <v>906</v>
      </c>
      <c r="J236" s="39">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c r="AD236" t="s">
        <v>784</v>
      </c>
      <c r="AE236" s="19">
        <v>7632</v>
      </c>
      <c r="AF236">
        <v>7844</v>
      </c>
      <c r="AG236">
        <v>5313</v>
      </c>
      <c r="AH236">
        <v>25511</v>
      </c>
    </row>
    <row r="237" spans="1:34" hidden="1">
      <c r="A237" s="39" t="s">
        <v>1238</v>
      </c>
      <c r="B237" s="39">
        <v>408</v>
      </c>
      <c r="C237" s="39">
        <v>0</v>
      </c>
      <c r="D237" s="39">
        <v>1257</v>
      </c>
      <c r="E237" s="39">
        <v>888</v>
      </c>
      <c r="F237" s="39">
        <v>826</v>
      </c>
      <c r="G237" s="39">
        <v>882</v>
      </c>
      <c r="H237" s="39">
        <v>725</v>
      </c>
      <c r="I237" s="39">
        <v>862</v>
      </c>
      <c r="J237" s="39">
        <v>640</v>
      </c>
      <c r="K237">
        <v>714</v>
      </c>
      <c r="L237">
        <v>613</v>
      </c>
      <c r="M237">
        <v>915</v>
      </c>
      <c r="N237">
        <v>952</v>
      </c>
      <c r="O237">
        <v>97</v>
      </c>
      <c r="P237">
        <v>0</v>
      </c>
      <c r="Q237">
        <v>288</v>
      </c>
      <c r="R237">
        <v>257</v>
      </c>
      <c r="S237">
        <v>266</v>
      </c>
      <c r="T237">
        <v>260</v>
      </c>
      <c r="U237">
        <v>195</v>
      </c>
      <c r="V237">
        <v>204</v>
      </c>
      <c r="W237">
        <v>211</v>
      </c>
      <c r="X237">
        <v>220</v>
      </c>
      <c r="Y237">
        <v>210</v>
      </c>
      <c r="Z237">
        <v>230</v>
      </c>
      <c r="AA237">
        <v>291</v>
      </c>
      <c r="AD237" t="s">
        <v>716</v>
      </c>
      <c r="AE237" s="19">
        <v>3762</v>
      </c>
      <c r="AF237">
        <v>12737</v>
      </c>
      <c r="AG237">
        <v>3578</v>
      </c>
      <c r="AH237">
        <v>11786</v>
      </c>
    </row>
    <row r="238" spans="1:34" hidden="1">
      <c r="A238" s="39" t="s">
        <v>1105</v>
      </c>
      <c r="B238" s="39">
        <v>1417</v>
      </c>
      <c r="C238" s="39">
        <v>1243</v>
      </c>
      <c r="D238" s="39">
        <v>1246</v>
      </c>
      <c r="E238" s="39">
        <v>1187</v>
      </c>
      <c r="F238" s="39">
        <v>654</v>
      </c>
      <c r="G238" s="39">
        <v>666</v>
      </c>
      <c r="H238" s="39">
        <v>596</v>
      </c>
      <c r="I238" s="39">
        <v>553</v>
      </c>
      <c r="J238" s="39">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c r="AD238" t="s">
        <v>741</v>
      </c>
      <c r="AE238" s="19">
        <v>3048</v>
      </c>
      <c r="AF238">
        <v>13735</v>
      </c>
      <c r="AG238">
        <v>3102</v>
      </c>
      <c r="AH238">
        <v>13480</v>
      </c>
    </row>
    <row r="239" spans="1:34" hidden="1">
      <c r="A239" s="39" t="s">
        <v>1196</v>
      </c>
      <c r="B239" s="39">
        <v>0</v>
      </c>
      <c r="C239" s="39">
        <v>0</v>
      </c>
      <c r="D239" s="39">
        <v>0</v>
      </c>
      <c r="E239" s="39">
        <v>0</v>
      </c>
      <c r="F239" s="39">
        <v>0</v>
      </c>
      <c r="G239" s="39">
        <v>0</v>
      </c>
      <c r="H239" s="39">
        <v>0</v>
      </c>
      <c r="I239" s="39">
        <v>0</v>
      </c>
      <c r="J239" s="39">
        <v>96</v>
      </c>
      <c r="K239">
        <v>306</v>
      </c>
      <c r="L239">
        <v>290</v>
      </c>
      <c r="M239">
        <v>605</v>
      </c>
      <c r="N239">
        <v>930</v>
      </c>
      <c r="O239">
        <v>0</v>
      </c>
      <c r="P239">
        <v>0</v>
      </c>
      <c r="Q239">
        <v>0</v>
      </c>
      <c r="R239">
        <v>0</v>
      </c>
      <c r="S239">
        <v>0</v>
      </c>
      <c r="T239">
        <v>0</v>
      </c>
      <c r="U239">
        <v>0</v>
      </c>
      <c r="V239">
        <v>0</v>
      </c>
      <c r="W239">
        <v>33</v>
      </c>
      <c r="X239">
        <v>76</v>
      </c>
      <c r="Y239">
        <v>76</v>
      </c>
      <c r="Z239">
        <v>191</v>
      </c>
      <c r="AA239">
        <v>280</v>
      </c>
      <c r="AD239" t="s">
        <v>732</v>
      </c>
      <c r="AE239" s="19">
        <v>3637</v>
      </c>
      <c r="AF239">
        <v>12674</v>
      </c>
      <c r="AG239">
        <v>3318</v>
      </c>
      <c r="AH239">
        <v>12658</v>
      </c>
    </row>
    <row r="240" spans="1:34" hidden="1">
      <c r="A240" s="39" t="s">
        <v>1177</v>
      </c>
      <c r="B240" s="39">
        <v>1361</v>
      </c>
      <c r="C240" s="39">
        <v>1065</v>
      </c>
      <c r="D240" s="39">
        <v>1044</v>
      </c>
      <c r="E240" s="39">
        <v>1095</v>
      </c>
      <c r="F240" s="39">
        <v>1296</v>
      </c>
      <c r="G240" s="39">
        <v>920</v>
      </c>
      <c r="H240" s="39">
        <v>616</v>
      </c>
      <c r="I240" s="39">
        <v>591</v>
      </c>
      <c r="J240" s="39">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c r="AD240" s="23" t="s">
        <v>1000</v>
      </c>
      <c r="AE240" s="19">
        <v>4317</v>
      </c>
      <c r="AF240">
        <v>25101</v>
      </c>
      <c r="AG240">
        <v>3155</v>
      </c>
      <c r="AH240">
        <v>15732</v>
      </c>
    </row>
    <row r="241" spans="1:34" hidden="1">
      <c r="A241" s="39" t="s">
        <v>828</v>
      </c>
      <c r="B241" s="39">
        <v>557</v>
      </c>
      <c r="C241" s="39">
        <v>580</v>
      </c>
      <c r="D241" s="39">
        <v>483</v>
      </c>
      <c r="E241" s="39">
        <v>472</v>
      </c>
      <c r="F241" s="39">
        <v>709</v>
      </c>
      <c r="G241" s="39">
        <v>656</v>
      </c>
      <c r="H241" s="39">
        <v>715</v>
      </c>
      <c r="I241" s="39">
        <v>797</v>
      </c>
      <c r="J241" s="39">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c r="AD241" t="s">
        <v>792</v>
      </c>
      <c r="AE241" s="19">
        <v>5550</v>
      </c>
      <c r="AF241">
        <v>12512</v>
      </c>
      <c r="AG241">
        <v>5622</v>
      </c>
      <c r="AH241">
        <v>13227</v>
      </c>
    </row>
    <row r="242" spans="1:34" hidden="1">
      <c r="A242" s="39" t="s">
        <v>488</v>
      </c>
      <c r="B242" s="39">
        <v>1577</v>
      </c>
      <c r="C242" s="39">
        <v>1264</v>
      </c>
      <c r="D242" s="39">
        <v>1436</v>
      </c>
      <c r="E242" s="39">
        <v>1633</v>
      </c>
      <c r="F242" s="39">
        <v>1407</v>
      </c>
      <c r="G242" s="39">
        <v>2169</v>
      </c>
      <c r="H242" s="39">
        <v>1557</v>
      </c>
      <c r="I242" s="39">
        <v>1783</v>
      </c>
      <c r="J242" s="39">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c r="AD242" t="s">
        <v>1002</v>
      </c>
      <c r="AE242" s="19">
        <v>972</v>
      </c>
      <c r="AF242">
        <v>5298</v>
      </c>
      <c r="AG242">
        <v>1185</v>
      </c>
      <c r="AH242">
        <v>5678</v>
      </c>
    </row>
    <row r="243" spans="1:34" hidden="1">
      <c r="A243" s="39" t="s">
        <v>538</v>
      </c>
      <c r="B243" s="39">
        <v>3284</v>
      </c>
      <c r="C243" s="39">
        <v>4751</v>
      </c>
      <c r="D243" s="39">
        <v>2584</v>
      </c>
      <c r="E243" s="39">
        <v>1839</v>
      </c>
      <c r="F243" s="39">
        <v>1830</v>
      </c>
      <c r="G243" s="39">
        <v>1937</v>
      </c>
      <c r="H243" s="39">
        <v>1357</v>
      </c>
      <c r="I243" s="39">
        <v>1615</v>
      </c>
      <c r="J243" s="39">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c r="AD243" t="s">
        <v>780</v>
      </c>
      <c r="AE243" s="19">
        <v>1894</v>
      </c>
      <c r="AF243">
        <v>4996</v>
      </c>
      <c r="AG243">
        <v>1618</v>
      </c>
      <c r="AH243">
        <v>4244</v>
      </c>
    </row>
    <row r="244" spans="1:34" hidden="1">
      <c r="A244" s="39" t="s">
        <v>576</v>
      </c>
      <c r="B244" s="39">
        <v>1110</v>
      </c>
      <c r="C244" s="39">
        <v>1155</v>
      </c>
      <c r="D244" s="39">
        <v>999</v>
      </c>
      <c r="E244" s="39">
        <v>915</v>
      </c>
      <c r="F244" s="39">
        <v>1005</v>
      </c>
      <c r="G244" s="39">
        <v>1661</v>
      </c>
      <c r="H244" s="39">
        <v>989</v>
      </c>
      <c r="I244" s="39">
        <v>1000</v>
      </c>
      <c r="J244" s="39">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c r="AD244" t="s">
        <v>1309</v>
      </c>
      <c r="AE244" s="19">
        <v>2</v>
      </c>
      <c r="AF244">
        <v>13</v>
      </c>
      <c r="AG244">
        <v>1</v>
      </c>
      <c r="AH244">
        <v>14</v>
      </c>
    </row>
    <row r="245" spans="1:34" hidden="1">
      <c r="A245" s="39" t="s">
        <v>254</v>
      </c>
      <c r="B245" s="39">
        <v>1780</v>
      </c>
      <c r="C245" s="39">
        <v>1869</v>
      </c>
      <c r="D245" s="39">
        <v>1656</v>
      </c>
      <c r="E245" s="39">
        <v>1440</v>
      </c>
      <c r="F245" s="39">
        <v>1081</v>
      </c>
      <c r="G245" s="39">
        <v>1009</v>
      </c>
      <c r="H245" s="39">
        <v>981</v>
      </c>
      <c r="I245" s="39">
        <v>1397</v>
      </c>
      <c r="J245" s="39">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c r="AD245" t="s">
        <v>813</v>
      </c>
      <c r="AE245" s="19">
        <v>3398</v>
      </c>
      <c r="AF245">
        <v>8739</v>
      </c>
      <c r="AG245">
        <v>3242</v>
      </c>
      <c r="AH245">
        <v>7441</v>
      </c>
    </row>
    <row r="246" spans="1:34" hidden="1">
      <c r="A246" s="39" t="s">
        <v>570</v>
      </c>
      <c r="B246" s="39">
        <v>3612</v>
      </c>
      <c r="C246" s="39">
        <v>3948</v>
      </c>
      <c r="D246" s="39">
        <v>3511</v>
      </c>
      <c r="E246" s="39">
        <v>61</v>
      </c>
      <c r="F246" s="39">
        <v>10706</v>
      </c>
      <c r="G246" s="39">
        <v>6300</v>
      </c>
      <c r="H246" s="39">
        <v>2733</v>
      </c>
      <c r="I246" s="39">
        <v>2931</v>
      </c>
      <c r="J246" s="39">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c r="AD246" t="s">
        <v>725</v>
      </c>
      <c r="AE246" s="19">
        <v>5137</v>
      </c>
      <c r="AF246">
        <v>8651</v>
      </c>
      <c r="AG246">
        <v>4951</v>
      </c>
      <c r="AH246">
        <v>8352</v>
      </c>
    </row>
    <row r="247" spans="1:34" hidden="1">
      <c r="A247" s="39" t="s">
        <v>522</v>
      </c>
      <c r="B247" s="39">
        <v>2451</v>
      </c>
      <c r="C247" s="39">
        <v>3313</v>
      </c>
      <c r="D247" s="39">
        <v>1362</v>
      </c>
      <c r="E247" s="39">
        <v>1958</v>
      </c>
      <c r="F247" s="39">
        <v>1726</v>
      </c>
      <c r="G247" s="39">
        <v>1144</v>
      </c>
      <c r="H247" s="39">
        <v>1378</v>
      </c>
      <c r="I247" s="39">
        <v>1174</v>
      </c>
      <c r="J247" s="39">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c r="AD247" t="s">
        <v>853</v>
      </c>
      <c r="AE247" s="19">
        <v>711</v>
      </c>
      <c r="AF247">
        <v>1902</v>
      </c>
      <c r="AG247">
        <v>742</v>
      </c>
      <c r="AH247">
        <v>1678</v>
      </c>
    </row>
    <row r="248" spans="1:34" hidden="1">
      <c r="A248" s="39" t="s">
        <v>680</v>
      </c>
      <c r="B248" s="39">
        <v>1233</v>
      </c>
      <c r="C248" s="39">
        <v>1416</v>
      </c>
      <c r="D248" s="39">
        <v>1396</v>
      </c>
      <c r="E248" s="39">
        <v>1992</v>
      </c>
      <c r="F248" s="39">
        <v>1444</v>
      </c>
      <c r="G248" s="39">
        <v>1030</v>
      </c>
      <c r="H248" s="39">
        <v>1037</v>
      </c>
      <c r="I248" s="39">
        <v>1802</v>
      </c>
      <c r="J248" s="39">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c r="AD248" t="s">
        <v>1008</v>
      </c>
      <c r="AE248" s="19">
        <v>2183</v>
      </c>
      <c r="AF248">
        <v>8750</v>
      </c>
      <c r="AG248">
        <v>2311</v>
      </c>
      <c r="AH248">
        <v>8895</v>
      </c>
    </row>
    <row r="249" spans="1:34" hidden="1">
      <c r="A249" s="39" t="s">
        <v>1113</v>
      </c>
      <c r="B249" s="39">
        <v>703</v>
      </c>
      <c r="C249" s="39">
        <v>542</v>
      </c>
      <c r="D249" s="39">
        <v>644</v>
      </c>
      <c r="E249" s="39">
        <v>682</v>
      </c>
      <c r="F249" s="39">
        <v>771</v>
      </c>
      <c r="G249" s="39">
        <v>775</v>
      </c>
      <c r="H249" s="39">
        <v>879</v>
      </c>
      <c r="I249" s="39">
        <v>731</v>
      </c>
      <c r="J249" s="39">
        <v>5</v>
      </c>
      <c r="K249">
        <v>0</v>
      </c>
      <c r="L249">
        <v>1</v>
      </c>
      <c r="M249">
        <v>726</v>
      </c>
      <c r="N249">
        <v>1007</v>
      </c>
      <c r="O249">
        <v>163</v>
      </c>
      <c r="P249">
        <v>157</v>
      </c>
      <c r="Q249">
        <v>153</v>
      </c>
      <c r="R249">
        <v>215</v>
      </c>
      <c r="S249">
        <v>294</v>
      </c>
      <c r="T249">
        <v>227</v>
      </c>
      <c r="U249">
        <v>275</v>
      </c>
      <c r="V249">
        <v>226</v>
      </c>
      <c r="W249">
        <v>5</v>
      </c>
      <c r="X249">
        <v>1</v>
      </c>
      <c r="Y249">
        <v>2</v>
      </c>
      <c r="Z249">
        <v>167</v>
      </c>
      <c r="AA249">
        <v>378</v>
      </c>
      <c r="AD249" t="s">
        <v>1016</v>
      </c>
      <c r="AE249" s="19">
        <v>1995</v>
      </c>
      <c r="AF249">
        <v>6914</v>
      </c>
      <c r="AG249">
        <v>1664</v>
      </c>
      <c r="AH249">
        <v>5240</v>
      </c>
    </row>
    <row r="250" spans="1:34" hidden="1">
      <c r="A250" s="39" t="s">
        <v>786</v>
      </c>
      <c r="B250" s="39">
        <v>1663</v>
      </c>
      <c r="C250" s="39">
        <v>2104</v>
      </c>
      <c r="D250" s="39">
        <v>1680</v>
      </c>
      <c r="E250" s="39">
        <v>2200</v>
      </c>
      <c r="F250" s="39">
        <v>1696</v>
      </c>
      <c r="G250" s="39">
        <v>1276</v>
      </c>
      <c r="H250" s="39">
        <v>777</v>
      </c>
      <c r="I250" s="39">
        <v>609</v>
      </c>
      <c r="J250" s="39">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c r="AD250" s="27" t="s">
        <v>998</v>
      </c>
      <c r="AE250" s="19">
        <v>1870</v>
      </c>
      <c r="AF250">
        <v>7749</v>
      </c>
      <c r="AG250">
        <v>1643</v>
      </c>
      <c r="AH250">
        <v>7204</v>
      </c>
    </row>
    <row r="251" spans="1:34" hidden="1">
      <c r="A251" s="39" t="s">
        <v>1257</v>
      </c>
      <c r="B251" s="39">
        <v>230</v>
      </c>
      <c r="C251" s="39">
        <v>222</v>
      </c>
      <c r="D251" s="39">
        <v>763</v>
      </c>
      <c r="E251" s="39">
        <v>688</v>
      </c>
      <c r="F251" s="39">
        <v>494</v>
      </c>
      <c r="G251" s="39">
        <v>492</v>
      </c>
      <c r="H251" s="39">
        <v>526</v>
      </c>
      <c r="I251" s="39">
        <v>726</v>
      </c>
      <c r="J251" s="39">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c r="AD251" t="s">
        <v>738</v>
      </c>
      <c r="AE251" s="19">
        <v>1727</v>
      </c>
      <c r="AF251">
        <v>4094</v>
      </c>
      <c r="AG251">
        <v>1618</v>
      </c>
      <c r="AH251">
        <v>3721</v>
      </c>
    </row>
    <row r="252" spans="1:34" hidden="1">
      <c r="A252" s="39" t="s">
        <v>1410</v>
      </c>
      <c r="B252" s="39">
        <v>128</v>
      </c>
      <c r="C252" s="39">
        <v>78</v>
      </c>
      <c r="D252" s="39">
        <v>65</v>
      </c>
      <c r="E252" s="39">
        <v>130</v>
      </c>
      <c r="F252" s="39">
        <v>99</v>
      </c>
      <c r="G252" s="39">
        <v>115</v>
      </c>
      <c r="H252" s="39">
        <v>164</v>
      </c>
      <c r="I252" s="39">
        <v>153</v>
      </c>
      <c r="J252" s="39">
        <v>63</v>
      </c>
      <c r="K252">
        <v>69</v>
      </c>
      <c r="L252">
        <v>130</v>
      </c>
      <c r="M252">
        <v>60</v>
      </c>
      <c r="N252">
        <v>102</v>
      </c>
      <c r="O252">
        <v>0</v>
      </c>
      <c r="P252">
        <v>0</v>
      </c>
      <c r="Q252">
        <v>0</v>
      </c>
      <c r="R252">
        <v>0</v>
      </c>
      <c r="S252">
        <v>0</v>
      </c>
      <c r="T252">
        <v>0</v>
      </c>
      <c r="U252">
        <v>0</v>
      </c>
      <c r="V252">
        <v>0</v>
      </c>
      <c r="W252">
        <v>0</v>
      </c>
      <c r="X252">
        <v>0</v>
      </c>
      <c r="Y252">
        <v>0</v>
      </c>
      <c r="Z252">
        <v>0</v>
      </c>
      <c r="AA252">
        <v>0</v>
      </c>
      <c r="AD252" t="s">
        <v>711</v>
      </c>
      <c r="AE252" s="19">
        <v>40373</v>
      </c>
      <c r="AF252">
        <v>136848</v>
      </c>
      <c r="AG252">
        <v>34307</v>
      </c>
      <c r="AH252">
        <v>108902</v>
      </c>
    </row>
    <row r="253" spans="1:34" hidden="1">
      <c r="A253" s="39" t="s">
        <v>1411</v>
      </c>
      <c r="B253" s="39">
        <v>66</v>
      </c>
      <c r="C253" s="39">
        <v>96</v>
      </c>
      <c r="D253" s="39">
        <v>90</v>
      </c>
      <c r="E253" s="39">
        <v>104</v>
      </c>
      <c r="F253" s="39">
        <v>99</v>
      </c>
      <c r="G253" s="39">
        <v>183</v>
      </c>
      <c r="H253" s="39">
        <v>113</v>
      </c>
      <c r="I253" s="39">
        <v>91</v>
      </c>
      <c r="J253" s="39">
        <v>51</v>
      </c>
      <c r="K253">
        <v>76</v>
      </c>
      <c r="L253">
        <v>76</v>
      </c>
      <c r="M253">
        <v>60</v>
      </c>
      <c r="N253">
        <v>68</v>
      </c>
      <c r="O253">
        <v>0</v>
      </c>
      <c r="P253">
        <v>0</v>
      </c>
      <c r="Q253">
        <v>0</v>
      </c>
      <c r="R253">
        <v>0</v>
      </c>
      <c r="S253">
        <v>0</v>
      </c>
      <c r="T253">
        <v>0</v>
      </c>
      <c r="U253">
        <v>0</v>
      </c>
      <c r="V253">
        <v>0</v>
      </c>
      <c r="W253">
        <v>0</v>
      </c>
      <c r="X253">
        <v>0</v>
      </c>
      <c r="Y253">
        <v>0</v>
      </c>
      <c r="Z253">
        <v>0</v>
      </c>
      <c r="AA253">
        <v>0</v>
      </c>
      <c r="AD253" t="s">
        <v>795</v>
      </c>
      <c r="AE253" s="19">
        <v>1614</v>
      </c>
      <c r="AF253">
        <v>5004</v>
      </c>
      <c r="AG253">
        <v>1873</v>
      </c>
      <c r="AH253">
        <v>5650</v>
      </c>
    </row>
    <row r="254" spans="1:34" hidden="1">
      <c r="A254" s="39" t="s">
        <v>1412</v>
      </c>
      <c r="B254" s="39">
        <v>249</v>
      </c>
      <c r="C254" s="39">
        <v>289</v>
      </c>
      <c r="D254" s="39">
        <v>262</v>
      </c>
      <c r="E254" s="39">
        <v>251</v>
      </c>
      <c r="F254" s="39">
        <v>279</v>
      </c>
      <c r="G254" s="39">
        <v>166</v>
      </c>
      <c r="H254" s="39">
        <v>128</v>
      </c>
      <c r="I254" s="39">
        <v>144</v>
      </c>
      <c r="J254" s="39">
        <v>118</v>
      </c>
      <c r="K254">
        <v>52</v>
      </c>
      <c r="L254">
        <v>82</v>
      </c>
      <c r="M254">
        <v>55</v>
      </c>
      <c r="N254">
        <v>59</v>
      </c>
      <c r="O254">
        <v>0</v>
      </c>
      <c r="P254">
        <v>0</v>
      </c>
      <c r="Q254">
        <v>0</v>
      </c>
      <c r="R254">
        <v>0</v>
      </c>
      <c r="S254">
        <v>0</v>
      </c>
      <c r="T254">
        <v>0</v>
      </c>
      <c r="U254">
        <v>0</v>
      </c>
      <c r="V254">
        <v>0</v>
      </c>
      <c r="W254">
        <v>0</v>
      </c>
      <c r="X254">
        <v>0</v>
      </c>
      <c r="Y254">
        <v>0</v>
      </c>
      <c r="Z254">
        <v>0</v>
      </c>
      <c r="AA254">
        <v>0</v>
      </c>
      <c r="AD254" t="s">
        <v>730</v>
      </c>
      <c r="AE254" s="19">
        <v>2721</v>
      </c>
      <c r="AF254">
        <v>7438</v>
      </c>
      <c r="AG254">
        <v>2794</v>
      </c>
      <c r="AH254">
        <v>7397</v>
      </c>
    </row>
    <row r="255" spans="1:34" hidden="1">
      <c r="A255" s="39" t="s">
        <v>851</v>
      </c>
      <c r="B255" s="39">
        <v>757</v>
      </c>
      <c r="C255" s="39">
        <v>792</v>
      </c>
      <c r="D255" s="39">
        <v>718</v>
      </c>
      <c r="E255" s="39">
        <v>777</v>
      </c>
      <c r="F255" s="39">
        <v>818</v>
      </c>
      <c r="G255" s="39">
        <v>763</v>
      </c>
      <c r="H255" s="39">
        <v>939</v>
      </c>
      <c r="I255" s="39">
        <v>613</v>
      </c>
      <c r="J255" s="39">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c r="AD255" t="s">
        <v>882</v>
      </c>
      <c r="AE255" s="19">
        <v>1207</v>
      </c>
      <c r="AF255">
        <v>3445</v>
      </c>
      <c r="AG255">
        <v>867</v>
      </c>
      <c r="AH255">
        <v>2558</v>
      </c>
    </row>
    <row r="256" spans="1:34" hidden="1">
      <c r="A256" s="39" t="s">
        <v>866</v>
      </c>
      <c r="B256" s="39">
        <v>0</v>
      </c>
      <c r="C256" s="39">
        <v>0</v>
      </c>
      <c r="D256" s="39">
        <v>0</v>
      </c>
      <c r="E256" s="39">
        <v>0</v>
      </c>
      <c r="F256" s="39">
        <v>0</v>
      </c>
      <c r="G256" s="39">
        <v>0</v>
      </c>
      <c r="H256" s="39">
        <v>0</v>
      </c>
      <c r="I256" s="39">
        <v>0</v>
      </c>
      <c r="J256" s="39">
        <v>18</v>
      </c>
      <c r="K256">
        <v>450</v>
      </c>
      <c r="L256">
        <v>539</v>
      </c>
      <c r="M256">
        <v>0</v>
      </c>
      <c r="N256">
        <v>630</v>
      </c>
      <c r="O256">
        <v>0</v>
      </c>
      <c r="P256">
        <v>0</v>
      </c>
      <c r="Q256">
        <v>0</v>
      </c>
      <c r="R256">
        <v>0</v>
      </c>
      <c r="S256">
        <v>0</v>
      </c>
      <c r="T256">
        <v>0</v>
      </c>
      <c r="U256">
        <v>0</v>
      </c>
      <c r="V256">
        <v>0</v>
      </c>
      <c r="W256">
        <v>0</v>
      </c>
      <c r="X256">
        <v>127</v>
      </c>
      <c r="Y256">
        <v>159</v>
      </c>
      <c r="Z256">
        <v>0</v>
      </c>
      <c r="AA256">
        <v>241</v>
      </c>
      <c r="AD256" s="37" t="s">
        <v>975</v>
      </c>
      <c r="AE256" s="19">
        <v>611</v>
      </c>
      <c r="AF256">
        <v>3692</v>
      </c>
      <c r="AG256">
        <v>699</v>
      </c>
      <c r="AH256">
        <v>3735</v>
      </c>
    </row>
    <row r="257" spans="1:34" hidden="1">
      <c r="A257" s="39" t="s">
        <v>1413</v>
      </c>
      <c r="B257" s="39">
        <v>415</v>
      </c>
      <c r="C257" s="39">
        <v>390</v>
      </c>
      <c r="D257" s="39">
        <v>389</v>
      </c>
      <c r="E257" s="39">
        <v>386</v>
      </c>
      <c r="F257" s="39">
        <v>247</v>
      </c>
      <c r="G257" s="39">
        <v>283</v>
      </c>
      <c r="H257" s="39">
        <v>275</v>
      </c>
      <c r="I257" s="39">
        <v>240</v>
      </c>
      <c r="J257" s="39">
        <v>132</v>
      </c>
      <c r="K257">
        <v>129</v>
      </c>
      <c r="L257">
        <v>130</v>
      </c>
      <c r="M257">
        <v>96</v>
      </c>
      <c r="N257">
        <v>181</v>
      </c>
      <c r="O257">
        <v>0</v>
      </c>
      <c r="P257">
        <v>0</v>
      </c>
      <c r="Q257">
        <v>0</v>
      </c>
      <c r="R257">
        <v>0</v>
      </c>
      <c r="S257">
        <v>0</v>
      </c>
      <c r="T257">
        <v>0</v>
      </c>
      <c r="U257">
        <v>0</v>
      </c>
      <c r="V257">
        <v>0</v>
      </c>
      <c r="W257">
        <v>0</v>
      </c>
      <c r="X257">
        <v>0</v>
      </c>
      <c r="Y257">
        <v>0</v>
      </c>
      <c r="Z257">
        <v>0</v>
      </c>
      <c r="AA257">
        <v>0</v>
      </c>
      <c r="AD257" t="s">
        <v>797</v>
      </c>
      <c r="AE257" s="19">
        <v>2751</v>
      </c>
      <c r="AF257">
        <v>6496</v>
      </c>
      <c r="AG257">
        <v>2353</v>
      </c>
      <c r="AH257">
        <v>5603</v>
      </c>
    </row>
    <row r="258" spans="1:34" hidden="1">
      <c r="A258" s="39" t="s">
        <v>963</v>
      </c>
      <c r="B258" s="39">
        <v>2526</v>
      </c>
      <c r="C258" s="39">
        <v>2812</v>
      </c>
      <c r="D258" s="39">
        <v>1885</v>
      </c>
      <c r="E258" s="39">
        <v>1859</v>
      </c>
      <c r="F258" s="39">
        <v>1363</v>
      </c>
      <c r="G258" s="39">
        <v>1537</v>
      </c>
      <c r="H258" s="39">
        <v>1028</v>
      </c>
      <c r="I258" s="39">
        <v>990</v>
      </c>
      <c r="J258" s="39">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c r="AE258" s="19"/>
    </row>
    <row r="259" spans="1:34" hidden="1">
      <c r="A259" s="39" t="s">
        <v>797</v>
      </c>
      <c r="B259" s="39">
        <v>6506</v>
      </c>
      <c r="C259" s="39">
        <v>1653</v>
      </c>
      <c r="D259" s="39">
        <v>1706</v>
      </c>
      <c r="E259" s="39">
        <v>3416</v>
      </c>
      <c r="F259" s="39">
        <v>2077</v>
      </c>
      <c r="G259" s="39">
        <v>1490</v>
      </c>
      <c r="H259" s="39">
        <v>1556</v>
      </c>
      <c r="I259" s="39">
        <v>1335</v>
      </c>
      <c r="J259" s="39">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c r="AD259" t="s">
        <v>790</v>
      </c>
      <c r="AE259" s="19">
        <v>1005</v>
      </c>
      <c r="AF259">
        <v>2708</v>
      </c>
      <c r="AG259">
        <v>899</v>
      </c>
      <c r="AH259">
        <v>2439</v>
      </c>
    </row>
    <row r="260" spans="1:34" hidden="1">
      <c r="A260" s="39" t="s">
        <v>1414</v>
      </c>
      <c r="B260" s="39">
        <v>174</v>
      </c>
      <c r="C260" s="39">
        <v>135</v>
      </c>
      <c r="D260" s="39">
        <v>92</v>
      </c>
      <c r="E260" s="39">
        <v>87</v>
      </c>
      <c r="F260" s="39">
        <v>54</v>
      </c>
      <c r="G260" s="39">
        <v>58</v>
      </c>
      <c r="H260" s="39">
        <v>62</v>
      </c>
      <c r="I260" s="39">
        <v>54</v>
      </c>
      <c r="J260" s="39">
        <v>44</v>
      </c>
      <c r="K260">
        <v>42</v>
      </c>
      <c r="L260">
        <v>58</v>
      </c>
      <c r="M260">
        <v>59</v>
      </c>
      <c r="N260">
        <v>44</v>
      </c>
      <c r="O260">
        <v>0</v>
      </c>
      <c r="P260">
        <v>0</v>
      </c>
      <c r="Q260">
        <v>0</v>
      </c>
      <c r="R260">
        <v>0</v>
      </c>
      <c r="S260">
        <v>0</v>
      </c>
      <c r="T260">
        <v>0</v>
      </c>
      <c r="U260">
        <v>0</v>
      </c>
      <c r="V260">
        <v>0</v>
      </c>
      <c r="W260">
        <v>0</v>
      </c>
      <c r="X260">
        <v>0</v>
      </c>
      <c r="Y260">
        <v>0</v>
      </c>
      <c r="Z260">
        <v>0</v>
      </c>
      <c r="AA260">
        <v>0</v>
      </c>
      <c r="AD260" t="s">
        <v>918</v>
      </c>
      <c r="AE260" s="19">
        <v>1039</v>
      </c>
      <c r="AF260">
        <v>4619</v>
      </c>
      <c r="AG260">
        <v>1048</v>
      </c>
      <c r="AH260">
        <v>4768</v>
      </c>
    </row>
    <row r="261" spans="1:34" hidden="1">
      <c r="A261" s="39" t="s">
        <v>1415</v>
      </c>
      <c r="B261" s="39">
        <v>469</v>
      </c>
      <c r="C261" s="39">
        <v>547</v>
      </c>
      <c r="D261" s="39">
        <v>493</v>
      </c>
      <c r="E261" s="39">
        <v>532</v>
      </c>
      <c r="F261" s="39">
        <v>375</v>
      </c>
      <c r="G261" s="39">
        <v>375</v>
      </c>
      <c r="H261" s="39">
        <v>334</v>
      </c>
      <c r="I261" s="39">
        <v>408</v>
      </c>
      <c r="J261" s="39">
        <v>310</v>
      </c>
      <c r="K261">
        <v>261</v>
      </c>
      <c r="L261">
        <v>31</v>
      </c>
      <c r="M261">
        <v>0</v>
      </c>
      <c r="N261">
        <v>0</v>
      </c>
      <c r="O261">
        <v>234</v>
      </c>
      <c r="P261">
        <v>196</v>
      </c>
      <c r="Q261">
        <v>198</v>
      </c>
      <c r="R261">
        <v>207</v>
      </c>
      <c r="S261">
        <v>187</v>
      </c>
      <c r="T261">
        <v>164</v>
      </c>
      <c r="U261">
        <v>155</v>
      </c>
      <c r="V261">
        <v>182</v>
      </c>
      <c r="W261">
        <v>151</v>
      </c>
      <c r="X261">
        <v>98</v>
      </c>
      <c r="Y261">
        <v>4</v>
      </c>
      <c r="Z261">
        <v>0</v>
      </c>
      <c r="AA261">
        <v>0</v>
      </c>
      <c r="AD261" t="s">
        <v>786</v>
      </c>
      <c r="AE261" s="19">
        <v>1195</v>
      </c>
      <c r="AF261">
        <v>4657</v>
      </c>
      <c r="AG261">
        <v>1234</v>
      </c>
      <c r="AH261">
        <v>5817</v>
      </c>
    </row>
    <row r="262" spans="1:34" hidden="1">
      <c r="A262" s="39" t="s">
        <v>833</v>
      </c>
      <c r="B262" s="39">
        <v>1174</v>
      </c>
      <c r="C262" s="39">
        <v>1444</v>
      </c>
      <c r="D262" s="39">
        <v>894</v>
      </c>
      <c r="E262" s="39">
        <v>634</v>
      </c>
      <c r="F262" s="39">
        <v>688</v>
      </c>
      <c r="G262" s="39">
        <v>950</v>
      </c>
      <c r="H262" s="39">
        <v>795</v>
      </c>
      <c r="I262" s="39">
        <v>1036</v>
      </c>
      <c r="J262" s="39">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c r="AD262" t="s">
        <v>750</v>
      </c>
      <c r="AE262" s="19">
        <v>2263</v>
      </c>
      <c r="AF262">
        <v>9919</v>
      </c>
      <c r="AG262">
        <v>1449</v>
      </c>
      <c r="AH262">
        <v>6933</v>
      </c>
    </row>
    <row r="263" spans="1:34" hidden="1">
      <c r="A263" s="39" t="s">
        <v>730</v>
      </c>
      <c r="B263" s="39">
        <v>2377</v>
      </c>
      <c r="C263" s="39">
        <v>2724</v>
      </c>
      <c r="D263" s="39">
        <v>2647</v>
      </c>
      <c r="E263" s="39">
        <v>2129</v>
      </c>
      <c r="F263" s="39">
        <v>1557</v>
      </c>
      <c r="G263" s="39">
        <v>2007</v>
      </c>
      <c r="H263" s="39">
        <v>1624</v>
      </c>
      <c r="I263" s="39">
        <v>1818</v>
      </c>
      <c r="J263" s="39">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c r="AD263" t="s">
        <v>752</v>
      </c>
      <c r="AE263" s="19">
        <v>2201</v>
      </c>
      <c r="AF263">
        <v>4203</v>
      </c>
      <c r="AG263">
        <v>2213</v>
      </c>
      <c r="AH263">
        <v>4449</v>
      </c>
    </row>
    <row r="264" spans="1:34" hidden="1">
      <c r="A264" s="39" t="s">
        <v>1039</v>
      </c>
      <c r="B264" s="39">
        <v>5506</v>
      </c>
      <c r="C264" s="39">
        <v>6106</v>
      </c>
      <c r="D264" s="39">
        <v>7999</v>
      </c>
      <c r="E264" s="39">
        <v>9107</v>
      </c>
      <c r="F264" s="39">
        <v>5073</v>
      </c>
      <c r="G264" s="39">
        <v>15811</v>
      </c>
      <c r="H264" s="39">
        <v>7910</v>
      </c>
      <c r="I264" s="39">
        <v>2182</v>
      </c>
      <c r="J264" s="39">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c r="AD264" t="s">
        <v>953</v>
      </c>
      <c r="AE264" s="19">
        <v>1667</v>
      </c>
      <c r="AF264">
        <v>5879</v>
      </c>
      <c r="AG264">
        <v>1562</v>
      </c>
      <c r="AH264">
        <v>5830</v>
      </c>
    </row>
    <row r="265" spans="1:34" hidden="1">
      <c r="A265" s="39" t="s">
        <v>1181</v>
      </c>
      <c r="B265" s="39">
        <v>542</v>
      </c>
      <c r="C265" s="39">
        <v>447</v>
      </c>
      <c r="D265" s="39">
        <v>282</v>
      </c>
      <c r="E265" s="39">
        <v>395</v>
      </c>
      <c r="F265" s="39">
        <v>247</v>
      </c>
      <c r="G265" s="39">
        <v>312</v>
      </c>
      <c r="H265" s="39">
        <v>1053</v>
      </c>
      <c r="I265" s="39">
        <v>318</v>
      </c>
      <c r="J265" s="39">
        <v>1010</v>
      </c>
      <c r="K265">
        <v>638</v>
      </c>
      <c r="L265">
        <v>457</v>
      </c>
      <c r="M265">
        <v>589</v>
      </c>
      <c r="N265">
        <v>743</v>
      </c>
      <c r="O265">
        <v>108</v>
      </c>
      <c r="P265">
        <v>72</v>
      </c>
      <c r="Q265">
        <v>63</v>
      </c>
      <c r="R265">
        <v>93</v>
      </c>
      <c r="S265">
        <v>105</v>
      </c>
      <c r="T265">
        <v>110</v>
      </c>
      <c r="U265">
        <v>297</v>
      </c>
      <c r="V265">
        <v>95</v>
      </c>
      <c r="W265">
        <v>286</v>
      </c>
      <c r="X265">
        <v>249</v>
      </c>
      <c r="Y265">
        <v>198</v>
      </c>
      <c r="Z265">
        <v>187</v>
      </c>
      <c r="AA265">
        <v>192</v>
      </c>
      <c r="AD265" t="s">
        <v>890</v>
      </c>
      <c r="AE265" s="19">
        <v>4039</v>
      </c>
      <c r="AF265">
        <v>7601</v>
      </c>
      <c r="AG265">
        <v>3609</v>
      </c>
      <c r="AH265">
        <v>6505</v>
      </c>
    </row>
    <row r="266" spans="1:34" hidden="1">
      <c r="A266" s="39" t="s">
        <v>711</v>
      </c>
      <c r="B266" s="39">
        <v>10487</v>
      </c>
      <c r="C266" s="39">
        <v>11096</v>
      </c>
      <c r="D266" s="39">
        <v>9969</v>
      </c>
      <c r="E266" s="39">
        <v>12032</v>
      </c>
      <c r="F266" s="39">
        <v>10029</v>
      </c>
      <c r="G266" s="39">
        <v>8746</v>
      </c>
      <c r="H266" s="39">
        <v>7125</v>
      </c>
      <c r="I266" s="39">
        <v>8281</v>
      </c>
      <c r="J266" s="39">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c r="AD266" t="s">
        <v>770</v>
      </c>
      <c r="AE266" s="19">
        <v>1372</v>
      </c>
      <c r="AF266">
        <v>4022</v>
      </c>
      <c r="AG266">
        <v>1251</v>
      </c>
      <c r="AH266">
        <v>3319</v>
      </c>
    </row>
    <row r="267" spans="1:34" hidden="1">
      <c r="A267" s="39" t="s">
        <v>270</v>
      </c>
      <c r="B267" s="39">
        <v>386</v>
      </c>
      <c r="C267" s="39">
        <v>647</v>
      </c>
      <c r="D267" s="39">
        <v>473</v>
      </c>
      <c r="E267" s="39">
        <v>454</v>
      </c>
      <c r="F267" s="39">
        <v>433</v>
      </c>
      <c r="G267" s="39">
        <v>448</v>
      </c>
      <c r="H267" s="39">
        <v>460</v>
      </c>
      <c r="I267" s="39">
        <v>491</v>
      </c>
      <c r="J267" s="39">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c r="AD267" t="s">
        <v>924</v>
      </c>
      <c r="AE267" s="19">
        <v>1220</v>
      </c>
      <c r="AF267">
        <v>3596</v>
      </c>
      <c r="AG267">
        <v>1315</v>
      </c>
      <c r="AH267">
        <v>3520</v>
      </c>
    </row>
    <row r="268" spans="1:34" hidden="1">
      <c r="A268" s="39" t="s">
        <v>1416</v>
      </c>
      <c r="B268" s="39">
        <v>445</v>
      </c>
      <c r="C268" s="39">
        <v>551</v>
      </c>
      <c r="D268" s="39">
        <v>534</v>
      </c>
      <c r="E268" s="39">
        <v>388</v>
      </c>
      <c r="F268" s="39">
        <v>262</v>
      </c>
      <c r="G268" s="39">
        <v>245</v>
      </c>
      <c r="H268" s="39">
        <v>228</v>
      </c>
      <c r="I268" s="39">
        <v>232</v>
      </c>
      <c r="J268" s="39">
        <v>134</v>
      </c>
      <c r="K268">
        <v>38</v>
      </c>
      <c r="L268">
        <v>0</v>
      </c>
      <c r="M268">
        <v>0</v>
      </c>
      <c r="N268">
        <v>0</v>
      </c>
      <c r="O268">
        <v>167</v>
      </c>
      <c r="P268">
        <v>239</v>
      </c>
      <c r="Q268">
        <v>240</v>
      </c>
      <c r="R268">
        <v>162</v>
      </c>
      <c r="S268">
        <v>123</v>
      </c>
      <c r="T268">
        <v>90</v>
      </c>
      <c r="U268">
        <v>96</v>
      </c>
      <c r="V268">
        <v>94</v>
      </c>
      <c r="W268">
        <v>50</v>
      </c>
      <c r="X268">
        <v>1</v>
      </c>
      <c r="Y268">
        <v>0</v>
      </c>
      <c r="Z268">
        <v>0</v>
      </c>
      <c r="AA268">
        <v>0</v>
      </c>
      <c r="AD268" t="s">
        <v>1310</v>
      </c>
      <c r="AE268" s="19">
        <v>3</v>
      </c>
      <c r="AF268">
        <v>17</v>
      </c>
      <c r="AH268">
        <v>0</v>
      </c>
    </row>
    <row r="269" spans="1:34" hidden="1">
      <c r="A269" s="39" t="s">
        <v>1215</v>
      </c>
      <c r="B269" s="39">
        <v>567</v>
      </c>
      <c r="C269" s="39">
        <v>717</v>
      </c>
      <c r="D269" s="39">
        <v>613</v>
      </c>
      <c r="E269" s="39">
        <v>721</v>
      </c>
      <c r="F269" s="39">
        <v>711</v>
      </c>
      <c r="G269" s="39">
        <v>650</v>
      </c>
      <c r="H269" s="39">
        <v>795</v>
      </c>
      <c r="I269" s="39">
        <v>643</v>
      </c>
      <c r="J269" s="39">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c r="AE269" s="19"/>
      <c r="AH269">
        <v>0</v>
      </c>
    </row>
    <row r="270" spans="1:34" hidden="1">
      <c r="A270" s="39" t="s">
        <v>1234</v>
      </c>
      <c r="B270" s="39">
        <v>776</v>
      </c>
      <c r="C270" s="39">
        <v>961</v>
      </c>
      <c r="D270" s="39">
        <v>1120</v>
      </c>
      <c r="E270" s="39">
        <v>2090</v>
      </c>
      <c r="F270" s="39">
        <v>1559</v>
      </c>
      <c r="G270" s="39">
        <v>1571</v>
      </c>
      <c r="H270" s="39">
        <v>1068</v>
      </c>
      <c r="I270" s="39">
        <v>1080</v>
      </c>
      <c r="J270" s="39">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c r="AD270" s="27" t="s">
        <v>959</v>
      </c>
      <c r="AE270" s="19">
        <v>934</v>
      </c>
      <c r="AF270">
        <v>3630</v>
      </c>
      <c r="AG270">
        <v>1029</v>
      </c>
      <c r="AH270">
        <v>3531</v>
      </c>
    </row>
    <row r="271" spans="1:34" hidden="1">
      <c r="A271" s="39" t="s">
        <v>1220</v>
      </c>
      <c r="B271" s="39">
        <v>1071</v>
      </c>
      <c r="C271" s="39">
        <v>848</v>
      </c>
      <c r="D271" s="39">
        <v>759</v>
      </c>
      <c r="E271" s="39">
        <v>3829</v>
      </c>
      <c r="F271" s="39">
        <v>15</v>
      </c>
      <c r="G271" s="39">
        <v>466</v>
      </c>
      <c r="H271" s="39">
        <v>114</v>
      </c>
      <c r="I271" s="39">
        <v>1150</v>
      </c>
      <c r="J271" s="39">
        <v>613</v>
      </c>
      <c r="K271">
        <v>593</v>
      </c>
      <c r="L271">
        <v>432</v>
      </c>
      <c r="M271">
        <v>388</v>
      </c>
      <c r="N271">
        <v>425</v>
      </c>
      <c r="O271">
        <v>271</v>
      </c>
      <c r="P271">
        <v>233</v>
      </c>
      <c r="Q271">
        <v>206</v>
      </c>
      <c r="R271">
        <v>936</v>
      </c>
      <c r="S271">
        <v>5</v>
      </c>
      <c r="T271">
        <v>34</v>
      </c>
      <c r="U271">
        <v>22</v>
      </c>
      <c r="V271">
        <v>320</v>
      </c>
      <c r="W271">
        <v>135</v>
      </c>
      <c r="X271">
        <v>166</v>
      </c>
      <c r="Y271">
        <v>123</v>
      </c>
      <c r="Z271">
        <v>91</v>
      </c>
      <c r="AA271">
        <v>132</v>
      </c>
      <c r="AD271" t="s">
        <v>824</v>
      </c>
      <c r="AE271" s="19">
        <v>1303</v>
      </c>
      <c r="AF271">
        <v>3252</v>
      </c>
      <c r="AG271">
        <v>1070</v>
      </c>
      <c r="AH271">
        <v>2853</v>
      </c>
    </row>
    <row r="272" spans="1:34" hidden="1">
      <c r="A272" s="39" t="s">
        <v>1417</v>
      </c>
      <c r="B272" s="39">
        <v>0</v>
      </c>
      <c r="C272" s="39">
        <v>0</v>
      </c>
      <c r="D272" s="39">
        <v>0</v>
      </c>
      <c r="E272" s="39">
        <v>7</v>
      </c>
      <c r="F272" s="39">
        <v>127</v>
      </c>
      <c r="G272" s="39">
        <v>250</v>
      </c>
      <c r="H272" s="39">
        <v>317</v>
      </c>
      <c r="I272" s="39">
        <v>232</v>
      </c>
      <c r="J272" s="39">
        <v>152</v>
      </c>
      <c r="K272">
        <v>247</v>
      </c>
      <c r="L272">
        <v>175</v>
      </c>
      <c r="M272">
        <v>191</v>
      </c>
      <c r="N272">
        <v>365</v>
      </c>
      <c r="O272">
        <v>0</v>
      </c>
      <c r="P272">
        <v>0</v>
      </c>
      <c r="Q272">
        <v>0</v>
      </c>
      <c r="R272">
        <v>0</v>
      </c>
      <c r="S272">
        <v>22</v>
      </c>
      <c r="T272">
        <v>60</v>
      </c>
      <c r="U272">
        <v>93</v>
      </c>
      <c r="V272">
        <v>62</v>
      </c>
      <c r="W272">
        <v>43</v>
      </c>
      <c r="X272">
        <v>86</v>
      </c>
      <c r="Y272">
        <v>81</v>
      </c>
      <c r="Z272">
        <v>36</v>
      </c>
      <c r="AA272">
        <v>127</v>
      </c>
      <c r="AE272" s="19"/>
      <c r="AH272">
        <v>0</v>
      </c>
    </row>
    <row r="273" spans="1:34" hidden="1">
      <c r="A273" s="39" t="s">
        <v>1418</v>
      </c>
      <c r="B273" s="39">
        <v>0</v>
      </c>
      <c r="C273" s="39">
        <v>0</v>
      </c>
      <c r="D273" s="39">
        <v>0</v>
      </c>
      <c r="E273" s="39">
        <v>7</v>
      </c>
      <c r="F273" s="39">
        <v>78</v>
      </c>
      <c r="G273" s="39">
        <v>758</v>
      </c>
      <c r="H273" s="39">
        <v>617</v>
      </c>
      <c r="I273" s="39">
        <v>591</v>
      </c>
      <c r="J273" s="39">
        <v>618</v>
      </c>
      <c r="K273">
        <v>457</v>
      </c>
      <c r="L273">
        <v>472</v>
      </c>
      <c r="M273">
        <v>582</v>
      </c>
      <c r="N273">
        <v>713</v>
      </c>
      <c r="O273">
        <v>0</v>
      </c>
      <c r="P273">
        <v>0</v>
      </c>
      <c r="Q273">
        <v>0</v>
      </c>
      <c r="R273">
        <v>0</v>
      </c>
      <c r="S273">
        <v>12</v>
      </c>
      <c r="T273">
        <v>212</v>
      </c>
      <c r="U273">
        <v>201</v>
      </c>
      <c r="V273">
        <v>156</v>
      </c>
      <c r="W273">
        <v>142</v>
      </c>
      <c r="X273">
        <v>107</v>
      </c>
      <c r="Y273">
        <v>138</v>
      </c>
      <c r="Z273">
        <v>142</v>
      </c>
      <c r="AA273">
        <v>168</v>
      </c>
      <c r="AD273" t="s">
        <v>941</v>
      </c>
      <c r="AE273" s="19">
        <v>706</v>
      </c>
      <c r="AF273">
        <v>2196</v>
      </c>
      <c r="AG273">
        <v>732</v>
      </c>
      <c r="AH273">
        <v>2397</v>
      </c>
    </row>
    <row r="274" spans="1:34" hidden="1">
      <c r="A274" s="39" t="s">
        <v>1064</v>
      </c>
      <c r="B274" s="39">
        <v>1376</v>
      </c>
      <c r="C274" s="39">
        <v>1490</v>
      </c>
      <c r="D274" s="39">
        <v>1633</v>
      </c>
      <c r="E274" s="39">
        <v>2115</v>
      </c>
      <c r="F274" s="39">
        <v>2313</v>
      </c>
      <c r="G274" s="39">
        <v>2024</v>
      </c>
      <c r="H274" s="39">
        <v>1534</v>
      </c>
      <c r="I274" s="39">
        <v>1289</v>
      </c>
      <c r="J274" s="39">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c r="AD274" t="s">
        <v>898</v>
      </c>
      <c r="AE274" s="19">
        <v>995</v>
      </c>
      <c r="AF274">
        <v>2538</v>
      </c>
      <c r="AG274">
        <v>871</v>
      </c>
      <c r="AH274">
        <v>2270</v>
      </c>
    </row>
    <row r="275" spans="1:34" hidden="1">
      <c r="A275" s="39" t="s">
        <v>1151</v>
      </c>
      <c r="B275" s="39">
        <v>1494</v>
      </c>
      <c r="C275" s="39">
        <v>1532</v>
      </c>
      <c r="D275" s="39">
        <v>901</v>
      </c>
      <c r="E275" s="39">
        <v>903</v>
      </c>
      <c r="F275" s="39">
        <v>880</v>
      </c>
      <c r="G275" s="39">
        <v>537</v>
      </c>
      <c r="H275" s="39">
        <v>563</v>
      </c>
      <c r="I275" s="39">
        <v>485</v>
      </c>
      <c r="J275" s="39">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c r="AD275" t="s">
        <v>866</v>
      </c>
      <c r="AE275" s="19">
        <v>942</v>
      </c>
      <c r="AF275">
        <v>2473</v>
      </c>
      <c r="AG275">
        <v>937</v>
      </c>
      <c r="AH275">
        <v>2832</v>
      </c>
    </row>
    <row r="276" spans="1:34" hidden="1">
      <c r="A276" s="39" t="s">
        <v>1153</v>
      </c>
      <c r="B276" s="39">
        <v>1023</v>
      </c>
      <c r="C276" s="39">
        <v>1283</v>
      </c>
      <c r="D276" s="39">
        <v>920</v>
      </c>
      <c r="E276" s="39">
        <v>1123</v>
      </c>
      <c r="F276" s="39">
        <v>615</v>
      </c>
      <c r="G276" s="39">
        <v>941</v>
      </c>
      <c r="H276" s="39">
        <v>626</v>
      </c>
      <c r="I276" s="39">
        <v>624</v>
      </c>
      <c r="J276" s="39">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c r="AD276" t="s">
        <v>835</v>
      </c>
      <c r="AE276" s="19">
        <v>697</v>
      </c>
      <c r="AF276">
        <v>1674</v>
      </c>
      <c r="AG276">
        <v>655</v>
      </c>
      <c r="AH276">
        <v>1477</v>
      </c>
    </row>
    <row r="277" spans="1:34" hidden="1">
      <c r="A277" s="39" t="s">
        <v>1316</v>
      </c>
      <c r="B277" s="39">
        <v>377</v>
      </c>
      <c r="C277" s="39">
        <v>285</v>
      </c>
      <c r="D277" s="39">
        <v>264</v>
      </c>
      <c r="E277" s="39">
        <v>244</v>
      </c>
      <c r="F277" s="39">
        <v>128</v>
      </c>
      <c r="G277" s="39">
        <v>161</v>
      </c>
      <c r="H277" s="39">
        <v>152</v>
      </c>
      <c r="I277" s="39">
        <v>126</v>
      </c>
      <c r="J277" s="39">
        <v>96</v>
      </c>
      <c r="K277">
        <v>64</v>
      </c>
      <c r="L277">
        <v>65</v>
      </c>
      <c r="M277">
        <v>50</v>
      </c>
      <c r="N277">
        <v>0</v>
      </c>
      <c r="O277">
        <v>125</v>
      </c>
      <c r="P277">
        <v>93</v>
      </c>
      <c r="Q277">
        <v>57</v>
      </c>
      <c r="R277">
        <v>87</v>
      </c>
      <c r="S277">
        <v>53</v>
      </c>
      <c r="T277">
        <v>79</v>
      </c>
      <c r="U277">
        <v>81</v>
      </c>
      <c r="V277">
        <v>52</v>
      </c>
      <c r="W277">
        <v>43</v>
      </c>
      <c r="X277">
        <v>47</v>
      </c>
      <c r="Y277">
        <v>42</v>
      </c>
      <c r="Z277">
        <v>35</v>
      </c>
      <c r="AA277">
        <v>1</v>
      </c>
      <c r="AE277" s="19"/>
      <c r="AH277">
        <v>0</v>
      </c>
    </row>
    <row r="278" spans="1:34" hidden="1">
      <c r="A278" s="39" t="s">
        <v>1046</v>
      </c>
      <c r="B278" s="39">
        <v>3171</v>
      </c>
      <c r="C278" s="39">
        <v>4127</v>
      </c>
      <c r="D278" s="39">
        <v>3524</v>
      </c>
      <c r="E278" s="39">
        <v>3184</v>
      </c>
      <c r="F278" s="39">
        <v>2090</v>
      </c>
      <c r="G278" s="39">
        <v>2207</v>
      </c>
      <c r="H278" s="39">
        <v>2204</v>
      </c>
      <c r="I278" s="39">
        <v>1840</v>
      </c>
      <c r="J278" s="39">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c r="AD278" t="s">
        <v>931</v>
      </c>
      <c r="AE278" s="19">
        <v>1841</v>
      </c>
      <c r="AF278">
        <v>5613</v>
      </c>
      <c r="AG278">
        <v>1598</v>
      </c>
      <c r="AH278">
        <v>4088</v>
      </c>
    </row>
    <row r="279" spans="1:34" hidden="1">
      <c r="A279" s="39" t="s">
        <v>1107</v>
      </c>
      <c r="B279" s="39">
        <v>2072</v>
      </c>
      <c r="C279" s="39">
        <v>1791</v>
      </c>
      <c r="D279" s="39">
        <v>1421</v>
      </c>
      <c r="E279" s="39">
        <v>1912</v>
      </c>
      <c r="F279" s="39">
        <v>1584</v>
      </c>
      <c r="G279" s="39">
        <v>1583</v>
      </c>
      <c r="H279" s="39">
        <v>1623</v>
      </c>
      <c r="I279" s="39">
        <v>1306</v>
      </c>
      <c r="J279" s="39">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c r="AE279" s="19"/>
      <c r="AH279">
        <v>0</v>
      </c>
    </row>
    <row r="280" spans="1:34" hidden="1">
      <c r="A280" s="39" t="s">
        <v>1419</v>
      </c>
      <c r="B280" s="39">
        <v>187</v>
      </c>
      <c r="C280" s="39">
        <v>195</v>
      </c>
      <c r="D280" s="39">
        <v>162</v>
      </c>
      <c r="E280" s="39">
        <v>91</v>
      </c>
      <c r="F280" s="39">
        <v>296</v>
      </c>
      <c r="G280" s="39">
        <v>376</v>
      </c>
      <c r="H280" s="39">
        <v>287</v>
      </c>
      <c r="I280" s="39">
        <v>274</v>
      </c>
      <c r="J280" s="39">
        <v>175</v>
      </c>
      <c r="K280">
        <v>139</v>
      </c>
      <c r="L280">
        <v>142</v>
      </c>
      <c r="M280">
        <v>137</v>
      </c>
      <c r="N280">
        <v>269</v>
      </c>
      <c r="O280">
        <v>0</v>
      </c>
      <c r="P280">
        <v>0</v>
      </c>
      <c r="Q280">
        <v>0</v>
      </c>
      <c r="R280">
        <v>0</v>
      </c>
      <c r="S280">
        <v>0</v>
      </c>
      <c r="T280">
        <v>0</v>
      </c>
      <c r="U280">
        <v>0</v>
      </c>
      <c r="V280">
        <v>0</v>
      </c>
      <c r="W280">
        <v>0</v>
      </c>
      <c r="X280">
        <v>0</v>
      </c>
      <c r="Y280">
        <v>0</v>
      </c>
      <c r="Z280">
        <v>0</v>
      </c>
      <c r="AA280">
        <v>0</v>
      </c>
      <c r="AD280" t="s">
        <v>949</v>
      </c>
      <c r="AE280" s="19">
        <v>337</v>
      </c>
      <c r="AF280">
        <v>1555</v>
      </c>
      <c r="AG280">
        <v>605</v>
      </c>
      <c r="AH280">
        <v>2345</v>
      </c>
    </row>
    <row r="281" spans="1:34" hidden="1">
      <c r="A281" s="39" t="s">
        <v>103</v>
      </c>
      <c r="B281" s="39">
        <v>3502</v>
      </c>
      <c r="C281" s="39">
        <v>2908</v>
      </c>
      <c r="D281" s="39">
        <v>1916</v>
      </c>
      <c r="E281" s="39">
        <v>1345</v>
      </c>
      <c r="F281" s="39">
        <v>1184</v>
      </c>
      <c r="G281" s="39">
        <v>1013</v>
      </c>
      <c r="H281" s="39">
        <v>922</v>
      </c>
      <c r="I281" s="39">
        <v>1373</v>
      </c>
      <c r="J281" s="39">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c r="AD281" t="s">
        <v>888</v>
      </c>
      <c r="AE281" s="19">
        <v>456</v>
      </c>
      <c r="AF281">
        <v>1042</v>
      </c>
      <c r="AG281">
        <v>409</v>
      </c>
      <c r="AH281">
        <v>1124</v>
      </c>
    </row>
    <row r="282" spans="1:34" hidden="1">
      <c r="A282" s="39" t="s">
        <v>418</v>
      </c>
      <c r="B282" s="39">
        <v>955</v>
      </c>
      <c r="C282" s="39">
        <v>925</v>
      </c>
      <c r="D282" s="39">
        <v>790</v>
      </c>
      <c r="E282" s="39">
        <v>789</v>
      </c>
      <c r="F282" s="39">
        <v>679</v>
      </c>
      <c r="G282" s="39">
        <v>900</v>
      </c>
      <c r="H282" s="39">
        <v>740</v>
      </c>
      <c r="I282" s="39">
        <v>672</v>
      </c>
      <c r="J282" s="39">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c r="AD282" t="s">
        <v>809</v>
      </c>
      <c r="AE282" s="19">
        <v>1330</v>
      </c>
      <c r="AF282">
        <v>3293</v>
      </c>
      <c r="AG282">
        <v>1483</v>
      </c>
      <c r="AH282">
        <v>4447</v>
      </c>
    </row>
    <row r="283" spans="1:34" hidden="1">
      <c r="A283" s="39" t="s">
        <v>208</v>
      </c>
      <c r="B283" s="39">
        <v>926</v>
      </c>
      <c r="C283" s="39">
        <v>1037</v>
      </c>
      <c r="D283" s="39">
        <v>1105</v>
      </c>
      <c r="E283" s="39">
        <v>1299</v>
      </c>
      <c r="F283" s="39">
        <v>1069</v>
      </c>
      <c r="G283" s="39">
        <v>1267</v>
      </c>
      <c r="H283" s="39">
        <v>832</v>
      </c>
      <c r="I283" s="39">
        <v>1225</v>
      </c>
      <c r="J283" s="39">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c r="AD283" t="s">
        <v>874</v>
      </c>
      <c r="AE283" s="19">
        <v>736</v>
      </c>
      <c r="AF283">
        <v>3441</v>
      </c>
      <c r="AG283">
        <v>727</v>
      </c>
      <c r="AH283">
        <v>3537</v>
      </c>
    </row>
    <row r="284" spans="1:34" hidden="1">
      <c r="A284" s="39" t="s">
        <v>616</v>
      </c>
      <c r="B284" s="39">
        <v>3641</v>
      </c>
      <c r="C284" s="39">
        <v>2735</v>
      </c>
      <c r="D284" s="39">
        <v>3567</v>
      </c>
      <c r="E284" s="39">
        <v>2779</v>
      </c>
      <c r="F284" s="39">
        <v>2881</v>
      </c>
      <c r="G284" s="39">
        <v>2559</v>
      </c>
      <c r="H284" s="39">
        <v>2501</v>
      </c>
      <c r="I284" s="39">
        <v>2075</v>
      </c>
      <c r="J284" s="39">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c r="AE284" s="19"/>
      <c r="AH284">
        <v>0</v>
      </c>
    </row>
    <row r="285" spans="1:34" hidden="1">
      <c r="A285" s="39" t="s">
        <v>686</v>
      </c>
      <c r="B285" s="39">
        <v>1513</v>
      </c>
      <c r="C285" s="39">
        <v>1383</v>
      </c>
      <c r="D285" s="39">
        <v>1814</v>
      </c>
      <c r="E285" s="39">
        <v>2238</v>
      </c>
      <c r="F285" s="39">
        <v>1732</v>
      </c>
      <c r="G285" s="39">
        <v>1325</v>
      </c>
      <c r="H285" s="39">
        <v>1186</v>
      </c>
      <c r="I285" s="39">
        <v>5017</v>
      </c>
      <c r="J285" s="39">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c r="AD285" s="37" t="s">
        <v>735</v>
      </c>
      <c r="AE285" s="19">
        <v>1391</v>
      </c>
      <c r="AF285">
        <v>4065</v>
      </c>
      <c r="AG285">
        <v>1341</v>
      </c>
      <c r="AH285">
        <v>3689</v>
      </c>
    </row>
    <row r="286" spans="1:34" hidden="1">
      <c r="A286" s="39" t="s">
        <v>688</v>
      </c>
      <c r="B286" s="39">
        <v>3781</v>
      </c>
      <c r="C286" s="39">
        <v>2038</v>
      </c>
      <c r="D286" s="39">
        <v>5905</v>
      </c>
      <c r="E286" s="39">
        <v>1004</v>
      </c>
      <c r="F286" s="39">
        <v>817</v>
      </c>
      <c r="G286" s="39">
        <v>984</v>
      </c>
      <c r="H286" s="39">
        <v>795</v>
      </c>
      <c r="I286" s="39">
        <v>1122</v>
      </c>
      <c r="J286" s="39">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c r="AD286" t="s">
        <v>979</v>
      </c>
      <c r="AE286" s="19">
        <v>1388</v>
      </c>
      <c r="AF286">
        <v>3467</v>
      </c>
      <c r="AG286">
        <v>1360</v>
      </c>
      <c r="AH286">
        <v>3409</v>
      </c>
    </row>
    <row r="287" spans="1:34" hidden="1">
      <c r="A287" s="39" t="s">
        <v>614</v>
      </c>
      <c r="B287" s="39">
        <v>2591</v>
      </c>
      <c r="C287" s="39">
        <v>5074</v>
      </c>
      <c r="D287" s="39">
        <v>3286</v>
      </c>
      <c r="E287" s="39">
        <v>4622</v>
      </c>
      <c r="F287" s="39">
        <v>4504</v>
      </c>
      <c r="G287" s="39">
        <v>2900</v>
      </c>
      <c r="H287" s="39">
        <v>1937</v>
      </c>
      <c r="I287" s="39">
        <v>2049</v>
      </c>
      <c r="J287" s="39">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c r="AD287" s="27" t="s">
        <v>774</v>
      </c>
      <c r="AE287" s="19">
        <v>2475</v>
      </c>
      <c r="AF287">
        <v>7874</v>
      </c>
      <c r="AG287">
        <v>3017</v>
      </c>
      <c r="AH287">
        <v>9520</v>
      </c>
    </row>
    <row r="288" spans="1:34" hidden="1">
      <c r="A288" s="39" t="s">
        <v>296</v>
      </c>
      <c r="B288" s="39">
        <v>0</v>
      </c>
      <c r="C288" s="39">
        <v>0</v>
      </c>
      <c r="D288" s="39">
        <v>0</v>
      </c>
      <c r="E288" s="39">
        <v>0</v>
      </c>
      <c r="F288" s="39">
        <v>0</v>
      </c>
      <c r="G288" s="39">
        <v>0</v>
      </c>
      <c r="H288" s="39">
        <v>44</v>
      </c>
      <c r="I288" s="39">
        <v>357</v>
      </c>
      <c r="J288" s="39">
        <v>1127</v>
      </c>
      <c r="K288">
        <v>1177</v>
      </c>
      <c r="L288">
        <v>707</v>
      </c>
      <c r="M288">
        <v>531</v>
      </c>
      <c r="N288">
        <v>704</v>
      </c>
      <c r="O288">
        <v>0</v>
      </c>
      <c r="P288">
        <v>0</v>
      </c>
      <c r="Q288">
        <v>0</v>
      </c>
      <c r="R288">
        <v>0</v>
      </c>
      <c r="S288">
        <v>0</v>
      </c>
      <c r="T288">
        <v>0</v>
      </c>
      <c r="U288">
        <v>1</v>
      </c>
      <c r="V288">
        <v>40</v>
      </c>
      <c r="W288">
        <v>101</v>
      </c>
      <c r="X288">
        <v>130</v>
      </c>
      <c r="Y288">
        <v>104</v>
      </c>
      <c r="Z288">
        <v>63</v>
      </c>
      <c r="AA288">
        <v>101</v>
      </c>
      <c r="AE288" s="19"/>
      <c r="AH288">
        <v>0</v>
      </c>
    </row>
    <row r="289" spans="1:34" hidden="1">
      <c r="A289" s="39" t="s">
        <v>1109</v>
      </c>
      <c r="B289" s="39">
        <v>0</v>
      </c>
      <c r="C289" s="39">
        <v>0</v>
      </c>
      <c r="D289" s="39">
        <v>0</v>
      </c>
      <c r="E289" s="39">
        <v>0</v>
      </c>
      <c r="F289" s="39">
        <v>0</v>
      </c>
      <c r="G289" s="39">
        <v>0</v>
      </c>
      <c r="H289" s="39">
        <v>0</v>
      </c>
      <c r="I289" s="39">
        <v>0</v>
      </c>
      <c r="J289" s="39">
        <v>2</v>
      </c>
      <c r="K289">
        <v>203</v>
      </c>
      <c r="L289">
        <v>248</v>
      </c>
      <c r="M289">
        <v>614</v>
      </c>
      <c r="N289">
        <v>482</v>
      </c>
      <c r="O289">
        <v>0</v>
      </c>
      <c r="P289">
        <v>0</v>
      </c>
      <c r="Q289">
        <v>0</v>
      </c>
      <c r="R289">
        <v>0</v>
      </c>
      <c r="S289">
        <v>0</v>
      </c>
      <c r="T289">
        <v>0</v>
      </c>
      <c r="U289">
        <v>0</v>
      </c>
      <c r="V289">
        <v>0</v>
      </c>
      <c r="W289">
        <v>0</v>
      </c>
      <c r="X289">
        <v>89</v>
      </c>
      <c r="Y289">
        <v>52</v>
      </c>
      <c r="Z289">
        <v>106</v>
      </c>
      <c r="AA289">
        <v>93</v>
      </c>
      <c r="AD289" t="s">
        <v>967</v>
      </c>
      <c r="AE289" s="19">
        <v>2459</v>
      </c>
      <c r="AF289">
        <v>6009</v>
      </c>
      <c r="AG289">
        <v>935</v>
      </c>
      <c r="AH289">
        <v>3880</v>
      </c>
    </row>
    <row r="290" spans="1:34" hidden="1">
      <c r="A290" s="39" t="s">
        <v>1202</v>
      </c>
      <c r="B290" s="39">
        <v>1239</v>
      </c>
      <c r="C290" s="39">
        <v>1186</v>
      </c>
      <c r="D290" s="39">
        <v>1067</v>
      </c>
      <c r="E290" s="39">
        <v>1047</v>
      </c>
      <c r="F290" s="39">
        <v>773</v>
      </c>
      <c r="G290" s="39">
        <v>930</v>
      </c>
      <c r="H290" s="39">
        <v>776</v>
      </c>
      <c r="I290" s="39">
        <v>897</v>
      </c>
      <c r="J290" s="39">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c r="AD290" t="s">
        <v>992</v>
      </c>
      <c r="AE290" s="19">
        <v>1983</v>
      </c>
      <c r="AF290">
        <v>4570</v>
      </c>
      <c r="AG290">
        <v>2077</v>
      </c>
      <c r="AH290">
        <v>5047</v>
      </c>
    </row>
    <row r="291" spans="1:34" hidden="1">
      <c r="A291" s="39" t="s">
        <v>1232</v>
      </c>
      <c r="B291" s="39">
        <v>797</v>
      </c>
      <c r="C291" s="39">
        <v>765</v>
      </c>
      <c r="D291" s="39">
        <v>729</v>
      </c>
      <c r="E291" s="39">
        <v>1009</v>
      </c>
      <c r="F291" s="39">
        <v>1347</v>
      </c>
      <c r="G291" s="39">
        <v>818</v>
      </c>
      <c r="H291" s="39">
        <v>567</v>
      </c>
      <c r="I291" s="39">
        <v>633</v>
      </c>
      <c r="J291" s="39">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c r="AD291" t="s">
        <v>817</v>
      </c>
      <c r="AE291" s="19">
        <v>957</v>
      </c>
      <c r="AF291">
        <v>2138</v>
      </c>
      <c r="AG291">
        <v>828</v>
      </c>
      <c r="AH291">
        <v>1666</v>
      </c>
    </row>
    <row r="292" spans="1:34" hidden="1">
      <c r="A292" s="39" t="s">
        <v>1054</v>
      </c>
      <c r="B292" s="39">
        <v>0</v>
      </c>
      <c r="C292" s="39">
        <v>296</v>
      </c>
      <c r="D292" s="39">
        <v>624</v>
      </c>
      <c r="E292" s="39">
        <v>1056</v>
      </c>
      <c r="F292" s="39">
        <v>1062</v>
      </c>
      <c r="G292" s="39">
        <v>1368</v>
      </c>
      <c r="H292" s="39">
        <v>1293</v>
      </c>
      <c r="I292" s="39">
        <v>2189</v>
      </c>
      <c r="J292" s="39">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c r="AE292" s="19"/>
      <c r="AH292">
        <v>0</v>
      </c>
    </row>
    <row r="293" spans="1:34" hidden="1">
      <c r="A293" s="39" t="s">
        <v>1123</v>
      </c>
      <c r="B293" s="39">
        <v>636</v>
      </c>
      <c r="C293" s="39">
        <v>662</v>
      </c>
      <c r="D293" s="39">
        <v>750</v>
      </c>
      <c r="E293" s="39">
        <v>974</v>
      </c>
      <c r="F293" s="39">
        <v>821</v>
      </c>
      <c r="G293" s="39">
        <v>70</v>
      </c>
      <c r="H293" s="39">
        <v>0</v>
      </c>
      <c r="I293" s="39">
        <v>755</v>
      </c>
      <c r="J293" s="39">
        <v>619</v>
      </c>
      <c r="K293">
        <v>607</v>
      </c>
      <c r="L293">
        <v>798</v>
      </c>
      <c r="M293">
        <v>703</v>
      </c>
      <c r="N293">
        <v>959</v>
      </c>
      <c r="O293">
        <v>117</v>
      </c>
      <c r="P293">
        <v>165</v>
      </c>
      <c r="Q293">
        <v>179</v>
      </c>
      <c r="R293">
        <v>278</v>
      </c>
      <c r="S293">
        <v>244</v>
      </c>
      <c r="T293">
        <v>7</v>
      </c>
      <c r="U293">
        <v>0</v>
      </c>
      <c r="V293">
        <v>209</v>
      </c>
      <c r="W293">
        <v>211</v>
      </c>
      <c r="X293">
        <v>165</v>
      </c>
      <c r="Y293">
        <v>267</v>
      </c>
      <c r="Z293">
        <v>243</v>
      </c>
      <c r="AA293">
        <v>299</v>
      </c>
      <c r="AE293" s="19"/>
      <c r="AH293">
        <v>0</v>
      </c>
    </row>
    <row r="294" spans="1:34" hidden="1">
      <c r="A294" s="39" t="s">
        <v>1077</v>
      </c>
      <c r="B294" s="39">
        <v>0</v>
      </c>
      <c r="C294" s="39">
        <v>905</v>
      </c>
      <c r="D294" s="39">
        <v>885</v>
      </c>
      <c r="E294" s="39">
        <v>1682</v>
      </c>
      <c r="F294" s="39">
        <v>1578</v>
      </c>
      <c r="G294" s="39">
        <v>1430</v>
      </c>
      <c r="H294" s="39">
        <v>1500</v>
      </c>
      <c r="I294" s="39">
        <v>1252</v>
      </c>
      <c r="J294" s="39">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c r="AD294" t="s">
        <v>861</v>
      </c>
      <c r="AE294" s="19">
        <v>671</v>
      </c>
      <c r="AF294">
        <v>1371</v>
      </c>
      <c r="AG294">
        <v>636</v>
      </c>
      <c r="AH294">
        <v>1517</v>
      </c>
    </row>
    <row r="295" spans="1:34" hidden="1">
      <c r="A295" s="39" t="s">
        <v>1194</v>
      </c>
      <c r="B295" s="39">
        <v>606</v>
      </c>
      <c r="C295" s="39">
        <v>1263</v>
      </c>
      <c r="D295" s="39">
        <v>721</v>
      </c>
      <c r="E295" s="39">
        <v>712</v>
      </c>
      <c r="F295" s="39">
        <v>903</v>
      </c>
      <c r="G295" s="39">
        <v>1130</v>
      </c>
      <c r="H295" s="39">
        <v>605</v>
      </c>
      <c r="I295" s="39">
        <v>2738</v>
      </c>
      <c r="J295" s="39">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c r="AE295" s="19"/>
      <c r="AH295">
        <v>0</v>
      </c>
    </row>
    <row r="296" spans="1:34" hidden="1">
      <c r="A296" s="39" t="s">
        <v>1125</v>
      </c>
      <c r="B296" s="39">
        <v>0</v>
      </c>
      <c r="C296" s="39">
        <v>181</v>
      </c>
      <c r="D296" s="39">
        <v>325</v>
      </c>
      <c r="E296" s="39">
        <v>325</v>
      </c>
      <c r="F296" s="39">
        <v>316</v>
      </c>
      <c r="G296" s="39">
        <v>407</v>
      </c>
      <c r="H296" s="39">
        <v>711</v>
      </c>
      <c r="I296" s="39">
        <v>844</v>
      </c>
      <c r="J296" s="39">
        <v>694</v>
      </c>
      <c r="K296">
        <v>542</v>
      </c>
      <c r="L296">
        <v>594</v>
      </c>
      <c r="M296">
        <v>625</v>
      </c>
      <c r="N296">
        <v>780</v>
      </c>
      <c r="O296">
        <v>0</v>
      </c>
      <c r="P296">
        <v>50</v>
      </c>
      <c r="Q296">
        <v>68</v>
      </c>
      <c r="R296">
        <v>64</v>
      </c>
      <c r="S296">
        <v>69</v>
      </c>
      <c r="T296">
        <v>77</v>
      </c>
      <c r="U296">
        <v>202</v>
      </c>
      <c r="V296">
        <v>221</v>
      </c>
      <c r="W296">
        <v>210</v>
      </c>
      <c r="X296">
        <v>163</v>
      </c>
      <c r="Y296">
        <v>164</v>
      </c>
      <c r="Z296">
        <v>161</v>
      </c>
      <c r="AA296">
        <v>219</v>
      </c>
      <c r="AD296" t="s">
        <v>722</v>
      </c>
      <c r="AE296" s="19">
        <v>1810</v>
      </c>
      <c r="AF296">
        <v>6177</v>
      </c>
      <c r="AG296">
        <v>1031</v>
      </c>
      <c r="AH296">
        <v>5005</v>
      </c>
    </row>
    <row r="297" spans="1:34" hidden="1">
      <c r="A297" s="39" t="s">
        <v>1098</v>
      </c>
      <c r="B297" s="39">
        <v>987</v>
      </c>
      <c r="C297" s="39">
        <v>1274</v>
      </c>
      <c r="D297" s="39">
        <v>947</v>
      </c>
      <c r="E297" s="39">
        <v>936</v>
      </c>
      <c r="F297" s="39">
        <v>1075</v>
      </c>
      <c r="G297" s="39">
        <v>1129</v>
      </c>
      <c r="H297" s="39">
        <v>872</v>
      </c>
      <c r="I297" s="39">
        <v>773</v>
      </c>
      <c r="J297" s="39">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c r="AD297" t="s">
        <v>1312</v>
      </c>
      <c r="AE297" s="19">
        <v>130</v>
      </c>
      <c r="AF297">
        <v>303</v>
      </c>
      <c r="AG297">
        <v>136</v>
      </c>
      <c r="AH297">
        <v>282</v>
      </c>
    </row>
    <row r="298" spans="1:34" hidden="1">
      <c r="A298" s="39" t="s">
        <v>1071</v>
      </c>
      <c r="B298" s="39">
        <v>2112</v>
      </c>
      <c r="C298" s="39">
        <v>2248</v>
      </c>
      <c r="D298" s="39">
        <v>1592</v>
      </c>
      <c r="E298" s="39">
        <v>1693</v>
      </c>
      <c r="F298" s="39">
        <v>1282</v>
      </c>
      <c r="G298" s="39">
        <v>1242</v>
      </c>
      <c r="H298" s="39">
        <v>1323</v>
      </c>
      <c r="I298" s="39">
        <v>1508</v>
      </c>
      <c r="J298" s="39">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c r="AD298" t="s">
        <v>963</v>
      </c>
      <c r="AE298" s="19">
        <v>1461</v>
      </c>
      <c r="AF298">
        <v>4166</v>
      </c>
      <c r="AG298">
        <v>1563</v>
      </c>
      <c r="AH298">
        <v>4498</v>
      </c>
    </row>
    <row r="299" spans="1:34" hidden="1">
      <c r="A299" s="39" t="s">
        <v>1091</v>
      </c>
      <c r="B299" s="39">
        <v>182</v>
      </c>
      <c r="C299" s="39">
        <v>217</v>
      </c>
      <c r="D299" s="39">
        <v>215</v>
      </c>
      <c r="E299" s="39">
        <v>257</v>
      </c>
      <c r="F299" s="39">
        <v>519</v>
      </c>
      <c r="G299" s="39">
        <v>624</v>
      </c>
      <c r="H299" s="39">
        <v>229</v>
      </c>
      <c r="I299" s="39">
        <v>642</v>
      </c>
      <c r="J299" s="39">
        <v>738</v>
      </c>
      <c r="K299">
        <v>765</v>
      </c>
      <c r="L299">
        <v>716</v>
      </c>
      <c r="M299">
        <v>624</v>
      </c>
      <c r="N299">
        <v>1158</v>
      </c>
      <c r="O299">
        <v>41</v>
      </c>
      <c r="P299">
        <v>36</v>
      </c>
      <c r="Q299">
        <v>48</v>
      </c>
      <c r="R299">
        <v>61</v>
      </c>
      <c r="S299">
        <v>96</v>
      </c>
      <c r="T299">
        <v>120</v>
      </c>
      <c r="U299">
        <v>20</v>
      </c>
      <c r="V299">
        <v>176</v>
      </c>
      <c r="W299">
        <v>200</v>
      </c>
      <c r="X299">
        <v>200</v>
      </c>
      <c r="Y299">
        <v>177</v>
      </c>
      <c r="Z299">
        <v>154</v>
      </c>
      <c r="AA299">
        <v>294</v>
      </c>
      <c r="AE299" s="19"/>
      <c r="AH299">
        <v>0</v>
      </c>
    </row>
    <row r="300" spans="1:34" hidden="1">
      <c r="A300" s="39" t="s">
        <v>849</v>
      </c>
      <c r="B300" s="39">
        <v>0</v>
      </c>
      <c r="C300" s="39">
        <v>0</v>
      </c>
      <c r="D300" s="39">
        <v>0</v>
      </c>
      <c r="E300" s="39">
        <v>0</v>
      </c>
      <c r="F300" s="39">
        <v>0</v>
      </c>
      <c r="G300" s="39">
        <v>0</v>
      </c>
      <c r="H300" s="39">
        <v>0</v>
      </c>
      <c r="I300" s="39">
        <v>0</v>
      </c>
      <c r="J300" s="39">
        <v>41</v>
      </c>
      <c r="K300">
        <v>448</v>
      </c>
      <c r="L300">
        <v>475</v>
      </c>
      <c r="M300">
        <v>503</v>
      </c>
      <c r="N300">
        <v>596</v>
      </c>
      <c r="O300">
        <v>0</v>
      </c>
      <c r="P300">
        <v>0</v>
      </c>
      <c r="Q300">
        <v>0</v>
      </c>
      <c r="R300">
        <v>0</v>
      </c>
      <c r="S300">
        <v>0</v>
      </c>
      <c r="T300">
        <v>0</v>
      </c>
      <c r="U300">
        <v>0</v>
      </c>
      <c r="V300">
        <v>0</v>
      </c>
      <c r="W300">
        <v>12</v>
      </c>
      <c r="X300">
        <v>152</v>
      </c>
      <c r="Y300">
        <v>148</v>
      </c>
      <c r="Z300">
        <v>180</v>
      </c>
      <c r="AA300">
        <v>205</v>
      </c>
      <c r="AD300" t="s">
        <v>760</v>
      </c>
      <c r="AE300" s="19">
        <v>767</v>
      </c>
      <c r="AF300">
        <v>1139</v>
      </c>
      <c r="AG300">
        <v>636</v>
      </c>
      <c r="AH300">
        <v>987</v>
      </c>
    </row>
    <row r="301" spans="1:34" hidden="1">
      <c r="A301" s="39" t="s">
        <v>772</v>
      </c>
      <c r="B301" s="39">
        <v>0</v>
      </c>
      <c r="C301" s="39">
        <v>0</v>
      </c>
      <c r="D301" s="39">
        <v>0</v>
      </c>
      <c r="E301" s="39">
        <v>0</v>
      </c>
      <c r="F301" s="39">
        <v>0</v>
      </c>
      <c r="G301" s="39">
        <v>0</v>
      </c>
      <c r="H301" s="39">
        <v>0</v>
      </c>
      <c r="I301" s="39">
        <v>0</v>
      </c>
      <c r="J301" s="39">
        <v>0</v>
      </c>
      <c r="K301">
        <v>136</v>
      </c>
      <c r="L301">
        <v>240</v>
      </c>
      <c r="M301">
        <v>635</v>
      </c>
      <c r="N301">
        <v>979</v>
      </c>
      <c r="O301">
        <v>0</v>
      </c>
      <c r="P301">
        <v>0</v>
      </c>
      <c r="Q301">
        <v>0</v>
      </c>
      <c r="R301">
        <v>0</v>
      </c>
      <c r="S301">
        <v>0</v>
      </c>
      <c r="T301">
        <v>0</v>
      </c>
      <c r="U301">
        <v>0</v>
      </c>
      <c r="V301">
        <v>0</v>
      </c>
      <c r="W301">
        <v>0</v>
      </c>
      <c r="X301">
        <v>39</v>
      </c>
      <c r="Y301">
        <v>90</v>
      </c>
      <c r="Z301">
        <v>230</v>
      </c>
      <c r="AA301">
        <v>343</v>
      </c>
      <c r="AD301" t="s">
        <v>878</v>
      </c>
      <c r="AE301" s="19">
        <v>1069</v>
      </c>
      <c r="AF301">
        <v>2732</v>
      </c>
      <c r="AG301">
        <v>1032</v>
      </c>
      <c r="AH301">
        <v>2212</v>
      </c>
    </row>
    <row r="302" spans="1:34" hidden="1">
      <c r="A302" s="39" t="s">
        <v>766</v>
      </c>
      <c r="B302" s="39">
        <v>2315</v>
      </c>
      <c r="C302" s="39">
        <v>2405</v>
      </c>
      <c r="D302" s="39">
        <v>2006</v>
      </c>
      <c r="E302" s="39">
        <v>1413</v>
      </c>
      <c r="F302" s="39">
        <v>1434</v>
      </c>
      <c r="G302" s="39">
        <v>1782</v>
      </c>
      <c r="H302" s="39">
        <v>1669</v>
      </c>
      <c r="I302" s="39">
        <v>2225</v>
      </c>
      <c r="J302" s="39">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c r="AD302" t="s">
        <v>828</v>
      </c>
      <c r="AE302" s="19">
        <v>1050</v>
      </c>
      <c r="AF302">
        <v>3373</v>
      </c>
      <c r="AG302">
        <v>894</v>
      </c>
      <c r="AH302">
        <v>2989</v>
      </c>
    </row>
    <row r="303" spans="1:34" hidden="1">
      <c r="A303" s="39" t="s">
        <v>947</v>
      </c>
      <c r="B303" s="39">
        <v>980</v>
      </c>
      <c r="C303" s="39">
        <v>895</v>
      </c>
      <c r="D303" s="39">
        <v>759</v>
      </c>
      <c r="E303" s="39">
        <v>550</v>
      </c>
      <c r="F303" s="39">
        <v>545</v>
      </c>
      <c r="G303" s="39">
        <v>532</v>
      </c>
      <c r="H303" s="39">
        <v>726</v>
      </c>
      <c r="I303" s="39">
        <v>642</v>
      </c>
      <c r="J303" s="39">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c r="AD303" t="s">
        <v>819</v>
      </c>
      <c r="AE303" s="19">
        <v>1599</v>
      </c>
      <c r="AF303">
        <v>4378</v>
      </c>
      <c r="AG303">
        <v>1603</v>
      </c>
      <c r="AH303">
        <v>4702</v>
      </c>
    </row>
    <row r="304" spans="1:34" hidden="1">
      <c r="A304" s="39" t="s">
        <v>990</v>
      </c>
      <c r="B304" s="39">
        <v>1043</v>
      </c>
      <c r="C304" s="39">
        <v>1155</v>
      </c>
      <c r="D304" s="39">
        <v>1282</v>
      </c>
      <c r="E304" s="39">
        <v>1441</v>
      </c>
      <c r="F304" s="39">
        <v>883</v>
      </c>
      <c r="G304" s="39">
        <v>944</v>
      </c>
      <c r="H304" s="39">
        <v>800</v>
      </c>
      <c r="I304" s="39">
        <v>923</v>
      </c>
      <c r="J304" s="39">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c r="AD304" t="s">
        <v>837</v>
      </c>
      <c r="AE304" s="19">
        <v>986</v>
      </c>
      <c r="AF304">
        <v>3049</v>
      </c>
      <c r="AG304">
        <v>1006</v>
      </c>
      <c r="AH304">
        <v>2782</v>
      </c>
    </row>
    <row r="305" spans="1:34" hidden="1">
      <c r="A305" s="39" t="s">
        <v>770</v>
      </c>
      <c r="B305" s="39">
        <v>565</v>
      </c>
      <c r="C305" s="39">
        <v>576</v>
      </c>
      <c r="D305" s="39">
        <v>298</v>
      </c>
      <c r="E305" s="39">
        <v>435</v>
      </c>
      <c r="F305" s="39">
        <v>442</v>
      </c>
      <c r="G305" s="39">
        <v>682</v>
      </c>
      <c r="H305" s="39">
        <v>1040</v>
      </c>
      <c r="I305" s="39">
        <v>1030</v>
      </c>
      <c r="J305" s="39">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c r="AD305" t="s">
        <v>756</v>
      </c>
      <c r="AE305" s="19">
        <v>1097</v>
      </c>
      <c r="AF305">
        <v>3777</v>
      </c>
      <c r="AG305">
        <v>1104</v>
      </c>
      <c r="AH305">
        <v>3937</v>
      </c>
    </row>
    <row r="306" spans="1:34" hidden="1">
      <c r="A306" s="39" t="s">
        <v>1014</v>
      </c>
      <c r="B306" s="39">
        <v>1662</v>
      </c>
      <c r="C306" s="39">
        <v>809</v>
      </c>
      <c r="D306" s="39">
        <v>1176</v>
      </c>
      <c r="E306" s="39">
        <v>2081</v>
      </c>
      <c r="F306" s="39">
        <v>901</v>
      </c>
      <c r="G306" s="39">
        <v>640</v>
      </c>
      <c r="H306" s="39">
        <v>90</v>
      </c>
      <c r="I306" s="39">
        <v>938</v>
      </c>
      <c r="J306" s="39">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c r="AD306" t="s">
        <v>1014</v>
      </c>
      <c r="AE306" s="19">
        <v>4451</v>
      </c>
      <c r="AF306">
        <v>16591</v>
      </c>
      <c r="AG306">
        <v>1697</v>
      </c>
      <c r="AH306">
        <v>7281</v>
      </c>
    </row>
    <row r="307" spans="1:34" hidden="1">
      <c r="A307" s="39" t="s">
        <v>1309</v>
      </c>
      <c r="B307" s="39">
        <v>859</v>
      </c>
      <c r="C307" s="39">
        <v>860</v>
      </c>
      <c r="D307" s="39">
        <v>1049</v>
      </c>
      <c r="E307" s="39">
        <v>459</v>
      </c>
      <c r="F307" s="39">
        <v>532</v>
      </c>
      <c r="G307" s="39">
        <v>1242</v>
      </c>
      <c r="H307" s="39">
        <v>1354</v>
      </c>
      <c r="I307" s="39">
        <v>1758</v>
      </c>
      <c r="J307" s="39">
        <v>1661</v>
      </c>
      <c r="K307">
        <v>1251</v>
      </c>
      <c r="L307">
        <v>3236</v>
      </c>
      <c r="M307">
        <v>2309</v>
      </c>
      <c r="N307">
        <v>0</v>
      </c>
      <c r="O307">
        <v>150</v>
      </c>
      <c r="P307">
        <v>99</v>
      </c>
      <c r="Q307">
        <v>75</v>
      </c>
      <c r="R307">
        <v>83</v>
      </c>
      <c r="S307">
        <v>85</v>
      </c>
      <c r="T307">
        <v>125</v>
      </c>
      <c r="U307">
        <v>163</v>
      </c>
      <c r="V307">
        <v>142</v>
      </c>
      <c r="W307">
        <v>159</v>
      </c>
      <c r="X307">
        <v>117</v>
      </c>
      <c r="Y307">
        <v>144</v>
      </c>
      <c r="Z307">
        <v>94</v>
      </c>
      <c r="AA307">
        <v>1</v>
      </c>
      <c r="AD307" t="s">
        <v>943</v>
      </c>
      <c r="AE307" s="19">
        <v>1048</v>
      </c>
      <c r="AF307">
        <v>2416</v>
      </c>
      <c r="AG307">
        <v>1064</v>
      </c>
      <c r="AH307">
        <v>2389</v>
      </c>
    </row>
    <row r="308" spans="1:34" hidden="1">
      <c r="A308" s="39" t="s">
        <v>1304</v>
      </c>
      <c r="B308" s="39">
        <v>537</v>
      </c>
      <c r="C308" s="39">
        <v>546</v>
      </c>
      <c r="D308" s="39">
        <v>627</v>
      </c>
      <c r="E308" s="39">
        <v>794</v>
      </c>
      <c r="F308" s="39">
        <v>558</v>
      </c>
      <c r="G308" s="39">
        <v>390</v>
      </c>
      <c r="H308" s="39">
        <v>351</v>
      </c>
      <c r="I308" s="39">
        <v>339</v>
      </c>
      <c r="J308" s="39">
        <v>251</v>
      </c>
      <c r="K308">
        <v>0</v>
      </c>
      <c r="L308">
        <v>0</v>
      </c>
      <c r="M308">
        <v>0</v>
      </c>
      <c r="N308">
        <v>0</v>
      </c>
      <c r="O308">
        <v>145</v>
      </c>
      <c r="P308">
        <v>168</v>
      </c>
      <c r="Q308">
        <v>292</v>
      </c>
      <c r="R308">
        <v>397</v>
      </c>
      <c r="S308">
        <v>264</v>
      </c>
      <c r="T308">
        <v>166</v>
      </c>
      <c r="U308">
        <v>121</v>
      </c>
      <c r="V308">
        <v>130</v>
      </c>
      <c r="W308">
        <v>79</v>
      </c>
      <c r="X308">
        <v>2</v>
      </c>
      <c r="Y308">
        <v>1</v>
      </c>
      <c r="Z308">
        <v>0</v>
      </c>
      <c r="AA308">
        <v>0</v>
      </c>
      <c r="AD308" t="s">
        <v>1313</v>
      </c>
      <c r="AE308" s="19">
        <v>140</v>
      </c>
      <c r="AF308">
        <v>309</v>
      </c>
      <c r="AG308">
        <v>135</v>
      </c>
      <c r="AH308">
        <v>238</v>
      </c>
    </row>
    <row r="309" spans="1:34" hidden="1">
      <c r="A309" s="39" t="s">
        <v>520</v>
      </c>
      <c r="B309" s="39">
        <v>4641</v>
      </c>
      <c r="C309" s="39">
        <v>5402</v>
      </c>
      <c r="D309" s="39">
        <v>12968</v>
      </c>
      <c r="E309" s="39">
        <v>405</v>
      </c>
      <c r="F309" s="39">
        <v>4626</v>
      </c>
      <c r="G309" s="39">
        <v>14443</v>
      </c>
      <c r="H309" s="39">
        <v>9978</v>
      </c>
      <c r="I309" s="39">
        <v>9294</v>
      </c>
      <c r="J309" s="39">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c r="AD309" t="s">
        <v>914</v>
      </c>
      <c r="AE309" s="19">
        <v>931</v>
      </c>
      <c r="AF309">
        <v>1974</v>
      </c>
      <c r="AG309">
        <v>1129</v>
      </c>
      <c r="AH309">
        <v>1665</v>
      </c>
    </row>
    <row r="310" spans="1:34" hidden="1">
      <c r="A310" s="39" t="s">
        <v>466</v>
      </c>
      <c r="B310" s="39">
        <v>142</v>
      </c>
      <c r="C310" s="39">
        <v>784</v>
      </c>
      <c r="D310" s="39">
        <v>1453</v>
      </c>
      <c r="E310" s="39">
        <v>1497</v>
      </c>
      <c r="F310" s="39">
        <v>688</v>
      </c>
      <c r="G310" s="39">
        <v>965</v>
      </c>
      <c r="H310" s="39">
        <v>693</v>
      </c>
      <c r="I310" s="39">
        <v>706</v>
      </c>
      <c r="J310" s="39">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c r="AE310" s="19"/>
      <c r="AH310">
        <v>0</v>
      </c>
    </row>
    <row r="311" spans="1:34" hidden="1">
      <c r="A311" s="39" t="s">
        <v>75</v>
      </c>
      <c r="B311" s="39">
        <v>3132</v>
      </c>
      <c r="C311" s="39">
        <v>2039</v>
      </c>
      <c r="D311" s="39">
        <v>3023</v>
      </c>
      <c r="E311" s="39">
        <v>3663</v>
      </c>
      <c r="F311" s="39">
        <v>3838</v>
      </c>
      <c r="G311" s="39">
        <v>4391</v>
      </c>
      <c r="H311" s="39">
        <v>4888</v>
      </c>
      <c r="I311" s="39">
        <v>4759</v>
      </c>
      <c r="J311" s="39">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c r="AD311" s="37" t="s">
        <v>764</v>
      </c>
      <c r="AE311" s="19">
        <v>1493</v>
      </c>
      <c r="AF311">
        <v>3832</v>
      </c>
      <c r="AG311">
        <v>874</v>
      </c>
      <c r="AH311">
        <v>2577</v>
      </c>
    </row>
    <row r="312" spans="1:34" hidden="1">
      <c r="A312" s="39" t="s">
        <v>496</v>
      </c>
      <c r="B312" s="39">
        <v>1659</v>
      </c>
      <c r="C312" s="39">
        <v>1434</v>
      </c>
      <c r="D312" s="39">
        <v>1562</v>
      </c>
      <c r="E312" s="39">
        <v>1244</v>
      </c>
      <c r="F312" s="39">
        <v>1149</v>
      </c>
      <c r="G312" s="39">
        <v>1155</v>
      </c>
      <c r="H312" s="39">
        <v>1334</v>
      </c>
      <c r="I312" s="39">
        <v>1368</v>
      </c>
      <c r="J312" s="39">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c r="AD312" t="s">
        <v>902</v>
      </c>
      <c r="AE312" s="19">
        <v>1954</v>
      </c>
      <c r="AF312">
        <v>3897</v>
      </c>
      <c r="AG312">
        <v>2114</v>
      </c>
      <c r="AH312">
        <v>4208</v>
      </c>
    </row>
    <row r="313" spans="1:34" hidden="1">
      <c r="A313" s="39" t="s">
        <v>250</v>
      </c>
      <c r="B313" s="39">
        <v>876</v>
      </c>
      <c r="C313" s="39">
        <v>860</v>
      </c>
      <c r="D313" s="39">
        <v>1105</v>
      </c>
      <c r="E313" s="39">
        <v>1072</v>
      </c>
      <c r="F313" s="39">
        <v>983</v>
      </c>
      <c r="G313" s="39">
        <v>1089</v>
      </c>
      <c r="H313" s="39">
        <v>848</v>
      </c>
      <c r="I313" s="39">
        <v>1287</v>
      </c>
      <c r="J313" s="39">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c r="AE313" s="19"/>
      <c r="AH313">
        <v>0</v>
      </c>
    </row>
    <row r="314" spans="1:34" hidden="1">
      <c r="A314" s="39" t="s">
        <v>924</v>
      </c>
      <c r="B314" s="39">
        <v>997</v>
      </c>
      <c r="C314" s="39">
        <v>1850</v>
      </c>
      <c r="D314" s="39">
        <v>1025</v>
      </c>
      <c r="E314" s="39">
        <v>799</v>
      </c>
      <c r="F314" s="39">
        <v>710</v>
      </c>
      <c r="G314" s="39">
        <v>691</v>
      </c>
      <c r="H314" s="39">
        <v>660</v>
      </c>
      <c r="I314" s="39">
        <v>770</v>
      </c>
      <c r="J314" s="39">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c r="AD314" t="s">
        <v>957</v>
      </c>
      <c r="AE314" s="19">
        <v>1003</v>
      </c>
      <c r="AF314">
        <v>1589</v>
      </c>
      <c r="AG314">
        <v>890</v>
      </c>
      <c r="AH314">
        <v>1398</v>
      </c>
    </row>
    <row r="315" spans="1:34" hidden="1">
      <c r="A315" s="39" t="s">
        <v>977</v>
      </c>
      <c r="B315" s="39">
        <v>2355</v>
      </c>
      <c r="C315" s="39">
        <v>1934</v>
      </c>
      <c r="D315" s="39">
        <v>2039</v>
      </c>
      <c r="E315" s="39">
        <v>1536</v>
      </c>
      <c r="F315" s="39">
        <v>1410</v>
      </c>
      <c r="G315" s="39">
        <v>1279</v>
      </c>
      <c r="H315" s="39">
        <v>1075</v>
      </c>
      <c r="I315" s="39">
        <v>1303</v>
      </c>
      <c r="J315" s="39">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c r="AE315" s="19"/>
      <c r="AH315">
        <v>0</v>
      </c>
    </row>
    <row r="316" spans="1:34" hidden="1">
      <c r="A316" s="39" t="s">
        <v>953</v>
      </c>
      <c r="B316" s="39">
        <v>2621</v>
      </c>
      <c r="C316" s="39">
        <v>2019</v>
      </c>
      <c r="D316" s="39">
        <v>2673</v>
      </c>
      <c r="E316" s="39">
        <v>2544</v>
      </c>
      <c r="F316" s="39">
        <v>1653</v>
      </c>
      <c r="G316" s="39">
        <v>1577</v>
      </c>
      <c r="H316" s="39">
        <v>1246</v>
      </c>
      <c r="I316" s="39">
        <v>1403</v>
      </c>
      <c r="J316" s="39">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c r="AD316" t="s">
        <v>933</v>
      </c>
      <c r="AE316" s="19">
        <v>567</v>
      </c>
      <c r="AF316">
        <v>1504</v>
      </c>
      <c r="AG316">
        <v>580</v>
      </c>
      <c r="AH316">
        <v>1328</v>
      </c>
    </row>
    <row r="317" spans="1:34" hidden="1">
      <c r="A317" s="39" t="s">
        <v>979</v>
      </c>
      <c r="B317" s="39">
        <v>0</v>
      </c>
      <c r="C317" s="39">
        <v>0</v>
      </c>
      <c r="D317" s="39">
        <v>11</v>
      </c>
      <c r="E317" s="39">
        <v>1977</v>
      </c>
      <c r="F317" s="39">
        <v>2804</v>
      </c>
      <c r="G317" s="39">
        <v>1930</v>
      </c>
      <c r="H317" s="39">
        <v>863</v>
      </c>
      <c r="I317" s="39">
        <v>540</v>
      </c>
      <c r="J317" s="39">
        <v>582</v>
      </c>
      <c r="K317">
        <v>495</v>
      </c>
      <c r="L317">
        <v>580</v>
      </c>
      <c r="M317">
        <v>742</v>
      </c>
      <c r="N317">
        <v>940</v>
      </c>
      <c r="O317">
        <v>0</v>
      </c>
      <c r="P317">
        <v>0</v>
      </c>
      <c r="Q317">
        <v>0</v>
      </c>
      <c r="R317">
        <v>532</v>
      </c>
      <c r="S317">
        <v>956</v>
      </c>
      <c r="T317">
        <v>628</v>
      </c>
      <c r="U317">
        <v>252</v>
      </c>
      <c r="V317">
        <v>196</v>
      </c>
      <c r="W317">
        <v>219</v>
      </c>
      <c r="X317">
        <v>208</v>
      </c>
      <c r="Y317">
        <v>236</v>
      </c>
      <c r="Z317">
        <v>308</v>
      </c>
      <c r="AA317">
        <v>392</v>
      </c>
      <c r="AD317" t="s">
        <v>857</v>
      </c>
      <c r="AE317" s="19">
        <v>1221</v>
      </c>
      <c r="AF317">
        <v>4464</v>
      </c>
      <c r="AG317">
        <v>1315</v>
      </c>
      <c r="AH317">
        <v>4510</v>
      </c>
    </row>
    <row r="318" spans="1:34" hidden="1">
      <c r="A318" s="39" t="s">
        <v>1308</v>
      </c>
      <c r="B318" s="39">
        <v>0</v>
      </c>
      <c r="C318" s="39">
        <v>1336</v>
      </c>
      <c r="D318" s="39">
        <v>1505</v>
      </c>
      <c r="E318" s="39">
        <v>392</v>
      </c>
      <c r="F318" s="39">
        <v>847</v>
      </c>
      <c r="G318" s="39">
        <v>516</v>
      </c>
      <c r="H318" s="39">
        <v>980</v>
      </c>
      <c r="I318" s="39">
        <v>968</v>
      </c>
      <c r="J318" s="39">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c r="AE318" s="19"/>
      <c r="AH318">
        <v>0</v>
      </c>
    </row>
    <row r="319" spans="1:34" hidden="1">
      <c r="A319" s="39" t="s">
        <v>222</v>
      </c>
      <c r="B319" s="39">
        <v>1136</v>
      </c>
      <c r="C319" s="39">
        <v>1864</v>
      </c>
      <c r="D319" s="39">
        <v>4153</v>
      </c>
      <c r="E319" s="39">
        <v>4283</v>
      </c>
      <c r="F319" s="39">
        <v>4912</v>
      </c>
      <c r="G319" s="39">
        <v>2632</v>
      </c>
      <c r="H319" s="39">
        <v>1166</v>
      </c>
      <c r="I319" s="39">
        <v>4260</v>
      </c>
      <c r="J319" s="39">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c r="AD319" t="s">
        <v>811</v>
      </c>
      <c r="AE319" s="19">
        <v>1270</v>
      </c>
      <c r="AF319">
        <v>3786</v>
      </c>
      <c r="AG319">
        <v>1078</v>
      </c>
      <c r="AH319">
        <v>3372</v>
      </c>
    </row>
    <row r="320" spans="1:34" hidden="1">
      <c r="A320" s="39" t="s">
        <v>272</v>
      </c>
      <c r="B320" s="39">
        <v>0</v>
      </c>
      <c r="C320" s="39">
        <v>0</v>
      </c>
      <c r="D320" s="39">
        <v>0</v>
      </c>
      <c r="E320" s="39">
        <v>164</v>
      </c>
      <c r="F320" s="39">
        <v>53</v>
      </c>
      <c r="G320" s="39">
        <v>371</v>
      </c>
      <c r="H320" s="39">
        <v>517</v>
      </c>
      <c r="I320" s="39">
        <v>388</v>
      </c>
      <c r="J320" s="39">
        <v>404</v>
      </c>
      <c r="K320">
        <v>419</v>
      </c>
      <c r="L320">
        <v>367</v>
      </c>
      <c r="M320">
        <v>313</v>
      </c>
      <c r="N320">
        <v>340</v>
      </c>
      <c r="O320">
        <v>0</v>
      </c>
      <c r="P320">
        <v>0</v>
      </c>
      <c r="Q320">
        <v>0</v>
      </c>
      <c r="R320">
        <v>43</v>
      </c>
      <c r="S320">
        <v>2</v>
      </c>
      <c r="T320">
        <v>125</v>
      </c>
      <c r="U320">
        <v>225</v>
      </c>
      <c r="V320">
        <v>142</v>
      </c>
      <c r="W320">
        <v>120</v>
      </c>
      <c r="X320">
        <v>170</v>
      </c>
      <c r="Y320">
        <v>132</v>
      </c>
      <c r="Z320">
        <v>82</v>
      </c>
      <c r="AA320">
        <v>112</v>
      </c>
      <c r="AD320" t="s">
        <v>815</v>
      </c>
      <c r="AE320" s="19">
        <v>3590</v>
      </c>
      <c r="AF320">
        <v>14550</v>
      </c>
      <c r="AG320">
        <v>3606</v>
      </c>
      <c r="AH320">
        <v>14106</v>
      </c>
    </row>
    <row r="321" spans="1:34" hidden="1">
      <c r="A321" s="39" t="s">
        <v>298</v>
      </c>
      <c r="B321" s="39">
        <v>0</v>
      </c>
      <c r="C321" s="39">
        <v>0</v>
      </c>
      <c r="D321" s="39">
        <v>0</v>
      </c>
      <c r="E321" s="39">
        <v>0</v>
      </c>
      <c r="F321" s="39">
        <v>0</v>
      </c>
      <c r="G321" s="39">
        <v>0</v>
      </c>
      <c r="H321" s="39">
        <v>1040</v>
      </c>
      <c r="I321" s="39">
        <v>0</v>
      </c>
      <c r="J321" s="39">
        <v>756</v>
      </c>
      <c r="K321">
        <v>1171</v>
      </c>
      <c r="L321">
        <v>1110</v>
      </c>
      <c r="M321">
        <v>1275</v>
      </c>
      <c r="N321">
        <v>0</v>
      </c>
      <c r="O321">
        <v>0</v>
      </c>
      <c r="P321">
        <v>0</v>
      </c>
      <c r="Q321">
        <v>0</v>
      </c>
      <c r="R321">
        <v>0</v>
      </c>
      <c r="S321">
        <v>0</v>
      </c>
      <c r="T321">
        <v>0</v>
      </c>
      <c r="U321">
        <v>374</v>
      </c>
      <c r="V321">
        <v>0</v>
      </c>
      <c r="W321">
        <v>222</v>
      </c>
      <c r="X321">
        <v>287</v>
      </c>
      <c r="Y321">
        <v>167</v>
      </c>
      <c r="Z321">
        <v>150</v>
      </c>
      <c r="AA321">
        <v>0</v>
      </c>
      <c r="AE321" s="19"/>
      <c r="AH321">
        <v>0</v>
      </c>
    </row>
    <row r="322" spans="1:34" hidden="1">
      <c r="A322" s="39" t="s">
        <v>310</v>
      </c>
      <c r="B322" s="39">
        <v>0</v>
      </c>
      <c r="C322" s="39">
        <v>435</v>
      </c>
      <c r="D322" s="39">
        <v>405</v>
      </c>
      <c r="E322" s="39">
        <v>972</v>
      </c>
      <c r="F322" s="39">
        <v>925</v>
      </c>
      <c r="G322" s="39">
        <v>761</v>
      </c>
      <c r="H322" s="39">
        <v>830</v>
      </c>
      <c r="I322" s="39">
        <v>1199</v>
      </c>
      <c r="J322" s="39">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c r="AD322" t="s">
        <v>990</v>
      </c>
      <c r="AE322" s="19">
        <v>1934</v>
      </c>
      <c r="AF322">
        <v>3707</v>
      </c>
      <c r="AG322">
        <v>1678</v>
      </c>
      <c r="AH322">
        <v>3103</v>
      </c>
    </row>
    <row r="323" spans="1:34" hidden="1">
      <c r="A323" s="39" t="s">
        <v>546</v>
      </c>
      <c r="B323" s="39">
        <v>0</v>
      </c>
      <c r="C323" s="39">
        <v>0</v>
      </c>
      <c r="D323" s="39">
        <v>356</v>
      </c>
      <c r="E323" s="39">
        <v>1037</v>
      </c>
      <c r="F323" s="39">
        <v>959</v>
      </c>
      <c r="G323" s="39">
        <v>880</v>
      </c>
      <c r="H323" s="39">
        <v>751</v>
      </c>
      <c r="I323" s="39">
        <v>1087</v>
      </c>
      <c r="J323" s="39">
        <v>986</v>
      </c>
      <c r="K323">
        <v>930</v>
      </c>
      <c r="L323">
        <v>962</v>
      </c>
      <c r="M323">
        <v>799</v>
      </c>
      <c r="N323">
        <v>866</v>
      </c>
      <c r="O323">
        <v>0</v>
      </c>
      <c r="P323">
        <v>0</v>
      </c>
      <c r="Q323">
        <v>129</v>
      </c>
      <c r="R323">
        <v>276</v>
      </c>
      <c r="S323">
        <v>248</v>
      </c>
      <c r="T323">
        <v>167</v>
      </c>
      <c r="U323">
        <v>188</v>
      </c>
      <c r="V323">
        <v>328</v>
      </c>
      <c r="W323">
        <v>276</v>
      </c>
      <c r="X323">
        <v>263</v>
      </c>
      <c r="Y323">
        <v>246</v>
      </c>
      <c r="Z323">
        <v>201</v>
      </c>
      <c r="AA323">
        <v>215</v>
      </c>
      <c r="AD323" s="37" t="s">
        <v>929</v>
      </c>
      <c r="AE323" s="19">
        <v>1019</v>
      </c>
      <c r="AF323">
        <v>4079</v>
      </c>
      <c r="AG323">
        <v>1135</v>
      </c>
      <c r="AH323">
        <v>4140</v>
      </c>
    </row>
    <row r="324" spans="1:34" hidden="1">
      <c r="A324" s="39" t="s">
        <v>83</v>
      </c>
      <c r="B324" s="39">
        <v>1577</v>
      </c>
      <c r="C324" s="39">
        <v>2979</v>
      </c>
      <c r="D324" s="39">
        <v>2259</v>
      </c>
      <c r="E324" s="39">
        <v>1840</v>
      </c>
      <c r="F324" s="39">
        <v>1839</v>
      </c>
      <c r="G324" s="39">
        <v>2765</v>
      </c>
      <c r="H324" s="39">
        <v>2954</v>
      </c>
      <c r="I324" s="39">
        <v>2655</v>
      </c>
      <c r="J324" s="39">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c r="AD324" t="s">
        <v>1006</v>
      </c>
      <c r="AE324" s="19">
        <v>2100</v>
      </c>
      <c r="AF324">
        <v>5134</v>
      </c>
      <c r="AG324">
        <v>2163</v>
      </c>
      <c r="AH324">
        <v>4948</v>
      </c>
    </row>
    <row r="325" spans="1:34" hidden="1">
      <c r="A325" s="39" t="s">
        <v>278</v>
      </c>
      <c r="B325" s="39">
        <v>0</v>
      </c>
      <c r="C325" s="39">
        <v>0</v>
      </c>
      <c r="D325" s="39">
        <v>0</v>
      </c>
      <c r="E325" s="39">
        <v>104</v>
      </c>
      <c r="F325" s="39">
        <v>0</v>
      </c>
      <c r="G325" s="39">
        <v>815</v>
      </c>
      <c r="H325" s="39">
        <v>1012</v>
      </c>
      <c r="I325" s="39">
        <v>957</v>
      </c>
      <c r="J325" s="39">
        <v>975</v>
      </c>
      <c r="K325">
        <v>800</v>
      </c>
      <c r="L325">
        <v>911</v>
      </c>
      <c r="M325">
        <v>550</v>
      </c>
      <c r="N325">
        <v>665</v>
      </c>
      <c r="O325">
        <v>0</v>
      </c>
      <c r="P325">
        <v>0</v>
      </c>
      <c r="Q325">
        <v>0</v>
      </c>
      <c r="R325">
        <v>21</v>
      </c>
      <c r="S325">
        <v>0</v>
      </c>
      <c r="T325">
        <v>346</v>
      </c>
      <c r="U325">
        <v>337</v>
      </c>
      <c r="V325">
        <v>285</v>
      </c>
      <c r="W325">
        <v>309</v>
      </c>
      <c r="X325">
        <v>232</v>
      </c>
      <c r="Y325">
        <v>260</v>
      </c>
      <c r="Z325">
        <v>98</v>
      </c>
      <c r="AA325">
        <v>186</v>
      </c>
      <c r="AD325" t="s">
        <v>766</v>
      </c>
      <c r="AE325" s="19">
        <v>2322</v>
      </c>
      <c r="AF325">
        <v>7537</v>
      </c>
      <c r="AG325">
        <v>2139</v>
      </c>
      <c r="AH325">
        <v>6324</v>
      </c>
    </row>
    <row r="326" spans="1:34" hidden="1">
      <c r="A326" s="39" t="s">
        <v>416</v>
      </c>
      <c r="B326" s="39">
        <v>0</v>
      </c>
      <c r="C326" s="39">
        <v>123</v>
      </c>
      <c r="D326" s="39">
        <v>330</v>
      </c>
      <c r="E326" s="39">
        <v>372</v>
      </c>
      <c r="F326" s="39">
        <v>240</v>
      </c>
      <c r="G326" s="39">
        <v>375</v>
      </c>
      <c r="H326" s="39">
        <v>438</v>
      </c>
      <c r="I326" s="39">
        <v>591</v>
      </c>
      <c r="J326" s="39">
        <v>553</v>
      </c>
      <c r="K326">
        <v>640</v>
      </c>
      <c r="L326">
        <v>248</v>
      </c>
      <c r="M326">
        <v>224</v>
      </c>
      <c r="N326">
        <v>632</v>
      </c>
      <c r="O326">
        <v>0</v>
      </c>
      <c r="P326">
        <v>32</v>
      </c>
      <c r="Q326">
        <v>71</v>
      </c>
      <c r="R326">
        <v>80</v>
      </c>
      <c r="S326">
        <v>61</v>
      </c>
      <c r="T326">
        <v>94</v>
      </c>
      <c r="U326">
        <v>125</v>
      </c>
      <c r="V326">
        <v>216</v>
      </c>
      <c r="W326">
        <v>210</v>
      </c>
      <c r="X326">
        <v>216</v>
      </c>
      <c r="Y326">
        <v>82</v>
      </c>
      <c r="Z326">
        <v>51</v>
      </c>
      <c r="AA326">
        <v>194</v>
      </c>
      <c r="AD326" t="s">
        <v>880</v>
      </c>
      <c r="AE326" s="19">
        <v>485</v>
      </c>
      <c r="AF326">
        <v>854</v>
      </c>
      <c r="AG326">
        <v>464</v>
      </c>
      <c r="AH326">
        <v>810</v>
      </c>
    </row>
    <row r="327" spans="1:34" hidden="1">
      <c r="A327" s="39" t="s">
        <v>526</v>
      </c>
      <c r="B327" s="39">
        <v>0</v>
      </c>
      <c r="C327" s="39">
        <v>0</v>
      </c>
      <c r="D327" s="39">
        <v>0</v>
      </c>
      <c r="E327" s="39">
        <v>0</v>
      </c>
      <c r="F327" s="39">
        <v>0</v>
      </c>
      <c r="G327" s="39">
        <v>0</v>
      </c>
      <c r="H327" s="39">
        <v>3</v>
      </c>
      <c r="I327" s="39">
        <v>285</v>
      </c>
      <c r="J327" s="39">
        <v>734</v>
      </c>
      <c r="K327">
        <v>788</v>
      </c>
      <c r="L327">
        <v>450</v>
      </c>
      <c r="M327">
        <v>417</v>
      </c>
      <c r="N327">
        <v>668</v>
      </c>
      <c r="O327">
        <v>0</v>
      </c>
      <c r="P327">
        <v>0</v>
      </c>
      <c r="Q327">
        <v>0</v>
      </c>
      <c r="R327">
        <v>0</v>
      </c>
      <c r="S327">
        <v>0</v>
      </c>
      <c r="T327">
        <v>0</v>
      </c>
      <c r="U327">
        <v>0</v>
      </c>
      <c r="V327">
        <v>56</v>
      </c>
      <c r="W327">
        <v>184</v>
      </c>
      <c r="X327">
        <v>193</v>
      </c>
      <c r="Y327">
        <v>82</v>
      </c>
      <c r="Z327">
        <v>146</v>
      </c>
      <c r="AA327">
        <v>155</v>
      </c>
      <c r="AD327" t="s">
        <v>758</v>
      </c>
      <c r="AE327" s="19">
        <v>1498</v>
      </c>
      <c r="AF327">
        <v>5370</v>
      </c>
      <c r="AG327">
        <v>1227</v>
      </c>
      <c r="AH327">
        <v>3936</v>
      </c>
    </row>
    <row r="328" spans="1:34" hidden="1">
      <c r="A328" s="39" t="s">
        <v>750</v>
      </c>
      <c r="B328" s="39">
        <v>0</v>
      </c>
      <c r="C328" s="39">
        <v>0</v>
      </c>
      <c r="D328" s="39">
        <v>822</v>
      </c>
      <c r="E328" s="39">
        <v>1928</v>
      </c>
      <c r="F328" s="39">
        <v>1563</v>
      </c>
      <c r="G328" s="39">
        <v>2064</v>
      </c>
      <c r="H328" s="39">
        <v>2099</v>
      </c>
      <c r="I328" s="39">
        <v>2454</v>
      </c>
      <c r="J328" s="39">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c r="AD328" t="s">
        <v>718</v>
      </c>
      <c r="AE328" s="19">
        <v>10278</v>
      </c>
      <c r="AF328">
        <v>19771</v>
      </c>
      <c r="AG328">
        <v>8072</v>
      </c>
      <c r="AH328">
        <v>16361</v>
      </c>
    </row>
    <row r="329" spans="1:34" hidden="1">
      <c r="A329" s="39" t="s">
        <v>815</v>
      </c>
      <c r="B329" s="39">
        <v>1295</v>
      </c>
      <c r="C329" s="39">
        <v>3249</v>
      </c>
      <c r="D329" s="39">
        <v>2721</v>
      </c>
      <c r="E329" s="39">
        <v>2361</v>
      </c>
      <c r="F329" s="39">
        <v>2349</v>
      </c>
      <c r="G329" s="39">
        <v>1891</v>
      </c>
      <c r="H329" s="39">
        <v>2300</v>
      </c>
      <c r="I329" s="39">
        <v>1954</v>
      </c>
      <c r="J329" s="39">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c r="AD329" t="s">
        <v>841</v>
      </c>
      <c r="AE329" s="19">
        <v>1468</v>
      </c>
      <c r="AF329">
        <v>3867</v>
      </c>
      <c r="AG329">
        <v>1315</v>
      </c>
      <c r="AH329">
        <v>3480</v>
      </c>
    </row>
    <row r="330" spans="1:34" hidden="1">
      <c r="A330" s="39" t="s">
        <v>839</v>
      </c>
      <c r="B330" s="39">
        <v>0</v>
      </c>
      <c r="C330" s="39">
        <v>0</v>
      </c>
      <c r="D330" s="39">
        <v>41</v>
      </c>
      <c r="E330" s="39">
        <v>419</v>
      </c>
      <c r="F330" s="39">
        <v>509</v>
      </c>
      <c r="G330" s="39">
        <v>582</v>
      </c>
      <c r="H330" s="39">
        <v>1850</v>
      </c>
      <c r="I330" s="39">
        <v>1334</v>
      </c>
      <c r="J330" s="39">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c r="AD330" t="s">
        <v>833</v>
      </c>
      <c r="AE330" s="19">
        <v>1079</v>
      </c>
      <c r="AF330">
        <v>2673</v>
      </c>
      <c r="AG330">
        <v>1148</v>
      </c>
      <c r="AH330">
        <v>2673</v>
      </c>
    </row>
    <row r="331" spans="1:34" hidden="1">
      <c r="A331" s="39" t="s">
        <v>931</v>
      </c>
      <c r="B331" s="39">
        <v>0</v>
      </c>
      <c r="C331" s="39">
        <v>0</v>
      </c>
      <c r="D331" s="39">
        <v>136</v>
      </c>
      <c r="E331" s="39">
        <v>1743</v>
      </c>
      <c r="F331" s="39">
        <v>962</v>
      </c>
      <c r="G331" s="39">
        <v>672</v>
      </c>
      <c r="H331" s="39">
        <v>854</v>
      </c>
      <c r="I331" s="39">
        <v>999</v>
      </c>
      <c r="J331" s="39">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c r="AE331" s="19"/>
      <c r="AH331">
        <v>0</v>
      </c>
    </row>
    <row r="332" spans="1:34" hidden="1">
      <c r="A332" s="39" t="s">
        <v>756</v>
      </c>
      <c r="B332" s="39">
        <v>0</v>
      </c>
      <c r="C332" s="39">
        <v>0</v>
      </c>
      <c r="D332" s="39">
        <v>1136</v>
      </c>
      <c r="E332" s="39">
        <v>1169</v>
      </c>
      <c r="F332" s="39">
        <v>907</v>
      </c>
      <c r="G332" s="39">
        <v>861</v>
      </c>
      <c r="H332" s="39">
        <v>710</v>
      </c>
      <c r="I332" s="39">
        <v>602</v>
      </c>
      <c r="J332" s="39">
        <v>529</v>
      </c>
      <c r="K332">
        <v>746</v>
      </c>
      <c r="L332">
        <v>600</v>
      </c>
      <c r="M332">
        <v>787</v>
      </c>
      <c r="N332">
        <v>1002</v>
      </c>
      <c r="O332">
        <v>0</v>
      </c>
      <c r="P332">
        <v>0</v>
      </c>
      <c r="Q332">
        <v>297</v>
      </c>
      <c r="R332">
        <v>266</v>
      </c>
      <c r="S332">
        <v>233</v>
      </c>
      <c r="T332">
        <v>247</v>
      </c>
      <c r="U332">
        <v>190</v>
      </c>
      <c r="V332">
        <v>209</v>
      </c>
      <c r="W332">
        <v>146</v>
      </c>
      <c r="X332">
        <v>253</v>
      </c>
      <c r="Y332">
        <v>196</v>
      </c>
      <c r="Z332">
        <v>274</v>
      </c>
      <c r="AA332">
        <v>347</v>
      </c>
      <c r="AD332" t="s">
        <v>845</v>
      </c>
      <c r="AE332" s="19">
        <v>1132</v>
      </c>
      <c r="AF332">
        <v>2219</v>
      </c>
      <c r="AG332">
        <v>746</v>
      </c>
      <c r="AH332">
        <v>1647</v>
      </c>
    </row>
    <row r="333" spans="1:34" hidden="1">
      <c r="A333" s="39" t="s">
        <v>882</v>
      </c>
      <c r="B333" s="39">
        <v>2010</v>
      </c>
      <c r="C333" s="39">
        <v>3174</v>
      </c>
      <c r="D333" s="39">
        <v>823</v>
      </c>
      <c r="E333" s="39">
        <v>3749</v>
      </c>
      <c r="F333" s="39">
        <v>2541</v>
      </c>
      <c r="G333" s="39">
        <v>2523</v>
      </c>
      <c r="H333" s="39">
        <v>1288</v>
      </c>
      <c r="I333" s="39">
        <v>3176</v>
      </c>
      <c r="J333" s="39">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c r="AD333" s="27" t="s">
        <v>849</v>
      </c>
      <c r="AE333" s="19">
        <v>1142</v>
      </c>
      <c r="AF333">
        <v>2951</v>
      </c>
      <c r="AG333">
        <v>1087</v>
      </c>
      <c r="AH333">
        <v>2839</v>
      </c>
    </row>
    <row r="334" spans="1:34" hidden="1">
      <c r="A334" s="39" t="s">
        <v>510</v>
      </c>
      <c r="B334" s="39">
        <v>0</v>
      </c>
      <c r="C334" s="39">
        <v>0</v>
      </c>
      <c r="D334" s="39">
        <v>0</v>
      </c>
      <c r="E334" s="39">
        <v>0</v>
      </c>
      <c r="F334" s="39">
        <v>0</v>
      </c>
      <c r="G334" s="39">
        <v>0</v>
      </c>
      <c r="H334" s="39">
        <v>326</v>
      </c>
      <c r="I334" s="39">
        <v>736</v>
      </c>
      <c r="J334" s="39">
        <v>567</v>
      </c>
      <c r="K334">
        <v>2399</v>
      </c>
      <c r="L334">
        <v>1225</v>
      </c>
      <c r="M334">
        <v>1088</v>
      </c>
      <c r="N334">
        <v>2548</v>
      </c>
      <c r="O334">
        <v>0</v>
      </c>
      <c r="P334">
        <v>0</v>
      </c>
      <c r="Q334">
        <v>0</v>
      </c>
      <c r="R334">
        <v>0</v>
      </c>
      <c r="S334">
        <v>0</v>
      </c>
      <c r="T334">
        <v>0</v>
      </c>
      <c r="U334">
        <v>38</v>
      </c>
      <c r="V334">
        <v>110</v>
      </c>
      <c r="W334">
        <v>53</v>
      </c>
      <c r="X334">
        <v>392</v>
      </c>
      <c r="Y334">
        <v>165</v>
      </c>
      <c r="Z334">
        <v>186</v>
      </c>
      <c r="AA334">
        <v>457</v>
      </c>
      <c r="AD334" t="s">
        <v>947</v>
      </c>
      <c r="AE334" s="19">
        <v>1001</v>
      </c>
      <c r="AF334">
        <v>1621</v>
      </c>
      <c r="AG334">
        <v>860</v>
      </c>
      <c r="AH334">
        <v>1427</v>
      </c>
    </row>
    <row r="335" spans="1:34" hidden="1">
      <c r="A335" s="39" t="s">
        <v>182</v>
      </c>
      <c r="B335" s="39">
        <v>0</v>
      </c>
      <c r="C335" s="39">
        <v>0</v>
      </c>
      <c r="D335" s="39">
        <v>0</v>
      </c>
      <c r="E335" s="39">
        <v>0</v>
      </c>
      <c r="F335" s="39">
        <v>0</v>
      </c>
      <c r="G335" s="39">
        <v>495</v>
      </c>
      <c r="H335" s="39">
        <v>934</v>
      </c>
      <c r="I335" s="39">
        <v>2236</v>
      </c>
      <c r="J335" s="39">
        <v>1954</v>
      </c>
      <c r="K335">
        <v>1579</v>
      </c>
      <c r="L335">
        <v>1718</v>
      </c>
      <c r="M335">
        <v>2380</v>
      </c>
      <c r="N335">
        <v>1473</v>
      </c>
      <c r="O335">
        <v>0</v>
      </c>
      <c r="P335">
        <v>0</v>
      </c>
      <c r="Q335">
        <v>0</v>
      </c>
      <c r="R335">
        <v>0</v>
      </c>
      <c r="S335">
        <v>0</v>
      </c>
      <c r="T335">
        <v>66</v>
      </c>
      <c r="U335">
        <v>141</v>
      </c>
      <c r="V335">
        <v>309</v>
      </c>
      <c r="W335">
        <v>335</v>
      </c>
      <c r="X335">
        <v>316</v>
      </c>
      <c r="Y335">
        <v>293</v>
      </c>
      <c r="Z335">
        <v>294</v>
      </c>
      <c r="AA335">
        <v>321</v>
      </c>
      <c r="AD335" s="27" t="s">
        <v>826</v>
      </c>
      <c r="AE335" s="19">
        <v>1255</v>
      </c>
      <c r="AF335">
        <v>2585</v>
      </c>
      <c r="AG335">
        <v>994</v>
      </c>
      <c r="AH335">
        <v>2553</v>
      </c>
    </row>
    <row r="336" spans="1:34" hidden="1">
      <c r="A336" s="39" t="s">
        <v>402</v>
      </c>
      <c r="B336" s="39">
        <v>0</v>
      </c>
      <c r="C336" s="39">
        <v>0</v>
      </c>
      <c r="D336" s="39">
        <v>0</v>
      </c>
      <c r="E336" s="39">
        <v>0</v>
      </c>
      <c r="F336" s="39">
        <v>0</v>
      </c>
      <c r="G336" s="39">
        <v>145</v>
      </c>
      <c r="H336" s="39">
        <v>2954</v>
      </c>
      <c r="I336" s="39">
        <v>3011</v>
      </c>
      <c r="J336" s="39">
        <v>1938</v>
      </c>
      <c r="K336">
        <v>2398</v>
      </c>
      <c r="L336">
        <v>2000</v>
      </c>
      <c r="M336">
        <v>2125</v>
      </c>
      <c r="N336">
        <v>2735</v>
      </c>
      <c r="O336">
        <v>0</v>
      </c>
      <c r="P336">
        <v>0</v>
      </c>
      <c r="Q336">
        <v>0</v>
      </c>
      <c r="R336">
        <v>0</v>
      </c>
      <c r="S336">
        <v>0</v>
      </c>
      <c r="T336">
        <v>7</v>
      </c>
      <c r="U336">
        <v>223</v>
      </c>
      <c r="V336">
        <v>540</v>
      </c>
      <c r="W336">
        <v>309</v>
      </c>
      <c r="X336">
        <v>461</v>
      </c>
      <c r="Y336">
        <v>401</v>
      </c>
      <c r="Z336">
        <v>480</v>
      </c>
      <c r="AA336">
        <v>527</v>
      </c>
      <c r="AD336" t="s">
        <v>859</v>
      </c>
      <c r="AE336" s="19">
        <v>442</v>
      </c>
      <c r="AF336">
        <v>907</v>
      </c>
      <c r="AG336">
        <v>361</v>
      </c>
      <c r="AH336">
        <v>768</v>
      </c>
    </row>
    <row r="337" spans="1:34" hidden="1">
      <c r="A337" s="39" t="s">
        <v>358</v>
      </c>
      <c r="B337" s="39">
        <v>0</v>
      </c>
      <c r="C337" s="39">
        <v>0</v>
      </c>
      <c r="D337" s="39">
        <v>0</v>
      </c>
      <c r="E337" s="39">
        <v>0</v>
      </c>
      <c r="F337" s="39">
        <v>8530</v>
      </c>
      <c r="G337" s="39">
        <v>9175</v>
      </c>
      <c r="H337" s="39">
        <v>7003</v>
      </c>
      <c r="I337" s="39">
        <v>6856</v>
      </c>
      <c r="J337" s="39">
        <v>4631</v>
      </c>
      <c r="K337">
        <v>4375</v>
      </c>
      <c r="L337">
        <v>5819</v>
      </c>
      <c r="M337">
        <v>4976</v>
      </c>
      <c r="N337">
        <v>5695</v>
      </c>
      <c r="O337">
        <v>0</v>
      </c>
      <c r="P337">
        <v>0</v>
      </c>
      <c r="Q337">
        <v>0</v>
      </c>
      <c r="R337">
        <v>0</v>
      </c>
      <c r="S337">
        <v>990</v>
      </c>
      <c r="T337">
        <v>925</v>
      </c>
      <c r="U337">
        <v>759</v>
      </c>
      <c r="V337">
        <v>807</v>
      </c>
      <c r="W337">
        <v>547</v>
      </c>
      <c r="X337">
        <v>684</v>
      </c>
      <c r="Y337">
        <v>677</v>
      </c>
      <c r="Z337">
        <v>660</v>
      </c>
      <c r="AA337">
        <v>887</v>
      </c>
      <c r="AD337" t="s">
        <v>908</v>
      </c>
      <c r="AE337" s="19">
        <v>352</v>
      </c>
      <c r="AF337">
        <v>894</v>
      </c>
      <c r="AG337">
        <v>317</v>
      </c>
      <c r="AH337">
        <v>856</v>
      </c>
    </row>
    <row r="338" spans="1:34" hidden="1">
      <c r="A338" s="39" t="s">
        <v>368</v>
      </c>
      <c r="B338" s="39">
        <v>0</v>
      </c>
      <c r="C338" s="39">
        <v>0</v>
      </c>
      <c r="D338" s="39">
        <v>0</v>
      </c>
      <c r="E338" s="39">
        <v>0</v>
      </c>
      <c r="F338" s="39">
        <v>0</v>
      </c>
      <c r="G338" s="39">
        <v>334</v>
      </c>
      <c r="H338" s="39">
        <v>456</v>
      </c>
      <c r="I338" s="39">
        <v>562</v>
      </c>
      <c r="J338" s="39">
        <v>607</v>
      </c>
      <c r="K338">
        <v>792</v>
      </c>
      <c r="L338">
        <v>430</v>
      </c>
      <c r="M338">
        <v>476</v>
      </c>
      <c r="N338">
        <v>784</v>
      </c>
      <c r="O338">
        <v>0</v>
      </c>
      <c r="P338">
        <v>0</v>
      </c>
      <c r="Q338">
        <v>0</v>
      </c>
      <c r="R338">
        <v>0</v>
      </c>
      <c r="S338">
        <v>0</v>
      </c>
      <c r="T338">
        <v>41</v>
      </c>
      <c r="U338">
        <v>75</v>
      </c>
      <c r="V338">
        <v>78</v>
      </c>
      <c r="W338">
        <v>88</v>
      </c>
      <c r="X338">
        <v>127</v>
      </c>
      <c r="Y338">
        <v>94</v>
      </c>
      <c r="Z338">
        <v>103</v>
      </c>
      <c r="AA338">
        <v>171</v>
      </c>
      <c r="AE338" s="19"/>
      <c r="AH338">
        <v>0</v>
      </c>
    </row>
    <row r="339" spans="1:34" hidden="1">
      <c r="A339" s="39" t="s">
        <v>324</v>
      </c>
      <c r="B339" s="39">
        <v>0</v>
      </c>
      <c r="C339" s="39">
        <v>0</v>
      </c>
      <c r="D339" s="39">
        <v>0</v>
      </c>
      <c r="E339" s="39">
        <v>0</v>
      </c>
      <c r="F339" s="39">
        <v>0</v>
      </c>
      <c r="G339" s="39">
        <v>212</v>
      </c>
      <c r="H339" s="39">
        <v>308</v>
      </c>
      <c r="I339" s="39">
        <v>326</v>
      </c>
      <c r="J339" s="39">
        <v>475</v>
      </c>
      <c r="K339">
        <v>458</v>
      </c>
      <c r="L339">
        <v>458</v>
      </c>
      <c r="M339">
        <v>545</v>
      </c>
      <c r="N339">
        <v>722</v>
      </c>
      <c r="O339">
        <v>0</v>
      </c>
      <c r="P339">
        <v>0</v>
      </c>
      <c r="Q339">
        <v>0</v>
      </c>
      <c r="R339">
        <v>0</v>
      </c>
      <c r="S339">
        <v>0</v>
      </c>
      <c r="T339">
        <v>22</v>
      </c>
      <c r="U339">
        <v>70</v>
      </c>
      <c r="V339">
        <v>87</v>
      </c>
      <c r="W339">
        <v>124</v>
      </c>
      <c r="X339">
        <v>118</v>
      </c>
      <c r="Y339">
        <v>101</v>
      </c>
      <c r="Z339">
        <v>118</v>
      </c>
      <c r="AA339">
        <v>215</v>
      </c>
      <c r="AD339" t="s">
        <v>1401</v>
      </c>
      <c r="AE339" s="19">
        <v>304</v>
      </c>
      <c r="AF339">
        <v>744</v>
      </c>
      <c r="AG339">
        <v>254</v>
      </c>
      <c r="AH339">
        <v>671</v>
      </c>
    </row>
    <row r="340" spans="1:34" hidden="1">
      <c r="A340" s="39" t="s">
        <v>1420</v>
      </c>
      <c r="B340" s="39">
        <v>0</v>
      </c>
      <c r="C340" s="39">
        <v>0</v>
      </c>
      <c r="D340" s="39">
        <v>0</v>
      </c>
      <c r="E340" s="39">
        <v>0</v>
      </c>
      <c r="F340" s="39">
        <v>0</v>
      </c>
      <c r="G340" s="39">
        <v>0</v>
      </c>
      <c r="H340" s="39">
        <v>3140</v>
      </c>
      <c r="I340" s="39">
        <v>1959</v>
      </c>
      <c r="J340" s="39">
        <v>4171</v>
      </c>
      <c r="K340">
        <v>3650</v>
      </c>
      <c r="L340">
        <v>3312</v>
      </c>
      <c r="M340">
        <v>4458</v>
      </c>
      <c r="N340">
        <v>4003</v>
      </c>
      <c r="O340">
        <v>0</v>
      </c>
      <c r="P340">
        <v>0</v>
      </c>
      <c r="Q340">
        <v>0</v>
      </c>
      <c r="R340">
        <v>0</v>
      </c>
      <c r="S340">
        <v>0</v>
      </c>
      <c r="T340">
        <v>0</v>
      </c>
      <c r="U340">
        <v>1065</v>
      </c>
      <c r="V340">
        <v>484</v>
      </c>
      <c r="W340">
        <v>1138</v>
      </c>
      <c r="X340">
        <v>1032</v>
      </c>
      <c r="Y340">
        <v>716</v>
      </c>
      <c r="Z340">
        <v>994</v>
      </c>
      <c r="AA340">
        <v>796</v>
      </c>
      <c r="AD340" t="s">
        <v>892</v>
      </c>
      <c r="AE340" s="19">
        <v>1773</v>
      </c>
      <c r="AF340">
        <v>3891</v>
      </c>
      <c r="AG340">
        <v>1766</v>
      </c>
      <c r="AH340">
        <v>4227</v>
      </c>
    </row>
    <row r="341" spans="1:34" hidden="1">
      <c r="A341" s="39" t="s">
        <v>410</v>
      </c>
      <c r="B341" s="39">
        <v>0</v>
      </c>
      <c r="C341" s="39">
        <v>0</v>
      </c>
      <c r="D341" s="39">
        <v>0</v>
      </c>
      <c r="E341" s="39">
        <v>0</v>
      </c>
      <c r="F341" s="39">
        <v>10326</v>
      </c>
      <c r="G341" s="39">
        <v>8337</v>
      </c>
      <c r="H341" s="39">
        <v>7328</v>
      </c>
      <c r="I341" s="39">
        <v>8243</v>
      </c>
      <c r="J341" s="39">
        <v>4856</v>
      </c>
      <c r="K341">
        <v>4622</v>
      </c>
      <c r="L341">
        <v>3425</v>
      </c>
      <c r="M341">
        <v>2313</v>
      </c>
      <c r="N341">
        <v>5707</v>
      </c>
      <c r="O341">
        <v>0</v>
      </c>
      <c r="P341">
        <v>0</v>
      </c>
      <c r="Q341">
        <v>0</v>
      </c>
      <c r="R341">
        <v>0</v>
      </c>
      <c r="S341">
        <v>93</v>
      </c>
      <c r="T341">
        <v>453</v>
      </c>
      <c r="U341">
        <v>411</v>
      </c>
      <c r="V341">
        <v>706</v>
      </c>
      <c r="W341">
        <v>446</v>
      </c>
      <c r="X341">
        <v>721</v>
      </c>
      <c r="Y341">
        <v>363</v>
      </c>
      <c r="Z341">
        <v>426</v>
      </c>
      <c r="AA341">
        <v>1136</v>
      </c>
      <c r="AD341" t="s">
        <v>886</v>
      </c>
      <c r="AE341" s="19">
        <v>4088</v>
      </c>
      <c r="AF341">
        <v>8958</v>
      </c>
      <c r="AG341">
        <v>4072</v>
      </c>
      <c r="AH341">
        <v>8698</v>
      </c>
    </row>
    <row r="342" spans="1:34" hidden="1">
      <c r="A342" s="39" t="s">
        <v>302</v>
      </c>
      <c r="B342" s="39">
        <v>0</v>
      </c>
      <c r="C342" s="39">
        <v>0</v>
      </c>
      <c r="D342" s="39">
        <v>0</v>
      </c>
      <c r="E342" s="39">
        <v>0</v>
      </c>
      <c r="F342" s="39">
        <v>0</v>
      </c>
      <c r="G342" s="39">
        <v>0</v>
      </c>
      <c r="H342" s="39">
        <v>172</v>
      </c>
      <c r="I342" s="39">
        <v>1743</v>
      </c>
      <c r="J342" s="39">
        <v>770</v>
      </c>
      <c r="K342">
        <v>2303</v>
      </c>
      <c r="L342">
        <v>2067</v>
      </c>
      <c r="M342">
        <v>1775</v>
      </c>
      <c r="N342">
        <v>1828</v>
      </c>
      <c r="O342">
        <v>0</v>
      </c>
      <c r="P342">
        <v>0</v>
      </c>
      <c r="Q342">
        <v>0</v>
      </c>
      <c r="R342">
        <v>0</v>
      </c>
      <c r="S342">
        <v>0</v>
      </c>
      <c r="T342">
        <v>0</v>
      </c>
      <c r="U342">
        <v>27</v>
      </c>
      <c r="V342">
        <v>424</v>
      </c>
      <c r="W342">
        <v>151</v>
      </c>
      <c r="X342">
        <v>597</v>
      </c>
      <c r="Y342">
        <v>594</v>
      </c>
      <c r="Z342">
        <v>505</v>
      </c>
      <c r="AA342">
        <v>493</v>
      </c>
      <c r="AD342" t="s">
        <v>912</v>
      </c>
      <c r="AE342" s="19">
        <v>307</v>
      </c>
      <c r="AF342">
        <v>913</v>
      </c>
      <c r="AG342">
        <v>303</v>
      </c>
      <c r="AH342">
        <v>791</v>
      </c>
    </row>
    <row r="343" spans="1:34" hidden="1">
      <c r="A343" s="39" t="s">
        <v>390</v>
      </c>
      <c r="B343" s="39">
        <v>0</v>
      </c>
      <c r="C343" s="39">
        <v>0</v>
      </c>
      <c r="D343" s="39">
        <v>0</v>
      </c>
      <c r="E343" s="39">
        <v>0</v>
      </c>
      <c r="F343" s="39">
        <v>8752</v>
      </c>
      <c r="G343" s="39">
        <v>12087</v>
      </c>
      <c r="H343" s="39">
        <v>10201</v>
      </c>
      <c r="I343" s="39">
        <v>8685</v>
      </c>
      <c r="J343" s="39">
        <v>6433</v>
      </c>
      <c r="K343">
        <v>6174</v>
      </c>
      <c r="L343">
        <v>7717</v>
      </c>
      <c r="M343">
        <v>6267</v>
      </c>
      <c r="N343">
        <v>6149</v>
      </c>
      <c r="O343">
        <v>0</v>
      </c>
      <c r="P343">
        <v>0</v>
      </c>
      <c r="Q343">
        <v>0</v>
      </c>
      <c r="R343">
        <v>0</v>
      </c>
      <c r="S343">
        <v>398</v>
      </c>
      <c r="T343">
        <v>564</v>
      </c>
      <c r="U343">
        <v>483</v>
      </c>
      <c r="V343">
        <v>492</v>
      </c>
      <c r="W343">
        <v>332</v>
      </c>
      <c r="X343">
        <v>359</v>
      </c>
      <c r="Y343">
        <v>559</v>
      </c>
      <c r="Z343">
        <v>342</v>
      </c>
      <c r="AA343">
        <v>404</v>
      </c>
      <c r="AD343" t="s">
        <v>839</v>
      </c>
      <c r="AE343" s="19">
        <v>1359</v>
      </c>
      <c r="AF343">
        <v>3067</v>
      </c>
      <c r="AG343">
        <v>1324</v>
      </c>
      <c r="AH343">
        <v>2917</v>
      </c>
    </row>
    <row r="344" spans="1:34" hidden="1">
      <c r="A344" s="39" t="s">
        <v>568</v>
      </c>
      <c r="B344" s="39">
        <v>0</v>
      </c>
      <c r="C344" s="39">
        <v>0</v>
      </c>
      <c r="D344" s="39">
        <v>0</v>
      </c>
      <c r="E344" s="39">
        <v>0</v>
      </c>
      <c r="F344" s="39">
        <v>0</v>
      </c>
      <c r="G344" s="39">
        <v>436</v>
      </c>
      <c r="H344" s="39">
        <v>0</v>
      </c>
      <c r="I344" s="39">
        <v>0</v>
      </c>
      <c r="J344" s="39">
        <v>564</v>
      </c>
      <c r="K344">
        <v>852</v>
      </c>
      <c r="L344">
        <v>648</v>
      </c>
      <c r="M344">
        <v>473</v>
      </c>
      <c r="N344">
        <v>828</v>
      </c>
      <c r="O344">
        <v>0</v>
      </c>
      <c r="P344">
        <v>0</v>
      </c>
      <c r="Q344">
        <v>0</v>
      </c>
      <c r="R344">
        <v>0</v>
      </c>
      <c r="S344">
        <v>0</v>
      </c>
      <c r="T344">
        <v>94</v>
      </c>
      <c r="U344">
        <v>0</v>
      </c>
      <c r="V344">
        <v>0</v>
      </c>
      <c r="W344">
        <v>68</v>
      </c>
      <c r="X344">
        <v>121</v>
      </c>
      <c r="Y344">
        <v>117</v>
      </c>
      <c r="Z344">
        <v>70</v>
      </c>
      <c r="AA344">
        <v>153</v>
      </c>
      <c r="AD344" t="s">
        <v>981</v>
      </c>
      <c r="AE344" s="19">
        <v>4341</v>
      </c>
      <c r="AF344">
        <v>9371</v>
      </c>
      <c r="AG344">
        <v>4145</v>
      </c>
      <c r="AH344">
        <v>9738</v>
      </c>
    </row>
    <row r="345" spans="1:34" hidden="1">
      <c r="A345" s="39" t="s">
        <v>1008</v>
      </c>
      <c r="B345" s="39">
        <v>0</v>
      </c>
      <c r="C345" s="39">
        <v>0</v>
      </c>
      <c r="D345" s="39">
        <v>0</v>
      </c>
      <c r="E345" s="39">
        <v>0</v>
      </c>
      <c r="F345" s="39">
        <v>0</v>
      </c>
      <c r="G345" s="39">
        <v>390</v>
      </c>
      <c r="H345" s="39">
        <v>691</v>
      </c>
      <c r="I345" s="39">
        <v>1148</v>
      </c>
      <c r="J345" s="39">
        <v>1255</v>
      </c>
      <c r="K345">
        <v>1022</v>
      </c>
      <c r="L345">
        <v>2574</v>
      </c>
      <c r="M345">
        <v>4585</v>
      </c>
      <c r="N345">
        <v>2321</v>
      </c>
      <c r="O345">
        <v>0</v>
      </c>
      <c r="P345">
        <v>0</v>
      </c>
      <c r="Q345">
        <v>0</v>
      </c>
      <c r="R345">
        <v>0</v>
      </c>
      <c r="S345">
        <v>0</v>
      </c>
      <c r="T345">
        <v>64</v>
      </c>
      <c r="U345">
        <v>223</v>
      </c>
      <c r="V345">
        <v>342</v>
      </c>
      <c r="W345">
        <v>354</v>
      </c>
      <c r="X345">
        <v>254</v>
      </c>
      <c r="Y345">
        <v>552</v>
      </c>
      <c r="Z345">
        <v>637</v>
      </c>
      <c r="AA345">
        <v>537</v>
      </c>
      <c r="AD345" t="s">
        <v>977</v>
      </c>
      <c r="AE345" s="19">
        <v>1730</v>
      </c>
      <c r="AF345">
        <v>5884</v>
      </c>
      <c r="AG345">
        <v>1880</v>
      </c>
      <c r="AH345">
        <v>5451</v>
      </c>
    </row>
    <row r="346" spans="1:34" hidden="1">
      <c r="A346" s="39" t="s">
        <v>811</v>
      </c>
      <c r="B346" s="39">
        <v>0</v>
      </c>
      <c r="C346" s="39">
        <v>0</v>
      </c>
      <c r="D346" s="39">
        <v>0</v>
      </c>
      <c r="E346" s="39">
        <v>0</v>
      </c>
      <c r="F346" s="39">
        <v>0</v>
      </c>
      <c r="G346" s="39">
        <v>739</v>
      </c>
      <c r="H346" s="39">
        <v>1555</v>
      </c>
      <c r="I346" s="39">
        <v>751</v>
      </c>
      <c r="J346" s="39">
        <v>1647</v>
      </c>
      <c r="K346">
        <v>1035</v>
      </c>
      <c r="L346">
        <v>876</v>
      </c>
      <c r="M346">
        <v>862</v>
      </c>
      <c r="N346">
        <v>926</v>
      </c>
      <c r="O346">
        <v>0</v>
      </c>
      <c r="P346">
        <v>0</v>
      </c>
      <c r="Q346">
        <v>0</v>
      </c>
      <c r="R346">
        <v>0</v>
      </c>
      <c r="S346">
        <v>0</v>
      </c>
      <c r="T346">
        <v>231</v>
      </c>
      <c r="U346">
        <v>657</v>
      </c>
      <c r="V346">
        <v>116</v>
      </c>
      <c r="W346">
        <v>789</v>
      </c>
      <c r="X346">
        <v>342</v>
      </c>
      <c r="Y346">
        <v>305</v>
      </c>
      <c r="Z346">
        <v>258</v>
      </c>
      <c r="AA346">
        <v>282</v>
      </c>
      <c r="AD346" t="s">
        <v>727</v>
      </c>
      <c r="AE346" s="19">
        <v>2197</v>
      </c>
      <c r="AF346">
        <v>7621</v>
      </c>
      <c r="AG346">
        <v>2076</v>
      </c>
      <c r="AH346">
        <v>7276</v>
      </c>
    </row>
    <row r="347" spans="1:34" hidden="1">
      <c r="A347" s="39" t="s">
        <v>1002</v>
      </c>
      <c r="B347" s="39">
        <v>0</v>
      </c>
      <c r="C347" s="39">
        <v>0</v>
      </c>
      <c r="D347" s="39">
        <v>0</v>
      </c>
      <c r="E347" s="39">
        <v>0</v>
      </c>
      <c r="F347" s="39">
        <v>98</v>
      </c>
      <c r="G347" s="39">
        <v>561</v>
      </c>
      <c r="H347" s="39">
        <v>584</v>
      </c>
      <c r="I347" s="39">
        <v>524</v>
      </c>
      <c r="J347" s="39">
        <v>632</v>
      </c>
      <c r="K347">
        <v>890</v>
      </c>
      <c r="L347">
        <v>2179</v>
      </c>
      <c r="M347">
        <v>4759</v>
      </c>
      <c r="N347">
        <v>1624</v>
      </c>
      <c r="O347">
        <v>0</v>
      </c>
      <c r="P347">
        <v>0</v>
      </c>
      <c r="Q347">
        <v>0</v>
      </c>
      <c r="R347">
        <v>0</v>
      </c>
      <c r="S347">
        <v>31</v>
      </c>
      <c r="T347">
        <v>125</v>
      </c>
      <c r="U347">
        <v>145</v>
      </c>
      <c r="V347">
        <v>60</v>
      </c>
      <c r="W347">
        <v>162</v>
      </c>
      <c r="X347">
        <v>205</v>
      </c>
      <c r="Y347">
        <v>326</v>
      </c>
      <c r="Z347">
        <v>428</v>
      </c>
      <c r="AA347">
        <v>305</v>
      </c>
      <c r="AD347" t="s">
        <v>904</v>
      </c>
      <c r="AE347" s="19">
        <v>680</v>
      </c>
      <c r="AF347">
        <v>1839</v>
      </c>
      <c r="AG347">
        <v>673</v>
      </c>
      <c r="AH347">
        <v>1900</v>
      </c>
    </row>
    <row r="348" spans="1:34" hidden="1">
      <c r="A348" s="39" t="s">
        <v>727</v>
      </c>
      <c r="B348" s="39">
        <v>0</v>
      </c>
      <c r="C348" s="39">
        <v>0</v>
      </c>
      <c r="D348" s="39">
        <v>0</v>
      </c>
      <c r="E348" s="39">
        <v>0</v>
      </c>
      <c r="F348" s="39">
        <v>0</v>
      </c>
      <c r="G348" s="39">
        <v>0</v>
      </c>
      <c r="H348" s="39">
        <v>393</v>
      </c>
      <c r="I348" s="39">
        <v>2532</v>
      </c>
      <c r="J348" s="39">
        <v>2864</v>
      </c>
      <c r="K348">
        <v>3379</v>
      </c>
      <c r="L348">
        <v>2157</v>
      </c>
      <c r="M348">
        <v>2349</v>
      </c>
      <c r="N348">
        <v>2197</v>
      </c>
      <c r="O348">
        <v>0</v>
      </c>
      <c r="P348">
        <v>0</v>
      </c>
      <c r="Q348">
        <v>0</v>
      </c>
      <c r="R348">
        <v>0</v>
      </c>
      <c r="S348">
        <v>0</v>
      </c>
      <c r="T348">
        <v>0</v>
      </c>
      <c r="U348">
        <v>91</v>
      </c>
      <c r="V348">
        <v>796</v>
      </c>
      <c r="W348">
        <v>917</v>
      </c>
      <c r="X348">
        <v>1053</v>
      </c>
      <c r="Y348">
        <v>674</v>
      </c>
      <c r="Z348">
        <v>744</v>
      </c>
      <c r="AA348">
        <v>607</v>
      </c>
      <c r="AD348" t="s">
        <v>920</v>
      </c>
      <c r="AE348" s="19">
        <v>556</v>
      </c>
      <c r="AF348">
        <v>3328</v>
      </c>
      <c r="AG348">
        <v>492</v>
      </c>
      <c r="AH348">
        <v>2903</v>
      </c>
    </row>
    <row r="349" spans="1:34" hidden="1">
      <c r="A349" s="39" t="s">
        <v>580</v>
      </c>
      <c r="B349" s="39">
        <v>0</v>
      </c>
      <c r="C349" s="39">
        <v>0</v>
      </c>
      <c r="D349" s="39">
        <v>0</v>
      </c>
      <c r="E349" s="39">
        <v>0</v>
      </c>
      <c r="F349" s="39">
        <v>0</v>
      </c>
      <c r="G349" s="39">
        <v>0</v>
      </c>
      <c r="H349" s="39">
        <v>0</v>
      </c>
      <c r="I349" s="39">
        <v>0</v>
      </c>
      <c r="J349" s="39">
        <v>1557</v>
      </c>
      <c r="K349">
        <v>2098</v>
      </c>
      <c r="L349">
        <v>1575</v>
      </c>
      <c r="M349">
        <v>1557</v>
      </c>
      <c r="N349">
        <v>2041</v>
      </c>
      <c r="O349">
        <v>0</v>
      </c>
      <c r="P349">
        <v>0</v>
      </c>
      <c r="Q349">
        <v>0</v>
      </c>
      <c r="R349">
        <v>0</v>
      </c>
      <c r="S349">
        <v>0</v>
      </c>
      <c r="T349">
        <v>0</v>
      </c>
      <c r="U349">
        <v>0</v>
      </c>
      <c r="V349">
        <v>0</v>
      </c>
      <c r="W349">
        <v>213</v>
      </c>
      <c r="X349">
        <v>263</v>
      </c>
      <c r="Y349">
        <v>232</v>
      </c>
      <c r="Z349">
        <v>253</v>
      </c>
      <c r="AA349">
        <v>326</v>
      </c>
      <c r="AD349" t="s">
        <v>922</v>
      </c>
      <c r="AE349" s="19">
        <v>709</v>
      </c>
      <c r="AF349">
        <v>1617</v>
      </c>
      <c r="AG349">
        <v>780</v>
      </c>
      <c r="AH349">
        <v>1828</v>
      </c>
    </row>
    <row r="350" spans="1:34" hidden="1">
      <c r="A350" s="39" t="s">
        <v>920</v>
      </c>
      <c r="B350" s="39">
        <v>0</v>
      </c>
      <c r="C350" s="39">
        <v>0</v>
      </c>
      <c r="D350" s="39">
        <v>0</v>
      </c>
      <c r="E350" s="39">
        <v>0</v>
      </c>
      <c r="F350" s="39">
        <v>0</v>
      </c>
      <c r="G350" s="39">
        <v>12</v>
      </c>
      <c r="H350" s="39">
        <v>279</v>
      </c>
      <c r="I350" s="39">
        <v>1318</v>
      </c>
      <c r="J350" s="39">
        <v>573</v>
      </c>
      <c r="K350">
        <v>395</v>
      </c>
      <c r="L350">
        <v>1570</v>
      </c>
      <c r="M350">
        <v>3596</v>
      </c>
      <c r="N350">
        <v>744</v>
      </c>
      <c r="O350">
        <v>0</v>
      </c>
      <c r="P350">
        <v>0</v>
      </c>
      <c r="Q350">
        <v>0</v>
      </c>
      <c r="R350">
        <v>0</v>
      </c>
      <c r="S350">
        <v>0</v>
      </c>
      <c r="T350">
        <v>0</v>
      </c>
      <c r="U350">
        <v>64</v>
      </c>
      <c r="V350">
        <v>112</v>
      </c>
      <c r="W350">
        <v>138</v>
      </c>
      <c r="X350">
        <v>189</v>
      </c>
      <c r="Y350">
        <v>129</v>
      </c>
      <c r="Z350">
        <v>390</v>
      </c>
      <c r="AA350">
        <v>145</v>
      </c>
      <c r="AD350" t="s">
        <v>748</v>
      </c>
      <c r="AE350" s="19">
        <v>1391</v>
      </c>
      <c r="AF350">
        <v>6386</v>
      </c>
      <c r="AG350">
        <v>1391</v>
      </c>
      <c r="AH350">
        <v>6380</v>
      </c>
    </row>
    <row r="351" spans="1:34" hidden="1">
      <c r="A351" s="39" t="s">
        <v>776</v>
      </c>
      <c r="B351" s="39">
        <v>0</v>
      </c>
      <c r="C351" s="39">
        <v>0</v>
      </c>
      <c r="D351" s="39">
        <v>0</v>
      </c>
      <c r="E351" s="39">
        <v>0</v>
      </c>
      <c r="F351" s="39">
        <v>0</v>
      </c>
      <c r="G351" s="39">
        <v>0</v>
      </c>
      <c r="H351" s="39">
        <v>160</v>
      </c>
      <c r="I351" s="39">
        <v>1483</v>
      </c>
      <c r="J351" s="39">
        <v>2491</v>
      </c>
      <c r="K351">
        <v>3416</v>
      </c>
      <c r="L351">
        <v>3566</v>
      </c>
      <c r="M351">
        <v>1842</v>
      </c>
      <c r="N351">
        <v>3462</v>
      </c>
      <c r="O351">
        <v>0</v>
      </c>
      <c r="P351">
        <v>0</v>
      </c>
      <c r="Q351">
        <v>0</v>
      </c>
      <c r="R351">
        <v>0</v>
      </c>
      <c r="S351">
        <v>0</v>
      </c>
      <c r="T351">
        <v>0</v>
      </c>
      <c r="U351">
        <v>19</v>
      </c>
      <c r="V351">
        <v>248</v>
      </c>
      <c r="W351">
        <v>484</v>
      </c>
      <c r="X351">
        <v>675</v>
      </c>
      <c r="Y351">
        <v>597</v>
      </c>
      <c r="Z351">
        <v>351</v>
      </c>
      <c r="AA351">
        <v>715</v>
      </c>
      <c r="AD351" t="s">
        <v>851</v>
      </c>
      <c r="AE351" s="19">
        <v>1104</v>
      </c>
      <c r="AF351">
        <v>3041</v>
      </c>
      <c r="AG351">
        <v>1124</v>
      </c>
      <c r="AH351">
        <v>3196</v>
      </c>
    </row>
    <row r="352" spans="1:34" hidden="1">
      <c r="A352" s="39" t="s">
        <v>994</v>
      </c>
      <c r="B352" s="39">
        <v>0</v>
      </c>
      <c r="C352" s="39">
        <v>0</v>
      </c>
      <c r="D352" s="39">
        <v>0</v>
      </c>
      <c r="E352" s="39">
        <v>0</v>
      </c>
      <c r="F352" s="39">
        <v>0</v>
      </c>
      <c r="G352" s="39">
        <v>301</v>
      </c>
      <c r="H352" s="39">
        <v>600</v>
      </c>
      <c r="I352" s="39">
        <v>576</v>
      </c>
      <c r="J352" s="39">
        <v>397</v>
      </c>
      <c r="K352">
        <v>653</v>
      </c>
      <c r="L352">
        <v>537</v>
      </c>
      <c r="M352">
        <v>517</v>
      </c>
      <c r="N352">
        <v>550</v>
      </c>
      <c r="O352">
        <v>0</v>
      </c>
      <c r="P352">
        <v>0</v>
      </c>
      <c r="Q352">
        <v>0</v>
      </c>
      <c r="R352">
        <v>0</v>
      </c>
      <c r="S352">
        <v>0</v>
      </c>
      <c r="T352">
        <v>125</v>
      </c>
      <c r="U352">
        <v>294</v>
      </c>
      <c r="V352">
        <v>269</v>
      </c>
      <c r="W352">
        <v>148</v>
      </c>
      <c r="X352">
        <v>243</v>
      </c>
      <c r="Y352">
        <v>229</v>
      </c>
      <c r="Z352">
        <v>175</v>
      </c>
      <c r="AA352">
        <v>249</v>
      </c>
      <c r="AD352" s="27" t="s">
        <v>939</v>
      </c>
      <c r="AE352" s="19">
        <v>1012</v>
      </c>
      <c r="AF352">
        <v>4711</v>
      </c>
      <c r="AG352">
        <v>900</v>
      </c>
      <c r="AH352">
        <v>3957</v>
      </c>
    </row>
    <row r="353" spans="1:34" hidden="1">
      <c r="A353" s="39" t="s">
        <v>1421</v>
      </c>
      <c r="B353" s="39">
        <v>0</v>
      </c>
      <c r="C353" s="39">
        <v>0</v>
      </c>
      <c r="D353" s="39">
        <v>0</v>
      </c>
      <c r="E353" s="39">
        <v>0</v>
      </c>
      <c r="F353" s="39">
        <v>0</v>
      </c>
      <c r="G353" s="39">
        <v>138</v>
      </c>
      <c r="H353" s="39">
        <v>416</v>
      </c>
      <c r="I353" s="39">
        <v>484</v>
      </c>
      <c r="J353" s="39">
        <v>540</v>
      </c>
      <c r="K353">
        <v>395</v>
      </c>
      <c r="L353">
        <v>268</v>
      </c>
      <c r="M353">
        <v>489</v>
      </c>
      <c r="N353">
        <v>0</v>
      </c>
      <c r="O353">
        <v>0</v>
      </c>
      <c r="P353">
        <v>0</v>
      </c>
      <c r="Q353">
        <v>0</v>
      </c>
      <c r="R353">
        <v>0</v>
      </c>
      <c r="S353">
        <v>0</v>
      </c>
      <c r="T353">
        <v>36</v>
      </c>
      <c r="U353">
        <v>138</v>
      </c>
      <c r="V353">
        <v>196</v>
      </c>
      <c r="W353">
        <v>216</v>
      </c>
      <c r="X353">
        <v>168</v>
      </c>
      <c r="Y353">
        <v>119</v>
      </c>
      <c r="Z353">
        <v>199</v>
      </c>
      <c r="AA353">
        <v>1</v>
      </c>
      <c r="AD353" t="s">
        <v>1010</v>
      </c>
      <c r="AE353" s="19">
        <v>563</v>
      </c>
      <c r="AF353">
        <v>1126</v>
      </c>
      <c r="AG353">
        <v>553</v>
      </c>
      <c r="AH353">
        <v>1189</v>
      </c>
    </row>
    <row r="354" spans="1:34" hidden="1">
      <c r="A354" s="39" t="s">
        <v>1422</v>
      </c>
      <c r="B354" s="39">
        <v>0</v>
      </c>
      <c r="C354" s="39">
        <v>0</v>
      </c>
      <c r="D354" s="39">
        <v>0</v>
      </c>
      <c r="E354" s="39">
        <v>0</v>
      </c>
      <c r="F354" s="39">
        <v>0</v>
      </c>
      <c r="G354" s="39">
        <v>0</v>
      </c>
      <c r="H354" s="39">
        <v>0</v>
      </c>
      <c r="I354" s="39">
        <v>408</v>
      </c>
      <c r="J354" s="39">
        <v>599</v>
      </c>
      <c r="K354">
        <v>871</v>
      </c>
      <c r="L354">
        <v>557</v>
      </c>
      <c r="M354">
        <v>780</v>
      </c>
      <c r="N354">
        <v>550</v>
      </c>
      <c r="O354">
        <v>0</v>
      </c>
      <c r="P354">
        <v>0</v>
      </c>
      <c r="Q354">
        <v>0</v>
      </c>
      <c r="R354">
        <v>0</v>
      </c>
      <c r="S354">
        <v>0</v>
      </c>
      <c r="T354">
        <v>0</v>
      </c>
      <c r="U354">
        <v>0</v>
      </c>
      <c r="V354">
        <v>122</v>
      </c>
      <c r="W354">
        <v>234</v>
      </c>
      <c r="X354">
        <v>328</v>
      </c>
      <c r="Y354">
        <v>236</v>
      </c>
      <c r="Z354">
        <v>330</v>
      </c>
      <c r="AA354">
        <v>182</v>
      </c>
      <c r="AD354" s="37" t="s">
        <v>996</v>
      </c>
      <c r="AE354" s="19">
        <v>994</v>
      </c>
      <c r="AF354">
        <v>5341</v>
      </c>
      <c r="AG354">
        <v>781</v>
      </c>
      <c r="AH354">
        <v>4714</v>
      </c>
    </row>
    <row r="355" spans="1:34" hidden="1">
      <c r="A355" s="39" t="s">
        <v>1089</v>
      </c>
      <c r="B355" s="39">
        <v>0</v>
      </c>
      <c r="C355" s="39">
        <v>0</v>
      </c>
      <c r="D355" s="39">
        <v>0</v>
      </c>
      <c r="E355" s="39">
        <v>0</v>
      </c>
      <c r="F355" s="39">
        <v>0</v>
      </c>
      <c r="G355" s="39">
        <v>0</v>
      </c>
      <c r="H355" s="39">
        <v>6</v>
      </c>
      <c r="I355" s="39">
        <v>957</v>
      </c>
      <c r="J355" s="39">
        <v>1314</v>
      </c>
      <c r="K355">
        <v>951</v>
      </c>
      <c r="L355">
        <v>1123</v>
      </c>
      <c r="M355">
        <v>1273</v>
      </c>
      <c r="N355">
        <v>1684</v>
      </c>
      <c r="O355">
        <v>0</v>
      </c>
      <c r="P355">
        <v>0</v>
      </c>
      <c r="Q355">
        <v>0</v>
      </c>
      <c r="R355">
        <v>0</v>
      </c>
      <c r="S355">
        <v>0</v>
      </c>
      <c r="T355">
        <v>0</v>
      </c>
      <c r="U355">
        <v>0</v>
      </c>
      <c r="V355">
        <v>116</v>
      </c>
      <c r="W355">
        <v>154</v>
      </c>
      <c r="X355">
        <v>171</v>
      </c>
      <c r="Y355">
        <v>113</v>
      </c>
      <c r="Z355">
        <v>130</v>
      </c>
      <c r="AA355">
        <v>176</v>
      </c>
      <c r="AD355" t="s">
        <v>983</v>
      </c>
      <c r="AE355" s="19">
        <v>2392</v>
      </c>
      <c r="AF355">
        <v>4813</v>
      </c>
      <c r="AG355">
        <v>2708</v>
      </c>
      <c r="AH355">
        <v>4674</v>
      </c>
    </row>
    <row r="356" spans="1:34" hidden="1">
      <c r="A356" s="39" t="s">
        <v>1211</v>
      </c>
      <c r="B356" s="39">
        <v>0</v>
      </c>
      <c r="C356" s="39">
        <v>0</v>
      </c>
      <c r="D356" s="39">
        <v>0</v>
      </c>
      <c r="E356" s="39">
        <v>0</v>
      </c>
      <c r="F356" s="39">
        <v>0</v>
      </c>
      <c r="G356" s="39">
        <v>773</v>
      </c>
      <c r="H356" s="39">
        <v>647</v>
      </c>
      <c r="I356" s="39">
        <v>608</v>
      </c>
      <c r="J356" s="39">
        <v>765</v>
      </c>
      <c r="K356">
        <v>794</v>
      </c>
      <c r="L356">
        <v>654</v>
      </c>
      <c r="M356">
        <v>1075</v>
      </c>
      <c r="N356">
        <v>683</v>
      </c>
      <c r="O356">
        <v>0</v>
      </c>
      <c r="P356">
        <v>0</v>
      </c>
      <c r="Q356">
        <v>0</v>
      </c>
      <c r="R356">
        <v>0</v>
      </c>
      <c r="S356">
        <v>0</v>
      </c>
      <c r="T356">
        <v>220</v>
      </c>
      <c r="U356">
        <v>182</v>
      </c>
      <c r="V356">
        <v>221</v>
      </c>
      <c r="W356">
        <v>260</v>
      </c>
      <c r="X356">
        <v>243</v>
      </c>
      <c r="Y356">
        <v>231</v>
      </c>
      <c r="Z356">
        <v>385</v>
      </c>
      <c r="AA356">
        <v>246</v>
      </c>
      <c r="AD356" s="23" t="s">
        <v>994</v>
      </c>
      <c r="AE356" s="19">
        <v>968</v>
      </c>
      <c r="AF356">
        <v>2161</v>
      </c>
      <c r="AG356">
        <v>1003</v>
      </c>
      <c r="AH356">
        <v>2293</v>
      </c>
    </row>
    <row r="357" spans="1:34" hidden="1">
      <c r="A357" s="39" t="s">
        <v>1200</v>
      </c>
      <c r="B357" s="39">
        <v>0</v>
      </c>
      <c r="C357" s="39">
        <v>0</v>
      </c>
      <c r="D357" s="39">
        <v>0</v>
      </c>
      <c r="E357" s="39">
        <v>0</v>
      </c>
      <c r="F357" s="39">
        <v>0</v>
      </c>
      <c r="G357" s="39">
        <v>7</v>
      </c>
      <c r="H357" s="39">
        <v>2458</v>
      </c>
      <c r="I357" s="39">
        <v>1177</v>
      </c>
      <c r="J357" s="39">
        <v>1357</v>
      </c>
      <c r="K357">
        <v>1990</v>
      </c>
      <c r="L357">
        <v>2238</v>
      </c>
      <c r="M357">
        <v>2466</v>
      </c>
      <c r="N357">
        <v>2610</v>
      </c>
      <c r="O357">
        <v>0</v>
      </c>
      <c r="P357">
        <v>0</v>
      </c>
      <c r="Q357">
        <v>0</v>
      </c>
      <c r="R357">
        <v>0</v>
      </c>
      <c r="S357">
        <v>0</v>
      </c>
      <c r="T357">
        <v>0</v>
      </c>
      <c r="U357">
        <v>862</v>
      </c>
      <c r="V357">
        <v>311</v>
      </c>
      <c r="W357">
        <v>472</v>
      </c>
      <c r="X357">
        <v>633</v>
      </c>
      <c r="Y357">
        <v>793</v>
      </c>
      <c r="Z357">
        <v>642</v>
      </c>
      <c r="AA357">
        <v>749</v>
      </c>
      <c r="AD357" t="s">
        <v>803</v>
      </c>
      <c r="AE357" s="19">
        <v>1050</v>
      </c>
      <c r="AF357">
        <v>3313</v>
      </c>
      <c r="AG357">
        <v>647</v>
      </c>
      <c r="AH357">
        <v>2596</v>
      </c>
    </row>
    <row r="358" spans="1:34" hidden="1">
      <c r="A358" s="39" t="s">
        <v>1275</v>
      </c>
      <c r="B358" s="39">
        <v>0</v>
      </c>
      <c r="C358" s="39">
        <v>0</v>
      </c>
      <c r="D358" s="39">
        <v>0</v>
      </c>
      <c r="E358" s="39">
        <v>0</v>
      </c>
      <c r="F358" s="39">
        <v>0</v>
      </c>
      <c r="G358" s="39">
        <v>1446</v>
      </c>
      <c r="H358" s="39">
        <v>2491</v>
      </c>
      <c r="I358" s="39">
        <v>3474</v>
      </c>
      <c r="J358" s="39">
        <v>3257</v>
      </c>
      <c r="K358">
        <v>5293</v>
      </c>
      <c r="L358">
        <v>4070</v>
      </c>
      <c r="M358">
        <v>3634</v>
      </c>
      <c r="N358">
        <v>4404</v>
      </c>
      <c r="O358">
        <v>0</v>
      </c>
      <c r="P358">
        <v>0</v>
      </c>
      <c r="Q358">
        <v>0</v>
      </c>
      <c r="R358">
        <v>0</v>
      </c>
      <c r="S358">
        <v>0</v>
      </c>
      <c r="T358">
        <v>399</v>
      </c>
      <c r="U358">
        <v>566</v>
      </c>
      <c r="V358">
        <v>836</v>
      </c>
      <c r="W358">
        <v>784</v>
      </c>
      <c r="X358">
        <v>1447</v>
      </c>
      <c r="Y358">
        <v>1139</v>
      </c>
      <c r="Z358">
        <v>825</v>
      </c>
      <c r="AA358">
        <v>953</v>
      </c>
      <c r="AD358" t="s">
        <v>870</v>
      </c>
      <c r="AE358" s="19">
        <v>1164</v>
      </c>
      <c r="AF358">
        <v>2760</v>
      </c>
      <c r="AG358">
        <v>1126</v>
      </c>
      <c r="AH358">
        <v>2712</v>
      </c>
    </row>
    <row r="359" spans="1:34" hidden="1">
      <c r="A359" s="39" t="s">
        <v>1121</v>
      </c>
      <c r="B359" s="39">
        <v>0</v>
      </c>
      <c r="C359" s="39">
        <v>0</v>
      </c>
      <c r="D359" s="39">
        <v>0</v>
      </c>
      <c r="E359" s="39">
        <v>0</v>
      </c>
      <c r="F359" s="39">
        <v>0</v>
      </c>
      <c r="G359" s="39">
        <v>1785</v>
      </c>
      <c r="H359" s="39">
        <v>1444</v>
      </c>
      <c r="I359" s="39">
        <v>1189</v>
      </c>
      <c r="J359" s="39">
        <v>618</v>
      </c>
      <c r="K359">
        <v>291</v>
      </c>
      <c r="L359">
        <v>635</v>
      </c>
      <c r="M359">
        <v>501</v>
      </c>
      <c r="N359">
        <v>658</v>
      </c>
      <c r="O359">
        <v>0</v>
      </c>
      <c r="P359">
        <v>0</v>
      </c>
      <c r="Q359">
        <v>0</v>
      </c>
      <c r="R359">
        <v>0</v>
      </c>
      <c r="S359">
        <v>0</v>
      </c>
      <c r="T359">
        <v>205</v>
      </c>
      <c r="U359">
        <v>289</v>
      </c>
      <c r="V359">
        <v>263</v>
      </c>
      <c r="W359">
        <v>106</v>
      </c>
      <c r="X359">
        <v>80</v>
      </c>
      <c r="Y359">
        <v>76</v>
      </c>
      <c r="Z359">
        <v>68</v>
      </c>
      <c r="AA359">
        <v>112</v>
      </c>
      <c r="AD359" s="37" t="s">
        <v>988</v>
      </c>
      <c r="AE359" s="19">
        <v>1206</v>
      </c>
      <c r="AF359">
        <v>5369</v>
      </c>
      <c r="AG359">
        <v>679</v>
      </c>
      <c r="AH359">
        <v>3541</v>
      </c>
    </row>
    <row r="360" spans="1:34" hidden="1">
      <c r="A360" s="39" t="s">
        <v>30</v>
      </c>
      <c r="B360" s="39">
        <v>0</v>
      </c>
      <c r="C360" s="39">
        <v>0</v>
      </c>
      <c r="D360" s="39">
        <v>0</v>
      </c>
      <c r="E360" s="39">
        <v>0</v>
      </c>
      <c r="F360" s="39">
        <v>0</v>
      </c>
      <c r="G360" s="39">
        <v>0</v>
      </c>
      <c r="H360" s="39">
        <v>0</v>
      </c>
      <c r="I360" s="39">
        <v>762</v>
      </c>
      <c r="J360" s="39">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c r="AD360" s="23" t="s">
        <v>776</v>
      </c>
      <c r="AE360" s="19">
        <v>2452</v>
      </c>
      <c r="AF360">
        <v>11987</v>
      </c>
      <c r="AG360">
        <v>2540</v>
      </c>
      <c r="AH360">
        <v>11724</v>
      </c>
    </row>
    <row r="361" spans="1:34" hidden="1">
      <c r="A361" s="39" t="s">
        <v>154</v>
      </c>
      <c r="B361" s="39">
        <v>0</v>
      </c>
      <c r="C361" s="39">
        <v>0</v>
      </c>
      <c r="D361" s="39">
        <v>0</v>
      </c>
      <c r="E361" s="39">
        <v>0</v>
      </c>
      <c r="F361" s="39">
        <v>0</v>
      </c>
      <c r="G361" s="39">
        <v>7630</v>
      </c>
      <c r="H361" s="39">
        <v>2562</v>
      </c>
      <c r="I361" s="39">
        <v>2152</v>
      </c>
      <c r="J361" s="39">
        <v>3470</v>
      </c>
      <c r="K361">
        <v>5129</v>
      </c>
      <c r="L361">
        <v>3255</v>
      </c>
      <c r="M361">
        <v>2612</v>
      </c>
      <c r="N361">
        <v>6158</v>
      </c>
      <c r="O361">
        <v>0</v>
      </c>
      <c r="P361">
        <v>0</v>
      </c>
      <c r="Q361">
        <v>0</v>
      </c>
      <c r="R361">
        <v>0</v>
      </c>
      <c r="S361">
        <v>0</v>
      </c>
      <c r="T361">
        <v>176</v>
      </c>
      <c r="U361">
        <v>639</v>
      </c>
      <c r="V361">
        <v>75</v>
      </c>
      <c r="W361">
        <v>1013</v>
      </c>
      <c r="X361">
        <v>844</v>
      </c>
      <c r="Y361">
        <v>323</v>
      </c>
      <c r="Z361">
        <v>310</v>
      </c>
      <c r="AA361">
        <v>476</v>
      </c>
      <c r="AD361" s="27" t="s">
        <v>772</v>
      </c>
      <c r="AE361" s="19">
        <v>1081</v>
      </c>
      <c r="AF361">
        <v>2997</v>
      </c>
      <c r="AG361">
        <v>1041</v>
      </c>
      <c r="AH361">
        <v>2820</v>
      </c>
    </row>
    <row r="362" spans="1:34" hidden="1">
      <c r="A362" s="39" t="s">
        <v>1423</v>
      </c>
      <c r="B362" s="39">
        <v>0</v>
      </c>
      <c r="C362" s="39">
        <v>0</v>
      </c>
      <c r="D362" s="39">
        <v>0</v>
      </c>
      <c r="E362" s="39">
        <v>0</v>
      </c>
      <c r="F362" s="39">
        <v>0</v>
      </c>
      <c r="G362" s="39">
        <v>260</v>
      </c>
      <c r="H362" s="39">
        <v>228</v>
      </c>
      <c r="I362" s="39">
        <v>499</v>
      </c>
      <c r="J362" s="39">
        <v>895</v>
      </c>
      <c r="K362">
        <v>947</v>
      </c>
      <c r="L362">
        <v>1210</v>
      </c>
      <c r="M362">
        <v>1576</v>
      </c>
      <c r="N362">
        <v>1459</v>
      </c>
      <c r="O362">
        <v>0</v>
      </c>
      <c r="P362">
        <v>0</v>
      </c>
      <c r="Q362">
        <v>0</v>
      </c>
      <c r="R362">
        <v>0</v>
      </c>
      <c r="S362">
        <v>0</v>
      </c>
      <c r="T362">
        <v>72</v>
      </c>
      <c r="U362">
        <v>46</v>
      </c>
      <c r="V362">
        <v>84</v>
      </c>
      <c r="W362">
        <v>174</v>
      </c>
      <c r="X362">
        <v>238</v>
      </c>
      <c r="Y362">
        <v>296</v>
      </c>
      <c r="Z362">
        <v>354</v>
      </c>
      <c r="AA362">
        <v>337</v>
      </c>
      <c r="AD362" t="s">
        <v>935</v>
      </c>
      <c r="AE362" s="19">
        <v>2435</v>
      </c>
      <c r="AF362">
        <v>9302</v>
      </c>
      <c r="AG362">
        <v>3143</v>
      </c>
      <c r="AH362">
        <v>11288</v>
      </c>
    </row>
    <row r="363" spans="1:34" hidden="1">
      <c r="A363" s="39" t="s">
        <v>1424</v>
      </c>
      <c r="B363" s="39">
        <v>0</v>
      </c>
      <c r="C363" s="39">
        <v>0</v>
      </c>
      <c r="D363" s="39">
        <v>0</v>
      </c>
      <c r="E363" s="39">
        <v>74</v>
      </c>
      <c r="F363" s="39">
        <v>732</v>
      </c>
      <c r="G363" s="39">
        <v>2355</v>
      </c>
      <c r="H363" s="39">
        <v>1554</v>
      </c>
      <c r="I363" s="39">
        <v>1083</v>
      </c>
      <c r="J363" s="39">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c r="AD363" s="27" t="s">
        <v>961</v>
      </c>
      <c r="AE363" s="19">
        <v>932</v>
      </c>
      <c r="AF363">
        <v>2798</v>
      </c>
      <c r="AG363">
        <v>849</v>
      </c>
      <c r="AH363">
        <v>3058</v>
      </c>
    </row>
    <row r="364" spans="1:34" hidden="1">
      <c r="A364" s="39" t="s">
        <v>1425</v>
      </c>
      <c r="B364" s="39">
        <v>0</v>
      </c>
      <c r="C364" s="39">
        <v>0</v>
      </c>
      <c r="D364" s="39">
        <v>0</v>
      </c>
      <c r="E364" s="39">
        <v>66</v>
      </c>
      <c r="F364" s="39">
        <v>40</v>
      </c>
      <c r="G364" s="39">
        <v>147</v>
      </c>
      <c r="H364" s="39">
        <v>138</v>
      </c>
      <c r="I364" s="39">
        <v>116</v>
      </c>
      <c r="J364" s="39">
        <v>178</v>
      </c>
      <c r="K364">
        <v>141</v>
      </c>
      <c r="L364">
        <v>183</v>
      </c>
      <c r="M364">
        <v>0</v>
      </c>
      <c r="N364">
        <v>61</v>
      </c>
      <c r="O364">
        <v>0</v>
      </c>
      <c r="P364">
        <v>0</v>
      </c>
      <c r="Q364">
        <v>0</v>
      </c>
      <c r="R364">
        <v>18</v>
      </c>
      <c r="S364">
        <v>12</v>
      </c>
      <c r="T364">
        <v>25</v>
      </c>
      <c r="U364">
        <v>31</v>
      </c>
      <c r="V364">
        <v>27</v>
      </c>
      <c r="W364">
        <v>45</v>
      </c>
      <c r="X364">
        <v>28</v>
      </c>
      <c r="Y364">
        <v>68</v>
      </c>
      <c r="Z364">
        <v>0</v>
      </c>
      <c r="AA364">
        <v>26</v>
      </c>
      <c r="AD364" s="37" t="s">
        <v>973</v>
      </c>
      <c r="AE364" s="19">
        <v>2202</v>
      </c>
      <c r="AF364">
        <v>6672</v>
      </c>
      <c r="AG364">
        <v>1648</v>
      </c>
      <c r="AH364">
        <v>5181</v>
      </c>
    </row>
    <row r="365" spans="1:34" hidden="1">
      <c r="A365" s="39" t="s">
        <v>542</v>
      </c>
      <c r="B365" s="39">
        <v>0</v>
      </c>
      <c r="C365" s="39">
        <v>0</v>
      </c>
      <c r="D365" s="39">
        <v>0</v>
      </c>
      <c r="E365" s="39">
        <v>216</v>
      </c>
      <c r="F365" s="39">
        <v>572</v>
      </c>
      <c r="G365" s="39">
        <v>531</v>
      </c>
      <c r="H365" s="39">
        <v>442</v>
      </c>
      <c r="I365" s="39">
        <v>923</v>
      </c>
      <c r="J365" s="39">
        <v>619</v>
      </c>
      <c r="K365">
        <v>960</v>
      </c>
      <c r="L365">
        <v>135</v>
      </c>
      <c r="M365">
        <v>437</v>
      </c>
      <c r="N365">
        <v>1445</v>
      </c>
      <c r="O365">
        <v>0</v>
      </c>
      <c r="P365">
        <v>0</v>
      </c>
      <c r="Q365">
        <v>0</v>
      </c>
      <c r="R365">
        <v>9</v>
      </c>
      <c r="S365">
        <v>92</v>
      </c>
      <c r="T365">
        <v>93</v>
      </c>
      <c r="U365">
        <v>57</v>
      </c>
      <c r="V365">
        <v>145</v>
      </c>
      <c r="W365">
        <v>89</v>
      </c>
      <c r="X365">
        <v>220</v>
      </c>
      <c r="Y365">
        <v>31</v>
      </c>
      <c r="Z365">
        <v>90</v>
      </c>
      <c r="AA365">
        <v>178</v>
      </c>
      <c r="AD365" t="s">
        <v>900</v>
      </c>
      <c r="AE365" s="19">
        <v>1002</v>
      </c>
      <c r="AF365">
        <v>3000</v>
      </c>
      <c r="AG365">
        <v>1090</v>
      </c>
      <c r="AH365">
        <v>3750</v>
      </c>
    </row>
    <row r="366" spans="1:34" hidden="1">
      <c r="A366" s="39" t="s">
        <v>1311</v>
      </c>
      <c r="B366" s="39">
        <v>0</v>
      </c>
      <c r="C366" s="39">
        <v>0</v>
      </c>
      <c r="D366" s="39">
        <v>0</v>
      </c>
      <c r="E366" s="39">
        <v>0</v>
      </c>
      <c r="F366" s="39">
        <v>0</v>
      </c>
      <c r="G366" s="39">
        <v>0</v>
      </c>
      <c r="H366" s="39">
        <v>0</v>
      </c>
      <c r="I366" s="39">
        <v>0</v>
      </c>
      <c r="J366" s="39">
        <v>187</v>
      </c>
      <c r="K366">
        <v>988</v>
      </c>
      <c r="L366">
        <v>532</v>
      </c>
      <c r="M366">
        <v>680</v>
      </c>
      <c r="N366">
        <v>0</v>
      </c>
      <c r="O366">
        <v>0</v>
      </c>
      <c r="P366">
        <v>0</v>
      </c>
      <c r="Q366">
        <v>0</v>
      </c>
      <c r="R366">
        <v>0</v>
      </c>
      <c r="S366">
        <v>0</v>
      </c>
      <c r="T366">
        <v>0</v>
      </c>
      <c r="U366">
        <v>0</v>
      </c>
      <c r="V366">
        <v>0</v>
      </c>
      <c r="W366">
        <v>38</v>
      </c>
      <c r="X366">
        <v>121</v>
      </c>
      <c r="Y366">
        <v>86</v>
      </c>
      <c r="Z366">
        <v>89</v>
      </c>
      <c r="AA366">
        <v>0</v>
      </c>
      <c r="AD366" s="27" t="s">
        <v>1012</v>
      </c>
      <c r="AE366" s="19">
        <v>871</v>
      </c>
      <c r="AF366">
        <v>3124</v>
      </c>
      <c r="AG366">
        <v>1337</v>
      </c>
      <c r="AH366">
        <v>4374</v>
      </c>
    </row>
    <row r="367" spans="1:34" hidden="1">
      <c r="A367" s="39" t="s">
        <v>490</v>
      </c>
      <c r="B367" s="39">
        <v>0</v>
      </c>
      <c r="C367" s="39">
        <v>0</v>
      </c>
      <c r="D367" s="39">
        <v>0</v>
      </c>
      <c r="E367" s="39">
        <v>0</v>
      </c>
      <c r="F367" s="39">
        <v>0</v>
      </c>
      <c r="G367" s="39">
        <v>0</v>
      </c>
      <c r="H367" s="39">
        <v>0</v>
      </c>
      <c r="I367" s="39">
        <v>15</v>
      </c>
      <c r="J367" s="39">
        <v>282</v>
      </c>
      <c r="K367">
        <v>279</v>
      </c>
      <c r="L367">
        <v>175</v>
      </c>
      <c r="M367">
        <v>310</v>
      </c>
      <c r="N367">
        <v>457</v>
      </c>
      <c r="O367">
        <v>0</v>
      </c>
      <c r="P367">
        <v>0</v>
      </c>
      <c r="Q367">
        <v>0</v>
      </c>
      <c r="R367">
        <v>0</v>
      </c>
      <c r="S367">
        <v>0</v>
      </c>
      <c r="T367">
        <v>0</v>
      </c>
      <c r="U367">
        <v>0</v>
      </c>
      <c r="V367">
        <v>0</v>
      </c>
      <c r="W367">
        <v>50</v>
      </c>
      <c r="X367">
        <v>47</v>
      </c>
      <c r="Y367">
        <v>22</v>
      </c>
      <c r="Z367">
        <v>38</v>
      </c>
      <c r="AA367">
        <v>72</v>
      </c>
      <c r="AE367" s="19"/>
    </row>
    <row r="368" spans="1:34" hidden="1">
      <c r="A368" s="39" t="s">
        <v>536</v>
      </c>
      <c r="B368" s="39">
        <v>0</v>
      </c>
      <c r="C368" s="39">
        <v>0</v>
      </c>
      <c r="D368" s="39">
        <v>0</v>
      </c>
      <c r="E368" s="39">
        <v>0</v>
      </c>
      <c r="F368" s="39">
        <v>0</v>
      </c>
      <c r="G368" s="39">
        <v>0</v>
      </c>
      <c r="H368" s="39">
        <v>0</v>
      </c>
      <c r="I368" s="39">
        <v>3</v>
      </c>
      <c r="J368" s="39">
        <v>1632</v>
      </c>
      <c r="K368">
        <v>1654</v>
      </c>
      <c r="L368">
        <v>1612</v>
      </c>
      <c r="M368">
        <v>1324</v>
      </c>
      <c r="N368">
        <v>2097</v>
      </c>
      <c r="O368">
        <v>0</v>
      </c>
      <c r="P368">
        <v>0</v>
      </c>
      <c r="Q368">
        <v>0</v>
      </c>
      <c r="R368">
        <v>0</v>
      </c>
      <c r="S368">
        <v>0</v>
      </c>
      <c r="T368">
        <v>0</v>
      </c>
      <c r="U368">
        <v>0</v>
      </c>
      <c r="V368">
        <v>0</v>
      </c>
      <c r="W368">
        <v>193</v>
      </c>
      <c r="X368">
        <v>226</v>
      </c>
      <c r="Y368">
        <v>213</v>
      </c>
      <c r="Z368">
        <v>212</v>
      </c>
      <c r="AA368">
        <v>353</v>
      </c>
      <c r="AE368" s="19"/>
    </row>
    <row r="369" spans="1:34" hidden="1">
      <c r="A369" s="39" t="s">
        <v>676</v>
      </c>
      <c r="B369" s="39">
        <v>0</v>
      </c>
      <c r="C369" s="39">
        <v>0</v>
      </c>
      <c r="D369" s="39">
        <v>0</v>
      </c>
      <c r="E369" s="39">
        <v>0</v>
      </c>
      <c r="F369" s="39">
        <v>0</v>
      </c>
      <c r="G369" s="39">
        <v>0</v>
      </c>
      <c r="H369" s="39">
        <v>0</v>
      </c>
      <c r="I369" s="39">
        <v>0</v>
      </c>
      <c r="J369" s="39">
        <v>0</v>
      </c>
      <c r="K369">
        <v>89</v>
      </c>
      <c r="L369">
        <v>1099</v>
      </c>
      <c r="M369">
        <v>901</v>
      </c>
      <c r="N369">
        <v>1775</v>
      </c>
      <c r="O369">
        <v>0</v>
      </c>
      <c r="P369">
        <v>0</v>
      </c>
      <c r="Q369">
        <v>0</v>
      </c>
      <c r="R369">
        <v>0</v>
      </c>
      <c r="S369">
        <v>0</v>
      </c>
      <c r="T369">
        <v>0</v>
      </c>
      <c r="U369">
        <v>0</v>
      </c>
      <c r="V369">
        <v>0</v>
      </c>
      <c r="W369">
        <v>0</v>
      </c>
      <c r="X369">
        <v>24</v>
      </c>
      <c r="Y369">
        <v>339</v>
      </c>
      <c r="Z369">
        <v>137</v>
      </c>
      <c r="AA369">
        <v>370</v>
      </c>
      <c r="AE369" s="19"/>
    </row>
    <row r="370" spans="1:34" hidden="1">
      <c r="A370" s="39" t="s">
        <v>230</v>
      </c>
      <c r="B370" s="39">
        <v>0</v>
      </c>
      <c r="C370" s="39">
        <v>0</v>
      </c>
      <c r="D370" s="39">
        <v>0</v>
      </c>
      <c r="E370" s="39">
        <v>0</v>
      </c>
      <c r="F370" s="39">
        <v>0</v>
      </c>
      <c r="G370" s="39">
        <v>0</v>
      </c>
      <c r="H370" s="39">
        <v>0</v>
      </c>
      <c r="I370" s="39">
        <v>1854</v>
      </c>
      <c r="J370" s="39">
        <v>5025</v>
      </c>
      <c r="K370">
        <v>3061</v>
      </c>
      <c r="L370">
        <v>3625</v>
      </c>
      <c r="M370">
        <v>4380</v>
      </c>
      <c r="N370">
        <v>5852</v>
      </c>
      <c r="O370">
        <v>0</v>
      </c>
      <c r="P370">
        <v>0</v>
      </c>
      <c r="Q370">
        <v>0</v>
      </c>
      <c r="R370">
        <v>0</v>
      </c>
      <c r="S370">
        <v>0</v>
      </c>
      <c r="T370">
        <v>0</v>
      </c>
      <c r="U370">
        <v>0</v>
      </c>
      <c r="V370">
        <v>331</v>
      </c>
      <c r="W370">
        <v>1087</v>
      </c>
      <c r="X370">
        <v>665</v>
      </c>
      <c r="Y370">
        <v>801</v>
      </c>
      <c r="Z370">
        <v>946</v>
      </c>
      <c r="AA370">
        <v>1305</v>
      </c>
      <c r="AE370" s="19"/>
    </row>
    <row r="371" spans="1:34" hidden="1">
      <c r="A371" s="39" t="s">
        <v>484</v>
      </c>
      <c r="B371" s="39">
        <v>0</v>
      </c>
      <c r="C371" s="39">
        <v>0</v>
      </c>
      <c r="D371" s="39">
        <v>0</v>
      </c>
      <c r="E371" s="39">
        <v>0</v>
      </c>
      <c r="F371" s="39">
        <v>0</v>
      </c>
      <c r="G371" s="39">
        <v>0</v>
      </c>
      <c r="H371" s="39">
        <v>18</v>
      </c>
      <c r="I371" s="39">
        <v>1584</v>
      </c>
      <c r="J371" s="39">
        <v>722</v>
      </c>
      <c r="K371">
        <v>2957</v>
      </c>
      <c r="L371">
        <v>3729</v>
      </c>
      <c r="M371">
        <v>1711</v>
      </c>
      <c r="N371">
        <v>4745</v>
      </c>
      <c r="O371">
        <v>0</v>
      </c>
      <c r="P371">
        <v>0</v>
      </c>
      <c r="Q371">
        <v>0</v>
      </c>
      <c r="R371">
        <v>0</v>
      </c>
      <c r="S371">
        <v>0</v>
      </c>
      <c r="T371">
        <v>0</v>
      </c>
      <c r="U371">
        <v>0</v>
      </c>
      <c r="V371">
        <v>24</v>
      </c>
      <c r="W371">
        <v>20</v>
      </c>
      <c r="X371">
        <v>87</v>
      </c>
      <c r="Y371">
        <v>66</v>
      </c>
      <c r="Z371">
        <v>67</v>
      </c>
      <c r="AA371">
        <v>201</v>
      </c>
      <c r="AE371" s="19"/>
    </row>
    <row r="372" spans="1:34" hidden="1">
      <c r="A372" s="39" t="s">
        <v>664</v>
      </c>
      <c r="B372" s="39">
        <v>0</v>
      </c>
      <c r="C372" s="39">
        <v>0</v>
      </c>
      <c r="D372" s="39">
        <v>0</v>
      </c>
      <c r="E372" s="39">
        <v>0</v>
      </c>
      <c r="F372" s="39">
        <v>0</v>
      </c>
      <c r="G372" s="39">
        <v>0</v>
      </c>
      <c r="H372" s="39">
        <v>0</v>
      </c>
      <c r="I372" s="39">
        <v>169</v>
      </c>
      <c r="J372" s="39">
        <v>1813</v>
      </c>
      <c r="K372">
        <v>5468</v>
      </c>
      <c r="L372">
        <v>2750</v>
      </c>
      <c r="M372">
        <v>2999</v>
      </c>
      <c r="N372">
        <v>5283</v>
      </c>
      <c r="O372">
        <v>0</v>
      </c>
      <c r="P372">
        <v>0</v>
      </c>
      <c r="Q372">
        <v>0</v>
      </c>
      <c r="R372">
        <v>0</v>
      </c>
      <c r="S372">
        <v>0</v>
      </c>
      <c r="T372">
        <v>0</v>
      </c>
      <c r="U372">
        <v>0</v>
      </c>
      <c r="V372">
        <v>48</v>
      </c>
      <c r="W372">
        <v>155</v>
      </c>
      <c r="X372">
        <v>502</v>
      </c>
      <c r="Y372">
        <v>389</v>
      </c>
      <c r="Z372">
        <v>415</v>
      </c>
      <c r="AA372">
        <v>810</v>
      </c>
      <c r="AE372" s="19"/>
    </row>
    <row r="373" spans="1:34" hidden="1">
      <c r="A373" s="39" t="s">
        <v>572</v>
      </c>
      <c r="B373" s="39">
        <v>0</v>
      </c>
      <c r="C373" s="39">
        <v>0</v>
      </c>
      <c r="D373" s="39">
        <v>0</v>
      </c>
      <c r="E373" s="39">
        <v>0</v>
      </c>
      <c r="F373" s="39">
        <v>0</v>
      </c>
      <c r="G373" s="39">
        <v>0</v>
      </c>
      <c r="H373" s="39">
        <v>0</v>
      </c>
      <c r="I373" s="39">
        <v>0</v>
      </c>
      <c r="J373" s="39">
        <v>0</v>
      </c>
      <c r="K373">
        <v>1</v>
      </c>
      <c r="L373">
        <v>432</v>
      </c>
      <c r="M373">
        <v>794</v>
      </c>
      <c r="N373">
        <v>1176</v>
      </c>
      <c r="O373">
        <v>0</v>
      </c>
      <c r="P373">
        <v>0</v>
      </c>
      <c r="Q373">
        <v>0</v>
      </c>
      <c r="R373">
        <v>0</v>
      </c>
      <c r="S373">
        <v>0</v>
      </c>
      <c r="T373">
        <v>0</v>
      </c>
      <c r="U373">
        <v>0</v>
      </c>
      <c r="V373">
        <v>0</v>
      </c>
      <c r="W373">
        <v>0</v>
      </c>
      <c r="X373">
        <v>0</v>
      </c>
      <c r="Y373">
        <v>153</v>
      </c>
      <c r="Z373">
        <v>202</v>
      </c>
      <c r="AA373">
        <v>338</v>
      </c>
      <c r="AE373" s="19"/>
    </row>
    <row r="374" spans="1:34" hidden="1">
      <c r="A374" s="39" t="s">
        <v>260</v>
      </c>
      <c r="B374" s="39">
        <v>0</v>
      </c>
      <c r="C374" s="39">
        <v>0</v>
      </c>
      <c r="D374" s="39">
        <v>0</v>
      </c>
      <c r="E374" s="39">
        <v>0</v>
      </c>
      <c r="F374" s="39">
        <v>0</v>
      </c>
      <c r="G374" s="39">
        <v>0</v>
      </c>
      <c r="H374" s="39">
        <v>0</v>
      </c>
      <c r="I374" s="39">
        <v>699</v>
      </c>
      <c r="J374" s="39">
        <v>1548</v>
      </c>
      <c r="K374">
        <v>1571</v>
      </c>
      <c r="L374">
        <v>1659</v>
      </c>
      <c r="M374">
        <v>3665</v>
      </c>
      <c r="N374">
        <v>1988</v>
      </c>
      <c r="O374">
        <v>0</v>
      </c>
      <c r="P374">
        <v>0</v>
      </c>
      <c r="Q374">
        <v>0</v>
      </c>
      <c r="R374">
        <v>0</v>
      </c>
      <c r="S374">
        <v>0</v>
      </c>
      <c r="T374">
        <v>0</v>
      </c>
      <c r="U374">
        <v>0</v>
      </c>
      <c r="V374">
        <v>225</v>
      </c>
      <c r="W374">
        <v>396</v>
      </c>
      <c r="X374">
        <v>370</v>
      </c>
      <c r="Y374">
        <v>381</v>
      </c>
      <c r="Z374">
        <v>872</v>
      </c>
      <c r="AA374">
        <v>391</v>
      </c>
      <c r="AE374" s="19"/>
    </row>
    <row r="375" spans="1:34" hidden="1">
      <c r="A375" s="39" t="s">
        <v>152</v>
      </c>
      <c r="B375" s="39">
        <v>0</v>
      </c>
      <c r="C375" s="39">
        <v>0</v>
      </c>
      <c r="D375" s="39">
        <v>0</v>
      </c>
      <c r="E375" s="39">
        <v>0</v>
      </c>
      <c r="F375" s="39">
        <v>0</v>
      </c>
      <c r="G375" s="39">
        <v>0</v>
      </c>
      <c r="H375" s="39">
        <v>0</v>
      </c>
      <c r="I375" s="39">
        <v>0</v>
      </c>
      <c r="J375" s="39">
        <v>1598</v>
      </c>
      <c r="K375">
        <v>2982</v>
      </c>
      <c r="L375">
        <v>1770</v>
      </c>
      <c r="M375">
        <v>1550</v>
      </c>
      <c r="N375">
        <v>2410</v>
      </c>
      <c r="O375">
        <v>0</v>
      </c>
      <c r="P375">
        <v>0</v>
      </c>
      <c r="Q375">
        <v>0</v>
      </c>
      <c r="R375">
        <v>0</v>
      </c>
      <c r="S375">
        <v>0</v>
      </c>
      <c r="T375">
        <v>0</v>
      </c>
      <c r="U375">
        <v>0</v>
      </c>
      <c r="V375">
        <v>0</v>
      </c>
      <c r="W375">
        <v>229</v>
      </c>
      <c r="X375">
        <v>547</v>
      </c>
      <c r="Y375">
        <v>284</v>
      </c>
      <c r="Z375">
        <v>264</v>
      </c>
      <c r="AA375">
        <v>322</v>
      </c>
      <c r="AD375" t="s">
        <v>868</v>
      </c>
      <c r="AE375" s="19">
        <v>0</v>
      </c>
      <c r="AF375">
        <v>204</v>
      </c>
      <c r="AG375">
        <v>0</v>
      </c>
      <c r="AH375">
        <v>319</v>
      </c>
    </row>
    <row r="376" spans="1:34" hidden="1">
      <c r="A376" s="39" t="s">
        <v>186</v>
      </c>
      <c r="B376" s="39">
        <v>0</v>
      </c>
      <c r="C376" s="39">
        <v>0</v>
      </c>
      <c r="D376" s="39">
        <v>0</v>
      </c>
      <c r="E376" s="39">
        <v>0</v>
      </c>
      <c r="F376" s="39">
        <v>0</v>
      </c>
      <c r="G376" s="39">
        <v>0</v>
      </c>
      <c r="H376" s="39">
        <v>0</v>
      </c>
      <c r="I376" s="39">
        <v>0</v>
      </c>
      <c r="J376" s="39">
        <v>0</v>
      </c>
      <c r="K376">
        <v>199</v>
      </c>
      <c r="L376">
        <v>944</v>
      </c>
      <c r="M376">
        <v>1775</v>
      </c>
      <c r="N376">
        <v>2660</v>
      </c>
      <c r="O376">
        <v>0</v>
      </c>
      <c r="P376">
        <v>0</v>
      </c>
      <c r="Q376">
        <v>0</v>
      </c>
      <c r="R376">
        <v>0</v>
      </c>
      <c r="S376">
        <v>0</v>
      </c>
      <c r="T376">
        <v>0</v>
      </c>
      <c r="U376">
        <v>0</v>
      </c>
      <c r="V376">
        <v>0</v>
      </c>
      <c r="W376">
        <v>0</v>
      </c>
      <c r="X376">
        <v>36</v>
      </c>
      <c r="Y376">
        <v>154</v>
      </c>
      <c r="Z376">
        <v>291</v>
      </c>
      <c r="AA376">
        <v>400</v>
      </c>
      <c r="AD376" t="s">
        <v>1275</v>
      </c>
      <c r="AE376" s="19">
        <v>3508</v>
      </c>
      <c r="AF376">
        <v>15392</v>
      </c>
      <c r="AG376">
        <v>3259</v>
      </c>
      <c r="AH376">
        <v>13188</v>
      </c>
    </row>
    <row r="377" spans="1:34" hidden="1">
      <c r="A377" s="39" t="s">
        <v>672</v>
      </c>
      <c r="B377" s="39">
        <v>0</v>
      </c>
      <c r="C377" s="39">
        <v>0</v>
      </c>
      <c r="D377" s="39">
        <v>0</v>
      </c>
      <c r="E377" s="39">
        <v>0</v>
      </c>
      <c r="F377" s="39">
        <v>0</v>
      </c>
      <c r="G377" s="39">
        <v>0</v>
      </c>
      <c r="H377" s="39">
        <v>0</v>
      </c>
      <c r="I377" s="39">
        <v>0</v>
      </c>
      <c r="J377" s="39">
        <v>8</v>
      </c>
      <c r="K377">
        <v>1041</v>
      </c>
      <c r="L377">
        <v>1036</v>
      </c>
      <c r="M377">
        <v>1029</v>
      </c>
      <c r="N377">
        <v>2453</v>
      </c>
      <c r="O377">
        <v>0</v>
      </c>
      <c r="P377">
        <v>0</v>
      </c>
      <c r="Q377">
        <v>0</v>
      </c>
      <c r="R377">
        <v>0</v>
      </c>
      <c r="S377">
        <v>0</v>
      </c>
      <c r="T377">
        <v>0</v>
      </c>
      <c r="U377">
        <v>0</v>
      </c>
      <c r="V377">
        <v>0</v>
      </c>
      <c r="W377">
        <v>0</v>
      </c>
      <c r="X377">
        <v>171</v>
      </c>
      <c r="Y377">
        <v>171</v>
      </c>
      <c r="Z377">
        <v>133</v>
      </c>
      <c r="AA377">
        <v>422</v>
      </c>
      <c r="AD377" t="s">
        <v>1194</v>
      </c>
      <c r="AE377" s="19">
        <v>4183</v>
      </c>
      <c r="AF377">
        <v>8194</v>
      </c>
      <c r="AG377">
        <v>4580</v>
      </c>
      <c r="AH377">
        <v>8690</v>
      </c>
    </row>
    <row r="378" spans="1:34" hidden="1">
      <c r="A378" s="39" t="s">
        <v>430</v>
      </c>
      <c r="B378" s="39">
        <v>0</v>
      </c>
      <c r="C378" s="39">
        <v>0</v>
      </c>
      <c r="D378" s="39">
        <v>0</v>
      </c>
      <c r="E378" s="39">
        <v>0</v>
      </c>
      <c r="F378" s="39">
        <v>0</v>
      </c>
      <c r="G378" s="39">
        <v>0</v>
      </c>
      <c r="H378" s="39">
        <v>0</v>
      </c>
      <c r="I378" s="39">
        <v>0</v>
      </c>
      <c r="J378" s="39">
        <v>0</v>
      </c>
      <c r="K378">
        <v>365</v>
      </c>
      <c r="L378">
        <v>961</v>
      </c>
      <c r="M378">
        <v>851</v>
      </c>
      <c r="N378">
        <v>1606</v>
      </c>
      <c r="O378">
        <v>0</v>
      </c>
      <c r="P378">
        <v>0</v>
      </c>
      <c r="Q378">
        <v>0</v>
      </c>
      <c r="R378">
        <v>0</v>
      </c>
      <c r="S378">
        <v>0</v>
      </c>
      <c r="T378">
        <v>0</v>
      </c>
      <c r="U378">
        <v>0</v>
      </c>
      <c r="V378">
        <v>0</v>
      </c>
      <c r="W378">
        <v>0</v>
      </c>
      <c r="X378">
        <v>73</v>
      </c>
      <c r="Y378">
        <v>253</v>
      </c>
      <c r="Z378">
        <v>222</v>
      </c>
      <c r="AA378">
        <v>355</v>
      </c>
      <c r="AD378" t="s">
        <v>1039</v>
      </c>
      <c r="AE378" s="19">
        <v>2357</v>
      </c>
      <c r="AF378">
        <v>9489</v>
      </c>
      <c r="AG378">
        <v>2852</v>
      </c>
      <c r="AH378">
        <v>12715</v>
      </c>
    </row>
    <row r="379" spans="1:34" hidden="1">
      <c r="A379" s="39" t="s">
        <v>1426</v>
      </c>
      <c r="B379" s="39">
        <v>0</v>
      </c>
      <c r="C379" s="39">
        <v>0</v>
      </c>
      <c r="D379" s="39">
        <v>0</v>
      </c>
      <c r="E379" s="39">
        <v>0</v>
      </c>
      <c r="F379" s="39">
        <v>0</v>
      </c>
      <c r="G379" s="39">
        <v>1321</v>
      </c>
      <c r="H379" s="39">
        <v>2615</v>
      </c>
      <c r="I379" s="39">
        <v>2472</v>
      </c>
      <c r="J379" s="39">
        <v>1956</v>
      </c>
      <c r="K379">
        <v>1699</v>
      </c>
      <c r="L379">
        <v>2976</v>
      </c>
      <c r="M379">
        <v>2260</v>
      </c>
      <c r="N379">
        <v>2133</v>
      </c>
      <c r="O379">
        <v>0</v>
      </c>
      <c r="P379">
        <v>0</v>
      </c>
      <c r="Q379">
        <v>0</v>
      </c>
      <c r="R379">
        <v>0</v>
      </c>
      <c r="S379">
        <v>0</v>
      </c>
      <c r="T379">
        <v>111</v>
      </c>
      <c r="U379">
        <v>249</v>
      </c>
      <c r="V379">
        <v>291</v>
      </c>
      <c r="W379">
        <v>336</v>
      </c>
      <c r="X379">
        <v>284</v>
      </c>
      <c r="Y379">
        <v>1193</v>
      </c>
      <c r="Z379">
        <v>335</v>
      </c>
      <c r="AA379">
        <v>341</v>
      </c>
      <c r="AD379" t="s">
        <v>1087</v>
      </c>
      <c r="AE379" s="19">
        <v>1605</v>
      </c>
      <c r="AF379">
        <v>3876</v>
      </c>
      <c r="AG379">
        <v>1204</v>
      </c>
      <c r="AH379">
        <v>3437</v>
      </c>
    </row>
    <row r="380" spans="1:34" hidden="1">
      <c r="A380" s="39" t="s">
        <v>939</v>
      </c>
      <c r="B380" s="39">
        <v>0</v>
      </c>
      <c r="C380" s="39">
        <v>0</v>
      </c>
      <c r="D380" s="39">
        <v>0</v>
      </c>
      <c r="E380" s="39">
        <v>0</v>
      </c>
      <c r="F380" s="39">
        <v>0</v>
      </c>
      <c r="G380" s="39">
        <v>0</v>
      </c>
      <c r="H380" s="39">
        <v>0</v>
      </c>
      <c r="I380" s="39">
        <v>0</v>
      </c>
      <c r="J380" s="39">
        <v>168</v>
      </c>
      <c r="K380">
        <v>609</v>
      </c>
      <c r="L380">
        <v>662</v>
      </c>
      <c r="M380">
        <v>945</v>
      </c>
      <c r="N380">
        <v>1137</v>
      </c>
      <c r="O380">
        <v>0</v>
      </c>
      <c r="P380">
        <v>0</v>
      </c>
      <c r="Q380">
        <v>0</v>
      </c>
      <c r="R380">
        <v>0</v>
      </c>
      <c r="S380">
        <v>0</v>
      </c>
      <c r="T380">
        <v>0</v>
      </c>
      <c r="U380">
        <v>0</v>
      </c>
      <c r="V380">
        <v>0</v>
      </c>
      <c r="W380">
        <v>34</v>
      </c>
      <c r="X380">
        <v>143</v>
      </c>
      <c r="Y380">
        <v>141</v>
      </c>
      <c r="Z380">
        <v>221</v>
      </c>
      <c r="AA380">
        <v>241</v>
      </c>
      <c r="AD380" t="s">
        <v>1054</v>
      </c>
      <c r="AE380" s="19">
        <v>1961</v>
      </c>
      <c r="AF380">
        <v>6052</v>
      </c>
      <c r="AG380">
        <v>1504</v>
      </c>
      <c r="AH380">
        <v>4817</v>
      </c>
    </row>
    <row r="381" spans="1:34" hidden="1">
      <c r="A381" s="39" t="s">
        <v>1000</v>
      </c>
      <c r="B381" s="39">
        <v>0</v>
      </c>
      <c r="C381" s="39">
        <v>0</v>
      </c>
      <c r="D381" s="39">
        <v>0</v>
      </c>
      <c r="E381" s="39">
        <v>0</v>
      </c>
      <c r="F381" s="39">
        <v>0</v>
      </c>
      <c r="G381" s="39">
        <v>0</v>
      </c>
      <c r="H381" s="39">
        <v>0</v>
      </c>
      <c r="I381" s="39">
        <v>0</v>
      </c>
      <c r="J381" s="39">
        <v>677</v>
      </c>
      <c r="K381">
        <v>5736</v>
      </c>
      <c r="L381">
        <v>2881</v>
      </c>
      <c r="M381">
        <v>6153</v>
      </c>
      <c r="N381">
        <v>8709</v>
      </c>
      <c r="O381">
        <v>0</v>
      </c>
      <c r="P381">
        <v>0</v>
      </c>
      <c r="Q381">
        <v>0</v>
      </c>
      <c r="R381">
        <v>0</v>
      </c>
      <c r="S381">
        <v>0</v>
      </c>
      <c r="T381">
        <v>0</v>
      </c>
      <c r="U381">
        <v>0</v>
      </c>
      <c r="V381">
        <v>0</v>
      </c>
      <c r="W381">
        <v>74</v>
      </c>
      <c r="X381">
        <v>1033</v>
      </c>
      <c r="Y381">
        <v>439</v>
      </c>
      <c r="Z381">
        <v>749</v>
      </c>
      <c r="AA381">
        <v>1717</v>
      </c>
      <c r="AD381" t="s">
        <v>1060</v>
      </c>
      <c r="AE381" s="19">
        <v>2820</v>
      </c>
      <c r="AF381">
        <v>8999</v>
      </c>
      <c r="AG381">
        <v>3060</v>
      </c>
      <c r="AH381">
        <v>10194</v>
      </c>
    </row>
    <row r="382" spans="1:34" hidden="1">
      <c r="A382" s="39" t="s">
        <v>959</v>
      </c>
      <c r="B382" s="39">
        <v>0</v>
      </c>
      <c r="C382" s="39">
        <v>0</v>
      </c>
      <c r="D382" s="39">
        <v>0</v>
      </c>
      <c r="E382" s="39">
        <v>0</v>
      </c>
      <c r="F382" s="39">
        <v>0</v>
      </c>
      <c r="G382" s="39">
        <v>0</v>
      </c>
      <c r="H382" s="39">
        <v>0</v>
      </c>
      <c r="I382" s="39">
        <v>0</v>
      </c>
      <c r="J382" s="39">
        <v>0</v>
      </c>
      <c r="K382">
        <v>75</v>
      </c>
      <c r="L382">
        <v>647</v>
      </c>
      <c r="M382">
        <v>1370</v>
      </c>
      <c r="N382">
        <v>949</v>
      </c>
      <c r="O382">
        <v>0</v>
      </c>
      <c r="P382">
        <v>0</v>
      </c>
      <c r="Q382">
        <v>0</v>
      </c>
      <c r="R382">
        <v>0</v>
      </c>
      <c r="S382">
        <v>0</v>
      </c>
      <c r="T382">
        <v>0</v>
      </c>
      <c r="U382">
        <v>0</v>
      </c>
      <c r="V382">
        <v>0</v>
      </c>
      <c r="W382">
        <v>0</v>
      </c>
      <c r="X382">
        <v>21</v>
      </c>
      <c r="Y382">
        <v>197</v>
      </c>
      <c r="Z382">
        <v>381</v>
      </c>
      <c r="AA382">
        <v>235</v>
      </c>
      <c r="AD382" t="s">
        <v>1250</v>
      </c>
      <c r="AE382" s="19">
        <v>4202</v>
      </c>
      <c r="AF382">
        <v>11724</v>
      </c>
      <c r="AG382">
        <v>3828</v>
      </c>
      <c r="AH382">
        <v>10399</v>
      </c>
    </row>
    <row r="383" spans="1:34" hidden="1">
      <c r="A383" s="39" t="s">
        <v>967</v>
      </c>
      <c r="B383" s="39">
        <v>0</v>
      </c>
      <c r="C383" s="39">
        <v>0</v>
      </c>
      <c r="D383" s="39">
        <v>0</v>
      </c>
      <c r="E383" s="39">
        <v>0</v>
      </c>
      <c r="F383" s="39">
        <v>0</v>
      </c>
      <c r="G383" s="39">
        <v>0</v>
      </c>
      <c r="H383" s="39">
        <v>0</v>
      </c>
      <c r="I383" s="39">
        <v>0</v>
      </c>
      <c r="J383" s="39">
        <v>19</v>
      </c>
      <c r="K383">
        <v>317</v>
      </c>
      <c r="L383">
        <v>353</v>
      </c>
      <c r="M383">
        <v>423</v>
      </c>
      <c r="N383">
        <v>836</v>
      </c>
      <c r="O383">
        <v>0</v>
      </c>
      <c r="P383">
        <v>0</v>
      </c>
      <c r="Q383">
        <v>0</v>
      </c>
      <c r="R383">
        <v>0</v>
      </c>
      <c r="S383">
        <v>0</v>
      </c>
      <c r="T383">
        <v>0</v>
      </c>
      <c r="U383">
        <v>0</v>
      </c>
      <c r="V383">
        <v>0</v>
      </c>
      <c r="W383">
        <v>4</v>
      </c>
      <c r="X383">
        <v>83</v>
      </c>
      <c r="Y383">
        <v>89</v>
      </c>
      <c r="Z383">
        <v>101</v>
      </c>
      <c r="AA383">
        <v>231</v>
      </c>
      <c r="AD383" t="s">
        <v>1100</v>
      </c>
      <c r="AE383" s="19">
        <v>706</v>
      </c>
      <c r="AF383">
        <v>2687</v>
      </c>
      <c r="AG383">
        <v>665</v>
      </c>
      <c r="AH383">
        <v>2636</v>
      </c>
    </row>
    <row r="384" spans="1:34" hidden="1">
      <c r="A384" s="39" t="s">
        <v>1427</v>
      </c>
      <c r="B384" s="39">
        <v>0</v>
      </c>
      <c r="C384" s="39">
        <v>0</v>
      </c>
      <c r="D384" s="39">
        <v>0</v>
      </c>
      <c r="E384" s="39">
        <v>0</v>
      </c>
      <c r="F384" s="39">
        <v>0</v>
      </c>
      <c r="G384" s="39">
        <v>0</v>
      </c>
      <c r="H384" s="39">
        <v>0</v>
      </c>
      <c r="I384" s="39">
        <v>729</v>
      </c>
      <c r="J384" s="39">
        <v>77</v>
      </c>
      <c r="K384">
        <v>36</v>
      </c>
      <c r="L384">
        <v>48</v>
      </c>
      <c r="M384">
        <v>9</v>
      </c>
      <c r="N384">
        <v>13</v>
      </c>
      <c r="O384">
        <v>0</v>
      </c>
      <c r="P384">
        <v>0</v>
      </c>
      <c r="Q384">
        <v>0</v>
      </c>
      <c r="R384">
        <v>0</v>
      </c>
      <c r="S384">
        <v>0</v>
      </c>
      <c r="T384">
        <v>0</v>
      </c>
      <c r="U384">
        <v>0</v>
      </c>
      <c r="V384">
        <v>0</v>
      </c>
      <c r="W384">
        <v>0</v>
      </c>
      <c r="X384">
        <v>0</v>
      </c>
      <c r="Y384">
        <v>0</v>
      </c>
      <c r="Z384">
        <v>0</v>
      </c>
      <c r="AA384">
        <v>0</v>
      </c>
      <c r="AD384" t="s">
        <v>1218</v>
      </c>
      <c r="AE384" s="19">
        <v>1460</v>
      </c>
      <c r="AF384">
        <v>5677</v>
      </c>
      <c r="AG384">
        <v>1391</v>
      </c>
      <c r="AH384">
        <v>5239</v>
      </c>
    </row>
    <row r="385" spans="1:34" hidden="1">
      <c r="A385" s="39" t="s">
        <v>1428</v>
      </c>
      <c r="B385" s="39">
        <v>0</v>
      </c>
      <c r="C385" s="39">
        <v>0</v>
      </c>
      <c r="D385" s="39">
        <v>0</v>
      </c>
      <c r="E385" s="39">
        <v>0</v>
      </c>
      <c r="F385" s="39">
        <v>0</v>
      </c>
      <c r="G385" s="39">
        <v>0</v>
      </c>
      <c r="H385" s="39">
        <v>0</v>
      </c>
      <c r="I385" s="39">
        <v>1351</v>
      </c>
      <c r="J385" s="39">
        <v>465</v>
      </c>
      <c r="K385">
        <v>306</v>
      </c>
      <c r="L385">
        <v>240</v>
      </c>
      <c r="M385">
        <v>151</v>
      </c>
      <c r="N385">
        <v>102</v>
      </c>
      <c r="O385">
        <v>0</v>
      </c>
      <c r="P385">
        <v>0</v>
      </c>
      <c r="Q385">
        <v>0</v>
      </c>
      <c r="R385">
        <v>0</v>
      </c>
      <c r="S385">
        <v>0</v>
      </c>
      <c r="T385">
        <v>0</v>
      </c>
      <c r="U385">
        <v>0</v>
      </c>
      <c r="V385">
        <v>0</v>
      </c>
      <c r="W385">
        <v>0</v>
      </c>
      <c r="X385">
        <v>0</v>
      </c>
      <c r="Y385">
        <v>0</v>
      </c>
      <c r="Z385">
        <v>0</v>
      </c>
      <c r="AA385">
        <v>0</v>
      </c>
      <c r="AD385" t="s">
        <v>1177</v>
      </c>
      <c r="AE385" s="19">
        <v>871</v>
      </c>
      <c r="AF385">
        <v>2362</v>
      </c>
      <c r="AG385">
        <v>856</v>
      </c>
      <c r="AH385">
        <v>2160</v>
      </c>
    </row>
    <row r="386" spans="1:34" hidden="1">
      <c r="A386" s="39" t="s">
        <v>1236</v>
      </c>
      <c r="B386" s="39">
        <v>0</v>
      </c>
      <c r="C386" s="39">
        <v>0</v>
      </c>
      <c r="D386" s="39">
        <v>0</v>
      </c>
      <c r="E386" s="39">
        <v>0</v>
      </c>
      <c r="F386" s="39">
        <v>0</v>
      </c>
      <c r="G386" s="39">
        <v>0</v>
      </c>
      <c r="H386" s="39">
        <v>0</v>
      </c>
      <c r="I386" s="39">
        <v>0</v>
      </c>
      <c r="J386" s="39">
        <v>0</v>
      </c>
      <c r="K386">
        <v>574</v>
      </c>
      <c r="L386">
        <v>1481</v>
      </c>
      <c r="M386">
        <v>1922</v>
      </c>
      <c r="N386">
        <v>2377</v>
      </c>
      <c r="O386">
        <v>0</v>
      </c>
      <c r="P386">
        <v>0</v>
      </c>
      <c r="Q386">
        <v>0</v>
      </c>
      <c r="R386">
        <v>0</v>
      </c>
      <c r="S386">
        <v>0</v>
      </c>
      <c r="T386">
        <v>0</v>
      </c>
      <c r="U386">
        <v>0</v>
      </c>
      <c r="V386">
        <v>0</v>
      </c>
      <c r="W386">
        <v>0</v>
      </c>
      <c r="X386">
        <v>4</v>
      </c>
      <c r="Y386">
        <v>102</v>
      </c>
      <c r="Z386">
        <v>153</v>
      </c>
      <c r="AA386">
        <v>215</v>
      </c>
      <c r="AD386" t="s">
        <v>1034</v>
      </c>
      <c r="AE386" s="19">
        <v>4871</v>
      </c>
      <c r="AF386">
        <v>10959</v>
      </c>
      <c r="AG386">
        <v>5077</v>
      </c>
      <c r="AH386">
        <v>10868</v>
      </c>
    </row>
    <row r="387" spans="1:34" hidden="1">
      <c r="A387" s="39" t="s">
        <v>1127</v>
      </c>
      <c r="B387" s="39">
        <v>0</v>
      </c>
      <c r="C387" s="39">
        <v>0</v>
      </c>
      <c r="D387" s="39">
        <v>0</v>
      </c>
      <c r="E387" s="39">
        <v>0</v>
      </c>
      <c r="F387" s="39">
        <v>0</v>
      </c>
      <c r="G387" s="39">
        <v>0</v>
      </c>
      <c r="H387" s="39">
        <v>0</v>
      </c>
      <c r="I387" s="39">
        <v>0</v>
      </c>
      <c r="J387" s="39">
        <v>0</v>
      </c>
      <c r="K387">
        <v>8</v>
      </c>
      <c r="L387">
        <v>98</v>
      </c>
      <c r="M387">
        <v>578</v>
      </c>
      <c r="N387">
        <v>559</v>
      </c>
      <c r="O387">
        <v>0</v>
      </c>
      <c r="P387">
        <v>0</v>
      </c>
      <c r="Q387">
        <v>0</v>
      </c>
      <c r="R387">
        <v>0</v>
      </c>
      <c r="S387">
        <v>0</v>
      </c>
      <c r="T387">
        <v>0</v>
      </c>
      <c r="U387">
        <v>0</v>
      </c>
      <c r="V387">
        <v>0</v>
      </c>
      <c r="W387">
        <v>0</v>
      </c>
      <c r="X387">
        <v>0</v>
      </c>
      <c r="Y387">
        <v>15</v>
      </c>
      <c r="Z387">
        <v>78</v>
      </c>
      <c r="AA387">
        <v>75</v>
      </c>
      <c r="AD387" t="s">
        <v>1277</v>
      </c>
      <c r="AE387" s="19">
        <v>10863</v>
      </c>
      <c r="AF387">
        <v>29065</v>
      </c>
      <c r="AG387">
        <v>10681</v>
      </c>
      <c r="AH387">
        <v>28479</v>
      </c>
    </row>
    <row r="388" spans="1:34" hidden="1">
      <c r="A388" s="39" t="s">
        <v>1129</v>
      </c>
      <c r="B388" s="39">
        <v>0</v>
      </c>
      <c r="C388" s="39">
        <v>0</v>
      </c>
      <c r="D388" s="39">
        <v>0</v>
      </c>
      <c r="E388" s="39">
        <v>0</v>
      </c>
      <c r="F388" s="39">
        <v>0</v>
      </c>
      <c r="G388" s="39">
        <v>0</v>
      </c>
      <c r="H388" s="39">
        <v>0</v>
      </c>
      <c r="I388" s="39">
        <v>0</v>
      </c>
      <c r="J388" s="39">
        <v>0</v>
      </c>
      <c r="K388">
        <v>30</v>
      </c>
      <c r="L388">
        <v>119</v>
      </c>
      <c r="M388">
        <v>327</v>
      </c>
      <c r="N388">
        <v>295</v>
      </c>
      <c r="O388">
        <v>0</v>
      </c>
      <c r="P388">
        <v>0</v>
      </c>
      <c r="Q388">
        <v>0</v>
      </c>
      <c r="R388">
        <v>0</v>
      </c>
      <c r="S388">
        <v>0</v>
      </c>
      <c r="T388">
        <v>0</v>
      </c>
      <c r="U388">
        <v>0</v>
      </c>
      <c r="V388">
        <v>0</v>
      </c>
      <c r="W388">
        <v>0</v>
      </c>
      <c r="X388">
        <v>0</v>
      </c>
      <c r="Y388">
        <v>15</v>
      </c>
      <c r="Z388">
        <v>43</v>
      </c>
      <c r="AA388">
        <v>53</v>
      </c>
      <c r="AD388" t="s">
        <v>1224</v>
      </c>
      <c r="AE388" s="19">
        <v>2105</v>
      </c>
      <c r="AF388">
        <v>8662</v>
      </c>
      <c r="AG388">
        <v>1579</v>
      </c>
      <c r="AH388">
        <v>7006</v>
      </c>
    </row>
    <row r="389" spans="1:34" hidden="1">
      <c r="A389" s="39" t="s">
        <v>1429</v>
      </c>
      <c r="B389" s="39">
        <v>0</v>
      </c>
      <c r="C389" s="39">
        <v>0</v>
      </c>
      <c r="D389" s="39">
        <v>0</v>
      </c>
      <c r="E389" s="39">
        <v>0</v>
      </c>
      <c r="F389" s="39">
        <v>0</v>
      </c>
      <c r="G389" s="39">
        <v>0</v>
      </c>
      <c r="H389" s="39">
        <v>0</v>
      </c>
      <c r="I389" s="39">
        <v>1661</v>
      </c>
      <c r="J389" s="39">
        <v>427</v>
      </c>
      <c r="K389">
        <v>205</v>
      </c>
      <c r="L389">
        <v>301</v>
      </c>
      <c r="M389">
        <v>64</v>
      </c>
      <c r="N389">
        <v>36</v>
      </c>
      <c r="O389">
        <v>0</v>
      </c>
      <c r="P389">
        <v>0</v>
      </c>
      <c r="Q389">
        <v>0</v>
      </c>
      <c r="R389">
        <v>0</v>
      </c>
      <c r="S389">
        <v>0</v>
      </c>
      <c r="T389">
        <v>0</v>
      </c>
      <c r="U389">
        <v>0</v>
      </c>
      <c r="V389">
        <v>0</v>
      </c>
      <c r="W389">
        <v>0</v>
      </c>
      <c r="X389">
        <v>0</v>
      </c>
      <c r="Y389">
        <v>0</v>
      </c>
      <c r="Z389">
        <v>0</v>
      </c>
      <c r="AA389">
        <v>0</v>
      </c>
      <c r="AD389" t="s">
        <v>1123</v>
      </c>
      <c r="AE389" s="19">
        <v>1161</v>
      </c>
      <c r="AF389">
        <v>2977</v>
      </c>
      <c r="AG389">
        <v>1190</v>
      </c>
      <c r="AH389">
        <v>3629</v>
      </c>
    </row>
    <row r="390" spans="1:34" hidden="1">
      <c r="A390" s="39" t="s">
        <v>1430</v>
      </c>
      <c r="B390" s="39">
        <v>0</v>
      </c>
      <c r="C390" s="39">
        <v>0</v>
      </c>
      <c r="D390" s="39">
        <v>0</v>
      </c>
      <c r="E390" s="39">
        <v>0</v>
      </c>
      <c r="F390" s="39">
        <v>0</v>
      </c>
      <c r="G390" s="39">
        <v>0</v>
      </c>
      <c r="H390" s="39">
        <v>0</v>
      </c>
      <c r="I390" s="39">
        <v>1163</v>
      </c>
      <c r="J390" s="39">
        <v>215</v>
      </c>
      <c r="K390">
        <v>165</v>
      </c>
      <c r="L390">
        <v>57</v>
      </c>
      <c r="M390">
        <v>28</v>
      </c>
      <c r="N390">
        <v>50</v>
      </c>
      <c r="O390">
        <v>0</v>
      </c>
      <c r="P390">
        <v>0</v>
      </c>
      <c r="Q390">
        <v>0</v>
      </c>
      <c r="R390">
        <v>0</v>
      </c>
      <c r="S390">
        <v>0</v>
      </c>
      <c r="T390">
        <v>0</v>
      </c>
      <c r="U390">
        <v>0</v>
      </c>
      <c r="V390">
        <v>0</v>
      </c>
      <c r="W390">
        <v>0</v>
      </c>
      <c r="X390">
        <v>0</v>
      </c>
      <c r="Y390">
        <v>0</v>
      </c>
      <c r="Z390">
        <v>0</v>
      </c>
      <c r="AA390">
        <v>0</v>
      </c>
      <c r="AD390" t="s">
        <v>1046</v>
      </c>
      <c r="AE390" s="19">
        <v>2704</v>
      </c>
      <c r="AF390">
        <v>8137</v>
      </c>
      <c r="AG390">
        <v>2967</v>
      </c>
      <c r="AH390">
        <v>8267</v>
      </c>
    </row>
    <row r="391" spans="1:34" hidden="1">
      <c r="A391" s="39" t="s">
        <v>735</v>
      </c>
      <c r="B391" s="39">
        <v>0</v>
      </c>
      <c r="C391" s="39">
        <v>0</v>
      </c>
      <c r="D391" s="39">
        <v>0</v>
      </c>
      <c r="E391" s="39">
        <v>0</v>
      </c>
      <c r="F391" s="39">
        <v>0</v>
      </c>
      <c r="G391" s="39">
        <v>0</v>
      </c>
      <c r="H391" s="39">
        <v>0</v>
      </c>
      <c r="I391" s="39">
        <v>0</v>
      </c>
      <c r="J391" s="39">
        <v>0</v>
      </c>
      <c r="K391">
        <v>866</v>
      </c>
      <c r="L391">
        <v>1026</v>
      </c>
      <c r="M391">
        <v>1378</v>
      </c>
      <c r="N391">
        <v>1195</v>
      </c>
      <c r="O391">
        <v>0</v>
      </c>
      <c r="P391">
        <v>0</v>
      </c>
      <c r="Q391">
        <v>0</v>
      </c>
      <c r="R391">
        <v>0</v>
      </c>
      <c r="S391">
        <v>0</v>
      </c>
      <c r="T391">
        <v>0</v>
      </c>
      <c r="U391">
        <v>0</v>
      </c>
      <c r="V391">
        <v>0</v>
      </c>
      <c r="W391">
        <v>0</v>
      </c>
      <c r="X391">
        <v>306</v>
      </c>
      <c r="Y391">
        <v>420</v>
      </c>
      <c r="Z391">
        <v>412</v>
      </c>
      <c r="AA391">
        <v>377</v>
      </c>
      <c r="AD391" t="s">
        <v>1135</v>
      </c>
      <c r="AE391" s="19">
        <v>1464</v>
      </c>
      <c r="AF391">
        <v>2994</v>
      </c>
      <c r="AG391">
        <v>1261</v>
      </c>
      <c r="AH391">
        <v>2301</v>
      </c>
    </row>
    <row r="392" spans="1:34" hidden="1">
      <c r="A392" s="39" t="s">
        <v>1431</v>
      </c>
      <c r="B392" s="39">
        <v>0</v>
      </c>
      <c r="C392" s="39">
        <v>0</v>
      </c>
      <c r="D392" s="39">
        <v>0</v>
      </c>
      <c r="E392" s="39">
        <v>0</v>
      </c>
      <c r="F392" s="39">
        <v>0</v>
      </c>
      <c r="G392" s="39">
        <v>0</v>
      </c>
      <c r="H392" s="39">
        <v>0</v>
      </c>
      <c r="I392" s="39">
        <v>327</v>
      </c>
      <c r="J392" s="39">
        <v>298</v>
      </c>
      <c r="K392">
        <v>313</v>
      </c>
      <c r="L392">
        <v>379</v>
      </c>
      <c r="M392">
        <v>113</v>
      </c>
      <c r="N392">
        <v>209</v>
      </c>
      <c r="O392">
        <v>0</v>
      </c>
      <c r="P392">
        <v>0</v>
      </c>
      <c r="Q392">
        <v>0</v>
      </c>
      <c r="R392">
        <v>0</v>
      </c>
      <c r="S392">
        <v>0</v>
      </c>
      <c r="T392">
        <v>0</v>
      </c>
      <c r="U392">
        <v>0</v>
      </c>
      <c r="V392">
        <v>0</v>
      </c>
      <c r="W392">
        <v>0</v>
      </c>
      <c r="X392">
        <v>0</v>
      </c>
      <c r="Y392">
        <v>0</v>
      </c>
      <c r="Z392">
        <v>0</v>
      </c>
      <c r="AA392">
        <v>0</v>
      </c>
      <c r="AD392" t="s">
        <v>1144</v>
      </c>
      <c r="AE392" s="19">
        <v>432</v>
      </c>
      <c r="AF392">
        <v>1316</v>
      </c>
      <c r="AG392">
        <v>298</v>
      </c>
      <c r="AH392">
        <v>986</v>
      </c>
    </row>
    <row r="393" spans="1:34" hidden="1">
      <c r="A393" s="39" t="s">
        <v>1432</v>
      </c>
      <c r="B393" s="39">
        <v>0</v>
      </c>
      <c r="C393" s="39">
        <v>0</v>
      </c>
      <c r="D393" s="39">
        <v>0</v>
      </c>
      <c r="E393" s="39">
        <v>0</v>
      </c>
      <c r="F393" s="39">
        <v>0</v>
      </c>
      <c r="G393" s="39">
        <v>0</v>
      </c>
      <c r="H393" s="39">
        <v>0</v>
      </c>
      <c r="I393" s="39">
        <v>184</v>
      </c>
      <c r="J393" s="39">
        <v>103</v>
      </c>
      <c r="K393">
        <v>76</v>
      </c>
      <c r="L393">
        <v>90</v>
      </c>
      <c r="M393">
        <v>44</v>
      </c>
      <c r="N393">
        <v>69</v>
      </c>
      <c r="O393">
        <v>0</v>
      </c>
      <c r="P393">
        <v>0</v>
      </c>
      <c r="Q393">
        <v>0</v>
      </c>
      <c r="R393">
        <v>0</v>
      </c>
      <c r="S393">
        <v>0</v>
      </c>
      <c r="T393">
        <v>0</v>
      </c>
      <c r="U393">
        <v>0</v>
      </c>
      <c r="V393">
        <v>0</v>
      </c>
      <c r="W393">
        <v>0</v>
      </c>
      <c r="X393">
        <v>0</v>
      </c>
      <c r="Y393">
        <v>0</v>
      </c>
      <c r="Z393">
        <v>0</v>
      </c>
      <c r="AA393">
        <v>0</v>
      </c>
      <c r="AD393" t="s">
        <v>1202</v>
      </c>
      <c r="AE393" s="19">
        <v>1424</v>
      </c>
      <c r="AF393">
        <v>4497</v>
      </c>
      <c r="AG393">
        <v>1548</v>
      </c>
      <c r="AH393">
        <v>4885</v>
      </c>
    </row>
    <row r="394" spans="1:34" hidden="1">
      <c r="A394" s="39" t="s">
        <v>998</v>
      </c>
      <c r="B394" s="39">
        <v>0</v>
      </c>
      <c r="C394" s="39">
        <v>0</v>
      </c>
      <c r="D394" s="39">
        <v>0</v>
      </c>
      <c r="E394" s="39">
        <v>0</v>
      </c>
      <c r="F394" s="39">
        <v>0</v>
      </c>
      <c r="G394" s="39">
        <v>0</v>
      </c>
      <c r="H394" s="39">
        <v>0</v>
      </c>
      <c r="I394" s="39">
        <v>0</v>
      </c>
      <c r="J394" s="39">
        <v>0</v>
      </c>
      <c r="K394">
        <v>1005</v>
      </c>
      <c r="L394">
        <v>1751</v>
      </c>
      <c r="M394">
        <v>1776</v>
      </c>
      <c r="N394">
        <v>1642</v>
      </c>
      <c r="O394">
        <v>0</v>
      </c>
      <c r="P394">
        <v>0</v>
      </c>
      <c r="Q394">
        <v>0</v>
      </c>
      <c r="R394">
        <v>0</v>
      </c>
      <c r="S394">
        <v>0</v>
      </c>
      <c r="T394">
        <v>0</v>
      </c>
      <c r="U394">
        <v>0</v>
      </c>
      <c r="V394">
        <v>0</v>
      </c>
      <c r="W394">
        <v>0</v>
      </c>
      <c r="X394">
        <v>236</v>
      </c>
      <c r="Y394">
        <v>420</v>
      </c>
      <c r="Z394">
        <v>487</v>
      </c>
      <c r="AA394">
        <v>418</v>
      </c>
      <c r="AD394" t="s">
        <v>1064</v>
      </c>
      <c r="AE394" s="19">
        <v>1014</v>
      </c>
      <c r="AF394">
        <v>3217</v>
      </c>
      <c r="AG394">
        <v>988</v>
      </c>
      <c r="AH394">
        <v>3110</v>
      </c>
    </row>
    <row r="395" spans="1:34" hidden="1">
      <c r="A395" s="39" t="s">
        <v>366</v>
      </c>
      <c r="B395" s="39">
        <v>0</v>
      </c>
      <c r="C395" s="39">
        <v>0</v>
      </c>
      <c r="D395" s="39">
        <v>0</v>
      </c>
      <c r="E395" s="39">
        <v>0</v>
      </c>
      <c r="F395" s="39">
        <v>0</v>
      </c>
      <c r="G395" s="39">
        <v>0</v>
      </c>
      <c r="H395" s="39">
        <v>0</v>
      </c>
      <c r="I395" s="39">
        <v>0</v>
      </c>
      <c r="J395" s="39">
        <v>0</v>
      </c>
      <c r="K395">
        <v>2</v>
      </c>
      <c r="L395">
        <v>1208</v>
      </c>
      <c r="M395">
        <v>2572</v>
      </c>
      <c r="N395">
        <v>2779</v>
      </c>
      <c r="O395">
        <v>0</v>
      </c>
      <c r="P395">
        <v>0</v>
      </c>
      <c r="Q395">
        <v>0</v>
      </c>
      <c r="R395">
        <v>0</v>
      </c>
      <c r="S395">
        <v>0</v>
      </c>
      <c r="T395">
        <v>0</v>
      </c>
      <c r="U395">
        <v>0</v>
      </c>
      <c r="V395">
        <v>0</v>
      </c>
      <c r="W395">
        <v>0</v>
      </c>
      <c r="X395">
        <v>0</v>
      </c>
      <c r="Y395">
        <v>488</v>
      </c>
      <c r="Z395">
        <v>684</v>
      </c>
      <c r="AA395">
        <v>463</v>
      </c>
      <c r="AD395" t="s">
        <v>1069</v>
      </c>
      <c r="AE395" s="19">
        <v>1525</v>
      </c>
      <c r="AF395">
        <v>6316</v>
      </c>
      <c r="AG395">
        <v>1476</v>
      </c>
      <c r="AH395">
        <v>5853</v>
      </c>
    </row>
    <row r="396" spans="1:34" hidden="1">
      <c r="A396" s="39" t="s">
        <v>1433</v>
      </c>
      <c r="B396" s="39">
        <v>0</v>
      </c>
      <c r="C396" s="39">
        <v>0</v>
      </c>
      <c r="D396" s="39">
        <v>0</v>
      </c>
      <c r="E396" s="39">
        <v>0</v>
      </c>
      <c r="F396" s="39">
        <v>0</v>
      </c>
      <c r="G396" s="39">
        <v>0</v>
      </c>
      <c r="H396" s="39">
        <v>0</v>
      </c>
      <c r="I396" s="39">
        <v>864</v>
      </c>
      <c r="J396" s="39">
        <v>253</v>
      </c>
      <c r="K396">
        <v>224</v>
      </c>
      <c r="L396">
        <v>389</v>
      </c>
      <c r="M396">
        <v>517</v>
      </c>
      <c r="N396">
        <v>415</v>
      </c>
      <c r="O396">
        <v>0</v>
      </c>
      <c r="P396">
        <v>0</v>
      </c>
      <c r="Q396">
        <v>0</v>
      </c>
      <c r="R396">
        <v>0</v>
      </c>
      <c r="S396">
        <v>0</v>
      </c>
      <c r="T396">
        <v>0</v>
      </c>
      <c r="U396">
        <v>0</v>
      </c>
      <c r="V396">
        <v>0</v>
      </c>
      <c r="W396">
        <v>0</v>
      </c>
      <c r="X396">
        <v>0</v>
      </c>
      <c r="Y396">
        <v>0</v>
      </c>
      <c r="Z396">
        <v>0</v>
      </c>
      <c r="AA396">
        <v>0</v>
      </c>
      <c r="AD396" t="s">
        <v>1232</v>
      </c>
      <c r="AE396" s="19">
        <v>816</v>
      </c>
      <c r="AF396">
        <v>2696</v>
      </c>
      <c r="AG396">
        <v>946</v>
      </c>
      <c r="AH396">
        <v>2666</v>
      </c>
    </row>
    <row r="397" spans="1:34" hidden="1">
      <c r="A397" s="39" t="s">
        <v>1434</v>
      </c>
      <c r="B397" s="39">
        <v>0</v>
      </c>
      <c r="C397" s="39">
        <v>0</v>
      </c>
      <c r="D397" s="39">
        <v>0</v>
      </c>
      <c r="E397" s="39">
        <v>0</v>
      </c>
      <c r="F397" s="39">
        <v>0</v>
      </c>
      <c r="G397" s="39">
        <v>0</v>
      </c>
      <c r="H397" s="39">
        <v>0</v>
      </c>
      <c r="I397" s="39">
        <v>1066</v>
      </c>
      <c r="J397" s="39">
        <v>373</v>
      </c>
      <c r="K397">
        <v>349</v>
      </c>
      <c r="L397">
        <v>534</v>
      </c>
      <c r="M397">
        <v>303</v>
      </c>
      <c r="N397">
        <v>554</v>
      </c>
      <c r="O397">
        <v>0</v>
      </c>
      <c r="P397">
        <v>0</v>
      </c>
      <c r="Q397">
        <v>0</v>
      </c>
      <c r="R397">
        <v>0</v>
      </c>
      <c r="S397">
        <v>0</v>
      </c>
      <c r="T397">
        <v>0</v>
      </c>
      <c r="U397">
        <v>0</v>
      </c>
      <c r="V397">
        <v>0</v>
      </c>
      <c r="W397">
        <v>0</v>
      </c>
      <c r="X397">
        <v>0</v>
      </c>
      <c r="Y397">
        <v>0</v>
      </c>
      <c r="Z397">
        <v>0</v>
      </c>
      <c r="AA397">
        <v>0</v>
      </c>
      <c r="AD397" t="s">
        <v>1103</v>
      </c>
      <c r="AE397" s="19">
        <v>1682</v>
      </c>
      <c r="AF397">
        <v>4809</v>
      </c>
      <c r="AG397">
        <v>1416</v>
      </c>
      <c r="AH397">
        <v>3743</v>
      </c>
    </row>
    <row r="398" spans="1:34" hidden="1">
      <c r="A398" s="39" t="s">
        <v>1435</v>
      </c>
      <c r="B398" s="39">
        <v>0</v>
      </c>
      <c r="C398" s="39">
        <v>0</v>
      </c>
      <c r="D398" s="39">
        <v>0</v>
      </c>
      <c r="E398" s="39">
        <v>0</v>
      </c>
      <c r="F398" s="39">
        <v>0</v>
      </c>
      <c r="G398" s="39">
        <v>0</v>
      </c>
      <c r="H398" s="39">
        <v>0</v>
      </c>
      <c r="I398" s="39">
        <v>113</v>
      </c>
      <c r="J398" s="39">
        <v>126</v>
      </c>
      <c r="K398">
        <v>150</v>
      </c>
      <c r="L398">
        <v>242</v>
      </c>
      <c r="M398">
        <v>129</v>
      </c>
      <c r="N398">
        <v>109</v>
      </c>
      <c r="O398">
        <v>0</v>
      </c>
      <c r="P398">
        <v>0</v>
      </c>
      <c r="Q398">
        <v>0</v>
      </c>
      <c r="R398">
        <v>0</v>
      </c>
      <c r="S398">
        <v>0</v>
      </c>
      <c r="T398">
        <v>0</v>
      </c>
      <c r="U398">
        <v>0</v>
      </c>
      <c r="V398">
        <v>0</v>
      </c>
      <c r="W398">
        <v>0</v>
      </c>
      <c r="X398">
        <v>0</v>
      </c>
      <c r="Y398">
        <v>0</v>
      </c>
      <c r="Z398">
        <v>0</v>
      </c>
      <c r="AA398">
        <v>0</v>
      </c>
      <c r="AD398" s="37" t="s">
        <v>1169</v>
      </c>
      <c r="AE398" s="145">
        <v>261</v>
      </c>
      <c r="AF398">
        <v>1911</v>
      </c>
      <c r="AG398">
        <v>298</v>
      </c>
      <c r="AH398">
        <v>2394</v>
      </c>
    </row>
    <row r="399" spans="1:34" hidden="1">
      <c r="A399" s="39" t="s">
        <v>1436</v>
      </c>
      <c r="B399" s="39">
        <v>0</v>
      </c>
      <c r="C399" s="39">
        <v>0</v>
      </c>
      <c r="D399" s="39">
        <v>0</v>
      </c>
      <c r="E399" s="39">
        <v>0</v>
      </c>
      <c r="F399" s="39">
        <v>0</v>
      </c>
      <c r="G399" s="39">
        <v>0</v>
      </c>
      <c r="H399" s="39">
        <v>0</v>
      </c>
      <c r="I399" s="39">
        <v>132</v>
      </c>
      <c r="J399" s="39">
        <v>167</v>
      </c>
      <c r="K399">
        <v>161</v>
      </c>
      <c r="L399">
        <v>147</v>
      </c>
      <c r="M399">
        <v>86</v>
      </c>
      <c r="N399">
        <v>80</v>
      </c>
      <c r="O399">
        <v>0</v>
      </c>
      <c r="P399">
        <v>0</v>
      </c>
      <c r="Q399">
        <v>0</v>
      </c>
      <c r="R399">
        <v>0</v>
      </c>
      <c r="S399">
        <v>0</v>
      </c>
      <c r="T399">
        <v>0</v>
      </c>
      <c r="U399">
        <v>0</v>
      </c>
      <c r="V399">
        <v>0</v>
      </c>
      <c r="W399">
        <v>0</v>
      </c>
      <c r="X399">
        <v>0</v>
      </c>
      <c r="Y399">
        <v>0</v>
      </c>
      <c r="Z399">
        <v>0</v>
      </c>
      <c r="AA399">
        <v>0</v>
      </c>
      <c r="AD399" t="s">
        <v>1079</v>
      </c>
      <c r="AE399" s="19">
        <v>1366</v>
      </c>
      <c r="AF399">
        <v>3989</v>
      </c>
      <c r="AG399">
        <v>1278</v>
      </c>
      <c r="AH399">
        <v>4055</v>
      </c>
    </row>
    <row r="400" spans="1:34" hidden="1">
      <c r="A400" s="39" t="s">
        <v>1437</v>
      </c>
      <c r="B400" s="39">
        <v>0</v>
      </c>
      <c r="C400" s="39">
        <v>0</v>
      </c>
      <c r="D400" s="39">
        <v>0</v>
      </c>
      <c r="E400" s="39">
        <v>0</v>
      </c>
      <c r="F400" s="39">
        <v>0</v>
      </c>
      <c r="G400" s="39">
        <v>0</v>
      </c>
      <c r="H400" s="39">
        <v>0</v>
      </c>
      <c r="I400" s="39">
        <v>23</v>
      </c>
      <c r="J400" s="39">
        <v>36</v>
      </c>
      <c r="K400">
        <v>45</v>
      </c>
      <c r="L400">
        <v>61</v>
      </c>
      <c r="M400">
        <v>8</v>
      </c>
      <c r="N400">
        <v>13</v>
      </c>
      <c r="O400">
        <v>0</v>
      </c>
      <c r="P400">
        <v>0</v>
      </c>
      <c r="Q400">
        <v>0</v>
      </c>
      <c r="R400">
        <v>0</v>
      </c>
      <c r="S400">
        <v>0</v>
      </c>
      <c r="T400">
        <v>0</v>
      </c>
      <c r="U400">
        <v>0</v>
      </c>
      <c r="V400">
        <v>0</v>
      </c>
      <c r="W400">
        <v>0</v>
      </c>
      <c r="X400">
        <v>0</v>
      </c>
      <c r="Y400">
        <v>0</v>
      </c>
      <c r="Z400">
        <v>0</v>
      </c>
      <c r="AA400">
        <v>0</v>
      </c>
      <c r="AD400" s="37" t="s">
        <v>1133</v>
      </c>
      <c r="AE400" s="145">
        <v>1601</v>
      </c>
      <c r="AF400">
        <v>6395</v>
      </c>
      <c r="AG400">
        <v>1173</v>
      </c>
      <c r="AH400">
        <v>10534</v>
      </c>
    </row>
    <row r="401" spans="1:34" hidden="1">
      <c r="A401" s="39" t="s">
        <v>1438</v>
      </c>
      <c r="B401" s="39">
        <v>0</v>
      </c>
      <c r="C401" s="39">
        <v>0</v>
      </c>
      <c r="D401" s="39">
        <v>0</v>
      </c>
      <c r="E401" s="39">
        <v>0</v>
      </c>
      <c r="F401" s="39">
        <v>0</v>
      </c>
      <c r="G401" s="39">
        <v>0</v>
      </c>
      <c r="H401" s="39">
        <v>0</v>
      </c>
      <c r="I401" s="39">
        <v>355</v>
      </c>
      <c r="J401" s="39">
        <v>161</v>
      </c>
      <c r="K401">
        <v>106</v>
      </c>
      <c r="L401">
        <v>130</v>
      </c>
      <c r="M401">
        <v>46</v>
      </c>
      <c r="N401">
        <v>19</v>
      </c>
      <c r="O401">
        <v>0</v>
      </c>
      <c r="P401">
        <v>0</v>
      </c>
      <c r="Q401">
        <v>0</v>
      </c>
      <c r="R401">
        <v>0</v>
      </c>
      <c r="S401">
        <v>0</v>
      </c>
      <c r="T401">
        <v>0</v>
      </c>
      <c r="U401">
        <v>0</v>
      </c>
      <c r="V401">
        <v>0</v>
      </c>
      <c r="W401">
        <v>0</v>
      </c>
      <c r="X401">
        <v>0</v>
      </c>
      <c r="Y401">
        <v>0</v>
      </c>
      <c r="Z401">
        <v>0</v>
      </c>
      <c r="AA401">
        <v>0</v>
      </c>
      <c r="AD401" t="s">
        <v>1270</v>
      </c>
      <c r="AE401" s="19">
        <v>7185</v>
      </c>
      <c r="AF401">
        <v>28733</v>
      </c>
      <c r="AG401">
        <v>7189</v>
      </c>
      <c r="AH401">
        <v>27435</v>
      </c>
    </row>
    <row r="402" spans="1:34" hidden="1">
      <c r="A402" s="39" t="s">
        <v>1439</v>
      </c>
      <c r="B402" s="39">
        <v>0</v>
      </c>
      <c r="C402" s="39">
        <v>0</v>
      </c>
      <c r="D402" s="39">
        <v>0</v>
      </c>
      <c r="E402" s="39">
        <v>0</v>
      </c>
      <c r="F402" s="39">
        <v>0</v>
      </c>
      <c r="G402" s="39">
        <v>0</v>
      </c>
      <c r="H402" s="39">
        <v>0</v>
      </c>
      <c r="I402" s="39">
        <v>23</v>
      </c>
      <c r="J402" s="39">
        <v>26</v>
      </c>
      <c r="K402">
        <v>35</v>
      </c>
      <c r="L402">
        <v>13</v>
      </c>
      <c r="M402">
        <v>19</v>
      </c>
      <c r="N402">
        <v>18</v>
      </c>
      <c r="O402">
        <v>0</v>
      </c>
      <c r="P402">
        <v>0</v>
      </c>
      <c r="Q402">
        <v>0</v>
      </c>
      <c r="R402">
        <v>0</v>
      </c>
      <c r="S402">
        <v>0</v>
      </c>
      <c r="T402">
        <v>0</v>
      </c>
      <c r="U402">
        <v>0</v>
      </c>
      <c r="V402">
        <v>0</v>
      </c>
      <c r="W402">
        <v>0</v>
      </c>
      <c r="X402">
        <v>0</v>
      </c>
      <c r="Y402">
        <v>0</v>
      </c>
      <c r="Z402">
        <v>0</v>
      </c>
      <c r="AA402">
        <v>0</v>
      </c>
      <c r="AD402" t="s">
        <v>1238</v>
      </c>
      <c r="AE402" s="19">
        <v>1016</v>
      </c>
      <c r="AF402">
        <v>3413</v>
      </c>
      <c r="AG402">
        <v>1066</v>
      </c>
      <c r="AH402">
        <v>3236</v>
      </c>
    </row>
    <row r="403" spans="1:34" hidden="1">
      <c r="A403" s="39" t="s">
        <v>1440</v>
      </c>
      <c r="B403" s="39">
        <v>0</v>
      </c>
      <c r="C403" s="39">
        <v>0</v>
      </c>
      <c r="D403" s="39">
        <v>0</v>
      </c>
      <c r="E403" s="39">
        <v>0</v>
      </c>
      <c r="F403" s="39">
        <v>0</v>
      </c>
      <c r="G403" s="39">
        <v>0</v>
      </c>
      <c r="H403" s="39">
        <v>0</v>
      </c>
      <c r="I403" s="39">
        <v>211</v>
      </c>
      <c r="J403" s="39">
        <v>98</v>
      </c>
      <c r="K403">
        <v>82</v>
      </c>
      <c r="L403">
        <v>85</v>
      </c>
      <c r="M403">
        <v>7</v>
      </c>
      <c r="N403">
        <v>10</v>
      </c>
      <c r="O403">
        <v>0</v>
      </c>
      <c r="P403">
        <v>0</v>
      </c>
      <c r="Q403">
        <v>0</v>
      </c>
      <c r="R403">
        <v>0</v>
      </c>
      <c r="S403">
        <v>0</v>
      </c>
      <c r="T403">
        <v>0</v>
      </c>
      <c r="U403">
        <v>0</v>
      </c>
      <c r="V403">
        <v>0</v>
      </c>
      <c r="W403">
        <v>0</v>
      </c>
      <c r="X403">
        <v>0</v>
      </c>
      <c r="Y403">
        <v>0</v>
      </c>
      <c r="Z403">
        <v>0</v>
      </c>
      <c r="AA403">
        <v>0</v>
      </c>
      <c r="AD403" t="s">
        <v>1149</v>
      </c>
      <c r="AE403" s="19">
        <v>1074</v>
      </c>
      <c r="AF403">
        <v>3459</v>
      </c>
      <c r="AG403">
        <v>952</v>
      </c>
      <c r="AH403">
        <v>3082</v>
      </c>
    </row>
    <row r="404" spans="1:34" hidden="1">
      <c r="A404" s="39" t="s">
        <v>1441</v>
      </c>
      <c r="B404" s="39">
        <v>0</v>
      </c>
      <c r="C404" s="39">
        <v>0</v>
      </c>
      <c r="D404" s="39">
        <v>0</v>
      </c>
      <c r="E404" s="39">
        <v>0</v>
      </c>
      <c r="F404" s="39">
        <v>0</v>
      </c>
      <c r="G404" s="39">
        <v>0</v>
      </c>
      <c r="H404" s="39">
        <v>0</v>
      </c>
      <c r="I404" s="39">
        <v>367</v>
      </c>
      <c r="J404" s="39">
        <v>469</v>
      </c>
      <c r="K404">
        <v>215</v>
      </c>
      <c r="L404">
        <v>252</v>
      </c>
      <c r="M404">
        <v>135</v>
      </c>
      <c r="N404">
        <v>360</v>
      </c>
      <c r="O404">
        <v>0</v>
      </c>
      <c r="P404">
        <v>0</v>
      </c>
      <c r="Q404">
        <v>0</v>
      </c>
      <c r="R404">
        <v>0</v>
      </c>
      <c r="S404">
        <v>0</v>
      </c>
      <c r="T404">
        <v>0</v>
      </c>
      <c r="U404">
        <v>0</v>
      </c>
      <c r="V404">
        <v>0</v>
      </c>
      <c r="W404">
        <v>0</v>
      </c>
      <c r="X404">
        <v>0</v>
      </c>
      <c r="Y404">
        <v>0</v>
      </c>
      <c r="Z404">
        <v>0</v>
      </c>
      <c r="AA404">
        <v>0</v>
      </c>
      <c r="AE404" s="19"/>
    </row>
    <row r="405" spans="1:34" hidden="1">
      <c r="A405" s="39" t="s">
        <v>1442</v>
      </c>
      <c r="B405" s="39">
        <v>0</v>
      </c>
      <c r="C405" s="39">
        <v>0</v>
      </c>
      <c r="D405" s="39">
        <v>0</v>
      </c>
      <c r="E405" s="39">
        <v>0</v>
      </c>
      <c r="F405" s="39">
        <v>0</v>
      </c>
      <c r="G405" s="39">
        <v>0</v>
      </c>
      <c r="H405" s="39">
        <v>0</v>
      </c>
      <c r="I405" s="39">
        <v>68</v>
      </c>
      <c r="J405" s="39">
        <v>90</v>
      </c>
      <c r="K405">
        <v>50</v>
      </c>
      <c r="L405">
        <v>68</v>
      </c>
      <c r="M405">
        <v>13</v>
      </c>
      <c r="N405">
        <v>14</v>
      </c>
      <c r="O405">
        <v>0</v>
      </c>
      <c r="P405">
        <v>0</v>
      </c>
      <c r="Q405">
        <v>0</v>
      </c>
      <c r="R405">
        <v>0</v>
      </c>
      <c r="S405">
        <v>0</v>
      </c>
      <c r="T405">
        <v>0</v>
      </c>
      <c r="U405">
        <v>0</v>
      </c>
      <c r="V405">
        <v>0</v>
      </c>
      <c r="W405">
        <v>0</v>
      </c>
      <c r="X405">
        <v>0</v>
      </c>
      <c r="Y405">
        <v>0</v>
      </c>
      <c r="Z405">
        <v>0</v>
      </c>
      <c r="AA405">
        <v>0</v>
      </c>
      <c r="AD405" t="s">
        <v>1213</v>
      </c>
      <c r="AE405" s="19">
        <v>539</v>
      </c>
      <c r="AF405">
        <v>1920</v>
      </c>
      <c r="AG405">
        <v>460</v>
      </c>
      <c r="AH405">
        <v>1426</v>
      </c>
    </row>
    <row r="406" spans="1:34" hidden="1">
      <c r="A406" s="39" t="s">
        <v>1443</v>
      </c>
      <c r="B406" s="39">
        <v>0</v>
      </c>
      <c r="C406" s="39">
        <v>0</v>
      </c>
      <c r="D406" s="39">
        <v>0</v>
      </c>
      <c r="E406" s="39">
        <v>0</v>
      </c>
      <c r="F406" s="39">
        <v>0</v>
      </c>
      <c r="G406" s="39">
        <v>0</v>
      </c>
      <c r="H406" s="39">
        <v>0</v>
      </c>
      <c r="I406" s="39">
        <v>0</v>
      </c>
      <c r="J406" s="39">
        <v>156</v>
      </c>
      <c r="K406">
        <v>354</v>
      </c>
      <c r="L406">
        <v>834</v>
      </c>
      <c r="M406">
        <v>732</v>
      </c>
      <c r="N406">
        <v>654</v>
      </c>
      <c r="O406">
        <v>0</v>
      </c>
      <c r="P406">
        <v>0</v>
      </c>
      <c r="Q406">
        <v>0</v>
      </c>
      <c r="R406">
        <v>0</v>
      </c>
      <c r="S406">
        <v>0</v>
      </c>
      <c r="T406">
        <v>0</v>
      </c>
      <c r="U406">
        <v>0</v>
      </c>
      <c r="V406">
        <v>0</v>
      </c>
      <c r="W406">
        <v>34</v>
      </c>
      <c r="X406">
        <v>126</v>
      </c>
      <c r="Y406">
        <v>251</v>
      </c>
      <c r="Z406">
        <v>239</v>
      </c>
      <c r="AA406">
        <v>237</v>
      </c>
      <c r="AD406" t="s">
        <v>1244</v>
      </c>
      <c r="AE406" s="19">
        <v>1075</v>
      </c>
      <c r="AF406">
        <v>2871</v>
      </c>
      <c r="AG406">
        <v>1086</v>
      </c>
      <c r="AH406">
        <v>3252</v>
      </c>
    </row>
    <row r="407" spans="1:34" hidden="1">
      <c r="A407" s="39" t="s">
        <v>1444</v>
      </c>
      <c r="B407" s="39">
        <v>0</v>
      </c>
      <c r="C407" s="39">
        <v>0</v>
      </c>
      <c r="D407" s="39">
        <v>0</v>
      </c>
      <c r="E407" s="39">
        <v>0</v>
      </c>
      <c r="F407" s="39">
        <v>0</v>
      </c>
      <c r="G407" s="39">
        <v>0</v>
      </c>
      <c r="H407" s="39">
        <v>0</v>
      </c>
      <c r="I407" s="39">
        <v>0</v>
      </c>
      <c r="J407" s="39">
        <v>112</v>
      </c>
      <c r="K407">
        <v>104</v>
      </c>
      <c r="L407">
        <v>156</v>
      </c>
      <c r="M407">
        <v>112</v>
      </c>
      <c r="N407">
        <v>151</v>
      </c>
      <c r="O407">
        <v>0</v>
      </c>
      <c r="P407">
        <v>0</v>
      </c>
      <c r="Q407">
        <v>0</v>
      </c>
      <c r="R407">
        <v>0</v>
      </c>
      <c r="S407">
        <v>0</v>
      </c>
      <c r="T407">
        <v>0</v>
      </c>
      <c r="U407">
        <v>0</v>
      </c>
      <c r="V407">
        <v>0</v>
      </c>
      <c r="W407">
        <v>0</v>
      </c>
      <c r="X407">
        <v>0</v>
      </c>
      <c r="Y407">
        <v>0</v>
      </c>
      <c r="Z407">
        <v>0</v>
      </c>
      <c r="AA407">
        <v>0</v>
      </c>
      <c r="AD407" t="s">
        <v>1117</v>
      </c>
      <c r="AE407" s="19">
        <v>1470</v>
      </c>
      <c r="AF407">
        <v>2142</v>
      </c>
      <c r="AG407">
        <v>1327</v>
      </c>
      <c r="AH407">
        <v>1702</v>
      </c>
    </row>
    <row r="408" spans="1:34" hidden="1">
      <c r="A408" s="39" t="s">
        <v>1445</v>
      </c>
      <c r="B408" s="39">
        <v>0</v>
      </c>
      <c r="C408" s="39">
        <v>0</v>
      </c>
      <c r="D408" s="39">
        <v>0</v>
      </c>
      <c r="E408" s="39">
        <v>0</v>
      </c>
      <c r="F408" s="39">
        <v>0</v>
      </c>
      <c r="G408" s="39">
        <v>0</v>
      </c>
      <c r="H408" s="39">
        <v>0</v>
      </c>
      <c r="I408" s="39">
        <v>0</v>
      </c>
      <c r="J408" s="39">
        <v>104</v>
      </c>
      <c r="K408">
        <v>59</v>
      </c>
      <c r="L408">
        <v>26</v>
      </c>
      <c r="M408">
        <v>27</v>
      </c>
      <c r="N408">
        <v>23</v>
      </c>
      <c r="O408">
        <v>0</v>
      </c>
      <c r="P408">
        <v>0</v>
      </c>
      <c r="Q408">
        <v>0</v>
      </c>
      <c r="R408">
        <v>0</v>
      </c>
      <c r="S408">
        <v>0</v>
      </c>
      <c r="T408">
        <v>0</v>
      </c>
      <c r="U408">
        <v>0</v>
      </c>
      <c r="V408">
        <v>0</v>
      </c>
      <c r="W408">
        <v>0</v>
      </c>
      <c r="X408">
        <v>0</v>
      </c>
      <c r="Y408">
        <v>0</v>
      </c>
      <c r="Z408">
        <v>0</v>
      </c>
      <c r="AA408">
        <v>0</v>
      </c>
      <c r="AD408" t="s">
        <v>1071</v>
      </c>
      <c r="AE408" s="19">
        <v>1676</v>
      </c>
      <c r="AF408">
        <v>4615</v>
      </c>
      <c r="AG408">
        <v>1635</v>
      </c>
      <c r="AH408">
        <v>4368</v>
      </c>
    </row>
    <row r="409" spans="1:34" hidden="1">
      <c r="A409" s="39" t="s">
        <v>1446</v>
      </c>
      <c r="B409" s="39">
        <v>0</v>
      </c>
      <c r="C409" s="39">
        <v>0</v>
      </c>
      <c r="D409" s="39">
        <v>0</v>
      </c>
      <c r="E409" s="39">
        <v>0</v>
      </c>
      <c r="F409" s="39">
        <v>0</v>
      </c>
      <c r="G409" s="39">
        <v>0</v>
      </c>
      <c r="H409" s="39">
        <v>0</v>
      </c>
      <c r="I409" s="39">
        <v>0</v>
      </c>
      <c r="J409" s="39">
        <v>59</v>
      </c>
      <c r="K409">
        <v>43</v>
      </c>
      <c r="L409">
        <v>94</v>
      </c>
      <c r="M409">
        <v>142</v>
      </c>
      <c r="N409">
        <v>122</v>
      </c>
      <c r="O409">
        <v>0</v>
      </c>
      <c r="P409">
        <v>0</v>
      </c>
      <c r="Q409">
        <v>0</v>
      </c>
      <c r="R409">
        <v>0</v>
      </c>
      <c r="S409">
        <v>0</v>
      </c>
      <c r="T409">
        <v>0</v>
      </c>
      <c r="U409">
        <v>0</v>
      </c>
      <c r="V409">
        <v>0</v>
      </c>
      <c r="W409">
        <v>0</v>
      </c>
      <c r="X409">
        <v>0</v>
      </c>
      <c r="Y409">
        <v>0</v>
      </c>
      <c r="Z409">
        <v>0</v>
      </c>
      <c r="AA409">
        <v>0</v>
      </c>
      <c r="AD409" t="s">
        <v>1181</v>
      </c>
      <c r="AE409" s="19">
        <v>556</v>
      </c>
      <c r="AF409">
        <v>1914</v>
      </c>
      <c r="AG409">
        <v>86</v>
      </c>
      <c r="AH409">
        <v>233</v>
      </c>
    </row>
    <row r="410" spans="1:34" hidden="1">
      <c r="A410" s="39" t="s">
        <v>1447</v>
      </c>
      <c r="B410" s="39">
        <v>0</v>
      </c>
      <c r="C410" s="39">
        <v>0</v>
      </c>
      <c r="D410" s="39">
        <v>0</v>
      </c>
      <c r="E410" s="39">
        <v>0</v>
      </c>
      <c r="F410" s="39">
        <v>0</v>
      </c>
      <c r="G410" s="39">
        <v>0</v>
      </c>
      <c r="H410" s="39">
        <v>0</v>
      </c>
      <c r="I410" s="39">
        <v>0</v>
      </c>
      <c r="J410" s="39">
        <v>99</v>
      </c>
      <c r="K410">
        <v>45</v>
      </c>
      <c r="L410">
        <v>20</v>
      </c>
      <c r="M410">
        <v>5</v>
      </c>
      <c r="N410">
        <v>7</v>
      </c>
      <c r="O410">
        <v>0</v>
      </c>
      <c r="P410">
        <v>0</v>
      </c>
      <c r="Q410">
        <v>0</v>
      </c>
      <c r="R410">
        <v>0</v>
      </c>
      <c r="S410">
        <v>0</v>
      </c>
      <c r="T410">
        <v>0</v>
      </c>
      <c r="U410">
        <v>0</v>
      </c>
      <c r="V410">
        <v>0</v>
      </c>
      <c r="W410">
        <v>0</v>
      </c>
      <c r="X410">
        <v>0</v>
      </c>
      <c r="Y410">
        <v>0</v>
      </c>
      <c r="Z410">
        <v>0</v>
      </c>
      <c r="AA410">
        <v>0</v>
      </c>
      <c r="AD410" t="s">
        <v>1215</v>
      </c>
      <c r="AE410" s="19">
        <v>1179</v>
      </c>
      <c r="AF410">
        <v>3377</v>
      </c>
      <c r="AG410">
        <v>1063</v>
      </c>
      <c r="AH410">
        <v>3009</v>
      </c>
    </row>
    <row r="411" spans="1:34" hidden="1">
      <c r="A411" s="39" t="s">
        <v>1448</v>
      </c>
      <c r="B411" s="39">
        <v>0</v>
      </c>
      <c r="C411" s="39">
        <v>0</v>
      </c>
      <c r="D411" s="39">
        <v>0</v>
      </c>
      <c r="E411" s="39">
        <v>0</v>
      </c>
      <c r="F411" s="39">
        <v>0</v>
      </c>
      <c r="G411" s="39">
        <v>0</v>
      </c>
      <c r="H411" s="39">
        <v>0</v>
      </c>
      <c r="I411" s="39">
        <v>0</v>
      </c>
      <c r="J411" s="39">
        <v>41</v>
      </c>
      <c r="K411">
        <v>37</v>
      </c>
      <c r="L411">
        <v>50</v>
      </c>
      <c r="M411">
        <v>32</v>
      </c>
      <c r="N411">
        <v>15</v>
      </c>
      <c r="O411">
        <v>0</v>
      </c>
      <c r="P411">
        <v>0</v>
      </c>
      <c r="Q411">
        <v>0</v>
      </c>
      <c r="R411">
        <v>0</v>
      </c>
      <c r="S411">
        <v>0</v>
      </c>
      <c r="T411">
        <v>0</v>
      </c>
      <c r="U411">
        <v>0</v>
      </c>
      <c r="V411">
        <v>0</v>
      </c>
      <c r="W411">
        <v>0</v>
      </c>
      <c r="X411">
        <v>0</v>
      </c>
      <c r="Y411">
        <v>0</v>
      </c>
      <c r="Z411">
        <v>0</v>
      </c>
      <c r="AA411">
        <v>0</v>
      </c>
      <c r="AD411" t="s">
        <v>1226</v>
      </c>
      <c r="AE411" s="19">
        <v>1553</v>
      </c>
      <c r="AF411">
        <v>1555</v>
      </c>
      <c r="AG411">
        <v>60</v>
      </c>
      <c r="AH411">
        <v>2978</v>
      </c>
    </row>
    <row r="412" spans="1:34" hidden="1">
      <c r="A412" s="39" t="s">
        <v>1449</v>
      </c>
      <c r="B412" s="39">
        <v>0</v>
      </c>
      <c r="C412" s="39">
        <v>0</v>
      </c>
      <c r="D412" s="39">
        <v>0</v>
      </c>
      <c r="E412" s="39">
        <v>0</v>
      </c>
      <c r="F412" s="39">
        <v>0</v>
      </c>
      <c r="G412" s="39">
        <v>0</v>
      </c>
      <c r="H412" s="39">
        <v>0</v>
      </c>
      <c r="I412" s="39">
        <v>0</v>
      </c>
      <c r="J412" s="39">
        <v>20</v>
      </c>
      <c r="K412">
        <v>30</v>
      </c>
      <c r="L412">
        <v>17</v>
      </c>
      <c r="M412">
        <v>14</v>
      </c>
      <c r="N412">
        <v>13</v>
      </c>
      <c r="O412">
        <v>0</v>
      </c>
      <c r="P412">
        <v>0</v>
      </c>
      <c r="Q412">
        <v>0</v>
      </c>
      <c r="R412">
        <v>0</v>
      </c>
      <c r="S412">
        <v>0</v>
      </c>
      <c r="T412">
        <v>0</v>
      </c>
      <c r="U412">
        <v>0</v>
      </c>
      <c r="V412">
        <v>0</v>
      </c>
      <c r="W412">
        <v>0</v>
      </c>
      <c r="X412">
        <v>0</v>
      </c>
      <c r="Y412">
        <v>0</v>
      </c>
      <c r="Z412">
        <v>0</v>
      </c>
      <c r="AA412">
        <v>0</v>
      </c>
      <c r="AD412" t="s">
        <v>1240</v>
      </c>
      <c r="AE412" s="19">
        <v>1400</v>
      </c>
      <c r="AF412">
        <v>2776</v>
      </c>
      <c r="AG412">
        <v>1368</v>
      </c>
      <c r="AH412">
        <v>2916</v>
      </c>
    </row>
    <row r="413" spans="1:34" hidden="1">
      <c r="A413" s="39" t="s">
        <v>1450</v>
      </c>
      <c r="B413" s="39">
        <v>0</v>
      </c>
      <c r="C413" s="39">
        <v>0</v>
      </c>
      <c r="D413" s="39">
        <v>0</v>
      </c>
      <c r="E413" s="39">
        <v>0</v>
      </c>
      <c r="F413" s="39">
        <v>0</v>
      </c>
      <c r="G413" s="39">
        <v>0</v>
      </c>
      <c r="H413" s="39">
        <v>0</v>
      </c>
      <c r="I413" s="39">
        <v>0</v>
      </c>
      <c r="J413" s="39">
        <v>109</v>
      </c>
      <c r="K413">
        <v>153</v>
      </c>
      <c r="L413">
        <v>130</v>
      </c>
      <c r="M413">
        <v>43</v>
      </c>
      <c r="N413">
        <v>42</v>
      </c>
      <c r="O413">
        <v>0</v>
      </c>
      <c r="P413">
        <v>0</v>
      </c>
      <c r="Q413">
        <v>0</v>
      </c>
      <c r="R413">
        <v>0</v>
      </c>
      <c r="S413">
        <v>0</v>
      </c>
      <c r="T413">
        <v>0</v>
      </c>
      <c r="U413">
        <v>0</v>
      </c>
      <c r="V413">
        <v>0</v>
      </c>
      <c r="W413">
        <v>0</v>
      </c>
      <c r="X413">
        <v>0</v>
      </c>
      <c r="Y413">
        <v>0</v>
      </c>
      <c r="Z413">
        <v>0</v>
      </c>
      <c r="AA413">
        <v>0</v>
      </c>
      <c r="AD413" t="s">
        <v>1041</v>
      </c>
      <c r="AE413" s="19">
        <v>1462</v>
      </c>
      <c r="AF413">
        <v>2606</v>
      </c>
      <c r="AG413">
        <v>1404</v>
      </c>
      <c r="AH413">
        <v>2549</v>
      </c>
    </row>
    <row r="414" spans="1:34" hidden="1">
      <c r="A414" s="39" t="s">
        <v>1451</v>
      </c>
      <c r="B414" s="39">
        <v>0</v>
      </c>
      <c r="C414" s="39">
        <v>0</v>
      </c>
      <c r="D414" s="39">
        <v>0</v>
      </c>
      <c r="E414" s="39">
        <v>0</v>
      </c>
      <c r="F414" s="39">
        <v>0</v>
      </c>
      <c r="G414" s="39">
        <v>0</v>
      </c>
      <c r="H414" s="39">
        <v>0</v>
      </c>
      <c r="I414" s="39">
        <v>0</v>
      </c>
      <c r="J414" s="39">
        <v>0</v>
      </c>
      <c r="K414">
        <v>18</v>
      </c>
      <c r="L414">
        <v>54</v>
      </c>
      <c r="M414">
        <v>9</v>
      </c>
      <c r="N414">
        <v>9</v>
      </c>
      <c r="O414">
        <v>0</v>
      </c>
      <c r="P414">
        <v>0</v>
      </c>
      <c r="Q414">
        <v>0</v>
      </c>
      <c r="R414">
        <v>0</v>
      </c>
      <c r="S414">
        <v>0</v>
      </c>
      <c r="T414">
        <v>0</v>
      </c>
      <c r="U414">
        <v>0</v>
      </c>
      <c r="V414">
        <v>0</v>
      </c>
      <c r="W414">
        <v>0</v>
      </c>
      <c r="X414">
        <v>0</v>
      </c>
      <c r="Y414">
        <v>0</v>
      </c>
      <c r="Z414">
        <v>0</v>
      </c>
      <c r="AA414">
        <v>0</v>
      </c>
      <c r="AD414" t="s">
        <v>1262</v>
      </c>
      <c r="AE414" s="19">
        <v>7031</v>
      </c>
      <c r="AF414">
        <v>26136</v>
      </c>
      <c r="AG414">
        <v>6489</v>
      </c>
      <c r="AH414">
        <v>24125</v>
      </c>
    </row>
    <row r="415" spans="1:34" hidden="1">
      <c r="A415" s="39" t="s">
        <v>1452</v>
      </c>
      <c r="B415" s="39">
        <v>0</v>
      </c>
      <c r="C415" s="39">
        <v>0</v>
      </c>
      <c r="D415" s="39">
        <v>0</v>
      </c>
      <c r="E415" s="39">
        <v>0</v>
      </c>
      <c r="F415" s="39">
        <v>0</v>
      </c>
      <c r="G415" s="39">
        <v>0</v>
      </c>
      <c r="H415" s="39">
        <v>0</v>
      </c>
      <c r="I415" s="39">
        <v>0</v>
      </c>
      <c r="J415" s="39">
        <v>0</v>
      </c>
      <c r="K415">
        <v>7</v>
      </c>
      <c r="L415">
        <v>23</v>
      </c>
      <c r="M415">
        <v>12</v>
      </c>
      <c r="N415">
        <v>22</v>
      </c>
      <c r="O415">
        <v>0</v>
      </c>
      <c r="P415">
        <v>0</v>
      </c>
      <c r="Q415">
        <v>0</v>
      </c>
      <c r="R415">
        <v>0</v>
      </c>
      <c r="S415">
        <v>0</v>
      </c>
      <c r="T415">
        <v>0</v>
      </c>
      <c r="U415">
        <v>0</v>
      </c>
      <c r="V415">
        <v>0</v>
      </c>
      <c r="W415">
        <v>0</v>
      </c>
      <c r="X415">
        <v>0</v>
      </c>
      <c r="Y415">
        <v>0</v>
      </c>
      <c r="Z415">
        <v>0</v>
      </c>
      <c r="AA415">
        <v>0</v>
      </c>
      <c r="AD415" t="s">
        <v>1165</v>
      </c>
      <c r="AE415" s="19">
        <v>1743</v>
      </c>
      <c r="AF415">
        <v>6270</v>
      </c>
      <c r="AG415">
        <v>1658</v>
      </c>
      <c r="AH415">
        <v>5768</v>
      </c>
    </row>
    <row r="416" spans="1:34" hidden="1">
      <c r="A416" s="39" t="s">
        <v>1453</v>
      </c>
      <c r="B416" s="39">
        <v>0</v>
      </c>
      <c r="C416" s="39">
        <v>0</v>
      </c>
      <c r="D416" s="39">
        <v>0</v>
      </c>
      <c r="E416" s="39">
        <v>0</v>
      </c>
      <c r="F416" s="39">
        <v>0</v>
      </c>
      <c r="G416" s="39">
        <v>0</v>
      </c>
      <c r="H416" s="39">
        <v>0</v>
      </c>
      <c r="I416" s="39">
        <v>0</v>
      </c>
      <c r="J416" s="39">
        <v>83</v>
      </c>
      <c r="K416">
        <v>80</v>
      </c>
      <c r="L416">
        <v>111</v>
      </c>
      <c r="M416">
        <v>53</v>
      </c>
      <c r="N416">
        <v>51</v>
      </c>
      <c r="O416">
        <v>0</v>
      </c>
      <c r="P416">
        <v>0</v>
      </c>
      <c r="Q416">
        <v>0</v>
      </c>
      <c r="R416">
        <v>0</v>
      </c>
      <c r="S416">
        <v>0</v>
      </c>
      <c r="T416">
        <v>0</v>
      </c>
      <c r="U416">
        <v>0</v>
      </c>
      <c r="V416">
        <v>0</v>
      </c>
      <c r="W416">
        <v>0</v>
      </c>
      <c r="X416">
        <v>0</v>
      </c>
      <c r="Y416">
        <v>0</v>
      </c>
      <c r="Z416">
        <v>0</v>
      </c>
      <c r="AA416">
        <v>0</v>
      </c>
      <c r="AD416" t="s">
        <v>1248</v>
      </c>
      <c r="AE416" s="19">
        <v>1235</v>
      </c>
      <c r="AF416">
        <v>3687</v>
      </c>
      <c r="AG416">
        <v>1056</v>
      </c>
      <c r="AH416">
        <v>3284</v>
      </c>
    </row>
    <row r="417" spans="1:34" hidden="1">
      <c r="A417" s="39" t="s">
        <v>1454</v>
      </c>
      <c r="B417" s="39">
        <v>0</v>
      </c>
      <c r="C417" s="39">
        <v>0</v>
      </c>
      <c r="D417" s="39">
        <v>0</v>
      </c>
      <c r="E417" s="39">
        <v>0</v>
      </c>
      <c r="F417" s="39">
        <v>0</v>
      </c>
      <c r="G417" s="39">
        <v>0</v>
      </c>
      <c r="H417" s="39">
        <v>0</v>
      </c>
      <c r="I417" s="39">
        <v>0</v>
      </c>
      <c r="J417" s="39">
        <v>226</v>
      </c>
      <c r="K417">
        <v>171</v>
      </c>
      <c r="L417">
        <v>164</v>
      </c>
      <c r="M417">
        <v>93</v>
      </c>
      <c r="N417">
        <v>79</v>
      </c>
      <c r="O417">
        <v>0</v>
      </c>
      <c r="P417">
        <v>0</v>
      </c>
      <c r="Q417">
        <v>0</v>
      </c>
      <c r="R417">
        <v>0</v>
      </c>
      <c r="S417">
        <v>0</v>
      </c>
      <c r="T417">
        <v>0</v>
      </c>
      <c r="U417">
        <v>0</v>
      </c>
      <c r="V417">
        <v>0</v>
      </c>
      <c r="W417">
        <v>0</v>
      </c>
      <c r="X417">
        <v>0</v>
      </c>
      <c r="Y417">
        <v>0</v>
      </c>
      <c r="Z417">
        <v>0</v>
      </c>
      <c r="AA417">
        <v>0</v>
      </c>
      <c r="AD417" t="s">
        <v>1316</v>
      </c>
      <c r="AE417" s="19">
        <v>1</v>
      </c>
      <c r="AF417">
        <v>0</v>
      </c>
    </row>
    <row r="418" spans="1:34" hidden="1">
      <c r="A418" s="39" t="s">
        <v>1455</v>
      </c>
      <c r="B418" s="39">
        <v>0</v>
      </c>
      <c r="C418" s="39">
        <v>0</v>
      </c>
      <c r="D418" s="39">
        <v>0</v>
      </c>
      <c r="E418" s="39">
        <v>0</v>
      </c>
      <c r="F418" s="39">
        <v>0</v>
      </c>
      <c r="G418" s="39">
        <v>0</v>
      </c>
      <c r="H418" s="39">
        <v>0</v>
      </c>
      <c r="I418" s="39">
        <v>0</v>
      </c>
      <c r="J418" s="39">
        <v>196</v>
      </c>
      <c r="K418">
        <v>206</v>
      </c>
      <c r="L418">
        <v>200</v>
      </c>
      <c r="M418">
        <v>150</v>
      </c>
      <c r="N418">
        <v>93</v>
      </c>
      <c r="O418">
        <v>0</v>
      </c>
      <c r="P418">
        <v>0</v>
      </c>
      <c r="Q418">
        <v>0</v>
      </c>
      <c r="R418">
        <v>0</v>
      </c>
      <c r="S418">
        <v>0</v>
      </c>
      <c r="T418">
        <v>0</v>
      </c>
      <c r="U418">
        <v>0</v>
      </c>
      <c r="V418">
        <v>0</v>
      </c>
      <c r="W418">
        <v>0</v>
      </c>
      <c r="X418">
        <v>0</v>
      </c>
      <c r="Y418">
        <v>0</v>
      </c>
      <c r="Z418">
        <v>0</v>
      </c>
      <c r="AA418">
        <v>0</v>
      </c>
      <c r="AD418" t="s">
        <v>1246</v>
      </c>
      <c r="AE418" s="19">
        <v>1060</v>
      </c>
      <c r="AF418">
        <v>2714</v>
      </c>
      <c r="AG418">
        <v>1016</v>
      </c>
      <c r="AH418">
        <v>2615</v>
      </c>
    </row>
    <row r="419" spans="1:34" hidden="1">
      <c r="A419" s="39" t="s">
        <v>1456</v>
      </c>
      <c r="B419" s="39">
        <v>0</v>
      </c>
      <c r="C419" s="39">
        <v>0</v>
      </c>
      <c r="D419" s="39">
        <v>0</v>
      </c>
      <c r="E419" s="39">
        <v>0</v>
      </c>
      <c r="F419" s="39">
        <v>0</v>
      </c>
      <c r="G419" s="39">
        <v>0</v>
      </c>
      <c r="H419" s="39">
        <v>0</v>
      </c>
      <c r="I419" s="39">
        <v>0</v>
      </c>
      <c r="J419" s="39">
        <v>160</v>
      </c>
      <c r="K419">
        <v>212</v>
      </c>
      <c r="L419">
        <v>442</v>
      </c>
      <c r="M419">
        <v>140</v>
      </c>
      <c r="N419">
        <v>289</v>
      </c>
      <c r="O419">
        <v>0</v>
      </c>
      <c r="P419">
        <v>0</v>
      </c>
      <c r="Q419">
        <v>0</v>
      </c>
      <c r="R419">
        <v>0</v>
      </c>
      <c r="S419">
        <v>0</v>
      </c>
      <c r="T419">
        <v>0</v>
      </c>
      <c r="U419">
        <v>0</v>
      </c>
      <c r="V419">
        <v>0</v>
      </c>
      <c r="W419">
        <v>0</v>
      </c>
      <c r="X419">
        <v>0</v>
      </c>
      <c r="Y419">
        <v>0</v>
      </c>
      <c r="Z419">
        <v>0</v>
      </c>
      <c r="AA419">
        <v>0</v>
      </c>
      <c r="AD419" t="s">
        <v>1230</v>
      </c>
      <c r="AE419" s="19">
        <v>810</v>
      </c>
      <c r="AF419">
        <v>2057</v>
      </c>
      <c r="AG419">
        <v>781</v>
      </c>
      <c r="AH419">
        <v>2165</v>
      </c>
    </row>
    <row r="420" spans="1:34" hidden="1">
      <c r="A420" s="39" t="s">
        <v>1457</v>
      </c>
      <c r="B420" s="39">
        <v>0</v>
      </c>
      <c r="C420" s="39">
        <v>0</v>
      </c>
      <c r="D420" s="39">
        <v>0</v>
      </c>
      <c r="E420" s="39">
        <v>0</v>
      </c>
      <c r="F420" s="39">
        <v>0</v>
      </c>
      <c r="G420" s="39">
        <v>0</v>
      </c>
      <c r="H420" s="39">
        <v>0</v>
      </c>
      <c r="I420" s="39">
        <v>0</v>
      </c>
      <c r="J420" s="39">
        <v>56</v>
      </c>
      <c r="K420">
        <v>116</v>
      </c>
      <c r="L420">
        <v>143</v>
      </c>
      <c r="M420">
        <v>79</v>
      </c>
      <c r="N420">
        <v>74</v>
      </c>
      <c r="O420">
        <v>0</v>
      </c>
      <c r="P420">
        <v>0</v>
      </c>
      <c r="Q420">
        <v>0</v>
      </c>
      <c r="R420">
        <v>0</v>
      </c>
      <c r="S420">
        <v>0</v>
      </c>
      <c r="T420">
        <v>0</v>
      </c>
      <c r="U420">
        <v>0</v>
      </c>
      <c r="V420">
        <v>0</v>
      </c>
      <c r="W420">
        <v>0</v>
      </c>
      <c r="X420">
        <v>0</v>
      </c>
      <c r="Y420">
        <v>0</v>
      </c>
      <c r="Z420">
        <v>0</v>
      </c>
      <c r="AA420">
        <v>0</v>
      </c>
      <c r="AD420" t="s">
        <v>1206</v>
      </c>
      <c r="AE420" s="19">
        <v>1161</v>
      </c>
      <c r="AF420">
        <v>3943</v>
      </c>
      <c r="AG420">
        <v>1200</v>
      </c>
      <c r="AH420">
        <v>4438</v>
      </c>
    </row>
    <row r="421" spans="1:34" hidden="1">
      <c r="A421" s="39" t="s">
        <v>1458</v>
      </c>
      <c r="B421" s="39">
        <v>0</v>
      </c>
      <c r="C421" s="39">
        <v>0</v>
      </c>
      <c r="D421" s="39">
        <v>0</v>
      </c>
      <c r="E421" s="39">
        <v>0</v>
      </c>
      <c r="F421" s="39">
        <v>0</v>
      </c>
      <c r="G421" s="39">
        <v>0</v>
      </c>
      <c r="H421" s="39">
        <v>0</v>
      </c>
      <c r="I421" s="39">
        <v>0</v>
      </c>
      <c r="J421" s="39">
        <v>0</v>
      </c>
      <c r="K421">
        <v>126</v>
      </c>
      <c r="L421">
        <v>181</v>
      </c>
      <c r="M421">
        <v>145</v>
      </c>
      <c r="N421">
        <v>91</v>
      </c>
      <c r="O421">
        <v>0</v>
      </c>
      <c r="P421">
        <v>0</v>
      </c>
      <c r="Q421">
        <v>0</v>
      </c>
      <c r="R421">
        <v>0</v>
      </c>
      <c r="S421">
        <v>0</v>
      </c>
      <c r="T421">
        <v>0</v>
      </c>
      <c r="U421">
        <v>0</v>
      </c>
      <c r="V421">
        <v>0</v>
      </c>
      <c r="W421">
        <v>0</v>
      </c>
      <c r="X421">
        <v>0</v>
      </c>
      <c r="Y421">
        <v>0</v>
      </c>
      <c r="Z421">
        <v>0</v>
      </c>
      <c r="AA421">
        <v>0</v>
      </c>
      <c r="AD421" t="s">
        <v>1266</v>
      </c>
      <c r="AE421" s="19">
        <v>1609</v>
      </c>
      <c r="AF421">
        <v>2968</v>
      </c>
      <c r="AG421">
        <v>1599</v>
      </c>
      <c r="AH421">
        <v>2916</v>
      </c>
    </row>
    <row r="422" spans="1:34" hidden="1">
      <c r="A422" s="39" t="s">
        <v>1459</v>
      </c>
      <c r="B422" s="39">
        <v>0</v>
      </c>
      <c r="C422" s="39">
        <v>0</v>
      </c>
      <c r="D422" s="39">
        <v>0</v>
      </c>
      <c r="E422" s="39">
        <v>0</v>
      </c>
      <c r="F422" s="39">
        <v>0</v>
      </c>
      <c r="G422" s="39">
        <v>0</v>
      </c>
      <c r="H422" s="39">
        <v>0</v>
      </c>
      <c r="I422" s="39">
        <v>0</v>
      </c>
      <c r="J422" s="39">
        <v>0</v>
      </c>
      <c r="K422">
        <v>890</v>
      </c>
      <c r="L422">
        <v>860</v>
      </c>
      <c r="M422">
        <v>532</v>
      </c>
      <c r="N422">
        <v>667</v>
      </c>
      <c r="O422">
        <v>0</v>
      </c>
      <c r="P422">
        <v>0</v>
      </c>
      <c r="Q422">
        <v>0</v>
      </c>
      <c r="R422">
        <v>0</v>
      </c>
      <c r="S422">
        <v>0</v>
      </c>
      <c r="T422">
        <v>0</v>
      </c>
      <c r="U422">
        <v>0</v>
      </c>
      <c r="V422">
        <v>0</v>
      </c>
      <c r="W422">
        <v>0</v>
      </c>
      <c r="X422">
        <v>0</v>
      </c>
      <c r="Y422">
        <v>0</v>
      </c>
      <c r="Z422">
        <v>0</v>
      </c>
      <c r="AA422">
        <v>0</v>
      </c>
      <c r="AD422" t="s">
        <v>1163</v>
      </c>
      <c r="AE422" s="19">
        <v>1107</v>
      </c>
      <c r="AF422">
        <v>3665</v>
      </c>
      <c r="AG422">
        <v>969</v>
      </c>
      <c r="AH422">
        <v>3460</v>
      </c>
    </row>
    <row r="423" spans="1:34" hidden="1">
      <c r="A423" s="39" t="s">
        <v>1460</v>
      </c>
      <c r="B423" s="39">
        <v>0</v>
      </c>
      <c r="C423" s="39">
        <v>0</v>
      </c>
      <c r="D423" s="39">
        <v>0</v>
      </c>
      <c r="E423" s="39">
        <v>0</v>
      </c>
      <c r="F423" s="39">
        <v>0</v>
      </c>
      <c r="G423" s="39">
        <v>0</v>
      </c>
      <c r="H423" s="39">
        <v>0</v>
      </c>
      <c r="I423" s="39">
        <v>0</v>
      </c>
      <c r="J423" s="39">
        <v>0</v>
      </c>
      <c r="K423">
        <v>260</v>
      </c>
      <c r="L423">
        <v>409</v>
      </c>
      <c r="M423">
        <v>186</v>
      </c>
      <c r="N423">
        <v>459</v>
      </c>
      <c r="O423">
        <v>0</v>
      </c>
      <c r="P423">
        <v>0</v>
      </c>
      <c r="Q423">
        <v>0</v>
      </c>
      <c r="R423">
        <v>0</v>
      </c>
      <c r="S423">
        <v>0</v>
      </c>
      <c r="T423">
        <v>0</v>
      </c>
      <c r="U423">
        <v>0</v>
      </c>
      <c r="V423">
        <v>0</v>
      </c>
      <c r="W423">
        <v>0</v>
      </c>
      <c r="X423">
        <v>0</v>
      </c>
      <c r="Y423">
        <v>0</v>
      </c>
      <c r="Z423">
        <v>0</v>
      </c>
      <c r="AA423">
        <v>0</v>
      </c>
      <c r="AD423" t="s">
        <v>1137</v>
      </c>
      <c r="AE423" s="19">
        <v>550</v>
      </c>
      <c r="AF423">
        <v>1773</v>
      </c>
      <c r="AG423">
        <v>494</v>
      </c>
      <c r="AH423">
        <v>1693</v>
      </c>
    </row>
    <row r="424" spans="1:34" hidden="1">
      <c r="B424" s="39"/>
      <c r="C424" s="39"/>
      <c r="D424" s="39"/>
      <c r="E424" s="39"/>
      <c r="F424" s="39"/>
      <c r="G424" s="39"/>
      <c r="H424" s="39"/>
      <c r="I424" s="39"/>
      <c r="AD424" t="s">
        <v>1089</v>
      </c>
      <c r="AE424" s="19">
        <v>925</v>
      </c>
      <c r="AF424">
        <v>8876</v>
      </c>
      <c r="AG424">
        <v>891</v>
      </c>
      <c r="AH424">
        <v>8887</v>
      </c>
    </row>
    <row r="425" spans="1:34"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c r="AD425" t="s">
        <v>1204</v>
      </c>
      <c r="AE425" s="19">
        <v>1375</v>
      </c>
      <c r="AF425">
        <v>3541</v>
      </c>
      <c r="AG425">
        <v>1348</v>
      </c>
      <c r="AH425">
        <v>3357</v>
      </c>
    </row>
    <row r="426" spans="1:34" hidden="1">
      <c r="B426" s="39"/>
      <c r="C426" s="39"/>
      <c r="D426" s="39"/>
      <c r="E426" s="39"/>
      <c r="F426" s="39"/>
      <c r="G426" s="39"/>
      <c r="H426" s="39"/>
      <c r="I426" s="39"/>
      <c r="AD426" t="s">
        <v>1093</v>
      </c>
      <c r="AE426" s="19">
        <v>770</v>
      </c>
      <c r="AF426">
        <v>2206</v>
      </c>
      <c r="AG426">
        <v>708</v>
      </c>
      <c r="AH426">
        <v>2045</v>
      </c>
    </row>
    <row r="427" spans="1:34" hidden="1">
      <c r="B427" s="39"/>
      <c r="C427" s="39"/>
      <c r="D427" s="39"/>
      <c r="E427" s="39"/>
      <c r="F427" s="39"/>
      <c r="G427" s="39"/>
      <c r="H427" s="39"/>
      <c r="I427" s="39"/>
      <c r="AD427" t="s">
        <v>1098</v>
      </c>
      <c r="AE427" s="19">
        <v>1104</v>
      </c>
      <c r="AF427">
        <v>3593</v>
      </c>
      <c r="AG427">
        <v>1145</v>
      </c>
      <c r="AH427">
        <v>3700</v>
      </c>
    </row>
    <row r="428" spans="1:34" hidden="1">
      <c r="B428" s="39"/>
      <c r="C428" s="39"/>
      <c r="D428" s="39"/>
      <c r="E428" s="39"/>
      <c r="F428" s="39"/>
      <c r="G428" s="39"/>
      <c r="H428" s="39"/>
      <c r="J428" s="39"/>
      <c r="AD428" t="s">
        <v>1044</v>
      </c>
      <c r="AE428" s="19">
        <v>1299</v>
      </c>
      <c r="AF428">
        <v>2917</v>
      </c>
      <c r="AG428">
        <v>1294</v>
      </c>
      <c r="AH428">
        <v>2694</v>
      </c>
    </row>
    <row r="429" spans="1:34" ht="18.75" hidden="1" customHeight="1">
      <c r="B429" s="39"/>
      <c r="C429" s="39"/>
      <c r="D429" s="39"/>
      <c r="E429" s="39"/>
      <c r="F429" s="39"/>
      <c r="G429" s="39"/>
      <c r="H429" s="39"/>
      <c r="I429" s="39"/>
      <c r="AD429" t="s">
        <v>1125</v>
      </c>
      <c r="AE429" s="19">
        <v>930</v>
      </c>
      <c r="AF429">
        <v>3702</v>
      </c>
      <c r="AG429">
        <v>856</v>
      </c>
      <c r="AH429">
        <v>3015</v>
      </c>
    </row>
    <row r="430" spans="1:34">
      <c r="B430" s="39"/>
      <c r="C430" s="39"/>
      <c r="D430" s="39"/>
      <c r="E430" s="39"/>
      <c r="F430" s="39"/>
      <c r="G430" s="39"/>
      <c r="H430" s="39"/>
      <c r="I430" s="39"/>
      <c r="AD430" t="s">
        <v>1220</v>
      </c>
      <c r="AE430" s="19">
        <v>531</v>
      </c>
      <c r="AF430">
        <v>1889</v>
      </c>
      <c r="AG430">
        <v>382</v>
      </c>
      <c r="AH430">
        <v>1239</v>
      </c>
    </row>
    <row r="431" spans="1:34" ht="12.75" customHeight="1">
      <c r="AD431" s="37" t="s">
        <v>1198</v>
      </c>
      <c r="AE431" s="145">
        <v>1122</v>
      </c>
      <c r="AF431">
        <v>4381</v>
      </c>
      <c r="AG431">
        <v>741</v>
      </c>
      <c r="AH431">
        <v>3467</v>
      </c>
    </row>
    <row r="432" spans="1:34">
      <c r="A432" s="40" t="s">
        <v>1461</v>
      </c>
      <c r="B432" s="41" t="s">
        <v>1462</v>
      </c>
      <c r="C432" s="42" t="s">
        <v>1463</v>
      </c>
      <c r="D432" s="40" t="s">
        <v>1464</v>
      </c>
      <c r="E432" s="41" t="s">
        <v>1465</v>
      </c>
      <c r="F432" s="42" t="s">
        <v>1466</v>
      </c>
      <c r="G432" s="43" t="s">
        <v>1467</v>
      </c>
      <c r="H432" s="44" t="s">
        <v>1468</v>
      </c>
      <c r="I432" s="45" t="s">
        <v>1469</v>
      </c>
      <c r="J432" s="42" t="s">
        <v>1470</v>
      </c>
      <c r="K432" s="52" t="s">
        <v>1471</v>
      </c>
      <c r="L432" s="45" t="s">
        <v>1472</v>
      </c>
      <c r="M432" s="52" t="s">
        <v>1473</v>
      </c>
      <c r="N432" s="42" t="s">
        <v>1474</v>
      </c>
      <c r="O432" s="152" t="s">
        <v>1475</v>
      </c>
      <c r="P432" s="42" t="s">
        <v>1476</v>
      </c>
      <c r="Q432" s="45" t="s">
        <v>1477</v>
      </c>
      <c r="R432" s="152" t="s">
        <v>1478</v>
      </c>
      <c r="S432" s="42" t="s">
        <v>10</v>
      </c>
      <c r="T432" s="45" t="s">
        <v>1479</v>
      </c>
      <c r="AD432" s="27" t="s">
        <v>1127</v>
      </c>
      <c r="AE432" s="19">
        <v>325</v>
      </c>
      <c r="AF432">
        <v>3278</v>
      </c>
      <c r="AG432">
        <v>355</v>
      </c>
      <c r="AH432">
        <v>2834</v>
      </c>
    </row>
    <row r="433" spans="1:34">
      <c r="A433" s="46">
        <f t="shared" ref="A433:L433" si="1">O425/B425</f>
        <v>0.23766867074810491</v>
      </c>
      <c r="B433" s="47">
        <f t="shared" si="1"/>
        <v>0.23512254466103483</v>
      </c>
      <c r="C433" s="48">
        <f t="shared" si="1"/>
        <v>0.22321587377192004</v>
      </c>
      <c r="D433" s="46">
        <f t="shared" si="1"/>
        <v>0.22286411108917126</v>
      </c>
      <c r="E433" s="47">
        <f t="shared" si="1"/>
        <v>0.23518985959503899</v>
      </c>
      <c r="F433" s="48">
        <f t="shared" si="1"/>
        <v>0.2284846065729291</v>
      </c>
      <c r="G433" s="49">
        <f t="shared" si="1"/>
        <v>0.25431799544130079</v>
      </c>
      <c r="H433" s="50">
        <f t="shared" si="1"/>
        <v>0.25263021906879796</v>
      </c>
      <c r="I433" s="51">
        <f t="shared" si="1"/>
        <v>0.27559785699320583</v>
      </c>
      <c r="J433" s="48">
        <f t="shared" si="1"/>
        <v>0.28248952000158589</v>
      </c>
      <c r="K433" s="53">
        <f t="shared" si="1"/>
        <v>0.28460757844528012</v>
      </c>
      <c r="L433" s="51">
        <f t="shared" si="1"/>
        <v>0.26761354721576774</v>
      </c>
      <c r="M433" s="53">
        <f>AA425/N425</f>
        <v>0.25655326446267845</v>
      </c>
      <c r="N433" s="48">
        <f>AE488/AF488</f>
        <v>0.26586442556975021</v>
      </c>
      <c r="O433" s="153">
        <f>AG488/AH488</f>
        <v>0.2691583864802044</v>
      </c>
      <c r="P433" s="48">
        <f>AI488/AJ488</f>
        <v>0.2696972893725334</v>
      </c>
      <c r="Q433" s="51">
        <f>AL488/AK488</f>
        <v>0.26180803845821882</v>
      </c>
      <c r="R433" s="153">
        <v>0.27239999999999998</v>
      </c>
      <c r="S433" s="48">
        <v>0.28406653769105228</v>
      </c>
      <c r="T433" s="51">
        <v>0.26958061467591166</v>
      </c>
      <c r="AD433" s="27" t="s">
        <v>1236</v>
      </c>
      <c r="AE433" s="19">
        <v>1173</v>
      </c>
      <c r="AF433">
        <v>13082</v>
      </c>
      <c r="AG433">
        <v>1294</v>
      </c>
      <c r="AH433">
        <v>13075</v>
      </c>
    </row>
    <row r="434" spans="1:34">
      <c r="A434" s="46"/>
      <c r="B434" s="47"/>
      <c r="C434" s="48"/>
      <c r="D434" s="46"/>
      <c r="E434" s="47"/>
      <c r="F434" s="48"/>
      <c r="G434" s="49"/>
      <c r="H434" s="50"/>
      <c r="I434" s="51"/>
      <c r="J434" s="48"/>
      <c r="K434" s="53"/>
      <c r="L434" s="51"/>
      <c r="M434" s="53"/>
      <c r="N434" s="48"/>
      <c r="O434" s="152"/>
      <c r="P434" s="48"/>
      <c r="Q434" s="51"/>
      <c r="R434" s="152"/>
      <c r="S434" s="48"/>
      <c r="T434" s="51"/>
      <c r="AD434" t="s">
        <v>1317</v>
      </c>
      <c r="AE434" s="19">
        <v>0</v>
      </c>
    </row>
    <row r="435" spans="1:34">
      <c r="AE435" s="19">
        <v>0</v>
      </c>
    </row>
    <row r="436" spans="1:34">
      <c r="AE436" s="19">
        <v>0</v>
      </c>
    </row>
    <row r="437" spans="1:34">
      <c r="AD437" t="s">
        <v>1056</v>
      </c>
      <c r="AE437" s="19">
        <v>1253</v>
      </c>
      <c r="AF437">
        <v>3107</v>
      </c>
      <c r="AG437">
        <v>1273</v>
      </c>
      <c r="AH437">
        <v>3054</v>
      </c>
    </row>
    <row r="438" spans="1:34">
      <c r="AE438" s="19"/>
    </row>
    <row r="439" spans="1:34">
      <c r="AD439" t="s">
        <v>1153</v>
      </c>
      <c r="AE439" s="19">
        <v>566</v>
      </c>
      <c r="AF439">
        <v>2475</v>
      </c>
      <c r="AG439">
        <v>531</v>
      </c>
      <c r="AH439">
        <v>2223</v>
      </c>
    </row>
    <row r="440" spans="1:34">
      <c r="AD440" t="s">
        <v>1196</v>
      </c>
      <c r="AE440" s="19">
        <v>601</v>
      </c>
      <c r="AF440">
        <v>2371</v>
      </c>
      <c r="AG440">
        <v>444</v>
      </c>
      <c r="AH440">
        <v>1884</v>
      </c>
    </row>
    <row r="441" spans="1:34">
      <c r="AD441" t="s">
        <v>1121</v>
      </c>
      <c r="AE441" s="19">
        <v>375</v>
      </c>
      <c r="AF441">
        <v>2654</v>
      </c>
      <c r="AG441">
        <v>317</v>
      </c>
      <c r="AH441">
        <v>2644</v>
      </c>
    </row>
    <row r="442" spans="1:34">
      <c r="AD442" t="s">
        <v>1188</v>
      </c>
      <c r="AE442" s="19">
        <v>17</v>
      </c>
      <c r="AF442">
        <v>75</v>
      </c>
      <c r="AG442">
        <v>31</v>
      </c>
      <c r="AH442">
        <v>81</v>
      </c>
    </row>
    <row r="443" spans="1:34">
      <c r="AD443" t="s">
        <v>1192</v>
      </c>
      <c r="AE443" s="19">
        <v>0</v>
      </c>
      <c r="AF443">
        <v>656</v>
      </c>
      <c r="AG443">
        <v>162</v>
      </c>
      <c r="AH443">
        <v>702</v>
      </c>
    </row>
    <row r="444" spans="1:34">
      <c r="AD444" t="s">
        <v>1111</v>
      </c>
      <c r="AE444" s="19">
        <v>966</v>
      </c>
      <c r="AF444">
        <v>1681</v>
      </c>
      <c r="AG444">
        <v>903</v>
      </c>
      <c r="AH444">
        <v>1681</v>
      </c>
    </row>
    <row r="445" spans="1:34">
      <c r="AD445" t="s">
        <v>1173</v>
      </c>
      <c r="AE445" s="19">
        <v>22</v>
      </c>
      <c r="AF445">
        <v>170</v>
      </c>
      <c r="AG445">
        <v>8</v>
      </c>
      <c r="AH445">
        <v>146</v>
      </c>
    </row>
    <row r="446" spans="1:34">
      <c r="AD446" t="s">
        <v>1105</v>
      </c>
      <c r="AE446" s="19">
        <v>1292</v>
      </c>
      <c r="AF446">
        <v>3882</v>
      </c>
      <c r="AG446">
        <v>1188</v>
      </c>
      <c r="AH446">
        <v>3764</v>
      </c>
    </row>
    <row r="447" spans="1:34">
      <c r="AD447" t="s">
        <v>1257</v>
      </c>
      <c r="AE447" s="19">
        <v>840</v>
      </c>
      <c r="AF447">
        <v>4795</v>
      </c>
      <c r="AG447">
        <v>954</v>
      </c>
      <c r="AH447">
        <v>4619</v>
      </c>
    </row>
    <row r="448" spans="1:34">
      <c r="AD448" t="s">
        <v>1186</v>
      </c>
      <c r="AE448" s="19">
        <v>142</v>
      </c>
      <c r="AF448">
        <v>864</v>
      </c>
      <c r="AG448">
        <v>168</v>
      </c>
      <c r="AH448">
        <v>824</v>
      </c>
    </row>
    <row r="449" spans="30:34">
      <c r="AD449" s="37" t="s">
        <v>1129</v>
      </c>
      <c r="AE449" s="145">
        <v>131</v>
      </c>
      <c r="AF449">
        <v>712</v>
      </c>
      <c r="AG449">
        <v>112</v>
      </c>
      <c r="AH449">
        <v>685</v>
      </c>
    </row>
    <row r="450" spans="30:34">
      <c r="AD450" t="s">
        <v>1147</v>
      </c>
      <c r="AE450" s="19">
        <v>0</v>
      </c>
      <c r="AF450">
        <v>97</v>
      </c>
      <c r="AG450">
        <v>2</v>
      </c>
      <c r="AH450">
        <v>1506</v>
      </c>
    </row>
    <row r="451" spans="30:34">
      <c r="AD451" t="s">
        <v>1171</v>
      </c>
      <c r="AE451" s="19">
        <v>683</v>
      </c>
      <c r="AF451">
        <v>1859</v>
      </c>
      <c r="AG451">
        <v>789</v>
      </c>
      <c r="AH451">
        <v>2046</v>
      </c>
    </row>
    <row r="452" spans="30:34">
      <c r="AD452" t="s">
        <v>1155</v>
      </c>
      <c r="AE452" s="19">
        <v>276</v>
      </c>
      <c r="AF452">
        <v>1244</v>
      </c>
      <c r="AG452">
        <v>293</v>
      </c>
      <c r="AH452">
        <v>1147</v>
      </c>
    </row>
    <row r="453" spans="30:34">
      <c r="AD453" t="s">
        <v>1157</v>
      </c>
      <c r="AE453" s="19">
        <v>295</v>
      </c>
      <c r="AF453">
        <v>1136</v>
      </c>
      <c r="AG453">
        <v>343</v>
      </c>
      <c r="AH453">
        <v>1641</v>
      </c>
    </row>
    <row r="454" spans="30:34">
      <c r="AD454" t="s">
        <v>1318</v>
      </c>
      <c r="AE454" s="19">
        <v>279</v>
      </c>
      <c r="AF454">
        <v>441</v>
      </c>
      <c r="AG454">
        <v>203</v>
      </c>
      <c r="AH454">
        <v>400</v>
      </c>
    </row>
    <row r="455" spans="30:34">
      <c r="AD455" t="s">
        <v>1081</v>
      </c>
      <c r="AE455" s="19">
        <v>1946</v>
      </c>
      <c r="AF455">
        <v>7171</v>
      </c>
      <c r="AG455">
        <v>1777</v>
      </c>
      <c r="AH455">
        <v>5772</v>
      </c>
    </row>
    <row r="456" spans="30:34">
      <c r="AD456" t="s">
        <v>1107</v>
      </c>
      <c r="AE456" s="19">
        <v>1462</v>
      </c>
      <c r="AF456">
        <v>5018</v>
      </c>
      <c r="AG456">
        <v>1152</v>
      </c>
      <c r="AH456">
        <v>4407</v>
      </c>
    </row>
    <row r="457" spans="30:34">
      <c r="AD457" t="s">
        <v>1030</v>
      </c>
      <c r="AE457" s="19">
        <v>2083</v>
      </c>
      <c r="AF457">
        <v>5548</v>
      </c>
      <c r="AG457">
        <v>2042</v>
      </c>
      <c r="AH457">
        <v>5663</v>
      </c>
    </row>
    <row r="458" spans="30:34">
      <c r="AD458" s="27" t="s">
        <v>1109</v>
      </c>
      <c r="AE458" s="19">
        <v>336</v>
      </c>
      <c r="AF458">
        <v>1519</v>
      </c>
      <c r="AG458">
        <v>352</v>
      </c>
      <c r="AH458">
        <v>1583</v>
      </c>
    </row>
    <row r="459" spans="30:34">
      <c r="AD459" t="s">
        <v>1151</v>
      </c>
      <c r="AE459" s="19">
        <v>1332</v>
      </c>
      <c r="AF459">
        <v>3144</v>
      </c>
      <c r="AG459">
        <v>1166</v>
      </c>
      <c r="AH459">
        <v>2653</v>
      </c>
    </row>
    <row r="460" spans="30:34">
      <c r="AD460" t="s">
        <v>1167</v>
      </c>
      <c r="AE460" s="19">
        <v>796</v>
      </c>
      <c r="AF460">
        <v>2372</v>
      </c>
      <c r="AG460">
        <v>656</v>
      </c>
      <c r="AH460">
        <v>2225</v>
      </c>
    </row>
    <row r="461" spans="30:34">
      <c r="AD461" t="s">
        <v>1259</v>
      </c>
      <c r="AE461" s="19">
        <v>3891</v>
      </c>
      <c r="AF461">
        <v>11080</v>
      </c>
      <c r="AG461">
        <v>3754</v>
      </c>
      <c r="AH461">
        <v>10592</v>
      </c>
    </row>
    <row r="462" spans="30:34">
      <c r="AD462" t="s">
        <v>1075</v>
      </c>
      <c r="AE462" s="19">
        <v>1452</v>
      </c>
      <c r="AF462">
        <v>4180</v>
      </c>
      <c r="AG462">
        <v>1291</v>
      </c>
      <c r="AH462">
        <v>3452</v>
      </c>
    </row>
    <row r="463" spans="30:34">
      <c r="AD463" t="s">
        <v>1234</v>
      </c>
      <c r="AE463" s="19">
        <v>1547</v>
      </c>
      <c r="AF463">
        <v>8203</v>
      </c>
      <c r="AG463">
        <v>1368</v>
      </c>
      <c r="AH463">
        <v>9377</v>
      </c>
    </row>
    <row r="464" spans="30:34">
      <c r="AD464" t="s">
        <v>1096</v>
      </c>
      <c r="AE464" s="19">
        <v>303</v>
      </c>
      <c r="AF464">
        <v>2468</v>
      </c>
      <c r="AG464">
        <v>327</v>
      </c>
      <c r="AH464">
        <v>2674</v>
      </c>
    </row>
    <row r="465" spans="30:34">
      <c r="AD465" t="s">
        <v>1032</v>
      </c>
      <c r="AE465" s="19">
        <v>1797</v>
      </c>
      <c r="AF465">
        <v>3968</v>
      </c>
      <c r="AG465">
        <v>1837</v>
      </c>
      <c r="AH465">
        <v>3753</v>
      </c>
    </row>
    <row r="466" spans="30:34">
      <c r="AD466" t="s">
        <v>1184</v>
      </c>
      <c r="AE466" s="19">
        <v>313</v>
      </c>
      <c r="AF466">
        <v>1233</v>
      </c>
      <c r="AG466">
        <v>123</v>
      </c>
      <c r="AH466">
        <v>505</v>
      </c>
    </row>
    <row r="467" spans="30:34">
      <c r="AD467" t="s">
        <v>1119</v>
      </c>
      <c r="AE467" s="19">
        <v>742</v>
      </c>
      <c r="AF467">
        <v>2328</v>
      </c>
      <c r="AG467">
        <v>760</v>
      </c>
      <c r="AH467">
        <v>2605</v>
      </c>
    </row>
    <row r="468" spans="30:34">
      <c r="AD468" t="s">
        <v>1228</v>
      </c>
      <c r="AE468" s="19">
        <v>356</v>
      </c>
      <c r="AF468">
        <v>678</v>
      </c>
      <c r="AG468">
        <v>312</v>
      </c>
      <c r="AH468">
        <v>640</v>
      </c>
    </row>
    <row r="469" spans="30:34">
      <c r="AD469" t="s">
        <v>1242</v>
      </c>
      <c r="AE469" s="19">
        <v>1874</v>
      </c>
      <c r="AF469">
        <v>7170</v>
      </c>
      <c r="AG469">
        <v>1651</v>
      </c>
      <c r="AH469">
        <v>6647</v>
      </c>
    </row>
    <row r="470" spans="30:34">
      <c r="AD470" t="s">
        <v>1179</v>
      </c>
      <c r="AE470" s="19">
        <v>434</v>
      </c>
      <c r="AF470">
        <v>1699</v>
      </c>
      <c r="AG470">
        <v>16</v>
      </c>
      <c r="AH470">
        <v>15</v>
      </c>
    </row>
    <row r="471" spans="30:34">
      <c r="AD471" t="s">
        <v>1159</v>
      </c>
      <c r="AE471" s="19">
        <v>922</v>
      </c>
      <c r="AF471">
        <v>2223</v>
      </c>
      <c r="AG471">
        <v>818</v>
      </c>
      <c r="AH471">
        <v>2568</v>
      </c>
    </row>
    <row r="472" spans="30:34">
      <c r="AD472" t="s">
        <v>1077</v>
      </c>
      <c r="AE472" s="19">
        <v>1303</v>
      </c>
      <c r="AF472">
        <v>8739</v>
      </c>
      <c r="AG472">
        <v>1458</v>
      </c>
      <c r="AH472">
        <v>8971</v>
      </c>
    </row>
    <row r="473" spans="30:34">
      <c r="AD473" t="s">
        <v>1200</v>
      </c>
      <c r="AE473" s="19">
        <v>1967</v>
      </c>
      <c r="AF473">
        <v>6950</v>
      </c>
      <c r="AG473">
        <v>2394</v>
      </c>
      <c r="AH473">
        <v>8538</v>
      </c>
    </row>
    <row r="474" spans="30:34">
      <c r="AD474" t="s">
        <v>1050</v>
      </c>
      <c r="AE474" s="19">
        <v>2648</v>
      </c>
      <c r="AF474">
        <v>5829</v>
      </c>
      <c r="AG474">
        <v>2540</v>
      </c>
      <c r="AH474">
        <v>5875</v>
      </c>
    </row>
    <row r="475" spans="30:34">
      <c r="AD475" t="s">
        <v>1091</v>
      </c>
      <c r="AE475" s="19">
        <v>1099</v>
      </c>
      <c r="AF475">
        <v>3946</v>
      </c>
      <c r="AG475">
        <v>805</v>
      </c>
      <c r="AH475">
        <v>3422</v>
      </c>
    </row>
    <row r="476" spans="30:34">
      <c r="AD476" t="s">
        <v>1067</v>
      </c>
      <c r="AE476" s="19">
        <v>3298</v>
      </c>
      <c r="AF476">
        <v>9439</v>
      </c>
      <c r="AG476">
        <v>3094</v>
      </c>
      <c r="AH476">
        <v>8484</v>
      </c>
    </row>
    <row r="477" spans="30:34">
      <c r="AD477" t="s">
        <v>1175</v>
      </c>
      <c r="AE477" s="19">
        <v>355</v>
      </c>
      <c r="AF477">
        <v>1594</v>
      </c>
      <c r="AG477">
        <v>332</v>
      </c>
      <c r="AH477">
        <v>1652</v>
      </c>
    </row>
    <row r="478" spans="30:34">
      <c r="AD478" t="s">
        <v>1139</v>
      </c>
      <c r="AE478" s="19">
        <v>4192</v>
      </c>
      <c r="AF478">
        <v>14541</v>
      </c>
      <c r="AG478">
        <v>4135</v>
      </c>
      <c r="AH478">
        <v>13649</v>
      </c>
    </row>
    <row r="479" spans="30:34">
      <c r="AD479" t="s">
        <v>1028</v>
      </c>
      <c r="AE479" s="19">
        <v>5893</v>
      </c>
      <c r="AF479">
        <v>16635</v>
      </c>
      <c r="AG479">
        <v>6172</v>
      </c>
      <c r="AH479">
        <v>17200</v>
      </c>
    </row>
    <row r="480" spans="30:34">
      <c r="AD480" t="s">
        <v>1058</v>
      </c>
      <c r="AE480" s="19">
        <v>1168</v>
      </c>
      <c r="AF480">
        <v>6111</v>
      </c>
      <c r="AG480">
        <v>1334</v>
      </c>
      <c r="AH480">
        <v>6479</v>
      </c>
    </row>
    <row r="481" spans="30:38">
      <c r="AD481" t="s">
        <v>1073</v>
      </c>
      <c r="AE481" s="19">
        <v>660</v>
      </c>
      <c r="AF481">
        <v>2399</v>
      </c>
      <c r="AG481">
        <v>577</v>
      </c>
      <c r="AH481">
        <v>2079</v>
      </c>
    </row>
    <row r="482" spans="30:38">
      <c r="AD482" t="s">
        <v>1113</v>
      </c>
      <c r="AE482" s="19">
        <v>1341</v>
      </c>
      <c r="AF482">
        <v>4218</v>
      </c>
      <c r="AG482">
        <v>1501</v>
      </c>
      <c r="AH482">
        <v>4158</v>
      </c>
    </row>
    <row r="483" spans="30:38">
      <c r="AD483" t="s">
        <v>1085</v>
      </c>
      <c r="AE483" s="19">
        <v>3129</v>
      </c>
      <c r="AF483">
        <v>9988</v>
      </c>
      <c r="AG483">
        <v>3119</v>
      </c>
      <c r="AH483">
        <v>10232</v>
      </c>
    </row>
    <row r="484" spans="30:38">
      <c r="AD484" t="s">
        <v>1048</v>
      </c>
      <c r="AE484" s="19">
        <v>3780</v>
      </c>
      <c r="AF484">
        <v>9966</v>
      </c>
      <c r="AG484">
        <v>4347</v>
      </c>
      <c r="AH484">
        <v>11844</v>
      </c>
    </row>
    <row r="485" spans="30:38">
      <c r="AD485" t="s">
        <v>1268</v>
      </c>
      <c r="AE485" s="19">
        <v>4424</v>
      </c>
      <c r="AF485">
        <v>19236</v>
      </c>
      <c r="AG485">
        <v>3796</v>
      </c>
      <c r="AH485">
        <v>15646</v>
      </c>
    </row>
    <row r="486" spans="30:38">
      <c r="AD486" t="s">
        <v>1211</v>
      </c>
      <c r="AE486" s="19">
        <v>910</v>
      </c>
      <c r="AF486">
        <v>2546</v>
      </c>
      <c r="AG486">
        <v>640</v>
      </c>
      <c r="AH486">
        <v>1546</v>
      </c>
    </row>
    <row r="488" spans="30:38">
      <c r="AE488" s="25">
        <f>SUM(AE2:AE486)</f>
        <v>998117</v>
      </c>
      <c r="AF488" s="25">
        <f>SUM(AF2:AF486)</f>
        <v>3754233</v>
      </c>
      <c r="AG488" s="25">
        <f t="shared" ref="AG488:AH488" si="2">SUM(AG2:AG486)</f>
        <v>896741</v>
      </c>
      <c r="AH488" s="25">
        <f t="shared" si="2"/>
        <v>3331648</v>
      </c>
      <c r="AI488">
        <v>997052</v>
      </c>
      <c r="AJ488">
        <v>3696930</v>
      </c>
      <c r="AK488">
        <v>3823370</v>
      </c>
      <c r="AL488">
        <v>1000989</v>
      </c>
    </row>
  </sheetData>
  <autoFilter ref="AG1:AG488" xr:uid="{D1C2AC53-AB10-45FA-8884-38249F8AB2BF}"/>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1285</v>
      </c>
      <c r="B1" t="s">
        <v>1283</v>
      </c>
    </row>
    <row r="2" spans="1:2">
      <c r="A2" t="s">
        <v>27</v>
      </c>
      <c r="B2" t="s">
        <v>1357</v>
      </c>
    </row>
    <row r="3" spans="1:2">
      <c r="A3" t="s">
        <v>73</v>
      </c>
      <c r="B3" t="s">
        <v>1357</v>
      </c>
    </row>
    <row r="4" spans="1:2">
      <c r="A4" t="s">
        <v>1480</v>
      </c>
      <c r="B4" t="s">
        <v>1357</v>
      </c>
    </row>
    <row r="5" spans="1:2">
      <c r="A5" t="s">
        <v>674</v>
      </c>
      <c r="B5" t="s">
        <v>1357</v>
      </c>
    </row>
    <row r="6" spans="1:2">
      <c r="A6" t="s">
        <v>1481</v>
      </c>
      <c r="B6" t="s">
        <v>1357</v>
      </c>
    </row>
    <row r="7" spans="1:2">
      <c r="A7" t="s">
        <v>33</v>
      </c>
      <c r="B7" t="s">
        <v>1357</v>
      </c>
    </row>
    <row r="8" spans="1:2">
      <c r="A8" t="s">
        <v>21</v>
      </c>
      <c r="B8" t="s">
        <v>1357</v>
      </c>
    </row>
    <row r="9" spans="1:2">
      <c r="A9" t="s">
        <v>532</v>
      </c>
      <c r="B9" t="s">
        <v>1357</v>
      </c>
    </row>
    <row r="10" spans="1:2">
      <c r="A10" t="s">
        <v>1304</v>
      </c>
      <c r="B10" t="s">
        <v>1357</v>
      </c>
    </row>
    <row r="11" spans="1:2">
      <c r="A11" t="s">
        <v>75</v>
      </c>
      <c r="B11" t="s">
        <v>1357</v>
      </c>
    </row>
    <row r="12" spans="1:2">
      <c r="A12" t="s">
        <v>692</v>
      </c>
      <c r="B12" t="s">
        <v>1357</v>
      </c>
    </row>
    <row r="13" spans="1:2">
      <c r="A13" t="s">
        <v>396</v>
      </c>
      <c r="B13" t="s">
        <v>1357</v>
      </c>
    </row>
    <row r="14" spans="1:2">
      <c r="A14" t="s">
        <v>488</v>
      </c>
      <c r="B14" t="s">
        <v>1357</v>
      </c>
    </row>
    <row r="15" spans="1:2">
      <c r="A15" t="s">
        <v>362</v>
      </c>
      <c r="B15" t="s">
        <v>1357</v>
      </c>
    </row>
    <row r="16" spans="1:2">
      <c r="A16" t="s">
        <v>1482</v>
      </c>
      <c r="B16" t="s">
        <v>1357</v>
      </c>
    </row>
    <row r="17" spans="1:2">
      <c r="A17" t="s">
        <v>244</v>
      </c>
      <c r="B17" t="s">
        <v>1357</v>
      </c>
    </row>
    <row r="18" spans="1:2">
      <c r="A18" t="s">
        <v>494</v>
      </c>
      <c r="B18" t="s">
        <v>1357</v>
      </c>
    </row>
    <row r="19" spans="1:2">
      <c r="A19" t="s">
        <v>114</v>
      </c>
      <c r="B19" t="s">
        <v>1357</v>
      </c>
    </row>
    <row r="20" spans="1:2">
      <c r="A20" t="s">
        <v>1483</v>
      </c>
      <c r="B20" t="s">
        <v>1357</v>
      </c>
    </row>
    <row r="21" spans="1:2">
      <c r="A21" t="s">
        <v>334</v>
      </c>
      <c r="B21" t="s">
        <v>1357</v>
      </c>
    </row>
    <row r="22" spans="1:2">
      <c r="A22" t="s">
        <v>418</v>
      </c>
      <c r="B22" t="s">
        <v>1357</v>
      </c>
    </row>
    <row r="23" spans="1:2">
      <c r="A23" t="s">
        <v>1484</v>
      </c>
      <c r="B23" t="s">
        <v>1357</v>
      </c>
    </row>
    <row r="24" spans="1:2">
      <c r="A24" t="s">
        <v>156</v>
      </c>
      <c r="B24" t="s">
        <v>1357</v>
      </c>
    </row>
    <row r="25" spans="1:2">
      <c r="A25" t="s">
        <v>610</v>
      </c>
      <c r="B25" t="s">
        <v>1357</v>
      </c>
    </row>
    <row r="26" spans="1:2">
      <c r="A26" t="s">
        <v>666</v>
      </c>
      <c r="B26" t="s">
        <v>1357</v>
      </c>
    </row>
    <row r="27" spans="1:2">
      <c r="A27" t="s">
        <v>496</v>
      </c>
      <c r="B27" t="s">
        <v>1357</v>
      </c>
    </row>
    <row r="28" spans="1:2">
      <c r="A28" t="s">
        <v>670</v>
      </c>
      <c r="B28" t="s">
        <v>1357</v>
      </c>
    </row>
    <row r="29" spans="1:2">
      <c r="A29" t="s">
        <v>582</v>
      </c>
      <c r="B29" t="s">
        <v>1357</v>
      </c>
    </row>
    <row r="30" spans="1:2">
      <c r="A30" t="s">
        <v>392</v>
      </c>
      <c r="B30" t="s">
        <v>1357</v>
      </c>
    </row>
    <row r="31" spans="1:2">
      <c r="A31" t="s">
        <v>1485</v>
      </c>
      <c r="B31" t="s">
        <v>1357</v>
      </c>
    </row>
    <row r="32" spans="1:2">
      <c r="A32" t="s">
        <v>264</v>
      </c>
      <c r="B32" t="s">
        <v>1357</v>
      </c>
    </row>
    <row r="33" spans="1:2">
      <c r="A33" t="s">
        <v>686</v>
      </c>
      <c r="B33" t="s">
        <v>1357</v>
      </c>
    </row>
    <row r="34" spans="1:2">
      <c r="A34" t="s">
        <v>662</v>
      </c>
      <c r="B34" t="s">
        <v>1357</v>
      </c>
    </row>
    <row r="35" spans="1:2">
      <c r="A35" t="s">
        <v>576</v>
      </c>
      <c r="B35" t="s">
        <v>1357</v>
      </c>
    </row>
    <row r="36" spans="1:2">
      <c r="A36" t="s">
        <v>548</v>
      </c>
      <c r="B36" t="s">
        <v>1357</v>
      </c>
    </row>
    <row r="37" spans="1:2">
      <c r="A37" t="s">
        <v>374</v>
      </c>
      <c r="B37" t="s">
        <v>1357</v>
      </c>
    </row>
    <row r="38" spans="1:2">
      <c r="A38" t="s">
        <v>168</v>
      </c>
      <c r="B38" t="s">
        <v>1357</v>
      </c>
    </row>
    <row r="39" spans="1:2">
      <c r="A39" t="s">
        <v>462</v>
      </c>
      <c r="B39" t="s">
        <v>1357</v>
      </c>
    </row>
    <row r="40" spans="1:2">
      <c r="A40" t="s">
        <v>684</v>
      </c>
      <c r="B40" t="s">
        <v>1357</v>
      </c>
    </row>
    <row r="41" spans="1:2">
      <c r="A41" t="s">
        <v>236</v>
      </c>
      <c r="B41" t="s">
        <v>1357</v>
      </c>
    </row>
    <row r="42" spans="1:2">
      <c r="A42" t="s">
        <v>220</v>
      </c>
      <c r="B42" t="s">
        <v>1357</v>
      </c>
    </row>
    <row r="43" spans="1:2">
      <c r="A43" t="s">
        <v>618</v>
      </c>
      <c r="B43" t="s">
        <v>1357</v>
      </c>
    </row>
    <row r="44" spans="1:2">
      <c r="A44" t="s">
        <v>560</v>
      </c>
      <c r="B44" t="s">
        <v>1357</v>
      </c>
    </row>
    <row r="45" spans="1:2">
      <c r="A45" t="s">
        <v>424</v>
      </c>
      <c r="B45" t="s">
        <v>1357</v>
      </c>
    </row>
    <row r="46" spans="1:2">
      <c r="A46" t="s">
        <v>412</v>
      </c>
      <c r="B46" t="s">
        <v>1357</v>
      </c>
    </row>
    <row r="47" spans="1:2">
      <c r="A47" t="s">
        <v>1486</v>
      </c>
      <c r="B47" t="s">
        <v>1357</v>
      </c>
    </row>
    <row r="48" spans="1:2">
      <c r="A48" t="s">
        <v>210</v>
      </c>
      <c r="B48" t="s">
        <v>1357</v>
      </c>
    </row>
    <row r="49" spans="1:2">
      <c r="A49" t="s">
        <v>1398</v>
      </c>
      <c r="B49" t="s">
        <v>1357</v>
      </c>
    </row>
    <row r="50" spans="1:2">
      <c r="A50" t="s">
        <v>472</v>
      </c>
      <c r="B50" t="s">
        <v>1357</v>
      </c>
    </row>
    <row r="51" spans="1:2">
      <c r="A51" t="s">
        <v>404</v>
      </c>
      <c r="B51" t="s">
        <v>1357</v>
      </c>
    </row>
    <row r="52" spans="1:2">
      <c r="A52" t="s">
        <v>280</v>
      </c>
      <c r="B52" t="s">
        <v>1357</v>
      </c>
    </row>
    <row r="53" spans="1:2">
      <c r="A53" t="s">
        <v>224</v>
      </c>
      <c r="B53" t="s">
        <v>1357</v>
      </c>
    </row>
    <row r="54" spans="1:2">
      <c r="A54" t="s">
        <v>208</v>
      </c>
      <c r="B54" t="s">
        <v>1357</v>
      </c>
    </row>
    <row r="55" spans="1:2">
      <c r="A55" t="s">
        <v>320</v>
      </c>
      <c r="B55" t="s">
        <v>1357</v>
      </c>
    </row>
    <row r="56" spans="1:2">
      <c r="A56" t="s">
        <v>212</v>
      </c>
      <c r="B56" t="s">
        <v>1357</v>
      </c>
    </row>
    <row r="57" spans="1:2">
      <c r="A57" t="s">
        <v>354</v>
      </c>
      <c r="B57" t="s">
        <v>1357</v>
      </c>
    </row>
    <row r="58" spans="1:2">
      <c r="A58" t="s">
        <v>516</v>
      </c>
      <c r="B58" t="s">
        <v>1357</v>
      </c>
    </row>
    <row r="59" spans="1:2">
      <c r="A59" t="s">
        <v>1303</v>
      </c>
      <c r="B59" t="s">
        <v>1357</v>
      </c>
    </row>
    <row r="60" spans="1:2">
      <c r="A60" t="s">
        <v>342</v>
      </c>
      <c r="B60" t="s">
        <v>1357</v>
      </c>
    </row>
    <row r="61" spans="1:2">
      <c r="A61" t="s">
        <v>1487</v>
      </c>
      <c r="B61" t="s">
        <v>1357</v>
      </c>
    </row>
    <row r="62" spans="1:2">
      <c r="A62" t="s">
        <v>690</v>
      </c>
      <c r="B62" t="s">
        <v>1357</v>
      </c>
    </row>
    <row r="63" spans="1:2">
      <c r="A63" t="s">
        <v>1488</v>
      </c>
      <c r="B63" t="s">
        <v>1357</v>
      </c>
    </row>
    <row r="64" spans="1:2">
      <c r="A64" t="s">
        <v>1489</v>
      </c>
      <c r="B64" t="s">
        <v>1357</v>
      </c>
    </row>
    <row r="65" spans="1:2">
      <c r="A65" t="s">
        <v>486</v>
      </c>
      <c r="B65" t="s">
        <v>1357</v>
      </c>
    </row>
    <row r="66" spans="1:2">
      <c r="A66" t="s">
        <v>554</v>
      </c>
      <c r="B66" t="s">
        <v>1357</v>
      </c>
    </row>
    <row r="67" spans="1:2">
      <c r="A67" t="s">
        <v>330</v>
      </c>
      <c r="B67" t="s">
        <v>1357</v>
      </c>
    </row>
    <row r="68" spans="1:2">
      <c r="A68" t="s">
        <v>1490</v>
      </c>
      <c r="B68" t="s">
        <v>1357</v>
      </c>
    </row>
    <row r="69" spans="1:2">
      <c r="A69" t="s">
        <v>270</v>
      </c>
      <c r="B69" t="s">
        <v>1357</v>
      </c>
    </row>
    <row r="70" spans="1:2">
      <c r="A70" t="s">
        <v>306</v>
      </c>
      <c r="B70" t="s">
        <v>1357</v>
      </c>
    </row>
    <row r="71" spans="1:2">
      <c r="A71" t="s">
        <v>268</v>
      </c>
      <c r="B71" t="s">
        <v>1357</v>
      </c>
    </row>
    <row r="72" spans="1:2">
      <c r="A72" t="s">
        <v>81</v>
      </c>
      <c r="B72" t="s">
        <v>1357</v>
      </c>
    </row>
    <row r="73" spans="1:2">
      <c r="A73" t="s">
        <v>452</v>
      </c>
      <c r="B73" t="s">
        <v>1357</v>
      </c>
    </row>
    <row r="74" spans="1:2">
      <c r="A74" t="s">
        <v>660</v>
      </c>
      <c r="B74" t="s">
        <v>1357</v>
      </c>
    </row>
    <row r="75" spans="1:2">
      <c r="A75" t="s">
        <v>336</v>
      </c>
      <c r="B75" t="s">
        <v>1357</v>
      </c>
    </row>
    <row r="76" spans="1:2">
      <c r="A76" t="s">
        <v>1491</v>
      </c>
      <c r="B76" t="s">
        <v>1357</v>
      </c>
    </row>
    <row r="77" spans="1:2">
      <c r="A77" t="s">
        <v>628</v>
      </c>
      <c r="B77" t="s">
        <v>1357</v>
      </c>
    </row>
    <row r="78" spans="1:2">
      <c r="A78" t="s">
        <v>1406</v>
      </c>
      <c r="B78" t="s">
        <v>1357</v>
      </c>
    </row>
    <row r="79" spans="1:2">
      <c r="A79" t="s">
        <v>258</v>
      </c>
      <c r="B79" t="s">
        <v>1357</v>
      </c>
    </row>
    <row r="80" spans="1:2">
      <c r="A80" t="s">
        <v>1305</v>
      </c>
      <c r="B80" t="s">
        <v>1357</v>
      </c>
    </row>
    <row r="81" spans="1:2">
      <c r="A81" t="s">
        <v>558</v>
      </c>
      <c r="B81" t="s">
        <v>1357</v>
      </c>
    </row>
    <row r="82" spans="1:2">
      <c r="A82" t="s">
        <v>1492</v>
      </c>
      <c r="B82" t="s">
        <v>1357</v>
      </c>
    </row>
    <row r="83" spans="1:2">
      <c r="A83" t="s">
        <v>138</v>
      </c>
      <c r="B83" t="s">
        <v>1357</v>
      </c>
    </row>
    <row r="84" spans="1:2">
      <c r="A84" t="s">
        <v>408</v>
      </c>
      <c r="B84" t="s">
        <v>1357</v>
      </c>
    </row>
    <row r="85" spans="1:2">
      <c r="A85" t="s">
        <v>1493</v>
      </c>
      <c r="B85" t="s">
        <v>1357</v>
      </c>
    </row>
    <row r="86" spans="1:2">
      <c r="A86" t="s">
        <v>506</v>
      </c>
      <c r="B86" t="s">
        <v>1357</v>
      </c>
    </row>
    <row r="87" spans="1:2">
      <c r="A87" t="s">
        <v>316</v>
      </c>
      <c r="B87" t="s">
        <v>1357</v>
      </c>
    </row>
    <row r="88" spans="1:2">
      <c r="A88" t="s">
        <v>1306</v>
      </c>
      <c r="B88" t="s">
        <v>1357</v>
      </c>
    </row>
    <row r="89" spans="1:2">
      <c r="A89" t="s">
        <v>584</v>
      </c>
      <c r="B89" t="s">
        <v>1357</v>
      </c>
    </row>
    <row r="90" spans="1:2">
      <c r="A90" t="s">
        <v>344</v>
      </c>
      <c r="B90" t="s">
        <v>1357</v>
      </c>
    </row>
    <row r="91" spans="1:2">
      <c r="A91" t="s">
        <v>502</v>
      </c>
      <c r="B91" t="s">
        <v>1357</v>
      </c>
    </row>
    <row r="92" spans="1:2">
      <c r="A92" t="s">
        <v>600</v>
      </c>
      <c r="B92" t="s">
        <v>1357</v>
      </c>
    </row>
    <row r="93" spans="1:2">
      <c r="A93" t="s">
        <v>276</v>
      </c>
      <c r="B93" t="s">
        <v>1357</v>
      </c>
    </row>
    <row r="94" spans="1:2">
      <c r="A94" t="s">
        <v>1405</v>
      </c>
      <c r="B94" t="s">
        <v>1357</v>
      </c>
    </row>
    <row r="95" spans="1:2">
      <c r="A95" t="s">
        <v>352</v>
      </c>
      <c r="B95" t="s">
        <v>1357</v>
      </c>
    </row>
    <row r="96" spans="1:2">
      <c r="A96" t="s">
        <v>142</v>
      </c>
      <c r="B96" t="s">
        <v>1357</v>
      </c>
    </row>
    <row r="97" spans="1:2">
      <c r="A97" t="s">
        <v>364</v>
      </c>
      <c r="B97" t="s">
        <v>1357</v>
      </c>
    </row>
    <row r="98" spans="1:2">
      <c r="A98" t="s">
        <v>566</v>
      </c>
      <c r="B98" t="s">
        <v>1357</v>
      </c>
    </row>
    <row r="99" spans="1:2">
      <c r="A99" t="s">
        <v>1300</v>
      </c>
      <c r="B99" t="s">
        <v>1357</v>
      </c>
    </row>
    <row r="100" spans="1:2">
      <c r="A100" t="s">
        <v>680</v>
      </c>
      <c r="B100" t="s">
        <v>1357</v>
      </c>
    </row>
    <row r="101" spans="1:2">
      <c r="A101" t="s">
        <v>498</v>
      </c>
      <c r="B101" t="s">
        <v>1357</v>
      </c>
    </row>
    <row r="102" spans="1:2">
      <c r="A102" t="s">
        <v>128</v>
      </c>
      <c r="B102" t="s">
        <v>1357</v>
      </c>
    </row>
    <row r="103" spans="1:2">
      <c r="A103" t="s">
        <v>478</v>
      </c>
      <c r="B103" t="s">
        <v>1357</v>
      </c>
    </row>
    <row r="104" spans="1:2">
      <c r="A104" t="s">
        <v>214</v>
      </c>
      <c r="B104" t="s">
        <v>1357</v>
      </c>
    </row>
    <row r="105" spans="1:2">
      <c r="A105" t="s">
        <v>454</v>
      </c>
      <c r="B105" t="s">
        <v>1357</v>
      </c>
    </row>
    <row r="106" spans="1:2">
      <c r="A106" t="s">
        <v>1301</v>
      </c>
      <c r="B106" t="s">
        <v>1357</v>
      </c>
    </row>
    <row r="107" spans="1:2">
      <c r="A107" t="s">
        <v>604</v>
      </c>
      <c r="B107" t="s">
        <v>1357</v>
      </c>
    </row>
    <row r="108" spans="1:2">
      <c r="A108" t="s">
        <v>476</v>
      </c>
      <c r="B108" t="s">
        <v>1357</v>
      </c>
    </row>
    <row r="109" spans="1:2">
      <c r="A109" t="s">
        <v>474</v>
      </c>
      <c r="B109" t="s">
        <v>1357</v>
      </c>
    </row>
    <row r="110" spans="1:2">
      <c r="A110" t="s">
        <v>1494</v>
      </c>
      <c r="B110" t="s">
        <v>1357</v>
      </c>
    </row>
    <row r="111" spans="1:2">
      <c r="A111" t="s">
        <v>436</v>
      </c>
      <c r="B111" t="s">
        <v>1357</v>
      </c>
    </row>
    <row r="112" spans="1:2">
      <c r="A112" t="s">
        <v>500</v>
      </c>
      <c r="B112" t="s">
        <v>1357</v>
      </c>
    </row>
    <row r="113" spans="1:2">
      <c r="A113" t="s">
        <v>442</v>
      </c>
      <c r="B113" t="s">
        <v>1357</v>
      </c>
    </row>
    <row r="114" spans="1:2">
      <c r="A114" t="s">
        <v>148</v>
      </c>
      <c r="B114" t="s">
        <v>1357</v>
      </c>
    </row>
    <row r="115" spans="1:2">
      <c r="A115" t="s">
        <v>256</v>
      </c>
      <c r="B115" t="s">
        <v>1357</v>
      </c>
    </row>
    <row r="116" spans="1:2">
      <c r="A116" t="s">
        <v>530</v>
      </c>
      <c r="B116" t="s">
        <v>1357</v>
      </c>
    </row>
    <row r="117" spans="1:2">
      <c r="A117" t="s">
        <v>632</v>
      </c>
      <c r="B117" t="s">
        <v>1357</v>
      </c>
    </row>
    <row r="118" spans="1:2">
      <c r="A118" t="s">
        <v>382</v>
      </c>
      <c r="B118" t="s">
        <v>1357</v>
      </c>
    </row>
    <row r="119" spans="1:2">
      <c r="A119" t="s">
        <v>1495</v>
      </c>
      <c r="B119" t="s">
        <v>1357</v>
      </c>
    </row>
    <row r="120" spans="1:2">
      <c r="A120" t="s">
        <v>384</v>
      </c>
      <c r="B120" t="s">
        <v>1357</v>
      </c>
    </row>
    <row r="121" spans="1:2">
      <c r="A121" t="s">
        <v>304</v>
      </c>
      <c r="B121" t="s">
        <v>1357</v>
      </c>
    </row>
    <row r="122" spans="1:2">
      <c r="A122" t="s">
        <v>246</v>
      </c>
      <c r="B122" t="s">
        <v>1357</v>
      </c>
    </row>
    <row r="123" spans="1:2">
      <c r="A123" t="s">
        <v>1496</v>
      </c>
      <c r="B123" t="s">
        <v>1357</v>
      </c>
    </row>
    <row r="124" spans="1:2">
      <c r="A124" t="s">
        <v>648</v>
      </c>
      <c r="B124" t="s">
        <v>1357</v>
      </c>
    </row>
    <row r="125" spans="1:2">
      <c r="A125" t="s">
        <v>348</v>
      </c>
      <c r="B125" t="s">
        <v>1357</v>
      </c>
    </row>
    <row r="126" spans="1:2">
      <c r="A126" t="s">
        <v>468</v>
      </c>
      <c r="B126" t="s">
        <v>1357</v>
      </c>
    </row>
    <row r="127" spans="1:2">
      <c r="A127" t="s">
        <v>292</v>
      </c>
      <c r="B127" t="s">
        <v>1357</v>
      </c>
    </row>
    <row r="128" spans="1:2">
      <c r="A128" t="s">
        <v>378</v>
      </c>
      <c r="B128" t="s">
        <v>1357</v>
      </c>
    </row>
    <row r="129" spans="1:2">
      <c r="A129" t="s">
        <v>578</v>
      </c>
      <c r="B129" t="s">
        <v>1357</v>
      </c>
    </row>
    <row r="130" spans="1:2">
      <c r="A130" t="s">
        <v>1497</v>
      </c>
      <c r="B130" t="s">
        <v>1357</v>
      </c>
    </row>
    <row r="131" spans="1:2">
      <c r="A131" t="s">
        <v>1307</v>
      </c>
      <c r="B131" t="s">
        <v>1357</v>
      </c>
    </row>
    <row r="132" spans="1:2">
      <c r="A132" t="s">
        <v>380</v>
      </c>
      <c r="B132" t="s">
        <v>1357</v>
      </c>
    </row>
    <row r="133" spans="1:2">
      <c r="A133" t="s">
        <v>288</v>
      </c>
      <c r="B133" t="s">
        <v>1357</v>
      </c>
    </row>
    <row r="134" spans="1:2">
      <c r="A134" t="s">
        <v>544</v>
      </c>
      <c r="B134" t="s">
        <v>1357</v>
      </c>
    </row>
    <row r="135" spans="1:2">
      <c r="A135" t="s">
        <v>434</v>
      </c>
      <c r="B135" t="s">
        <v>1357</v>
      </c>
    </row>
    <row r="136" spans="1:2">
      <c r="A136" t="s">
        <v>242</v>
      </c>
      <c r="B136" t="s">
        <v>1357</v>
      </c>
    </row>
    <row r="137" spans="1:2">
      <c r="A137" t="s">
        <v>234</v>
      </c>
      <c r="B137" t="s">
        <v>1357</v>
      </c>
    </row>
    <row r="138" spans="1:2">
      <c r="A138" t="s">
        <v>284</v>
      </c>
      <c r="B138" t="s">
        <v>1357</v>
      </c>
    </row>
    <row r="139" spans="1:2">
      <c r="A139" t="s">
        <v>602</v>
      </c>
      <c r="B139" t="s">
        <v>1357</v>
      </c>
    </row>
    <row r="140" spans="1:2">
      <c r="A140" t="s">
        <v>678</v>
      </c>
      <c r="B140" t="s">
        <v>1357</v>
      </c>
    </row>
    <row r="141" spans="1:2">
      <c r="A141" t="s">
        <v>540</v>
      </c>
      <c r="B141" t="s">
        <v>1357</v>
      </c>
    </row>
    <row r="142" spans="1:2">
      <c r="A142" t="s">
        <v>654</v>
      </c>
      <c r="B142" t="s">
        <v>1357</v>
      </c>
    </row>
    <row r="143" spans="1:2">
      <c r="A143" t="s">
        <v>1498</v>
      </c>
      <c r="B143" t="s">
        <v>1357</v>
      </c>
    </row>
    <row r="144" spans="1:2">
      <c r="A144" t="s">
        <v>262</v>
      </c>
      <c r="B144" t="s">
        <v>1357</v>
      </c>
    </row>
    <row r="145" spans="1:2">
      <c r="A145" t="s">
        <v>250</v>
      </c>
      <c r="B145" t="s">
        <v>1357</v>
      </c>
    </row>
    <row r="146" spans="1:2">
      <c r="A146" t="s">
        <v>556</v>
      </c>
      <c r="B146" t="s">
        <v>1357</v>
      </c>
    </row>
    <row r="147" spans="1:2">
      <c r="A147" t="s">
        <v>448</v>
      </c>
      <c r="B147" t="s">
        <v>1357</v>
      </c>
    </row>
    <row r="148" spans="1:2">
      <c r="A148" t="s">
        <v>254</v>
      </c>
      <c r="B148" t="s">
        <v>1357</v>
      </c>
    </row>
    <row r="149" spans="1:2">
      <c r="A149" t="s">
        <v>622</v>
      </c>
      <c r="B149" t="s">
        <v>1357</v>
      </c>
    </row>
    <row r="150" spans="1:2">
      <c r="A150" t="s">
        <v>294</v>
      </c>
      <c r="B150" t="s">
        <v>1357</v>
      </c>
    </row>
    <row r="151" spans="1:2">
      <c r="A151" t="s">
        <v>564</v>
      </c>
      <c r="B151" t="s">
        <v>1357</v>
      </c>
    </row>
    <row r="152" spans="1:2">
      <c r="A152" t="s">
        <v>194</v>
      </c>
      <c r="B152" t="s">
        <v>1357</v>
      </c>
    </row>
    <row r="153" spans="1:2">
      <c r="A153" t="s">
        <v>524</v>
      </c>
      <c r="B153" t="s">
        <v>1357</v>
      </c>
    </row>
    <row r="154" spans="1:2">
      <c r="A154" t="s">
        <v>588</v>
      </c>
      <c r="B154" t="s">
        <v>1357</v>
      </c>
    </row>
    <row r="155" spans="1:2">
      <c r="A155" t="s">
        <v>504</v>
      </c>
      <c r="B155" t="s">
        <v>1357</v>
      </c>
    </row>
    <row r="156" spans="1:2">
      <c r="A156" t="s">
        <v>534</v>
      </c>
      <c r="B156" t="s">
        <v>1357</v>
      </c>
    </row>
    <row r="157" spans="1:2">
      <c r="A157" t="s">
        <v>1499</v>
      </c>
      <c r="B157" t="s">
        <v>1357</v>
      </c>
    </row>
    <row r="158" spans="1:2">
      <c r="A158" t="s">
        <v>332</v>
      </c>
      <c r="B158" t="s">
        <v>1357</v>
      </c>
    </row>
    <row r="159" spans="1:2">
      <c r="A159" t="s">
        <v>694</v>
      </c>
      <c r="B159" t="s">
        <v>1357</v>
      </c>
    </row>
    <row r="160" spans="1:2">
      <c r="A160" t="s">
        <v>668</v>
      </c>
      <c r="B160" t="s">
        <v>1357</v>
      </c>
    </row>
    <row r="161" spans="1:2">
      <c r="A161" t="s">
        <v>222</v>
      </c>
      <c r="B161" t="s">
        <v>1357</v>
      </c>
    </row>
    <row r="162" spans="1:2">
      <c r="A162" t="s">
        <v>89</v>
      </c>
      <c r="B162" t="s">
        <v>1357</v>
      </c>
    </row>
    <row r="163" spans="1:2">
      <c r="A163" t="s">
        <v>682</v>
      </c>
      <c r="B163" t="s">
        <v>1357</v>
      </c>
    </row>
    <row r="164" spans="1:2">
      <c r="A164" t="s">
        <v>480</v>
      </c>
      <c r="B164" t="s">
        <v>1357</v>
      </c>
    </row>
    <row r="165" spans="1:2">
      <c r="A165" t="s">
        <v>398</v>
      </c>
      <c r="B165" t="s">
        <v>1357</v>
      </c>
    </row>
    <row r="166" spans="1:2">
      <c r="A166" t="s">
        <v>388</v>
      </c>
      <c r="B166" t="s">
        <v>1357</v>
      </c>
    </row>
    <row r="167" spans="1:2">
      <c r="A167" t="s">
        <v>350</v>
      </c>
      <c r="B167" t="s">
        <v>1357</v>
      </c>
    </row>
    <row r="168" spans="1:2">
      <c r="A168" t="s">
        <v>514</v>
      </c>
      <c r="B168" t="s">
        <v>1357</v>
      </c>
    </row>
    <row r="169" spans="1:2">
      <c r="A169" t="s">
        <v>290</v>
      </c>
      <c r="B169" t="s">
        <v>1357</v>
      </c>
    </row>
    <row r="170" spans="1:2">
      <c r="A170" t="s">
        <v>688</v>
      </c>
      <c r="B170" t="s">
        <v>1357</v>
      </c>
    </row>
    <row r="171" spans="1:2">
      <c r="A171" t="s">
        <v>132</v>
      </c>
      <c r="B171" t="s">
        <v>1357</v>
      </c>
    </row>
    <row r="172" spans="1:2">
      <c r="A172" t="s">
        <v>36</v>
      </c>
      <c r="B172" t="s">
        <v>1357</v>
      </c>
    </row>
    <row r="173" spans="1:2">
      <c r="A173" t="s">
        <v>202</v>
      </c>
      <c r="B173" t="s">
        <v>1357</v>
      </c>
    </row>
    <row r="174" spans="1:2">
      <c r="A174" t="s">
        <v>538</v>
      </c>
      <c r="B174" t="s">
        <v>1357</v>
      </c>
    </row>
    <row r="175" spans="1:2">
      <c r="A175" t="s">
        <v>614</v>
      </c>
      <c r="B175" t="s">
        <v>1357</v>
      </c>
    </row>
    <row r="176" spans="1:2">
      <c r="A176" t="s">
        <v>198</v>
      </c>
      <c r="B176" t="s">
        <v>1357</v>
      </c>
    </row>
    <row r="177" spans="1:2">
      <c r="A177" t="s">
        <v>188</v>
      </c>
      <c r="B177" t="s">
        <v>1357</v>
      </c>
    </row>
    <row r="178" spans="1:2">
      <c r="A178" t="s">
        <v>238</v>
      </c>
      <c r="B178" t="s">
        <v>1357</v>
      </c>
    </row>
    <row r="179" spans="1:2">
      <c r="A179" t="s">
        <v>103</v>
      </c>
      <c r="B179" t="s">
        <v>1357</v>
      </c>
    </row>
    <row r="180" spans="1:2">
      <c r="A180" t="s">
        <v>590</v>
      </c>
      <c r="B180" t="s">
        <v>1357</v>
      </c>
    </row>
    <row r="181" spans="1:2">
      <c r="A181" t="s">
        <v>192</v>
      </c>
      <c r="B181" t="s">
        <v>1357</v>
      </c>
    </row>
    <row r="182" spans="1:2">
      <c r="A182" t="s">
        <v>596</v>
      </c>
      <c r="B182" t="s">
        <v>1357</v>
      </c>
    </row>
    <row r="183" spans="1:2">
      <c r="A183" t="s">
        <v>184</v>
      </c>
      <c r="B183" t="s">
        <v>1357</v>
      </c>
    </row>
    <row r="184" spans="1:2">
      <c r="A184" t="s">
        <v>200</v>
      </c>
      <c r="B184" t="s">
        <v>1357</v>
      </c>
    </row>
    <row r="185" spans="1:2">
      <c r="A185" t="s">
        <v>598</v>
      </c>
      <c r="B185" t="s">
        <v>1357</v>
      </c>
    </row>
    <row r="186" spans="1:2">
      <c r="A186" t="s">
        <v>638</v>
      </c>
      <c r="B186" t="s">
        <v>1357</v>
      </c>
    </row>
    <row r="187" spans="1:2">
      <c r="A187" t="s">
        <v>150</v>
      </c>
      <c r="B187" t="s">
        <v>1357</v>
      </c>
    </row>
    <row r="188" spans="1:2">
      <c r="A188" t="s">
        <v>522</v>
      </c>
      <c r="B188" t="s">
        <v>1357</v>
      </c>
    </row>
    <row r="189" spans="1:2">
      <c r="A189" t="s">
        <v>160</v>
      </c>
      <c r="B189" t="s">
        <v>1357</v>
      </c>
    </row>
    <row r="190" spans="1:2">
      <c r="A190" t="s">
        <v>570</v>
      </c>
      <c r="B190" t="s">
        <v>1357</v>
      </c>
    </row>
    <row r="191" spans="1:2">
      <c r="A191" t="s">
        <v>1302</v>
      </c>
      <c r="B191" t="s">
        <v>1357</v>
      </c>
    </row>
    <row r="192" spans="1:2">
      <c r="A192" t="s">
        <v>518</v>
      </c>
      <c r="B192" t="s">
        <v>1357</v>
      </c>
    </row>
    <row r="193" spans="1:2">
      <c r="A193" t="s">
        <v>226</v>
      </c>
      <c r="B193" t="s">
        <v>1357</v>
      </c>
    </row>
    <row r="194" spans="1:2">
      <c r="A194" t="s">
        <v>204</v>
      </c>
      <c r="B194" t="s">
        <v>1357</v>
      </c>
    </row>
    <row r="195" spans="1:2">
      <c r="A195" t="s">
        <v>118</v>
      </c>
      <c r="B195" t="s">
        <v>1357</v>
      </c>
    </row>
    <row r="196" spans="1:2">
      <c r="A196" t="s">
        <v>520</v>
      </c>
      <c r="B196" t="s">
        <v>1357</v>
      </c>
    </row>
    <row r="197" spans="1:2">
      <c r="A197" t="s">
        <v>650</v>
      </c>
      <c r="B197" t="s">
        <v>1357</v>
      </c>
    </row>
    <row r="198" spans="1:2">
      <c r="A198" t="s">
        <v>83</v>
      </c>
      <c r="B198" t="s">
        <v>1357</v>
      </c>
    </row>
    <row r="199" spans="1:2">
      <c r="A199" t="s">
        <v>616</v>
      </c>
      <c r="B199" t="s">
        <v>1357</v>
      </c>
    </row>
    <row r="200" spans="1:2">
      <c r="A200" t="s">
        <v>314</v>
      </c>
      <c r="B200" t="s">
        <v>1357</v>
      </c>
    </row>
    <row r="201" spans="1:2">
      <c r="A201" t="s">
        <v>18</v>
      </c>
      <c r="B201" t="s">
        <v>1357</v>
      </c>
    </row>
    <row r="202" spans="1:2">
      <c r="A202" t="s">
        <v>140</v>
      </c>
      <c r="B202" t="s">
        <v>1357</v>
      </c>
    </row>
    <row r="203" spans="1:2">
      <c r="A203" t="s">
        <v>416</v>
      </c>
      <c r="B203" t="s">
        <v>1357</v>
      </c>
    </row>
    <row r="204" spans="1:2">
      <c r="A204" t="s">
        <v>1500</v>
      </c>
      <c r="B204" t="s">
        <v>1357</v>
      </c>
    </row>
    <row r="205" spans="1:2">
      <c r="A205" t="s">
        <v>466</v>
      </c>
      <c r="B205" t="s">
        <v>1357</v>
      </c>
    </row>
    <row r="206" spans="1:2">
      <c r="A206" t="s">
        <v>1308</v>
      </c>
      <c r="B206" t="s">
        <v>1357</v>
      </c>
    </row>
    <row r="207" spans="1:2">
      <c r="A207" t="s">
        <v>711</v>
      </c>
      <c r="B207" t="s">
        <v>1358</v>
      </c>
    </row>
    <row r="208" spans="1:2">
      <c r="A208" t="s">
        <v>1006</v>
      </c>
      <c r="B208" t="s">
        <v>1358</v>
      </c>
    </row>
    <row r="209" spans="1:2">
      <c r="A209" t="s">
        <v>722</v>
      </c>
      <c r="B209" t="s">
        <v>1358</v>
      </c>
    </row>
    <row r="210" spans="1:2">
      <c r="A210" t="s">
        <v>758</v>
      </c>
      <c r="B210" t="s">
        <v>1358</v>
      </c>
    </row>
    <row r="211" spans="1:2">
      <c r="A211" s="5" t="s">
        <v>953</v>
      </c>
      <c r="B211" t="s">
        <v>1358</v>
      </c>
    </row>
    <row r="212" spans="1:2">
      <c r="A212" t="s">
        <v>732</v>
      </c>
      <c r="B212" t="s">
        <v>1358</v>
      </c>
    </row>
    <row r="213" spans="1:2">
      <c r="A213" t="s">
        <v>716</v>
      </c>
      <c r="B213" t="s">
        <v>1358</v>
      </c>
    </row>
    <row r="214" spans="1:2">
      <c r="A214" t="s">
        <v>741</v>
      </c>
      <c r="B214" t="s">
        <v>1358</v>
      </c>
    </row>
    <row r="215" spans="1:2">
      <c r="A215" t="s">
        <v>990</v>
      </c>
      <c r="B215" t="s">
        <v>1358</v>
      </c>
    </row>
    <row r="216" spans="1:2">
      <c r="A216" t="s">
        <v>813</v>
      </c>
      <c r="B216" t="s">
        <v>1358</v>
      </c>
    </row>
    <row r="217" spans="1:2">
      <c r="A217" t="s">
        <v>841</v>
      </c>
      <c r="B217" t="s">
        <v>1358</v>
      </c>
    </row>
    <row r="218" spans="1:2">
      <c r="A218" t="s">
        <v>725</v>
      </c>
      <c r="B218" t="s">
        <v>1358</v>
      </c>
    </row>
    <row r="219" spans="1:2">
      <c r="A219" t="s">
        <v>914</v>
      </c>
      <c r="B219" t="s">
        <v>1358</v>
      </c>
    </row>
    <row r="220" spans="1:2">
      <c r="A220" t="s">
        <v>981</v>
      </c>
      <c r="B220" t="s">
        <v>1358</v>
      </c>
    </row>
    <row r="221" spans="1:2">
      <c r="A221" t="s">
        <v>738</v>
      </c>
      <c r="B221" t="s">
        <v>1358</v>
      </c>
    </row>
    <row r="222" spans="1:2">
      <c r="A222" t="s">
        <v>780</v>
      </c>
      <c r="B222" t="s">
        <v>1358</v>
      </c>
    </row>
    <row r="223" spans="1:2">
      <c r="A223" t="s">
        <v>992</v>
      </c>
      <c r="B223" t="s">
        <v>1358</v>
      </c>
    </row>
    <row r="224" spans="1:2">
      <c r="A224" t="s">
        <v>1501</v>
      </c>
      <c r="B224" t="s">
        <v>1358</v>
      </c>
    </row>
    <row r="225" spans="1:2">
      <c r="A225" t="s">
        <v>1502</v>
      </c>
      <c r="B225" t="s">
        <v>1358</v>
      </c>
    </row>
    <row r="226" spans="1:2">
      <c r="A226" t="s">
        <v>752</v>
      </c>
      <c r="B226" t="s">
        <v>1358</v>
      </c>
    </row>
    <row r="227" spans="1:2">
      <c r="A227" t="s">
        <v>888</v>
      </c>
      <c r="B227" t="s">
        <v>1358</v>
      </c>
    </row>
    <row r="228" spans="1:2">
      <c r="A228" t="s">
        <v>718</v>
      </c>
      <c r="B228" t="s">
        <v>1358</v>
      </c>
    </row>
    <row r="229" spans="1:2">
      <c r="A229" t="s">
        <v>902</v>
      </c>
      <c r="B229" t="s">
        <v>1358</v>
      </c>
    </row>
    <row r="230" spans="1:2">
      <c r="A230" t="s">
        <v>1014</v>
      </c>
      <c r="B230" t="s">
        <v>1358</v>
      </c>
    </row>
    <row r="231" spans="1:2">
      <c r="A231" t="s">
        <v>870</v>
      </c>
      <c r="B231" t="s">
        <v>1358</v>
      </c>
    </row>
    <row r="232" spans="1:2">
      <c r="A232" t="s">
        <v>1314</v>
      </c>
      <c r="B232" t="s">
        <v>1358</v>
      </c>
    </row>
    <row r="233" spans="1:2">
      <c r="A233" t="s">
        <v>845</v>
      </c>
      <c r="B233" t="s">
        <v>1358</v>
      </c>
    </row>
    <row r="234" spans="1:2">
      <c r="A234" t="s">
        <v>890</v>
      </c>
      <c r="B234" t="s">
        <v>1358</v>
      </c>
    </row>
    <row r="235" spans="1:2">
      <c r="A235" t="s">
        <v>874</v>
      </c>
      <c r="B235" t="s">
        <v>1358</v>
      </c>
    </row>
    <row r="236" spans="1:2">
      <c r="A236" t="s">
        <v>730</v>
      </c>
      <c r="B236" t="s">
        <v>1358</v>
      </c>
    </row>
    <row r="237" spans="1:2">
      <c r="A237" t="s">
        <v>748</v>
      </c>
      <c r="B237" t="s">
        <v>1358</v>
      </c>
    </row>
    <row r="238" spans="1:2">
      <c r="A238" t="s">
        <v>754</v>
      </c>
      <c r="B238" t="s">
        <v>1358</v>
      </c>
    </row>
    <row r="239" spans="1:2">
      <c r="A239" t="s">
        <v>1503</v>
      </c>
      <c r="B239" t="s">
        <v>1358</v>
      </c>
    </row>
    <row r="240" spans="1:2">
      <c r="A240" t="s">
        <v>835</v>
      </c>
      <c r="B240" t="s">
        <v>1358</v>
      </c>
    </row>
    <row r="241" spans="1:2">
      <c r="A241" t="s">
        <v>916</v>
      </c>
      <c r="B241" t="s">
        <v>1358</v>
      </c>
    </row>
    <row r="242" spans="1:2">
      <c r="A242" t="s">
        <v>957</v>
      </c>
      <c r="B242" t="s">
        <v>1358</v>
      </c>
    </row>
    <row r="243" spans="1:2">
      <c r="A243" t="s">
        <v>805</v>
      </c>
      <c r="B243" t="s">
        <v>1358</v>
      </c>
    </row>
    <row r="244" spans="1:2">
      <c r="A244" t="s">
        <v>912</v>
      </c>
      <c r="B244" t="s">
        <v>1358</v>
      </c>
    </row>
    <row r="245" spans="1:2">
      <c r="A245" t="s">
        <v>1504</v>
      </c>
      <c r="B245" t="s">
        <v>1358</v>
      </c>
    </row>
    <row r="246" spans="1:2">
      <c r="A246" t="s">
        <v>943</v>
      </c>
      <c r="B246" t="s">
        <v>1358</v>
      </c>
    </row>
    <row r="247" spans="1:2">
      <c r="A247" t="s">
        <v>809</v>
      </c>
      <c r="B247" t="s">
        <v>1358</v>
      </c>
    </row>
    <row r="248" spans="1:2">
      <c r="A248" t="s">
        <v>1416</v>
      </c>
      <c r="B248" t="s">
        <v>1358</v>
      </c>
    </row>
    <row r="249" spans="1:2">
      <c r="A249" t="s">
        <v>799</v>
      </c>
      <c r="B249" t="s">
        <v>1358</v>
      </c>
    </row>
    <row r="250" spans="1:2">
      <c r="A250" t="s">
        <v>760</v>
      </c>
      <c r="B250" t="s">
        <v>1358</v>
      </c>
    </row>
    <row r="251" spans="1:2">
      <c r="A251" t="s">
        <v>949</v>
      </c>
      <c r="B251" t="s">
        <v>1358</v>
      </c>
    </row>
    <row r="252" spans="1:2">
      <c r="A252" t="s">
        <v>843</v>
      </c>
      <c r="B252" t="s">
        <v>1358</v>
      </c>
    </row>
    <row r="253" spans="1:2">
      <c r="A253" t="s">
        <v>1505</v>
      </c>
      <c r="B253" t="s">
        <v>1358</v>
      </c>
    </row>
    <row r="254" spans="1:2">
      <c r="A254" t="s">
        <v>1506</v>
      </c>
      <c r="B254" t="s">
        <v>1358</v>
      </c>
    </row>
    <row r="255" spans="1:2">
      <c r="A255" t="s">
        <v>979</v>
      </c>
      <c r="B255" t="s">
        <v>1358</v>
      </c>
    </row>
    <row r="256" spans="1:2">
      <c r="A256" t="s">
        <v>797</v>
      </c>
      <c r="B256" t="s">
        <v>1358</v>
      </c>
    </row>
    <row r="257" spans="1:2">
      <c r="A257" t="s">
        <v>878</v>
      </c>
      <c r="B257" t="s">
        <v>1358</v>
      </c>
    </row>
    <row r="258" spans="1:2">
      <c r="A258" t="s">
        <v>1507</v>
      </c>
      <c r="B258" t="s">
        <v>1358</v>
      </c>
    </row>
    <row r="259" spans="1:2">
      <c r="A259" t="s">
        <v>908</v>
      </c>
      <c r="B259" t="s">
        <v>1358</v>
      </c>
    </row>
    <row r="260" spans="1:2">
      <c r="A260" t="s">
        <v>880</v>
      </c>
      <c r="B260" t="s">
        <v>1358</v>
      </c>
    </row>
    <row r="261" spans="1:2">
      <c r="A261" t="s">
        <v>1508</v>
      </c>
      <c r="B261" t="s">
        <v>1358</v>
      </c>
    </row>
    <row r="262" spans="1:2">
      <c r="A262" t="s">
        <v>1509</v>
      </c>
      <c r="B262" t="s">
        <v>1358</v>
      </c>
    </row>
    <row r="263" spans="1:2">
      <c r="A263" t="s">
        <v>983</v>
      </c>
      <c r="B263" t="s">
        <v>1358</v>
      </c>
    </row>
    <row r="264" spans="1:2">
      <c r="A264" t="s">
        <v>1401</v>
      </c>
      <c r="B264" t="s">
        <v>1358</v>
      </c>
    </row>
    <row r="265" spans="1:2">
      <c r="A265" t="s">
        <v>819</v>
      </c>
      <c r="B265" t="s">
        <v>1358</v>
      </c>
    </row>
    <row r="266" spans="1:2">
      <c r="A266" t="s">
        <v>1510</v>
      </c>
      <c r="B266" t="s">
        <v>1358</v>
      </c>
    </row>
    <row r="267" spans="1:2">
      <c r="A267" t="s">
        <v>859</v>
      </c>
      <c r="B267" t="s">
        <v>1358</v>
      </c>
    </row>
    <row r="268" spans="1:2">
      <c r="A268" t="s">
        <v>1309</v>
      </c>
      <c r="B268" t="s">
        <v>1358</v>
      </c>
    </row>
    <row r="269" spans="1:2">
      <c r="A269" t="s">
        <v>910</v>
      </c>
      <c r="B269" t="s">
        <v>1358</v>
      </c>
    </row>
    <row r="270" spans="1:2">
      <c r="A270" t="s">
        <v>778</v>
      </c>
      <c r="B270" t="s">
        <v>1358</v>
      </c>
    </row>
    <row r="271" spans="1:2">
      <c r="A271" t="s">
        <v>1312</v>
      </c>
      <c r="B271" t="s">
        <v>1358</v>
      </c>
    </row>
    <row r="272" spans="1:2">
      <c r="A272" t="s">
        <v>1310</v>
      </c>
      <c r="B272" t="s">
        <v>1358</v>
      </c>
    </row>
    <row r="273" spans="1:2">
      <c r="A273" t="s">
        <v>1313</v>
      </c>
      <c r="B273" t="s">
        <v>1358</v>
      </c>
    </row>
    <row r="274" spans="1:2">
      <c r="A274" t="s">
        <v>898</v>
      </c>
      <c r="B274" t="s">
        <v>1358</v>
      </c>
    </row>
    <row r="275" spans="1:2">
      <c r="A275" t="s">
        <v>807</v>
      </c>
      <c r="B275" t="s">
        <v>1358</v>
      </c>
    </row>
    <row r="276" spans="1:2">
      <c r="A276" s="5" t="s">
        <v>977</v>
      </c>
      <c r="B276" t="s">
        <v>1358</v>
      </c>
    </row>
    <row r="277" spans="1:2">
      <c r="A277" t="s">
        <v>1511</v>
      </c>
      <c r="B277" t="s">
        <v>1358</v>
      </c>
    </row>
    <row r="278" spans="1:2">
      <c r="A278" t="s">
        <v>1010</v>
      </c>
      <c r="B278" t="s">
        <v>1358</v>
      </c>
    </row>
    <row r="279" spans="1:2">
      <c r="A279" t="s">
        <v>868</v>
      </c>
      <c r="B279" t="s">
        <v>1358</v>
      </c>
    </row>
    <row r="280" spans="1:2">
      <c r="A280" t="s">
        <v>896</v>
      </c>
      <c r="B280" t="s">
        <v>1358</v>
      </c>
    </row>
    <row r="281" spans="1:2">
      <c r="A281" t="s">
        <v>1512</v>
      </c>
      <c r="B281" t="s">
        <v>1358</v>
      </c>
    </row>
    <row r="282" spans="1:2">
      <c r="A282" t="s">
        <v>1513</v>
      </c>
      <c r="B282" t="s">
        <v>1358</v>
      </c>
    </row>
    <row r="283" spans="1:2">
      <c r="A283" t="s">
        <v>1514</v>
      </c>
      <c r="B283" t="s">
        <v>1358</v>
      </c>
    </row>
    <row r="284" spans="1:2">
      <c r="A284" t="s">
        <v>851</v>
      </c>
      <c r="B284" t="s">
        <v>1358</v>
      </c>
    </row>
    <row r="285" spans="1:2">
      <c r="A285" t="s">
        <v>1515</v>
      </c>
      <c r="B285" t="s">
        <v>1358</v>
      </c>
    </row>
    <row r="286" spans="1:2">
      <c r="A286" t="s">
        <v>1315</v>
      </c>
      <c r="B286" t="s">
        <v>1358</v>
      </c>
    </row>
    <row r="287" spans="1:2">
      <c r="A287" t="s">
        <v>900</v>
      </c>
      <c r="B287" t="s">
        <v>1358</v>
      </c>
    </row>
    <row r="288" spans="1:2">
      <c r="A288" t="s">
        <v>935</v>
      </c>
      <c r="B288" t="s">
        <v>1358</v>
      </c>
    </row>
    <row r="289" spans="1:2">
      <c r="A289" t="s">
        <v>926</v>
      </c>
      <c r="B289" t="s">
        <v>1358</v>
      </c>
    </row>
    <row r="290" spans="1:2">
      <c r="A290" t="s">
        <v>941</v>
      </c>
      <c r="B290" t="s">
        <v>1358</v>
      </c>
    </row>
    <row r="291" spans="1:2">
      <c r="A291" t="s">
        <v>969</v>
      </c>
      <c r="B291" t="s">
        <v>1358</v>
      </c>
    </row>
    <row r="292" spans="1:2">
      <c r="A292" t="s">
        <v>833</v>
      </c>
      <c r="B292" t="s">
        <v>1358</v>
      </c>
    </row>
    <row r="293" spans="1:2">
      <c r="A293" t="s">
        <v>1415</v>
      </c>
      <c r="B293" t="s">
        <v>1358</v>
      </c>
    </row>
    <row r="294" spans="1:2">
      <c r="A294" t="s">
        <v>1516</v>
      </c>
      <c r="B294" t="s">
        <v>1358</v>
      </c>
    </row>
    <row r="295" spans="1:2">
      <c r="A295" t="s">
        <v>933</v>
      </c>
      <c r="B295" t="s">
        <v>1358</v>
      </c>
    </row>
    <row r="296" spans="1:2">
      <c r="A296" t="s">
        <v>1517</v>
      </c>
      <c r="B296" t="s">
        <v>1358</v>
      </c>
    </row>
    <row r="297" spans="1:2">
      <c r="A297" t="s">
        <v>861</v>
      </c>
      <c r="B297" t="s">
        <v>1358</v>
      </c>
    </row>
    <row r="298" spans="1:2">
      <c r="A298" t="s">
        <v>918</v>
      </c>
      <c r="B298" t="s">
        <v>1358</v>
      </c>
    </row>
    <row r="299" spans="1:2">
      <c r="A299" t="s">
        <v>837</v>
      </c>
      <c r="B299" t="s">
        <v>1358</v>
      </c>
    </row>
    <row r="300" spans="1:2">
      <c r="A300" t="s">
        <v>947</v>
      </c>
      <c r="B300" t="s">
        <v>1358</v>
      </c>
    </row>
    <row r="301" spans="1:2">
      <c r="A301" t="s">
        <v>801</v>
      </c>
      <c r="B301" t="s">
        <v>1358</v>
      </c>
    </row>
    <row r="302" spans="1:2">
      <c r="A302" t="s">
        <v>904</v>
      </c>
      <c r="B302" t="s">
        <v>1358</v>
      </c>
    </row>
    <row r="303" spans="1:2">
      <c r="A303" t="s">
        <v>824</v>
      </c>
      <c r="B303" t="s">
        <v>1358</v>
      </c>
    </row>
    <row r="304" spans="1:2">
      <c r="A304" t="s">
        <v>922</v>
      </c>
      <c r="B304" t="s">
        <v>1358</v>
      </c>
    </row>
    <row r="305" spans="1:2">
      <c r="A305" t="s">
        <v>1518</v>
      </c>
      <c r="B305" t="s">
        <v>1358</v>
      </c>
    </row>
    <row r="306" spans="1:2">
      <c r="A306" t="s">
        <v>828</v>
      </c>
      <c r="B306" t="s">
        <v>1358</v>
      </c>
    </row>
    <row r="307" spans="1:2">
      <c r="A307" s="5" t="s">
        <v>924</v>
      </c>
      <c r="B307" t="s">
        <v>1358</v>
      </c>
    </row>
    <row r="308" spans="1:2">
      <c r="A308" t="s">
        <v>906</v>
      </c>
      <c r="B308" t="s">
        <v>1358</v>
      </c>
    </row>
    <row r="309" spans="1:2">
      <c r="A309" t="s">
        <v>853</v>
      </c>
      <c r="B309" t="s">
        <v>1358</v>
      </c>
    </row>
    <row r="310" spans="1:2">
      <c r="A310" t="s">
        <v>886</v>
      </c>
      <c r="B310" t="s">
        <v>1358</v>
      </c>
    </row>
    <row r="311" spans="1:2">
      <c r="A311" t="s">
        <v>1519</v>
      </c>
      <c r="B311" t="s">
        <v>1358</v>
      </c>
    </row>
    <row r="312" spans="1:2">
      <c r="A312" t="s">
        <v>770</v>
      </c>
      <c r="B312" t="s">
        <v>1358</v>
      </c>
    </row>
    <row r="313" spans="1:2">
      <c r="A313" t="s">
        <v>784</v>
      </c>
      <c r="B313" t="s">
        <v>1358</v>
      </c>
    </row>
    <row r="314" spans="1:2">
      <c r="A314" t="s">
        <v>790</v>
      </c>
      <c r="B314" t="s">
        <v>1358</v>
      </c>
    </row>
    <row r="315" spans="1:2">
      <c r="A315" t="s">
        <v>857</v>
      </c>
      <c r="B315" t="s">
        <v>1358</v>
      </c>
    </row>
    <row r="316" spans="1:2">
      <c r="A316" t="s">
        <v>892</v>
      </c>
      <c r="B316" t="s">
        <v>1358</v>
      </c>
    </row>
    <row r="317" spans="1:2">
      <c r="A317" t="s">
        <v>963</v>
      </c>
      <c r="B317" t="s">
        <v>1358</v>
      </c>
    </row>
    <row r="318" spans="1:2">
      <c r="A318" t="s">
        <v>803</v>
      </c>
      <c r="B318" t="s">
        <v>1358</v>
      </c>
    </row>
    <row r="319" spans="1:2">
      <c r="A319" t="s">
        <v>884</v>
      </c>
      <c r="B319" t="s">
        <v>1358</v>
      </c>
    </row>
    <row r="320" spans="1:2">
      <c r="A320" t="s">
        <v>792</v>
      </c>
      <c r="B320" t="s">
        <v>1358</v>
      </c>
    </row>
    <row r="321" spans="1:2">
      <c r="A321" t="s">
        <v>817</v>
      </c>
      <c r="B321" t="s">
        <v>1358</v>
      </c>
    </row>
    <row r="322" spans="1:2">
      <c r="A322" t="s">
        <v>766</v>
      </c>
      <c r="B322" t="s">
        <v>1358</v>
      </c>
    </row>
    <row r="323" spans="1:2">
      <c r="A323" t="s">
        <v>1016</v>
      </c>
      <c r="B323" t="s">
        <v>1358</v>
      </c>
    </row>
    <row r="324" spans="1:2">
      <c r="A324" t="s">
        <v>882</v>
      </c>
      <c r="B324" t="s">
        <v>1358</v>
      </c>
    </row>
    <row r="325" spans="1:2">
      <c r="A325" t="s">
        <v>872</v>
      </c>
      <c r="B325" t="s">
        <v>1358</v>
      </c>
    </row>
    <row r="326" spans="1:2">
      <c r="A326" t="s">
        <v>786</v>
      </c>
      <c r="B326" t="s">
        <v>1358</v>
      </c>
    </row>
    <row r="327" spans="1:2">
      <c r="A327" t="s">
        <v>795</v>
      </c>
      <c r="B327" t="s">
        <v>1358</v>
      </c>
    </row>
    <row r="328" spans="1:2">
      <c r="A328" t="s">
        <v>815</v>
      </c>
      <c r="B328" t="s">
        <v>1358</v>
      </c>
    </row>
    <row r="329" spans="1:2">
      <c r="A329" t="s">
        <v>1520</v>
      </c>
      <c r="B329" t="s">
        <v>1358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Kris -BH</cp:lastModifiedBy>
  <cp:revision/>
  <dcterms:created xsi:type="dcterms:W3CDTF">2015-06-05T18:17:20Z</dcterms:created>
  <dcterms:modified xsi:type="dcterms:W3CDTF">2025-10-02T17:55:47Z</dcterms:modified>
  <cp:category/>
  <cp:contentStatus/>
</cp:coreProperties>
</file>