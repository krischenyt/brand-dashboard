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1410" documentId="8_{03AF40AA-98A0-4CB0-8ED5-03EB79879F44}" xr6:coauthVersionLast="47" xr6:coauthVersionMax="47" xr10:uidLastSave="{EFC55580-30D9-4341-ADB9-D92DC439001C}"/>
  <bookViews>
    <workbookView xWindow="-120" yWindow="-120" windowWidth="29040" windowHeight="15720" xr2:uid="{00000000-000D-0000-FFFF-FFFF00000000}"/>
  </bookViews>
  <sheets>
    <sheet name="Micro Difference" sheetId="1" r:id="rId1"/>
    <sheet name="NB Difference" sheetId="2" r:id="rId2"/>
    <sheet name="DS Difference" sheetId="3" r:id="rId3"/>
    <sheet name="ACOS &amp; TCOS" sheetId="7" r:id="rId4"/>
    <sheet name="CVR" sheetId="9" r:id="rId5"/>
    <sheet name="All Products" sheetId="4" state="hidden" r:id="rId6"/>
    <sheet name="Sales &amp; Budget OOB" sheetId="5" r:id="rId7"/>
  </sheets>
  <definedNames>
    <definedName name="_xlnm._FilterDatabase" localSheetId="4" hidden="1">CVR!$AG$1:$AG$488</definedName>
    <definedName name="_xlnm._FilterDatabase" localSheetId="2" hidden="1">'DS Difference'!$A$2:$AD$108</definedName>
    <definedName name="_xlnm._FilterDatabase" localSheetId="0" hidden="1">'Micro Difference'!$A$2:$AA$255</definedName>
    <definedName name="_xlnm._FilterDatabase" localSheetId="1" hidden="1">'NB Difference'!$A$2:$AC$142</definedName>
    <definedName name="_xlnm._FilterDatabase" localSheetId="6" hidden="1">'Sales &amp; Budget OOB'!$A$1:$O$361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79" i="1" l="1"/>
  <c r="W279" i="1"/>
  <c r="Q145" i="2"/>
  <c r="F145" i="2"/>
  <c r="J250" i="1"/>
  <c r="Y257" i="1"/>
  <c r="Y258" i="1"/>
  <c r="Y259" i="1"/>
  <c r="Y260" i="1"/>
  <c r="Y261" i="1"/>
  <c r="Y262" i="1"/>
  <c r="Y263" i="1"/>
  <c r="Y264" i="1"/>
  <c r="Y265" i="1"/>
  <c r="Y266" i="1"/>
  <c r="Y267" i="1"/>
  <c r="Y268" i="1"/>
  <c r="Y269" i="1"/>
  <c r="Y270" i="1"/>
  <c r="Y271" i="1"/>
  <c r="Y272" i="1"/>
  <c r="Y273" i="1"/>
  <c r="Y274" i="1"/>
  <c r="Y275" i="1"/>
  <c r="Y276" i="1"/>
  <c r="P433" i="9"/>
  <c r="AC40" i="7"/>
  <c r="AB40" i="7"/>
  <c r="AC5" i="7"/>
  <c r="AC12" i="7"/>
  <c r="AC19" i="7"/>
  <c r="AC23" i="7"/>
  <c r="AC24" i="7"/>
  <c r="AC25" i="7"/>
  <c r="AC30" i="7"/>
  <c r="AC31" i="7"/>
  <c r="AC32" i="7"/>
  <c r="AD37" i="3"/>
  <c r="AB118" i="3"/>
  <c r="AC118" i="3"/>
  <c r="Q118" i="3"/>
  <c r="T37" i="3"/>
  <c r="AA145" i="2"/>
  <c r="AB145" i="2"/>
  <c r="M145" i="2"/>
  <c r="U145" i="2" s="1"/>
  <c r="N145" i="2"/>
  <c r="K58" i="2"/>
  <c r="AC58" i="2"/>
  <c r="T58" i="2"/>
  <c r="U58" i="2"/>
  <c r="V256" i="1"/>
  <c r="V257" i="1"/>
  <c r="V258" i="1"/>
  <c r="V259" i="1"/>
  <c r="V260" i="1"/>
  <c r="V261" i="1"/>
  <c r="V262" i="1"/>
  <c r="V263" i="1"/>
  <c r="V264" i="1"/>
  <c r="V265" i="1"/>
  <c r="V266" i="1"/>
  <c r="V267" i="1"/>
  <c r="V268" i="1"/>
  <c r="V269" i="1"/>
  <c r="V270" i="1"/>
  <c r="V271" i="1"/>
  <c r="V272" i="1"/>
  <c r="V273" i="1"/>
  <c r="V274" i="1"/>
  <c r="V275" i="1"/>
  <c r="V276" i="1"/>
  <c r="U257" i="1"/>
  <c r="U258" i="1"/>
  <c r="U259" i="1"/>
  <c r="U260" i="1"/>
  <c r="U261" i="1"/>
  <c r="U262" i="1"/>
  <c r="U263" i="1"/>
  <c r="U264" i="1"/>
  <c r="U265" i="1"/>
  <c r="U266" i="1"/>
  <c r="U267" i="1"/>
  <c r="U268" i="1"/>
  <c r="U269" i="1"/>
  <c r="U270" i="1"/>
  <c r="U271" i="1"/>
  <c r="U272" i="1"/>
  <c r="U273" i="1"/>
  <c r="U274" i="1"/>
  <c r="U275" i="1"/>
  <c r="U276" i="1"/>
  <c r="C118" i="3"/>
  <c r="F118" i="3"/>
  <c r="J37" i="3"/>
  <c r="K37" i="3"/>
  <c r="G37" i="3"/>
  <c r="K8" i="2"/>
  <c r="C145" i="2"/>
  <c r="G58" i="2"/>
  <c r="F279" i="1"/>
  <c r="J276" i="1"/>
  <c r="J257" i="1"/>
  <c r="K257" i="1"/>
  <c r="J258" i="1"/>
  <c r="K258" i="1"/>
  <c r="J259" i="1"/>
  <c r="K259" i="1"/>
  <c r="J260" i="1"/>
  <c r="K260" i="1"/>
  <c r="J261" i="1"/>
  <c r="K261" i="1"/>
  <c r="J262" i="1"/>
  <c r="K262" i="1"/>
  <c r="J263" i="1"/>
  <c r="K263" i="1"/>
  <c r="J264" i="1"/>
  <c r="K264" i="1"/>
  <c r="J265" i="1"/>
  <c r="K265" i="1"/>
  <c r="J266" i="1"/>
  <c r="K266" i="1"/>
  <c r="J267" i="1"/>
  <c r="K267" i="1"/>
  <c r="J268" i="1"/>
  <c r="K268" i="1"/>
  <c r="J269" i="1"/>
  <c r="K269" i="1"/>
  <c r="J270" i="1"/>
  <c r="K270" i="1"/>
  <c r="J271" i="1"/>
  <c r="K271" i="1"/>
  <c r="J272" i="1"/>
  <c r="K272" i="1"/>
  <c r="J273" i="1"/>
  <c r="K273" i="1"/>
  <c r="J274" i="1"/>
  <c r="K274" i="1"/>
  <c r="J275" i="1"/>
  <c r="K275" i="1"/>
  <c r="K276" i="1"/>
  <c r="G257" i="1"/>
  <c r="G258" i="1"/>
  <c r="G259" i="1"/>
  <c r="G260" i="1"/>
  <c r="G261" i="1"/>
  <c r="G262" i="1"/>
  <c r="G263" i="1"/>
  <c r="G264" i="1"/>
  <c r="G265" i="1"/>
  <c r="G266" i="1"/>
  <c r="G267" i="1"/>
  <c r="G268" i="1"/>
  <c r="G269" i="1"/>
  <c r="G270" i="1"/>
  <c r="G271" i="1"/>
  <c r="G272" i="1"/>
  <c r="G273" i="1"/>
  <c r="G274" i="1"/>
  <c r="G275" i="1"/>
  <c r="G276" i="1"/>
  <c r="E3" i="5"/>
  <c r="AG488" i="9"/>
  <c r="O433" i="9" s="1"/>
  <c r="AH488" i="9"/>
  <c r="AF488" i="9"/>
  <c r="AC26" i="7" l="1"/>
  <c r="AC33" i="7"/>
  <c r="AB30" i="7"/>
  <c r="AB23" i="7"/>
  <c r="AB5" i="7"/>
  <c r="AB12" i="7"/>
  <c r="AB19" i="7"/>
  <c r="AB24" i="7"/>
  <c r="AB25" i="7"/>
  <c r="AB31" i="7"/>
  <c r="AB32" i="7"/>
  <c r="AC41" i="7"/>
  <c r="N279" i="1"/>
  <c r="X282" i="1" s="1"/>
  <c r="Y279" i="1"/>
  <c r="C279" i="1"/>
  <c r="M279" i="1"/>
  <c r="Q279" i="1"/>
  <c r="U21" i="1"/>
  <c r="V21" i="1"/>
  <c r="U251" i="1"/>
  <c r="V251" i="1"/>
  <c r="U239" i="1"/>
  <c r="V239" i="1"/>
  <c r="U194" i="1"/>
  <c r="V194" i="1"/>
  <c r="U139" i="1"/>
  <c r="V139" i="1"/>
  <c r="U65" i="1"/>
  <c r="V65" i="1"/>
  <c r="U176" i="1"/>
  <c r="V176" i="1"/>
  <c r="U149" i="1"/>
  <c r="V149" i="1"/>
  <c r="U72" i="1"/>
  <c r="V72" i="1"/>
  <c r="U190" i="1"/>
  <c r="V190" i="1"/>
  <c r="U41" i="1"/>
  <c r="V41" i="1"/>
  <c r="U29" i="1"/>
  <c r="V29" i="1"/>
  <c r="U12" i="1"/>
  <c r="V12" i="1"/>
  <c r="U83" i="1"/>
  <c r="V83" i="1"/>
  <c r="U46" i="1"/>
  <c r="V46" i="1"/>
  <c r="U218" i="1"/>
  <c r="V218" i="1"/>
  <c r="U122" i="1"/>
  <c r="V122" i="1"/>
  <c r="U74" i="1"/>
  <c r="V74" i="1"/>
  <c r="U31" i="1"/>
  <c r="V31" i="1"/>
  <c r="U53" i="1"/>
  <c r="V53" i="1"/>
  <c r="U45" i="1"/>
  <c r="V45" i="1"/>
  <c r="U44" i="1"/>
  <c r="V44" i="1"/>
  <c r="U14" i="1"/>
  <c r="V14" i="1"/>
  <c r="U202" i="1"/>
  <c r="V202" i="1"/>
  <c r="U27" i="1"/>
  <c r="V27" i="1"/>
  <c r="U6" i="1"/>
  <c r="V6" i="1"/>
  <c r="J251" i="1"/>
  <c r="K251" i="1"/>
  <c r="J239" i="1"/>
  <c r="K239" i="1"/>
  <c r="J194" i="1"/>
  <c r="K194" i="1"/>
  <c r="J139" i="1"/>
  <c r="K139" i="1"/>
  <c r="J65" i="1"/>
  <c r="K65" i="1"/>
  <c r="J176" i="1"/>
  <c r="K176" i="1"/>
  <c r="J149" i="1"/>
  <c r="K149" i="1"/>
  <c r="J72" i="1"/>
  <c r="K72" i="1"/>
  <c r="J190" i="1"/>
  <c r="K190" i="1"/>
  <c r="J41" i="1"/>
  <c r="K41" i="1"/>
  <c r="J29" i="1"/>
  <c r="K29" i="1"/>
  <c r="J12" i="1"/>
  <c r="K12" i="1"/>
  <c r="J83" i="1"/>
  <c r="K83" i="1"/>
  <c r="J46" i="1"/>
  <c r="K46" i="1"/>
  <c r="J218" i="1"/>
  <c r="K218" i="1"/>
  <c r="J122" i="1"/>
  <c r="K122" i="1"/>
  <c r="J74" i="1"/>
  <c r="K74" i="1"/>
  <c r="J31" i="1"/>
  <c r="K31" i="1"/>
  <c r="J53" i="1"/>
  <c r="K53" i="1"/>
  <c r="J45" i="1"/>
  <c r="K45" i="1"/>
  <c r="J44" i="1"/>
  <c r="K44" i="1"/>
  <c r="J14" i="1"/>
  <c r="K14" i="1"/>
  <c r="J202" i="1"/>
  <c r="K202" i="1"/>
  <c r="J27" i="1"/>
  <c r="K27" i="1"/>
  <c r="J6" i="1"/>
  <c r="K6" i="1"/>
  <c r="J21" i="1"/>
  <c r="K21" i="1"/>
  <c r="O118" i="3"/>
  <c r="N118" i="3"/>
  <c r="AB121" i="3" s="1"/>
  <c r="AD106" i="3"/>
  <c r="AD10" i="3"/>
  <c r="AD33" i="3"/>
  <c r="AD6" i="3"/>
  <c r="AD38" i="3"/>
  <c r="AD4" i="3"/>
  <c r="AC15" i="2"/>
  <c r="AC117" i="2"/>
  <c r="AC118" i="2"/>
  <c r="AC12" i="2"/>
  <c r="AC13" i="2"/>
  <c r="AC22" i="2"/>
  <c r="AC8" i="2"/>
  <c r="U15" i="2"/>
  <c r="U117" i="2"/>
  <c r="U118" i="2"/>
  <c r="U12" i="2"/>
  <c r="U13" i="2"/>
  <c r="U22" i="2"/>
  <c r="U8" i="2"/>
  <c r="T15" i="2"/>
  <c r="T117" i="2"/>
  <c r="T118" i="2"/>
  <c r="T12" i="2"/>
  <c r="T13" i="2"/>
  <c r="T22" i="2"/>
  <c r="T8" i="2"/>
  <c r="J15" i="2"/>
  <c r="J117" i="2"/>
  <c r="J118" i="2"/>
  <c r="J12" i="2"/>
  <c r="J13" i="2"/>
  <c r="J22" i="2"/>
  <c r="J8" i="2"/>
  <c r="J10" i="2"/>
  <c r="J139" i="2"/>
  <c r="J135" i="2"/>
  <c r="J9" i="2"/>
  <c r="J137" i="2"/>
  <c r="J112" i="2"/>
  <c r="J55" i="2"/>
  <c r="J124" i="2"/>
  <c r="J115" i="2"/>
  <c r="J110" i="2"/>
  <c r="J36" i="2"/>
  <c r="J28" i="2"/>
  <c r="J109" i="2"/>
  <c r="J114" i="2"/>
  <c r="J123" i="2"/>
  <c r="J122" i="2"/>
  <c r="J102" i="2"/>
  <c r="J17" i="2"/>
  <c r="J120" i="2"/>
  <c r="J61" i="2"/>
  <c r="J20" i="2"/>
  <c r="J111" i="2"/>
  <c r="J128" i="2"/>
  <c r="J140" i="2"/>
  <c r="J19" i="2"/>
  <c r="J29" i="2"/>
  <c r="J59" i="2"/>
  <c r="J107" i="2"/>
  <c r="J84" i="2"/>
  <c r="J30" i="2"/>
  <c r="J130" i="2"/>
  <c r="J40" i="2"/>
  <c r="J99" i="2"/>
  <c r="J116" i="2"/>
  <c r="J81" i="2"/>
  <c r="J72" i="2"/>
  <c r="J80" i="2"/>
  <c r="J62" i="2"/>
  <c r="J76" i="2"/>
  <c r="J48" i="2"/>
  <c r="J125" i="2"/>
  <c r="J42" i="2"/>
  <c r="J93" i="2"/>
  <c r="J106" i="2"/>
  <c r="J126" i="2"/>
  <c r="J74" i="2"/>
  <c r="J127" i="2"/>
  <c r="J121" i="2"/>
  <c r="J34" i="2"/>
  <c r="J97" i="2"/>
  <c r="J52" i="2"/>
  <c r="J96" i="2"/>
  <c r="J101" i="2"/>
  <c r="J63" i="2"/>
  <c r="J64" i="2"/>
  <c r="J100" i="2"/>
  <c r="J91" i="2"/>
  <c r="J78" i="2"/>
  <c r="J89" i="2"/>
  <c r="J56" i="2"/>
  <c r="J65" i="2"/>
  <c r="J85" i="2"/>
  <c r="J86" i="2"/>
  <c r="J83" i="2"/>
  <c r="J26" i="2"/>
  <c r="J23" i="2"/>
  <c r="J41" i="2"/>
  <c r="J104" i="2"/>
  <c r="J45" i="2"/>
  <c r="J46" i="2"/>
  <c r="J50" i="2"/>
  <c r="J79" i="2"/>
  <c r="J94" i="2"/>
  <c r="J57" i="2"/>
  <c r="J60" i="2"/>
  <c r="J92" i="2"/>
  <c r="J54" i="2"/>
  <c r="J82" i="2"/>
  <c r="J49" i="2"/>
  <c r="J35" i="2"/>
  <c r="J88" i="2"/>
  <c r="J90" i="2"/>
  <c r="J69" i="2"/>
  <c r="J21" i="2"/>
  <c r="J51" i="2"/>
  <c r="J38" i="2"/>
  <c r="J138" i="2"/>
  <c r="J24" i="2"/>
  <c r="J47" i="2"/>
  <c r="J136" i="2"/>
  <c r="J133" i="2"/>
  <c r="J129" i="2"/>
  <c r="J131" i="2"/>
  <c r="J27" i="2"/>
  <c r="J39" i="2"/>
  <c r="J75" i="2"/>
  <c r="J25" i="2"/>
  <c r="J103" i="2"/>
  <c r="J77" i="2"/>
  <c r="J33" i="2"/>
  <c r="J108" i="2"/>
  <c r="J132" i="2"/>
  <c r="J66" i="2"/>
  <c r="J134" i="2"/>
  <c r="J7" i="2"/>
  <c r="J70" i="2"/>
  <c r="J37" i="2"/>
  <c r="J113" i="2"/>
  <c r="J67" i="2"/>
  <c r="J14" i="2"/>
  <c r="J73" i="2"/>
  <c r="J43" i="2"/>
  <c r="J6" i="2"/>
  <c r="J31" i="2"/>
  <c r="J18" i="2"/>
  <c r="J44" i="2"/>
  <c r="J119" i="2"/>
  <c r="J95" i="2"/>
  <c r="J32" i="2"/>
  <c r="J16" i="2"/>
  <c r="J68" i="2"/>
  <c r="J4" i="2"/>
  <c r="J11" i="2"/>
  <c r="J71" i="2"/>
  <c r="J105" i="2"/>
  <c r="J98" i="2"/>
  <c r="J53" i="2"/>
  <c r="J87" i="2"/>
  <c r="J141" i="2"/>
  <c r="J3" i="2"/>
  <c r="J142" i="2"/>
  <c r="J5" i="2"/>
  <c r="T106" i="3"/>
  <c r="U106" i="3"/>
  <c r="T10" i="3"/>
  <c r="U10" i="3"/>
  <c r="T33" i="3"/>
  <c r="U33" i="3"/>
  <c r="T6" i="3"/>
  <c r="U6" i="3"/>
  <c r="T38" i="3"/>
  <c r="U38" i="3"/>
  <c r="T4" i="3"/>
  <c r="U4" i="3"/>
  <c r="T84" i="3"/>
  <c r="J106" i="3"/>
  <c r="K106" i="3"/>
  <c r="J10" i="3"/>
  <c r="K10" i="3"/>
  <c r="J33" i="3"/>
  <c r="K33" i="3"/>
  <c r="J6" i="3"/>
  <c r="K6" i="3"/>
  <c r="J38" i="3"/>
  <c r="K38" i="3"/>
  <c r="J4" i="3"/>
  <c r="K4" i="3"/>
  <c r="K15" i="2"/>
  <c r="K117" i="2"/>
  <c r="K118" i="2"/>
  <c r="K12" i="2"/>
  <c r="K13" i="2"/>
  <c r="K22" i="2"/>
  <c r="Y251" i="1"/>
  <c r="Y239" i="1"/>
  <c r="Y194" i="1"/>
  <c r="Y139" i="1"/>
  <c r="Y65" i="1"/>
  <c r="Y176" i="1"/>
  <c r="Y149" i="1"/>
  <c r="Y72" i="1"/>
  <c r="Y190" i="1"/>
  <c r="Y41" i="1"/>
  <c r="Y29" i="1"/>
  <c r="Y12" i="1"/>
  <c r="Y83" i="1"/>
  <c r="Y46" i="1"/>
  <c r="Y218" i="1"/>
  <c r="Y122" i="1"/>
  <c r="Y74" i="1"/>
  <c r="Y31" i="1"/>
  <c r="Y53" i="1"/>
  <c r="Y45" i="1"/>
  <c r="Y44" i="1"/>
  <c r="Y14" i="1"/>
  <c r="Y202" i="1"/>
  <c r="Y27" i="1"/>
  <c r="Y6" i="1"/>
  <c r="Y21" i="1"/>
  <c r="G106" i="3"/>
  <c r="G10" i="3"/>
  <c r="G33" i="3"/>
  <c r="G6" i="3"/>
  <c r="G38" i="3"/>
  <c r="G4" i="3"/>
  <c r="G70" i="2"/>
  <c r="G15" i="2"/>
  <c r="G117" i="2"/>
  <c r="G118" i="2"/>
  <c r="G12" i="2"/>
  <c r="G13" i="2"/>
  <c r="G22" i="2"/>
  <c r="G8" i="2"/>
  <c r="G68" i="2"/>
  <c r="AA5" i="7"/>
  <c r="G251" i="1"/>
  <c r="G239" i="1"/>
  <c r="G194" i="1"/>
  <c r="G139" i="1"/>
  <c r="G65" i="1"/>
  <c r="G176" i="1"/>
  <c r="G149" i="1"/>
  <c r="G72" i="1"/>
  <c r="G190" i="1"/>
  <c r="G41" i="1"/>
  <c r="G29" i="1"/>
  <c r="G12" i="1"/>
  <c r="G83" i="1"/>
  <c r="G46" i="1"/>
  <c r="G218" i="1"/>
  <c r="G122" i="1"/>
  <c r="G74" i="1"/>
  <c r="G31" i="1"/>
  <c r="G53" i="1"/>
  <c r="G45" i="1"/>
  <c r="G44" i="1"/>
  <c r="G14" i="1"/>
  <c r="G202" i="1"/>
  <c r="G27" i="1"/>
  <c r="G6" i="1"/>
  <c r="G21" i="1"/>
  <c r="I319" i="5"/>
  <c r="E215" i="5"/>
  <c r="E2" i="5"/>
  <c r="AE488" i="9"/>
  <c r="J111" i="3"/>
  <c r="AA19" i="7"/>
  <c r="AA40" i="7"/>
  <c r="AA32" i="7"/>
  <c r="AA31" i="7"/>
  <c r="AA30" i="7"/>
  <c r="AA25" i="7"/>
  <c r="AA24" i="7"/>
  <c r="AA23" i="7"/>
  <c r="AA12" i="7"/>
  <c r="T5" i="3"/>
  <c r="U141" i="2"/>
  <c r="T141" i="2"/>
  <c r="J102" i="1"/>
  <c r="Y5" i="7"/>
  <c r="Y40" i="7"/>
  <c r="J5" i="3"/>
  <c r="K141" i="2"/>
  <c r="K136" i="2"/>
  <c r="K49" i="2"/>
  <c r="K72" i="2"/>
  <c r="K7" i="2"/>
  <c r="K97" i="2"/>
  <c r="K43" i="2"/>
  <c r="K75" i="2"/>
  <c r="K113" i="2"/>
  <c r="K114" i="2"/>
  <c r="K23" i="2"/>
  <c r="K93" i="2"/>
  <c r="K89" i="2"/>
  <c r="K77" i="2"/>
  <c r="K130" i="2"/>
  <c r="K92" i="2"/>
  <c r="K35" i="2"/>
  <c r="K66" i="2"/>
  <c r="K139" i="2"/>
  <c r="K55" i="2"/>
  <c r="K99" i="2"/>
  <c r="K6" i="2"/>
  <c r="K106" i="2"/>
  <c r="K109" i="2"/>
  <c r="K69" i="2"/>
  <c r="K4" i="2"/>
  <c r="K57" i="2"/>
  <c r="K70" i="2"/>
  <c r="K103" i="2"/>
  <c r="K102" i="2"/>
  <c r="K98" i="2"/>
  <c r="K142" i="2"/>
  <c r="K126" i="2"/>
  <c r="K116" i="2"/>
  <c r="K36" i="2"/>
  <c r="K115" i="2"/>
  <c r="K17" i="2"/>
  <c r="K111" i="2"/>
  <c r="K107" i="2"/>
  <c r="K85" i="2"/>
  <c r="K119" i="2"/>
  <c r="K132" i="2"/>
  <c r="K59" i="2"/>
  <c r="K122" i="2"/>
  <c r="K41" i="2"/>
  <c r="K104" i="2"/>
  <c r="K14" i="2"/>
  <c r="K71" i="2"/>
  <c r="K88" i="2"/>
  <c r="K28" i="2"/>
  <c r="K39" i="2"/>
  <c r="K110" i="2"/>
  <c r="K90" i="2"/>
  <c r="K29" i="2"/>
  <c r="K140" i="2"/>
  <c r="K16" i="2"/>
  <c r="K81" i="2"/>
  <c r="K62" i="2"/>
  <c r="K95" i="2"/>
  <c r="K100" i="2"/>
  <c r="K46" i="2"/>
  <c r="K127" i="2"/>
  <c r="K26" i="2"/>
  <c r="K61" i="2"/>
  <c r="K30" i="2"/>
  <c r="K10" i="2"/>
  <c r="K37" i="2"/>
  <c r="K65" i="2"/>
  <c r="K133" i="2"/>
  <c r="K18" i="2"/>
  <c r="K60" i="2"/>
  <c r="K94" i="2"/>
  <c r="K52" i="2"/>
  <c r="K76" i="2"/>
  <c r="K40" i="2"/>
  <c r="K25" i="2"/>
  <c r="K129" i="2"/>
  <c r="K5" i="2"/>
  <c r="K96" i="2"/>
  <c r="K48" i="2"/>
  <c r="K54" i="2"/>
  <c r="K83" i="2"/>
  <c r="K131" i="2"/>
  <c r="K42" i="2"/>
  <c r="K124" i="2"/>
  <c r="K128" i="2"/>
  <c r="K24" i="2"/>
  <c r="K56" i="2"/>
  <c r="K3" i="2"/>
  <c r="K80" i="2"/>
  <c r="K44" i="2"/>
  <c r="K120" i="2"/>
  <c r="K84" i="2"/>
  <c r="K20" i="2"/>
  <c r="K135" i="2"/>
  <c r="K33" i="2"/>
  <c r="K47" i="2"/>
  <c r="K74" i="2"/>
  <c r="K101" i="2"/>
  <c r="K9" i="2"/>
  <c r="K38" i="2"/>
  <c r="K123" i="2"/>
  <c r="K125" i="2"/>
  <c r="K45" i="2"/>
  <c r="K78" i="2"/>
  <c r="K79" i="2"/>
  <c r="K63" i="2"/>
  <c r="K134" i="2"/>
  <c r="K82" i="2"/>
  <c r="K27" i="2"/>
  <c r="K86" i="2"/>
  <c r="K64" i="2"/>
  <c r="K87" i="2"/>
  <c r="K67" i="2"/>
  <c r="K91" i="2"/>
  <c r="K21" i="2"/>
  <c r="K32" i="2"/>
  <c r="K50" i="2"/>
  <c r="K108" i="2"/>
  <c r="K51" i="2"/>
  <c r="K19" i="2"/>
  <c r="K121" i="2"/>
  <c r="K11" i="2"/>
  <c r="K34" i="2"/>
  <c r="K73" i="2"/>
  <c r="K112" i="2"/>
  <c r="K68" i="2"/>
  <c r="K138" i="2"/>
  <c r="K105" i="2"/>
  <c r="K137" i="2"/>
  <c r="K31" i="2"/>
  <c r="K53" i="2"/>
  <c r="G8" i="1"/>
  <c r="G54" i="1"/>
  <c r="AA425" i="9"/>
  <c r="N425" i="9"/>
  <c r="Z32" i="7"/>
  <c r="Z31" i="7"/>
  <c r="Z30" i="7"/>
  <c r="Z23" i="7"/>
  <c r="Z25" i="7"/>
  <c r="Z24" i="7"/>
  <c r="Z19" i="7"/>
  <c r="Z12" i="7"/>
  <c r="Z5" i="7"/>
  <c r="Z40" i="7"/>
  <c r="G44" i="2"/>
  <c r="G30" i="2"/>
  <c r="G20" i="2"/>
  <c r="G11" i="2"/>
  <c r="G25" i="2"/>
  <c r="G48" i="2"/>
  <c r="G88" i="2"/>
  <c r="G29" i="2"/>
  <c r="G14" i="2"/>
  <c r="G60" i="2"/>
  <c r="G63" i="2"/>
  <c r="G128" i="2"/>
  <c r="G124" i="2"/>
  <c r="G19" i="2"/>
  <c r="G79" i="2"/>
  <c r="G94" i="2"/>
  <c r="G81" i="2"/>
  <c r="G54" i="2"/>
  <c r="G131" i="2"/>
  <c r="G51" i="2"/>
  <c r="G67" i="2"/>
  <c r="G110" i="2"/>
  <c r="G90" i="2"/>
  <c r="G40" i="2"/>
  <c r="G38" i="2"/>
  <c r="G46" i="2"/>
  <c r="G59" i="2"/>
  <c r="G82" i="2"/>
  <c r="G106" i="2"/>
  <c r="G111" i="2"/>
  <c r="G47" i="2"/>
  <c r="G76" i="2"/>
  <c r="G129" i="2"/>
  <c r="G24" i="2"/>
  <c r="G64" i="2"/>
  <c r="G132" i="2"/>
  <c r="G65" i="2"/>
  <c r="G100" i="2"/>
  <c r="G10" i="2"/>
  <c r="G56" i="2"/>
  <c r="G96" i="2"/>
  <c r="G83" i="2"/>
  <c r="G120" i="2"/>
  <c r="G18" i="2"/>
  <c r="G121" i="2"/>
  <c r="G104" i="2"/>
  <c r="G45" i="2"/>
  <c r="G42" i="2"/>
  <c r="G130" i="2"/>
  <c r="G103" i="2"/>
  <c r="G17" i="2"/>
  <c r="G78" i="2"/>
  <c r="G91" i="2"/>
  <c r="G34" i="2"/>
  <c r="G28" i="2"/>
  <c r="G116" i="2"/>
  <c r="G115" i="2"/>
  <c r="G23" i="2"/>
  <c r="G101" i="2"/>
  <c r="G16" i="2"/>
  <c r="G62" i="2"/>
  <c r="G57" i="2"/>
  <c r="G123" i="2"/>
  <c r="G140" i="2"/>
  <c r="G80" i="2"/>
  <c r="G112" i="2"/>
  <c r="G84" i="2"/>
  <c r="G122" i="2"/>
  <c r="G52" i="2"/>
  <c r="G31" i="2"/>
  <c r="G74" i="2"/>
  <c r="G55" i="2"/>
  <c r="G4" i="2"/>
  <c r="G108" i="2"/>
  <c r="G50" i="2"/>
  <c r="G41" i="2"/>
  <c r="G135" i="2"/>
  <c r="G36" i="2"/>
  <c r="G109" i="2"/>
  <c r="G27" i="2"/>
  <c r="G7" i="2"/>
  <c r="G71" i="2"/>
  <c r="G87" i="2"/>
  <c r="G134" i="2"/>
  <c r="G9" i="2"/>
  <c r="G3" i="2"/>
  <c r="J114" i="3"/>
  <c r="J70" i="3"/>
  <c r="J171" i="1"/>
  <c r="J91" i="1"/>
  <c r="J56" i="1"/>
  <c r="J59" i="1"/>
  <c r="Z425" i="9"/>
  <c r="M425" i="9"/>
  <c r="U78" i="3"/>
  <c r="U20" i="3"/>
  <c r="U8" i="3"/>
  <c r="T78" i="3"/>
  <c r="T20" i="3"/>
  <c r="T8" i="3"/>
  <c r="U73" i="2"/>
  <c r="U137" i="2"/>
  <c r="U20" i="2"/>
  <c r="U124" i="2"/>
  <c r="U19" i="2"/>
  <c r="T73" i="2"/>
  <c r="T137" i="2"/>
  <c r="T20" i="2"/>
  <c r="T124" i="2"/>
  <c r="T19" i="2"/>
  <c r="V66" i="1"/>
  <c r="U19" i="1"/>
  <c r="V19" i="1"/>
  <c r="U59" i="1"/>
  <c r="V59" i="1"/>
  <c r="U164" i="1"/>
  <c r="V164" i="1"/>
  <c r="U106" i="1"/>
  <c r="V106" i="1"/>
  <c r="U116" i="1"/>
  <c r="V116" i="1"/>
  <c r="U212" i="1"/>
  <c r="V212" i="1"/>
  <c r="U52" i="1"/>
  <c r="V52" i="1"/>
  <c r="U20" i="1"/>
  <c r="V20" i="1"/>
  <c r="AD93" i="3"/>
  <c r="AD67" i="3"/>
  <c r="AD15" i="3"/>
  <c r="AD100" i="3"/>
  <c r="AD48" i="3"/>
  <c r="AD45" i="3"/>
  <c r="AD78" i="3"/>
  <c r="AD20" i="3"/>
  <c r="AD8" i="3"/>
  <c r="T45" i="3"/>
  <c r="U45" i="3"/>
  <c r="K45" i="3"/>
  <c r="K78" i="3"/>
  <c r="K20" i="3"/>
  <c r="K8" i="3"/>
  <c r="J45" i="3"/>
  <c r="J78" i="3"/>
  <c r="J20" i="3"/>
  <c r="J8" i="3"/>
  <c r="G45" i="3"/>
  <c r="G78" i="3"/>
  <c r="G20" i="3"/>
  <c r="G8" i="3"/>
  <c r="AC31" i="2"/>
  <c r="AC112" i="2"/>
  <c r="AC141" i="2"/>
  <c r="AC53" i="2"/>
  <c r="AC26" i="2"/>
  <c r="T107" i="2"/>
  <c r="U107" i="2"/>
  <c r="G107" i="2"/>
  <c r="G73" i="2"/>
  <c r="G137" i="2"/>
  <c r="Y66" i="1"/>
  <c r="Y19" i="1"/>
  <c r="Y59" i="1"/>
  <c r="Y164" i="1"/>
  <c r="Y106" i="1"/>
  <c r="Y116" i="1"/>
  <c r="Y212" i="1"/>
  <c r="Y52" i="1"/>
  <c r="Y20" i="1"/>
  <c r="Y54" i="1"/>
  <c r="U66" i="1"/>
  <c r="J3" i="1"/>
  <c r="J191" i="1"/>
  <c r="K191" i="1"/>
  <c r="J127" i="1"/>
  <c r="K127" i="1"/>
  <c r="J255" i="1"/>
  <c r="K255" i="1"/>
  <c r="J37" i="1"/>
  <c r="K37" i="1"/>
  <c r="J10" i="1"/>
  <c r="K10" i="1"/>
  <c r="J193" i="1"/>
  <c r="K193" i="1"/>
  <c r="J146" i="1"/>
  <c r="K146" i="1"/>
  <c r="K91" i="1"/>
  <c r="J155" i="1"/>
  <c r="K155" i="1"/>
  <c r="G66" i="1"/>
  <c r="G19" i="1"/>
  <c r="G59" i="1"/>
  <c r="G164" i="1"/>
  <c r="G106" i="1"/>
  <c r="G116" i="1"/>
  <c r="G212" i="1"/>
  <c r="G52" i="1"/>
  <c r="G20" i="1"/>
  <c r="G92" i="1"/>
  <c r="L425" i="9"/>
  <c r="Y425" i="9"/>
  <c r="X425" i="9"/>
  <c r="W425" i="9"/>
  <c r="V425" i="9"/>
  <c r="U425" i="9"/>
  <c r="T425" i="9"/>
  <c r="S425" i="9"/>
  <c r="R425" i="9"/>
  <c r="Q425" i="9"/>
  <c r="P425" i="9"/>
  <c r="O425" i="9"/>
  <c r="K425" i="9"/>
  <c r="J425" i="9"/>
  <c r="I425" i="9"/>
  <c r="H425" i="9"/>
  <c r="G425" i="9"/>
  <c r="F425" i="9"/>
  <c r="E425" i="9"/>
  <c r="D425" i="9"/>
  <c r="C425" i="9"/>
  <c r="B425" i="9"/>
  <c r="J145" i="2" l="1"/>
  <c r="Z41" i="7"/>
  <c r="F120" i="3"/>
  <c r="AD118" i="3"/>
  <c r="T118" i="3"/>
  <c r="AB148" i="2"/>
  <c r="AC145" i="2"/>
  <c r="AA148" i="2"/>
  <c r="F147" i="2"/>
  <c r="U279" i="1"/>
  <c r="N433" i="9"/>
  <c r="M433" i="9"/>
  <c r="Q281" i="1"/>
  <c r="AB41" i="7"/>
  <c r="AB26" i="7"/>
  <c r="AA41" i="7"/>
  <c r="AB33" i="7"/>
  <c r="F281" i="1"/>
  <c r="Q120" i="3"/>
  <c r="Q147" i="2"/>
  <c r="E319" i="5"/>
  <c r="J319" i="5"/>
  <c r="I2" i="5"/>
  <c r="K433" i="9"/>
  <c r="AA33" i="7"/>
  <c r="AA26" i="7"/>
  <c r="Z33" i="7"/>
  <c r="Z26" i="7"/>
  <c r="F121" i="3"/>
  <c r="L433" i="9"/>
  <c r="AC121" i="3"/>
  <c r="V279" i="1"/>
  <c r="W282" i="1"/>
  <c r="U118" i="3"/>
  <c r="K319" i="5"/>
  <c r="I433" i="9"/>
  <c r="J433" i="9"/>
  <c r="C433" i="9"/>
  <c r="D433" i="9"/>
  <c r="A433" i="9"/>
  <c r="B433" i="9"/>
  <c r="E433" i="9"/>
  <c r="F433" i="9"/>
  <c r="H433" i="9"/>
  <c r="G433" i="9"/>
  <c r="U53" i="2"/>
  <c r="U125" i="2"/>
  <c r="U105" i="2"/>
  <c r="U61" i="2"/>
  <c r="T53" i="2"/>
  <c r="T125" i="2"/>
  <c r="T105" i="2"/>
  <c r="T61" i="2"/>
  <c r="V89" i="1"/>
  <c r="V40" i="1"/>
  <c r="V213" i="1"/>
  <c r="V10" i="1"/>
  <c r="V219" i="1"/>
  <c r="V237" i="1"/>
  <c r="V60" i="1"/>
  <c r="V26" i="1"/>
  <c r="V92" i="1"/>
  <c r="U89" i="1"/>
  <c r="U40" i="1"/>
  <c r="U213" i="1"/>
  <c r="U10" i="1"/>
  <c r="U219" i="1"/>
  <c r="U237" i="1"/>
  <c r="U60" i="1"/>
  <c r="U26" i="1"/>
  <c r="U92" i="1"/>
  <c r="U4" i="1"/>
  <c r="AC74" i="2"/>
  <c r="AC64" i="2"/>
  <c r="AC38" i="2"/>
  <c r="AC11" i="2"/>
  <c r="AC39" i="2"/>
  <c r="AC34" i="2"/>
  <c r="AC120" i="2"/>
  <c r="AC27" i="2"/>
  <c r="AC121" i="2"/>
  <c r="AC86" i="2"/>
  <c r="AC67" i="2"/>
  <c r="G61" i="2"/>
  <c r="G105" i="2"/>
  <c r="G125" i="2"/>
  <c r="G53" i="2"/>
  <c r="J77" i="1"/>
  <c r="J151" i="1"/>
  <c r="K151" i="1"/>
  <c r="K77" i="1"/>
  <c r="K182" i="1"/>
  <c r="K213" i="1"/>
  <c r="K82" i="1"/>
  <c r="J182" i="1"/>
  <c r="J213" i="1"/>
  <c r="J82" i="1"/>
  <c r="J107" i="1"/>
  <c r="K107" i="1"/>
  <c r="Y10" i="1"/>
  <c r="Y219" i="1"/>
  <c r="Y237" i="1"/>
  <c r="Y60" i="1"/>
  <c r="Y26" i="1"/>
  <c r="Y92" i="1"/>
  <c r="Y213" i="1"/>
  <c r="Y13" i="1"/>
  <c r="Y7" i="1"/>
  <c r="Y91" i="1"/>
  <c r="Y70" i="1"/>
  <c r="Y25" i="1"/>
  <c r="Y28" i="1"/>
  <c r="Y30" i="1"/>
  <c r="Y241" i="1"/>
  <c r="Y62" i="1"/>
  <c r="Y199" i="1"/>
  <c r="Y181" i="1"/>
  <c r="Y76" i="1"/>
  <c r="Y240" i="1"/>
  <c r="Y245" i="1"/>
  <c r="Y191" i="1"/>
  <c r="Y166" i="1"/>
  <c r="Y229" i="1"/>
  <c r="Y5" i="1"/>
  <c r="Y174" i="1"/>
  <c r="Y243" i="1"/>
  <c r="Y22" i="1"/>
  <c r="Y171" i="1"/>
  <c r="Y118" i="1"/>
  <c r="Y144" i="1"/>
  <c r="Y238" i="1"/>
  <c r="Y114" i="1"/>
  <c r="Y148" i="1"/>
  <c r="Y35" i="1"/>
  <c r="Y85" i="1"/>
  <c r="Y109" i="1"/>
  <c r="Y208" i="1"/>
  <c r="Y110" i="1"/>
  <c r="Y34" i="1"/>
  <c r="Y187" i="1"/>
  <c r="Y203" i="1"/>
  <c r="Y80" i="1"/>
  <c r="Y32" i="1"/>
  <c r="Y107" i="1"/>
  <c r="Y93" i="1"/>
  <c r="Y82" i="1"/>
  <c r="Y173" i="1"/>
  <c r="Y232" i="1"/>
  <c r="Y183" i="1"/>
  <c r="Y97" i="1"/>
  <c r="Y18" i="1"/>
  <c r="Y17" i="1"/>
  <c r="Y162" i="1"/>
  <c r="Y215" i="1"/>
  <c r="Y152" i="1"/>
  <c r="Y105" i="1"/>
  <c r="Y96" i="1"/>
  <c r="Y69" i="1"/>
  <c r="Y39" i="1"/>
  <c r="Y178" i="1"/>
  <c r="Y132" i="1"/>
  <c r="Y192" i="1"/>
  <c r="Y71" i="1"/>
  <c r="Y135" i="1"/>
  <c r="Y210" i="1"/>
  <c r="Y252" i="1"/>
  <c r="Y211" i="1"/>
  <c r="Y230" i="1"/>
  <c r="Y158" i="1"/>
  <c r="Y160" i="1"/>
  <c r="Y73" i="1"/>
  <c r="Y103" i="1"/>
  <c r="Y87" i="1"/>
  <c r="Y165" i="1"/>
  <c r="Y120" i="1"/>
  <c r="Y154" i="1"/>
  <c r="Y100" i="1"/>
  <c r="Y75" i="1"/>
  <c r="Y77" i="1"/>
  <c r="Y99" i="1"/>
  <c r="Y234" i="1"/>
  <c r="Y189" i="1"/>
  <c r="Y179" i="1"/>
  <c r="Y201" i="1"/>
  <c r="Y169" i="1"/>
  <c r="Y142" i="1"/>
  <c r="Y134" i="1"/>
  <c r="Y172" i="1"/>
  <c r="Y117" i="1"/>
  <c r="Y90" i="1"/>
  <c r="Y140" i="1"/>
  <c r="Y115" i="1"/>
  <c r="Y64" i="1"/>
  <c r="Y126" i="1"/>
  <c r="Y125" i="1"/>
  <c r="Y81" i="1"/>
  <c r="Y222" i="1"/>
  <c r="Y108" i="1"/>
  <c r="Y130" i="1"/>
  <c r="Y182" i="1"/>
  <c r="Y204" i="1"/>
  <c r="Y136" i="1"/>
  <c r="Y153" i="1"/>
  <c r="Y16" i="1"/>
  <c r="Y49" i="1"/>
  <c r="Y227" i="1"/>
  <c r="Y94" i="1"/>
  <c r="Y185" i="1"/>
  <c r="Y242" i="1"/>
  <c r="Y159" i="1"/>
  <c r="Y177" i="1"/>
  <c r="Y98" i="1"/>
  <c r="Y119" i="1"/>
  <c r="Y86" i="1"/>
  <c r="Y198" i="1"/>
  <c r="Y101" i="1"/>
  <c r="Y63" i="1"/>
  <c r="Y145" i="1"/>
  <c r="Y217" i="1"/>
  <c r="Y88" i="1"/>
  <c r="Y123" i="1"/>
  <c r="Y161" i="1"/>
  <c r="Y180" i="1"/>
  <c r="Y79" i="1"/>
  <c r="Y137" i="1"/>
  <c r="Y141" i="1"/>
  <c r="Y216" i="1"/>
  <c r="Y167" i="1"/>
  <c r="Y184" i="1"/>
  <c r="Y150" i="1"/>
  <c r="Y147" i="1"/>
  <c r="Y111" i="1"/>
  <c r="Y112" i="1"/>
  <c r="Y220" i="1"/>
  <c r="Y127" i="1"/>
  <c r="Y121" i="1"/>
  <c r="Y255" i="1"/>
  <c r="Y9" i="1"/>
  <c r="Y24" i="1"/>
  <c r="Y207" i="1"/>
  <c r="Y186" i="1"/>
  <c r="Y113" i="1"/>
  <c r="Y197" i="1"/>
  <c r="Y57" i="1"/>
  <c r="Y67" i="1"/>
  <c r="Y225" i="1"/>
  <c r="Y244" i="1"/>
  <c r="Y124" i="1"/>
  <c r="Y224" i="1"/>
  <c r="Y78" i="1"/>
  <c r="Y156" i="1"/>
  <c r="Y38" i="1"/>
  <c r="Y221" i="1"/>
  <c r="Y188" i="1"/>
  <c r="Y157" i="1"/>
  <c r="Y175" i="1"/>
  <c r="Y138" i="1"/>
  <c r="Y42" i="1"/>
  <c r="Y228" i="1"/>
  <c r="Y231" i="1"/>
  <c r="Y133" i="1"/>
  <c r="Y214" i="1"/>
  <c r="Y95" i="1"/>
  <c r="Y254" i="1"/>
  <c r="Y104" i="1"/>
  <c r="Y195" i="1"/>
  <c r="Y249" i="1"/>
  <c r="Y196" i="1"/>
  <c r="Y226" i="1"/>
  <c r="Y155" i="1"/>
  <c r="Y206" i="1"/>
  <c r="Y200" i="1"/>
  <c r="Y58" i="1"/>
  <c r="Y68" i="1"/>
  <c r="Y146" i="1"/>
  <c r="Y129" i="1"/>
  <c r="Y55" i="1"/>
  <c r="Y37" i="1"/>
  <c r="Y143" i="1"/>
  <c r="Y235" i="1"/>
  <c r="Y246" i="1"/>
  <c r="Y48" i="1"/>
  <c r="Y61" i="1"/>
  <c r="Y151" i="1"/>
  <c r="Y84" i="1"/>
  <c r="Y223" i="1"/>
  <c r="Y163" i="1"/>
  <c r="Y56" i="1"/>
  <c r="Y253" i="1"/>
  <c r="Y51" i="1"/>
  <c r="Y33" i="1"/>
  <c r="Y131" i="1"/>
  <c r="Y128" i="1"/>
  <c r="Y247" i="1"/>
  <c r="Y15" i="1"/>
  <c r="Y193" i="1"/>
  <c r="Y36" i="1"/>
  <c r="Y205" i="1"/>
  <c r="Y236" i="1"/>
  <c r="Y250" i="1"/>
  <c r="Y170" i="1"/>
  <c r="Y11" i="1"/>
  <c r="Y168" i="1"/>
  <c r="Y43" i="1"/>
  <c r="Y102" i="1"/>
  <c r="Y23" i="1"/>
  <c r="Y248" i="1"/>
  <c r="Y50" i="1"/>
  <c r="Y233" i="1"/>
  <c r="Y209" i="1"/>
  <c r="Y47" i="1"/>
  <c r="Y8" i="1"/>
  <c r="Y3" i="1"/>
  <c r="Y89" i="1"/>
  <c r="Y40" i="1"/>
  <c r="Y4" i="1"/>
  <c r="G26" i="1"/>
  <c r="G60" i="1"/>
  <c r="G237" i="1"/>
  <c r="G219" i="1"/>
  <c r="G10" i="1"/>
  <c r="U140" i="2"/>
  <c r="U18" i="2"/>
  <c r="U10" i="2"/>
  <c r="U26" i="2"/>
  <c r="U126" i="2"/>
  <c r="U68" i="2"/>
  <c r="U39" i="2"/>
  <c r="T140" i="2"/>
  <c r="T18" i="2"/>
  <c r="T10" i="2"/>
  <c r="T26" i="2"/>
  <c r="T126" i="2"/>
  <c r="T68" i="2"/>
  <c r="T39" i="2"/>
  <c r="U93" i="3"/>
  <c r="U67" i="3"/>
  <c r="U15" i="3"/>
  <c r="U100" i="3"/>
  <c r="U48" i="3"/>
  <c r="T93" i="3"/>
  <c r="T67" i="3"/>
  <c r="T15" i="3"/>
  <c r="T100" i="3"/>
  <c r="T48" i="3"/>
  <c r="G15" i="3"/>
  <c r="G100" i="3"/>
  <c r="G48" i="3"/>
  <c r="G67" i="3"/>
  <c r="G93" i="3"/>
  <c r="AC142" i="2"/>
  <c r="G26" i="2"/>
  <c r="G126" i="2"/>
  <c r="G39" i="2"/>
  <c r="J116" i="1"/>
  <c r="K116" i="1"/>
  <c r="J47" i="1"/>
  <c r="K47" i="1"/>
  <c r="J76" i="1"/>
  <c r="K76" i="1"/>
  <c r="G40" i="1"/>
  <c r="G213" i="1"/>
  <c r="G89" i="1"/>
  <c r="AD115" i="3"/>
  <c r="AD112" i="3"/>
  <c r="AD23" i="3"/>
  <c r="AD17" i="3"/>
  <c r="AD99" i="3"/>
  <c r="AD30" i="3"/>
  <c r="AD103" i="3"/>
  <c r="AD72" i="3"/>
  <c r="AD80" i="3"/>
  <c r="AD27" i="3"/>
  <c r="AD16" i="3"/>
  <c r="AD101" i="3"/>
  <c r="AD53" i="3"/>
  <c r="AD5" i="3"/>
  <c r="AD19" i="3"/>
  <c r="AD92" i="3"/>
  <c r="AD66" i="3"/>
  <c r="AD88" i="3"/>
  <c r="AD61" i="3"/>
  <c r="AD41" i="3"/>
  <c r="AD14" i="3"/>
  <c r="AD39" i="3"/>
  <c r="AD58" i="3"/>
  <c r="AD69" i="3"/>
  <c r="AD97" i="3"/>
  <c r="AD95" i="3"/>
  <c r="AD50" i="3"/>
  <c r="AD51" i="3"/>
  <c r="AD56" i="3"/>
  <c r="AD102" i="3"/>
  <c r="AD75" i="3"/>
  <c r="AD13" i="3"/>
  <c r="AD28" i="3"/>
  <c r="AD85" i="3"/>
  <c r="AD25" i="3"/>
  <c r="AD52" i="3"/>
  <c r="AD109" i="3"/>
  <c r="AD91" i="3"/>
  <c r="AD90" i="3"/>
  <c r="AD54" i="3"/>
  <c r="AD60" i="3"/>
  <c r="AD22" i="3"/>
  <c r="AD49" i="3"/>
  <c r="AD36" i="3"/>
  <c r="AD104" i="3"/>
  <c r="AD29" i="3"/>
  <c r="AD71" i="3"/>
  <c r="AD62" i="3"/>
  <c r="AD98" i="3"/>
  <c r="AD44" i="3"/>
  <c r="AD12" i="3"/>
  <c r="AD65" i="3"/>
  <c r="AD40" i="3"/>
  <c r="AD9" i="3"/>
  <c r="AD57" i="3"/>
  <c r="AD59" i="3"/>
  <c r="AD113" i="3"/>
  <c r="AD87" i="3"/>
  <c r="AD34" i="3"/>
  <c r="AD76" i="3"/>
  <c r="AD68" i="3"/>
  <c r="AD81" i="3"/>
  <c r="AD108" i="3"/>
  <c r="AD43" i="3"/>
  <c r="AD89" i="3"/>
  <c r="AD42" i="3"/>
  <c r="AD84" i="3"/>
  <c r="AD96" i="3"/>
  <c r="AD70" i="3"/>
  <c r="AD79" i="3"/>
  <c r="AD21" i="3"/>
  <c r="AD55" i="3"/>
  <c r="AD83" i="3"/>
  <c r="AD73" i="3"/>
  <c r="AD32" i="3"/>
  <c r="AD31" i="3"/>
  <c r="AD86" i="3"/>
  <c r="AD46" i="3"/>
  <c r="AD105" i="3"/>
  <c r="AD47" i="3"/>
  <c r="AD64" i="3"/>
  <c r="AD114" i="3"/>
  <c r="AD63" i="3"/>
  <c r="AD24" i="3"/>
  <c r="AD11" i="3"/>
  <c r="AD74" i="3"/>
  <c r="AD82" i="3"/>
  <c r="AD18" i="3"/>
  <c r="AD26" i="3"/>
  <c r="AD35" i="3"/>
  <c r="AD7" i="3"/>
  <c r="AD77" i="3"/>
  <c r="AD111" i="3"/>
  <c r="AD110" i="3"/>
  <c r="AD94" i="3"/>
  <c r="AD3" i="3"/>
  <c r="AD107" i="3"/>
  <c r="AC7" i="2"/>
  <c r="AC130" i="2"/>
  <c r="AC71" i="2"/>
  <c r="AC55" i="2"/>
  <c r="AC119" i="2"/>
  <c r="AC5" i="2"/>
  <c r="AC139" i="2"/>
  <c r="AC4" i="2"/>
  <c r="AC98" i="2"/>
  <c r="AC61" i="2"/>
  <c r="AC23" i="2"/>
  <c r="AC124" i="2"/>
  <c r="AC134" i="2"/>
  <c r="AC109" i="2"/>
  <c r="AC116" i="2"/>
  <c r="AC17" i="2"/>
  <c r="AC6" i="2"/>
  <c r="AC107" i="2"/>
  <c r="AC20" i="2"/>
  <c r="AC19" i="2"/>
  <c r="AC95" i="2"/>
  <c r="AC3" i="2"/>
  <c r="AC103" i="2"/>
  <c r="AC137" i="2"/>
  <c r="AC135" i="2"/>
  <c r="AC132" i="2"/>
  <c r="AC136" i="2"/>
  <c r="AC49" i="2"/>
  <c r="AC111" i="2"/>
  <c r="AC73" i="2"/>
  <c r="AC59" i="2"/>
  <c r="AC28" i="2"/>
  <c r="AC10" i="2"/>
  <c r="AC36" i="2"/>
  <c r="AC140" i="2"/>
  <c r="AC106" i="2"/>
  <c r="AC89" i="2"/>
  <c r="AC129" i="2"/>
  <c r="AC37" i="2"/>
  <c r="AC110" i="2"/>
  <c r="AC122" i="2"/>
  <c r="AC90" i="2"/>
  <c r="AC127" i="2"/>
  <c r="AC104" i="2"/>
  <c r="AC72" i="2"/>
  <c r="AC108" i="2"/>
  <c r="AC42" i="2"/>
  <c r="AC68" i="2"/>
  <c r="AC105" i="2"/>
  <c r="AC97" i="2"/>
  <c r="AC133" i="2"/>
  <c r="AC44" i="2"/>
  <c r="AC41" i="2"/>
  <c r="AC102" i="2"/>
  <c r="AC9" i="2"/>
  <c r="AC125" i="2"/>
  <c r="AC40" i="2"/>
  <c r="AC66" i="2"/>
  <c r="AC29" i="2"/>
  <c r="AC138" i="2"/>
  <c r="AC25" i="2"/>
  <c r="AC113" i="2"/>
  <c r="AC16" i="2"/>
  <c r="AC93" i="2"/>
  <c r="AC52" i="2"/>
  <c r="AC81" i="2"/>
  <c r="AC77" i="2"/>
  <c r="AC62" i="2"/>
  <c r="AC96" i="2"/>
  <c r="AC92" i="2"/>
  <c r="AC43" i="2"/>
  <c r="AC80" i="2"/>
  <c r="AC78" i="2"/>
  <c r="AC115" i="2"/>
  <c r="AC100" i="2"/>
  <c r="AC70" i="2"/>
  <c r="AC76" i="2"/>
  <c r="AC87" i="2"/>
  <c r="AC24" i="2"/>
  <c r="AC50" i="2"/>
  <c r="AC123" i="2"/>
  <c r="AC83" i="2"/>
  <c r="AC35" i="2"/>
  <c r="AC46" i="2"/>
  <c r="AC101" i="2"/>
  <c r="AC33" i="2"/>
  <c r="AC69" i="2"/>
  <c r="AC99" i="2"/>
  <c r="AC75" i="2"/>
  <c r="AC114" i="2"/>
  <c r="AC85" i="2"/>
  <c r="AC48" i="2"/>
  <c r="AC21" i="2"/>
  <c r="AC63" i="2"/>
  <c r="AC45" i="2"/>
  <c r="AC128" i="2"/>
  <c r="AC54" i="2"/>
  <c r="AC94" i="2"/>
  <c r="AC60" i="2"/>
  <c r="AC65" i="2"/>
  <c r="AC57" i="2"/>
  <c r="AC56" i="2"/>
  <c r="AC47" i="2"/>
  <c r="AC32" i="2"/>
  <c r="AC84" i="2"/>
  <c r="AC14" i="2"/>
  <c r="AC18" i="2"/>
  <c r="AC131" i="2"/>
  <c r="AC126" i="2"/>
  <c r="AC79" i="2"/>
  <c r="AC88" i="2"/>
  <c r="AC91" i="2"/>
  <c r="AC51" i="2"/>
  <c r="AC82" i="2"/>
  <c r="AC30" i="2"/>
  <c r="K3" i="1"/>
  <c r="V4" i="1"/>
  <c r="I3" i="5"/>
  <c r="T123" i="2"/>
  <c r="U123" i="2"/>
  <c r="T21" i="2"/>
  <c r="U21" i="2"/>
  <c r="T139" i="2"/>
  <c r="U139" i="2"/>
  <c r="V8" i="1"/>
  <c r="V156" i="1"/>
  <c r="V56" i="1"/>
  <c r="V131" i="1"/>
  <c r="U247" i="1"/>
  <c r="U8" i="1"/>
  <c r="U156" i="1"/>
  <c r="U56" i="1"/>
  <c r="U131" i="1"/>
  <c r="G139" i="2"/>
  <c r="G21" i="2"/>
  <c r="V247" i="1"/>
  <c r="K140" i="1"/>
  <c r="J23" i="1"/>
  <c r="J8" i="1"/>
  <c r="J240" i="1"/>
  <c r="J75" i="1"/>
  <c r="J154" i="1"/>
  <c r="J140" i="1"/>
  <c r="K8" i="1"/>
  <c r="K240" i="1"/>
  <c r="K75" i="1"/>
  <c r="K154" i="1"/>
  <c r="J233" i="1"/>
  <c r="G247" i="1"/>
  <c r="G156" i="1"/>
  <c r="G56" i="1"/>
  <c r="G131" i="1"/>
  <c r="U113" i="3"/>
  <c r="T102" i="3"/>
  <c r="T112" i="3"/>
  <c r="U112" i="3"/>
  <c r="T30" i="3"/>
  <c r="U11" i="3"/>
  <c r="T11" i="3"/>
  <c r="U111" i="3"/>
  <c r="U72" i="3"/>
  <c r="U101" i="3"/>
  <c r="U35" i="3"/>
  <c r="U97" i="3"/>
  <c r="U53" i="3"/>
  <c r="U51" i="3"/>
  <c r="U58" i="3"/>
  <c r="U76" i="3"/>
  <c r="U62" i="3"/>
  <c r="U81" i="3"/>
  <c r="U7" i="3"/>
  <c r="U74" i="3"/>
  <c r="U79" i="3"/>
  <c r="U24" i="3"/>
  <c r="U19" i="3"/>
  <c r="U36" i="3"/>
  <c r="U83" i="3"/>
  <c r="U105" i="3"/>
  <c r="U25" i="3"/>
  <c r="U75" i="3"/>
  <c r="U95" i="3"/>
  <c r="U34" i="3"/>
  <c r="U63" i="3"/>
  <c r="U26" i="3"/>
  <c r="U21" i="3"/>
  <c r="U49" i="3"/>
  <c r="U60" i="3"/>
  <c r="U98" i="3"/>
  <c r="U32" i="3"/>
  <c r="U69" i="3"/>
  <c r="U56" i="3"/>
  <c r="U44" i="3"/>
  <c r="U57" i="3"/>
  <c r="U29" i="3"/>
  <c r="U12" i="3"/>
  <c r="U70" i="3"/>
  <c r="U43" i="3"/>
  <c r="U64" i="3"/>
  <c r="U22" i="3"/>
  <c r="U85" i="3"/>
  <c r="U88" i="3"/>
  <c r="U50" i="3"/>
  <c r="U54" i="3"/>
  <c r="U114" i="3"/>
  <c r="U71" i="3"/>
  <c r="U86" i="3"/>
  <c r="U55" i="3"/>
  <c r="U68" i="3"/>
  <c r="U46" i="3"/>
  <c r="U90" i="3"/>
  <c r="U23" i="3"/>
  <c r="U92" i="3"/>
  <c r="U73" i="3"/>
  <c r="U87" i="3"/>
  <c r="U40" i="3"/>
  <c r="U14" i="3"/>
  <c r="U115" i="3"/>
  <c r="U31" i="3"/>
  <c r="U91" i="3"/>
  <c r="U104" i="3"/>
  <c r="U77" i="3"/>
  <c r="U59" i="3"/>
  <c r="U39" i="3"/>
  <c r="U13" i="3"/>
  <c r="U66" i="3"/>
  <c r="U27" i="3"/>
  <c r="U107" i="3"/>
  <c r="U96" i="3"/>
  <c r="U52" i="3"/>
  <c r="U109" i="3"/>
  <c r="U28" i="3"/>
  <c r="U110" i="3"/>
  <c r="U47" i="3"/>
  <c r="U103" i="3"/>
  <c r="U82" i="3"/>
  <c r="U61" i="3"/>
  <c r="U18" i="3"/>
  <c r="U65" i="3"/>
  <c r="U41" i="3"/>
  <c r="U99" i="3"/>
  <c r="U16" i="3"/>
  <c r="U108" i="3"/>
  <c r="U102" i="3"/>
  <c r="U3" i="3"/>
  <c r="U94" i="3"/>
  <c r="U80" i="3"/>
  <c r="T113" i="3"/>
  <c r="T111" i="3"/>
  <c r="T72" i="3"/>
  <c r="T101" i="3"/>
  <c r="T35" i="3"/>
  <c r="T97" i="3"/>
  <c r="T53" i="3"/>
  <c r="T51" i="3"/>
  <c r="T58" i="3"/>
  <c r="T76" i="3"/>
  <c r="T62" i="3"/>
  <c r="T81" i="3"/>
  <c r="T7" i="3"/>
  <c r="T74" i="3"/>
  <c r="T79" i="3"/>
  <c r="T24" i="3"/>
  <c r="T19" i="3"/>
  <c r="T36" i="3"/>
  <c r="T83" i="3"/>
  <c r="T105" i="3"/>
  <c r="T25" i="3"/>
  <c r="T75" i="3"/>
  <c r="T95" i="3"/>
  <c r="T34" i="3"/>
  <c r="T63" i="3"/>
  <c r="T26" i="3"/>
  <c r="T21" i="3"/>
  <c r="T49" i="3"/>
  <c r="T60" i="3"/>
  <c r="T98" i="3"/>
  <c r="T32" i="3"/>
  <c r="T69" i="3"/>
  <c r="T56" i="3"/>
  <c r="T44" i="3"/>
  <c r="T57" i="3"/>
  <c r="T29" i="3"/>
  <c r="T12" i="3"/>
  <c r="T70" i="3"/>
  <c r="T43" i="3"/>
  <c r="T64" i="3"/>
  <c r="T22" i="3"/>
  <c r="T85" i="3"/>
  <c r="T88" i="3"/>
  <c r="T50" i="3"/>
  <c r="T54" i="3"/>
  <c r="T114" i="3"/>
  <c r="T71" i="3"/>
  <c r="T86" i="3"/>
  <c r="T55" i="3"/>
  <c r="T68" i="3"/>
  <c r="T46" i="3"/>
  <c r="T90" i="3"/>
  <c r="T23" i="3"/>
  <c r="T92" i="3"/>
  <c r="T73" i="3"/>
  <c r="T87" i="3"/>
  <c r="T40" i="3"/>
  <c r="T14" i="3"/>
  <c r="T115" i="3"/>
  <c r="T31" i="3"/>
  <c r="T91" i="3"/>
  <c r="T104" i="3"/>
  <c r="T77" i="3"/>
  <c r="T59" i="3"/>
  <c r="T39" i="3"/>
  <c r="T13" i="3"/>
  <c r="T66" i="3"/>
  <c r="T27" i="3"/>
  <c r="T107" i="3"/>
  <c r="T96" i="3"/>
  <c r="T52" i="3"/>
  <c r="T109" i="3"/>
  <c r="T28" i="3"/>
  <c r="T110" i="3"/>
  <c r="T47" i="3"/>
  <c r="T103" i="3"/>
  <c r="T82" i="3"/>
  <c r="T61" i="3"/>
  <c r="T18" i="3"/>
  <c r="T65" i="3"/>
  <c r="T41" i="3"/>
  <c r="T99" i="3"/>
  <c r="T16" i="3"/>
  <c r="T108" i="3"/>
  <c r="T3" i="3"/>
  <c r="T94" i="3"/>
  <c r="T80" i="3"/>
  <c r="T9" i="3"/>
  <c r="U32" i="2"/>
  <c r="U87" i="2"/>
  <c r="U112" i="2"/>
  <c r="T32" i="2"/>
  <c r="T87" i="2"/>
  <c r="T112" i="2"/>
  <c r="J209" i="1"/>
  <c r="V228" i="1"/>
  <c r="V173" i="1"/>
  <c r="V229" i="1"/>
  <c r="V23" i="1"/>
  <c r="V240" i="1"/>
  <c r="V70" i="1"/>
  <c r="V243" i="1"/>
  <c r="V255" i="1"/>
  <c r="V250" i="1"/>
  <c r="V33" i="1"/>
  <c r="V42" i="1"/>
  <c r="V54" i="1"/>
  <c r="V249" i="1"/>
  <c r="V245" i="1"/>
  <c r="V128" i="1"/>
  <c r="V253" i="1"/>
  <c r="V50" i="1"/>
  <c r="V25" i="1"/>
  <c r="V91" i="1"/>
  <c r="V22" i="1"/>
  <c r="V163" i="1"/>
  <c r="V76" i="1"/>
  <c r="V104" i="1"/>
  <c r="V129" i="1"/>
  <c r="V125" i="1"/>
  <c r="V43" i="1"/>
  <c r="V15" i="1"/>
  <c r="V47" i="1"/>
  <c r="U228" i="1"/>
  <c r="U173" i="1"/>
  <c r="U229" i="1"/>
  <c r="U23" i="1"/>
  <c r="U240" i="1"/>
  <c r="U70" i="1"/>
  <c r="U243" i="1"/>
  <c r="U255" i="1"/>
  <c r="U250" i="1"/>
  <c r="U33" i="1"/>
  <c r="U42" i="1"/>
  <c r="U54" i="1"/>
  <c r="U249" i="1"/>
  <c r="U245" i="1"/>
  <c r="U128" i="1"/>
  <c r="U253" i="1"/>
  <c r="U50" i="1"/>
  <c r="U25" i="1"/>
  <c r="U91" i="1"/>
  <c r="U22" i="1"/>
  <c r="U163" i="1"/>
  <c r="U76" i="1"/>
  <c r="U104" i="1"/>
  <c r="U129" i="1"/>
  <c r="U125" i="1"/>
  <c r="U43" i="1"/>
  <c r="U15" i="1"/>
  <c r="U47" i="1"/>
  <c r="V146" i="1"/>
  <c r="U146" i="1"/>
  <c r="U254" i="1"/>
  <c r="V28" i="1"/>
  <c r="V13" i="1"/>
  <c r="V3" i="1"/>
  <c r="V17" i="1"/>
  <c r="V36" i="1"/>
  <c r="V81" i="1"/>
  <c r="V151" i="1"/>
  <c r="V55" i="1"/>
  <c r="V37" i="1"/>
  <c r="V51" i="1"/>
  <c r="V252" i="1"/>
  <c r="V204" i="1"/>
  <c r="V109" i="1"/>
  <c r="V132" i="1"/>
  <c r="V18" i="1"/>
  <c r="V205" i="1"/>
  <c r="V215" i="1"/>
  <c r="V71" i="1"/>
  <c r="V69" i="1"/>
  <c r="V115" i="1"/>
  <c r="V183" i="1"/>
  <c r="V207" i="1"/>
  <c r="V227" i="1"/>
  <c r="V203" i="1"/>
  <c r="V90" i="1"/>
  <c r="V216" i="1"/>
  <c r="V67" i="1"/>
  <c r="V138" i="1"/>
  <c r="V244" i="1"/>
  <c r="V175" i="1"/>
  <c r="V99" i="1"/>
  <c r="V34" i="1"/>
  <c r="V197" i="1"/>
  <c r="V88" i="1"/>
  <c r="V38" i="1"/>
  <c r="V86" i="1"/>
  <c r="V165" i="1"/>
  <c r="V77" i="1"/>
  <c r="V171" i="1"/>
  <c r="V162" i="1"/>
  <c r="V152" i="1"/>
  <c r="V168" i="1"/>
  <c r="V142" i="1"/>
  <c r="V184" i="1"/>
  <c r="V158" i="1"/>
  <c r="V154" i="1"/>
  <c r="V181" i="1"/>
  <c r="V117" i="1"/>
  <c r="V126" i="1"/>
  <c r="V161" i="1"/>
  <c r="V201" i="1"/>
  <c r="V112" i="1"/>
  <c r="V121" i="1"/>
  <c r="V179" i="1"/>
  <c r="V220" i="1"/>
  <c r="V108" i="1"/>
  <c r="V178" i="1"/>
  <c r="V114" i="1"/>
  <c r="V196" i="1"/>
  <c r="V136" i="1"/>
  <c r="V208" i="1"/>
  <c r="V198" i="1"/>
  <c r="V134" i="1"/>
  <c r="V94" i="1"/>
  <c r="V130" i="1"/>
  <c r="V143" i="1"/>
  <c r="V186" i="1"/>
  <c r="V172" i="1"/>
  <c r="V145" i="1"/>
  <c r="V39" i="1"/>
  <c r="V101" i="1"/>
  <c r="V120" i="1"/>
  <c r="V169" i="1"/>
  <c r="V221" i="1"/>
  <c r="V226" i="1"/>
  <c r="V159" i="1"/>
  <c r="V82" i="1"/>
  <c r="V167" i="1"/>
  <c r="V79" i="1"/>
  <c r="V103" i="1"/>
  <c r="V124" i="1"/>
  <c r="V98" i="1"/>
  <c r="V16" i="1"/>
  <c r="V150" i="1"/>
  <c r="V133" i="1"/>
  <c r="V78" i="1"/>
  <c r="V97" i="1"/>
  <c r="V209" i="1"/>
  <c r="V96" i="1"/>
  <c r="V232" i="1"/>
  <c r="V63" i="1"/>
  <c r="V187" i="1"/>
  <c r="V177" i="1"/>
  <c r="V58" i="1"/>
  <c r="V100" i="1"/>
  <c r="V160" i="1"/>
  <c r="V123" i="1"/>
  <c r="V235" i="1"/>
  <c r="V95" i="1"/>
  <c r="V111" i="1"/>
  <c r="V119" i="1"/>
  <c r="V30" i="1"/>
  <c r="V64" i="1"/>
  <c r="V127" i="1"/>
  <c r="V195" i="1"/>
  <c r="V234" i="1"/>
  <c r="V61" i="1"/>
  <c r="V192" i="1"/>
  <c r="V68" i="1"/>
  <c r="V170" i="1"/>
  <c r="V185" i="1"/>
  <c r="V199" i="1"/>
  <c r="V193" i="1"/>
  <c r="V147" i="1"/>
  <c r="V62" i="1"/>
  <c r="V49" i="1"/>
  <c r="V180" i="1"/>
  <c r="V105" i="1"/>
  <c r="V73" i="1"/>
  <c r="V188" i="1"/>
  <c r="V110" i="1"/>
  <c r="V75" i="1"/>
  <c r="V225" i="1"/>
  <c r="V157" i="1"/>
  <c r="V182" i="1"/>
  <c r="V24" i="1"/>
  <c r="V113" i="1"/>
  <c r="V5" i="1"/>
  <c r="V32" i="1"/>
  <c r="V148" i="1"/>
  <c r="V35" i="1"/>
  <c r="V174" i="1"/>
  <c r="V87" i="1"/>
  <c r="V166" i="1"/>
  <c r="V141" i="1"/>
  <c r="V137" i="1"/>
  <c r="V214" i="1"/>
  <c r="V118" i="1"/>
  <c r="V211" i="1"/>
  <c r="V107" i="1"/>
  <c r="V9" i="1"/>
  <c r="V140" i="1"/>
  <c r="V85" i="1"/>
  <c r="V210" i="1"/>
  <c r="V222" i="1"/>
  <c r="V191" i="1"/>
  <c r="V236" i="1"/>
  <c r="V189" i="1"/>
  <c r="V231" i="1"/>
  <c r="V233" i="1"/>
  <c r="V224" i="1"/>
  <c r="V217" i="1"/>
  <c r="V223" i="1"/>
  <c r="V135" i="1"/>
  <c r="V11" i="1"/>
  <c r="V93" i="1"/>
  <c r="V246" i="1"/>
  <c r="V206" i="1"/>
  <c r="V153" i="1"/>
  <c r="V80" i="1"/>
  <c r="V144" i="1"/>
  <c r="V57" i="1"/>
  <c r="V248" i="1"/>
  <c r="V155" i="1"/>
  <c r="V102" i="1"/>
  <c r="V238" i="1"/>
  <c r="V48" i="1"/>
  <c r="V200" i="1"/>
  <c r="V230" i="1"/>
  <c r="V242" i="1"/>
  <c r="V84" i="1"/>
  <c r="V241" i="1"/>
  <c r="V254" i="1"/>
  <c r="V7" i="1"/>
  <c r="U55" i="2"/>
  <c r="U13" i="1"/>
  <c r="U3" i="1"/>
  <c r="U17" i="1"/>
  <c r="U36" i="1"/>
  <c r="U81" i="1"/>
  <c r="U151" i="1"/>
  <c r="U55" i="1"/>
  <c r="U37" i="1"/>
  <c r="U51" i="1"/>
  <c r="U252" i="1"/>
  <c r="U204" i="1"/>
  <c r="U109" i="1"/>
  <c r="U132" i="1"/>
  <c r="U18" i="1"/>
  <c r="U205" i="1"/>
  <c r="U215" i="1"/>
  <c r="U71" i="1"/>
  <c r="U69" i="1"/>
  <c r="U115" i="1"/>
  <c r="U183" i="1"/>
  <c r="U207" i="1"/>
  <c r="U227" i="1"/>
  <c r="U203" i="1"/>
  <c r="U90" i="1"/>
  <c r="U216" i="1"/>
  <c r="U67" i="1"/>
  <c r="U138" i="1"/>
  <c r="U244" i="1"/>
  <c r="U175" i="1"/>
  <c r="U99" i="1"/>
  <c r="U34" i="1"/>
  <c r="U197" i="1"/>
  <c r="U88" i="1"/>
  <c r="U38" i="1"/>
  <c r="U86" i="1"/>
  <c r="U165" i="1"/>
  <c r="U77" i="1"/>
  <c r="U171" i="1"/>
  <c r="U162" i="1"/>
  <c r="U152" i="1"/>
  <c r="U168" i="1"/>
  <c r="U142" i="1"/>
  <c r="U184" i="1"/>
  <c r="U158" i="1"/>
  <c r="U154" i="1"/>
  <c r="U181" i="1"/>
  <c r="U117" i="1"/>
  <c r="U126" i="1"/>
  <c r="U161" i="1"/>
  <c r="U201" i="1"/>
  <c r="U112" i="1"/>
  <c r="U121" i="1"/>
  <c r="U179" i="1"/>
  <c r="U220" i="1"/>
  <c r="U108" i="1"/>
  <c r="U178" i="1"/>
  <c r="U114" i="1"/>
  <c r="U196" i="1"/>
  <c r="U136" i="1"/>
  <c r="U208" i="1"/>
  <c r="U198" i="1"/>
  <c r="U134" i="1"/>
  <c r="U94" i="1"/>
  <c r="U130" i="1"/>
  <c r="U28" i="1"/>
  <c r="U143" i="1"/>
  <c r="U186" i="1"/>
  <c r="U172" i="1"/>
  <c r="U145" i="1"/>
  <c r="U39" i="1"/>
  <c r="U101" i="1"/>
  <c r="U120" i="1"/>
  <c r="U169" i="1"/>
  <c r="U221" i="1"/>
  <c r="U226" i="1"/>
  <c r="U159" i="1"/>
  <c r="U82" i="1"/>
  <c r="U167" i="1"/>
  <c r="U79" i="1"/>
  <c r="U103" i="1"/>
  <c r="U124" i="1"/>
  <c r="U98" i="1"/>
  <c r="U16" i="1"/>
  <c r="U150" i="1"/>
  <c r="U133" i="1"/>
  <c r="U78" i="1"/>
  <c r="U97" i="1"/>
  <c r="U209" i="1"/>
  <c r="U96" i="1"/>
  <c r="U232" i="1"/>
  <c r="U63" i="1"/>
  <c r="U187" i="1"/>
  <c r="U177" i="1"/>
  <c r="U58" i="1"/>
  <c r="U100" i="1"/>
  <c r="U160" i="1"/>
  <c r="U123" i="1"/>
  <c r="U235" i="1"/>
  <c r="U95" i="1"/>
  <c r="U111" i="1"/>
  <c r="U119" i="1"/>
  <c r="U30" i="1"/>
  <c r="U64" i="1"/>
  <c r="U127" i="1"/>
  <c r="U195" i="1"/>
  <c r="U234" i="1"/>
  <c r="U61" i="1"/>
  <c r="U192" i="1"/>
  <c r="U68" i="1"/>
  <c r="U170" i="1"/>
  <c r="U185" i="1"/>
  <c r="U199" i="1"/>
  <c r="U193" i="1"/>
  <c r="U147" i="1"/>
  <c r="U62" i="1"/>
  <c r="U49" i="1"/>
  <c r="U180" i="1"/>
  <c r="U105" i="1"/>
  <c r="U73" i="1"/>
  <c r="U188" i="1"/>
  <c r="U110" i="1"/>
  <c r="U75" i="1"/>
  <c r="U225" i="1"/>
  <c r="U157" i="1"/>
  <c r="U182" i="1"/>
  <c r="U24" i="1"/>
  <c r="U113" i="1"/>
  <c r="U5" i="1"/>
  <c r="U32" i="1"/>
  <c r="U148" i="1"/>
  <c r="U35" i="1"/>
  <c r="U174" i="1"/>
  <c r="U87" i="1"/>
  <c r="U166" i="1"/>
  <c r="U141" i="1"/>
  <c r="U137" i="1"/>
  <c r="U214" i="1"/>
  <c r="U118" i="1"/>
  <c r="U211" i="1"/>
  <c r="U107" i="1"/>
  <c r="U9" i="1"/>
  <c r="U140" i="1"/>
  <c r="U85" i="1"/>
  <c r="U210" i="1"/>
  <c r="U222" i="1"/>
  <c r="U191" i="1"/>
  <c r="U236" i="1"/>
  <c r="U189" i="1"/>
  <c r="U231" i="1"/>
  <c r="U233" i="1"/>
  <c r="U224" i="1"/>
  <c r="U217" i="1"/>
  <c r="U223" i="1"/>
  <c r="U135" i="1"/>
  <c r="U11" i="1"/>
  <c r="U93" i="1"/>
  <c r="U246" i="1"/>
  <c r="U206" i="1"/>
  <c r="U153" i="1"/>
  <c r="U80" i="1"/>
  <c r="U144" i="1"/>
  <c r="U57" i="1"/>
  <c r="U248" i="1"/>
  <c r="U155" i="1"/>
  <c r="U102" i="1"/>
  <c r="U238" i="1"/>
  <c r="U48" i="1"/>
  <c r="U200" i="1"/>
  <c r="U230" i="1"/>
  <c r="U242" i="1"/>
  <c r="U84" i="1"/>
  <c r="U241" i="1"/>
  <c r="U7" i="1"/>
  <c r="K177" i="1"/>
  <c r="K138" i="1"/>
  <c r="K224" i="1"/>
  <c r="K144" i="1"/>
  <c r="K181" i="1"/>
  <c r="K97" i="1"/>
  <c r="K229" i="1"/>
  <c r="K230" i="1"/>
  <c r="K186" i="1"/>
  <c r="J177" i="1"/>
  <c r="J138" i="1"/>
  <c r="J224" i="1"/>
  <c r="J144" i="1"/>
  <c r="J181" i="1"/>
  <c r="J97" i="1"/>
  <c r="J229" i="1"/>
  <c r="J230" i="1"/>
  <c r="J186" i="1"/>
  <c r="G129" i="1"/>
  <c r="G125" i="1"/>
  <c r="G43" i="1"/>
  <c r="G15" i="1"/>
  <c r="G47" i="1"/>
  <c r="G76" i="1"/>
  <c r="G104" i="1"/>
  <c r="J93" i="3" l="1"/>
  <c r="K48" i="3"/>
  <c r="J67" i="3"/>
  <c r="K100" i="3"/>
  <c r="J115" i="3"/>
  <c r="K15" i="3"/>
  <c r="J48" i="3"/>
  <c r="K67" i="3"/>
  <c r="J100" i="3"/>
  <c r="K93" i="3"/>
  <c r="J15" i="3"/>
  <c r="F148" i="2"/>
  <c r="G80" i="3"/>
  <c r="G112" i="3"/>
  <c r="G32" i="2"/>
  <c r="G22" i="1"/>
  <c r="G163" i="1"/>
  <c r="G9" i="3"/>
  <c r="J108" i="3"/>
  <c r="K109" i="3"/>
  <c r="J42" i="3"/>
  <c r="K42" i="3"/>
  <c r="J29" i="3"/>
  <c r="K29" i="3"/>
  <c r="U9" i="3"/>
  <c r="G113" i="3"/>
  <c r="J60" i="3"/>
  <c r="K60" i="3"/>
  <c r="G111" i="3"/>
  <c r="J74" i="3"/>
  <c r="K74" i="3"/>
  <c r="G72" i="3"/>
  <c r="J39" i="3"/>
  <c r="K39" i="3"/>
  <c r="G101" i="3"/>
  <c r="J40" i="3"/>
  <c r="K40" i="3"/>
  <c r="J92" i="3"/>
  <c r="K92" i="3"/>
  <c r="G35" i="3"/>
  <c r="G97" i="3"/>
  <c r="J68" i="3"/>
  <c r="K68" i="3"/>
  <c r="G53" i="3"/>
  <c r="J104" i="3"/>
  <c r="K104" i="3"/>
  <c r="J19" i="3"/>
  <c r="K19" i="3"/>
  <c r="G58" i="3"/>
  <c r="J64" i="3"/>
  <c r="K64" i="3"/>
  <c r="G51" i="3"/>
  <c r="J107" i="3"/>
  <c r="K107" i="3"/>
  <c r="G76" i="3"/>
  <c r="J98" i="3"/>
  <c r="K98" i="3"/>
  <c r="G62" i="3"/>
  <c r="J57" i="3"/>
  <c r="K57" i="3"/>
  <c r="G81" i="3"/>
  <c r="J22" i="3"/>
  <c r="K22" i="3"/>
  <c r="G79" i="3"/>
  <c r="G74" i="3"/>
  <c r="J26" i="3"/>
  <c r="K26" i="3"/>
  <c r="G24" i="3"/>
  <c r="K115" i="3"/>
  <c r="G19" i="3"/>
  <c r="G36" i="3"/>
  <c r="J81" i="3"/>
  <c r="K81" i="3"/>
  <c r="G83" i="3"/>
  <c r="J105" i="3"/>
  <c r="K105" i="3"/>
  <c r="G75" i="3"/>
  <c r="J76" i="3"/>
  <c r="K76" i="3"/>
  <c r="G25" i="3"/>
  <c r="J55" i="3"/>
  <c r="K55" i="3"/>
  <c r="G95" i="3"/>
  <c r="J96" i="3"/>
  <c r="K96" i="3"/>
  <c r="G34" i="3"/>
  <c r="G63" i="3"/>
  <c r="J72" i="3"/>
  <c r="K72" i="3"/>
  <c r="J11" i="3"/>
  <c r="K11" i="3"/>
  <c r="G26" i="3"/>
  <c r="J71" i="3"/>
  <c r="K71" i="3"/>
  <c r="J85" i="3"/>
  <c r="K85" i="3"/>
  <c r="J46" i="3"/>
  <c r="K46" i="3"/>
  <c r="G32" i="3"/>
  <c r="J44" i="3"/>
  <c r="K44" i="3"/>
  <c r="G49" i="3"/>
  <c r="J66" i="3"/>
  <c r="K66" i="3"/>
  <c r="J54" i="3"/>
  <c r="K54" i="3"/>
  <c r="G98" i="3"/>
  <c r="J12" i="3"/>
  <c r="K12" i="3"/>
  <c r="G60" i="3"/>
  <c r="G44" i="3"/>
  <c r="J53" i="3"/>
  <c r="K53" i="3"/>
  <c r="G56" i="3"/>
  <c r="J110" i="3"/>
  <c r="K110" i="3"/>
  <c r="G21" i="3"/>
  <c r="J59" i="3"/>
  <c r="K59" i="3"/>
  <c r="G69" i="3"/>
  <c r="J103" i="3"/>
  <c r="K103" i="3"/>
  <c r="G29" i="3"/>
  <c r="J14" i="3"/>
  <c r="K14" i="3"/>
  <c r="G114" i="3"/>
  <c r="J47" i="3"/>
  <c r="K47" i="3"/>
  <c r="G12" i="3"/>
  <c r="J43" i="3"/>
  <c r="K43" i="3"/>
  <c r="G70" i="3"/>
  <c r="J21" i="3"/>
  <c r="K21" i="3"/>
  <c r="G57" i="3"/>
  <c r="J95" i="3"/>
  <c r="K95" i="3"/>
  <c r="G64" i="3"/>
  <c r="J69" i="3"/>
  <c r="K69" i="3"/>
  <c r="G43" i="3"/>
  <c r="J73" i="3"/>
  <c r="K73" i="3"/>
  <c r="J99" i="3"/>
  <c r="K99" i="3"/>
  <c r="G85" i="3"/>
  <c r="J87" i="3"/>
  <c r="K87" i="3"/>
  <c r="J65" i="3"/>
  <c r="K65" i="3"/>
  <c r="G54" i="3"/>
  <c r="J63" i="3"/>
  <c r="K63" i="3"/>
  <c r="G88" i="3"/>
  <c r="J58" i="3"/>
  <c r="K58" i="3"/>
  <c r="G71" i="3"/>
  <c r="G50" i="3"/>
  <c r="J75" i="3"/>
  <c r="K75" i="3"/>
  <c r="G86" i="3"/>
  <c r="J32" i="3"/>
  <c r="K32" i="3"/>
  <c r="G55" i="3"/>
  <c r="J82" i="3"/>
  <c r="K82" i="3"/>
  <c r="G68" i="3"/>
  <c r="J13" i="3"/>
  <c r="K13" i="3"/>
  <c r="G90" i="3"/>
  <c r="J56" i="3"/>
  <c r="K56" i="3"/>
  <c r="G23" i="3"/>
  <c r="J113" i="3"/>
  <c r="K113" i="3"/>
  <c r="G46" i="3"/>
  <c r="J35" i="3"/>
  <c r="K35" i="3"/>
  <c r="G87" i="3"/>
  <c r="J88" i="3"/>
  <c r="K88" i="3"/>
  <c r="G40" i="3"/>
  <c r="K70" i="3"/>
  <c r="G92" i="3"/>
  <c r="J28" i="3"/>
  <c r="K28" i="3"/>
  <c r="G73" i="3"/>
  <c r="J25" i="3"/>
  <c r="K25" i="3"/>
  <c r="G14" i="3"/>
  <c r="J23" i="3"/>
  <c r="K23" i="3"/>
  <c r="G115" i="3"/>
  <c r="J101" i="3"/>
  <c r="K101" i="3"/>
  <c r="J41" i="3"/>
  <c r="K41" i="3"/>
  <c r="G7" i="3"/>
  <c r="J34" i="3"/>
  <c r="K34" i="3"/>
  <c r="G31" i="3"/>
  <c r="J97" i="3"/>
  <c r="K97" i="3"/>
  <c r="J51" i="3"/>
  <c r="K51" i="3"/>
  <c r="G91" i="3"/>
  <c r="J52" i="3"/>
  <c r="K52" i="3"/>
  <c r="G104" i="3"/>
  <c r="J50" i="3"/>
  <c r="K50" i="3"/>
  <c r="G77" i="3"/>
  <c r="J80" i="3"/>
  <c r="K80" i="3"/>
  <c r="G13" i="3"/>
  <c r="J90" i="3"/>
  <c r="K90" i="3"/>
  <c r="G39" i="3"/>
  <c r="J91" i="3"/>
  <c r="K91" i="3"/>
  <c r="G107" i="3"/>
  <c r="J3" i="3"/>
  <c r="K3" i="3"/>
  <c r="G59" i="3"/>
  <c r="G96" i="3"/>
  <c r="J86" i="3"/>
  <c r="K86" i="3"/>
  <c r="G66" i="3"/>
  <c r="J94" i="3"/>
  <c r="K94" i="3"/>
  <c r="G27" i="3"/>
  <c r="K114" i="3"/>
  <c r="G52" i="3"/>
  <c r="J77" i="3"/>
  <c r="K77" i="3"/>
  <c r="G109" i="3"/>
  <c r="J49" i="3"/>
  <c r="K49" i="3"/>
  <c r="G110" i="3"/>
  <c r="J112" i="3"/>
  <c r="K112" i="3"/>
  <c r="G28" i="3"/>
  <c r="J79" i="3"/>
  <c r="K79" i="3"/>
  <c r="G82" i="3"/>
  <c r="J18" i="3"/>
  <c r="K18" i="3"/>
  <c r="G47" i="3"/>
  <c r="J7" i="3"/>
  <c r="K7" i="3"/>
  <c r="G103" i="3"/>
  <c r="J89" i="3"/>
  <c r="K89" i="3"/>
  <c r="G22" i="3"/>
  <c r="J62" i="3"/>
  <c r="K62" i="3"/>
  <c r="G65" i="3"/>
  <c r="G61" i="3"/>
  <c r="J102" i="3"/>
  <c r="K102" i="3"/>
  <c r="G18" i="3"/>
  <c r="J16" i="3"/>
  <c r="K16" i="3"/>
  <c r="G99" i="3"/>
  <c r="J17" i="3"/>
  <c r="K17" i="3"/>
  <c r="G41" i="3"/>
  <c r="J31" i="3"/>
  <c r="K31" i="3"/>
  <c r="G16" i="3"/>
  <c r="J61" i="3"/>
  <c r="K61" i="3"/>
  <c r="G108" i="3"/>
  <c r="J36" i="3"/>
  <c r="K36" i="3"/>
  <c r="G102" i="3"/>
  <c r="J83" i="3"/>
  <c r="K83" i="3"/>
  <c r="G94" i="3"/>
  <c r="J109" i="3"/>
  <c r="J84" i="3"/>
  <c r="K84" i="3"/>
  <c r="G89" i="3"/>
  <c r="T89" i="3"/>
  <c r="U89" i="3"/>
  <c r="G17" i="3"/>
  <c r="K5" i="3"/>
  <c r="T17" i="3"/>
  <c r="U17" i="3"/>
  <c r="G3" i="3"/>
  <c r="J9" i="3"/>
  <c r="K9" i="3"/>
  <c r="G42" i="3"/>
  <c r="J24" i="3"/>
  <c r="K24" i="3"/>
  <c r="T42" i="3"/>
  <c r="U42" i="3"/>
  <c r="G84" i="3"/>
  <c r="U84" i="3"/>
  <c r="G105" i="3"/>
  <c r="K108" i="3"/>
  <c r="G30" i="3"/>
  <c r="K111" i="3"/>
  <c r="U30" i="3"/>
  <c r="G11" i="3"/>
  <c r="J27" i="3"/>
  <c r="K27" i="3"/>
  <c r="G5" i="3"/>
  <c r="J30" i="3"/>
  <c r="K30" i="3"/>
  <c r="U5" i="3"/>
  <c r="E165" i="5"/>
  <c r="J2" i="5"/>
  <c r="J118" i="3" l="1"/>
  <c r="T121" i="2"/>
  <c r="U121" i="2"/>
  <c r="T120" i="2"/>
  <c r="U120" i="2"/>
  <c r="T102" i="2"/>
  <c r="U102" i="2"/>
  <c r="T6" i="2"/>
  <c r="U6" i="2"/>
  <c r="G6" i="2"/>
  <c r="G102" i="2"/>
  <c r="J227" i="1"/>
  <c r="K227" i="1"/>
  <c r="J249" i="1"/>
  <c r="K249" i="1"/>
  <c r="J168" i="1"/>
  <c r="K168" i="1"/>
  <c r="J228" i="1"/>
  <c r="K228" i="1"/>
  <c r="J129" i="1"/>
  <c r="K129" i="1"/>
  <c r="J214" i="1"/>
  <c r="K214" i="1"/>
  <c r="J51" i="1"/>
  <c r="K51" i="1"/>
  <c r="J58" i="1"/>
  <c r="K58" i="1"/>
  <c r="J96" i="1"/>
  <c r="K96" i="1"/>
  <c r="J247" i="1"/>
  <c r="K247" i="1"/>
  <c r="K209" i="1"/>
  <c r="K253" i="1"/>
  <c r="K23" i="1"/>
  <c r="K42" i="1"/>
  <c r="K188" i="1"/>
  <c r="K4" i="1"/>
  <c r="K207" i="1"/>
  <c r="K89" i="1"/>
  <c r="K237" i="1"/>
  <c r="K124" i="1"/>
  <c r="K143" i="1"/>
  <c r="K36" i="1"/>
  <c r="K238" i="1"/>
  <c r="K179" i="1"/>
  <c r="K130" i="1"/>
  <c r="K203" i="1"/>
  <c r="K244" i="1"/>
  <c r="K165" i="1"/>
  <c r="K148" i="1"/>
  <c r="K99" i="1"/>
  <c r="K248" i="1"/>
  <c r="K56" i="1"/>
  <c r="K137" i="1"/>
  <c r="K164" i="1"/>
  <c r="K54" i="1"/>
  <c r="K55" i="1"/>
  <c r="K178" i="1"/>
  <c r="K221" i="1"/>
  <c r="K211" i="1"/>
  <c r="K215" i="1"/>
  <c r="K38" i="1"/>
  <c r="K93" i="1"/>
  <c r="K28" i="1"/>
  <c r="K223" i="1"/>
  <c r="K241" i="1"/>
  <c r="K92" i="1"/>
  <c r="K246" i="1"/>
  <c r="K117" i="1"/>
  <c r="K73" i="1"/>
  <c r="K100" i="1"/>
  <c r="K125" i="1"/>
  <c r="K32" i="1"/>
  <c r="K87" i="1"/>
  <c r="K57" i="1"/>
  <c r="K141" i="1"/>
  <c r="K19" i="1"/>
  <c r="K235" i="1"/>
  <c r="K110" i="1"/>
  <c r="K7" i="1"/>
  <c r="K160" i="1"/>
  <c r="K94" i="1"/>
  <c r="K212" i="1"/>
  <c r="K153" i="1"/>
  <c r="K121" i="1"/>
  <c r="K126" i="1"/>
  <c r="K86" i="1"/>
  <c r="K243" i="1"/>
  <c r="K226" i="1"/>
  <c r="K105" i="1"/>
  <c r="K16" i="1"/>
  <c r="K30" i="1"/>
  <c r="K131" i="1"/>
  <c r="K109" i="1"/>
  <c r="K172" i="1"/>
  <c r="K162" i="1"/>
  <c r="K81" i="1"/>
  <c r="K34" i="1"/>
  <c r="K50" i="1"/>
  <c r="K231" i="1"/>
  <c r="K173" i="1"/>
  <c r="K22" i="1"/>
  <c r="K192" i="1"/>
  <c r="K118" i="1"/>
  <c r="K219" i="1"/>
  <c r="K184" i="1"/>
  <c r="K80" i="1"/>
  <c r="K158" i="1"/>
  <c r="K128" i="1"/>
  <c r="K26" i="1"/>
  <c r="K52" i="1"/>
  <c r="K103" i="1"/>
  <c r="K59" i="1"/>
  <c r="K67" i="1"/>
  <c r="K60" i="1"/>
  <c r="K49" i="1"/>
  <c r="K197" i="1"/>
  <c r="K206" i="1"/>
  <c r="K134" i="1"/>
  <c r="K242" i="1"/>
  <c r="K180" i="1"/>
  <c r="K132" i="1"/>
  <c r="K24" i="1"/>
  <c r="K200" i="1"/>
  <c r="K201" i="1"/>
  <c r="K136" i="1"/>
  <c r="K69" i="1"/>
  <c r="K35" i="1"/>
  <c r="K171" i="1"/>
  <c r="K216" i="1"/>
  <c r="K187" i="1"/>
  <c r="K236" i="1"/>
  <c r="K25" i="1"/>
  <c r="K220" i="1"/>
  <c r="K40" i="1"/>
  <c r="K90" i="1"/>
  <c r="K79" i="1"/>
  <c r="K68" i="1"/>
  <c r="K17" i="1"/>
  <c r="K135" i="1"/>
  <c r="K189" i="1"/>
  <c r="K145" i="1"/>
  <c r="K167" i="1"/>
  <c r="K225" i="1"/>
  <c r="K196" i="1"/>
  <c r="K63" i="1"/>
  <c r="K108" i="1"/>
  <c r="K13" i="1"/>
  <c r="K9" i="1"/>
  <c r="K159" i="1"/>
  <c r="K20" i="1"/>
  <c r="K111" i="1"/>
  <c r="K88" i="1"/>
  <c r="K217" i="1"/>
  <c r="K123" i="1"/>
  <c r="K142" i="1"/>
  <c r="K150" i="1"/>
  <c r="K119" i="1"/>
  <c r="K166" i="1"/>
  <c r="K95" i="1"/>
  <c r="K245" i="1"/>
  <c r="K157" i="1"/>
  <c r="K232" i="1"/>
  <c r="K120" i="1"/>
  <c r="K161" i="1"/>
  <c r="K222" i="1"/>
  <c r="K147" i="1"/>
  <c r="K175" i="1"/>
  <c r="K39" i="1"/>
  <c r="K114" i="1"/>
  <c r="K66" i="1"/>
  <c r="K112" i="1"/>
  <c r="K62" i="1"/>
  <c r="K71" i="1"/>
  <c r="K98" i="1"/>
  <c r="K169" i="1"/>
  <c r="K205" i="1"/>
  <c r="K204" i="1"/>
  <c r="K198" i="1"/>
  <c r="K64" i="1"/>
  <c r="K104" i="1"/>
  <c r="K210" i="1"/>
  <c r="K84" i="1"/>
  <c r="K15" i="1"/>
  <c r="K174" i="1"/>
  <c r="K156" i="1"/>
  <c r="K152" i="1"/>
  <c r="K106" i="1"/>
  <c r="K85" i="1"/>
  <c r="K61" i="1"/>
  <c r="K252" i="1"/>
  <c r="K113" i="1"/>
  <c r="K18" i="1"/>
  <c r="K170" i="1"/>
  <c r="K185" i="1"/>
  <c r="K48" i="1"/>
  <c r="K33" i="1"/>
  <c r="K70" i="1"/>
  <c r="K208" i="1"/>
  <c r="K78" i="1"/>
  <c r="K133" i="1"/>
  <c r="K101" i="1"/>
  <c r="K250" i="1"/>
  <c r="K195" i="1"/>
  <c r="K183" i="1"/>
  <c r="K254" i="1"/>
  <c r="K163" i="1"/>
  <c r="K115" i="1"/>
  <c r="K234" i="1"/>
  <c r="K199" i="1"/>
  <c r="K102" i="1"/>
  <c r="K5" i="1"/>
  <c r="K43" i="1"/>
  <c r="J253" i="1"/>
  <c r="J42" i="1"/>
  <c r="J188" i="1"/>
  <c r="J4" i="1"/>
  <c r="J207" i="1"/>
  <c r="J89" i="1"/>
  <c r="J237" i="1"/>
  <c r="J124" i="1"/>
  <c r="J143" i="1"/>
  <c r="J36" i="1"/>
  <c r="J238" i="1"/>
  <c r="J179" i="1"/>
  <c r="J130" i="1"/>
  <c r="J203" i="1"/>
  <c r="J244" i="1"/>
  <c r="J165" i="1"/>
  <c r="J148" i="1"/>
  <c r="J99" i="1"/>
  <c r="J248" i="1"/>
  <c r="J137" i="1"/>
  <c r="J164" i="1"/>
  <c r="J54" i="1"/>
  <c r="J55" i="1"/>
  <c r="J178" i="1"/>
  <c r="J221" i="1"/>
  <c r="J211" i="1"/>
  <c r="J215" i="1"/>
  <c r="J38" i="1"/>
  <c r="J93" i="1"/>
  <c r="J28" i="1"/>
  <c r="J223" i="1"/>
  <c r="J241" i="1"/>
  <c r="J92" i="1"/>
  <c r="J246" i="1"/>
  <c r="J117" i="1"/>
  <c r="J73" i="1"/>
  <c r="J100" i="1"/>
  <c r="J125" i="1"/>
  <c r="J32" i="1"/>
  <c r="J87" i="1"/>
  <c r="J57" i="1"/>
  <c r="J141" i="1"/>
  <c r="J19" i="1"/>
  <c r="J235" i="1"/>
  <c r="J110" i="1"/>
  <c r="J7" i="1"/>
  <c r="J160" i="1"/>
  <c r="J94" i="1"/>
  <c r="J212" i="1"/>
  <c r="J153" i="1"/>
  <c r="J121" i="1"/>
  <c r="J126" i="1"/>
  <c r="J86" i="1"/>
  <c r="J243" i="1"/>
  <c r="J226" i="1"/>
  <c r="J105" i="1"/>
  <c r="J16" i="1"/>
  <c r="J30" i="1"/>
  <c r="J131" i="1"/>
  <c r="J109" i="1"/>
  <c r="J172" i="1"/>
  <c r="J162" i="1"/>
  <c r="J81" i="1"/>
  <c r="J34" i="1"/>
  <c r="J50" i="1"/>
  <c r="J231" i="1"/>
  <c r="J173" i="1"/>
  <c r="J22" i="1"/>
  <c r="J192" i="1"/>
  <c r="J118" i="1"/>
  <c r="J219" i="1"/>
  <c r="J184" i="1"/>
  <c r="J80" i="1"/>
  <c r="J158" i="1"/>
  <c r="J128" i="1"/>
  <c r="J26" i="1"/>
  <c r="J52" i="1"/>
  <c r="J103" i="1"/>
  <c r="J67" i="1"/>
  <c r="J60" i="1"/>
  <c r="J49" i="1"/>
  <c r="J197" i="1"/>
  <c r="J206" i="1"/>
  <c r="J134" i="1"/>
  <c r="J242" i="1"/>
  <c r="J180" i="1"/>
  <c r="J132" i="1"/>
  <c r="J24" i="1"/>
  <c r="J200" i="1"/>
  <c r="J201" i="1"/>
  <c r="J136" i="1"/>
  <c r="J69" i="1"/>
  <c r="J35" i="1"/>
  <c r="J216" i="1"/>
  <c r="J187" i="1"/>
  <c r="J236" i="1"/>
  <c r="J25" i="1"/>
  <c r="J220" i="1"/>
  <c r="J40" i="1"/>
  <c r="J90" i="1"/>
  <c r="J79" i="1"/>
  <c r="J68" i="1"/>
  <c r="J17" i="1"/>
  <c r="J135" i="1"/>
  <c r="J189" i="1"/>
  <c r="J145" i="1"/>
  <c r="J167" i="1"/>
  <c r="J225" i="1"/>
  <c r="J196" i="1"/>
  <c r="J63" i="1"/>
  <c r="J108" i="1"/>
  <c r="J13" i="1"/>
  <c r="J9" i="1"/>
  <c r="J159" i="1"/>
  <c r="J20" i="1"/>
  <c r="J111" i="1"/>
  <c r="J88" i="1"/>
  <c r="J217" i="1"/>
  <c r="J123" i="1"/>
  <c r="J142" i="1"/>
  <c r="J150" i="1"/>
  <c r="J119" i="1"/>
  <c r="J166" i="1"/>
  <c r="J95" i="1"/>
  <c r="J245" i="1"/>
  <c r="J157" i="1"/>
  <c r="J232" i="1"/>
  <c r="J120" i="1"/>
  <c r="J161" i="1"/>
  <c r="J222" i="1"/>
  <c r="J147" i="1"/>
  <c r="J175" i="1"/>
  <c r="J39" i="1"/>
  <c r="J114" i="1"/>
  <c r="J66" i="1"/>
  <c r="J112" i="1"/>
  <c r="J62" i="1"/>
  <c r="J71" i="1"/>
  <c r="J98" i="1"/>
  <c r="J169" i="1"/>
  <c r="J205" i="1"/>
  <c r="J204" i="1"/>
  <c r="J198" i="1"/>
  <c r="J64" i="1"/>
  <c r="J104" i="1"/>
  <c r="J210" i="1"/>
  <c r="J84" i="1"/>
  <c r="J15" i="1"/>
  <c r="J174" i="1"/>
  <c r="J156" i="1"/>
  <c r="J152" i="1"/>
  <c r="J106" i="1"/>
  <c r="J85" i="1"/>
  <c r="J61" i="1"/>
  <c r="J252" i="1"/>
  <c r="J113" i="1"/>
  <c r="J18" i="1"/>
  <c r="J170" i="1"/>
  <c r="J185" i="1"/>
  <c r="J48" i="1"/>
  <c r="J33" i="1"/>
  <c r="J70" i="1"/>
  <c r="J208" i="1"/>
  <c r="J78" i="1"/>
  <c r="J133" i="1"/>
  <c r="J101" i="1"/>
  <c r="J195" i="1"/>
  <c r="J183" i="1"/>
  <c r="J254" i="1"/>
  <c r="J163" i="1"/>
  <c r="J115" i="1"/>
  <c r="J234" i="1"/>
  <c r="J199" i="1"/>
  <c r="J5" i="1"/>
  <c r="J43" i="1"/>
  <c r="K233" i="1"/>
  <c r="G154" i="1"/>
  <c r="G153" i="1"/>
  <c r="G28" i="1"/>
  <c r="G30" i="1"/>
  <c r="G102" i="1"/>
  <c r="G185" i="1"/>
  <c r="G107" i="1"/>
  <c r="G226" i="1"/>
  <c r="G95" i="1"/>
  <c r="G84" i="1"/>
  <c r="I18" i="5"/>
  <c r="J18" i="5" s="1"/>
  <c r="I80" i="5"/>
  <c r="K80" i="5" s="1"/>
  <c r="E194" i="5"/>
  <c r="E80" i="5"/>
  <c r="G34" i="1"/>
  <c r="G146" i="1"/>
  <c r="G191" i="1"/>
  <c r="G16" i="1"/>
  <c r="E9" i="5"/>
  <c r="I27" i="5"/>
  <c r="I28" i="5"/>
  <c r="J28" i="5" s="1"/>
  <c r="I29" i="5"/>
  <c r="J29" i="5" s="1"/>
  <c r="I30" i="5"/>
  <c r="K30" i="5" s="1"/>
  <c r="I31" i="5"/>
  <c r="I32" i="5"/>
  <c r="I33" i="5"/>
  <c r="I34" i="5"/>
  <c r="I35" i="5"/>
  <c r="I36" i="5"/>
  <c r="J36" i="5" s="1"/>
  <c r="I37" i="5"/>
  <c r="K37" i="5" s="1"/>
  <c r="I38" i="5"/>
  <c r="K38" i="5" s="1"/>
  <c r="I39" i="5"/>
  <c r="I40" i="5"/>
  <c r="I41" i="5"/>
  <c r="I42" i="5"/>
  <c r="I43" i="5"/>
  <c r="I44" i="5"/>
  <c r="K44" i="5" s="1"/>
  <c r="I45" i="5"/>
  <c r="K45" i="5" s="1"/>
  <c r="I46" i="5"/>
  <c r="I47" i="5"/>
  <c r="I48" i="5"/>
  <c r="I49" i="5"/>
  <c r="I50" i="5"/>
  <c r="I51" i="5"/>
  <c r="I52" i="5"/>
  <c r="K52" i="5" s="1"/>
  <c r="I53" i="5"/>
  <c r="J53" i="5" s="1"/>
  <c r="I54" i="5"/>
  <c r="K54" i="5" s="1"/>
  <c r="I55" i="5"/>
  <c r="I56" i="5"/>
  <c r="I57" i="5"/>
  <c r="I58" i="5"/>
  <c r="I59" i="5"/>
  <c r="I60" i="5"/>
  <c r="I61" i="5"/>
  <c r="J61" i="5" s="1"/>
  <c r="I62" i="5"/>
  <c r="K62" i="5" s="1"/>
  <c r="I63" i="5"/>
  <c r="I64" i="5"/>
  <c r="I65" i="5"/>
  <c r="I66" i="5"/>
  <c r="I67" i="5"/>
  <c r="J67" i="5" s="1"/>
  <c r="I68" i="5"/>
  <c r="K68" i="5" s="1"/>
  <c r="I69" i="5"/>
  <c r="K69" i="5" s="1"/>
  <c r="I70" i="5"/>
  <c r="I71" i="5"/>
  <c r="I72" i="5"/>
  <c r="I73" i="5"/>
  <c r="I74" i="5"/>
  <c r="I75" i="5"/>
  <c r="K75" i="5" s="1"/>
  <c r="I76" i="5"/>
  <c r="K76" i="5" s="1"/>
  <c r="I77" i="5"/>
  <c r="I78" i="5"/>
  <c r="I79" i="5"/>
  <c r="I81" i="5"/>
  <c r="I82" i="5"/>
  <c r="I83" i="5"/>
  <c r="K83" i="5" s="1"/>
  <c r="I84" i="5"/>
  <c r="I85" i="5"/>
  <c r="I86" i="5"/>
  <c r="I87" i="5"/>
  <c r="I88" i="5"/>
  <c r="K88" i="5" s="1"/>
  <c r="I89" i="5"/>
  <c r="I90" i="5"/>
  <c r="I91" i="5"/>
  <c r="J91" i="5" s="1"/>
  <c r="I92" i="5"/>
  <c r="J92" i="5" s="1"/>
  <c r="I93" i="5"/>
  <c r="K93" i="5" s="1"/>
  <c r="I94" i="5"/>
  <c r="I95" i="5"/>
  <c r="I96" i="5"/>
  <c r="I97" i="5"/>
  <c r="I98" i="5"/>
  <c r="I99" i="5"/>
  <c r="J99" i="5" s="1"/>
  <c r="I100" i="5"/>
  <c r="K100" i="5" s="1"/>
  <c r="I101" i="5"/>
  <c r="K101" i="5" s="1"/>
  <c r="I102" i="5"/>
  <c r="I103" i="5"/>
  <c r="I104" i="5"/>
  <c r="K104" i="5" s="1"/>
  <c r="I105" i="5"/>
  <c r="I106" i="5"/>
  <c r="I107" i="5"/>
  <c r="K107" i="5" s="1"/>
  <c r="I108" i="5"/>
  <c r="K108" i="5" s="1"/>
  <c r="I109" i="5"/>
  <c r="I110" i="5"/>
  <c r="I111" i="5"/>
  <c r="I112" i="5"/>
  <c r="K112" i="5" s="1"/>
  <c r="I113" i="5"/>
  <c r="I114" i="5"/>
  <c r="I115" i="5"/>
  <c r="J115" i="5" s="1"/>
  <c r="I116" i="5"/>
  <c r="J116" i="5" s="1"/>
  <c r="I117" i="5"/>
  <c r="K117" i="5" s="1"/>
  <c r="I118" i="5"/>
  <c r="I119" i="5"/>
  <c r="I120" i="5"/>
  <c r="K120" i="5" s="1"/>
  <c r="I121" i="5"/>
  <c r="I122" i="5"/>
  <c r="I123" i="5"/>
  <c r="I124" i="5"/>
  <c r="J124" i="5" s="1"/>
  <c r="I125" i="5"/>
  <c r="K125" i="5" s="1"/>
  <c r="I126" i="5"/>
  <c r="I127" i="5"/>
  <c r="K127" i="5" s="1"/>
  <c r="I128" i="5"/>
  <c r="I129" i="5"/>
  <c r="I130" i="5"/>
  <c r="I131" i="5"/>
  <c r="J131" i="5" s="1"/>
  <c r="I132" i="5"/>
  <c r="K132" i="5" s="1"/>
  <c r="I133" i="5"/>
  <c r="I134" i="5"/>
  <c r="I135" i="5"/>
  <c r="I136" i="5"/>
  <c r="I137" i="5"/>
  <c r="I138" i="5"/>
  <c r="K138" i="5" s="1"/>
  <c r="I139" i="5"/>
  <c r="J139" i="5" s="1"/>
  <c r="I140" i="5"/>
  <c r="I141" i="5"/>
  <c r="I142" i="5"/>
  <c r="I143" i="5"/>
  <c r="K143" i="5" s="1"/>
  <c r="I144" i="5"/>
  <c r="I145" i="5"/>
  <c r="I146" i="5"/>
  <c r="K146" i="5" s="1"/>
  <c r="I147" i="5"/>
  <c r="I148" i="5"/>
  <c r="I149" i="5"/>
  <c r="I150" i="5"/>
  <c r="K150" i="5" s="1"/>
  <c r="I151" i="5"/>
  <c r="I152" i="5"/>
  <c r="I153" i="5"/>
  <c r="J153" i="5" s="1"/>
  <c r="I154" i="5"/>
  <c r="K154" i="5" s="1"/>
  <c r="I155" i="5"/>
  <c r="K155" i="5" s="1"/>
  <c r="I156" i="5"/>
  <c r="I157" i="5"/>
  <c r="I158" i="5"/>
  <c r="I159" i="5"/>
  <c r="I160" i="5"/>
  <c r="I161" i="5"/>
  <c r="J161" i="5" s="1"/>
  <c r="I162" i="5"/>
  <c r="K162" i="5" s="1"/>
  <c r="I163" i="5"/>
  <c r="K163" i="5" s="1"/>
  <c r="I164" i="5"/>
  <c r="J164" i="5" s="1"/>
  <c r="I165" i="5"/>
  <c r="K165" i="5" s="1"/>
  <c r="I166" i="5"/>
  <c r="I167" i="5"/>
  <c r="I168" i="5"/>
  <c r="K168" i="5" s="1"/>
  <c r="I169" i="5"/>
  <c r="K169" i="5" s="1"/>
  <c r="I170" i="5"/>
  <c r="I171" i="5"/>
  <c r="I172" i="5"/>
  <c r="I173" i="5"/>
  <c r="K173" i="5" s="1"/>
  <c r="I174" i="5"/>
  <c r="I175" i="5"/>
  <c r="K175" i="5" s="1"/>
  <c r="I176" i="5"/>
  <c r="J176" i="5" s="1"/>
  <c r="I177" i="5"/>
  <c r="K177" i="5" s="1"/>
  <c r="I178" i="5"/>
  <c r="I179" i="5"/>
  <c r="I180" i="5"/>
  <c r="K180" i="5" s="1"/>
  <c r="I181" i="5"/>
  <c r="K181" i="5" s="1"/>
  <c r="I182" i="5"/>
  <c r="I183" i="5"/>
  <c r="I184" i="5"/>
  <c r="J184" i="5" s="1"/>
  <c r="I185" i="5"/>
  <c r="K185" i="5" s="1"/>
  <c r="I186" i="5"/>
  <c r="I187" i="5"/>
  <c r="I188" i="5"/>
  <c r="I189" i="5"/>
  <c r="I190" i="5"/>
  <c r="I191" i="5"/>
  <c r="K191" i="5" s="1"/>
  <c r="I192" i="5"/>
  <c r="K192" i="5" s="1"/>
  <c r="I193" i="5"/>
  <c r="K193" i="5" s="1"/>
  <c r="I194" i="5"/>
  <c r="I195" i="5"/>
  <c r="I196" i="5"/>
  <c r="K196" i="5" s="1"/>
  <c r="I197" i="5"/>
  <c r="I198" i="5"/>
  <c r="I199" i="5"/>
  <c r="K199" i="5" s="1"/>
  <c r="I200" i="5"/>
  <c r="K200" i="5" s="1"/>
  <c r="I201" i="5"/>
  <c r="I202" i="5"/>
  <c r="K202" i="5" s="1"/>
  <c r="I203" i="5"/>
  <c r="I204" i="5"/>
  <c r="I205" i="5"/>
  <c r="I206" i="5"/>
  <c r="K206" i="5" s="1"/>
  <c r="I207" i="5"/>
  <c r="K207" i="5" s="1"/>
  <c r="I208" i="5"/>
  <c r="I209" i="5"/>
  <c r="K209" i="5" s="1"/>
  <c r="I210" i="5"/>
  <c r="K210" i="5" s="1"/>
  <c r="I211" i="5"/>
  <c r="I212" i="5"/>
  <c r="I213" i="5"/>
  <c r="K213" i="5" s="1"/>
  <c r="I214" i="5"/>
  <c r="J214" i="5" s="1"/>
  <c r="I215" i="5"/>
  <c r="I216" i="5"/>
  <c r="I217" i="5"/>
  <c r="K217" i="5" s="1"/>
  <c r="I218" i="5"/>
  <c r="I219" i="5"/>
  <c r="I220" i="5"/>
  <c r="I221" i="5"/>
  <c r="K221" i="5" s="1"/>
  <c r="I222" i="5"/>
  <c r="K222" i="5" s="1"/>
  <c r="I223" i="5"/>
  <c r="K223" i="5" s="1"/>
  <c r="I224" i="5"/>
  <c r="I225" i="5"/>
  <c r="I226" i="5"/>
  <c r="K226" i="5" s="1"/>
  <c r="I227" i="5"/>
  <c r="I228" i="5"/>
  <c r="K228" i="5" s="1"/>
  <c r="I229" i="5"/>
  <c r="I230" i="5"/>
  <c r="K230" i="5" s="1"/>
  <c r="I231" i="5"/>
  <c r="K231" i="5" s="1"/>
  <c r="I232" i="5"/>
  <c r="I233" i="5"/>
  <c r="I234" i="5"/>
  <c r="I235" i="5"/>
  <c r="J235" i="5" s="1"/>
  <c r="I236" i="5"/>
  <c r="K236" i="5" s="1"/>
  <c r="I237" i="5"/>
  <c r="I238" i="5"/>
  <c r="K238" i="5" s="1"/>
  <c r="I239" i="5"/>
  <c r="K239" i="5" s="1"/>
  <c r="I240" i="5"/>
  <c r="I241" i="5"/>
  <c r="I242" i="5"/>
  <c r="K242" i="5" s="1"/>
  <c r="I243" i="5"/>
  <c r="J243" i="5" s="1"/>
  <c r="I244" i="5"/>
  <c r="I245" i="5"/>
  <c r="I246" i="5"/>
  <c r="K246" i="5" s="1"/>
  <c r="I247" i="5"/>
  <c r="I248" i="5"/>
  <c r="I249" i="5"/>
  <c r="K249" i="5" s="1"/>
  <c r="I250" i="5"/>
  <c r="I251" i="5"/>
  <c r="I252" i="5"/>
  <c r="K252" i="5" s="1"/>
  <c r="I253" i="5"/>
  <c r="I254" i="5"/>
  <c r="K254" i="5" s="1"/>
  <c r="I255" i="5"/>
  <c r="J255" i="5" s="1"/>
  <c r="I256" i="5"/>
  <c r="I257" i="5"/>
  <c r="I258" i="5"/>
  <c r="K258" i="5" s="1"/>
  <c r="I259" i="5"/>
  <c r="I260" i="5"/>
  <c r="K260" i="5" s="1"/>
  <c r="I261" i="5"/>
  <c r="I262" i="5"/>
  <c r="I263" i="5"/>
  <c r="I264" i="5"/>
  <c r="I265" i="5"/>
  <c r="I266" i="5"/>
  <c r="J266" i="5" s="1"/>
  <c r="I267" i="5"/>
  <c r="J267" i="5" s="1"/>
  <c r="I268" i="5"/>
  <c r="I269" i="5"/>
  <c r="I270" i="5"/>
  <c r="I271" i="5"/>
  <c r="I272" i="5"/>
  <c r="I273" i="5"/>
  <c r="J273" i="5" s="1"/>
  <c r="I274" i="5"/>
  <c r="I275" i="5"/>
  <c r="I276" i="5"/>
  <c r="I277" i="5"/>
  <c r="I278" i="5"/>
  <c r="K278" i="5" s="1"/>
  <c r="I279" i="5"/>
  <c r="I280" i="5"/>
  <c r="I281" i="5"/>
  <c r="K281" i="5" s="1"/>
  <c r="I282" i="5"/>
  <c r="I283" i="5"/>
  <c r="I284" i="5"/>
  <c r="K284" i="5" s="1"/>
  <c r="I285" i="5"/>
  <c r="J285" i="5" s="1"/>
  <c r="I286" i="5"/>
  <c r="I287" i="5"/>
  <c r="I288" i="5"/>
  <c r="K288" i="5" s="1"/>
  <c r="I289" i="5"/>
  <c r="I290" i="5"/>
  <c r="I291" i="5"/>
  <c r="I292" i="5"/>
  <c r="J292" i="5" s="1"/>
  <c r="I293" i="5"/>
  <c r="I294" i="5"/>
  <c r="I295" i="5"/>
  <c r="K295" i="5" s="1"/>
  <c r="I296" i="5"/>
  <c r="I297" i="5"/>
  <c r="I298" i="5"/>
  <c r="I299" i="5"/>
  <c r="K299" i="5" s="1"/>
  <c r="I300" i="5"/>
  <c r="I301" i="5"/>
  <c r="I302" i="5"/>
  <c r="I303" i="5"/>
  <c r="I304" i="5"/>
  <c r="I305" i="5"/>
  <c r="I306" i="5"/>
  <c r="I307" i="5"/>
  <c r="I308" i="5"/>
  <c r="K308" i="5" s="1"/>
  <c r="I309" i="5"/>
  <c r="I310" i="5"/>
  <c r="I311" i="5"/>
  <c r="I312" i="5"/>
  <c r="I313" i="5"/>
  <c r="I314" i="5"/>
  <c r="I315" i="5"/>
  <c r="I316" i="5"/>
  <c r="K316" i="5" s="1"/>
  <c r="I317" i="5"/>
  <c r="J317" i="5" s="1"/>
  <c r="I318" i="5"/>
  <c r="K318" i="5" s="1"/>
  <c r="I320" i="5"/>
  <c r="I321" i="5"/>
  <c r="K321" i="5" s="1"/>
  <c r="I322" i="5"/>
  <c r="I323" i="5"/>
  <c r="J323" i="5" s="1"/>
  <c r="I324" i="5"/>
  <c r="K324" i="5" s="1"/>
  <c r="I325" i="5"/>
  <c r="K325" i="5" s="1"/>
  <c r="I326" i="5"/>
  <c r="I327" i="5"/>
  <c r="J327" i="5" s="1"/>
  <c r="I328" i="5"/>
  <c r="K328" i="5" s="1"/>
  <c r="I329" i="5"/>
  <c r="I330" i="5"/>
  <c r="I331" i="5"/>
  <c r="J331" i="5" s="1"/>
  <c r="I332" i="5"/>
  <c r="I333" i="5"/>
  <c r="J333" i="5" s="1"/>
  <c r="I334" i="5"/>
  <c r="K334" i="5" s="1"/>
  <c r="I335" i="5"/>
  <c r="I336" i="5"/>
  <c r="K336" i="5" s="1"/>
  <c r="I337" i="5"/>
  <c r="K337" i="5" s="1"/>
  <c r="I338" i="5"/>
  <c r="I339" i="5"/>
  <c r="I340" i="5"/>
  <c r="K340" i="5" s="1"/>
  <c r="I341" i="5"/>
  <c r="J341" i="5" s="1"/>
  <c r="I342" i="5"/>
  <c r="I343" i="5"/>
  <c r="K343" i="5" s="1"/>
  <c r="I344" i="5"/>
  <c r="I345" i="5"/>
  <c r="K345" i="5" s="1"/>
  <c r="I346" i="5"/>
  <c r="I347" i="5"/>
  <c r="J347" i="5" s="1"/>
  <c r="I348" i="5"/>
  <c r="I349" i="5"/>
  <c r="K349" i="5" s="1"/>
  <c r="I350" i="5"/>
  <c r="J350" i="5" s="1"/>
  <c r="I351" i="5"/>
  <c r="I352" i="5"/>
  <c r="J352" i="5" s="1"/>
  <c r="I353" i="5"/>
  <c r="K353" i="5" s="1"/>
  <c r="I354" i="5"/>
  <c r="K354" i="5" s="1"/>
  <c r="I355" i="5"/>
  <c r="J355" i="5" s="1"/>
  <c r="I356" i="5"/>
  <c r="J356" i="5" s="1"/>
  <c r="I357" i="5"/>
  <c r="I358" i="5"/>
  <c r="K358" i="5" s="1"/>
  <c r="I359" i="5"/>
  <c r="J359" i="5" s="1"/>
  <c r="I360" i="5"/>
  <c r="K360" i="5" s="1"/>
  <c r="I361" i="5"/>
  <c r="K361" i="5" s="1"/>
  <c r="I19" i="5"/>
  <c r="I20" i="5"/>
  <c r="K20" i="5" s="1"/>
  <c r="I21" i="5"/>
  <c r="I22" i="5"/>
  <c r="I23" i="5"/>
  <c r="I24" i="5"/>
  <c r="I25" i="5"/>
  <c r="I26" i="5"/>
  <c r="I4" i="5"/>
  <c r="J4" i="5" s="1"/>
  <c r="I5" i="5"/>
  <c r="I6" i="5"/>
  <c r="J6" i="5" s="1"/>
  <c r="I7" i="5"/>
  <c r="I8" i="5"/>
  <c r="I9" i="5"/>
  <c r="I10" i="5"/>
  <c r="J10" i="5" s="1"/>
  <c r="I11" i="5"/>
  <c r="K11" i="5" s="1"/>
  <c r="I12" i="5"/>
  <c r="J12" i="5" s="1"/>
  <c r="I13" i="5"/>
  <c r="I14" i="5"/>
  <c r="J14" i="5" s="1"/>
  <c r="I15" i="5"/>
  <c r="I16" i="5"/>
  <c r="I17" i="5"/>
  <c r="E15" i="5"/>
  <c r="E7" i="5"/>
  <c r="E43" i="5"/>
  <c r="E74" i="5"/>
  <c r="E159" i="5"/>
  <c r="E127" i="5"/>
  <c r="E172" i="5"/>
  <c r="E23" i="5"/>
  <c r="E288" i="5"/>
  <c r="E153" i="5"/>
  <c r="E231" i="5"/>
  <c r="E168" i="5"/>
  <c r="E112" i="5"/>
  <c r="E271" i="5"/>
  <c r="E71" i="5"/>
  <c r="E218" i="5"/>
  <c r="E88" i="5"/>
  <c r="E117" i="5"/>
  <c r="E102" i="5"/>
  <c r="E164" i="5"/>
  <c r="E280" i="5"/>
  <c r="E166" i="5"/>
  <c r="E78" i="5"/>
  <c r="E255" i="5"/>
  <c r="E171" i="5"/>
  <c r="E220" i="5"/>
  <c r="E247" i="5"/>
  <c r="E304" i="5"/>
  <c r="E338" i="5"/>
  <c r="E135" i="5"/>
  <c r="E335" i="5"/>
  <c r="E332" i="5"/>
  <c r="E336" i="5"/>
  <c r="E197" i="5"/>
  <c r="E249" i="5"/>
  <c r="E132" i="5"/>
  <c r="E138" i="5"/>
  <c r="E361" i="5"/>
  <c r="E360" i="5"/>
  <c r="E226" i="5"/>
  <c r="E313" i="5"/>
  <c r="E147" i="5"/>
  <c r="E121" i="5"/>
  <c r="E235" i="5"/>
  <c r="E141" i="5"/>
  <c r="E300" i="5"/>
  <c r="E209" i="5"/>
  <c r="E256" i="5"/>
  <c r="E352" i="5"/>
  <c r="E315" i="5"/>
  <c r="E205" i="5"/>
  <c r="E282" i="5"/>
  <c r="E170" i="5"/>
  <c r="E268" i="5"/>
  <c r="E321" i="5"/>
  <c r="E160" i="5"/>
  <c r="E122" i="5"/>
  <c r="E20" i="5"/>
  <c r="E346" i="5"/>
  <c r="E308" i="5"/>
  <c r="E155" i="5"/>
  <c r="E258" i="5"/>
  <c r="E188" i="5"/>
  <c r="E259" i="5"/>
  <c r="E134" i="5"/>
  <c r="E359" i="5"/>
  <c r="E94" i="5"/>
  <c r="E179" i="5"/>
  <c r="E167" i="5"/>
  <c r="E289" i="5"/>
  <c r="E66" i="5"/>
  <c r="E181" i="5"/>
  <c r="E103" i="5"/>
  <c r="E39" i="5"/>
  <c r="E201" i="5"/>
  <c r="E223" i="5"/>
  <c r="E237" i="5"/>
  <c r="E311" i="5"/>
  <c r="E96" i="5"/>
  <c r="E12" i="5"/>
  <c r="E242" i="5"/>
  <c r="E42" i="5"/>
  <c r="E41" i="5"/>
  <c r="E342" i="5"/>
  <c r="E193" i="5"/>
  <c r="E75" i="5"/>
  <c r="E86" i="5"/>
  <c r="E10" i="5"/>
  <c r="E72" i="5"/>
  <c r="E118" i="5"/>
  <c r="E81" i="5"/>
  <c r="E187" i="5"/>
  <c r="E91" i="5"/>
  <c r="E144" i="5"/>
  <c r="E25" i="5"/>
  <c r="E174" i="5"/>
  <c r="E293" i="5"/>
  <c r="E128" i="5"/>
  <c r="E22" i="5"/>
  <c r="E126" i="5"/>
  <c r="E109" i="5"/>
  <c r="E114" i="5"/>
  <c r="E186" i="5"/>
  <c r="E207" i="5"/>
  <c r="E240" i="5"/>
  <c r="E154" i="5"/>
  <c r="E62" i="5"/>
  <c r="E98" i="5"/>
  <c r="E190" i="5"/>
  <c r="E93" i="5"/>
  <c r="E106" i="5"/>
  <c r="E110" i="5"/>
  <c r="E107" i="5"/>
  <c r="E262" i="5"/>
  <c r="E221" i="5"/>
  <c r="E284" i="5"/>
  <c r="E95" i="5"/>
  <c r="E265" i="5"/>
  <c r="E216" i="5"/>
  <c r="E286" i="5"/>
  <c r="E243" i="5"/>
  <c r="E44" i="5"/>
  <c r="E90" i="5"/>
  <c r="E148" i="5"/>
  <c r="E101" i="5"/>
  <c r="E99" i="5"/>
  <c r="E196" i="5"/>
  <c r="E173" i="5"/>
  <c r="E105" i="5"/>
  <c r="E299" i="5"/>
  <c r="E140" i="5"/>
  <c r="E238" i="5"/>
  <c r="E274" i="5"/>
  <c r="E89" i="5"/>
  <c r="E139" i="5"/>
  <c r="E124" i="5"/>
  <c r="E260" i="5"/>
  <c r="E232" i="5"/>
  <c r="E302" i="5"/>
  <c r="E279" i="5"/>
  <c r="E290" i="5"/>
  <c r="E330" i="5"/>
  <c r="E341" i="5"/>
  <c r="E351" i="5"/>
  <c r="E254" i="5"/>
  <c r="E339" i="5"/>
  <c r="E283" i="5"/>
  <c r="E326" i="5"/>
  <c r="E309" i="5"/>
  <c r="E317" i="5"/>
  <c r="E120" i="5"/>
  <c r="E264" i="5"/>
  <c r="E210" i="5"/>
  <c r="E324" i="5"/>
  <c r="E149" i="5"/>
  <c r="E325" i="5"/>
  <c r="E295" i="5"/>
  <c r="E230" i="5"/>
  <c r="E211" i="5"/>
  <c r="E301" i="5"/>
  <c r="E333" i="5"/>
  <c r="E348" i="5"/>
  <c r="E234" i="5"/>
  <c r="E334" i="5"/>
  <c r="E246" i="5"/>
  <c r="E316" i="5"/>
  <c r="E306" i="5"/>
  <c r="E327" i="5"/>
  <c r="E248" i="5"/>
  <c r="E111" i="5"/>
  <c r="E331" i="5"/>
  <c r="E236" i="5"/>
  <c r="E345" i="5"/>
  <c r="E47" i="5"/>
  <c r="E329" i="5"/>
  <c r="E291" i="5"/>
  <c r="E108" i="5"/>
  <c r="E33" i="5"/>
  <c r="E123" i="5"/>
  <c r="E318" i="5"/>
  <c r="E200" i="5"/>
  <c r="E129" i="5"/>
  <c r="E156" i="5"/>
  <c r="E225" i="5"/>
  <c r="E278" i="5"/>
  <c r="E202" i="5"/>
  <c r="E251" i="5"/>
  <c r="E195" i="5"/>
  <c r="E37" i="5"/>
  <c r="E125" i="5"/>
  <c r="E136" i="5"/>
  <c r="E58" i="5"/>
  <c r="E133" i="5"/>
  <c r="E214" i="5"/>
  <c r="E48" i="5"/>
  <c r="E266" i="5"/>
  <c r="E145" i="5"/>
  <c r="E267" i="5"/>
  <c r="E85" i="5"/>
  <c r="E227" i="5"/>
  <c r="E175" i="5"/>
  <c r="E49" i="5"/>
  <c r="E192" i="5"/>
  <c r="E314" i="5"/>
  <c r="E137" i="5"/>
  <c r="E180" i="5"/>
  <c r="E204" i="5"/>
  <c r="E322" i="5"/>
  <c r="E228" i="5"/>
  <c r="E97" i="5"/>
  <c r="E161" i="5"/>
  <c r="E115" i="5"/>
  <c r="E328" i="5"/>
  <c r="E224" i="5"/>
  <c r="E60" i="5"/>
  <c r="E191" i="5"/>
  <c r="E272" i="5"/>
  <c r="E269" i="5"/>
  <c r="E150" i="5"/>
  <c r="E305" i="5"/>
  <c r="E32" i="5"/>
  <c r="E59" i="5"/>
  <c r="E151" i="5"/>
  <c r="E13" i="5"/>
  <c r="E354" i="5"/>
  <c r="E219" i="5"/>
  <c r="E69" i="5"/>
  <c r="E19" i="5"/>
  <c r="E54" i="5"/>
  <c r="E63" i="5"/>
  <c r="E82" i="5"/>
  <c r="E169" i="5"/>
  <c r="E26" i="5"/>
  <c r="E38" i="5"/>
  <c r="E350" i="5"/>
  <c r="E203" i="5"/>
  <c r="E296" i="5"/>
  <c r="E355" i="5"/>
  <c r="E358" i="5"/>
  <c r="E18" i="5"/>
  <c r="E79" i="5"/>
  <c r="E53" i="5"/>
  <c r="E35" i="5"/>
  <c r="E87" i="5"/>
  <c r="E34" i="5"/>
  <c r="E5" i="5"/>
  <c r="E146" i="5"/>
  <c r="E182" i="5"/>
  <c r="E65" i="5"/>
  <c r="E76" i="5"/>
  <c r="E17" i="5"/>
  <c r="E52" i="5"/>
  <c r="E157" i="5"/>
  <c r="E176" i="5"/>
  <c r="E152" i="5"/>
  <c r="E46" i="5"/>
  <c r="E113" i="5"/>
  <c r="E55" i="5"/>
  <c r="E275" i="5"/>
  <c r="E212" i="5"/>
  <c r="E261" i="5"/>
  <c r="E312" i="5"/>
  <c r="E213" i="5"/>
  <c r="E303" i="5"/>
  <c r="E30" i="5"/>
  <c r="E285" i="5"/>
  <c r="E130" i="5"/>
  <c r="E276" i="5"/>
  <c r="E252" i="5"/>
  <c r="E270" i="5"/>
  <c r="E177" i="5"/>
  <c r="E353" i="5"/>
  <c r="E73" i="5"/>
  <c r="E222" i="5"/>
  <c r="E337" i="5"/>
  <c r="E287" i="5"/>
  <c r="E253" i="5"/>
  <c r="E77" i="5"/>
  <c r="E51" i="5"/>
  <c r="E356" i="5"/>
  <c r="E343" i="5"/>
  <c r="E263" i="5"/>
  <c r="E310" i="5"/>
  <c r="E229" i="5"/>
  <c r="E297" i="5"/>
  <c r="E298" i="5"/>
  <c r="E344" i="5"/>
  <c r="E273" i="5"/>
  <c r="E294" i="5"/>
  <c r="E281" i="5"/>
  <c r="E239" i="5"/>
  <c r="E245" i="5"/>
  <c r="E189" i="5"/>
  <c r="E163" i="5"/>
  <c r="E292" i="5"/>
  <c r="E323" i="5"/>
  <c r="E198" i="5"/>
  <c r="E320" i="5"/>
  <c r="E340" i="5"/>
  <c r="E217" i="5"/>
  <c r="E92" i="5"/>
  <c r="E257" i="5"/>
  <c r="E68" i="5"/>
  <c r="E158" i="5"/>
  <c r="E178" i="5"/>
  <c r="E250" i="5"/>
  <c r="E347" i="5"/>
  <c r="E307" i="5"/>
  <c r="E199" i="5"/>
  <c r="E57" i="5"/>
  <c r="E100" i="5"/>
  <c r="E277" i="5"/>
  <c r="E185" i="5"/>
  <c r="E45" i="5"/>
  <c r="E83" i="5"/>
  <c r="E67" i="5"/>
  <c r="E183" i="5"/>
  <c r="E206" i="5"/>
  <c r="E357" i="5"/>
  <c r="E24" i="5"/>
  <c r="E29" i="5"/>
  <c r="E143" i="5"/>
  <c r="E131" i="5"/>
  <c r="E184" i="5"/>
  <c r="E241" i="5"/>
  <c r="E233" i="5"/>
  <c r="E142" i="5"/>
  <c r="E244" i="5"/>
  <c r="E119" i="5"/>
  <c r="E208" i="5"/>
  <c r="E8" i="5"/>
  <c r="E28" i="5"/>
  <c r="E84" i="5"/>
  <c r="E104" i="5"/>
  <c r="E162" i="5"/>
  <c r="E116" i="5"/>
  <c r="E349" i="5"/>
  <c r="E4" i="5"/>
  <c r="E6" i="5"/>
  <c r="E11" i="5"/>
  <c r="E40" i="5"/>
  <c r="E16" i="5"/>
  <c r="E50" i="5"/>
  <c r="E56" i="5"/>
  <c r="E36" i="5"/>
  <c r="E21" i="5"/>
  <c r="E14" i="5"/>
  <c r="E70" i="5"/>
  <c r="E27" i="5"/>
  <c r="E31" i="5"/>
  <c r="E61" i="5"/>
  <c r="E64" i="5"/>
  <c r="K3" i="5" l="1"/>
  <c r="J3" i="5"/>
  <c r="K269" i="5"/>
  <c r="K78" i="5"/>
  <c r="J55" i="5"/>
  <c r="J47" i="5"/>
  <c r="K302" i="5"/>
  <c r="K276" i="5"/>
  <c r="J257" i="5"/>
  <c r="K148" i="5"/>
  <c r="K141" i="5"/>
  <c r="J70" i="5"/>
  <c r="J39" i="5"/>
  <c r="K294" i="5"/>
  <c r="J262" i="5"/>
  <c r="K245" i="5"/>
  <c r="K216" i="5"/>
  <c r="K178" i="5"/>
  <c r="J287" i="5"/>
  <c r="J237" i="5"/>
  <c r="K156" i="5"/>
  <c r="K303" i="5"/>
  <c r="K63" i="5"/>
  <c r="K31" i="5"/>
  <c r="J307" i="5"/>
  <c r="K268" i="5"/>
  <c r="K251" i="5"/>
  <c r="J224" i="5"/>
  <c r="J208" i="5"/>
  <c r="J201" i="5"/>
  <c r="K186" i="5"/>
  <c r="J133" i="5"/>
  <c r="K126" i="5"/>
  <c r="K118" i="5"/>
  <c r="J110" i="5"/>
  <c r="J102" i="5"/>
  <c r="K94" i="5"/>
  <c r="K86" i="5"/>
  <c r="J17" i="5"/>
  <c r="J9" i="5"/>
  <c r="K25" i="5"/>
  <c r="J16" i="5"/>
  <c r="J8" i="5"/>
  <c r="J311" i="5"/>
  <c r="K18" i="5"/>
  <c r="J15" i="5"/>
  <c r="J7" i="5"/>
  <c r="K23" i="5"/>
  <c r="J74" i="5"/>
  <c r="J66" i="5"/>
  <c r="J59" i="5"/>
  <c r="J51" i="5"/>
  <c r="J43" i="5"/>
  <c r="J35" i="5"/>
  <c r="J27" i="5"/>
  <c r="K320" i="5"/>
  <c r="J315" i="5"/>
  <c r="K310" i="5"/>
  <c r="J298" i="5"/>
  <c r="K291" i="5"/>
  <c r="K283" i="5"/>
  <c r="J277" i="5"/>
  <c r="K272" i="5"/>
  <c r="J265" i="5"/>
  <c r="K253" i="5"/>
  <c r="J248" i="5"/>
  <c r="J220" i="5"/>
  <c r="J212" i="5"/>
  <c r="J198" i="5"/>
  <c r="J190" i="5"/>
  <c r="J167" i="5"/>
  <c r="J152" i="5"/>
  <c r="J137" i="5"/>
  <c r="J130" i="5"/>
  <c r="J106" i="5"/>
  <c r="J90" i="5"/>
  <c r="J65" i="5"/>
  <c r="J50" i="5"/>
  <c r="J42" i="5"/>
  <c r="J13" i="5"/>
  <c r="J5" i="5"/>
  <c r="J339" i="5"/>
  <c r="K335" i="5"/>
  <c r="K330" i="5"/>
  <c r="K314" i="5"/>
  <c r="K305" i="5"/>
  <c r="J297" i="5"/>
  <c r="K290" i="5"/>
  <c r="J282" i="5"/>
  <c r="K271" i="5"/>
  <c r="K264" i="5"/>
  <c r="J247" i="5"/>
  <c r="J233" i="5"/>
  <c r="J227" i="5"/>
  <c r="J204" i="5"/>
  <c r="J189" i="5"/>
  <c r="J174" i="5"/>
  <c r="J166" i="5"/>
  <c r="J144" i="5"/>
  <c r="J129" i="5"/>
  <c r="J113" i="5"/>
  <c r="J105" i="5"/>
  <c r="J81" i="5"/>
  <c r="K57" i="5"/>
  <c r="K49" i="5"/>
  <c r="K41" i="5"/>
  <c r="K2" i="5"/>
  <c r="K43" i="5"/>
  <c r="J320" i="5"/>
  <c r="J264" i="5"/>
  <c r="K282" i="5"/>
  <c r="K248" i="5"/>
  <c r="K113" i="5"/>
  <c r="J254" i="5"/>
  <c r="J143" i="5"/>
  <c r="K105" i="5"/>
  <c r="J314" i="5"/>
  <c r="J104" i="5"/>
  <c r="K102" i="5"/>
  <c r="J150" i="5"/>
  <c r="J305" i="5"/>
  <c r="J252" i="5"/>
  <c r="J94" i="5"/>
  <c r="K247" i="5"/>
  <c r="K90" i="5"/>
  <c r="J303" i="5"/>
  <c r="J226" i="5"/>
  <c r="J44" i="5"/>
  <c r="K66" i="5"/>
  <c r="J299" i="5"/>
  <c r="J210" i="5"/>
  <c r="K212" i="5"/>
  <c r="K65" i="5"/>
  <c r="J272" i="5"/>
  <c r="J209" i="5"/>
  <c r="K153" i="5"/>
  <c r="K55" i="5"/>
  <c r="J271" i="5"/>
  <c r="J196" i="5"/>
  <c r="K297" i="5"/>
  <c r="K144" i="5"/>
  <c r="J276" i="5"/>
  <c r="J156" i="5"/>
  <c r="K262" i="5"/>
  <c r="K164" i="5"/>
  <c r="J358" i="5"/>
  <c r="J216" i="5"/>
  <c r="J100" i="5"/>
  <c r="J52" i="5"/>
  <c r="K257" i="5"/>
  <c r="K224" i="5"/>
  <c r="K161" i="5"/>
  <c r="K350" i="5"/>
  <c r="K287" i="5"/>
  <c r="J268" i="5"/>
  <c r="J86" i="5"/>
  <c r="J291" i="5"/>
  <c r="J242" i="5"/>
  <c r="J138" i="5"/>
  <c r="J83" i="5"/>
  <c r="J23" i="5"/>
  <c r="K347" i="5"/>
  <c r="K323" i="5"/>
  <c r="K277" i="5"/>
  <c r="K201" i="5"/>
  <c r="K139" i="5"/>
  <c r="K39" i="5"/>
  <c r="K327" i="5"/>
  <c r="J249" i="5"/>
  <c r="J31" i="5"/>
  <c r="J353" i="5"/>
  <c r="J328" i="5"/>
  <c r="J283" i="5"/>
  <c r="J239" i="5"/>
  <c r="J191" i="5"/>
  <c r="J126" i="5"/>
  <c r="J78" i="5"/>
  <c r="K315" i="5"/>
  <c r="K137" i="5"/>
  <c r="K36" i="5"/>
  <c r="J340" i="5"/>
  <c r="J281" i="5"/>
  <c r="J260" i="5"/>
  <c r="J180" i="5"/>
  <c r="J118" i="5"/>
  <c r="J63" i="5"/>
  <c r="K311" i="5"/>
  <c r="K273" i="5"/>
  <c r="K235" i="5"/>
  <c r="K189" i="5"/>
  <c r="K74" i="5"/>
  <c r="K28" i="5"/>
  <c r="J318" i="5"/>
  <c r="K208" i="5"/>
  <c r="J349" i="5"/>
  <c r="J228" i="5"/>
  <c r="J175" i="5"/>
  <c r="J112" i="5"/>
  <c r="J57" i="5"/>
  <c r="K266" i="5"/>
  <c r="K167" i="5"/>
  <c r="K115" i="5"/>
  <c r="K67" i="5"/>
  <c r="K27" i="5"/>
  <c r="K332" i="5"/>
  <c r="J332" i="5"/>
  <c r="K306" i="5"/>
  <c r="J306" i="5"/>
  <c r="K275" i="5"/>
  <c r="J275" i="5"/>
  <c r="K244" i="5"/>
  <c r="J244" i="5"/>
  <c r="K215" i="5"/>
  <c r="J215" i="5"/>
  <c r="K77" i="5"/>
  <c r="J77" i="5"/>
  <c r="K46" i="5"/>
  <c r="J46" i="5"/>
  <c r="J322" i="5"/>
  <c r="K322" i="5"/>
  <c r="K300" i="5"/>
  <c r="J300" i="5"/>
  <c r="J279" i="5"/>
  <c r="K279" i="5"/>
  <c r="K292" i="5"/>
  <c r="K184" i="5"/>
  <c r="J19" i="5"/>
  <c r="K19" i="5"/>
  <c r="K225" i="5"/>
  <c r="J225" i="5"/>
  <c r="K195" i="5"/>
  <c r="J195" i="5"/>
  <c r="J187" i="5"/>
  <c r="K187" i="5"/>
  <c r="J179" i="5"/>
  <c r="K179" i="5"/>
  <c r="J172" i="5"/>
  <c r="K172" i="5"/>
  <c r="J157" i="5"/>
  <c r="K157" i="5"/>
  <c r="J149" i="5"/>
  <c r="K149" i="5"/>
  <c r="J142" i="5"/>
  <c r="K142" i="5"/>
  <c r="J134" i="5"/>
  <c r="K134" i="5"/>
  <c r="J127" i="5"/>
  <c r="J119" i="5"/>
  <c r="K119" i="5"/>
  <c r="J361" i="5"/>
  <c r="J337" i="5"/>
  <c r="J295" i="5"/>
  <c r="J246" i="5"/>
  <c r="J200" i="5"/>
  <c r="J163" i="5"/>
  <c r="J125" i="5"/>
  <c r="K214" i="5"/>
  <c r="K92" i="5"/>
  <c r="K301" i="5"/>
  <c r="J301" i="5"/>
  <c r="K261" i="5"/>
  <c r="J261" i="5"/>
  <c r="K85" i="5"/>
  <c r="J85" i="5"/>
  <c r="J24" i="5"/>
  <c r="K24" i="5"/>
  <c r="K229" i="5"/>
  <c r="J229" i="5"/>
  <c r="J84" i="5"/>
  <c r="K84" i="5"/>
  <c r="J26" i="5"/>
  <c r="K26" i="5"/>
  <c r="J194" i="5"/>
  <c r="K194" i="5"/>
  <c r="J171" i="5"/>
  <c r="K171" i="5"/>
  <c r="J360" i="5"/>
  <c r="J354" i="5"/>
  <c r="J336" i="5"/>
  <c r="J330" i="5"/>
  <c r="J321" i="5"/>
  <c r="J294" i="5"/>
  <c r="J253" i="5"/>
  <c r="J245" i="5"/>
  <c r="J230" i="5"/>
  <c r="J213" i="5"/>
  <c r="J199" i="5"/>
  <c r="J178" i="5"/>
  <c r="J162" i="5"/>
  <c r="J141" i="5"/>
  <c r="J120" i="5"/>
  <c r="J101" i="5"/>
  <c r="J80" i="5"/>
  <c r="J62" i="5"/>
  <c r="J41" i="5"/>
  <c r="J20" i="5"/>
  <c r="K359" i="5"/>
  <c r="K352" i="5"/>
  <c r="K339" i="5"/>
  <c r="K298" i="5"/>
  <c r="K265" i="5"/>
  <c r="K233" i="5"/>
  <c r="K190" i="5"/>
  <c r="K166" i="5"/>
  <c r="K116" i="5"/>
  <c r="K91" i="5"/>
  <c r="K42" i="5"/>
  <c r="K346" i="5"/>
  <c r="J346" i="5"/>
  <c r="K140" i="5"/>
  <c r="J140" i="5"/>
  <c r="K109" i="5"/>
  <c r="J109" i="5"/>
  <c r="K61" i="5"/>
  <c r="J183" i="5"/>
  <c r="K183" i="5"/>
  <c r="J123" i="5"/>
  <c r="K123" i="5"/>
  <c r="J60" i="5"/>
  <c r="K60" i="5"/>
  <c r="J345" i="5"/>
  <c r="J335" i="5"/>
  <c r="J325" i="5"/>
  <c r="J310" i="5"/>
  <c r="J302" i="5"/>
  <c r="J290" i="5"/>
  <c r="J278" i="5"/>
  <c r="J269" i="5"/>
  <c r="J251" i="5"/>
  <c r="J238" i="5"/>
  <c r="J223" i="5"/>
  <c r="J207" i="5"/>
  <c r="J192" i="5"/>
  <c r="J173" i="5"/>
  <c r="J154" i="5"/>
  <c r="J132" i="5"/>
  <c r="J93" i="5"/>
  <c r="J75" i="5"/>
  <c r="J54" i="5"/>
  <c r="K356" i="5"/>
  <c r="K341" i="5"/>
  <c r="K333" i="5"/>
  <c r="K307" i="5"/>
  <c r="K243" i="5"/>
  <c r="K227" i="5"/>
  <c r="K204" i="5"/>
  <c r="K131" i="5"/>
  <c r="K106" i="5"/>
  <c r="K81" i="5"/>
  <c r="K29" i="5"/>
  <c r="K342" i="5"/>
  <c r="J342" i="5"/>
  <c r="K286" i="5"/>
  <c r="J286" i="5"/>
  <c r="K256" i="5"/>
  <c r="J256" i="5"/>
  <c r="K170" i="5"/>
  <c r="J170" i="5"/>
  <c r="J38" i="5"/>
  <c r="J147" i="5"/>
  <c r="K147" i="5"/>
  <c r="J193" i="5"/>
  <c r="J155" i="5"/>
  <c r="J117" i="5"/>
  <c r="J76" i="5"/>
  <c r="J37" i="5"/>
  <c r="K22" i="5"/>
  <c r="J22" i="5"/>
  <c r="J241" i="5"/>
  <c r="K241" i="5"/>
  <c r="J234" i="5"/>
  <c r="K234" i="5"/>
  <c r="J205" i="5"/>
  <c r="K205" i="5"/>
  <c r="J182" i="5"/>
  <c r="K182" i="5"/>
  <c r="J160" i="5"/>
  <c r="K160" i="5"/>
  <c r="J145" i="5"/>
  <c r="K145" i="5"/>
  <c r="J122" i="5"/>
  <c r="K122" i="5"/>
  <c r="J114" i="5"/>
  <c r="K114" i="5"/>
  <c r="J98" i="5"/>
  <c r="K98" i="5"/>
  <c r="J82" i="5"/>
  <c r="K82" i="5"/>
  <c r="J334" i="5"/>
  <c r="J288" i="5"/>
  <c r="J222" i="5"/>
  <c r="J206" i="5"/>
  <c r="J169" i="5"/>
  <c r="J69" i="5"/>
  <c r="J30" i="5"/>
  <c r="K355" i="5"/>
  <c r="K176" i="5"/>
  <c r="K130" i="5"/>
  <c r="K53" i="5"/>
  <c r="K326" i="5"/>
  <c r="J326" i="5"/>
  <c r="K293" i="5"/>
  <c r="J293" i="5"/>
  <c r="K250" i="5"/>
  <c r="J250" i="5"/>
  <c r="J177" i="5"/>
  <c r="J21" i="5"/>
  <c r="K21" i="5"/>
  <c r="J240" i="5"/>
  <c r="K240" i="5"/>
  <c r="J219" i="5"/>
  <c r="K219" i="5"/>
  <c r="J211" i="5"/>
  <c r="K211" i="5"/>
  <c r="J197" i="5"/>
  <c r="K197" i="5"/>
  <c r="J181" i="5"/>
  <c r="J159" i="5"/>
  <c r="K159" i="5"/>
  <c r="J151" i="5"/>
  <c r="K151" i="5"/>
  <c r="J136" i="5"/>
  <c r="K136" i="5"/>
  <c r="J121" i="5"/>
  <c r="K121" i="5"/>
  <c r="J97" i="5"/>
  <c r="K97" i="5"/>
  <c r="J89" i="5"/>
  <c r="K89" i="5"/>
  <c r="J73" i="5"/>
  <c r="K73" i="5"/>
  <c r="J58" i="5"/>
  <c r="K58" i="5"/>
  <c r="J34" i="5"/>
  <c r="K34" i="5"/>
  <c r="J343" i="5"/>
  <c r="J316" i="5"/>
  <c r="J308" i="5"/>
  <c r="J258" i="5"/>
  <c r="J236" i="5"/>
  <c r="J221" i="5"/>
  <c r="J202" i="5"/>
  <c r="J186" i="5"/>
  <c r="J168" i="5"/>
  <c r="J148" i="5"/>
  <c r="J108" i="5"/>
  <c r="J88" i="5"/>
  <c r="J68" i="5"/>
  <c r="J49" i="5"/>
  <c r="K331" i="5"/>
  <c r="K317" i="5"/>
  <c r="K285" i="5"/>
  <c r="K255" i="5"/>
  <c r="K237" i="5"/>
  <c r="K152" i="5"/>
  <c r="K129" i="5"/>
  <c r="K357" i="5"/>
  <c r="J357" i="5"/>
  <c r="K312" i="5"/>
  <c r="J312" i="5"/>
  <c r="K280" i="5"/>
  <c r="J280" i="5"/>
  <c r="J274" i="5"/>
  <c r="K274" i="5"/>
  <c r="K351" i="5"/>
  <c r="J351" i="5"/>
  <c r="K348" i="5"/>
  <c r="J348" i="5"/>
  <c r="K344" i="5"/>
  <c r="J344" i="5"/>
  <c r="K338" i="5"/>
  <c r="J338" i="5"/>
  <c r="K329" i="5"/>
  <c r="J329" i="5"/>
  <c r="K313" i="5"/>
  <c r="J313" i="5"/>
  <c r="K309" i="5"/>
  <c r="J309" i="5"/>
  <c r="K304" i="5"/>
  <c r="J304" i="5"/>
  <c r="K296" i="5"/>
  <c r="J296" i="5"/>
  <c r="K289" i="5"/>
  <c r="J289" i="5"/>
  <c r="K270" i="5"/>
  <c r="J270" i="5"/>
  <c r="K263" i="5"/>
  <c r="J263" i="5"/>
  <c r="K259" i="5"/>
  <c r="J259" i="5"/>
  <c r="K232" i="5"/>
  <c r="J232" i="5"/>
  <c r="K218" i="5"/>
  <c r="J218" i="5"/>
  <c r="K203" i="5"/>
  <c r="J203" i="5"/>
  <c r="K188" i="5"/>
  <c r="J188" i="5"/>
  <c r="K158" i="5"/>
  <c r="J158" i="5"/>
  <c r="K135" i="5"/>
  <c r="J135" i="5"/>
  <c r="K128" i="5"/>
  <c r="J128" i="5"/>
  <c r="K96" i="5"/>
  <c r="J96" i="5"/>
  <c r="K72" i="5"/>
  <c r="J72" i="5"/>
  <c r="K64" i="5"/>
  <c r="J64" i="5"/>
  <c r="K33" i="5"/>
  <c r="J33" i="5"/>
  <c r="J324" i="5"/>
  <c r="J284" i="5"/>
  <c r="J231" i="5"/>
  <c r="J217" i="5"/>
  <c r="J185" i="5"/>
  <c r="J165" i="5"/>
  <c r="J146" i="5"/>
  <c r="J107" i="5"/>
  <c r="J45" i="5"/>
  <c r="J25" i="5"/>
  <c r="K267" i="5"/>
  <c r="K220" i="5"/>
  <c r="K198" i="5"/>
  <c r="K174" i="5"/>
  <c r="K124" i="5"/>
  <c r="K99" i="5"/>
  <c r="K50" i="5"/>
  <c r="K51" i="5"/>
  <c r="K110" i="5"/>
  <c r="K47" i="5"/>
  <c r="K35" i="5"/>
  <c r="J111" i="5"/>
  <c r="K111" i="5"/>
  <c r="J103" i="5"/>
  <c r="K103" i="5"/>
  <c r="J95" i="5"/>
  <c r="K95" i="5"/>
  <c r="J87" i="5"/>
  <c r="K87" i="5"/>
  <c r="J79" i="5"/>
  <c r="K79" i="5"/>
  <c r="J71" i="5"/>
  <c r="K71" i="5"/>
  <c r="J56" i="5"/>
  <c r="K56" i="5"/>
  <c r="J48" i="5"/>
  <c r="K48" i="5"/>
  <c r="J40" i="5"/>
  <c r="K40" i="5"/>
  <c r="J32" i="5"/>
  <c r="K32" i="5"/>
  <c r="K133" i="5"/>
  <c r="K70" i="5"/>
  <c r="K59" i="5"/>
  <c r="J11" i="5"/>
  <c r="K17" i="5"/>
  <c r="K13" i="5"/>
  <c r="K9" i="5"/>
  <c r="K5" i="5"/>
  <c r="K15" i="5"/>
  <c r="K7" i="5"/>
  <c r="K16" i="5"/>
  <c r="K14" i="5"/>
  <c r="K12" i="5"/>
  <c r="K10" i="5"/>
  <c r="K8" i="5"/>
  <c r="K6" i="5"/>
  <c r="K4" i="5"/>
  <c r="G95" i="2" l="1"/>
  <c r="T95" i="2"/>
  <c r="U95" i="2"/>
  <c r="T48" i="2"/>
  <c r="U48" i="2"/>
  <c r="T41" i="2"/>
  <c r="U41" i="2"/>
  <c r="T27" i="2"/>
  <c r="U27" i="2"/>
  <c r="T142" i="2"/>
  <c r="G250" i="1"/>
  <c r="G7" i="1"/>
  <c r="G4" i="1"/>
  <c r="T115" i="2"/>
  <c r="U64" i="2"/>
  <c r="T135" i="2"/>
  <c r="T130" i="2"/>
  <c r="T132" i="2"/>
  <c r="T29" i="2"/>
  <c r="T47" i="2"/>
  <c r="T23" i="2"/>
  <c r="T85" i="2"/>
  <c r="T90" i="2"/>
  <c r="T83" i="2"/>
  <c r="T134" i="2"/>
  <c r="T31" i="2"/>
  <c r="T42" i="2"/>
  <c r="T81" i="2"/>
  <c r="T67" i="2"/>
  <c r="T92" i="2"/>
  <c r="T99" i="2"/>
  <c r="T35" i="2"/>
  <c r="T71" i="2"/>
  <c r="T138" i="2"/>
  <c r="T69" i="2"/>
  <c r="T116" i="2"/>
  <c r="T101" i="2"/>
  <c r="T24" i="2"/>
  <c r="T34" i="2"/>
  <c r="T56" i="2"/>
  <c r="T9" i="2"/>
  <c r="T96" i="2"/>
  <c r="T100" i="2"/>
  <c r="T89" i="2"/>
  <c r="T79" i="2"/>
  <c r="T60" i="2"/>
  <c r="T133" i="2"/>
  <c r="T97" i="2"/>
  <c r="T70" i="2"/>
  <c r="T72" i="2"/>
  <c r="T63" i="2"/>
  <c r="T45" i="2"/>
  <c r="T77" i="2"/>
  <c r="T51" i="2"/>
  <c r="T110" i="2"/>
  <c r="T88" i="2"/>
  <c r="T94" i="2"/>
  <c r="T136" i="2"/>
  <c r="T108" i="2"/>
  <c r="T103" i="2"/>
  <c r="T114" i="2"/>
  <c r="T43" i="2"/>
  <c r="T75" i="2"/>
  <c r="T49" i="2"/>
  <c r="T40" i="2"/>
  <c r="T109" i="2"/>
  <c r="T3" i="2"/>
  <c r="T46" i="2"/>
  <c r="T119" i="2"/>
  <c r="T93" i="2"/>
  <c r="T113" i="2"/>
  <c r="T76" i="2"/>
  <c r="U80" i="2"/>
  <c r="T33" i="2"/>
  <c r="T37" i="2"/>
  <c r="T129" i="2"/>
  <c r="T106" i="2"/>
  <c r="T82" i="2"/>
  <c r="T66" i="2"/>
  <c r="T50" i="2"/>
  <c r="T131" i="2"/>
  <c r="T62" i="2"/>
  <c r="T4" i="2"/>
  <c r="T30" i="2"/>
  <c r="T11" i="2"/>
  <c r="T78" i="2"/>
  <c r="T98" i="2"/>
  <c r="T16" i="2"/>
  <c r="T7" i="2"/>
  <c r="T55" i="2"/>
  <c r="T25" i="2"/>
  <c r="T91" i="2"/>
  <c r="T52" i="2"/>
  <c r="T36" i="2"/>
  <c r="T74" i="2"/>
  <c r="T17" i="2"/>
  <c r="T44" i="2"/>
  <c r="T38" i="2"/>
  <c r="T84" i="2"/>
  <c r="T57" i="2"/>
  <c r="T28" i="2"/>
  <c r="T86" i="2"/>
  <c r="T104" i="2"/>
  <c r="T127" i="2"/>
  <c r="T111" i="2"/>
  <c r="T122" i="2"/>
  <c r="T14" i="2"/>
  <c r="T5" i="2"/>
  <c r="T59" i="2"/>
  <c r="G5" i="2"/>
  <c r="G86" i="2"/>
  <c r="G127" i="2"/>
  <c r="G142" i="2"/>
  <c r="G98" i="2"/>
  <c r="G66" i="2"/>
  <c r="G37" i="2"/>
  <c r="G33" i="2"/>
  <c r="G113" i="2"/>
  <c r="G93" i="2"/>
  <c r="G119" i="2"/>
  <c r="G49" i="2"/>
  <c r="G75" i="2"/>
  <c r="G43" i="2"/>
  <c r="G114" i="2"/>
  <c r="G136" i="2"/>
  <c r="G77" i="2"/>
  <c r="G85" i="2"/>
  <c r="G92" i="2"/>
  <c r="G99" i="2"/>
  <c r="G35" i="2"/>
  <c r="G138" i="2"/>
  <c r="G69" i="2"/>
  <c r="G89" i="2"/>
  <c r="G133" i="2"/>
  <c r="G97" i="2"/>
  <c r="G72" i="2"/>
  <c r="G38" i="1"/>
  <c r="U142" i="2" l="1"/>
  <c r="U89" i="2"/>
  <c r="U132" i="2"/>
  <c r="U122" i="2"/>
  <c r="U70" i="2"/>
  <c r="U4" i="2"/>
  <c r="U90" i="2"/>
  <c r="U106" i="2"/>
  <c r="U44" i="2"/>
  <c r="U76" i="2"/>
  <c r="U33" i="2"/>
  <c r="U11" i="2"/>
  <c r="U51" i="2"/>
  <c r="U83" i="2"/>
  <c r="U119" i="2"/>
  <c r="U29" i="2"/>
  <c r="U24" i="2"/>
  <c r="U9" i="2"/>
  <c r="U136" i="2"/>
  <c r="U25" i="2"/>
  <c r="U71" i="2"/>
  <c r="U59" i="2"/>
  <c r="U5" i="2"/>
  <c r="U23" i="2"/>
  <c r="T64" i="2"/>
  <c r="U72" i="2"/>
  <c r="U133" i="2"/>
  <c r="U52" i="2"/>
  <c r="U103" i="2"/>
  <c r="U77" i="2"/>
  <c r="U65" i="2"/>
  <c r="U92" i="2"/>
  <c r="U54" i="2"/>
  <c r="U69" i="2"/>
  <c r="U129" i="2"/>
  <c r="U40" i="2"/>
  <c r="U97" i="2"/>
  <c r="U85" i="2"/>
  <c r="U50" i="2"/>
  <c r="U113" i="2"/>
  <c r="U42" i="2"/>
  <c r="U116" i="2"/>
  <c r="U101" i="2"/>
  <c r="U7" i="2"/>
  <c r="U37" i="2"/>
  <c r="U135" i="2"/>
  <c r="U111" i="2"/>
  <c r="U78" i="2"/>
  <c r="U14" i="2"/>
  <c r="U75" i="2"/>
  <c r="U67" i="2"/>
  <c r="U38" i="2"/>
  <c r="U74" i="2"/>
  <c r="U138" i="2"/>
  <c r="U91" i="2"/>
  <c r="U99" i="2"/>
  <c r="U86" i="2"/>
  <c r="U88" i="2"/>
  <c r="U57" i="2"/>
  <c r="U63" i="2"/>
  <c r="U47" i="2"/>
  <c r="U36" i="2"/>
  <c r="U35" i="2"/>
  <c r="U82" i="2"/>
  <c r="U81" i="2"/>
  <c r="U17" i="2"/>
  <c r="U66" i="2"/>
  <c r="U3" i="2"/>
  <c r="U134" i="2"/>
  <c r="U109" i="2"/>
  <c r="U130" i="2"/>
  <c r="T80" i="2"/>
  <c r="U115" i="2"/>
  <c r="U98" i="2"/>
  <c r="U114" i="2"/>
  <c r="U128" i="2"/>
  <c r="U28" i="2"/>
  <c r="U110" i="2"/>
  <c r="U96" i="2"/>
  <c r="U56" i="2"/>
  <c r="U49" i="2"/>
  <c r="U31" i="2"/>
  <c r="U94" i="2"/>
  <c r="U43" i="2"/>
  <c r="U60" i="2"/>
  <c r="U45" i="2"/>
  <c r="U108" i="2"/>
  <c r="U79" i="2"/>
  <c r="U127" i="2"/>
  <c r="U16" i="2"/>
  <c r="U62" i="2"/>
  <c r="U93" i="2"/>
  <c r="U100" i="2"/>
  <c r="U34" i="2"/>
  <c r="U46" i="2"/>
  <c r="U30" i="2"/>
  <c r="U131" i="2"/>
  <c r="U84" i="2"/>
  <c r="U104" i="2"/>
  <c r="G175" i="1"/>
  <c r="G99" i="1"/>
  <c r="G108" i="1"/>
  <c r="G63" i="1"/>
  <c r="G94" i="1"/>
  <c r="G58" i="1"/>
  <c r="G17" i="1"/>
  <c r="G67" i="1"/>
  <c r="G231" i="1"/>
  <c r="G172" i="1"/>
  <c r="G174" i="1"/>
  <c r="G77" i="1"/>
  <c r="G189" i="1"/>
  <c r="G216" i="1"/>
  <c r="G134" i="1"/>
  <c r="G192" i="1"/>
  <c r="G152" i="1"/>
  <c r="G254" i="1"/>
  <c r="G143" i="1"/>
  <c r="G244" i="1"/>
  <c r="G215" i="1"/>
  <c r="G224" i="1"/>
  <c r="G173" i="1"/>
  <c r="G69" i="1"/>
  <c r="G90" i="1"/>
  <c r="G184" i="1"/>
  <c r="G127" i="1"/>
  <c r="G79" i="1"/>
  <c r="G208" i="1"/>
  <c r="G148" i="1"/>
  <c r="G70" i="1"/>
  <c r="G23" i="1"/>
  <c r="G201" i="1"/>
  <c r="G165" i="1"/>
  <c r="G62" i="1"/>
  <c r="G158" i="1"/>
  <c r="G78" i="1"/>
  <c r="G91" i="1"/>
  <c r="G235" i="1"/>
  <c r="G80" i="1"/>
  <c r="G179" i="1"/>
  <c r="G220" i="1"/>
  <c r="G140" i="1"/>
  <c r="G105" i="1"/>
  <c r="G9" i="1"/>
  <c r="G168" i="1"/>
  <c r="G112" i="1"/>
  <c r="G210" i="1"/>
  <c r="G82" i="1"/>
  <c r="G207" i="1"/>
  <c r="G166" i="1"/>
  <c r="G85" i="1"/>
  <c r="G128" i="1"/>
  <c r="G33" i="1"/>
  <c r="G96" i="1"/>
  <c r="G183" i="1"/>
  <c r="G197" i="1"/>
  <c r="G121" i="1"/>
  <c r="G228" i="1"/>
  <c r="G177" i="1"/>
  <c r="G113" i="1"/>
  <c r="G227" i="1"/>
  <c r="G160" i="1"/>
  <c r="G100" i="1"/>
  <c r="G124" i="1"/>
  <c r="G205" i="1"/>
  <c r="G230" i="1"/>
  <c r="G87" i="1"/>
  <c r="G232" i="1"/>
  <c r="G157" i="1"/>
  <c r="G49" i="1"/>
  <c r="G178" i="1"/>
  <c r="G195" i="1"/>
  <c r="G48" i="1"/>
  <c r="G196" i="1"/>
  <c r="G137" i="1"/>
  <c r="G221" i="1"/>
  <c r="G88" i="1"/>
  <c r="G141" i="1"/>
  <c r="G255" i="1"/>
  <c r="G103" i="1"/>
  <c r="G206" i="1"/>
  <c r="G238" i="1"/>
  <c r="G136" i="1"/>
  <c r="G144" i="1"/>
  <c r="G169" i="1"/>
  <c r="G126" i="1"/>
  <c r="G161" i="1"/>
  <c r="G198" i="1"/>
  <c r="G253" i="1"/>
  <c r="G209" i="1"/>
  <c r="G55" i="1"/>
  <c r="G24" i="1"/>
  <c r="G243" i="1"/>
  <c r="G115" i="1"/>
  <c r="G203" i="1"/>
  <c r="G118" i="1"/>
  <c r="G18" i="1"/>
  <c r="G225" i="1"/>
  <c r="G11" i="1"/>
  <c r="G167" i="1"/>
  <c r="G249" i="1"/>
  <c r="G155" i="1"/>
  <c r="G233" i="1"/>
  <c r="G236" i="1"/>
  <c r="G162" i="1"/>
  <c r="G97" i="1"/>
  <c r="G151" i="1"/>
  <c r="G39" i="1"/>
  <c r="G111" i="1"/>
  <c r="G42" i="1"/>
  <c r="G193" i="1"/>
  <c r="G246" i="1"/>
  <c r="G3" i="1"/>
  <c r="G73" i="1"/>
  <c r="G217" i="1"/>
  <c r="G81" i="1"/>
  <c r="G223" i="1"/>
  <c r="G245" i="1"/>
  <c r="G211" i="1"/>
  <c r="G32" i="1"/>
  <c r="G75" i="1"/>
  <c r="G133" i="1"/>
  <c r="G135" i="1"/>
  <c r="G37" i="1"/>
  <c r="G241" i="1"/>
  <c r="G93" i="1"/>
  <c r="G186" i="1"/>
  <c r="G204" i="1"/>
  <c r="G109" i="1"/>
  <c r="G25" i="1"/>
  <c r="G50" i="1"/>
  <c r="G188" i="1"/>
  <c r="G170" i="1"/>
  <c r="G36" i="1"/>
  <c r="G248" i="1"/>
  <c r="G61" i="1"/>
  <c r="G5" i="1"/>
  <c r="G13" i="1"/>
  <c r="G252" i="1"/>
  <c r="G240" i="1"/>
  <c r="G114" i="1"/>
  <c r="G64" i="1"/>
  <c r="G234" i="1"/>
  <c r="G222" i="1"/>
  <c r="G142" i="1"/>
  <c r="G117" i="1"/>
  <c r="G229" i="1"/>
  <c r="G71" i="1"/>
  <c r="G119" i="1"/>
  <c r="G159" i="1"/>
  <c r="G132" i="1"/>
  <c r="G199" i="1"/>
  <c r="G101" i="1"/>
  <c r="G130" i="1"/>
  <c r="G123" i="1"/>
  <c r="G35" i="1"/>
  <c r="G181" i="1"/>
  <c r="G242" i="1"/>
  <c r="G200" i="1"/>
  <c r="G180" i="1"/>
  <c r="G86" i="1"/>
  <c r="G68" i="1"/>
  <c r="G57" i="1"/>
  <c r="G120" i="1"/>
  <c r="G51" i="1"/>
  <c r="G147" i="1"/>
  <c r="G214" i="1"/>
  <c r="G138" i="1"/>
  <c r="G187" i="1"/>
  <c r="G145" i="1"/>
  <c r="G150" i="1"/>
  <c r="G171" i="1"/>
  <c r="G182" i="1"/>
  <c r="G98" i="1"/>
  <c r="G110" i="1"/>
  <c r="T145" i="2" l="1"/>
  <c r="G141" i="2"/>
  <c r="J11" i="1"/>
  <c r="J279" i="1" s="1"/>
  <c r="F282" i="1"/>
  <c r="K11" i="1"/>
</calcChain>
</file>

<file path=xl/sharedStrings.xml><?xml version="1.0" encoding="utf-8"?>
<sst xmlns="http://schemas.openxmlformats.org/spreadsheetml/2006/main" count="5052" uniqueCount="1343">
  <si>
    <t>Spend</t>
  </si>
  <si>
    <t>Ad Sales</t>
  </si>
  <si>
    <t>Spend Difference</t>
  </si>
  <si>
    <t>Total Sales</t>
  </si>
  <si>
    <t>Title</t>
  </si>
  <si>
    <t>Row Labels</t>
  </si>
  <si>
    <t>Sum of Units Ordered</t>
  </si>
  <si>
    <t>Consistency</t>
  </si>
  <si>
    <t>Diff 03-04</t>
  </si>
  <si>
    <t>Diff %</t>
  </si>
  <si>
    <t>Mar</t>
  </si>
  <si>
    <t>Apr</t>
  </si>
  <si>
    <t>Ad Sales 04</t>
  </si>
  <si>
    <t>Diff</t>
  </si>
  <si>
    <t>JC</t>
  </si>
  <si>
    <t>Micro Ingredients Oil of Oregano Softgels 6000mg Per Serving, 300 Count | with Black Seed Oil, 4X Strength Carvacrol &amp; Thymoquinone | Plant Based, Non-GMO | Antioxidant &amp; Immune Support</t>
  </si>
  <si>
    <t>B0BXYKQBDC</t>
  </si>
  <si>
    <t>货补好了提一下PT的budget把抄袭我们的产品加进去</t>
  </si>
  <si>
    <t>Vitamin D3 10000 iu Plus K2 (MK-7) 200 mcg, 180 Virgin Coconut Oil Softgels| 2 in 1 Vitamins D &amp; K Complex | Supports Calcium Absorption, Bone, Immune, &amp; Heart Health – Easy to Swallow</t>
  </si>
  <si>
    <t>B07YMJLTR6</t>
  </si>
  <si>
    <t>调整vitamin d bid降低花费，换组提供强劲match 强势上升50% 目前压力较大 需要继续保持</t>
  </si>
  <si>
    <t>Pumpkin Seed Oil with Saw Palmetto, 3,000mg Per Serving, 300 Softgels | Cold Pressed, Pure Virgin Oil, Herbal Supplement | Supports Urinary, Bladder &amp; Prostate Health | Non-GMO</t>
  </si>
  <si>
    <t>B01BHF3KRG</t>
  </si>
  <si>
    <t>货补上了下调整体水平上调KW budget到400 争取一个广告位置</t>
  </si>
  <si>
    <t>Pure Methylated Multivitamin 240 count</t>
  </si>
  <si>
    <t>B0DLLG833V</t>
  </si>
  <si>
    <t>流量有一些下降 调整广告结构增加广告投放时长 尝试出一出Multivitamin的类目</t>
  </si>
  <si>
    <t>Micro Ingredients Vitamin D3 5000 IU with K2 100 mcg, 300 Soft-Gels | K2 MK-7 with D3 Vitamin Supplement, 2 in 1 Support Immune, Heart, Joint, Teeth &amp; Bone Health - Easy to Swallow</t>
  </si>
  <si>
    <t>B07RX4P4RL</t>
  </si>
  <si>
    <t>小幅度下调top让10000跑跑</t>
  </si>
  <si>
    <t>Multi-Collagen Capsules</t>
  </si>
  <si>
    <t>B0D16FNPY5</t>
  </si>
  <si>
    <t>120/40调整结构下调bid 提高主词的top竞争能力</t>
  </si>
  <si>
    <t>Organic Soluble Prebiotics Fiber Supplement (Inulin, Acacia, Psyllium Husk), 2 Pounds, 3 in 1 Fiber Formula, Daily Fiber, Unflavored, for Digestive Health, Hunger Control, Vegan</t>
  </si>
  <si>
    <t>B07RG8M2XB</t>
  </si>
  <si>
    <t>关掉广告了 等货</t>
  </si>
  <si>
    <t>Organic Ceylon Cinnamon Powder 1lb</t>
  </si>
  <si>
    <t>B0D2S665WK</t>
  </si>
  <si>
    <t>Creatine Monohydrate Powder 1 kg (2.2 Lbs), 5000mg Per Serv, Micronized Creatine Powder, Unflavored, Pure, No Filler, Keto &amp; Vegan Friendly, Easy Dissolve Pre Workout Creatine for Women and Men</t>
  </si>
  <si>
    <t>B09YFHGK3F</t>
  </si>
  <si>
    <t>PT给100的budget继续跑 上调top到70 跑跑IS</t>
  </si>
  <si>
    <t>Pure Methylated B Complex with Vitamin C</t>
  </si>
  <si>
    <t>B0DLLHRVLY</t>
  </si>
  <si>
    <t>小提一下PT B00CFD0TC4，B00HST919C的Bid，加入B0797JXKL9，B078V2VLCT,etc 小降一点点top，thorne methylated b complex多降了一点</t>
  </si>
  <si>
    <t>Multi Collagen Protein Powder, 2 Pounds – Type I,II,III,V,X with Biotin 10000mcg, Hyaluronic Acid, Vitamin C – Unflavored Collagen Peptides – Keto &amp; Paleo Friendly, Easy Dissolve, Non-GMO</t>
  </si>
  <si>
    <t>B01BHF3OMW</t>
  </si>
  <si>
    <t>提高top到100% 跑一跑</t>
  </si>
  <si>
    <t>Pure D-Mannose 1300mg with cranberry</t>
  </si>
  <si>
    <t>B0DLLMC7DS</t>
  </si>
  <si>
    <t>Instant Bovine Colostrum Powder 8oz</t>
  </si>
  <si>
    <t>B0D3SNSJ47</t>
  </si>
  <si>
    <t>加产品上调armra的colostrum PT，我们主词占比第二没比他少多少 他主要还是有自己的流量</t>
  </si>
  <si>
    <t>Organic Shredded Coconut Flakes, 4lbs</t>
  </si>
  <si>
    <t>B0CLFYHSV2</t>
  </si>
  <si>
    <t>涨价跌了很多 上调广告到70的top</t>
  </si>
  <si>
    <t>Organic Beet Root Powder, 4 Pounds | Cold Pressed, Water Soluble, High Concentrated Raw Beet Supplement | Superfood Drink Mix | Non-GMO, Vegan Friendly, Plant Based</t>
  </si>
  <si>
    <t>B01N20ON39</t>
  </si>
  <si>
    <t>保持我们主词占比已经比较高了</t>
  </si>
  <si>
    <t>Organic Matcha Green Tea Powder, 2 Pound (32 Ounce), Culinary Grade - Unflavored - First Harvest Authentic Japanese Origin, 100% Pure Matcha for Smoothies, Latte and Baking, Non-GMO, Non-Irradiation</t>
  </si>
  <si>
    <t>B09TG3RDGS</t>
  </si>
  <si>
    <t>没关广告了但是没货 等货</t>
  </si>
  <si>
    <t>Magnesium Glycinate 400mg</t>
  </si>
  <si>
    <t>B0DGRNP1ZL</t>
  </si>
  <si>
    <t>下调一些超标 品牌词的表现掩盖了campaign表现不好 保留top上调20的rest跑跑销售</t>
  </si>
  <si>
    <t>Calcium 1200mg with Vitamin D3K2 1000IU</t>
  </si>
  <si>
    <t>B0DDWNT45S</t>
  </si>
  <si>
    <t xml:space="preserve">小幅度下调一点top 这个这两天花的有点暴力 </t>
  </si>
  <si>
    <t xml:space="preserve">Organic Instant Coffee 1lb </t>
  </si>
  <si>
    <t>B0DGSDQ2XG</t>
  </si>
  <si>
    <t>先打60 top跑跑 不够花 安东尼强竞 可以考虑换思路跑跑PT</t>
  </si>
  <si>
    <t xml:space="preserve">Organic Butterfly Pea Flowers, 8oz </t>
  </si>
  <si>
    <t>B0CLFQJ9V2</t>
  </si>
  <si>
    <t>Triple Strength Omega 3 Fish Oil Supplements 3000mg, 200 Softgels - Lemon Flavored - Burpless (Enteric-Coated) | EPA 1200mg + DHA 900mg | Deep Sea Fish, Wild Caught from Norwegian Waters</t>
  </si>
  <si>
    <t>B07L45XQBR</t>
  </si>
  <si>
    <t>Micro Ingredients Black Seed Oil 2000 mg with Vitamin D3 1000 IU, 240 Softgels | Cold Pressed - Nigella Sativa Pills from Egypt, Virgin Oil, Odorless, Non-GMO &amp; No Gluten</t>
  </si>
  <si>
    <t>B08TB8VX8P</t>
  </si>
  <si>
    <t>Vitamin D3 5000 iu Plus K2 (MK-7) 100 mcg, 300 Virgin Coconut Oil Softgels | 2 in 1 Vitamins D &amp; K Complex | Supports Calcium Absorption, Bone, Immune, &amp; Heart Health – Easy to Swallow</t>
  </si>
  <si>
    <t>B0CG7M9HWP</t>
  </si>
  <si>
    <t xml:space="preserve">Myo &amp; D-Chiro Inositol Powder 1lb </t>
  </si>
  <si>
    <t>B0DGRG846L</t>
  </si>
  <si>
    <t xml:space="preserve">Niacin (Vitamin B3) 500mg capsules 400 count </t>
  </si>
  <si>
    <t>B0DLLJLMKD</t>
  </si>
  <si>
    <t>Vitamin D3 2,000 iu Plus K2 (MK-7) 50 mcg, 300 Virgin Coconut Oil Softgels</t>
  </si>
  <si>
    <t>B0CVTDBXW5</t>
  </si>
  <si>
    <t>Pure Magnesium Glycinate 1000mg with Vitamin C</t>
  </si>
  <si>
    <t>B0DLLLZD5K</t>
  </si>
  <si>
    <t>Vitamin D3 1,000 iu Plus K2 (MK-7) 25 mcg, 300 Virgin Coconut Oil Softgels</t>
  </si>
  <si>
    <t>B0CVTRSWQ1</t>
  </si>
  <si>
    <t>Pure Magnesium Citrate 500mg with Vitamin C</t>
  </si>
  <si>
    <t>B0DLLJ7HTQ</t>
  </si>
  <si>
    <t>Organic Hibiscus Tea Bags, 200 Count | Caffeine Free, Loose Leaf Flower Source | Eco-Friendly Hemp Paper Bags | Great for Iced or Hot Brewed Tea | Non-GMO, No Sugar</t>
  </si>
  <si>
    <t>B0C35TKL3M</t>
  </si>
  <si>
    <t>2 Pack Vitamin D3 5000IU Plus K2, 2 in 1 Formula, Vitamin D3 Liquid with Vitamin K2, 300 Soft-Gels, Immune Vitamin Complex with Virgin Sunflower Seed Oil, Support Your Heart, Teeth &amp; Joint Health</t>
  </si>
  <si>
    <t>B07VF2S2LC</t>
  </si>
  <si>
    <t>Organic Arrowroot Powder, 5lbs | Food Grade, All Purpose Flour, Corn Starch Substitute</t>
  </si>
  <si>
    <t>B0CLFXD4XS</t>
  </si>
  <si>
    <t>Organic Pomegranate Juice Powder, 1 Pound (91 Serving), Freeze Dried &amp; Cold Pressed, Natural Vitamin C (Immune Vitamin), Support Immune System, Organic Flavor for Smoothie &amp; Beverage, Vegan Friendly</t>
  </si>
  <si>
    <t>B01HN63W4Y</t>
  </si>
  <si>
    <t>Organic Bee Pollen Granules, 1lb | Pure Fresh Harvest, Natural Superfood, Raw Sweet Flavor | Rich in B Vitamins, Minerals, Protein, &amp; Antioxidants | Keto, Non-GMO</t>
  </si>
  <si>
    <t>B0CLFGBK2B</t>
  </si>
  <si>
    <t>Organic Whole Cinnamon Stick, 2lbs | 2 ¾” Stick Size | Raw Cinnamon Spice Flavor &amp; Aroma | Great for Tea, Desserts, or Cooking | Non-GMO, Vegan Friendly, Bulk Supply</t>
  </si>
  <si>
    <t>B0C9PGM2LW</t>
  </si>
  <si>
    <t>US Origin Pure Magnesium Citrate Powder, 2 Pounds (32 Ounce), Pure and Filler Free, Relaxation and Nutrient Utilization, Vegan</t>
  </si>
  <si>
    <t>B01BHF3GMK</t>
  </si>
  <si>
    <t>Xanthan Gum Powder 2lb - Premium Food Grade for Cooking, Keto Baking, Thickening Soups &amp; Sauces, Dressings, Vegan Friendly, Non-GMO, Gluten Free</t>
  </si>
  <si>
    <t>B0BXY6BMHQ</t>
  </si>
  <si>
    <t>Vegan omega 3</t>
  </si>
  <si>
    <t>B0D3T51D3C</t>
  </si>
  <si>
    <t>Triple Magnesium Complex (Glycinate + Malate + Taurate) 400mg capsules 300 count</t>
  </si>
  <si>
    <t>B0DLLHGKDM</t>
  </si>
  <si>
    <t>Organic Goji Berries 2lbs, Large Whole Sun-Dried Berries | Sulfate Free, Natural Antioxidant | Raw Superfood Berry for Energy, Eye, &amp; Immune Health | Non-GMO</t>
  </si>
  <si>
    <t>B0BXYB91BJ</t>
  </si>
  <si>
    <t xml:space="preserve">Cod Liver Oil 2000mg </t>
  </si>
  <si>
    <t>B0D3T12XYP</t>
  </si>
  <si>
    <t>Ashwagandha 6000mg with MCT Oil Softgels</t>
  </si>
  <si>
    <t>B0DK6596L8</t>
  </si>
  <si>
    <t>CoQ10 200mg with MCT Oil</t>
  </si>
  <si>
    <t>B0DGRK52HZ</t>
  </si>
  <si>
    <t>L-Theanine + Magnesium Glycinate</t>
  </si>
  <si>
    <t>B0DK65BMV7</t>
  </si>
  <si>
    <t>Organic Lion's Mane Powder 8oz</t>
  </si>
  <si>
    <t>B0D2S6H23L</t>
  </si>
  <si>
    <t>Magnesium Glycinate 400mg with Vitamin C - 200 Capsules, Elemental Magnesium 400mg Supplement, 100% Chelated, Support Healthy Muscle, Bones &amp; Mood</t>
  </si>
  <si>
    <t>B087F4HLJ3</t>
  </si>
  <si>
    <t>Micro Ingredients Full Spectrum Vitamin K2 MK-4 + MK-7 Supplement, 150 mcg, 300 Coconut Oil Softgles | Easily Absorbed, Active Menaquinone Complex | Immune, Joint, &amp; Heart Support | Non-GMO</t>
  </si>
  <si>
    <t>B087DZKHVW</t>
  </si>
  <si>
    <t>Microingredients Hydration Electrolyte Powder, Lemon Raspberry, 2 Lbs - High Potassium (1000mg), 0 Calorie, Sugar-Free, Hydration Drink Mix with Real Lemon Juice - Keto, Paleo, Non-GMO</t>
  </si>
  <si>
    <t>B0CG7TB55T</t>
  </si>
  <si>
    <t>Moringa Powder Organic (Moringa Oleifera Leaf Powder), 2 Pounds, Rich in Antioxidants and Immune Vitamin, Great Superfoods for Moringa Tea, Moringa Drink, Moringa Powder for Hair, India Grown, Vegan</t>
  </si>
  <si>
    <t>B01L2TGLTG</t>
  </si>
  <si>
    <t>Vitamin D3 5000IU with coconut oil</t>
  </si>
  <si>
    <t>B0DGRWCTN8</t>
  </si>
  <si>
    <t>Pure Potassium Magnesium with Vitamin C</t>
  </si>
  <si>
    <t>B0DLLLB5TL</t>
  </si>
  <si>
    <t>Multi Collagen Peptides Powder, 16 Oz - Hydrolyzed Protein Peptides | Type I,II,III,V,X with Hyaluronic Acid, Biotin 10,000mcg &amp; Vitamin C - Unflavored - Keto &amp; Paleo Friendly, Ez Mix in Drinks</t>
  </si>
  <si>
    <t>B0BKK4X56L</t>
  </si>
  <si>
    <t>Micro Ingredients Ground Cayenne Pepper Powder Bulk, 6 Pounds - 60,000 Heat Units, Spicy and Filler Free, Garden Protection from Wildlife, No Gluten, No GMOs, Vegan Friendly</t>
  </si>
  <si>
    <t>B08TB8F5LL</t>
  </si>
  <si>
    <t>Organic Mega 10 Mushroom Powder 5oz</t>
  </si>
  <si>
    <t>B0D2S5M4DK</t>
  </si>
  <si>
    <t>D Mannose Powder, 8.8 Ounce, Pure Mannose Supplement, Quick Water Soluble, Support Urinary Tract Cleanse &amp; Bladder Health, Premium Mannose for Women and Men, Vegan Friendly</t>
  </si>
  <si>
    <t>B01L2TFP1Q</t>
  </si>
  <si>
    <t>Sustainably US Grown, Organic Sunflower Lecithin Powder, 1 Pound, Sustainable Farmed, Cold Pressed, Rich in Phosphatidyl Choline and Protein, Making Liposomal Vitamin C, Lactation Supplement, Non-GMO</t>
  </si>
  <si>
    <t>B01N02YNF5</t>
  </si>
  <si>
    <t>Organic Blue Spirulina 30g</t>
  </si>
  <si>
    <t>B0DDW2L4YM</t>
  </si>
  <si>
    <t xml:space="preserve">Multi Collagen Peptides Packets 40-count </t>
  </si>
  <si>
    <t>B0D3FQWRV4</t>
  </si>
  <si>
    <t>Organic Ceylon Cinnamon Powder | 2 Lb - [Sourced from Sri Lanka] - Inner Bark Cinnamomum Verum, Delicate Flavor and Aroma, Third Party Tested for Purity, Vegan, Non-GMO &amp; Gluten Free</t>
  </si>
  <si>
    <t>B01BHF3IXM</t>
  </si>
  <si>
    <t>Micro Ingredients Organic Lemon Juice Powder, 10 Ounce, Cold Pressed Concentrated Powder, Filler Free, Rich in Natural Vitamin C for Immune System Booster, Great Flavor for Soda, Baking and Cooking, Vegan Friendly</t>
  </si>
  <si>
    <t>B07NY4MF5Y</t>
  </si>
  <si>
    <t>Micro Ingredients Organic Barley Grass Juice Powder, 10 Ounce, Cold Pressed, US Grown, Rich in Immune Vitamin, Fibers, Minerals, Antioxidants and Protein, Support Immune System and Digestion, Vegan</t>
  </si>
  <si>
    <t>B01MT7T5XX</t>
  </si>
  <si>
    <t>Pure L-Theanine Powder, 100 Grams (1 Year Supply), Filler Free, No GMOs and Vegan Friendly</t>
  </si>
  <si>
    <t>B01DPW5F5O</t>
  </si>
  <si>
    <t>Multi-Collagen Powder Chocolate Flavor 2lb</t>
  </si>
  <si>
    <t>B0D68JXS1L</t>
  </si>
  <si>
    <t>Indian Healing Clay Powder 2lb</t>
  </si>
  <si>
    <t>B0DDWH3NNX</t>
  </si>
  <si>
    <t>Micro Ingredients Organic Beet Root Juice Powder, 1 Pound -Superfood Drink Mix | Non-GMO</t>
  </si>
  <si>
    <t>B01N32M7BR</t>
  </si>
  <si>
    <t>US Origin Potassium Citrate Powder, 1 KG (35 Ounce), Essential Electrolyte Supplement, Supports Mineral Balance, Heart Health and Immune System, Vegan Friendly</t>
  </si>
  <si>
    <t>B01KFALQ34</t>
  </si>
  <si>
    <t>Pure Pine Pollen Powder, 6 Ounce, Wild Harvest an Broken Cell Wall, Supports Immune System Health, Boosts Energy, Antioxidant &amp; Androgenic, No GMOs, Vegan Friendly</t>
  </si>
  <si>
    <t>B079N44L9C</t>
  </si>
  <si>
    <t>Organic Schisandra Extract Powder, 8 Ounce, Traditional Adaptogen and Filler Free, Pure Schisandra Supplement, Supports Liver Detox and Cognitive Health, No GMOs</t>
  </si>
  <si>
    <t>B07GF4QLJJ</t>
  </si>
  <si>
    <t>Micro Ingredients Organic Rhodiola Rosea Root Extract, 50g Powder | Adaptogenic Herb Based Supplement with Active Rosavins &amp; Salidrosides | Supports Energy &amp; Relaxation | No GMOs, Filler Free</t>
  </si>
  <si>
    <t>B01DPW5LN0</t>
  </si>
  <si>
    <t>Organic Turmeric Powder 5lb</t>
  </si>
  <si>
    <t>B0DGYLR7W1</t>
  </si>
  <si>
    <t>Beef Gelatin Powder | Grass Fed, 2lbs | Unflavored Thickening Agent, Pasture Raised Source, Rich in Natural Protein | Great for Cooking &amp; Baking | Non-GMO</t>
  </si>
  <si>
    <t>B0C35DQQM9</t>
  </si>
  <si>
    <t xml:space="preserve">Organic MCT Liquid Oil 32 fl oz (946mL) </t>
  </si>
  <si>
    <t>B0C325P6Z4</t>
  </si>
  <si>
    <t>Taurine Powder Supplement | 1 KG, 2000mg Per Serving | Unflavored | 100% Pure, Easily Absorbed Free Form | Essential Amino Acids for Exercise, Energy, &amp; Heart Support</t>
  </si>
  <si>
    <t>B0C88H675D</t>
  </si>
  <si>
    <t>Electrolyte Powder 1lb</t>
  </si>
  <si>
    <t>B0CS4VV8MD</t>
  </si>
  <si>
    <t>Micro Ingredients Sustainably US Grown, Organic Wheat Grass Powder (100% Whole-Leaf), 16 Ounce, Rich in Immune Vitamins, Fibers and Minerals, Support Digestion Function, Vegan Friendly</t>
  </si>
  <si>
    <t>B01NH4ZI46</t>
  </si>
  <si>
    <t>Organic Turkey Tail Mushroom Powder (50:1 Extract), 8 Ounce | Sustainably US Grown, Freeze Dried with Active Polysaccharides, Supports Immune Response &amp; Cellular Level, Pet Friendly</t>
  </si>
  <si>
    <t>B07P2BWC78</t>
  </si>
  <si>
    <t>Sustainably Canada Grown, Organic Blueberry Extract 50:1 Concentrated Powder, 6 Ounce, Wild Grown and Freeze Dried, Natural Flavor for Beverage, Smoothie and Baking, No GMOs</t>
  </si>
  <si>
    <t>B07CY1TLH2</t>
  </si>
  <si>
    <t>Organic Freeze-Dried Dragon Fruit Powder (Pink Pitaya/Pitahaya), 10 Ounce, Perfect for Shakes, Baking &amp; Smoothie, Non-GMO, No Gluten, Vegan Friendly</t>
  </si>
  <si>
    <t>B07P4M1YGN</t>
  </si>
  <si>
    <t>Agar Agar Powder, 1lb | Vegan Substitute for Beef Gelatin, Unflavored Thickening Agent, Plant Based Red Algae | Great for Desserts or Baked Plates | Non-GMO, Sugar Free</t>
  </si>
  <si>
    <t>B0C35H321V</t>
  </si>
  <si>
    <t>Micro Ingredients Red Panax Ginseng 1200mg Per Serving, 200 Softgels | High Potency Korean Ginseng Extract with Active Ginsenosides, Non-GMO &amp; No Gluten</t>
  </si>
  <si>
    <t>B07S17DJS3</t>
  </si>
  <si>
    <t xml:space="preserve">NAC+NAD with MCT Oil softgels </t>
  </si>
  <si>
    <t>B0DK65J8YX</t>
  </si>
  <si>
    <t>Omega 3 Fish Oil 4200mg 120 Softgels</t>
  </si>
  <si>
    <t>B0CS56P75L</t>
  </si>
  <si>
    <t>Pure Birch Xylitol Sweetener (Xylitol Sugar Crystal Powder), 6 Pounds (96 Ounce &amp; 680 Serving), Natural Sweetener, 1:1 Brown Sugar Substitute and Low Calorie, Best for Baking and Cooking, No After Taste, Keto Friendly and Product of USA</t>
  </si>
  <si>
    <t>B07T5WW8LF</t>
  </si>
  <si>
    <t>Turmeric Extract 95% Curcuminoids (Natural Turmeric Extract and Turmeric Supplements), 100 Grams, Rich in Antioxidants for Joint &amp; Immune Support, No GMOs, Vegan Friendly, India Origin</t>
  </si>
  <si>
    <t>B01JNPEPOE</t>
  </si>
  <si>
    <t>Micro Ingredients Vitamin E 1000 IU, 240 Softgels | Pure Vitamin E Oil Pills | Antioxidant Supplements for Skin, Face, &amp; Immune Health | Non-GMO, Gluten Free</t>
  </si>
  <si>
    <t>B0845QRGV5</t>
  </si>
  <si>
    <t>Micro Ingredients Riboflavin Vitamin B2, 400mg Per Serving, 180 Mini Tablets, Premium Vitamin B2 400mg Riboflavin Supplements, Easy to Swallow, Non-GMO</t>
  </si>
  <si>
    <t>B08C7BCJPM</t>
  </si>
  <si>
    <t>Electrolyte Powder Pineapple Flavor 2lb</t>
  </si>
  <si>
    <t>B0D3T8WHH4</t>
  </si>
  <si>
    <t>Micro Ingredients Organic Bamboo Extract Powder, 8 Ounce (1 Year Supply), Rich in Silica and Minerals, Supports Healthy Skin, Nail, Hair, Joints and Bones, Non-GMO and Vegan Friendly</t>
  </si>
  <si>
    <t>B07CXK6M1G</t>
  </si>
  <si>
    <t>Micro Ingredients Organic Lions Mane Mushroom Supplement Powder, 16 Ounce | Sustainably US Grown, Nootropic for Mental Clarity, Energy, &amp; Immune Support | Non-GMO, Vegan</t>
  </si>
  <si>
    <t>B07P2CWWVV</t>
  </si>
  <si>
    <t xml:space="preserve">Peanut Powder 4lb </t>
  </si>
  <si>
    <t>B0DGRPBBZY</t>
  </si>
  <si>
    <t>Organic Hibiscus Flowers, 2lbs | Loose Leaf Flower Source for Tea Bags | Cut &amp; Sifted Dried Leaves | Great for Iced or Hot Brewed Herbal Tea | Caffeine Free, Non-GMO, No Sugar</t>
  </si>
  <si>
    <t>B0C9PGR822</t>
  </si>
  <si>
    <t>Pure L Serine Powder, 500 Grams (250 Day Supply), Filler Free, Supports Production of L-Cystine &amp; L-Tryptophan for Brain Health, Water Soluble, No GMOs, No Gluten</t>
  </si>
  <si>
    <t>B01MTLG2HR</t>
  </si>
  <si>
    <t>Sunflower Lecithin 1,600mg Per Serving, 300 Softgels</t>
  </si>
  <si>
    <t>B0CVTMQBGR</t>
  </si>
  <si>
    <t>USDA Organic Monk Fruit Extract Powder with Active Mogrosides, 4 Ounce, Zero Calorie, Zero Carb, Sugar Alternative, Monk Fruit Keto Diet, Perfect Paleo &amp; Low-Carb Dieters, Natural Sweetener, Vegan</t>
  </si>
  <si>
    <t>B07W86RNBX</t>
  </si>
  <si>
    <t>Monk Fruit Sweetener with Allulose, 2 lbs | No Erythritol | No Aftertaste, 1:1 White Sugar Substitute, Keto &amp; Vegan Friendly, Zero Calorie | Great for Drinks, Coffee, Tea, Cookies | Non-GMO</t>
  </si>
  <si>
    <t>B0BR4N7C2F</t>
  </si>
  <si>
    <t>Organic Black Cumin Seed (Nigella Sativa), 2lbs | Premium Grade Whole Black Seed from Egypt | Rich in Healthy Black Seed Oil | Raw Seeds for Baking, Seasoning, and Cooking | Non-GMO</t>
  </si>
  <si>
    <t>B0CG7S11B6</t>
  </si>
  <si>
    <t>Organic Kelp Powder Supplement, 2lbs | Sustainably US Grown, Raw Ascophyllum Nodosum Source | Rich in Iodine for Thyroid Support, Body Scrubs, &amp; Skin Care | Non-GMO, Vegan</t>
  </si>
  <si>
    <t>B01LFPNJ8S</t>
  </si>
  <si>
    <t>Glutathione Supplement, Pure Glutathione Reduced Powder with Inositol, 5 Ounce (9 Months Supply), 2 in 1 Formula, Powerful Ingredients for Antioxidants, Supports Liver Function, Vegan</t>
  </si>
  <si>
    <t>B0812D49XG</t>
  </si>
  <si>
    <t>L Glutamine Powder Gut Health, 1Kg, 100% Pure, Free Form - Unflavored- Vegan Friendly, No Filler, No additives, Supports Muscle Recovery, Post Workout | Non-GMO &amp; Gluten-Free</t>
  </si>
  <si>
    <t>B01HFN37MC</t>
  </si>
  <si>
    <t>Bovine Collagen Protein Powder, 1 Pound</t>
  </si>
  <si>
    <t>B0D16G8C8P</t>
  </si>
  <si>
    <t>DIM Active Supplement, DIM 300mg, 240 Veggie Capsules (8-Month Supply), 2 in 1 Formula, Estrogen Metabolism, Premium DIM-Plus Broccoli Extract Supplement With Black Pepper for Better Absorption</t>
  </si>
  <si>
    <t>B08MX153BT</t>
  </si>
  <si>
    <t>Vitamin K Complex with coconut oil softgels</t>
  </si>
  <si>
    <t>B0C9PNMGR3</t>
  </si>
  <si>
    <t>Psyllium Husk Powder, 2 Pound (32 Ounce), Soluble Fiber, Psyllium Husk Daily Fiber for Baking, Smoothie and Beverage, India Origin, Keto Diet, Unflavored, Gluten Free, No GMOs and Vegan Friendly</t>
  </si>
  <si>
    <t>B07RD8TVDG</t>
  </si>
  <si>
    <t>Vitamin B12 1000mcg</t>
  </si>
  <si>
    <t>B0DK64ZGK4</t>
  </si>
  <si>
    <t>MiracleMag Magnesium Supplement, 2lbs</t>
  </si>
  <si>
    <t>B0CVT7ZLLH</t>
  </si>
  <si>
    <t>Beta Alanine Powder, Pure Beta Alanine Supplement, 2.2 Pounds (500 Days Supply), Filler Free, Amino Energy Pre Workout, Unflavored, Non-GMO and Vegan Friendly</t>
  </si>
  <si>
    <t>B01M3YCOJ4</t>
  </si>
  <si>
    <t>Baking Soda Powder, 6lbs | Pure Sodium Bicarbonate | Bulk Food Grade Supply | Great for Cleaning, Cooking, Laundry, or Personal Care | Non-GMO, Filler Free</t>
  </si>
  <si>
    <t>B0CG7C5X2F</t>
  </si>
  <si>
    <t>Organic Freeze-Dried Lime Powder, 1.5lbs | Raw Lime Juice Flavor, Sugar Free Drink Mix, Rich in Vitamin C | Water Flavor Enhancer, Great for Beverages &amp; Smoothies | Additive Free, Non-GMO</t>
  </si>
  <si>
    <t>B0CLFG8QLY</t>
  </si>
  <si>
    <t>Organic Garlic Powder, 3lbs | Culinary Grade | Freshly Harvested Raw Allium Sativum Bulb | Natural Herbal Spice | Great for Seasonings, Meats, or Vegetables | Non-GMO</t>
  </si>
  <si>
    <t>B0BXYB635P</t>
  </si>
  <si>
    <t>Micro Ingredients Water Soluble COQ10 Supplement (COQ10 200mg Per Serving in Powder Form), 50 Grams (8 Months Supply), Extra Absorption, Support Heart Health and Energy Production, Vegan Friendly</t>
  </si>
  <si>
    <t>B07RH9L848</t>
  </si>
  <si>
    <t>2 Pack Micro Ingredients Organic Lemon Juice Powder, 10 Ounce, Rich in Natural Vitamin C (Immune Vitamins) for Immune System, Great Flavor for Drinks, Smoothie &amp; Beverages, Vegan</t>
  </si>
  <si>
    <t>B07XGDGNH9</t>
  </si>
  <si>
    <t>Pure Inositol Powder, Myo-Inositol B8 Powder, 1KG (2.2 Pounds), Strongly Supports Liver Health &amp; Antioxidant, Super Inositol for Hair and Inositol for Sleep, Non-GMO and Vegan Friendly</t>
  </si>
  <si>
    <t>B01DPW5E46</t>
  </si>
  <si>
    <t>Micro Ingredients Organic Acacia Senegal Powder, 2 Pounds (32 Ounce), Instant Soluble Fiber Powder, Plant-Based Prebiotic Superfood for Gut Health, Non-GMO, No Gluten, Vegan</t>
  </si>
  <si>
    <t>B09NQVBGQK</t>
  </si>
  <si>
    <t>CoQ10 100mg with MCT Oil</t>
  </si>
  <si>
    <t>B0DK69D35M</t>
  </si>
  <si>
    <t>Pure Quercetin Dihydrate Powder, Quercetin 500mg Per Serving, 100 Grams, Most Bioavailable Grade and Filler Free, Powerful Antioxidant Supports Energy, Immune System , No GMOs and Vegan</t>
  </si>
  <si>
    <t>B01DPW5IWY</t>
  </si>
  <si>
    <t>Organic Freeze-Dried Acai Powder 8oz, Sustainably Grown in Brazilian Amazon, 100% Pure Berry Pulp, Raw, Bulk, No Filler, No additives, Great for Acai Bowls, Yogurt, Smoothies, and More</t>
  </si>
  <si>
    <t>B09TG36LYR</t>
  </si>
  <si>
    <t>Micro Ingredients Evening Primrose Oil 1300mg Perserving, 240 Softgels | Enhanced with 40mg Black Cohosh Extract, Cold Pressed – 10% Active GLA, Non-GMO, No Gluten, Easy to Swallow</t>
  </si>
  <si>
    <t>B01DPW5LR6</t>
  </si>
  <si>
    <t>Micro Ingredients Tongkat Ali Extract 200:1 (Longjack) Powder, 100 Grams, Grown in Indonesia, 100% Pure Eurycoma Longifolia Root Extract, Bitter Taste - No Filler, No Additive, Non-GMO</t>
  </si>
  <si>
    <t>B01L2TFQHY</t>
  </si>
  <si>
    <t>Sustainably US Grown, Organic Saw Palmetto Powder, 4 Ounce, with Active Fatty Acid, Pure Saw Palmetto Prostate &amp; Hair Growth Supplement, Healthy Urination Frequency &amp; Hair Loss Blocker Supplement</t>
  </si>
  <si>
    <t>B07WLMT9FS</t>
  </si>
  <si>
    <t>Organic Black Seed Oil Bottle 16 fl oz (473mL)</t>
  </si>
  <si>
    <t>B0CVR6MX33</t>
  </si>
  <si>
    <t>Micro Ingredients Pure Vitamin C Crystal Powder (Water Soluble Vitamin C 1000mg Per Serving), 1 KG (2.2 Pounds), Immune Vitamins and Strong Antioxidant, Pure Ascorbic Acid Powder Supplement</t>
  </si>
  <si>
    <t>B01HFOJBG2</t>
  </si>
  <si>
    <t>Micro Ingredients Odorless Garlic 7500mg Per Servings, 300 Softgels | 2 Years Aged Garlic Extract, Grown Allium Sativum Bulb | Potent Antioxidant Supplement, Immune Support, and Heart Health</t>
  </si>
  <si>
    <t>B0812DJRSK</t>
  </si>
  <si>
    <t>Organic Collagen Peptides Powder 12oz</t>
  </si>
  <si>
    <t>B0D3SH3DVW</t>
  </si>
  <si>
    <t>Double Strength Yohimbine Supplements for Men and Women, 10mg Per Serving, 300 Softgels, Yohimbine HCL with Virgin Sunflower Seed Oil for Better Absorption, Supports Energy Production, African Raw</t>
  </si>
  <si>
    <t>B08MX72C55</t>
  </si>
  <si>
    <t>Micro Ingredients Organic Chaga Mushroom Extract 100:1 Powder, 6 Ounce | Sustainably Maine Grown, Wild Harvest, Chaga Tea, Superfood for Beverage and Smoothie, Vegan Friendly</t>
  </si>
  <si>
    <t>B07CY1LGVZ</t>
  </si>
  <si>
    <t>Organic MCT Oil Powder with Prebiotic Fiber,1 Pound(16 Ounce), Fast Fuel for Body and Brain, C8 MCT Oil for Coffee Creamer, Delicious for Tea, Smoothie, Drink and Beverage, No GMOs, Keto Diet, Vegan</t>
  </si>
  <si>
    <t>B07T5X85N9</t>
  </si>
  <si>
    <t>Organic Tomato Powder 2lb</t>
  </si>
  <si>
    <t>B0CLFZXMRB</t>
  </si>
  <si>
    <t>Pure L Citrulline Malate 2:1 Powder, 500 Grams, Filler Free, Vegan Citrulline Supplement and Citrulline Nitrate, Supports Muscle Performance, Endurance and Strength, Unflavored, Dissolve Easily</t>
  </si>
  <si>
    <t>B01HFOBO7Q</t>
  </si>
  <si>
    <t xml:space="preserve">Organic Instant Mushroom Coffee 14oz </t>
  </si>
  <si>
    <t>B0CWN8C5KR</t>
  </si>
  <si>
    <t>North America Grown, Organic Pea Protein Powder, 1KG (2.2 Pounds), Plant-Based Vegan Protein Organic, Rich in Branched Chain Amino Acids, Flavonoids and Minerals, No GMOs &amp; Vegan Friendly</t>
  </si>
  <si>
    <t>B01DWUEQ7C</t>
  </si>
  <si>
    <t>Golden Monk Fruit Sweetener with Allulose, 2 lbs | No Erythritol, No Aftertaste, 1:1 Brown Sugar Substitute | Zero Calorie, Great for Drinks, Coffee, Tea, Cookies | Keto, Vegan, Non-GMO</t>
  </si>
  <si>
    <t>B0C9P7L7YJ</t>
  </si>
  <si>
    <t>Organic He Shou Wu, Pure Fo Ti Extract Powder, 6 Ounce, Prepared Foti Steaming with Black Bean, Traditional Anti Aging Herb, Promotes Hair Health and Antioxidant, Filler Free and No GMOs</t>
  </si>
  <si>
    <t>B06XKV2PK3</t>
  </si>
  <si>
    <t>Organic Whole Rainbow Peppercorn Blend, 2lbs | Black, Green, Pink, &amp; White Fresh Peppercorns for Easy Grinder Refill | Multi Purpose Seasoning for Cooking or Baking | Non-GMO</t>
  </si>
  <si>
    <t>B0C9PGG2WV</t>
  </si>
  <si>
    <t>Micro Ingredients 5-HTP 200mg with Chamomile Flower Extract, 180 Capsules, 2 in 1 Formula, 98% Griffonia Seed Extract, Enhanced with Chamomile | Highly Bioavailable for Mood, Sleep &amp; Relaxation</t>
  </si>
  <si>
    <t>B08MX256RL</t>
  </si>
  <si>
    <t>Micro Ingredients Quercetin with Vitamin C and Zinc, 240 Capsules | Quercetin 500mg, Vitamin C 500mg, Zinc 50mg (Picolinate, Citrate, Glycinate, Gluconate) | Complete Immune Support Supplements</t>
  </si>
  <si>
    <t>B087Z8PSW6</t>
  </si>
  <si>
    <t>Organic Milk Thistle Extract, 3.5 Ounces, Pure Milk Thistle Powder Organic, Milk Thistle Tea, Contains 80% Active Silymarin, Strongly Supports Liver Health and Antioxidant, Vegan Friendly</t>
  </si>
  <si>
    <t>B01L2TGS30</t>
  </si>
  <si>
    <t>Biotin 5000mcg with coconut oil</t>
  </si>
  <si>
    <t>B0DK64NZS8</t>
  </si>
  <si>
    <t>Ultra Omega 3-6-9 3600mg Perserv, 300 Burpless Softgels | Lemon Flavor – Blend of Fish, Flaxseed, Borage Oils | Bioavailable Source, Non-GMO, No Gluten, Mercury Free</t>
  </si>
  <si>
    <t>B07RD8T952</t>
  </si>
  <si>
    <t>Micro Ingredients Vitamin B3 Nicotinamide 1,000mg Per Serving, 400 Capsules | Flush Free Niacin, Essential B Vitamin Supplement | Skin Care Health &amp; Energy Support | Non-GMO, Gluten Free</t>
  </si>
  <si>
    <t>B08C9MWZD9</t>
  </si>
  <si>
    <t>Micro Ingredients Organic Boswellia Serrata Extract Powder, 8 Ounce, Pure Boswellia Supplement with 65% Boswellic Acid, Supports Joints, Knees and Bones Health, Non-GMO, Pet Friendly, India Origin</t>
  </si>
  <si>
    <t>B01DPW5I6U</t>
  </si>
  <si>
    <t>Sustainably US Grown, Organic Cordyceps Mushroom Extract Powder 100:1 | 6 Ounce, 30% Polysaccharides and Cordycepic Acid, From Fruit Body and Mycelium, Supports Energy &amp; Immune Health</t>
  </si>
  <si>
    <t>B074WL37DN</t>
  </si>
  <si>
    <t>Micro Ingredients Biotin 10,000mcg w/Hyaluronic Acid 25mg | 360 Virgin Coconut Oil Softgels, Fast Release, One Year Supply, Supports Healthy Hair, Skin &amp; Nails, Non-GMO &amp; No Gluten</t>
  </si>
  <si>
    <t>B08MX3DD8G</t>
  </si>
  <si>
    <t>2 Pack of Pure USDA Organic Acerola Cherry Powder, Natural and Organic Vitamin C for Immune System, 8 Ounce, No GMO, No Gluten, Brazil Origin</t>
  </si>
  <si>
    <t>B01L2TGTK2</t>
  </si>
  <si>
    <t>Brewers Yeast Powder for Lactation, 3lbs</t>
  </si>
  <si>
    <t>B0CLFRYPPT</t>
  </si>
  <si>
    <t>Micro Ingredients Organic Chlorella Powder, 10 Ounce, Broken Cell Wall, Rich in Vegan Proteins &amp; Vitamins, Raw, Bulk Premium Chlorella Supplement, Vegan Friendly, Non-Irradiation</t>
  </si>
  <si>
    <t>B01L2TGOEI</t>
  </si>
  <si>
    <t>Sustainably US Grown, Organic Cranberry Juice Powder (Wild Cranberry Supplements Cold Pressed), 8 Ounce, Enhance Urinary Tract Cleanse &amp; Prostate Health, Water Soluble and Pet Friendly</t>
  </si>
  <si>
    <t>B07G3L5SX7</t>
  </si>
  <si>
    <t>Beet Root 3000mg with grape seed &amp; CoQ10</t>
  </si>
  <si>
    <t>B0DK65FRV2</t>
  </si>
  <si>
    <t>Micro Ingredients Raw Organic Ginkgo Biloba Powder, 8 Ounce (18 Months Supply), Filler Free, Supports Brain Function and Mental Alertness, No GMOs and Vegan Friendly</t>
  </si>
  <si>
    <t>B01L2TGUHO</t>
  </si>
  <si>
    <t>Micro Ingredients Pure Bee Pollen Granules, 2lbs | Fresh Harvest, Natural Superfood, Raw Sweet Flavor | Rich in B Vitamins, Minerals, Protein, &amp; Antioxidants | Keto, Non-GMO</t>
  </si>
  <si>
    <t>B0BV3DFDK5</t>
  </si>
  <si>
    <t>Pure Green Coffee Bean Extract, 4 Ounce, Filler Free with Natural Caffeine, Green Coffee Bean Fat Burn Supplement with 50% Chlorogenic Acid, Supports Metabolism and Weight Management, Vegan Friendly</t>
  </si>
  <si>
    <t>B074WGLHFM</t>
  </si>
  <si>
    <t>Marine Collagen Protein Powder, 1lb</t>
  </si>
  <si>
    <t>B0CVTQ4G5Z</t>
  </si>
  <si>
    <t>Pure Organic Stevia Powder, 1lb</t>
  </si>
  <si>
    <t>B0D2LYMLJT</t>
  </si>
  <si>
    <t>Creatine Monohydrate 5,000mg, 500 Capsules | Pure Creatine Pills – Micronized + Unflavored Powder Source, Easy Absorption | Pre Workout &amp; Muscle Health Support | Keto, Non-GMO</t>
  </si>
  <si>
    <t>B0B9289VLY</t>
  </si>
  <si>
    <t>Organic Dandelion Root Powder 8oz</t>
  </si>
  <si>
    <t>B0D2S4DZ7L</t>
  </si>
  <si>
    <t>Micro Ingredients Maximum Strength Vitamin A 25000 IU | 500 Softgels with Coconut Oil for Better Absorption | Essential Vitamins for Vision, Growth, &amp; Reproduction | Non-GMO, Easy to Swallow</t>
  </si>
  <si>
    <t>B087DVF12V</t>
  </si>
  <si>
    <t>Micro Ingredients Organic Papaya Fruit Powder, 8 Ounce, Freeze Dried, Naturally Rich in Papaya Enzyme, Supports Antioxidant and Digestive Function, No GMOs &amp; Vegan Friendly</t>
  </si>
  <si>
    <t>B07NY5GKYG</t>
  </si>
  <si>
    <t>Flaxseed Oil 1400mg Softgels, 300 Counts | w/ 700mg ALA Omega 3, Cold Pressed, Rich in Fatty Acids, Alpha Linolenic Acid, Support Heart Health &amp; Immune System | Non-GMO, No Gluten - 300 Servings</t>
  </si>
  <si>
    <t>B01DPW5TXW</t>
  </si>
  <si>
    <t>Organic Dried Lavender Flowers, 2lbs | Raw from France, Extra Grade Loose Lavender Buds | Great for Herbal Tea or Culinary Baking | Rich in Antioxidants &amp; Essential Oil | Non-GMO</t>
  </si>
  <si>
    <t>B07YQCX5WR</t>
  </si>
  <si>
    <t>Micro Ingredients L Citrulline Capsules, 1500mg Per Serving, 360 Counts, Citrulline Pre-Workout Supplement, Non-GMO</t>
  </si>
  <si>
    <t>B08N3BG2SR</t>
  </si>
  <si>
    <t>Golden Monk Fruit Sweetener with Erythritol, 4 Pounds - No After Taste - Brown Sugar Substitute, Keto Diet Friendly, Zero Calorie, Natural Sweetener for Drinks, Coffee, Tea, Cookies, No-GMO, Vegan</t>
  </si>
  <si>
    <t>B0BCN5XPBX</t>
  </si>
  <si>
    <t>Hair Vitamins Complex, 120 Capsules</t>
  </si>
  <si>
    <t>B0CVTRS7KJ</t>
  </si>
  <si>
    <t>Magnesium Oxide 400mg</t>
  </si>
  <si>
    <t>B0DDWD83GF</t>
  </si>
  <si>
    <t>Sustainably US Grown, Kale Powder Organic, 1 Pound (454 Servings), Freeze Dried, Most Nutrient-Dense Food on the Planet, Green Superfood for Kale Tea and Kale Drink, No GMOs and Vegan Friendly</t>
  </si>
  <si>
    <t>B07L46RH6P</t>
  </si>
  <si>
    <t>Potassium Chloride Powder, 1 Kg (2.2 Pounds), Salt Substitute &amp; Electrolyte Powder, Pure Potassium Chloride Supplement, Essential Mineral, Filler Free and Dissolve Easily</t>
  </si>
  <si>
    <t>B07T1LZ4D2</t>
  </si>
  <si>
    <t>Fadogia Agrestis 600mg Per Serving, 50:1 Extract Powder, 4 Ounce, Highly Purified and Bioavailable, USA Third Party Tested, Maximum Strength, No Filler, No Additives, Non-GMO &amp; No Gluten</t>
  </si>
  <si>
    <t>B0B22T88RH</t>
  </si>
  <si>
    <t>Sustainably US Grown, Organic Mega Mushroom 10 in 1 Complex Formula Powder for Immune System Booster, 10 Ounce (284 Days Supply), Chaga, Lions Mane, Cordyceps, Reishi &amp; More, Filler Free, Vegan</t>
  </si>
  <si>
    <t>B07RG8MMXW</t>
  </si>
  <si>
    <t>Micro Ingredients Pantothenic Acid Vitamin B5 Supplement, Vitamin B5 500mg Per Count, 365 Capsules (1 Year Supply), B-Complex Vitamin, Support Energy Production and Nervous System, Non-GMO</t>
  </si>
  <si>
    <t>B08MX59VV3</t>
  </si>
  <si>
    <t>Vitamin B1 Benfotiamine 600mg Per Serving, 240 Coconut Oil Softgels | Essential B Vitamins Supplement, Fat Soluble | Supports Metabolism &amp; Healthy Nervous System | Non-GMO, Easy to Swallow</t>
  </si>
  <si>
    <t>B0CG7ZTT7B</t>
  </si>
  <si>
    <t>Micro Ingredients Organic Triphala Powder, 2 Pounds (Amla + Haritaki + Bibhitaki) | India Origin, Herbal Adaptogen Supplement, Supports Colon &amp; Immune Health | Vegan, No GMOS</t>
  </si>
  <si>
    <t>B01L2U1RHG</t>
  </si>
  <si>
    <t>Organic Barley Grass Powder, 16 Ounces | US Grown | Rich in Vitamins, Minerals, Fibers, &amp; Antioxidants | Superfood Greens Mix for Immune Health and Digestion Support | Non-GMO</t>
  </si>
  <si>
    <t>B01NCTM200</t>
  </si>
  <si>
    <t>Micro Ingredients Sustainably US Grown, Organic Dandelion Root Tea Powder, Pure Dandelion Supplement, 1 Pound (16 Ounce, 1 Year Supply)</t>
  </si>
  <si>
    <t>B079MTDMK8</t>
  </si>
  <si>
    <t>Micro Ingredients Organic Chlorella Powder, 20 Ounces | Broken Cell Wall for Complete Absorption | Raw Superfood Supplement, Rich in Protein &amp; Vitamins | Non-GMO, Vegan, Non-Irradiated</t>
  </si>
  <si>
    <t>B01NCTZSPF</t>
  </si>
  <si>
    <t>Micro Ingredients Glycine Powder, 1KG (2.2 Pounds), Glycine 1000mg Per Serving, Supports Restful Sleep and Neurotransmitter, Water Soluble and Products of USA</t>
  </si>
  <si>
    <t>B01LBILPCG</t>
  </si>
  <si>
    <t>Nitric Oxide Booster 3600mg 240 tablets</t>
  </si>
  <si>
    <t>B0DK6684NK</t>
  </si>
  <si>
    <t>Monk Fruit Sweetener with Erythritol Granules, 4 Pounds, No After Taste, 1:1 White Sugar Substitute, Keto Diet Friendly, Zero Calorie, Natural Sweetener for Drinks, Coffee, Tea, Cookies, No-GMO, Vegan</t>
  </si>
  <si>
    <t>B07X4BL4GC</t>
  </si>
  <si>
    <t>Micro Ingredients D Aspartic Acid Pills, DAA Supplement, 3000mg Per Serving, 300 Capsules, Premium D Aspartic Acid, Non-GMO</t>
  </si>
  <si>
    <t>B087F1HYB7</t>
  </si>
  <si>
    <t>Organic Broccoli Powder, 1 Pound, Freeze Dried, Contains Natural DIM (Diindolylmethane), and Rich in Fiber and Immune Vitamin C, Green Superfood for Smoothie &amp; Drinks, Vegan Friendly</t>
  </si>
  <si>
    <t>B07QQ3HTM5</t>
  </si>
  <si>
    <t>Micro Ingredients Sustainably US Grown, Organic Reishi Mushroom Powder, 8 Ounce, Pure Reishi Supplement 100:1 Extract (Reishi Mushroom)</t>
  </si>
  <si>
    <t>B01JNNAQVW</t>
  </si>
  <si>
    <t>Pure D Ribose Powder, 1 KG (2.2 Pound and 200 Servings), Natural Simple Sugar, Dissolves Clear, Pharmaceutical Grade, Filler Free, No GMOs, No Gluten. and Water Soluble</t>
  </si>
  <si>
    <t>B01JNFGDUI</t>
  </si>
  <si>
    <t>Smoked Paprika Powder, 4lbs | Spanish Origin, Fine Ground, Oak Wood Smoked, Raw Sweet &amp; Spicy Flavor | Spice Rack Seasoning | Great for Chicken, Steak, or Vegetables | Additive Free, Non-GMO</t>
  </si>
  <si>
    <t>B0CLFZ81GG</t>
  </si>
  <si>
    <t>Micro Ingredients Organic Pineapple Powder, 8 Ounce, Freeze Dried, Rich in Bromelain and Immune Vitamin C for Immune System Booster, Great Flavor for Drinks, Baking and Cooking, Non-GMO</t>
  </si>
  <si>
    <t>B07W9B5K1R</t>
  </si>
  <si>
    <t>Organic Strawberry Freeze Dried Powder, 12 Ounce (56 Serving), Strawberry Powder for Baking, Best Super Foods for Smoothie &amp; Beverage Blend, Non-GMO, Vegan</t>
  </si>
  <si>
    <t>B07CXZBRZP</t>
  </si>
  <si>
    <t>Organic Bamboo Fiber Powder, 2lbs</t>
  </si>
  <si>
    <t>B0CVTJKVFQ</t>
  </si>
  <si>
    <t>Organic Freeze Dried Strawberries Sliced, 6.4oz | Fresh Raw Fruit Slices, Great Healthy Snacks or as a Garnish for Chocolate, Shortcake, and Smoothies | Non-GMO, 0 Sugar Added</t>
  </si>
  <si>
    <t>B0C9PLML31</t>
  </si>
  <si>
    <t>Maximum Strength Organic Pure Horny Goat Weed with Active Icariins for Men and Women, 100 Grams, Organic Epimedium Powder for Energy and Immune System Booster, Filler Free and Vegan Friendly</t>
  </si>
  <si>
    <t>B01L2TGSVM</t>
  </si>
  <si>
    <t>Organic French Chicory Root, 2lbs | Roasted Chicory Granule for Chicory Coffee | Brews like Regular Coffee | Caffeine Free Coffee Substitute | Rich in Prebiotic Fiber | Non-GMO</t>
  </si>
  <si>
    <t>B0CG7VSS1Z</t>
  </si>
  <si>
    <t>Pure Acerola Cherry Powder Organic, Natural Organic Vitamin C for Immune System Booster, 8 Ounce, Best Superfoods for Beverage, Smoothie and Drinks, Vegan Friendly, Brazil Origin</t>
  </si>
  <si>
    <t>B06XC72G8G</t>
  </si>
  <si>
    <t>Omega-3 Fish Oil 1200mg</t>
  </si>
  <si>
    <t>B0DGRNC1VW</t>
  </si>
  <si>
    <t>Organic Whole Yellow Mustard Seed, 4lbs</t>
  </si>
  <si>
    <t>B0CLFJ81NC</t>
  </si>
  <si>
    <t>Organic Amla Powder (Amalaki) | 32oz, India Origin Gooseberry Powder | Rich in Vitamin C, Antioxidants, Supports Immune, Digestive &amp; Skin Health, Non-GMO, Vegan &amp; Keto Friendly</t>
  </si>
  <si>
    <t>B06XKYNFY1</t>
  </si>
  <si>
    <t>Citric Acid 6 Pounds, Food Grade, Fine Granular Powder | 100% Pure, Concentrated Anhydrous Form | Natural Preservative + Great for Cooking, Cleaning, &amp; DIY Bath Bombs | Non-GMO</t>
  </si>
  <si>
    <t>B0BXYCL8KP</t>
  </si>
  <si>
    <t>Hair Vitamins Complex 240 capsules</t>
  </si>
  <si>
    <t>B0DLDXLQ4B</t>
  </si>
  <si>
    <t>Folic Acid 1,000 mcg, 500 Coconut Oil Softgels (1mg) | Essential Prenatal Vitamins (Vitamin B9) | 1,667 mcg DFE | Third Party Tested, No Artificial Colors or Flavors | Non-GMO, Gluten Free</t>
  </si>
  <si>
    <t>B087F3WYNW</t>
  </si>
  <si>
    <t>Magnesium Citrate 400mg with Vitamin D3 1000IU &amp; B6, 240 Capsules | Elemental Mineral &amp; Vitamins Complex | Combats Constipation, Supports Muscle, Heart, &amp; Bone Health – Non-GMO</t>
  </si>
  <si>
    <t>B087F7DTR7</t>
  </si>
  <si>
    <t>Micro Ingredients Sustainably US Grown, Organic Spinach Powder, 1 Pound, Freeze Dried from Whole Leaf, Rich in Beneficial Thylakoids and Chlorophyll, Contains Multivitamins, Non-GMO, Vegan Friendly</t>
  </si>
  <si>
    <t>B07WH4DXVX</t>
  </si>
  <si>
    <t>Sustainably US Grown, Organic Shiitake Mushrooms Powder, 8 Ounce, Made from The Finest Dried Shiitake Mushroom, Stronger Umami Flavor Than Fresh Mushrooms, Great for Sauce, Soup and Pasta</t>
  </si>
  <si>
    <t>B08PXYB6RH</t>
  </si>
  <si>
    <t>Organic Chlorella Tablets, 500mg Per Tablet, 720 Tabs (360 Grams), 4 Months Supply, Broken Cell Wall, Rich in Vegan Protein &amp; Vitamins, No Filler, No Additives &amp; Non-GMO | Pure Green Algae Superfood</t>
  </si>
  <si>
    <t>B01FMWFG86</t>
  </si>
  <si>
    <t>Micro Ingredients Antarctic Krill Oil Supplement, 1000mg Per Serving, 300 Soft-Gels, Rich in Omega-3s EPA, DHA &amp; Natural Astaxanthin, Supports Immune System &amp; Brain Health, Easy to Swallow</t>
  </si>
  <si>
    <t>B01JNNAN4C</t>
  </si>
  <si>
    <t>Sustainably US Grown, Organic Freeze Dried Raspberry Juice Powder, 8 Ounce, Contains Immune Vitamin C for Immune System Booster, Rich in Raspberry Ketones, Fatty Acids, Minerals and Antioxidant, Vegan</t>
  </si>
  <si>
    <t>B07L466GW8</t>
  </si>
  <si>
    <t xml:space="preserve">Organic Whole Psyllium Husks Powder 3lb </t>
  </si>
  <si>
    <t>B0DS6MHM6Z</t>
  </si>
  <si>
    <t>Stevia Sweetener Powder with Plant-based Erythritol, 4 Pounds (64 Ounces) | Keto, 0 Calorie, Low Carb, 4:1 Sugar Substitute, Natural Sweetener, Bitterless, Reb-A Stevia Leaf Extract, Non-GMO, Vegan</t>
  </si>
  <si>
    <t>B09NQXJHYQ</t>
  </si>
  <si>
    <t>Organic 10 in 1 Ground Mushroom Coffee Powder, 24 Ounce | Premium Arabica Coffee with Lion’s Mane, Chaga, Reishi, &amp; More | Smooth Medium Roast, Clean Energy, &amp; Immune Support</t>
  </si>
  <si>
    <t>B0C9PNDL22</t>
  </si>
  <si>
    <t>Pure Trans-Resveratrol Powder with Natural Vitamin E, 5 Ounce, 2 in 1 Formula, Micronized Powder for Better Absorption, Premium Resveratrol Supplement, Super Antioxidant, Vegan Friendly</t>
  </si>
  <si>
    <t>B0812F3JGG</t>
  </si>
  <si>
    <t>Omega 3 Fish Oil DHA Supplements 1000mg with EPA 500mg, 200 Softgels – Lemon Flavored, Burpless (Enteric Coated) | Deep Sea Fresh Fish, Wild Caught from Norwegian Waters | Mercury Free</t>
  </si>
  <si>
    <t>B08MX16TYC</t>
  </si>
  <si>
    <t>Erythritol Granules, 6 Pounds (96 Ounce), 1:1 Sugar Substitute, No After Taste, 0 Calorie, Natural Sweetener, Erythritol Keto Sugar Substitute, Non-GMO, Vegan</t>
  </si>
  <si>
    <t>B07SZHV7RN</t>
  </si>
  <si>
    <t>Micro Ingredients Organic Tart Cherry Powder, 4 Ounce, Sustainably US Grown, Uric Acid Cleanse, Antioxidant and Flavonoids, Enhance Joint Health, Sleep Cycles &amp; Immune System</t>
  </si>
  <si>
    <t>B07G3KLNM7</t>
  </si>
  <si>
    <t>Allulose Sweetener, 3 Pounds (48 Ounces), Zero Calorie, Plant Based Sugar Alternative, No After Taste, Best for Coffee, Drinks, Tea, Cooking and Baking, Keto Diet and Vegan Friendly</t>
  </si>
  <si>
    <t>B08PY5ZJTX</t>
  </si>
  <si>
    <t>Micro Ingredients Melatonin 20mg Tablets, 400 Counts, Natural Strawberry Flavor, Fast Dissolve | No Drug, Vegetarian Friendly, Non-GMO &amp; No Gluten</t>
  </si>
  <si>
    <t>B07RY554K5</t>
  </si>
  <si>
    <t>Organic Fortified Nutritional Yeast Flakes, 2LB | Rich in Vegan Protein, B Vitamins, &amp; Beta-Glucans | Keto Friendly, Dairy Free Cheese Substitute, Non-GMO, Gluten Free</t>
  </si>
  <si>
    <t>B0C35PK9GJ</t>
  </si>
  <si>
    <t>Omega-3 Fish Oil 1000mg 300 count</t>
  </si>
  <si>
    <t>B0DK69SLY9</t>
  </si>
  <si>
    <t>Lions Mane Capsules</t>
  </si>
  <si>
    <t>B0D68FCQVT</t>
  </si>
  <si>
    <t>Micro Ingredients Organic Camu Camu Powder, 12 oz | High Natural Vitamin C Level | Fresh Freeze-Dried Berries Source | Supports Energy and Immune Health | No GMOs, Vegan Friendly</t>
  </si>
  <si>
    <t>B01L2TGRFO</t>
  </si>
  <si>
    <t>Micro Ingredients Sustainably US Grown, Organic Slippery Elm Bark Powder, 1 Pound (645 Servings), Helps Soothe The Throat and Coughing, No Irradiated, No Contaminated, No GMOs, Pet Friendly</t>
  </si>
  <si>
    <t>B075VFCQBC</t>
  </si>
  <si>
    <t>Organic Goji Powder, Freeze Dried Goji Berry Powder, 1 Pound (16 Ounce), Sulfate Free, Pure Goji Supplement, Natural Booster for Energy, Eye Health, and Super Immune Vitamin C for Antioxidant, Non-GMO</t>
  </si>
  <si>
    <t>B06XKJQVZ8</t>
  </si>
  <si>
    <t>Micro Ingredients Antarctic Krill Oil Supplement, 2,000mg Per Serving, 240 Softgels, Triple Strength, Rich in Omega-3s EPA, DHA &amp; Natural Astaxanthin, Supports Immune System &amp; Brain Health</t>
  </si>
  <si>
    <t>B0C35GYDV3</t>
  </si>
  <si>
    <t>Magnesium Glycinate Powder 12oz</t>
  </si>
  <si>
    <t>B0DG3QT3M2</t>
  </si>
  <si>
    <t>Moringa 6000mg capsules</t>
  </si>
  <si>
    <t>B0DDWPH39G</t>
  </si>
  <si>
    <t>Micro Ingredients Organic European Black Elderberry Juice Powder, 4 Ounce, Cold Pressed, Flash Pasteurized for Safety, Supports Immune System, Energy and Vascular Health, No GMOs, Vegan Friendly</t>
  </si>
  <si>
    <t>B07QTCDMBW</t>
  </si>
  <si>
    <t>Micro Ingredients Vitamin B1 500mg Per Serving, 240 Tablets | Vitamin B1 Thiamine Supplement, Essential B Vitamins | Supports Metabolism &amp; Healthy Nervous System | Non-GMO, Easy to Swallow</t>
  </si>
  <si>
    <t>B08C73K1PR</t>
  </si>
  <si>
    <t>Pure Organic Stevia Powder, 8 Ounces, 1418 Serving, High Grade Stevia Green Leaf Extract Reb-A, Reduced Bitter Aftertaste, 0 Calorie, Natural Sweetener, Sugar Alternative, Keto Friendly</t>
  </si>
  <si>
    <t>B01DPW5H84</t>
  </si>
  <si>
    <t>Micro Ingredients North American Grown, Pea Protein Powder, 5 Pounds | Plant Based, Unflavored | Complete Vegan Protein Source – 27g Serving | Rich in BCAAs &amp; EAAs | Non-GMO, Keto Friendly</t>
  </si>
  <si>
    <t>B0C35LNMRF</t>
  </si>
  <si>
    <t>Micro Ingredients Maximum Strength Organic Korean Ginseng Root 200:1 Powder, 4 Ounce, Red Panax Ginseng Powder, Active Ginsenosides, Vegan Friendly</t>
  </si>
  <si>
    <t>B079MNQXLF</t>
  </si>
  <si>
    <t>Creatine Monohydrate Powder 500 Grams (1.1 LBS), 5000mg Per Serv, Micronized Creatine Powder, Unflavored, Pure, No Filler, Keto &amp; Vegan, Easy Dissolve Pre Workout Creatine for Women and Men</t>
  </si>
  <si>
    <t>B09TNMZBQ5</t>
  </si>
  <si>
    <t>Lutein &amp; Zeaxanthin 20mg Softgels, 400 Coun</t>
  </si>
  <si>
    <t>B0CVTTDTP9</t>
  </si>
  <si>
    <t>Organic Dried Red Raspberry Leaf, 2lbs | Raw from Germany, Cut &amp; Sifted Whole Leaves | Makes Traditional Herbal Tea | Great for Refilling Tea Bags | Non-GMO, Vegan, Gluten Free</t>
  </si>
  <si>
    <t>B07YQBYZ75</t>
  </si>
  <si>
    <t>Micro Ingredients Organic Coconut Milk Powder, 2 Pound (32 Ounce), Plant-Based Creamer, Perfect for Coffee, Tea and Smoothie, Non-GMO and Keto Friendly</t>
  </si>
  <si>
    <t>B07X37D16H</t>
  </si>
  <si>
    <t>Organic Chlorella Spirulina Tablets, 3000mg Per Serving, 720 Counts, 4 Months Supply, 50/50 Blend Superfood, No Filler, No Additives, Cracked Cell Wall, Rich in Vegan Protein &amp; Chlorophyll</t>
  </si>
  <si>
    <t>B01DPW5JSW</t>
  </si>
  <si>
    <t>Micro Ingredients Lutein &amp; Zeaxanthin 40mg Softgels, 240 Count, with Astaxanthin, Omega-3s, &amp; Phospholipids | Eye + Vision Health Vitamins | Third Party Tested, Non-GMO, Gluten Free</t>
  </si>
  <si>
    <t>B0812QPT4J</t>
  </si>
  <si>
    <t>Micro Ingredients Organic Ashwagandha Root Powder | 2 Pound, No Filler, No Additives, Highly Purified | Active Withanolides, Adaptogenic Ayurvedic Herbal Supplements, No GMO, Gluten Free, India Origin</t>
  </si>
  <si>
    <t>B01N3U3WO4</t>
  </si>
  <si>
    <t>Organic Celery Juice Powder, 20 Ounce (1.25 Pound), 71 Serving, Celery Detox and Cold Pressed, Boosts Immune System, Energy and Supports Gut Health, Rich in Immune Vitamin C and Minerals, Vegan</t>
  </si>
  <si>
    <t>B0846SDQZG</t>
  </si>
  <si>
    <t>Organic Instant 10 in 1 Mushroom Coffee Powder, 28 Ounce (317 Servings) | Premium Arabica Coffee with Lion’s Mane, Chaga, Reishi, &amp; More | Smooth Medium Roast, Clean Energy, &amp; Immune Support</t>
  </si>
  <si>
    <t>B0BCMKNMZB</t>
  </si>
  <si>
    <t>Pure Organic Stevia Powder, 4 Ounces, 706 Serving, Highest Grade Stevia Green Leaf Extract Reb-A, Reduced Bitter Aftertaste, 0 Calorie, Natural Sweetener, Sugar Alternative, Keto Friendly</t>
  </si>
  <si>
    <t>B01DPW5GRG</t>
  </si>
  <si>
    <t>Organic Daily Prebiotic Dietary Fiber Supplement Powder, (Inulin Fiber from Chicory Root), 10 Ounce, Highly Promote Intestinal Colon, Gut Health and Digestive Function, Vegan Friendly</t>
  </si>
  <si>
    <t>B07P3GKXKK</t>
  </si>
  <si>
    <t>Organic Non-Fortified Nutritional Yeast Flakes, 2 Pounds | Rich in Vegan Protein, B Vitamins &amp; Beta-glucans | Keto Friendly, Dairy Free Cheese Substitute, Non-GMO, Gluten Free</t>
  </si>
  <si>
    <t>B0BCMNBZPR</t>
  </si>
  <si>
    <t xml:space="preserve">Organic Butterfly Pea Powder 8oz </t>
  </si>
  <si>
    <t>B0D3ST21FG</t>
  </si>
  <si>
    <t>Micro Ingredients Vitamin B12 5000mcg | Methyl B12 Active Form – 180 Chewable Tablets | Fast Dissolve, Natural Strawberry Flavor, Support Energy, Metabolism Health | Vegan, Non-GMO, &amp; No Gluten</t>
  </si>
  <si>
    <t>B08MX1ZWB4</t>
  </si>
  <si>
    <t>Psyllium Husk 500mg capsules 500 count</t>
  </si>
  <si>
    <t>B0DF425DGX</t>
  </si>
  <si>
    <t>Micro Ingredients Organic Spirulina Supplement, 3000MG Per Serving, 720 Tablets (4 Month Supply), No Filler &amp; Non-GMO, Rich in Vegan Protein, Vitamins &amp; Prebiotics, Premium Spirulina Pills Organic</t>
  </si>
  <si>
    <t>B01DPW5DC4</t>
  </si>
  <si>
    <t>Pure Magnesium Flakes, 6lbs | Great for Foot &amp; Body Bath Soaks | Natural Magnesium Chloride Minerals | Better Absorption Over Epsom Salt | Relaxation &amp; Skin Hydration Support</t>
  </si>
  <si>
    <t>B0C9PGM325</t>
  </si>
  <si>
    <t>Organic Maca Root Powder, 2 Pound, Gelatinized for Better Absorption, Rich in Antioxidants, Help Energy, Stamina, Endurance, Strength and Immune System, No GMOs, Vegan Friendly and Peru Origin</t>
  </si>
  <si>
    <t>B01JNM6NTW</t>
  </si>
  <si>
    <t>Organic Ground Ginger Powder, 2 Pounds (32 Ounce), Great Flavor and Highly Aromatic, Fine Loose Powder for Better Mixing without Settling, Best for Cooking, Baking, Tea &amp; More, Product of India</t>
  </si>
  <si>
    <t>B08TBBBJK8</t>
  </si>
  <si>
    <t>Micro Ingredients Organic Marshmallow Root Powder, 8 Ounce, Filler Free and Traditionally Used, Supports Digestive Gastrointestinal Health, Non-Irradiated and No GMOs, Vegan Friendly</t>
  </si>
  <si>
    <t>B074WLN3WN</t>
  </si>
  <si>
    <t>Vitamin D3 50,000 IU Plus K2 (MK-7) 200 mcg, 240 Virgin Coconut Oil Softgels | 2 in 1 Vitamins D &amp; K Complex | Supports Calcium Absorption, Bone, Immune, &amp; Heart Health | Easy to Swallow</t>
  </si>
  <si>
    <t>B0C35N273V</t>
  </si>
  <si>
    <t>Goat Milk Powder, 2lbs | Grass Fed Source, Australian Farm Derived, Unadulterated Formula, Easily Digested | Rich in Protein, Calcium, &amp; Probiotics | Non-GMO, Gluten Free, Pet Friendly</t>
  </si>
  <si>
    <t>B0BXYDSGC4</t>
  </si>
  <si>
    <t xml:space="preserve">Electrolyte Powder Grape Flavor 2lb </t>
  </si>
  <si>
    <t>B0D3T248FJ</t>
  </si>
  <si>
    <t>Whole Milk Powder, 4lbs | rBST Hormone Free, Pasture Raised Source, Premium Grade Dry Powdered Form | Great for Baking | Rich in Protein | Non-GMO</t>
  </si>
  <si>
    <t>B0CLFXDX4Z</t>
  </si>
  <si>
    <t>Organic Blue Spirulina Powder (Phycocyanin Extract), 50 Servings - No Fishy Smell, 100% Vegan Protein from Blue-Green Algae, Natural Luminous Blue Food Coloring for Smoothies, Baking, Drinks &amp; Cooking</t>
  </si>
  <si>
    <t>B0B2379WMW</t>
  </si>
  <si>
    <t>Micro Ingredients Organic Spirulina Powder, 16 Ounce, Raw Spirulina (Arthrospira Platensis), The Richest Sources of 70% Vegan Protein, Containers Minerals, Vitamins, Non-GMO &amp; Non-Irradiation</t>
  </si>
  <si>
    <t>B01DPW5FWW</t>
  </si>
  <si>
    <t>Multi-Collagen Gummies 120 count</t>
  </si>
  <si>
    <t>B0DDWNGRKL</t>
  </si>
  <si>
    <t>Hyaluronic Acid Serum Powder, High Molecular Weight, Cosmetics Grade, 30 Gram, Support Hydration and Moisture, Water Soluble (Within 2 Hours), Vegan Friendly</t>
  </si>
  <si>
    <t>B01DPW5C5W</t>
  </si>
  <si>
    <t>Organic Matcha Green Tea Powder, 1 Pound (16 Ounce), Culinary Grade, First Harvest Authentic Japanese Origin, 100% Pure Matcha for Smoothies, Latte and Baking, Unflavored, Non-Irradiation</t>
  </si>
  <si>
    <t>B08PY3Q8XS</t>
  </si>
  <si>
    <t>Organic Inulin FOS Powder (Jerusalem Artichoke), 2.2 Pounds (35 Ounce), Quick Water Soluble, Prebiotic Intestinal Support for Colon and Gut Health, Natural Fibers for Smoothie &amp; Drinks, Vegan Friendly</t>
  </si>
  <si>
    <t>B074WKCPS4</t>
  </si>
  <si>
    <t>Natural Astaxanthin 12mg, 90 Softgels, 3 Month Supply, Premium Astaxanthin Supplements (MicroAlgae), Supports Eye, Joint, Internal Circulation Health and Antioxidant, Easy to Swallow</t>
  </si>
  <si>
    <t>B08MWZQ4S6</t>
  </si>
  <si>
    <t>Electrolyte tablets tubes 40 tablets</t>
  </si>
  <si>
    <t>B0DK68J877</t>
  </si>
  <si>
    <t xml:space="preserve">Vitality Fiber Prebiotic Powder 1lb </t>
  </si>
  <si>
    <t>B0DK69WWNQ</t>
  </si>
  <si>
    <t xml:space="preserve">Maca Root Complex 5000mg </t>
  </si>
  <si>
    <t>B0DW1M7VQK</t>
  </si>
  <si>
    <t>Super greens Superfood Powder 1lb</t>
  </si>
  <si>
    <t>B0DK7WVQQY</t>
  </si>
  <si>
    <t xml:space="preserve">Glucosamine Chondroitin 4000mg </t>
  </si>
  <si>
    <t>B0DK683WHV</t>
  </si>
  <si>
    <t>Oil of Oregano 6000mg 150 count</t>
  </si>
  <si>
    <t>B0DK7XKTM6</t>
  </si>
  <si>
    <t xml:space="preserve">Glycine 2000mg 240 count </t>
  </si>
  <si>
    <t>B0DW1BXPMV</t>
  </si>
  <si>
    <t xml:space="preserve">Pure Turmeric Curcumin 95% 1000mg </t>
  </si>
  <si>
    <t>B0DS6LCFRH</t>
  </si>
  <si>
    <t xml:space="preserve">Turmeric Curcumin 3000mg with MCT Oil </t>
  </si>
  <si>
    <t>B0DK66NCWL</t>
  </si>
  <si>
    <t xml:space="preserve">Premium Vital Wheat Gluten Powder 6lb </t>
  </si>
  <si>
    <t>B0DK7WV3MS</t>
  </si>
  <si>
    <t>Vitamin D3 2000IU with coconut oil softgels</t>
  </si>
  <si>
    <t>B0DS6L2MFW</t>
  </si>
  <si>
    <t>Vegan Omega-7 Sea Buckthorn Oil 6000mg</t>
  </si>
  <si>
    <t>B0DS6MT295</t>
  </si>
  <si>
    <t xml:space="preserve">Resveratrol Complex 3000mg </t>
  </si>
  <si>
    <t>B0DVMN2XB5</t>
  </si>
  <si>
    <t>Magnesium Glycinate 350mg</t>
  </si>
  <si>
    <t>B0DWDHJZ4T</t>
  </si>
  <si>
    <t>Liposomal Vitamin C 2500mg</t>
  </si>
  <si>
    <t>B0DW142NNT</t>
  </si>
  <si>
    <t>Mega Probiotics 40 strains 200 billion CFU</t>
  </si>
  <si>
    <t>B0DVN41167</t>
  </si>
  <si>
    <t>Women’s Probiotics 40 strains 100 bullion CFU</t>
  </si>
  <si>
    <t>B0DW1K3367</t>
  </si>
  <si>
    <t>NAD+ with resveratrol</t>
  </si>
  <si>
    <t>B0DS6NNCP9</t>
  </si>
  <si>
    <t>Apple Cider Vinegar Capsules</t>
  </si>
  <si>
    <t>B0DX4GZDW9</t>
  </si>
  <si>
    <t>Glutathione reduced 1000mg</t>
  </si>
  <si>
    <t>B0DWD6PXP2</t>
  </si>
  <si>
    <t>Total Unit</t>
  </si>
  <si>
    <t>Diff Unit</t>
  </si>
  <si>
    <t>Total Spend</t>
  </si>
  <si>
    <t>Total Ad Sales</t>
  </si>
  <si>
    <t>Total Diff</t>
  </si>
  <si>
    <t>ACOS</t>
  </si>
  <si>
    <t>Tcos</t>
  </si>
  <si>
    <t>November</t>
  </si>
  <si>
    <t>CL</t>
  </si>
  <si>
    <t>HL</t>
  </si>
  <si>
    <t>GP</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</si>
  <si>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</si>
  <si>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</si>
  <si>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</si>
  <si>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</si>
  <si>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CoQ10 (Ubiquinone) 400mg with Omega 3 Fatty Acids, 240 Capsules | Stable High Absorption Form – Antioxidant Support for Heart &amp; Energy Health – Extra Strength Coenzyme Q10 Supplement</t>
  </si>
  <si>
    <t>B0BSP5GTMQ</t>
  </si>
  <si>
    <t>NatureBell Oregano Oil with Black Seed Oil 7,500mg, 360 Softgels | Wild Harvested, 50:1 Fresh Oregano Extract – Retains Carvacrol &amp; Thymoquinone – Essential Oils for Immune Health – Non-GMO</t>
  </si>
  <si>
    <t>B0CFPQN4J1</t>
  </si>
  <si>
    <t>Magnesium Malate 1500mg capsules 240 count</t>
  </si>
  <si>
    <t>B0CWMWHRFC</t>
  </si>
  <si>
    <t>Magnesium Complex Supplement 500mg, 300 Capsules | 10 Active Forms – Glycinate, Citrate, Taurate, Plus More | 100% Chelated &amp; Purified | Bone, Heart, &amp; Muscle Support | Non-GMO</t>
  </si>
  <si>
    <t>B0C2SLBPRK</t>
  </si>
  <si>
    <t>Colostrum with probiotics Powder 12oz</t>
  </si>
  <si>
    <t>B0DJWWQVHC</t>
  </si>
  <si>
    <t>2 Pack Magnesium Glycinate 500mg, 480 Capsules – 100% Chelated for Max Absorption – Bioavailable Mineral Supplement for Muscle, Joint, Enzyme, &amp; Heart Health</t>
  </si>
  <si>
    <t>B07RD4DFNZ</t>
  </si>
  <si>
    <t>TMG (Trimethylglycine) 1500mg capsules</t>
  </si>
  <si>
    <t>B0D883PXW4</t>
  </si>
  <si>
    <t>NatureBell 2 Pack Creatine Monohydrate Powder 500 Grams, 5000mg Per Serving, Pure Unflavored Creatine Powder - Micronized - Pre Workout | Keto | Vegan | Dissolves Easy | Filler Free</t>
  </si>
  <si>
    <t>B0BT2V8YK4</t>
  </si>
  <si>
    <t>CoQ10 100mg with Omega-3</t>
  </si>
  <si>
    <t>B0DJWWMBTF</t>
  </si>
  <si>
    <t>Vaginal Probiotics 10 Billion 120 Veggie Capsules</t>
  </si>
  <si>
    <t>B0DJWW2B1L</t>
  </si>
  <si>
    <t>NatureBell CoQ10 (Ubiquinone) 200mg with PQQ, 240 Veggie Capsules | Stable High Absorption Form – Antioxidant Support for Brain, Heart, &amp; Energy Health – Extra Strength Coenzyme Q10 Supplement</t>
  </si>
  <si>
    <t>B0CFPMHB25</t>
  </si>
  <si>
    <t>Magnesium Glycinate 500mg vegetarian</t>
  </si>
  <si>
    <t>B0DNVCPMYW</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</si>
  <si>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</si>
  <si>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</si>
  <si>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</si>
  <si>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</si>
  <si>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Berberine Supplement 500mg | 300 Veggie Capsules, 97% Pure Berberine HCL, 5:1 Root Extract – Healthy Glucose Metabolism &amp; Immune Support – Plant Based, Vegan, Non-GMO</t>
  </si>
  <si>
    <t>B0C7FF131K</t>
  </si>
  <si>
    <t>Organic Mushroom Coffee with MCT Oil</t>
  </si>
  <si>
    <t>B0DS6Q88VS</t>
  </si>
  <si>
    <t>Magnesium Glycinate Powder Peach-Mango Flavor Jar 1lb</t>
  </si>
  <si>
    <t>B0DLXM7ZTC</t>
  </si>
  <si>
    <t>R-Alpha Lipoic Acid (R-ALA) 1200mg</t>
  </si>
  <si>
    <t>B0DJWWQSPX</t>
  </si>
  <si>
    <t>Choline 500mg with Omega-3 capsules 240 count</t>
  </si>
  <si>
    <t>B0D85V6X3G</t>
  </si>
  <si>
    <t>Organic Matcha Green Tea Powder Jar, 2lbs</t>
  </si>
  <si>
    <t>B0DT2NH3V9</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</si>
  <si>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</si>
  <si>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</si>
  <si>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</si>
  <si>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NatureBell D-Mannose 2000mg with Cranberry Extract 400mg, 240 Veggie Capsules, Double Strength | Fast Acting Urinary Tract Health Pills, Flush Impurities, Ultra UTI Support for Women &amp; Men</t>
  </si>
  <si>
    <t>B07QBVHK8H</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</si>
  <si>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</si>
  <si>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</si>
  <si>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</si>
  <si>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Allulose Sweetener 5lb</t>
  </si>
  <si>
    <t>B0DDCVSPP5</t>
  </si>
  <si>
    <t>CoQ10 (Ubiquinone) 300mg with Omega 3 Fatty Acids, 240 Capsules</t>
  </si>
  <si>
    <t>B0CMK3LBGJ</t>
  </si>
  <si>
    <t>NatureBell L Methylfolate 15mg (5-MTHF) with Methyl B12 1,000mcg, 240 Vegetarian Capsules | High Potency Dual Action for Energy &amp; Cognitive Support, Active Folic Acid – Methyl Folate Supplement</t>
  </si>
  <si>
    <t>B0CHX3CST7</t>
  </si>
  <si>
    <t>Ultra Strength Phosphatidylserine Supplement 500mg Per Serving, 240 Capsules | Soy Free, Derived from Sunflower Lecithin – Supports Cognitive Health and Brain Function – Non-GMO</t>
  </si>
  <si>
    <t>B074R8XH2Q</t>
  </si>
  <si>
    <t>Antarctic Krill Oil 2000mg Supplement, 240 Softgels, 3X Strength Natural Source of Omega-3s, EPA 240mg + DHA 160mg + Astaxanthin 800mcg – No Fishy Aftertaste – Mercury Free &amp; Non-GMO</t>
  </si>
  <si>
    <t>B0BSP5TBP3</t>
  </si>
  <si>
    <t>2 Pack Magnesium Citrate 500mg, 480 Capsules | High Purity Elemental Form – Extra Strength | Essential Mineral for Heart, Muscle, &amp; Digestion Support – Non-GMO &amp; No Gluten</t>
  </si>
  <si>
    <t>B07755F5YT</t>
  </si>
  <si>
    <t>Magnesium Glycinate 200mg with Valerian Root, 300 Capsules</t>
  </si>
  <si>
    <t>B0CWNDCY6V</t>
  </si>
  <si>
    <t>NatureBell Magnesium Glycinate 400mg (Elemental), 270 Capsules – 100% Chelated for Max Absorption | Non-GMO &amp; No Gluten, Bioavailable Mineral Supplement for Muscle, Joint, Enzyme, &amp; Heart Health</t>
  </si>
  <si>
    <t>B0BJ198K28</t>
  </si>
  <si>
    <t>NatureBell Full Spectrum Vitamin K2 Supplement with MK-7 &amp; MK-4, 200 mcg, 240 Capsules | 2 in 1 Formula, K Vitamins Complex – Supports Bone, Joint, and Heart Health – Non-GMO</t>
  </si>
  <si>
    <t>B07R8JTQSZ</t>
  </si>
  <si>
    <t>St John's Wort Supplement, 1500mg Per Serving with 2250mcg Hypericin, 2 in 1 Formula St John's Wort Complex, 200 Capsules, Promote Emotional Balance, Joyful Mood &amp; Stress Response</t>
  </si>
  <si>
    <t>B07H9JTLWY</t>
  </si>
  <si>
    <t>Vitamin D3 K2 (10,000 IU Vitamin D + 200mcg Vitamin K MK-7) 240 Softgels with Coconut Oil for Complete Absorption | Bone, Heart, Immune, &amp; Calcium Support | One a Day, Non-GMO</t>
  </si>
  <si>
    <t>B0C6WY48KJ</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</si>
  <si>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</si>
  <si>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</si>
  <si>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</si>
  <si>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Xylitol Sweetener, 5lbs | Natural Birch Crystal Source – 1:1 Sugar Substitute – Sweet Flavor with No Erythritol – Low Calorie &amp; Glycemic Impact – Sugar Free, No Aftertaste, Non-GMO</t>
  </si>
  <si>
    <t>B0CFPJ5BRM</t>
  </si>
  <si>
    <t xml:space="preserve">Advanced Glucosamine </t>
  </si>
  <si>
    <t>B0D85XVGMQ</t>
  </si>
  <si>
    <t>NatureBell PQQ 40mg with CoQ10, 180 Veggie Capsules | Active Pyrroloquinoline Quinone, Highly Bioavailable ZenPQQ+ Formula – Promotes Heart, Brain, &amp; Mitochondrial Health – Non-GMO</t>
  </si>
  <si>
    <t>B09KTDRCYD</t>
  </si>
  <si>
    <t>Vitamin B Complex for Women, 240 Veggie Capsules</t>
  </si>
  <si>
    <t>B0CMK1YPQN</t>
  </si>
  <si>
    <t>NatureBell Antarctic Krill Oil 1000mg Supplement, 180 Softgels, Natural Source of Omega-3s, EPA, DHA and Astaxanthin - No Aftertaste - Support Heart Health, Mercury Free &amp; Non-GMO</t>
  </si>
  <si>
    <t>B07BKN8S81</t>
  </si>
  <si>
    <t>Naturebell Ginkgo Biloba Extract 500mg Per Serving, 300 Capsules | GinkoVida | Extra Strength Ginko Biloba Supplement - Promote Memory, Focus and Brain Health</t>
  </si>
  <si>
    <t>B09F4ML3FF</t>
  </si>
  <si>
    <t>Magnesium Glycinate Supplement 1,000mg | 500mg Per Capsule, 240 Pills | 100% Chelated &amp; Purified – Non-GMO &amp; Gluten Free</t>
  </si>
  <si>
    <t>B0CFPG9M5K</t>
  </si>
  <si>
    <t>2 Pack NAC Supplement (N-Acetyl Cysteine) with Quercetin, 1,200mg Per Serving, 480 Capsules | Double Strength Antioxidant Support for Immune, Liver, &amp; Lung Health – Non-GMO</t>
  </si>
  <si>
    <t>B086QBQ7X4</t>
  </si>
  <si>
    <t>NatureBell Fadogia Agrestis 600mg Complexed with Tongkat Ali 400mg, 180 Capsules, Optimal Dosage for Enhanced Bioavailability, 20:1 Fadogia Argrestis Extract Indonesia Tongkat-Ali (Longjack)</t>
  </si>
  <si>
    <t>B09WJV9D1Y</t>
  </si>
  <si>
    <t>NatureBell D Mannose Powder, 12oz | Instantized for Max Absorption – Fast Acting Cleanse – Urinary Tract &amp; Bladder Health Support – Flush UTI Impurities – Non-GMO, Vegan</t>
  </si>
  <si>
    <t>B075G4N2K1</t>
  </si>
  <si>
    <t>NatureBell Bromelain, 1,000mg Per Serving, 240 Veggie Capsules</t>
  </si>
  <si>
    <t>B0CMK9SWBJ</t>
  </si>
  <si>
    <t>NatureBell Glutathione Supplement 1000mg, 180 Veggie Capsules | 98%+ Purity Verified, Bioavailable Reduced Glutathione Pills, Active Form, Master Antioxidant – Vegan Friendly &amp; Non-GMO</t>
  </si>
  <si>
    <t>B09KTCYFZ7</t>
  </si>
  <si>
    <t>Magnesium Complex 400mg Supplement, 300 Capsules | Magnesium Glycinate + Citrate Elemental Forms – Essential Minerals for Heart, Muscle, &amp; Digestion Support – Non-GMO &amp; No Gluten</t>
  </si>
  <si>
    <t>B0BSP3CD3N</t>
  </si>
  <si>
    <t>NatureBell 2 Pack Ceylon Cinnamon 9000mg Per Serving, 480 Capsules, Made with Organic Ceylon Cinnamon Plus Bitter Melon, Non-GMO</t>
  </si>
  <si>
    <t>B08DK1M6FL</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</si>
  <si>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</si>
  <si>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</si>
  <si>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</si>
  <si>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</si>
  <si>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Liposomal Vitamin C 2000mg capsules</t>
  </si>
  <si>
    <t>B0D85XBLCH</t>
  </si>
  <si>
    <t>2 Pack Maximum Strength Zinc 100mg, Zinc Picolinate Supplement, 480 Capsules, Zinc Vitamin and Immune Vitamins for Enzyme Function and Immune Support, Non-GMO and Made in USA</t>
  </si>
  <si>
    <t>B0872L4YZS</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</si>
  <si>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</si>
  <si>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</si>
  <si>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</si>
  <si>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NatureBell 2 Pack Cranberry Pills 36,000mg with Acerola, 480 Veggie Capsules | 100:1 Fresh Cranberries Extract – Organic Ingredients – Supports Urinary Tract Health – Sugar Free</t>
  </si>
  <si>
    <t>B07RD4CKP4</t>
  </si>
  <si>
    <t>Magnesium Glycinate 500mg Per Serving | 240 Veggie Capsule, 100% Chelated &amp; Purified – Non-GMO &amp; Gluten Free</t>
  </si>
  <si>
    <t>B0CFPQWQNC</t>
  </si>
  <si>
    <t xml:space="preserve">Multi Collagen Complex capsules 300 count </t>
  </si>
  <si>
    <t>B0F11WDDHF</t>
  </si>
  <si>
    <t>NatureBell Hyaluronic Acid Supplements 2000mg Per Serving | 240 Capsules, with MSM &amp; Multi Collagen – 3 in 1 Support – Skin Hydration, Joint Lubrication, Hair, and Eye Health</t>
  </si>
  <si>
    <t>B01DPW5BNA</t>
  </si>
  <si>
    <t>2 Pack NatureBell Mucuna Pruriens Capsules, 1500mg Per Serving, Made with Mucuna and Ashwagandha, 480 Capsules, 2 in 1 Formula, Contains Mucuna Pruriens Seeds for Mood Mind and Brain Health</t>
  </si>
  <si>
    <t>B07W8XG27G</t>
  </si>
  <si>
    <t xml:space="preserve">Probiotics+ 200 billion CFU 40 </t>
  </si>
  <si>
    <t>B0DDCWYPWR</t>
  </si>
  <si>
    <t>Omega 3 Fish Oil 4,200mg, 180 Burpless Softgels, Highly Purified EPA 1,200mg &amp; DHA 900mg | Lemon Flavored | Premium Wild Caught Fish from Deep Sea – Heart &amp; Brain Support – Mercury Free &amp; Non-GMO</t>
  </si>
  <si>
    <t>B0BSP4P38R</t>
  </si>
  <si>
    <t>2 Pack Naturebell Zinc Quercetin with Vitamin C &amp; D3, 120 Capsules, Quercetin 1000mg, 4 in 1 Zinc 50mg, Vitamin C 250mg, Vitamin D3 5000 IU - Advanced Immune Defense, ZincVanta, Lung Support</t>
  </si>
  <si>
    <t>B086M6FBG4</t>
  </si>
  <si>
    <t>NatureBell 2 Pack Hyaluronic Acid Supplements 2000mg | 480 Total Capsules, with MSM &amp; Multi Collagen – 3 in 1 Support – Skin Hydration, Joint Lubrication, Hair, and Eye Health</t>
  </si>
  <si>
    <t>B01FL9DFR4</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</si>
  <si>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</si>
  <si>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</si>
  <si>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</si>
  <si>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</si>
  <si>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</si>
  <si>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Organic Non-Fortified Nutritional Yeast Flakes, 2 lbs | Versatile Vegan Cheese Substitute, Natural Dairy Free Cheesy Seasoning – Rich Protein &amp; B Complex Vitamins Source – Keto, Non-GMO</t>
  </si>
  <si>
    <t>B0BSP1W5JW</t>
  </si>
  <si>
    <t>NatureBell 2 Pack Plant Based Hyaluronic Acid Supplements 250mg with 25mg Vitamin C &amp; Biotin 5000mcg, 480 Total Capsules | Essential for Hair Growth, Joint Support, &amp; Hydrating Skin | Non-GMO</t>
  </si>
  <si>
    <t>B07GBMPZKD</t>
  </si>
  <si>
    <t>Citrus Bergamot 5000mg</t>
  </si>
  <si>
    <t>B0CFPBNWCF</t>
  </si>
  <si>
    <t>Mucuna Pruriens Capsules, Triple Strength 1500mg Per Serving, 2 in 1 Formula, Made with Mucuna and Ashwagandha, 240 Capsules, Potent Seed Extract, Positive Mood, Relaxation &amp; Restoration Support</t>
  </si>
  <si>
    <t>B07K6Z195K</t>
  </si>
  <si>
    <t>Sambucus Elderberry Capsules, 5000mg Herbal Equivalent, with Quercetin 500mg, Zinc and Vitamin C, 200 Capsules, 4 in 1 Formula, Support Immune System, Premium Elderberry Zinc Quercetin Supplements</t>
  </si>
  <si>
    <t>B085WGL72X</t>
  </si>
  <si>
    <t>NatureBell Quercetin 1000mg Per Serving | 240 Capsules, Ultra Strength Quercetin Supplement | Bioflavonoids for Healthy Immune Support, Third Party Tested, Non-GMO &amp; No Gluten</t>
  </si>
  <si>
    <t>B07H9LGDPM</t>
  </si>
  <si>
    <t>NAC Supplement (N-Acetyl Cysteine) with Quercetin, 1,200mg Per Serving, 240 Capsules | Double Strength Antioxidant Support for Immune, Liver, &amp; Lung Health – Non-GMO</t>
  </si>
  <si>
    <t>B0866BQP63</t>
  </si>
  <si>
    <t xml:space="preserve">Advanced Electrolyte hydration capsules </t>
  </si>
  <si>
    <t>B0DDCW84F6</t>
  </si>
  <si>
    <t>Benfotiamine 300mg with Thiamine 100mg Per Serving | 240 Veggie Capsules, Essential Vitamin B1 Benfotiamine Supplement, Bioavailable Fat &amp; Water Soluble Forms – Energy &amp; Nerve Support – Non-GMO</t>
  </si>
  <si>
    <t>B0C6YKYN2B</t>
  </si>
  <si>
    <t>TUDCA 500mg with Black Pepper Extract, 60 Capsules – High Absorption Livamate Formula, Natural Bitter Taste | Bile Salt Supplement | Third Party Tested</t>
  </si>
  <si>
    <t>B09KTBBYLQ</t>
  </si>
  <si>
    <t>NatureBell Melatonin 20mg, 365 Fast Dissolve Tablets - Natural Strawberry Flavor - Vegetarian Chewable Lozenges for 1 Year Supply, High Potency | Non-GMO, No Gluten</t>
  </si>
  <si>
    <t>B0B92XZZPJ</t>
  </si>
  <si>
    <t>Pregnenolone 100mg, 200 Capsules | 99%+ Purity, Micronized Grade for Higher Absorption, Plant Based – Hormone*, Cognitive, &amp; Immune Health Supplement – Non-GMO, Soy Free</t>
  </si>
  <si>
    <t>B087CMV1PD</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</si>
  <si>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</si>
  <si>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</si>
  <si>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</si>
  <si>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</si>
  <si>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2 Pack Olive Leaf Extract 30000mg, 480 Total Capsules | 40% Active Oleuropein, 50:1 Herbal Equivalent – Rich in Polyphenol &amp; Flavonoid Antioxidants for Immune &amp; Heart Health – Non-GMO</t>
  </si>
  <si>
    <t>B07VNJ97G1</t>
  </si>
  <si>
    <t>NatureBell Alpha Lipoic Acid 600mg Per Serving | 300 Capsules - with Vitamin B1 Complex | 4 in 1 - [R-ALA | S-ALA | Thiamine | Benfotiamine] - High Bioavailability, Third Party Tested | Non-GMO</t>
  </si>
  <si>
    <t>B0BB53JDMF</t>
  </si>
  <si>
    <t>Huperzine A 400mcg Per Serving, 180 Capsules, (Huperzine A Supplement), Supports Focus, Cognition, Memory and Learning Ability, Premium Brain Health Supplement, No GMOs</t>
  </si>
  <si>
    <t>B07BKSH9GW</t>
  </si>
  <si>
    <t>Tongkat Ali 200:1 (Longjack) Extract for Men, 2000mg Per Serving, Indonesia Origin, Eurycoma Longifolia | with Panax Ginseng for Energy, Stamina, &amp; Male Health Support (150 Count (Pack of 2))</t>
  </si>
  <si>
    <t>B0BMF3TMWZ</t>
  </si>
  <si>
    <t>NatureBell Cranberry Pills 36,000mg with Acerola, 240 Veggie Capsules | 100:1 Fresh Cranberries Extract – Made with Organic Ingredients – Supports Urinary Tract Health – Sugar Free</t>
  </si>
  <si>
    <t>B076BFRPNS</t>
  </si>
  <si>
    <t>NatureBell Red Yeast Rice 2,400mg with CoQ10 100mg | 240 Veggie Capsules (1,200mg Per Capsule) – Max Strength Herbal Supplement – Antioxidant Support for Energy &amp; Heart Health – Non-GMO</t>
  </si>
  <si>
    <t>B0CFPLT75L</t>
  </si>
  <si>
    <t>NatureBell Double Strength Triphala Supplement (Made with Organic Amla, Bibhitaki, Haritaki Fruit Complex), 1200mg Per Serving, 180 Capsules, 3 in 1 Formula, Supports Digestive Health, Non-GMO</t>
  </si>
  <si>
    <t>B076B5V4RQ</t>
  </si>
  <si>
    <t>Nattokinase Supplement 8,000 FU Per Serving, 240 Veggie Capsules | Traditional Natto Extract Source – Max Strength Enzyme &amp; Heart Health Support – Non-GMO</t>
  </si>
  <si>
    <t>B0CJK4JF1V</t>
  </si>
  <si>
    <t>Liver Cleanse Detox &amp; Repair Supplement, 240 Veggie Capsules</t>
  </si>
  <si>
    <t>B0CWN5QQ8V</t>
  </si>
  <si>
    <t>NatureBell Kava Kava Capsules 1000mg with Ginkgo Biloba, 200 Count | Noble Kava Root Extract with Active Kavalactones – Herbal KavaMind Relaxation Complex – Plant Based, Non-GMO</t>
  </si>
  <si>
    <t>B092373KF3</t>
  </si>
  <si>
    <t>High Potency Zinc Picolinate 100mg - 240 Capsules, Bioavailable Form of Zinc for Immune Support and Skin Health - Non-GMO and Gluten- Zinc Supplements</t>
  </si>
  <si>
    <t>B07VC1M3S3</t>
  </si>
  <si>
    <t>Olive Leaf Extract 30000mg, 240 Capsules | 40% Active Oleuropein, 50:1 Herbal Equivalent – Rich in Polyphenol &amp; Flavonoid Antioxidants for Immune &amp; Heart Health – Non-GMO</t>
  </si>
  <si>
    <t>B076B7TYL7</t>
  </si>
  <si>
    <t>NatureBell Evening Primrose Oil with Black Cohosh, 1,300mg Per Serving, 300 Mini-Softgels | Cold Pressed Seeds, Retains 130mg GLA for Womens Health &amp; Skin Care Support – Hexane Free, Non-GMO</t>
  </si>
  <si>
    <t>B0C6WN52Q9</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</si>
  <si>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</si>
  <si>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</si>
  <si>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</si>
  <si>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NatureBell Biotin 10000mcg + Hyaluronic Acid 25mg | 250 Coconut Oil Softgels, Premium Biotin Vitamins for Hair Skin and Nails, Highly Purified and Bioavailable, Quick Release</t>
  </si>
  <si>
    <t>B0B34CDHNS</t>
  </si>
  <si>
    <t>NatureBell Cold Pressed Black Seed Oil 3,000mg Per Serving with Vitamin D3 2,000IU, 180 Softgels | Egyptian Nigella Sativa, Odorless Black Cumin Seed, Virgin Liquid Oil Capsules – Non-GMO</t>
  </si>
  <si>
    <t>B09238QQ52</t>
  </si>
  <si>
    <t>NatureBell Everyday Fruits and Vegetables Supplements, 480 Total Vegetarian Capsules</t>
  </si>
  <si>
    <t>B0CMK41YYD</t>
  </si>
  <si>
    <t>NatureBell L Tryptophan 1500mg with L Theanine 200mg, 300 Capsules | Active Free Form, Plant Based Supplement – Calm Formula, Supports Relaxation – Non-GMO &amp; No Gluten</t>
  </si>
  <si>
    <t>B07V8LRWZK</t>
  </si>
  <si>
    <t>Zinc Quercetin 1300mg with Vitamin D3 5000IU, 120 Capsules, 4 in 1 Formula, Zinc 50mg, Vitamin C 250mg, Vitamin D3 5000 IU - Advanced Immune Defense, Non-GMO</t>
  </si>
  <si>
    <t>B085WGFPYS</t>
  </si>
  <si>
    <t>NatureBell Resveratrol Supplement 1000mg Per Serving, 180 Veggie Capsules, 99% Pure Trans-Resveratrol, Antioxidant for Healthy Aging, Brain, &amp; Heart Support – Non-GMO</t>
  </si>
  <si>
    <t>B0C2SCVL8Z</t>
  </si>
  <si>
    <t>NatureBell P5P Vitamin B6 100mg Per Serving, 240 Capsules | Activated Pyridoxal 5 Phosphate Supplements – Essential B Vitamins for Brain &amp; Memory Health – Non-GMO</t>
  </si>
  <si>
    <t>B07GCBWP2M</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</si>
  <si>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</si>
  <si>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</si>
  <si>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</si>
  <si>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</si>
  <si>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Korean Red Ginseng 2,250mg Per Serving, 240 Softgels | Panax Ginseng Root, Standardized to 10% Ginsenosides, Non-GMO, Support Energy, Male Performance, &amp; Immune System</t>
  </si>
  <si>
    <t>B07MTW3QDD</t>
  </si>
  <si>
    <t xml:space="preserve">Magnesium Taurate 1500mg 240 Capsules </t>
  </si>
  <si>
    <t>B0CWK143JD</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</si>
  <si>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</si>
  <si>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</si>
  <si>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</si>
  <si>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</si>
  <si>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NatureBell Digestive Enzymes with Prebiotics | 240 Veggie Capsules - 20 Enzyme &amp; 5 Prebiotic Complex – Support Gut Health, Bloating Relief for Women &amp; Men, Non-GMO, Vegan Friendly</t>
  </si>
  <si>
    <t>B0CJK5JRPV</t>
  </si>
  <si>
    <t xml:space="preserve">Colostrum 1000mg capsules 240 count </t>
  </si>
  <si>
    <t>B0DJTVL9H4</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</si>
  <si>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</si>
  <si>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</si>
  <si>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</si>
  <si>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</si>
  <si>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Dihydroberberine 500mg</t>
  </si>
  <si>
    <t>B0DDMM94BF</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</si>
  <si>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</si>
  <si>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</si>
  <si>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</si>
  <si>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</si>
  <si>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</si>
  <si>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NatureBell Vitamin D3 5000 K2 (MK7) with Virgin Coconut Oil, 240 Softgels, 100mcg, 2 in 1 Support, Duo-Ack | 8 Months Supply | Third Party Tested, Non GMO &amp; No Gluten</t>
  </si>
  <si>
    <t>B09MJYVXX9</t>
  </si>
  <si>
    <t>L Tyrosine Supplement, 1,500mg Per Serving, 240 Capsules | Essential Amino Acids – Brain Health Support for Memory, Cognitive Health, and Mental Alertness – Non-GMO</t>
  </si>
  <si>
    <t>B08X6JSZ69</t>
  </si>
  <si>
    <t>NatureBell Irish Sea Moss Capsules, 3,000mg Per Serving, 240 Veggie Pills | Made with Organic Raw Powder – 3 in 1 Plus Bladderwrack &amp; Burdock Root – Immune &amp; Thyroid Superfood Support – Non-GMO</t>
  </si>
  <si>
    <t>B0CP2YGSCZ</t>
  </si>
  <si>
    <t xml:space="preserve">Electrolyte Powder Lemon &amp; Raspberry Flavor 500g </t>
  </si>
  <si>
    <t>B0CX3GYCNN</t>
  </si>
  <si>
    <t>NatureBell Quercetin 500mg Per Serving | 300 Capsules, Ultra Strength Quercetin Supplement | Bioflavonoids for Healthy Immune Support, Third Party Tested, Non-GMO &amp; No Gluten</t>
  </si>
  <si>
    <t>B0B8TJLSSP</t>
  </si>
  <si>
    <t>L-Lysine 1000mg + Quercetin 250mg Supplement, 240 Capsules, Free Form, 4-in-1 Lysine Complex, Quercetin with Vitamin C and Zinc | Immune Support | Promote Lips &amp; Skin Health</t>
  </si>
  <si>
    <t>B09F4GYTDQ</t>
  </si>
  <si>
    <t>Lutein 40mg and Zeaxanthin 1,600mcg Per Serving, 360 Softgels | 4 in 1 with Omega-3s, Astaxanthin, &amp; Phospholipids – Marigold Flower Extract – Eye Antioxidant Vitamins – Non-GMO</t>
  </si>
  <si>
    <t>B0C2S5MC6J</t>
  </si>
  <si>
    <t>NatureBell Ceylon Cinnamon 1800mg Per Serving, 180 Capsules, Made with Organic Sri Lanka Ceylon Cinnamon and Bitter Melon, 2 in 1 Support, Non-GMO, No Gluten</t>
  </si>
  <si>
    <t>B07MTVDV6Y</t>
  </si>
  <si>
    <t>Creatine Monohydrate Jar 1kg</t>
  </si>
  <si>
    <t>B0DJWVMRR9</t>
  </si>
  <si>
    <t>Creatine Monohydrate 5000mg capsules</t>
  </si>
  <si>
    <t>B0DDB5BWYP</t>
  </si>
  <si>
    <t>NatureBell Psyllium Husk Powder, 3 Lbs(48 Oz), 9000mg Per Serving - Unflavored | No Fillers, No Additives, Gluten Free, Soluble Fiber, Great for Gut Health, Keto Baking, Mixing Shakes, Juices &amp; More</t>
  </si>
  <si>
    <t>B09ZPVMQ9F</t>
  </si>
  <si>
    <t>Vitamin E 400iu</t>
  </si>
  <si>
    <t>B0CWKDYC5Q</t>
  </si>
  <si>
    <t>DHEA 50mg</t>
  </si>
  <si>
    <t>B0CX3MJQKM</t>
  </si>
  <si>
    <t>NatureBell Organic Myco Guardians 10 in 1 Mushroom Powder, 10oz | Fresh Superfood Mushrooms Complex – Lions Mane, Turkey Tail, 8 More | Immune Booster &amp; Brain Health Supplement | No Fillers</t>
  </si>
  <si>
    <t>B0C485JWYV</t>
  </si>
  <si>
    <t>Organic Lion's Mane Powder</t>
  </si>
  <si>
    <t>B0CFP9DF3C</t>
  </si>
  <si>
    <t xml:space="preserve">Potassium Citrate 99mg capsules 500 count </t>
  </si>
  <si>
    <t>B0DDCTG43B</t>
  </si>
  <si>
    <t xml:space="preserve">Taurine 1000mg capsules 500 count </t>
  </si>
  <si>
    <t>B0D87LZF99</t>
  </si>
  <si>
    <t>Ashwagandha 12,500mg with black pepper</t>
  </si>
  <si>
    <t>B0DDM8LQMS</t>
  </si>
  <si>
    <t>NatureBell Lions Mane Supplement 9,000mg Per Serving, 240 Veggie Capsules | Made with Organic Lion’s Mane Powder Extract – Cognitive Brain Nootropic &amp; Immune Health Mushroom – Non-GMO</t>
  </si>
  <si>
    <t>B0CJK6YZYX</t>
  </si>
  <si>
    <t>2 Pack Berberine Supplement 1500mg Per Serving, 480 Veggie Capsules | Plus 1200mg True Ceylon Cinnamon, 97% Berberine HCL, Plant-Based, Vegan, Non-GMO, Gluten Free</t>
  </si>
  <si>
    <t>B01L2TFPNE</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</si>
  <si>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</si>
  <si>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</si>
  <si>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</si>
  <si>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</si>
  <si>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</si>
  <si>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</si>
  <si>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</si>
  <si>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</si>
  <si>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NatureBell Vitamin B2 Riboflavin 400mg Per Serving, 240 Capsules | Essential Daily B Vitamin, Easily Absorbed Form – Supports Energy, Skin, and Cellular Health – Non-GMO, Gluten Free</t>
  </si>
  <si>
    <t>B0BSP461K1</t>
  </si>
  <si>
    <t>NatureBell DHEA 100mg, 240 Capsules | Extra Strength, Micronized Grade for Better Absorption, Supports Energy Level, Metabolism and Healthy Aging for Men and Women, No GMOs and Made in U.S.A</t>
  </si>
  <si>
    <t>B074Q2KK6Z</t>
  </si>
  <si>
    <t>Advanced Turkey Tail Quercetin Supplements, Turkey Tail (Coriolus Versicolor) with Quercetin 1100mg Per Serving, 180 Counts, 2 in 1 Formula, Immune System Booster, Daily Mushroom Mycelium Supplement</t>
  </si>
  <si>
    <t>B07YF52935</t>
  </si>
  <si>
    <t>NatureBell Hyaluronic Acid Supplements 250mg | 240 Capsules, with Biotin 5000mcg &amp; Vitamin C 25mg, 3 in 1 Support - Skin Hydration, Joint Lubrication, Hair and Eye Health</t>
  </si>
  <si>
    <t>B076FH7639</t>
  </si>
  <si>
    <t>Triple Complex Magnesium Supplement, 240 Capsules | Magnesium Glycinate 500mg with Citrate &amp; Malate | Chelated &amp; Purified | Bone, Heart, &amp; Muscle Support | Non-GMO</t>
  </si>
  <si>
    <t>B0CMK2Z12X</t>
  </si>
  <si>
    <t>NatureBell Astaxanthin 12mg, 240 Softgels, Made with Astax (Max Strength from MicroAlgae), Natural Antioxidant for Skin &amp; Eye Health – Non-GMO &amp; No Gluten, 4 Month Supply</t>
  </si>
  <si>
    <t>B0923B4XLX</t>
  </si>
  <si>
    <t>L-Theanine 400mg capsules 400 count</t>
  </si>
  <si>
    <t>B0DDCW97QV</t>
  </si>
  <si>
    <t>NatureBell Virgin Pumpkin Seed Oil 3,000mg Per Serving with Saw Palmetto, 240 Softgel Capsules | Cold Pressed – Rich in Omega 6 &amp; 9 Essential Fatty Acids – Prostate &amp; Bladder Supplements, Non-GMO</t>
  </si>
  <si>
    <t>B07K6XGYPL</t>
  </si>
  <si>
    <t xml:space="preserve">NAD+ 1500mg vegetarian capsules 240 count </t>
  </si>
  <si>
    <t>B0D85VVNF7</t>
  </si>
  <si>
    <t>Organic Hibiscus Tea Bags</t>
  </si>
  <si>
    <t>B0C6WP15YQ</t>
  </si>
  <si>
    <t>NatureBell Moringa Oleifera 8000mg Per Serving | 240 Capsules, Made with Organic Moringa Leaf Powder, Non-GMO, Gluten Free, Superfood Antioxidant, Skin Health &amp; Immune Support</t>
  </si>
  <si>
    <t>B07MTTBMD1</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</si>
  <si>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</si>
  <si>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</si>
  <si>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</si>
  <si>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HB</t>
  </si>
  <si>
    <t>Creatine Monohydrate Powder 300 Grams (60 Servings), Unflavored | Pure | Micronized Creatine Powder, 5000mg(5g) Per Serving, 2 Month Supply, Vegan | Keto, Non-GMO, No Filler, No Additives</t>
  </si>
  <si>
    <t>B09YX7G6JJ</t>
  </si>
  <si>
    <t xml:space="preserve">Electrolyte Powder Lemon Lime Flavor Jar </t>
  </si>
  <si>
    <t>B0DJWN567H</t>
  </si>
  <si>
    <t>Nitric Oxide Booster 3,000mg Per Serving, 300 Capsules</t>
  </si>
  <si>
    <t>B0CZGHL1TW</t>
  </si>
  <si>
    <t xml:space="preserve">Fruits &amp; Veggies 240 caps </t>
  </si>
  <si>
    <t>B0DJWV79NT</t>
  </si>
  <si>
    <t>Allulose Sweetener 2 Pounds – Natural Sugar Subsitutes, No Aftertaste - Keto Friendly, Vegan, Zero Net Carb, Zero Calorie, Great for Cooking &amp; Baking</t>
  </si>
  <si>
    <t>B0BL1R1T8Y</t>
  </si>
  <si>
    <t>NAD+ 1000mg</t>
  </si>
  <si>
    <t>B0DJWRXKPX</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</si>
  <si>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</si>
  <si>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</si>
  <si>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</si>
  <si>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KSM-66 Ashwagandha 1200mg</t>
  </si>
  <si>
    <t>B0DJWP1442</t>
  </si>
  <si>
    <t>Creatine Monohydrate Powder 600 Grams (1.32lb), Unflavored | Pure | Micronized Creatine Powder, 5000mg(5g) Per Serving, 4 Month Supply, Vegan | Keto, Non-GMO, No Filler, No Additives - 120 Servings</t>
  </si>
  <si>
    <t>B0B2FF7XN9</t>
  </si>
  <si>
    <t>Multi Collagen Protein Powder,1Lb - Type I, II, III, V, X Collagen Peptides with Biotin 10000mcg, Vitamin C &amp; Hyaluronic Acid - Unflavored - Keto &amp; Paleo Friendly, Great for Hair, Skin, Nails &amp; Joints</t>
  </si>
  <si>
    <t>B0BL1NMB59</t>
  </si>
  <si>
    <t>DEAL SUPPLEMENT Alpha GPC 600mg Per Serving, 240 Capsules – Bioavailable Choline Replenishment –Nootropic Brain Health Supplements for Memory and Focus – Non-GMO, Gluten Free</t>
  </si>
  <si>
    <t>B0C2X5QQRR</t>
  </si>
  <si>
    <t>DEAL SUPPLEMENT Citicoline CDP Choline, 1,000mg Per Serving, 120 Capsules – Extra Strength Choline Supplements – Nootropic B Vitamin Properties – Promotes Brain Health, Memory, &amp; Focus – Non-GMO</t>
  </si>
  <si>
    <t>B0C2WY5ZN1</t>
  </si>
  <si>
    <t>Cayenne Pepper 5lb</t>
  </si>
  <si>
    <t>B0CDDY9DJL</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</si>
  <si>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</si>
  <si>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</si>
  <si>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</si>
  <si>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Psyllium Husk Fiber, 300 Capsules | 1500mg Per Serving, Complexed with Inulin &amp; Acacia – Natural Soluble Fiber Supplement, Plant Based, Non-GMO | Supports Digestive and Colon Health for Men and Women</t>
  </si>
  <si>
    <t>B0BKR4ZNH1</t>
  </si>
  <si>
    <t>9.9低價產品</t>
  </si>
  <si>
    <t>Unsweetened Organic Coconut Milk Powder, 3lbs – Dairy Free Creamer Alternative – Sugar Free Raw Flavor – Rich Source of MCT Oil – Great for Coffee or Tea – Non-GMO, Plant Based, Keto</t>
  </si>
  <si>
    <t>B0CF3HYSHR</t>
  </si>
  <si>
    <t>DEAL SUPPLEMENT Rhodiola Rosea with Ashwagandha 5,000mg Per Serving, 240 Veggie Capsules – Max Strength 10:1 Root Extract – Adaptogenic Supplements for Relaxation, Energy, &amp; Brain Health – Non-GMO</t>
  </si>
  <si>
    <t>B0C8PVGKSK</t>
  </si>
  <si>
    <t>Allulose Sweetener Powder 4lb</t>
  </si>
  <si>
    <t>B0DCKRMSJ8</t>
  </si>
  <si>
    <t>2 Pack Creatine Monohydrate Powder 600 Grams (21.2oz), Unflavored | Pure | Micronized Creatine Powder, 5000mg Per Serving, 4 Month Supply, Vegan | Keto, Non-GMO, No Filler, No Additives - 120 Servings</t>
  </si>
  <si>
    <t>B0BGR22RG6</t>
  </si>
  <si>
    <t>Ultra Strength CLA 3000mg | 240 Softgels, Active Conjugated Linoleic Acid from Non-GMO Safflower Oil, Non-Stimulating, Supports Weight Management | Lean Muscle Mass</t>
  </si>
  <si>
    <t>B07WWK3SMQ</t>
  </si>
  <si>
    <t>5-HTP 200mg Per Serving, 240 Capsules, 98% African Derived Griffonia Seed Extract | 4 in 1 Formula Plus Active L-Theanine, L-Tryptophan &amp; GABA, Complete Support for Positive Mood, Relaxation</t>
  </si>
  <si>
    <t>B08WHFZQSJ</t>
  </si>
  <si>
    <t>Myo-Inositol &amp; D-Chiro Inositol (40:1) 2,050mg Per Serving, 240 Veggie Capsules – with Folate, Vitamin D3, &amp; Vitex Complex – Hormonal, Ovarian, &amp; Liver Support Supplement</t>
  </si>
  <si>
    <t>B0BWGKT1PJ</t>
  </si>
  <si>
    <t>Ginkgo Biloba 500mg Per Serving, 300 Capsules, 5 Month Supply – Grown in Northern Asia – Extra Strength, Non-GMO, No Gluten</t>
  </si>
  <si>
    <t>B081NW5N61</t>
  </si>
  <si>
    <t>DEAL SUPPLEMENT Methyl B-12 Vitamins 5000 mcg, 240 Chewable Tablets | Active Form - Strawberry Flavored - Energy Support &amp; Brain Health Function - Vegetarian &amp; GMO Free</t>
  </si>
  <si>
    <t>B0BKR522Q9</t>
  </si>
  <si>
    <t>Organic Peruvian Maca Root Powder, 3lbs</t>
  </si>
  <si>
    <t>B0CF3MT9NR</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</si>
  <si>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</si>
  <si>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</si>
  <si>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</si>
  <si>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</si>
  <si>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</si>
  <si>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</si>
  <si>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Berberine 500mg with Yohimbine</t>
  </si>
  <si>
    <t>B0CZGQN3Y4</t>
  </si>
  <si>
    <t>Apigenin, 100mg Per Serving, 240 Capsules – Plant Extract from Chamomile Flower – Active Bioflavonoids &amp; Antioxidants – Sleep &amp; Relaxation Supplement</t>
  </si>
  <si>
    <t>B09LFFGQXM</t>
  </si>
  <si>
    <t>R Alpha Lipoic Acid 600mg with Benfotiamine 300mg Per Serving, 120 Veggie Capsules – 200mg R-ALA Per Capsule – Antioxidant Supplement for Energy &amp; Nervous System Support</t>
  </si>
  <si>
    <t>B0CF3P11B1</t>
  </si>
  <si>
    <t xml:space="preserve">Saccaromyces Boulardii + FOS </t>
  </si>
  <si>
    <t>B0DJWTDKW3</t>
  </si>
  <si>
    <t>Organic Lions Mane Mushroom Powder Supplement, 1,500mg Per Serving, 1lb – Active Fruiting Body &amp; Mycelium Extract – Natural Brain Nootropic &amp; Immune System Booster – Non-GMO</t>
  </si>
  <si>
    <t>B0C8LTR6L1</t>
  </si>
  <si>
    <t>Organic Lemon Powder, 1lb – Real Freeze-Dried Lemon Source – Rich in Essential Vitamin C – Natural Immune Support – Raw Lemon Juice Flavor &amp; Aroma – Non-GMO, Filler Free, No Sugar</t>
  </si>
  <si>
    <t>B0CF3RZQCZ</t>
  </si>
  <si>
    <t>Tongkat Ali Extract 300:1 400mg &amp; Maca Root 400mg | 300 Capsules, Ultra Strength Longjack (Eurycoma Longifolia) + Peru Maca – Non-GMO, Herbal Supplement for Men Health, Performance, &amp; Energy</t>
  </si>
  <si>
    <t>B0C2WG9NLL</t>
  </si>
  <si>
    <t xml:space="preserve">Organic Stevia Extract Powder 12oz </t>
  </si>
  <si>
    <t>B0CF3K9R3G</t>
  </si>
  <si>
    <t xml:space="preserve">Astaxanthin 24mg softgels 120 count </t>
  </si>
  <si>
    <t>B0DNRKCZGT</t>
  </si>
  <si>
    <t>Bitter Melon 15,000mg Per Serving | 300 Capsules, with Berberine HCL | 15:1 Wild Bitter Melon Fruit Extract | Third Party Tested | Plant Based, Non-GMO &amp; No Gluten</t>
  </si>
  <si>
    <t>B081ZH92R6</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</si>
  <si>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</si>
  <si>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</si>
  <si>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</si>
  <si>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Hyaluronic Acid Supplements 1,500mg – 240 Capsules, with MSM &amp; Vitamin C – Pure 95% | Non-GMO + Plant Based HA – Supports Healthy Joints, Bones, Connective Tissue, &amp; Skin Hydration</t>
  </si>
  <si>
    <t>B091G5YF1J</t>
  </si>
  <si>
    <t>DEAL SUPPLEMENT Oil of Oregano Softgels with Black Seed Oil, 9,000mg Per Serving, 300 Count – 30:1 Extract, Active Carvacrol &amp; Thymoquinone – Antioxidant Immune Health Support – Plant Based, Non-GMO</t>
  </si>
  <si>
    <t>B0BWGY19D1</t>
  </si>
  <si>
    <t>Eagleshine Vitamins 2 Pack NAC Supplement (N-Acetyl Cysteine) 1,000mg Per Serving with Reduced Glutathione, 480 Total Capsules – Antioxidant Support for Immune Health, Lung, &amp; Liver Function</t>
  </si>
  <si>
    <t>B08M245LZF</t>
  </si>
  <si>
    <t>Eagle Shine Vitamins 2 Pack Antarctic Krill Oil, 1,000mg Per Serving, 480 Softgels – Mercury Free, No Fishy Taste – Rich in Omega-3s, EPA, DHA, Astaxanthin, &amp; Phospholipids – Non-GMO, No Gluten</t>
  </si>
  <si>
    <t>B08X63BXLZ</t>
  </si>
  <si>
    <t>Whole milk powder 3lb</t>
  </si>
  <si>
    <t>B0DJWTBLGH</t>
  </si>
  <si>
    <t>Eagleshine Vitamins Phosphatidylserine Supplement, 400mg Per Serving, 240 Capsules – Soy Free Sunflower Lecithin Source – Retains 20% Active PS – Nootropic Brain Health Support – Non-GMO</t>
  </si>
  <si>
    <t>B0971RLCR2</t>
  </si>
  <si>
    <t>Zinc 50mg with Selenium 200mcg + Copper, 240 Capsules, 8 Month Supply, 3 in 1 Mineral Formula, Zinc Picolinate Complex Supplement, Supports Healthy Immune System for Adults and Kid</t>
  </si>
  <si>
    <t>B08FXYT1RT</t>
  </si>
  <si>
    <t>Dihydroberberine 100mg</t>
  </si>
  <si>
    <t>B0DCKRBV9T</t>
  </si>
  <si>
    <t>Quercetin 1000mg Per Serving (2 Pack) | 300 Capsules, High Bioavailable Flavonoids, Third Party Tested, Supports Healthy Immune System, Non-GMO, No Gluten</t>
  </si>
  <si>
    <t>B08M23CLN5</t>
  </si>
  <si>
    <t>Kava Kava Supplement 750mg, 180 Capsules, 3 Months Supply, Kava Kava Root Extract, Promotes Stress &amp; Anxiety Relief, Mental Calmness and Restful Sleep</t>
  </si>
  <si>
    <t>B07XVS9MS3</t>
  </si>
  <si>
    <t>DEAL SUPPLEMENT Odorless Aged Garlic Pills, 6,000mg Per Serving, 500 Softgels – 24:1 Garlic Oil Extract – Fresh Allium Sativum Bulb Source – Heart &amp; Immune Antioxidant Supplements – Non-GMO</t>
  </si>
  <si>
    <t>B0CF3CTC2V</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</si>
  <si>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</si>
  <si>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</si>
  <si>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</si>
  <si>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DEAL SUPPLEMENT Slippery Elm Capsules, 6,000mg Per Serving – 300 Pills, Made with Organic Inner Bark Powder Extract – Natural Herb for Soothing Throat &amp; Digestive Support – Non-GMO</t>
  </si>
  <si>
    <t>B0C2XJGG1H</t>
  </si>
  <si>
    <t>DEAL SUPPLEMENT D Mannose Veggie Capsules, 2,000mg Per Serving, 240 Pills – Fast Acting Water-Soluble Form – Extra Strength Urinary Tract (UTI) Health Support – Non-GMO, Vegan Friendly</t>
  </si>
  <si>
    <t>B0C2SSC3XZ</t>
  </si>
  <si>
    <t>Vitamin B2 400mg (Riboflavin) | with Magnesium Glycinate 400mg, 240 Capsules – 2 in 1 Support Healthy Nervous System, Mood, Blood &amp; Energy Production, Non-GMO</t>
  </si>
  <si>
    <t>B085PZLP29</t>
  </si>
  <si>
    <t>DEAL SUPPLEMENT Sustainably US Grown, Organic Barley Grass Juice Powder, 10oz – Raw Cold Pressed Source – Greens Superfood Booster – Retains Vitamins, Minerals, Antioxidants, &amp; Chlorophyll – Non-GMO</t>
  </si>
  <si>
    <t>B0C8M8MQMR</t>
  </si>
  <si>
    <t>Korean Red Panax Ginseng Root Extract, 7,500mg Per Serving, 240 Softgels – 150mg Active Ginsenosides, 5:1 Max Strength Extract – Energy &amp; Immune Health Supplement – Non-GMO</t>
  </si>
  <si>
    <t>B08517K5QY</t>
  </si>
  <si>
    <t>Vitamin K2 Supplement 600mcg, 180 Virgin Coconut Oil Softgels – Full Spectrum MK-7 &amp; MK-4 Forms, High Absorption, Triple Strength K Vitamins – Bone, Joint, &amp; Immune Support – Non-GMO</t>
  </si>
  <si>
    <t>B0CF3N7PNY</t>
  </si>
  <si>
    <t>DHA Supplements | 240 Softgels, Burpless, Lemon Flavor, DHA 1000mg + EPA 500mg, Wild Caught Fish, Rich in Omega-3s, Mercury Free, Non-GMO, Support Brain Heart &amp; Joint Health</t>
  </si>
  <si>
    <t>B08WHZZP5F</t>
  </si>
  <si>
    <t>2 Pack of Tongkat Ali Extract 300:1 Enhanced with Horny Goat, 1100mg Per Serving, 180 Capsules, 2-1 Formula, Indonesia Origin Eurycoma Longifolia (Longjack), Max Strength Tongkat Ali for Men</t>
  </si>
  <si>
    <t>B0BMDPLQ3K</t>
  </si>
  <si>
    <t>Ultra Strength HMB Supplements 1000mg Per Serving, 300 Capsules | Third Party Tested | Supports Muscle Growth, Retention &amp; Lean Muscle Mass | Fast Workout Recovery</t>
  </si>
  <si>
    <t>B0971W4PSN</t>
  </si>
  <si>
    <t>Vitamin B3 Nicotinamide 1,000mg Per Serving – 500 Capsules, Flush Free Niacin, Essential B3 Vitamin Supplement – Supports Healthy Skin &amp; Energy Production – Non-GMO</t>
  </si>
  <si>
    <t>B0C2X6VR58</t>
  </si>
  <si>
    <t>Bioactive Vitamin B Complex | 240 Veggie Capsules - Methylated B Vitamins &amp; Esterified Vitamin C, High Potency &amp; Easy Absorption – Immune, Energy, &amp; Metabolism Supplement – Non-GMO, Vegan</t>
  </si>
  <si>
    <t>B0BWGKFVS9</t>
  </si>
  <si>
    <t>DEAL SUPPLEMENT Vitamin E Supplements, 1,000 IU Per Serving, 240 Softgels – Extra Strength Antioxidant Protection – Bioavailable Stable Form – Skin, Heart, Brain, &amp; Immune Support – Non-GMO</t>
  </si>
  <si>
    <t>B0C2X2BW68</t>
  </si>
  <si>
    <t>Glutathione Supplement 1000mg Per Serving, 98% Purity | Plus Vitamin C 500mg, Active Reduced Form (GSH) | 60 Capsules - Intracellular Antioxidant, Detoxification* Support, Immune &amp; Skin Whitening</t>
  </si>
  <si>
    <t>B09BDNFL58</t>
  </si>
  <si>
    <t>DEAL SUPPLEMENT Quercetin 1,000mg Per Serving, 300 Capsules – Healthy Immune Support Supplements, High Bioavailable Flavonoids, Natural Antioxidant – Non-GMO, Soy Free, No Gluten</t>
  </si>
  <si>
    <t>B07XW8BXDS</t>
  </si>
  <si>
    <t>Organic Beet Root Powder 3lb</t>
  </si>
  <si>
    <t>B0C2XJ92Y6</t>
  </si>
  <si>
    <t>Magnesium Citrate Powder 500mg, 3lbs – Unflavored, Easily Absorbed – Purified Trace Mineral for Muscle, Heart, &amp; Digestive Support – One a Day, Non-GMO, Filler Free</t>
  </si>
  <si>
    <t>B0C8M1F4V7</t>
  </si>
  <si>
    <t>DEAL SUPPLEMENT Folic Acid 1000 mcg (1 mg), 500 Coconut Oil Softgels | Bioavailable Prenatal Vitamins (Vitamin B9) – 1,667 mcg DFE – Easy to Swallow, Non-GMO, &amp; No Gluten</t>
  </si>
  <si>
    <t>B09F2NL4H6</t>
  </si>
  <si>
    <t>Bromelain Supplement 2,000mg Per Serving, 240 Capsules – Natural Proteolytic Enzymes from Fresh Pineapple – Supports Nutrient Digestion</t>
  </si>
  <si>
    <t>B09BDHTR2H</t>
  </si>
  <si>
    <t>整体水平没有变化只是primeday多出了一些</t>
  </si>
  <si>
    <t>Omega 3 Fish Oil Supplements, 3,000mg Per Serving, 240 Softgels – EPA 1,200mg + DHA 900mg – Burpless Pills, Lemon Flavored, Wild Caught – Brain &amp; Heart Support – Mercury Free, Non-GMO</t>
  </si>
  <si>
    <t>B0CF38KTZQ</t>
  </si>
  <si>
    <t>Multi Collagen Pills with Hyaluronic Acid, Vitamin C &amp; Biotin 5000mcg, 300 Capsules - Type I, II, III, V, X Collagen Supplements for Women or Men - Hair, Skin, Nail, &amp; Joint Health - Unflavored, Keto</t>
  </si>
  <si>
    <t>B0C2WPPTNM</t>
  </si>
  <si>
    <t>2 Pack Magnesium Glycinate 500mg, 480 Veggie Capsules | Chelated for Easy Absorption | Highly Purified Essential Trace Mineral for Muscle, Joint, Heart, &amp; Digestive Health</t>
  </si>
  <si>
    <t>B0C6V5K27L</t>
  </si>
  <si>
    <t>Nattokinase 4,000 FU Per Serving, 240 Veggie Capsules – Bromelain, Turmeric Curcumin, with Black Pepper Complex – Heart Health &amp; Digestive Enzymes Supplement – Non-GMO, Vegan</t>
  </si>
  <si>
    <t>B0CF3HM62X</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</si>
  <si>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</si>
  <si>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</si>
  <si>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</si>
  <si>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Essential Amino Acids (EAA) 2000mg Per Serving, 300 Capsules – Unflavored - 9 in 1, All BCAAs (Branched-Chain Aminos) – Lean Muscle Support &amp; Natural Pre Workout Supplement</t>
  </si>
  <si>
    <t>B0BWH3JMNB</t>
  </si>
  <si>
    <t>L Methylfolate 15mg Per Serving, 240 Veggie Capsules – Active Folic Acid Form (5-MTHF), Bioavailable Methylated Folate – Prenatal, Energy, &amp; Brain Support Supplement – Non-GMO</t>
  </si>
  <si>
    <t>B0C7SNQ62P</t>
  </si>
  <si>
    <t>应该是涨价丢了Buybox又降价拿回来了 现在每天出单10几个 继续上调广告保持budget 找找量 too low</t>
  </si>
  <si>
    <t>Moringa 9,000mg capsules 240 count</t>
  </si>
  <si>
    <t>B0DJWPJ2MX</t>
  </si>
  <si>
    <t>Magnesium Citrate 400mg Per Serving, 300 Veggie Capsules – Chelated for Easy Absorption – Purified Trace Mineral – Supports Muscle, Heart, &amp; Digestive Health – Non-GMO</t>
  </si>
  <si>
    <t>B0BWGPJNTR</t>
  </si>
  <si>
    <t>Lions Mane Mushroom Supplement, 7,500mg Per Serving, 240 Capsules – Active Fruiting Body &amp; Mycelium 10:1 Extract – Natural Brain Nootropic &amp; Immune System Booster – Non-GMO</t>
  </si>
  <si>
    <t>B09KZ1VNPF</t>
  </si>
  <si>
    <t>Mullein Leaf 20,000mg, 240 Veggie Capsules – 20:1 Max Strength Leaf Extract – Natural Soothing Herb for Lungs – Supports Respiratory &amp; Immune Health – Non-GMO, Vegan</t>
  </si>
  <si>
    <t>B0C8LYLM61</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</si>
  <si>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</si>
  <si>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</si>
  <si>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</si>
  <si>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Ceylon Cinnamon 6000mg with Chromium 1000mcg, 240 Capsules | Active Inner Bark Extract, True Sri Lanka Source | Natural Cinnamon Supplements</t>
  </si>
  <si>
    <t>B084Z9VQ2Q</t>
  </si>
  <si>
    <t>Unscented Magnesium Flakes, 10lbs</t>
  </si>
  <si>
    <t>B0CZFY5HHJ</t>
  </si>
  <si>
    <t>DEAL SUPPLEMENT 2 Pack of Ultra Strength HMB Supplements 1000mg Per Serving, 600 Capsules | Third Party Tested | Supports Muscle Growth, Retention &amp; Lean Muscle Mass | Fast Workout Recover</t>
  </si>
  <si>
    <t>B0B7CMR12N</t>
  </si>
  <si>
    <t>CoQ10 200mg &amp; PQQ 200mcg, 240 Veggie Capsules – 2 in 1 Coenzyme Q10 Supplement for Better Absorption – Antioxidant Support for Energy, Brain, &amp; Heart Health – Non-GMO</t>
  </si>
  <si>
    <t>B0C2WV9FGF</t>
  </si>
  <si>
    <t>Alpha Lipoic Acid 1,000mg, 180 Veggie Capsules – 50/50 R-ALA &amp; S-ALA for Max Bioavailability – Antioxidant Supplement – Energy &amp; Nervous System Support – Non-GMO</t>
  </si>
  <si>
    <t>B0BWHLHMHY</t>
  </si>
  <si>
    <t>Red Yeast Rice 1,200mg Per Serving with CoQ10 100mg, 300 Capsules – Heart Health Supplement &amp; Antioxidant Support – Pure Monascus Purpureus Powder Source – Citrinin Free, Non-GMO</t>
  </si>
  <si>
    <t>B07WV6898X</t>
  </si>
  <si>
    <t>DEAL SUPPLEMENT Ultra Strength HMB Supplements 3,000mg Per Serving, 240 Capsules | Third Party Tested | Supports Muscle Growth, Retention &amp; Lean Muscle Mass | Fast Workout Recovery</t>
  </si>
  <si>
    <t>B0C8M8X8PG</t>
  </si>
  <si>
    <t>DEAL SUPPLEMENT Unflavored Pea Protein Powder, 5lbs – Premium North American Grown Peas – Easily Digested Isolate Form – Great for Shakes, Bars, or Snacks – 27g Protein Serving, Soy Free, Vegan</t>
  </si>
  <si>
    <t>B0C2WJHQLT</t>
  </si>
  <si>
    <t>Max Strength Magnesium Glycinate 500mg Per Serving, 240 Capsules | Chelated, Highly Purified, Essential Mineral | Magnesium Supplement for Muscle, Joint, &amp; Heart Health</t>
  </si>
  <si>
    <t>B0CF3JV16Q</t>
  </si>
  <si>
    <t>2 Pack Deal Supplement Vitamin D3 K2 Softgel, 250 Count, 2-1 Complex, Vitamin D3 5000 IU &amp; Vitamin K2 MK7, Promotes Heart, Bone &amp; Teeth Health – Very Easy to Swallow</t>
  </si>
  <si>
    <t>B08LMTG54X</t>
  </si>
  <si>
    <t>Vitamin D3K2 5,000IU with coconut oil</t>
  </si>
  <si>
    <t>B0CZFY5H2J</t>
  </si>
  <si>
    <t>Magnesium Complex Supplement 500mg, 240 Veggie Capsules – 10 in 1 Blend with Glycinate, Citrate, Malate, &amp; More – Chelated for Easy Absorption – Muscle, Joint, &amp; Relaxation Support</t>
  </si>
  <si>
    <t>B07WS2TFP1</t>
  </si>
  <si>
    <t>Eagle Shine Vitamins St. John's Wort Extract 1000mg - 240 Capsules, Retains 3000mcg Active Hypericins | Premium North American Source</t>
  </si>
  <si>
    <t>B081NWFC6W</t>
  </si>
  <si>
    <t>DEAL SUPPLEMENT Lutein and Zeaxanthin Supplements, 40mg Per Serving, 300 Softgels – Plus Astaxanthin, Omega-3s, &amp; Phospholipids – Essential Eye Vitamins &amp; Vision Health Support – Non-GMO</t>
  </si>
  <si>
    <t>B0C2XFMKWL</t>
  </si>
  <si>
    <t>DEAL SUPPLEMENT Vitamin D3 50,000 IU + K2 MK7 200 mcg,240 Softgels | Virgin Coconut Oil, Max Strength Vitamin D &amp; K, Promotes Heart, Bone, &amp; Teeth Health – One Softgel Weekly, Easy to Swallow</t>
  </si>
  <si>
    <t>B0C8LR3L5M</t>
  </si>
  <si>
    <t>DEAL SUPPLEMENT High Potency Vitamin A 25000 IU, 500 Coconut Oil Softgels | Easily Absorbed, Natural Fish Liver Oil Source – Vitamins for Eye, Immune, &amp; Skin Health – Easy to Swallow, Non-GMO</t>
  </si>
  <si>
    <t>B0BKR14XL3</t>
  </si>
  <si>
    <t>Berberine Max Supplement, 5,000mg Per Serving, 240 Veggie Capsules – 97% Pure Berberine HCL – 25:1 Root Extract – Glucose Metabolism &amp; Weight Management Support– Non-GMO</t>
  </si>
  <si>
    <t>B0C7FPF4TT</t>
  </si>
  <si>
    <t xml:space="preserve">Vitamin D3K2 2000IU with coconut oil </t>
  </si>
  <si>
    <t>B0DCJ6L37S</t>
  </si>
  <si>
    <t>CoQ10 100mg, 240 Capsules – with Omega 3 Fatty Acid 100mg – Bioavailable Coenzyme Q10 Supplements – Heart, Energy, &amp; Brain Health Antioxidant Support – Non-GMO, One A Day</t>
  </si>
  <si>
    <t>B0CF3M3Y1M</t>
  </si>
  <si>
    <t>Vitamin K2 (MK-7) 200mcg, 240 Virgin Coconut Oil Softgels | Premium Menaquinone-7 Form, Easily Absorbed Vitamin K Supplement – Bone, Joint, &amp; Immune Support – Non-GMO</t>
  </si>
  <si>
    <t>B088B4L5WB</t>
  </si>
  <si>
    <t>DEAL SUPPLEMENT Psyllium Husk Powder 3 lbs, 9,000mg Per Serving – Unflavored, Plant Based, Soluble Dietary Fiber – Great for Baking &amp; Cooking – Keto Friendly, Gluten Free, Non-GMO</t>
  </si>
  <si>
    <t>B0C3NM9959</t>
  </si>
  <si>
    <t>Mushroom Supplement, 8,000mg Per Serving, 240 Capsules – 10 in 1 Defense Formula</t>
  </si>
  <si>
    <t>B0BWH9RWC9</t>
  </si>
  <si>
    <t>DIM Supplement 300mg, 240 Veggie Caps, 4 Months Supply, Diindolylmethane DIM Plus Black Pepper Extract, Estrogen Balance, Supports Acne &amp; PCOS Relief</t>
  </si>
  <si>
    <t>B07WV689LY</t>
  </si>
  <si>
    <t>Resveratrol Complex 2000mg</t>
  </si>
  <si>
    <t>B0DJWR8MZ3</t>
  </si>
  <si>
    <t>Vitamin B1 500mg with Benfotiamine, 240 Capsules – 2 in 1 Enhanced Formula – Fat &amp; Water Soluble Thiamine B1 Supplement – Third Party Tested, Non-GMO, No Gluten</t>
  </si>
  <si>
    <t>B081ZJQYVK</t>
  </si>
  <si>
    <t>Organic Matcha Green Tea Powder, 2lbs (907g) | Zero Sugar, First Harvest | Culinary Grade, Cafe Mix, Keto Friendly, Genuine Japanese Source, Non-GMO, Vegetarian</t>
  </si>
  <si>
    <t>B0BY3V6ZR7</t>
  </si>
  <si>
    <t>DEAL SUPPLEMENT Premium K Complete - High Potency Vitamin K1, K2 MK-7 &amp; MK-4 Complex, 200 Coconut Oil Infused Softgels - Full Spectrum Triple Vitamin K, Optimal Bone &amp; Heart Health Support</t>
  </si>
  <si>
    <t>B0BWH7QPX6</t>
  </si>
  <si>
    <t>Benfotiamine 600mg Per Serving, 180 Veggie Capsules (300mg Per Cap), Fat Soluble Vitamin B1 Thiamine Supplement – Supports Energy &amp; Nervous System Health – 3rd Party Tested, Non-GMO, Gluten Free</t>
  </si>
  <si>
    <t>B0BWH53V3J</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</si>
  <si>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</si>
  <si>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</si>
  <si>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</si>
  <si>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Irish Sea Moss 7,000mg Per Serving, 240 Veggie Capsules</t>
  </si>
  <si>
    <t>B0CZFZYXN3</t>
  </si>
  <si>
    <t>Vitamin D3 10,000 IU + K2 MK7 200 mcg, Infused with Virgin Coconut Oil, 250 Softgels, Double Strength Vitamin D &amp; K, Promotes Heart, Bone &amp; Teeth Health - Very Easy to Swallow</t>
  </si>
  <si>
    <t>B08FXX6WSZ</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</si>
  <si>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</si>
  <si>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</si>
  <si>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</si>
  <si>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Magnesium Glycinate 400mg | Elemental Magnesium - 300 Capsules | Chelated for Easy Absorption | Highly Purified Essential Trace Mineral for Muscle, Joint, Heart, &amp; Immune Support</t>
  </si>
  <si>
    <t>B0BKRPXKWD</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</si>
  <si>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</si>
  <si>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</si>
  <si>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</si>
  <si>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</si>
  <si>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</si>
  <si>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</si>
  <si>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</si>
  <si>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</si>
  <si>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</si>
  <si>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</si>
  <si>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</si>
  <si>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</si>
  <si>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</si>
  <si>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</si>
  <si>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</si>
  <si>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</si>
  <si>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</si>
  <si>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</si>
  <si>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</si>
  <si>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</si>
  <si>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</si>
  <si>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</si>
  <si>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</si>
  <si>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</si>
  <si>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</si>
  <si>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</si>
  <si>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</si>
  <si>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</si>
  <si>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</si>
  <si>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MI</t>
  </si>
  <si>
    <t>NB</t>
  </si>
  <si>
    <t>DS</t>
  </si>
  <si>
    <t>Total</t>
  </si>
  <si>
    <t>$ Ad Sales</t>
  </si>
  <si>
    <t>$ Spend</t>
  </si>
  <si>
    <t>Acos</t>
  </si>
  <si>
    <t>%</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</si>
  <si>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</si>
  <si>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</si>
  <si>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</si>
  <si>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</si>
  <si>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</si>
  <si>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</si>
  <si>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</si>
  <si>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</si>
  <si>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</si>
  <si>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</si>
  <si>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</si>
  <si>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</si>
  <si>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</si>
  <si>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</si>
  <si>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</si>
  <si>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</si>
  <si>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</si>
  <si>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</si>
  <si>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</si>
  <si>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</si>
  <si>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</si>
  <si>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</si>
  <si>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</si>
  <si>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</si>
  <si>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</si>
  <si>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</si>
  <si>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Asin</t>
  </si>
  <si>
    <t>Sum of Units Ordered (2/1-2/28)</t>
  </si>
  <si>
    <t>Sum of Session (2/1-2/28)</t>
  </si>
  <si>
    <t>Sum of Units Ordered (3/1-3/31)</t>
  </si>
  <si>
    <t>Sum of Session (3/1-3/31)</t>
  </si>
  <si>
    <t>Sum of Units Ordered (4/1-4/28)</t>
  </si>
  <si>
    <t>Sum of Session (4/1-4/28)</t>
  </si>
  <si>
    <t>B07G7YPJSJ</t>
  </si>
  <si>
    <t>B07P3HDQD9</t>
  </si>
  <si>
    <t>B07WTXS4BL</t>
  </si>
  <si>
    <t>B085176YLP</t>
  </si>
  <si>
    <t>B08C4NZQYY</t>
  </si>
  <si>
    <t>B08WHGBYD3</t>
  </si>
  <si>
    <t>B08WHPNJTT</t>
  </si>
  <si>
    <t>B08X6N1YBK</t>
  </si>
  <si>
    <t>B01DPW5DD8</t>
  </si>
  <si>
    <t>B0BWH9Y7PZ</t>
  </si>
  <si>
    <t>B0C2SKQBDB</t>
  </si>
  <si>
    <t>B0C2W734WL</t>
  </si>
  <si>
    <t>B0C6VXPZTS</t>
  </si>
  <si>
    <t>B0C6W3MPRS</t>
  </si>
  <si>
    <t>B0C6WK3P6H</t>
  </si>
  <si>
    <t>B0C6WRVJQV</t>
  </si>
  <si>
    <t>B0C6WZJ2K6</t>
  </si>
  <si>
    <t>B0C6X5CZ98</t>
  </si>
  <si>
    <t>B0C88PXW63</t>
  </si>
  <si>
    <t>B0C8LWRXVV</t>
  </si>
  <si>
    <t>B0C8LXD8F2</t>
  </si>
  <si>
    <t>B0C8QZLF18</t>
  </si>
  <si>
    <t>B0CVTNMFSK</t>
  </si>
  <si>
    <t>B0CXGX8QTQ</t>
  </si>
  <si>
    <t>B0CYKDW4QQ</t>
  </si>
  <si>
    <t>B0D21244KR</t>
  </si>
  <si>
    <t>B0D2FGQB84</t>
  </si>
  <si>
    <t>B0D2FTRPL1</t>
  </si>
  <si>
    <t>B0D2MDHWT5</t>
  </si>
  <si>
    <t>B0D7B94P8D</t>
  </si>
  <si>
    <t>B0DCHGCFBS</t>
  </si>
  <si>
    <t>B0DCHJ1H44</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</si>
  <si>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</si>
  <si>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</si>
  <si>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</si>
  <si>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</si>
  <si>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</si>
  <si>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</si>
  <si>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</si>
  <si>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</si>
  <si>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</si>
  <si>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</si>
  <si>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</si>
  <si>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</si>
  <si>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</si>
  <si>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</si>
  <si>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</si>
  <si>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</si>
  <si>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</si>
  <si>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</si>
  <si>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</si>
  <si>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</si>
  <si>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</si>
  <si>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</si>
  <si>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</si>
  <si>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</si>
  <si>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</si>
  <si>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</si>
  <si>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</si>
  <si>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</si>
  <si>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</si>
  <si>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</si>
  <si>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</si>
  <si>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</si>
  <si>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</si>
  <si>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</si>
  <si>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MAR</t>
  </si>
  <si>
    <t>APR</t>
  </si>
  <si>
    <t>MAY</t>
  </si>
  <si>
    <t>JUN</t>
  </si>
  <si>
    <t>JUL</t>
  </si>
  <si>
    <t>AUG</t>
  </si>
  <si>
    <t>SEP</t>
  </si>
  <si>
    <t>OCT</t>
  </si>
  <si>
    <t>NOV</t>
  </si>
  <si>
    <t>DEC</t>
  </si>
  <si>
    <t>Jan</t>
  </si>
  <si>
    <t>Feb</t>
  </si>
  <si>
    <t>B0BFJXC2JN</t>
  </si>
  <si>
    <t>Brand</t>
  </si>
  <si>
    <t>B0BR4NQGSC</t>
  </si>
  <si>
    <t>B01JNNAGEY</t>
  </si>
  <si>
    <t>B09TG497BW</t>
  </si>
  <si>
    <t>B07L44PJYM</t>
  </si>
  <si>
    <t>B0B239F6JW</t>
  </si>
  <si>
    <t>B0BCMY5TBJ</t>
  </si>
  <si>
    <t>B0CG7M7PRM</t>
  </si>
  <si>
    <t>B01N91404L</t>
  </si>
  <si>
    <t>B01DPW5EIM</t>
  </si>
  <si>
    <t>B07CRQ7NJ5</t>
  </si>
  <si>
    <t>B01DPW5MJI</t>
  </si>
  <si>
    <t>B09SBP5D35</t>
  </si>
  <si>
    <t>B01N02YD5I</t>
  </si>
  <si>
    <t>B01BHF3J4K</t>
  </si>
  <si>
    <t>B08C9JP3L2</t>
  </si>
  <si>
    <t>B08MX453B9</t>
  </si>
  <si>
    <t>B08C77PT4J</t>
  </si>
  <si>
    <t>B07P3H1872</t>
  </si>
  <si>
    <t>B07L47VZ1Z</t>
  </si>
  <si>
    <t>B0C35H2G42</t>
  </si>
  <si>
    <t>B07P3HRXK4</t>
  </si>
  <si>
    <t>B0B43XFX6P</t>
  </si>
  <si>
    <t>B0CG2L2N1J</t>
  </si>
  <si>
    <t>B0BSP38B2S</t>
  </si>
  <si>
    <t>B076B63VJC</t>
  </si>
  <si>
    <t>B0C2SCGYD4</t>
  </si>
  <si>
    <t>B09WXLZZRX</t>
  </si>
  <si>
    <t>B07R8FQG58</t>
  </si>
  <si>
    <t>B0C2SH4J85</t>
  </si>
  <si>
    <t>B087CMLT8J</t>
  </si>
  <si>
    <t>B076XMGV8M</t>
  </si>
  <si>
    <t>B07Y8Y19GR</t>
  </si>
  <si>
    <t>B08QDRP99J</t>
  </si>
  <si>
    <t>B08QDZLP2G</t>
  </si>
  <si>
    <t>B07G8GGRNT</t>
  </si>
  <si>
    <t>B0B9HVBQ4F</t>
  </si>
  <si>
    <t>B0BSJ4RLWX</t>
  </si>
  <si>
    <t>B0923BYLMS</t>
  </si>
  <si>
    <t>B0BFJVZYN5</t>
  </si>
  <si>
    <t>B07MTTWGWJ</t>
  </si>
  <si>
    <t>B0BJ1BRV7Z</t>
  </si>
  <si>
    <t>Name</t>
  </si>
  <si>
    <t>Units 28 Days</t>
  </si>
  <si>
    <t>Daily Units</t>
  </si>
  <si>
    <t>Actual Ad Spend</t>
  </si>
  <si>
    <t>Expected Budget</t>
  </si>
  <si>
    <t>1.2X</t>
  </si>
  <si>
    <t>Responsible</t>
  </si>
  <si>
    <t xml:space="preserve">Comments </t>
  </si>
  <si>
    <t xml:space="preserve">Review </t>
  </si>
  <si>
    <t>Micro Ingredients</t>
  </si>
  <si>
    <t>NatureBell</t>
  </si>
  <si>
    <t>Deal Supplement</t>
  </si>
  <si>
    <t>花費2.5/unit有點高, KW不夠花, 主詞拿到11%左右IS, 縮減廣告力度下調top40; PT下調top40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</si>
</sst>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quot;$&quot;* #,##0.0_);_(&quot;$&quot;* \(#,##0.0\);_(&quot;$&quot;* &quot;-&quot;??_);_(@_)"/>
    <numFmt numFmtId="170" formatCode="&quot;$&quot;#,##0.00"/>
  </numFmts>
  <fonts count="14">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charset val="1"/>
      <scheme val="minor"/>
    </font>
    <font>
      <sz val="11"/>
      <color rgb="FF000000"/>
      <name val="Calibri"/>
      <family val="2"/>
      <charset val="1"/>
      <scheme val="minor"/>
    </font>
    <font>
      <b/>
      <sz val="11"/>
      <color rgb="FFFF0000"/>
      <name val="Calibri"/>
      <family val="2"/>
      <scheme val="minor"/>
    </font>
    <font>
      <sz val="8"/>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theme="7" tint="0.59999389629810485"/>
        <bgColor indexed="64"/>
      </patternFill>
    </fill>
  </fills>
  <borders count="39">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thin">
        <color rgb="FF4472C4"/>
      </left>
      <right style="medium">
        <color indexed="64"/>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thin">
        <color rgb="FF4472C4"/>
      </left>
      <right style="medium">
        <color indexed="64"/>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style="thin">
        <color rgb="FF4472C4"/>
      </left>
      <right style="medium">
        <color indexed="64"/>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62">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2" fillId="0" borderId="0" xfId="2" applyNumberFormat="1" applyFont="1" applyAlignment="1">
      <alignment horizontal="center"/>
    </xf>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164" fontId="0" fillId="0" borderId="0" xfId="2" applyNumberFormat="1" applyFont="1" applyAlignment="1">
      <alignment horizontal="left"/>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0" fillId="4" borderId="0" xfId="0" applyFill="1"/>
    <xf numFmtId="0" fontId="0" fillId="5" borderId="0" xfId="0" applyFill="1"/>
    <xf numFmtId="0" fontId="0" fillId="2" borderId="0" xfId="0" applyFill="1"/>
    <xf numFmtId="0" fontId="0" fillId="6" borderId="0" xfId="0" applyFill="1"/>
    <xf numFmtId="0" fontId="0" fillId="7" borderId="0" xfId="0" applyFill="1"/>
    <xf numFmtId="0" fontId="0" fillId="8" borderId="0" xfId="0" applyFill="1"/>
    <xf numFmtId="10" fontId="0" fillId="4" borderId="0" xfId="1" applyNumberFormat="1" applyFont="1" applyFill="1"/>
    <xf numFmtId="10" fontId="0" fillId="5" borderId="0" xfId="1" applyNumberFormat="1" applyFont="1" applyFill="1"/>
    <xf numFmtId="10" fontId="0" fillId="2" borderId="0" xfId="1" applyNumberFormat="1" applyFont="1" applyFill="1"/>
    <xf numFmtId="10" fontId="0" fillId="6" borderId="0" xfId="1" applyNumberFormat="1" applyFont="1" applyFill="1"/>
    <xf numFmtId="10" fontId="0" fillId="7" borderId="0" xfId="1" applyNumberFormat="1" applyFont="1" applyFill="1"/>
    <xf numFmtId="10" fontId="0" fillId="8" borderId="0" xfId="1" applyNumberFormat="1" applyFont="1" applyFill="1"/>
    <xf numFmtId="0" fontId="0" fillId="9" borderId="0" xfId="0" applyFill="1"/>
    <xf numFmtId="10" fontId="0" fillId="9" borderId="0" xfId="1" applyNumberFormat="1" applyFont="1" applyFill="1"/>
    <xf numFmtId="0" fontId="10" fillId="0" borderId="0" xfId="0" applyFont="1"/>
    <xf numFmtId="0" fontId="7" fillId="0" borderId="0" xfId="0" applyFont="1" applyAlignment="1">
      <alignment vertical="justify"/>
    </xf>
    <xf numFmtId="0" fontId="11" fillId="0" borderId="0" xfId="0" applyFont="1" applyAlignment="1">
      <alignment vertical="center"/>
    </xf>
    <xf numFmtId="0" fontId="10" fillId="0" borderId="0" xfId="0" applyFont="1" applyAlignment="1">
      <alignment vertical="center"/>
    </xf>
    <xf numFmtId="0" fontId="8" fillId="0" borderId="5" xfId="0" applyFont="1" applyBorder="1"/>
    <xf numFmtId="0" fontId="8" fillId="0" borderId="6" xfId="0" applyFont="1" applyBorder="1"/>
    <xf numFmtId="0" fontId="8" fillId="10" borderId="2" xfId="0" applyFont="1" applyFill="1" applyBorder="1"/>
    <xf numFmtId="8" fontId="9" fillId="10"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10" borderId="12" xfId="0" applyFont="1" applyFill="1" applyBorder="1"/>
    <xf numFmtId="8" fontId="9" fillId="10" borderId="13" xfId="0" applyNumberFormat="1" applyFont="1" applyFill="1" applyBorder="1"/>
    <xf numFmtId="0" fontId="8" fillId="11" borderId="15" xfId="0" applyFont="1" applyFill="1" applyBorder="1"/>
    <xf numFmtId="8" fontId="9" fillId="11" borderId="16" xfId="0" applyNumberFormat="1" applyFont="1" applyFill="1" applyBorder="1"/>
    <xf numFmtId="0" fontId="8" fillId="0" borderId="0" xfId="0" applyFont="1"/>
    <xf numFmtId="0" fontId="9" fillId="10" borderId="7" xfId="0" applyFont="1" applyFill="1" applyBorder="1"/>
    <xf numFmtId="0" fontId="9" fillId="0" borderId="10" xfId="0" applyFont="1" applyBorder="1"/>
    <xf numFmtId="0" fontId="9" fillId="10" borderId="13" xfId="0" applyFont="1" applyFill="1" applyBorder="1"/>
    <xf numFmtId="0" fontId="9" fillId="11" borderId="16" xfId="0" applyFont="1" applyFill="1" applyBorder="1"/>
    <xf numFmtId="0" fontId="8" fillId="10" borderId="18" xfId="0" applyFont="1" applyFill="1" applyBorder="1"/>
    <xf numFmtId="10" fontId="9" fillId="10" borderId="7" xfId="0" applyNumberFormat="1" applyFont="1" applyFill="1" applyBorder="1"/>
    <xf numFmtId="0" fontId="8" fillId="0" borderId="19" xfId="0" applyFont="1" applyBorder="1"/>
    <xf numFmtId="10" fontId="9" fillId="0" borderId="10" xfId="0" applyNumberFormat="1" applyFont="1" applyBorder="1"/>
    <xf numFmtId="0" fontId="8" fillId="10" borderId="20" xfId="0" applyFont="1" applyFill="1" applyBorder="1"/>
    <xf numFmtId="10" fontId="9" fillId="10" borderId="13" xfId="0" applyNumberFormat="1" applyFont="1" applyFill="1" applyBorder="1"/>
    <xf numFmtId="0" fontId="8" fillId="11" borderId="21" xfId="0" applyFont="1" applyFill="1" applyBorder="1"/>
    <xf numFmtId="10" fontId="9" fillId="11" borderId="16"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10" borderId="22" xfId="0" applyFont="1" applyFill="1" applyBorder="1"/>
    <xf numFmtId="3" fontId="9" fillId="10" borderId="23" xfId="0" applyNumberFormat="1" applyFont="1" applyFill="1" applyBorder="1"/>
    <xf numFmtId="0" fontId="8" fillId="0" borderId="24" xfId="0" applyFont="1" applyBorder="1"/>
    <xf numFmtId="3" fontId="9" fillId="0" borderId="25" xfId="0" applyNumberFormat="1" applyFont="1" applyBorder="1"/>
    <xf numFmtId="0" fontId="8" fillId="10" borderId="24" xfId="0" applyFont="1" applyFill="1" applyBorder="1"/>
    <xf numFmtId="3" fontId="9" fillId="10" borderId="25" xfId="0" applyNumberFormat="1" applyFont="1" applyFill="1" applyBorder="1"/>
    <xf numFmtId="0" fontId="8" fillId="11" borderId="24" xfId="0" applyFont="1" applyFill="1" applyBorder="1"/>
    <xf numFmtId="3" fontId="9" fillId="11" borderId="25" xfId="0" applyNumberFormat="1" applyFont="1" applyFill="1" applyBorder="1"/>
    <xf numFmtId="0" fontId="7" fillId="0" borderId="26" xfId="0" applyFont="1" applyBorder="1"/>
    <xf numFmtId="0" fontId="7" fillId="0" borderId="27" xfId="0" applyFont="1" applyBorder="1"/>
    <xf numFmtId="9" fontId="7" fillId="0" borderId="27" xfId="0" applyNumberFormat="1" applyFont="1" applyBorder="1"/>
    <xf numFmtId="8" fontId="9" fillId="10" borderId="2" xfId="0" applyNumberFormat="1" applyFont="1" applyFill="1" applyBorder="1"/>
    <xf numFmtId="8" fontId="9" fillId="0" borderId="9" xfId="0" applyNumberFormat="1" applyFont="1" applyBorder="1"/>
    <xf numFmtId="8" fontId="9" fillId="10" borderId="12" xfId="0" applyNumberFormat="1" applyFont="1" applyFill="1" applyBorder="1"/>
    <xf numFmtId="8" fontId="9" fillId="11" borderId="15" xfId="0" applyNumberFormat="1" applyFont="1" applyFill="1" applyBorder="1"/>
    <xf numFmtId="10" fontId="9" fillId="10" borderId="2" xfId="0" applyNumberFormat="1" applyFont="1" applyFill="1" applyBorder="1"/>
    <xf numFmtId="10" fontId="9" fillId="10" borderId="8" xfId="0" applyNumberFormat="1" applyFont="1" applyFill="1" applyBorder="1"/>
    <xf numFmtId="10" fontId="9" fillId="0" borderId="9" xfId="0" applyNumberFormat="1" applyFont="1" applyBorder="1"/>
    <xf numFmtId="10" fontId="9" fillId="0" borderId="11" xfId="0" applyNumberFormat="1" applyFont="1" applyBorder="1"/>
    <xf numFmtId="10" fontId="9" fillId="10" borderId="12" xfId="0" applyNumberFormat="1" applyFont="1" applyFill="1" applyBorder="1"/>
    <xf numFmtId="10" fontId="9" fillId="10" borderId="14" xfId="0" applyNumberFormat="1" applyFont="1" applyFill="1" applyBorder="1"/>
    <xf numFmtId="10" fontId="9" fillId="11" borderId="15" xfId="0" applyNumberFormat="1" applyFont="1" applyFill="1" applyBorder="1"/>
    <xf numFmtId="10" fontId="9" fillId="11" borderId="17" xfId="0" applyNumberFormat="1" applyFont="1" applyFill="1" applyBorder="1"/>
    <xf numFmtId="3" fontId="9" fillId="10" borderId="28" xfId="0" applyNumberFormat="1" applyFont="1" applyFill="1" applyBorder="1"/>
    <xf numFmtId="3" fontId="9" fillId="0" borderId="29" xfId="0" applyNumberFormat="1" applyFont="1" applyBorder="1"/>
    <xf numFmtId="3" fontId="9" fillId="10" borderId="29" xfId="0" applyNumberFormat="1" applyFont="1" applyFill="1" applyBorder="1"/>
    <xf numFmtId="3" fontId="9" fillId="11" borderId="29" xfId="0" applyNumberFormat="1" applyFont="1" applyFill="1" applyBorder="1"/>
    <xf numFmtId="9" fontId="7" fillId="0" borderId="30" xfId="0" applyNumberFormat="1" applyFont="1" applyBorder="1"/>
    <xf numFmtId="3" fontId="9" fillId="10" borderId="31" xfId="0" applyNumberFormat="1" applyFont="1" applyFill="1" applyBorder="1"/>
    <xf numFmtId="3" fontId="9" fillId="0" borderId="32" xfId="0" applyNumberFormat="1" applyFont="1" applyBorder="1"/>
    <xf numFmtId="3" fontId="9" fillId="10" borderId="32" xfId="0" applyNumberFormat="1" applyFont="1" applyFill="1" applyBorder="1"/>
    <xf numFmtId="9" fontId="7" fillId="0" borderId="33" xfId="0" applyNumberFormat="1" applyFont="1" applyBorder="1"/>
    <xf numFmtId="3" fontId="9" fillId="10" borderId="34" xfId="0" applyNumberFormat="1" applyFont="1" applyFill="1" applyBorder="1"/>
    <xf numFmtId="3" fontId="9" fillId="10" borderId="35" xfId="0" applyNumberFormat="1" applyFont="1" applyFill="1" applyBorder="1"/>
    <xf numFmtId="3" fontId="9" fillId="0" borderId="36" xfId="0" applyNumberFormat="1" applyFont="1" applyBorder="1"/>
    <xf numFmtId="3" fontId="9" fillId="10" borderId="36" xfId="0" applyNumberFormat="1" applyFont="1" applyFill="1" applyBorder="1"/>
    <xf numFmtId="3" fontId="9" fillId="11" borderId="36" xfId="0" applyNumberFormat="1" applyFont="1" applyFill="1" applyBorder="1"/>
    <xf numFmtId="9" fontId="7" fillId="0" borderId="37" xfId="0" applyNumberFormat="1" applyFont="1" applyBorder="1"/>
    <xf numFmtId="9" fontId="7" fillId="0" borderId="38" xfId="0" applyNumberFormat="1" applyFont="1" applyBorder="1"/>
    <xf numFmtId="44" fontId="9" fillId="10" borderId="8" xfId="2" applyFont="1" applyFill="1" applyBorder="1"/>
    <xf numFmtId="43" fontId="9" fillId="10" borderId="8" xfId="3" applyFont="1" applyFill="1" applyBorder="1"/>
    <xf numFmtId="44" fontId="9" fillId="0" borderId="11" xfId="2" applyFont="1" applyBorder="1"/>
    <xf numFmtId="44" fontId="9" fillId="10" borderId="14" xfId="2" applyFont="1" applyFill="1" applyBorder="1"/>
    <xf numFmtId="44" fontId="9" fillId="11" borderId="17" xfId="2" applyFont="1" applyFill="1" applyBorder="1"/>
    <xf numFmtId="169" fontId="9" fillId="0" borderId="11" xfId="2" applyNumberFormat="1" applyFont="1" applyBorder="1"/>
    <xf numFmtId="169" fontId="9" fillId="10" borderId="14" xfId="2" applyNumberFormat="1" applyFont="1" applyFill="1" applyBorder="1"/>
    <xf numFmtId="169" fontId="9" fillId="11" borderId="17" xfId="2" applyNumberFormat="1" applyFont="1" applyFill="1" applyBorder="1"/>
    <xf numFmtId="164" fontId="4" fillId="0" borderId="0" xfId="2" applyNumberFormat="1" applyFont="1"/>
    <xf numFmtId="164" fontId="12"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3" applyNumberFormat="1" applyFont="1"/>
    <xf numFmtId="44" fontId="0" fillId="0" borderId="0" xfId="0" applyNumberFormat="1"/>
    <xf numFmtId="170" fontId="2" fillId="2" borderId="0" xfId="0" applyNumberFormat="1" applyFont="1" applyFill="1" applyAlignment="1">
      <alignment horizontal="center"/>
    </xf>
    <xf numFmtId="170" fontId="0" fillId="0" borderId="0" xfId="0" applyNumberFormat="1"/>
    <xf numFmtId="0" fontId="4" fillId="0" borderId="0" xfId="0" applyFont="1"/>
    <xf numFmtId="0" fontId="12" fillId="2" borderId="0" xfId="0" applyFont="1" applyFill="1" applyAlignment="1">
      <alignment horizontal="center"/>
    </xf>
    <xf numFmtId="0" fontId="4" fillId="0" borderId="0" xfId="0" applyFont="1" applyAlignment="1">
      <alignment horizontal="left" vertical="top"/>
    </xf>
    <xf numFmtId="0" fontId="4" fillId="12" borderId="0" xfId="0" applyFont="1" applyFill="1"/>
    <xf numFmtId="167" fontId="7" fillId="0" borderId="0" xfId="3" applyNumberFormat="1" applyFont="1" applyAlignment="1">
      <alignment vertical="center"/>
    </xf>
    <xf numFmtId="4" fontId="4" fillId="0" borderId="0" xfId="2" applyNumberFormat="1" applyFont="1"/>
    <xf numFmtId="4" fontId="12" fillId="0" borderId="0" xfId="2" applyNumberFormat="1" applyFont="1"/>
    <xf numFmtId="0" fontId="2" fillId="3" borderId="0" xfId="0" applyFont="1" applyFill="1"/>
    <xf numFmtId="0" fontId="10" fillId="0" borderId="0" xfId="0" applyFont="1" applyAlignment="1">
      <alignment horizontal="left" vertical="center"/>
    </xf>
    <xf numFmtId="0" fontId="7" fillId="0" borderId="0" xfId="0" applyFont="1" applyAlignment="1">
      <alignment horizontal="left" vertical="justify"/>
    </xf>
    <xf numFmtId="44" fontId="0" fillId="0" borderId="0" xfId="2" applyFont="1"/>
    <xf numFmtId="0" fontId="0" fillId="13" borderId="0" xfId="0" applyFill="1"/>
    <xf numFmtId="10" fontId="0" fillId="13" borderId="0" xfId="1" applyNumberFormat="1" applyFont="1" applyFill="1"/>
    <xf numFmtId="164" fontId="4" fillId="0" borderId="0" xfId="2" applyNumberFormat="1" applyFont="1" applyBorder="1"/>
    <xf numFmtId="0" fontId="2" fillId="0" borderId="0" xfId="0" applyFont="1" applyAlignment="1">
      <alignment horizontal="center"/>
    </xf>
    <xf numFmtId="17" fontId="2" fillId="0" borderId="0" xfId="0" applyNumberFormat="1" applyFont="1" applyAlignment="1">
      <alignment horizontal="center"/>
    </xf>
    <xf numFmtId="0" fontId="0" fillId="0" borderId="0" xfId="0"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C7C8F"/>
      <color rgb="FFFF0066"/>
      <color rgb="FFFFF3F3"/>
      <color rgb="FFFF993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TCOS'!$B$36:$AC$36</c:f>
              <c:strCache>
                <c:ptCount val="2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strCache>
            </c:strRef>
          </c:cat>
          <c:val>
            <c:numRef>
              <c:f>'ACOS &amp; TCOS'!$B$37:$AC$37</c:f>
              <c:numCache>
                <c:formatCode>#,##0</c:formatCode>
                <c:ptCount val="28"/>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pt idx="27">
                  <c:v>683843</c:v>
                </c:pt>
              </c:numCache>
            </c:numRef>
          </c:val>
          <c:smooth val="0"/>
          <c:extLst>
            <c:ext xmlns:c16="http://schemas.microsoft.com/office/drawing/2014/chart" uri="{C3380CC4-5D6E-409C-BE32-E72D297353CC}">
              <c16:uniqueId val="{00000000-03C5-4E34-BFB7-9A35A14DE10F}"/>
            </c:ext>
          </c:extLst>
        </c:ser>
        <c:ser>
          <c:idx val="1"/>
          <c:order val="1"/>
          <c:tx>
            <c:strRef>
              <c:f>'ACOS &amp; TCOS'!$A$38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TCOS'!$B$36:$AC$36</c:f>
              <c:strCache>
                <c:ptCount val="2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strCache>
            </c:strRef>
          </c:cat>
          <c:val>
            <c:numRef>
              <c:f>'ACOS &amp; TCOS'!$B$38:$AC$38</c:f>
              <c:numCache>
                <c:formatCode>#,##0</c:formatCode>
                <c:ptCount val="28"/>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pt idx="27">
                  <c:v>226754</c:v>
                </c:pt>
              </c:numCache>
            </c:numRef>
          </c:val>
          <c:smooth val="0"/>
          <c:extLst>
            <c:ext xmlns:c16="http://schemas.microsoft.com/office/drawing/2014/chart" uri="{C3380CC4-5D6E-409C-BE32-E72D297353CC}">
              <c16:uniqueId val="{00000001-03C5-4E34-BFB7-9A35A14DE10F}"/>
            </c:ext>
          </c:extLst>
        </c:ser>
        <c:ser>
          <c:idx val="2"/>
          <c:order val="2"/>
          <c:tx>
            <c:strRef>
              <c:f>'ACOS &amp; TCOS'!$A$39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TCOS'!$B$36:$AC$36</c:f>
              <c:strCache>
                <c:ptCount val="2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strCache>
            </c:strRef>
          </c:cat>
          <c:val>
            <c:numRef>
              <c:f>'ACOS &amp; TCOS'!$B$39:$AC$39</c:f>
              <c:numCache>
                <c:formatCode>#,##0</c:formatCode>
                <c:ptCount val="28"/>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pt idx="27">
                  <c:v>167429</c:v>
                </c:pt>
              </c:numCache>
            </c:numRef>
          </c:val>
          <c:smooth val="0"/>
          <c:extLst>
            <c:ext xmlns:c16="http://schemas.microsoft.com/office/drawing/2014/chart" uri="{C3380CC4-5D6E-409C-BE32-E72D297353CC}">
              <c16:uniqueId val="{00000002-03C5-4E34-BFB7-9A35A14DE10F}"/>
            </c:ext>
          </c:extLst>
        </c:ser>
        <c:ser>
          <c:idx val="3"/>
          <c:order val="3"/>
          <c:tx>
            <c:strRef>
              <c:f>'ACOS &amp; TCOS'!$A$40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TCOS'!$B$36:$AC$36</c:f>
              <c:strCache>
                <c:ptCount val="2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strCache>
            </c:strRef>
          </c:cat>
          <c:val>
            <c:numRef>
              <c:f>'ACOS &amp; TCOS'!$B$40:$AC$40</c:f>
              <c:numCache>
                <c:formatCode>#,##0</c:formatCode>
                <c:ptCount val="28"/>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pt idx="27">
                  <c:v>1078026</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944537749216404E-2"/>
          <c:y val="8.115657659416417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CVR!$A$432:$P$432</c:f>
              <c:strCache>
                <c:ptCount val="16"/>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strCache>
            </c:strRef>
          </c:cat>
          <c:val>
            <c:numRef>
              <c:f>CVR!$A$433:$P$433</c:f>
              <c:numCache>
                <c:formatCode>0.00%</c:formatCode>
                <c:ptCount val="16"/>
                <c:pt idx="0">
                  <c:v>0.23766867074810491</c:v>
                </c:pt>
                <c:pt idx="1">
                  <c:v>0.23512254466103483</c:v>
                </c:pt>
                <c:pt idx="2">
                  <c:v>0.22321587377192004</c:v>
                </c:pt>
                <c:pt idx="3">
                  <c:v>0.22286411108917126</c:v>
                </c:pt>
                <c:pt idx="4">
                  <c:v>0.23518985959503899</c:v>
                </c:pt>
                <c:pt idx="5">
                  <c:v>0.2284846065729291</c:v>
                </c:pt>
                <c:pt idx="6">
                  <c:v>0.25431799544130079</c:v>
                </c:pt>
                <c:pt idx="7">
                  <c:v>0.25263021906879796</c:v>
                </c:pt>
                <c:pt idx="8">
                  <c:v>0.27559785699320583</c:v>
                </c:pt>
                <c:pt idx="9">
                  <c:v>0.28248952000158589</c:v>
                </c:pt>
                <c:pt idx="10">
                  <c:v>0.28460757844528012</c:v>
                </c:pt>
                <c:pt idx="11">
                  <c:v>0.26761354721576774</c:v>
                </c:pt>
                <c:pt idx="12">
                  <c:v>0.25655326446267845</c:v>
                </c:pt>
                <c:pt idx="13">
                  <c:v>0.26586442556975021</c:v>
                </c:pt>
                <c:pt idx="14">
                  <c:v>0.2691583864802044</c:v>
                </c:pt>
                <c:pt idx="15">
                  <c:v>0.2696972893725334</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442072</xdr:colOff>
      <xdr:row>44</xdr:row>
      <xdr:rowOff>49303</xdr:rowOff>
    </xdr:from>
    <xdr:to>
      <xdr:col>29</xdr:col>
      <xdr:colOff>280147</xdr:colOff>
      <xdr:row>95</xdr:row>
      <xdr:rowOff>89647</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119722</xdr:colOff>
      <xdr:row>439</xdr:row>
      <xdr:rowOff>2406</xdr:rowOff>
    </xdr:from>
    <xdr:to>
      <xdr:col>11</xdr:col>
      <xdr:colOff>1245914</xdr:colOff>
      <xdr:row>471</xdr:row>
      <xdr:rowOff>90934</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292"/>
  <sheetViews>
    <sheetView tabSelected="1" zoomScale="85" zoomScaleNormal="85" workbookViewId="0">
      <pane xSplit="2" ySplit="2" topLeftCell="C3" activePane="bottomRight" state="frozen"/>
      <selection pane="bottomRight" activeCell="W20" sqref="W20"/>
      <selection pane="bottomLeft" activeCell="A3" sqref="A3"/>
      <selection pane="topRight" activeCell="C1" sqref="C1"/>
    </sheetView>
  </sheetViews>
  <sheetFormatPr defaultRowHeight="15" customHeight="1"/>
  <cols>
    <col min="1" max="1" width="67.28515625" customWidth="1"/>
    <col min="2" max="2" width="14.28515625" customWidth="1"/>
    <col min="3" max="3" width="17.140625"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2.140625" style="149" customWidth="1"/>
    <col min="22" max="22" width="10.28515625" customWidth="1"/>
    <col min="23" max="23" width="15.85546875" customWidth="1"/>
    <col min="24" max="24" width="15.42578125" customWidth="1"/>
    <col min="25" max="25" width="9.7109375" customWidth="1"/>
    <col min="26" max="27" width="28.7109375" customWidth="1"/>
  </cols>
  <sheetData>
    <row r="1" spans="1:26" ht="14.45" customHeight="1">
      <c r="B1" s="159">
        <v>45717</v>
      </c>
      <c r="C1" s="158"/>
      <c r="E1" s="159">
        <v>45748</v>
      </c>
      <c r="F1" s="158"/>
      <c r="J1" s="160"/>
      <c r="K1" s="160"/>
      <c r="M1" s="161" t="s">
        <v>0</v>
      </c>
      <c r="N1" s="161"/>
      <c r="O1" s="1"/>
      <c r="Q1" s="10" t="s">
        <v>1</v>
      </c>
      <c r="R1" s="1"/>
      <c r="U1" s="158" t="s">
        <v>2</v>
      </c>
      <c r="V1" s="158"/>
      <c r="W1" s="158" t="s">
        <v>3</v>
      </c>
      <c r="X1" s="158"/>
    </row>
    <row r="2" spans="1:26">
      <c r="A2" s="3" t="s">
        <v>4</v>
      </c>
      <c r="B2" s="3" t="s">
        <v>5</v>
      </c>
      <c r="C2" s="3" t="s">
        <v>6</v>
      </c>
      <c r="E2" s="3" t="s">
        <v>5</v>
      </c>
      <c r="F2" s="3" t="s">
        <v>6</v>
      </c>
      <c r="G2" t="s">
        <v>7</v>
      </c>
      <c r="J2" t="s">
        <v>8</v>
      </c>
      <c r="K2" t="s">
        <v>9</v>
      </c>
      <c r="M2" t="s">
        <v>10</v>
      </c>
      <c r="N2" t="s">
        <v>11</v>
      </c>
      <c r="Q2" s="5" t="s">
        <v>12</v>
      </c>
      <c r="U2" s="149" t="s">
        <v>13</v>
      </c>
      <c r="V2" t="s">
        <v>9</v>
      </c>
      <c r="W2" t="s">
        <v>10</v>
      </c>
      <c r="X2" t="s">
        <v>11</v>
      </c>
      <c r="Y2" t="s">
        <v>9</v>
      </c>
      <c r="Z2" t="s">
        <v>14</v>
      </c>
    </row>
    <row r="3" spans="1:26" ht="13.9" customHeight="1">
      <c r="A3" t="s">
        <v>15</v>
      </c>
      <c r="B3" t="s">
        <v>16</v>
      </c>
      <c r="C3" s="29">
        <v>63523</v>
      </c>
      <c r="E3" t="s">
        <v>16</v>
      </c>
      <c r="F3" s="29">
        <v>84616</v>
      </c>
      <c r="G3" t="b">
        <f>IF(B3=E3,TRUE,FALSE)</f>
        <v>1</v>
      </c>
      <c r="J3">
        <f>F3-C3</f>
        <v>21093</v>
      </c>
      <c r="K3" s="4">
        <f>F3/C3-1</f>
        <v>0.33205295719660599</v>
      </c>
      <c r="M3" s="5">
        <v>56533.51</v>
      </c>
      <c r="N3" s="5">
        <v>43720.2</v>
      </c>
      <c r="Q3">
        <v>599197.04</v>
      </c>
      <c r="U3" s="149">
        <f>N3-M3</f>
        <v>-12813.310000000005</v>
      </c>
      <c r="V3" s="4">
        <f>IF(M3=0,0,N3/M3-1)</f>
        <v>-0.22664982237968245</v>
      </c>
      <c r="W3" s="18">
        <v>2211568.19</v>
      </c>
      <c r="X3" s="18">
        <v>2839892.63</v>
      </c>
      <c r="Y3" s="4">
        <f>X3/W3-1</f>
        <v>0.2841081015910254</v>
      </c>
      <c r="Z3" t="s">
        <v>17</v>
      </c>
    </row>
    <row r="4" spans="1:26" ht="13.9" customHeight="1">
      <c r="A4" t="s">
        <v>18</v>
      </c>
      <c r="B4" t="s">
        <v>19</v>
      </c>
      <c r="C4" s="29">
        <v>30213</v>
      </c>
      <c r="E4" t="s">
        <v>19</v>
      </c>
      <c r="F4" s="29">
        <v>45317</v>
      </c>
      <c r="G4" t="b">
        <f>IF(B4=E4,TRUE,FALSE)</f>
        <v>1</v>
      </c>
      <c r="J4">
        <f>F4-C4</f>
        <v>15104</v>
      </c>
      <c r="K4" s="4">
        <f>F4/C4-1</f>
        <v>0.49991725416211574</v>
      </c>
      <c r="M4" s="5">
        <v>35127.32</v>
      </c>
      <c r="N4" s="5">
        <v>47487.31</v>
      </c>
      <c r="Q4">
        <v>375910.48</v>
      </c>
      <c r="U4" s="149">
        <f>N4-M4</f>
        <v>12359.989999999998</v>
      </c>
      <c r="V4" s="4">
        <f>IF(M4=0,0,N4/M4-1)</f>
        <v>0.35186259583708623</v>
      </c>
      <c r="W4" s="18">
        <v>987680.72</v>
      </c>
      <c r="X4" s="18">
        <v>1431466.2000000002</v>
      </c>
      <c r="Y4" s="4">
        <f>X4/W4-1</f>
        <v>0.44932078860464153</v>
      </c>
      <c r="Z4" t="s">
        <v>20</v>
      </c>
    </row>
    <row r="5" spans="1:26" ht="13.9" customHeight="1">
      <c r="A5" t="s">
        <v>21</v>
      </c>
      <c r="B5" t="s">
        <v>22</v>
      </c>
      <c r="C5" s="29">
        <v>15222</v>
      </c>
      <c r="E5" t="s">
        <v>22</v>
      </c>
      <c r="F5" s="29">
        <v>23869</v>
      </c>
      <c r="G5" t="b">
        <f>IF(B5=E5,TRUE,FALSE)</f>
        <v>1</v>
      </c>
      <c r="J5">
        <f>F5-C5</f>
        <v>8647</v>
      </c>
      <c r="K5" s="4">
        <f>F5/C5-1</f>
        <v>0.56805938772828801</v>
      </c>
      <c r="M5" s="5">
        <v>2812.07</v>
      </c>
      <c r="N5" s="5">
        <v>7822.36</v>
      </c>
      <c r="Q5">
        <v>92627.76</v>
      </c>
      <c r="U5" s="149">
        <f>N5-M5</f>
        <v>5010.2899999999991</v>
      </c>
      <c r="V5" s="4">
        <f>IF(M5=0,0,N5/M5-1)</f>
        <v>1.7817088479305276</v>
      </c>
      <c r="W5" s="18">
        <v>541197.67000000004</v>
      </c>
      <c r="X5" s="18">
        <v>816635.41</v>
      </c>
      <c r="Y5" s="4">
        <f>X5/W5-1</f>
        <v>0.50894110464296705</v>
      </c>
      <c r="Z5" t="s">
        <v>23</v>
      </c>
    </row>
    <row r="6" spans="1:26">
      <c r="A6" s="56" t="s">
        <v>24</v>
      </c>
      <c r="B6" s="38" t="s">
        <v>25</v>
      </c>
      <c r="C6" s="29">
        <v>2033</v>
      </c>
      <c r="E6" s="38" t="s">
        <v>25</v>
      </c>
      <c r="F6" s="29">
        <v>7044</v>
      </c>
      <c r="G6" t="b">
        <f>IF(B6=E6,TRUE,FALSE)</f>
        <v>1</v>
      </c>
      <c r="J6">
        <f>F6-C6</f>
        <v>5011</v>
      </c>
      <c r="K6" s="4">
        <f>F6/C6-1</f>
        <v>2.4648303000491882</v>
      </c>
      <c r="M6" s="5">
        <v>1653.94</v>
      </c>
      <c r="N6" s="5">
        <v>3154.78</v>
      </c>
      <c r="Q6">
        <v>22754.32</v>
      </c>
      <c r="U6" s="149">
        <f>N6-M6</f>
        <v>1500.8400000000001</v>
      </c>
      <c r="V6" s="4">
        <f>IF(M6=0,0,N6/M6-1)</f>
        <v>0.9074331596067573</v>
      </c>
      <c r="W6" s="18">
        <v>24485.97</v>
      </c>
      <c r="X6" s="18">
        <v>165842.59</v>
      </c>
      <c r="Y6" s="4">
        <f>X6/W6-1</f>
        <v>5.7729638646130823</v>
      </c>
      <c r="Z6" t="s">
        <v>26</v>
      </c>
    </row>
    <row r="7" spans="1:26" ht="13.9" customHeight="1">
      <c r="A7" t="s">
        <v>27</v>
      </c>
      <c r="B7" t="s">
        <v>28</v>
      </c>
      <c r="C7" s="29">
        <v>17528</v>
      </c>
      <c r="E7" t="s">
        <v>28</v>
      </c>
      <c r="F7" s="29">
        <v>21800</v>
      </c>
      <c r="G7" t="b">
        <f>IF(B7=E7,TRUE,FALSE)</f>
        <v>1</v>
      </c>
      <c r="J7">
        <f>F7-C7</f>
        <v>4272</v>
      </c>
      <c r="K7" s="4">
        <f>F7/C7-1</f>
        <v>0.24372432679141953</v>
      </c>
      <c r="M7" s="5">
        <v>15382</v>
      </c>
      <c r="N7" s="5">
        <v>14815.63</v>
      </c>
      <c r="Q7">
        <v>129976.27</v>
      </c>
      <c r="U7" s="149">
        <f>N7-M7</f>
        <v>-566.3700000000008</v>
      </c>
      <c r="V7" s="4">
        <f>IF(M7=0,0,N7/M7-1)</f>
        <v>-3.6820309452606947E-2</v>
      </c>
      <c r="W7" s="18">
        <v>493749.76000000001</v>
      </c>
      <c r="X7" s="18">
        <v>607479.44999999995</v>
      </c>
      <c r="Y7" s="4">
        <f>X7/W7-1</f>
        <v>0.23033872462034188</v>
      </c>
      <c r="Z7" t="s">
        <v>29</v>
      </c>
    </row>
    <row r="8" spans="1:26" ht="14.45" customHeight="1">
      <c r="A8" t="s">
        <v>30</v>
      </c>
      <c r="B8" t="s">
        <v>31</v>
      </c>
      <c r="C8" s="29">
        <v>21473</v>
      </c>
      <c r="E8" t="s">
        <v>31</v>
      </c>
      <c r="F8" s="29">
        <v>24625</v>
      </c>
      <c r="G8" t="b">
        <f>IF(B8=E8,TRUE,FALSE)</f>
        <v>1</v>
      </c>
      <c r="J8">
        <f>F8-C8</f>
        <v>3152</v>
      </c>
      <c r="K8" s="4">
        <f>F8/C8-1</f>
        <v>0.14678899082568808</v>
      </c>
      <c r="M8" s="5">
        <v>26809.77</v>
      </c>
      <c r="N8" s="5">
        <v>19415.009999999998</v>
      </c>
      <c r="Q8">
        <v>115323.51</v>
      </c>
      <c r="U8" s="149">
        <f>N8-M8</f>
        <v>-7394.760000000002</v>
      </c>
      <c r="V8" s="4">
        <f>IF(M8=0,0,N8/M8-1)</f>
        <v>-0.27582332858506442</v>
      </c>
      <c r="W8" s="18">
        <v>507100.39</v>
      </c>
      <c r="X8" s="18">
        <v>570569.32999999996</v>
      </c>
      <c r="Y8" s="4">
        <f>X8/W8-1</f>
        <v>0.12516050322895622</v>
      </c>
      <c r="Z8" t="s">
        <v>32</v>
      </c>
    </row>
    <row r="9" spans="1:26" ht="13.9" customHeight="1">
      <c r="A9" t="s">
        <v>33</v>
      </c>
      <c r="B9" t="s">
        <v>34</v>
      </c>
      <c r="C9" s="29">
        <v>2591</v>
      </c>
      <c r="E9" t="s">
        <v>34</v>
      </c>
      <c r="F9" s="29">
        <v>4745</v>
      </c>
      <c r="G9" t="b">
        <f>IF(B9=E9,TRUE,FALSE)</f>
        <v>1</v>
      </c>
      <c r="J9">
        <f>F9-C9</f>
        <v>2154</v>
      </c>
      <c r="K9" s="4">
        <f>F9/C9-1</f>
        <v>0.83133925125434205</v>
      </c>
      <c r="M9" s="5">
        <v>3122.3</v>
      </c>
      <c r="N9" s="5">
        <v>3522.7</v>
      </c>
      <c r="Q9">
        <v>28148.54</v>
      </c>
      <c r="U9" s="149">
        <f>N9-M9</f>
        <v>400.39999999999964</v>
      </c>
      <c r="V9" s="4">
        <f>IF(M9=0,0,N9/M9-1)</f>
        <v>0.12823879832174989</v>
      </c>
      <c r="W9" s="18">
        <v>77600.490000000005</v>
      </c>
      <c r="X9" s="18">
        <v>145164.87</v>
      </c>
      <c r="Y9" s="4">
        <f>X9/W9-1</f>
        <v>0.870669502215772</v>
      </c>
      <c r="Z9" s="144" t="s">
        <v>35</v>
      </c>
    </row>
    <row r="10" spans="1:26" ht="13.9" customHeight="1">
      <c r="A10" t="s">
        <v>36</v>
      </c>
      <c r="B10" t="s">
        <v>37</v>
      </c>
      <c r="C10" s="29">
        <v>2145</v>
      </c>
      <c r="E10" t="s">
        <v>37</v>
      </c>
      <c r="F10" s="29">
        <v>3932</v>
      </c>
      <c r="G10" t="b">
        <f>IF(B10=E10,TRUE,FALSE)</f>
        <v>1</v>
      </c>
      <c r="J10">
        <f>F10-C10</f>
        <v>1787</v>
      </c>
      <c r="K10" s="4">
        <f>F10/C10-1</f>
        <v>0.83310023310023307</v>
      </c>
      <c r="M10" s="5">
        <v>2346.86</v>
      </c>
      <c r="N10" s="5">
        <v>2531.14</v>
      </c>
      <c r="Q10">
        <v>24802.38</v>
      </c>
      <c r="U10" s="149">
        <f>N10-M10</f>
        <v>184.27999999999975</v>
      </c>
      <c r="V10" s="4">
        <f>IF(M10=0,0,N10/M10-1)</f>
        <v>7.8521939953810405E-2</v>
      </c>
      <c r="W10" s="18">
        <v>39453.56</v>
      </c>
      <c r="X10" s="18">
        <v>69920.7</v>
      </c>
      <c r="Y10" s="4">
        <f>X10/W10-1</f>
        <v>0.77222790541588648</v>
      </c>
      <c r="Z10" s="144" t="s">
        <v>35</v>
      </c>
    </row>
    <row r="11" spans="1:26" ht="13.9" customHeight="1">
      <c r="A11" t="s">
        <v>38</v>
      </c>
      <c r="B11" t="s">
        <v>39</v>
      </c>
      <c r="C11" s="29">
        <v>893</v>
      </c>
      <c r="E11" t="s">
        <v>39</v>
      </c>
      <c r="F11" s="29">
        <v>2422</v>
      </c>
      <c r="G11" t="b">
        <f>IF(B11=E11,TRUE,FALSE)</f>
        <v>1</v>
      </c>
      <c r="J11">
        <f>F11-C11</f>
        <v>1529</v>
      </c>
      <c r="K11" s="4">
        <f>F11/C11-1</f>
        <v>1.7122060470324749</v>
      </c>
      <c r="M11" s="5">
        <v>2118.71</v>
      </c>
      <c r="N11" s="5">
        <v>4762.29</v>
      </c>
      <c r="Q11">
        <v>35546.800000000003</v>
      </c>
      <c r="U11" s="149">
        <f>N11-M11</f>
        <v>2643.58</v>
      </c>
      <c r="V11" s="4">
        <f>IF(M11=0,0,N11/M11-1)</f>
        <v>1.2477309306134394</v>
      </c>
      <c r="W11" s="18">
        <v>25859.08</v>
      </c>
      <c r="X11" s="18">
        <v>70212.45</v>
      </c>
      <c r="Y11" s="4">
        <f>X11/W11-1</f>
        <v>1.7151952041603953</v>
      </c>
      <c r="Z11" t="s">
        <v>40</v>
      </c>
    </row>
    <row r="12" spans="1:26" ht="13.9" customHeight="1">
      <c r="A12" s="58" t="s">
        <v>41</v>
      </c>
      <c r="B12" s="38" t="s">
        <v>42</v>
      </c>
      <c r="C12" s="29">
        <v>2649</v>
      </c>
      <c r="E12" s="38" t="s">
        <v>42</v>
      </c>
      <c r="F12" s="29">
        <v>4155</v>
      </c>
      <c r="G12" t="b">
        <f>IF(B12=E12,TRUE,FALSE)</f>
        <v>1</v>
      </c>
      <c r="J12">
        <f>F12-C12</f>
        <v>1506</v>
      </c>
      <c r="K12" s="4">
        <f>F12/C12-1</f>
        <v>0.56851642129105318</v>
      </c>
      <c r="M12" s="5">
        <v>2963.49</v>
      </c>
      <c r="N12" s="5">
        <v>4120.8500000000004</v>
      </c>
      <c r="Q12">
        <v>27776.440000000002</v>
      </c>
      <c r="U12" s="149">
        <f>N12-M12</f>
        <v>1157.3600000000006</v>
      </c>
      <c r="V12" s="4">
        <f>IF(M12=0,0,N12/M12-1)</f>
        <v>0.39053953278060693</v>
      </c>
      <c r="W12" s="18">
        <v>48651.51</v>
      </c>
      <c r="X12" s="18">
        <v>102346.45</v>
      </c>
      <c r="Y12" s="4">
        <f>X12/W12-1</f>
        <v>1.1036644083606038</v>
      </c>
      <c r="Z12" t="s">
        <v>43</v>
      </c>
    </row>
    <row r="13" spans="1:26" ht="13.9" customHeight="1">
      <c r="A13" t="s">
        <v>44</v>
      </c>
      <c r="B13" t="s">
        <v>45</v>
      </c>
      <c r="C13" s="29">
        <v>24023</v>
      </c>
      <c r="E13" t="s">
        <v>45</v>
      </c>
      <c r="F13" s="29">
        <v>25294</v>
      </c>
      <c r="G13" t="b">
        <f>IF(B13=E13,TRUE,FALSE)</f>
        <v>1</v>
      </c>
      <c r="J13">
        <f>F13-C13</f>
        <v>1271</v>
      </c>
      <c r="K13" s="4">
        <f>F13/C13-1</f>
        <v>5.2907630187736698E-2</v>
      </c>
      <c r="M13" s="5">
        <v>16180.69</v>
      </c>
      <c r="N13" s="5">
        <v>13364.16</v>
      </c>
      <c r="Q13">
        <v>137734.70000000001</v>
      </c>
      <c r="U13" s="149">
        <f>N13-M13</f>
        <v>-2816.5300000000007</v>
      </c>
      <c r="V13" s="4">
        <f>IF(M13=0,0,N13/M13-1)</f>
        <v>-0.17406736053901295</v>
      </c>
      <c r="W13" s="18">
        <v>1167937.75</v>
      </c>
      <c r="X13" s="18">
        <v>1221355.3700000001</v>
      </c>
      <c r="Y13" s="4">
        <f>X13/W13-1</f>
        <v>4.5736701292513393E-2</v>
      </c>
      <c r="Z13" t="s">
        <v>46</v>
      </c>
    </row>
    <row r="14" spans="1:26" ht="13.9" customHeight="1">
      <c r="A14" s="56" t="s">
        <v>47</v>
      </c>
      <c r="B14" s="38" t="s">
        <v>48</v>
      </c>
      <c r="C14" s="29">
        <v>1126</v>
      </c>
      <c r="E14" s="38" t="s">
        <v>48</v>
      </c>
      <c r="F14" s="29">
        <v>2394</v>
      </c>
      <c r="G14" t="b">
        <f>IF(B14=E14,TRUE,FALSE)</f>
        <v>1</v>
      </c>
      <c r="J14">
        <f>F14-C14</f>
        <v>1268</v>
      </c>
      <c r="K14" s="4">
        <f>F14/C14-1</f>
        <v>1.1261101243339255</v>
      </c>
      <c r="M14" s="5">
        <v>1019.13</v>
      </c>
      <c r="N14" s="5">
        <v>963.14</v>
      </c>
      <c r="Q14">
        <v>5048.18</v>
      </c>
      <c r="U14" s="149">
        <f>N14-M14</f>
        <v>-55.990000000000009</v>
      </c>
      <c r="V14" s="4">
        <f>IF(M14=0,0,N14/M14-1)</f>
        <v>-5.4939016612208458E-2</v>
      </c>
      <c r="W14" s="18">
        <v>11248.74</v>
      </c>
      <c r="X14" s="18">
        <v>28978.06</v>
      </c>
      <c r="Y14" s="4">
        <f>X14/W14-1</f>
        <v>1.5761160805565781</v>
      </c>
      <c r="Z14" s="144" t="s">
        <v>35</v>
      </c>
    </row>
    <row r="15" spans="1:26" ht="13.9" customHeight="1">
      <c r="A15" t="s">
        <v>49</v>
      </c>
      <c r="B15" t="s">
        <v>50</v>
      </c>
      <c r="C15" s="29">
        <v>2610</v>
      </c>
      <c r="E15" t="s">
        <v>50</v>
      </c>
      <c r="F15" s="29">
        <v>3766</v>
      </c>
      <c r="G15" t="b">
        <f>IF(B15=E15,TRUE,FALSE)</f>
        <v>1</v>
      </c>
      <c r="J15">
        <f>F15-C15</f>
        <v>1156</v>
      </c>
      <c r="K15" s="4">
        <f>F15/C15-1</f>
        <v>0.44291187739463611</v>
      </c>
      <c r="M15" s="5">
        <v>2070.46</v>
      </c>
      <c r="N15" s="5">
        <v>3302.5</v>
      </c>
      <c r="Q15">
        <v>17682.02</v>
      </c>
      <c r="U15" s="149">
        <f>N15-M15</f>
        <v>1232.04</v>
      </c>
      <c r="V15" s="4">
        <f>IF(M15=0,0,N15/M15-1)</f>
        <v>0.59505617109241427</v>
      </c>
      <c r="W15" s="18">
        <v>74442.92</v>
      </c>
      <c r="X15" s="18">
        <v>112810.32</v>
      </c>
      <c r="Y15" s="4">
        <f>X15/W15-1</f>
        <v>0.51539353910351737</v>
      </c>
      <c r="Z15" t="s">
        <v>51</v>
      </c>
    </row>
    <row r="16" spans="1:26" ht="13.9" customHeight="1">
      <c r="A16" t="s">
        <v>52</v>
      </c>
      <c r="B16" t="s">
        <v>53</v>
      </c>
      <c r="C16" s="29">
        <v>57</v>
      </c>
      <c r="E16" t="s">
        <v>53</v>
      </c>
      <c r="F16" s="29">
        <v>1160</v>
      </c>
      <c r="G16" t="b">
        <f>IF(B16=E16,TRUE,FALSE)</f>
        <v>1</v>
      </c>
      <c r="J16">
        <f>F16-C16</f>
        <v>1103</v>
      </c>
      <c r="K16" s="4">
        <f>F16/C16-1</f>
        <v>19.350877192982455</v>
      </c>
      <c r="M16" s="5">
        <v>0</v>
      </c>
      <c r="N16" s="5">
        <v>1794.79</v>
      </c>
      <c r="Q16">
        <v>14979.73</v>
      </c>
      <c r="U16" s="149">
        <f>N16-M16</f>
        <v>1794.79</v>
      </c>
      <c r="V16" s="4">
        <f>IF(M16=0,0,N16/M16-1)</f>
        <v>0</v>
      </c>
      <c r="W16" s="18">
        <v>1595.43</v>
      </c>
      <c r="X16" s="18">
        <v>31397.43</v>
      </c>
      <c r="Y16" s="4">
        <f>X16/W16-1</f>
        <v>18.679603617833436</v>
      </c>
      <c r="Z16" s="144" t="s">
        <v>54</v>
      </c>
    </row>
    <row r="17" spans="1:26" ht="14.25" customHeight="1">
      <c r="A17" t="s">
        <v>55</v>
      </c>
      <c r="B17" t="s">
        <v>56</v>
      </c>
      <c r="C17" s="29">
        <v>3850</v>
      </c>
      <c r="E17" t="s">
        <v>56</v>
      </c>
      <c r="F17" s="29">
        <v>4869</v>
      </c>
      <c r="G17" t="b">
        <f>IF(B17=E17,TRUE,FALSE)</f>
        <v>1</v>
      </c>
      <c r="J17">
        <f>F17-C17</f>
        <v>1019</v>
      </c>
      <c r="K17" s="4">
        <f>F17/C17-1</f>
        <v>0.26467532467532462</v>
      </c>
      <c r="M17" s="5">
        <v>6706.11</v>
      </c>
      <c r="N17" s="5">
        <v>7256.12</v>
      </c>
      <c r="Q17">
        <v>53285.54</v>
      </c>
      <c r="U17" s="149">
        <f>N17-M17</f>
        <v>550.01000000000022</v>
      </c>
      <c r="V17" s="4">
        <f>IF(M17=0,0,N17/M17-1)</f>
        <v>8.2016250851835171E-2</v>
      </c>
      <c r="W17" s="18">
        <v>134557.5</v>
      </c>
      <c r="X17" s="18">
        <v>170136.6</v>
      </c>
      <c r="Y17" s="4">
        <f>X17/W17-1</f>
        <v>0.26441558441558444</v>
      </c>
      <c r="Z17" t="s">
        <v>57</v>
      </c>
    </row>
    <row r="18" spans="1:26" ht="13.9" customHeight="1">
      <c r="A18" t="s">
        <v>58</v>
      </c>
      <c r="B18" t="s">
        <v>59</v>
      </c>
      <c r="C18" s="29">
        <v>1979</v>
      </c>
      <c r="E18" t="s">
        <v>59</v>
      </c>
      <c r="F18" s="29">
        <v>2977</v>
      </c>
      <c r="G18" t="b">
        <f>IF(B18=E18,TRUE,FALSE)</f>
        <v>1</v>
      </c>
      <c r="J18">
        <f>F18-C18</f>
        <v>998</v>
      </c>
      <c r="K18" s="4">
        <f>F18/C18-1</f>
        <v>0.50429509853461352</v>
      </c>
      <c r="M18" s="5">
        <v>1277.8100000000002</v>
      </c>
      <c r="N18" s="5">
        <v>1924.69</v>
      </c>
      <c r="Q18">
        <v>20913.16</v>
      </c>
      <c r="U18" s="149">
        <f>N18-M18</f>
        <v>646.87999999999988</v>
      </c>
      <c r="V18" s="4">
        <f>IF(M18=0,0,N18/M18-1)</f>
        <v>0.50624114696238087</v>
      </c>
      <c r="W18" s="18">
        <v>75179.710000000006</v>
      </c>
      <c r="X18" s="18">
        <v>118943.26</v>
      </c>
      <c r="Y18" s="4">
        <f>X18/W18-1</f>
        <v>0.5821191648650943</v>
      </c>
      <c r="Z18" s="144" t="s">
        <v>60</v>
      </c>
    </row>
    <row r="19" spans="1:26" ht="13.9" customHeight="1">
      <c r="A19" s="56" t="s">
        <v>61</v>
      </c>
      <c r="B19" s="38" t="s">
        <v>62</v>
      </c>
      <c r="C19" s="29">
        <v>683</v>
      </c>
      <c r="E19" s="38" t="s">
        <v>62</v>
      </c>
      <c r="F19" s="29">
        <v>1629</v>
      </c>
      <c r="G19" t="b">
        <f>IF(B19=E19,TRUE,FALSE)</f>
        <v>1</v>
      </c>
      <c r="J19">
        <f>F19-C19</f>
        <v>946</v>
      </c>
      <c r="K19" s="4">
        <f>F19/C19-1</f>
        <v>1.3850658857979501</v>
      </c>
      <c r="M19" s="5">
        <v>398.63</v>
      </c>
      <c r="N19" s="5">
        <v>865.83</v>
      </c>
      <c r="Q19">
        <v>5145.0200000000004</v>
      </c>
      <c r="U19" s="149">
        <f>N19-M19</f>
        <v>467.20000000000005</v>
      </c>
      <c r="V19" s="4">
        <f>IF(M19=0,0,N19/M19-1)</f>
        <v>1.1720141484584703</v>
      </c>
      <c r="W19" s="18">
        <v>9555.17</v>
      </c>
      <c r="X19" s="18">
        <v>19109.71</v>
      </c>
      <c r="Y19" s="4">
        <f>X19/W19-1</f>
        <v>0.99993406710712618</v>
      </c>
      <c r="Z19" t="s">
        <v>63</v>
      </c>
    </row>
    <row r="20" spans="1:26" ht="13.9" customHeight="1">
      <c r="A20" s="58" t="s">
        <v>64</v>
      </c>
      <c r="B20" s="38" t="s">
        <v>65</v>
      </c>
      <c r="C20" s="29">
        <v>1020</v>
      </c>
      <c r="E20" s="38" t="s">
        <v>65</v>
      </c>
      <c r="F20" s="29">
        <v>1959</v>
      </c>
      <c r="G20" t="b">
        <f>IF(B20=E20,TRUE,FALSE)</f>
        <v>1</v>
      </c>
      <c r="J20">
        <f>F20-C20</f>
        <v>939</v>
      </c>
      <c r="K20" s="4">
        <f>F20/C20-1</f>
        <v>0.92058823529411771</v>
      </c>
      <c r="M20" s="5">
        <v>1896.12</v>
      </c>
      <c r="N20" s="5">
        <v>1932.82</v>
      </c>
      <c r="Q20">
        <v>13851.05</v>
      </c>
      <c r="U20" s="149">
        <f>N20-M20</f>
        <v>36.700000000000045</v>
      </c>
      <c r="V20" s="4">
        <f>IF(M20=0,0,N20/M20-1)</f>
        <v>1.9355315064447431E-2</v>
      </c>
      <c r="W20" s="18">
        <v>12797.8</v>
      </c>
      <c r="X20" s="18">
        <v>31478.42</v>
      </c>
      <c r="Y20" s="4">
        <f>X20/W20-1</f>
        <v>1.4596743190235824</v>
      </c>
      <c r="Z20" t="s">
        <v>66</v>
      </c>
    </row>
    <row r="21" spans="1:26" ht="13.9" customHeight="1">
      <c r="A21" s="56" t="s">
        <v>67</v>
      </c>
      <c r="B21" s="38" t="s">
        <v>68</v>
      </c>
      <c r="C21" s="29">
        <v>335</v>
      </c>
      <c r="E21" s="38" t="s">
        <v>68</v>
      </c>
      <c r="F21" s="29">
        <v>1253</v>
      </c>
      <c r="G21" t="b">
        <f>IF(B21=E21,TRUE,FALSE)</f>
        <v>1</v>
      </c>
      <c r="J21">
        <f>F21-C21</f>
        <v>918</v>
      </c>
      <c r="K21" s="4">
        <f>F21/C21-1</f>
        <v>2.7402985074626867</v>
      </c>
      <c r="M21" s="5">
        <v>1172.8499999999999</v>
      </c>
      <c r="N21" s="5">
        <v>2240.15</v>
      </c>
      <c r="Q21">
        <v>15181.62</v>
      </c>
      <c r="U21" s="149">
        <f>N21-M21</f>
        <v>1067.3000000000002</v>
      </c>
      <c r="V21" s="4">
        <f>IF(M21=0,0,N21/M21-1)</f>
        <v>0.91000554205567652</v>
      </c>
      <c r="W21" s="18">
        <v>6096.95</v>
      </c>
      <c r="X21" s="18">
        <v>24775.47</v>
      </c>
      <c r="Y21" s="4">
        <f>X21/W21-1</f>
        <v>3.0635842511419646</v>
      </c>
      <c r="Z21" t="s">
        <v>69</v>
      </c>
    </row>
    <row r="22" spans="1:26" ht="13.9" customHeight="1">
      <c r="A22" t="s">
        <v>70</v>
      </c>
      <c r="B22" t="s">
        <v>71</v>
      </c>
      <c r="C22" s="29">
        <v>15</v>
      </c>
      <c r="E22" t="s">
        <v>71</v>
      </c>
      <c r="F22" s="29">
        <v>874</v>
      </c>
      <c r="G22" t="b">
        <f>IF(B22=E22,TRUE,FALSE)</f>
        <v>1</v>
      </c>
      <c r="J22">
        <f>F22-C22</f>
        <v>859</v>
      </c>
      <c r="K22" s="4">
        <f>F22/C22-1</f>
        <v>57.266666666666666</v>
      </c>
      <c r="M22" s="5">
        <v>8.57</v>
      </c>
      <c r="N22" s="5">
        <v>1749.98</v>
      </c>
      <c r="Q22">
        <v>9281.1</v>
      </c>
      <c r="U22" s="149">
        <f>N22-M22</f>
        <v>1741.41</v>
      </c>
      <c r="V22" s="4">
        <f>IF(M22=0,0,N22/M22-1)</f>
        <v>203.19836639439907</v>
      </c>
      <c r="W22" s="18">
        <v>254.85</v>
      </c>
      <c r="X22" s="18">
        <v>14902.27</v>
      </c>
      <c r="Y22" s="4">
        <f>X22/W22-1</f>
        <v>57.47467137531882</v>
      </c>
    </row>
    <row r="23" spans="1:26" ht="13.9" customHeight="1">
      <c r="A23" t="s">
        <v>72</v>
      </c>
      <c r="B23" t="s">
        <v>73</v>
      </c>
      <c r="C23" s="29">
        <v>11338</v>
      </c>
      <c r="E23" t="s">
        <v>73</v>
      </c>
      <c r="F23" s="29">
        <v>12191</v>
      </c>
      <c r="G23" t="b">
        <f>IF(B23=E23,TRUE,FALSE)</f>
        <v>1</v>
      </c>
      <c r="J23">
        <f>F23-C23</f>
        <v>853</v>
      </c>
      <c r="K23" s="4">
        <f>F23/C23-1</f>
        <v>7.5233727288763541E-2</v>
      </c>
      <c r="M23" s="5">
        <v>15950.33</v>
      </c>
      <c r="N23" s="5">
        <v>16982.849999999999</v>
      </c>
      <c r="Q23">
        <v>115465.69</v>
      </c>
      <c r="U23" s="149">
        <f>N23-M23</f>
        <v>1032.5199999999986</v>
      </c>
      <c r="V23" s="4">
        <f>IF(M23=0,0,N23/M23-1)</f>
        <v>6.4733456925342603E-2</v>
      </c>
      <c r="W23" s="18">
        <v>373634.21</v>
      </c>
      <c r="X23" s="18">
        <v>400059.93999999994</v>
      </c>
      <c r="Y23" s="4">
        <f>X23/W23-1</f>
        <v>7.0726205718689261E-2</v>
      </c>
    </row>
    <row r="24" spans="1:26" ht="13.9" customHeight="1">
      <c r="A24" t="s">
        <v>74</v>
      </c>
      <c r="B24" t="s">
        <v>75</v>
      </c>
      <c r="C24" s="29">
        <v>1365</v>
      </c>
      <c r="E24" t="s">
        <v>75</v>
      </c>
      <c r="F24" s="29">
        <v>2203</v>
      </c>
      <c r="G24" t="b">
        <f>IF(B24=E24,TRUE,FALSE)</f>
        <v>1</v>
      </c>
      <c r="J24">
        <f>F24-C24</f>
        <v>838</v>
      </c>
      <c r="K24" s="4">
        <f>F24/C24-1</f>
        <v>0.61391941391941396</v>
      </c>
      <c r="M24" s="5">
        <v>1365.34</v>
      </c>
      <c r="N24" s="5">
        <v>2169.23</v>
      </c>
      <c r="Q24">
        <v>21011.22</v>
      </c>
      <c r="U24" s="149">
        <f>N24-M24</f>
        <v>803.8900000000001</v>
      </c>
      <c r="V24" s="4">
        <f>IF(M24=0,0,N24/M24-1)</f>
        <v>0.58878374617311446</v>
      </c>
      <c r="W24" s="18">
        <v>40936.350000000006</v>
      </c>
      <c r="X24" s="18">
        <v>66037.98</v>
      </c>
      <c r="Y24" s="4">
        <f>X24/W24-1</f>
        <v>0.61318681318681278</v>
      </c>
    </row>
    <row r="25" spans="1:26" ht="13.9" customHeight="1">
      <c r="A25" t="s">
        <v>76</v>
      </c>
      <c r="B25" t="s">
        <v>77</v>
      </c>
      <c r="C25" s="29">
        <v>5018</v>
      </c>
      <c r="E25" t="s">
        <v>77</v>
      </c>
      <c r="F25" s="29">
        <v>5772</v>
      </c>
      <c r="G25" t="b">
        <f>IF(B25=E25,TRUE,FALSE)</f>
        <v>1</v>
      </c>
      <c r="J25">
        <f>F25-C25</f>
        <v>754</v>
      </c>
      <c r="K25" s="4">
        <f>F25/C25-1</f>
        <v>0.15025906735751304</v>
      </c>
      <c r="M25" s="5">
        <v>2586.6999999999998</v>
      </c>
      <c r="N25" s="5">
        <v>3110.36</v>
      </c>
      <c r="Q25">
        <v>37521.129999999997</v>
      </c>
      <c r="U25" s="149">
        <f>N25-M25</f>
        <v>523.66000000000031</v>
      </c>
      <c r="V25" s="4">
        <f>IF(M25=0,0,N25/M25-1)</f>
        <v>0.20244326748366648</v>
      </c>
      <c r="W25" s="18">
        <v>154660.71</v>
      </c>
      <c r="X25" s="18">
        <v>172440.53</v>
      </c>
      <c r="Y25" s="4">
        <f>X25/W25-1</f>
        <v>0.11496016021134259</v>
      </c>
    </row>
    <row r="26" spans="1:26" ht="13.9" customHeight="1">
      <c r="A26" s="28" t="s">
        <v>78</v>
      </c>
      <c r="B26" t="s">
        <v>79</v>
      </c>
      <c r="C26" s="29">
        <v>2088</v>
      </c>
      <c r="E26" t="s">
        <v>79</v>
      </c>
      <c r="F26" s="29">
        <v>2840</v>
      </c>
      <c r="G26" t="b">
        <f>IF(B26=E26,TRUE,FALSE)</f>
        <v>1</v>
      </c>
      <c r="J26">
        <f>F26-C26</f>
        <v>752</v>
      </c>
      <c r="K26" s="4">
        <f>F26/C26-1</f>
        <v>0.36015325670498077</v>
      </c>
      <c r="M26" s="5">
        <v>4729.21</v>
      </c>
      <c r="N26" s="5">
        <v>5050.71</v>
      </c>
      <c r="Q26">
        <v>29492.09</v>
      </c>
      <c r="U26" s="149">
        <f>N26-M26</f>
        <v>321.5</v>
      </c>
      <c r="V26" s="4">
        <f>IF(M26=0,0,N26/M26-1)</f>
        <v>6.7981755938095301E-2</v>
      </c>
      <c r="W26" s="18">
        <v>59224.409999999996</v>
      </c>
      <c r="X26" s="18">
        <v>84838.01</v>
      </c>
      <c r="Y26" s="4">
        <f>X26/W26-1</f>
        <v>0.43248383563466475</v>
      </c>
    </row>
    <row r="27" spans="1:26" ht="13.9" customHeight="1">
      <c r="A27" s="56" t="s">
        <v>80</v>
      </c>
      <c r="B27" s="38" t="s">
        <v>81</v>
      </c>
      <c r="C27" s="29">
        <v>515</v>
      </c>
      <c r="E27" s="38" t="s">
        <v>81</v>
      </c>
      <c r="F27" s="29">
        <v>1263</v>
      </c>
      <c r="G27" t="b">
        <f>IF(B27=E27,TRUE,FALSE)</f>
        <v>1</v>
      </c>
      <c r="J27">
        <f>F27-C27</f>
        <v>748</v>
      </c>
      <c r="K27" s="4">
        <f>F27/C27-1</f>
        <v>1.4524271844660195</v>
      </c>
      <c r="M27" s="5">
        <v>896.44</v>
      </c>
      <c r="N27" s="5">
        <v>1154.54</v>
      </c>
      <c r="Q27">
        <v>5453.82</v>
      </c>
      <c r="U27" s="149">
        <f>N27-M27</f>
        <v>258.09999999999991</v>
      </c>
      <c r="V27" s="4">
        <f>IF(M27=0,0,N27/M27-1)</f>
        <v>0.28791664807460604</v>
      </c>
      <c r="W27" s="18">
        <v>4975.0200000000004</v>
      </c>
      <c r="X27" s="18">
        <v>12615.48</v>
      </c>
      <c r="Y27" s="4">
        <f>X27/W27-1</f>
        <v>1.5357646803429934</v>
      </c>
    </row>
    <row r="28" spans="1:26" ht="13.9" customHeight="1">
      <c r="A28" t="s">
        <v>82</v>
      </c>
      <c r="B28" t="s">
        <v>83</v>
      </c>
      <c r="C28" s="29">
        <v>3721</v>
      </c>
      <c r="E28" t="s">
        <v>83</v>
      </c>
      <c r="F28" s="29">
        <v>4426</v>
      </c>
      <c r="G28" t="b">
        <f>IF(B28=E28,TRUE,FALSE)</f>
        <v>1</v>
      </c>
      <c r="J28">
        <f>F28-C28</f>
        <v>705</v>
      </c>
      <c r="K28" s="4">
        <f>F28/C28-1</f>
        <v>0.18946519752754631</v>
      </c>
      <c r="M28" s="5">
        <v>4031.37</v>
      </c>
      <c r="N28" s="5">
        <v>4757.9799999999996</v>
      </c>
      <c r="Q28">
        <v>28897</v>
      </c>
      <c r="U28" s="149">
        <f>N28-M28</f>
        <v>726.60999999999967</v>
      </c>
      <c r="V28" s="4">
        <f>IF(M28=0,0,N28/M28-1)</f>
        <v>0.18023897583203707</v>
      </c>
      <c r="W28" s="18">
        <v>97372.21</v>
      </c>
      <c r="X28" s="18">
        <v>113203.09</v>
      </c>
      <c r="Y28" s="4">
        <f>X28/W28-1</f>
        <v>0.16258108961478834</v>
      </c>
    </row>
    <row r="29" spans="1:26" ht="13.9" customHeight="1">
      <c r="A29" s="57" t="s">
        <v>84</v>
      </c>
      <c r="B29" s="38" t="s">
        <v>85</v>
      </c>
      <c r="C29" s="29">
        <v>1014</v>
      </c>
      <c r="E29" s="38" t="s">
        <v>85</v>
      </c>
      <c r="F29" s="29">
        <v>1709</v>
      </c>
      <c r="G29" t="b">
        <f>IF(B29=E29,TRUE,FALSE)</f>
        <v>1</v>
      </c>
      <c r="J29">
        <f>F29-C29</f>
        <v>695</v>
      </c>
      <c r="K29" s="4">
        <f>F29/C29-1</f>
        <v>0.68540433925049316</v>
      </c>
      <c r="M29" s="5">
        <v>978.47</v>
      </c>
      <c r="N29" s="5">
        <v>1199.02</v>
      </c>
      <c r="Q29">
        <v>5822.92</v>
      </c>
      <c r="U29" s="149">
        <f>N29-M29</f>
        <v>220.54999999999995</v>
      </c>
      <c r="V29" s="4">
        <f>IF(M29=0,0,N29/M29-1)</f>
        <v>0.22540292497470538</v>
      </c>
      <c r="W29" s="18">
        <v>13977.57</v>
      </c>
      <c r="X29" s="18">
        <v>27470.959999999999</v>
      </c>
      <c r="Y29" s="4">
        <f>X29/W29-1</f>
        <v>0.96536021640385283</v>
      </c>
    </row>
    <row r="30" spans="1:26" ht="13.9" customHeight="1">
      <c r="A30" t="s">
        <v>86</v>
      </c>
      <c r="B30" t="s">
        <v>87</v>
      </c>
      <c r="C30" s="29">
        <v>882</v>
      </c>
      <c r="E30" t="s">
        <v>87</v>
      </c>
      <c r="F30" s="29">
        <v>1547</v>
      </c>
      <c r="G30" t="b">
        <f>IF(B30=E30,TRUE,FALSE)</f>
        <v>1</v>
      </c>
      <c r="J30">
        <f>F30-C30</f>
        <v>665</v>
      </c>
      <c r="K30" s="4">
        <f>F30/C30-1</f>
        <v>0.75396825396825395</v>
      </c>
      <c r="M30" s="5">
        <v>1940.02</v>
      </c>
      <c r="N30" s="5">
        <v>1093.49</v>
      </c>
      <c r="Q30">
        <v>8586.1</v>
      </c>
      <c r="U30" s="149">
        <f>N30-M30</f>
        <v>-846.53</v>
      </c>
      <c r="V30" s="4">
        <f>IF(M30=0,0,N30/M30-1)</f>
        <v>-0.43635117163740578</v>
      </c>
      <c r="W30" s="18">
        <v>21135.71</v>
      </c>
      <c r="X30" s="18">
        <v>36282.589999999997</v>
      </c>
      <c r="Y30" s="4">
        <f>X30/W30-1</f>
        <v>0.71664874281488533</v>
      </c>
    </row>
    <row r="31" spans="1:26" ht="13.9" customHeight="1">
      <c r="A31" s="56" t="s">
        <v>88</v>
      </c>
      <c r="B31" s="38" t="s">
        <v>89</v>
      </c>
      <c r="C31" s="29">
        <v>404</v>
      </c>
      <c r="E31" s="38" t="s">
        <v>89</v>
      </c>
      <c r="F31" s="29">
        <v>1067</v>
      </c>
      <c r="G31" t="b">
        <f>IF(B31=E31,TRUE,FALSE)</f>
        <v>1</v>
      </c>
      <c r="J31">
        <f>F31-C31</f>
        <v>663</v>
      </c>
      <c r="K31" s="4">
        <f>F31/C31-1</f>
        <v>1.641089108910891</v>
      </c>
      <c r="M31" s="5">
        <v>728.59</v>
      </c>
      <c r="N31" s="5">
        <v>1308.9000000000001</v>
      </c>
      <c r="Q31">
        <v>5052.72</v>
      </c>
      <c r="U31" s="149">
        <f>N31-M31</f>
        <v>580.31000000000006</v>
      </c>
      <c r="V31" s="4">
        <f>IF(M31=0,0,N31/M31-1)</f>
        <v>0.79648361904500486</v>
      </c>
      <c r="W31" s="18">
        <v>5651.96</v>
      </c>
      <c r="X31" s="18">
        <v>13200.330000000002</v>
      </c>
      <c r="Y31" s="4">
        <f>X31/W31-1</f>
        <v>1.3355313908803321</v>
      </c>
    </row>
    <row r="32" spans="1:26" ht="13.9" customHeight="1">
      <c r="A32" t="s">
        <v>90</v>
      </c>
      <c r="B32" t="s">
        <v>91</v>
      </c>
      <c r="C32" s="29">
        <v>1766</v>
      </c>
      <c r="E32" t="s">
        <v>91</v>
      </c>
      <c r="F32" s="29">
        <v>2403</v>
      </c>
      <c r="G32" t="b">
        <f>IF(B32=E32,TRUE,FALSE)</f>
        <v>1</v>
      </c>
      <c r="J32">
        <f>F32-C32</f>
        <v>637</v>
      </c>
      <c r="K32" s="4">
        <f>F32/C32-1</f>
        <v>0.36070215175537945</v>
      </c>
      <c r="M32" s="5">
        <v>3755.14</v>
      </c>
      <c r="N32" s="5">
        <v>3713.61</v>
      </c>
      <c r="Q32">
        <v>27187.94</v>
      </c>
      <c r="U32" s="149">
        <f>N32-M32</f>
        <v>-41.529999999999745</v>
      </c>
      <c r="V32" s="4">
        <f>IF(M32=0,0,N32/M32-1)</f>
        <v>-1.1059507768019228E-2</v>
      </c>
      <c r="W32" s="18">
        <v>49143.34</v>
      </c>
      <c r="X32" s="18">
        <v>64856.97</v>
      </c>
      <c r="Y32" s="4">
        <f>X32/W32-1</f>
        <v>0.31975095709815426</v>
      </c>
    </row>
    <row r="33" spans="1:25" ht="13.9" customHeight="1">
      <c r="A33" t="s">
        <v>92</v>
      </c>
      <c r="B33" t="s">
        <v>93</v>
      </c>
      <c r="C33" s="29">
        <v>1150</v>
      </c>
      <c r="E33" t="s">
        <v>93</v>
      </c>
      <c r="F33" s="29">
        <v>1719</v>
      </c>
      <c r="G33" t="b">
        <f>IF(B33=E33,TRUE,FALSE)</f>
        <v>1</v>
      </c>
      <c r="J33">
        <f>F33-C33</f>
        <v>569</v>
      </c>
      <c r="K33" s="4">
        <f>F33/C33-1</f>
        <v>0.49478260869565216</v>
      </c>
      <c r="M33" s="5">
        <v>101.26</v>
      </c>
      <c r="N33" s="5">
        <v>207.56</v>
      </c>
      <c r="Q33">
        <v>1849.17</v>
      </c>
      <c r="U33" s="149">
        <f>N33-M33</f>
        <v>106.3</v>
      </c>
      <c r="V33" s="4">
        <f>IF(M33=0,0,N33/M33-1)</f>
        <v>1.0497728619395614</v>
      </c>
      <c r="W33" s="18">
        <v>48412.5</v>
      </c>
      <c r="X33" s="18">
        <v>71145.05</v>
      </c>
      <c r="Y33" s="4">
        <f>X33/W33-1</f>
        <v>0.46955951458817458</v>
      </c>
    </row>
    <row r="34" spans="1:25" ht="13.9" customHeight="1">
      <c r="A34" t="s">
        <v>94</v>
      </c>
      <c r="B34" t="s">
        <v>95</v>
      </c>
      <c r="C34" s="29">
        <v>415</v>
      </c>
      <c r="E34" t="s">
        <v>95</v>
      </c>
      <c r="F34" s="29">
        <v>972</v>
      </c>
      <c r="G34" t="b">
        <f>IF(B34=E34,TRUE,FALSE)</f>
        <v>1</v>
      </c>
      <c r="J34">
        <f>F34-C34</f>
        <v>557</v>
      </c>
      <c r="K34" s="4">
        <f>F34/C34-1</f>
        <v>1.3421686746987951</v>
      </c>
      <c r="M34" s="5">
        <v>734.91</v>
      </c>
      <c r="N34" s="5">
        <v>2061.71</v>
      </c>
      <c r="Q34">
        <v>14587.86</v>
      </c>
      <c r="U34" s="149">
        <f>N34-M34</f>
        <v>1326.8000000000002</v>
      </c>
      <c r="V34" s="4">
        <f>IF(M34=0,0,N34/M34-1)</f>
        <v>1.8053911363296189</v>
      </c>
      <c r="W34" s="18">
        <v>9955.85</v>
      </c>
      <c r="X34" s="18">
        <v>23334.28</v>
      </c>
      <c r="Y34" s="4">
        <f>X34/W34-1</f>
        <v>1.3437757700246586</v>
      </c>
    </row>
    <row r="35" spans="1:25" ht="13.9" customHeight="1">
      <c r="A35" t="s">
        <v>96</v>
      </c>
      <c r="B35" t="s">
        <v>97</v>
      </c>
      <c r="C35" s="29">
        <v>3966</v>
      </c>
      <c r="E35" t="s">
        <v>97</v>
      </c>
      <c r="F35" s="29">
        <v>4509</v>
      </c>
      <c r="G35" t="b">
        <f>IF(B35=E35,TRUE,FALSE)</f>
        <v>1</v>
      </c>
      <c r="J35">
        <f>F35-C35</f>
        <v>543</v>
      </c>
      <c r="K35" s="4">
        <f>F35/C35-1</f>
        <v>0.13691376701966718</v>
      </c>
      <c r="M35" s="5">
        <v>5395.29</v>
      </c>
      <c r="N35" s="5">
        <v>5576.16</v>
      </c>
      <c r="Q35">
        <v>56010.42</v>
      </c>
      <c r="U35" s="149">
        <f>N35-M35</f>
        <v>180.86999999999989</v>
      </c>
      <c r="V35" s="4">
        <f>IF(M35=0,0,N35/M35-1)</f>
        <v>3.3523684547077215E-2</v>
      </c>
      <c r="W35" s="18">
        <v>118781.7</v>
      </c>
      <c r="X35" s="18">
        <v>135014.6</v>
      </c>
      <c r="Y35" s="4">
        <f>X35/W35-1</f>
        <v>0.13666162380231972</v>
      </c>
    </row>
    <row r="36" spans="1:25" ht="13.9" customHeight="1">
      <c r="A36" t="s">
        <v>98</v>
      </c>
      <c r="B36" t="s">
        <v>99</v>
      </c>
      <c r="C36" s="29">
        <v>1860</v>
      </c>
      <c r="E36" t="s">
        <v>99</v>
      </c>
      <c r="F36" s="29">
        <v>2401</v>
      </c>
      <c r="G36" t="b">
        <f>IF(B36=E36,TRUE,FALSE)</f>
        <v>1</v>
      </c>
      <c r="J36">
        <f>F36-C36</f>
        <v>541</v>
      </c>
      <c r="K36" s="4">
        <f>F36/C36-1</f>
        <v>0.29086021505376336</v>
      </c>
      <c r="M36" s="5">
        <v>3510.84</v>
      </c>
      <c r="N36" s="5">
        <v>2532.81</v>
      </c>
      <c r="Q36">
        <v>20493.010000000002</v>
      </c>
      <c r="U36" s="149">
        <f>N36-M36</f>
        <v>-978.0300000000002</v>
      </c>
      <c r="V36" s="4">
        <f>IF(M36=0,0,N36/M36-1)</f>
        <v>-0.27857435827323385</v>
      </c>
      <c r="W36" s="18">
        <v>55615.25</v>
      </c>
      <c r="X36" s="18">
        <v>72005.95</v>
      </c>
      <c r="Y36" s="4">
        <f>X36/W36-1</f>
        <v>0.29471592773564792</v>
      </c>
    </row>
    <row r="37" spans="1:25" ht="13.9" customHeight="1">
      <c r="A37" t="s">
        <v>100</v>
      </c>
      <c r="B37" t="s">
        <v>101</v>
      </c>
      <c r="C37" s="29">
        <v>952</v>
      </c>
      <c r="E37" t="s">
        <v>101</v>
      </c>
      <c r="F37" s="29">
        <v>1457</v>
      </c>
      <c r="G37" t="b">
        <f>IF(B37=E37,TRUE,FALSE)</f>
        <v>1</v>
      </c>
      <c r="J37">
        <f>F37-C37</f>
        <v>505</v>
      </c>
      <c r="K37" s="4">
        <f>F37/C37-1</f>
        <v>0.53046218487394947</v>
      </c>
      <c r="M37" s="5">
        <v>2069.4699999999998</v>
      </c>
      <c r="N37" s="5">
        <v>2988.71</v>
      </c>
      <c r="Q37">
        <v>22238.65</v>
      </c>
      <c r="U37" s="149">
        <f>N37-M37</f>
        <v>919.24000000000024</v>
      </c>
      <c r="V37" s="4">
        <f>IF(M37=0,0,N37/M37-1)</f>
        <v>0.44419102475513061</v>
      </c>
      <c r="W37" s="18">
        <v>27569.49</v>
      </c>
      <c r="X37" s="18">
        <v>42238.43</v>
      </c>
      <c r="Y37" s="4">
        <f>X37/W37-1</f>
        <v>0.53207150368033651</v>
      </c>
    </row>
    <row r="38" spans="1:25" ht="13.9" customHeight="1">
      <c r="A38" t="s">
        <v>102</v>
      </c>
      <c r="B38" t="s">
        <v>103</v>
      </c>
      <c r="C38" s="29">
        <v>3143</v>
      </c>
      <c r="E38" t="s">
        <v>103</v>
      </c>
      <c r="F38" s="29">
        <v>3638</v>
      </c>
      <c r="G38" t="b">
        <f>IF(B38=E38,TRUE,FALSE)</f>
        <v>1</v>
      </c>
      <c r="J38">
        <f>F38-C38</f>
        <v>495</v>
      </c>
      <c r="K38" s="4">
        <f>F38/C38-1</f>
        <v>0.15749284123448937</v>
      </c>
      <c r="M38" s="5">
        <v>3557.15</v>
      </c>
      <c r="N38" s="5">
        <v>3418.86</v>
      </c>
      <c r="Q38">
        <v>23130.05</v>
      </c>
      <c r="U38" s="149">
        <f>N38-M38</f>
        <v>-138.28999999999996</v>
      </c>
      <c r="V38" s="4">
        <f>IF(M38=0,0,N38/M38-1)</f>
        <v>-3.8876628761789656E-2</v>
      </c>
      <c r="W38" s="18">
        <v>90989.85</v>
      </c>
      <c r="X38" s="18">
        <v>105117.45</v>
      </c>
      <c r="Y38" s="4">
        <f>X38/W38-1</f>
        <v>0.15526566974228428</v>
      </c>
    </row>
    <row r="39" spans="1:25" ht="13.9" customHeight="1">
      <c r="A39" t="s">
        <v>104</v>
      </c>
      <c r="B39" t="s">
        <v>105</v>
      </c>
      <c r="C39" s="29">
        <v>1479</v>
      </c>
      <c r="E39" t="s">
        <v>105</v>
      </c>
      <c r="F39" s="29">
        <v>1932</v>
      </c>
      <c r="G39" t="b">
        <f>IF(B39=E39,TRUE,FALSE)</f>
        <v>1</v>
      </c>
      <c r="J39">
        <f>F39-C39</f>
        <v>453</v>
      </c>
      <c r="K39" s="4">
        <f>F39/C39-1</f>
        <v>0.30628803245436109</v>
      </c>
      <c r="M39" s="5">
        <v>2290.69</v>
      </c>
      <c r="N39" s="5">
        <v>3405.58</v>
      </c>
      <c r="Q39">
        <v>23045.89</v>
      </c>
      <c r="U39" s="149">
        <f>N39-M39</f>
        <v>1114.8899999999999</v>
      </c>
      <c r="V39" s="4">
        <f>IF(M39=0,0,N39/M39-1)</f>
        <v>0.48670487931583928</v>
      </c>
      <c r="W39" s="18">
        <v>34002.21</v>
      </c>
      <c r="X39" s="18">
        <v>44912.68</v>
      </c>
      <c r="Y39" s="4">
        <f>X39/W39-1</f>
        <v>0.32087531957481596</v>
      </c>
    </row>
    <row r="40" spans="1:25" ht="13.9" customHeight="1">
      <c r="A40" t="s">
        <v>106</v>
      </c>
      <c r="B40" t="s">
        <v>107</v>
      </c>
      <c r="C40" s="29">
        <v>1381</v>
      </c>
      <c r="E40" t="s">
        <v>107</v>
      </c>
      <c r="F40" s="29">
        <v>1822</v>
      </c>
      <c r="G40" t="b">
        <f>IF(B40=E40,TRUE,FALSE)</f>
        <v>1</v>
      </c>
      <c r="J40">
        <f>F40-C40</f>
        <v>441</v>
      </c>
      <c r="K40" s="4">
        <f>F40/C40-1</f>
        <v>0.31933381607530764</v>
      </c>
      <c r="M40" s="5">
        <v>1631.32</v>
      </c>
      <c r="N40" s="5">
        <v>1642.3</v>
      </c>
      <c r="Q40">
        <v>8094.71</v>
      </c>
      <c r="U40" s="149">
        <f>N40-M40</f>
        <v>10.980000000000018</v>
      </c>
      <c r="V40" s="4">
        <f>IF(M40=0,0,N40/M40-1)</f>
        <v>6.7307456538263644E-3</v>
      </c>
      <c r="W40" s="18">
        <v>31064.510000000002</v>
      </c>
      <c r="X40" s="18">
        <v>42206.87</v>
      </c>
      <c r="Y40" s="4">
        <f>X40/W40-1</f>
        <v>0.3586845567498087</v>
      </c>
    </row>
    <row r="41" spans="1:25" ht="13.9" customHeight="1">
      <c r="A41" s="58" t="s">
        <v>108</v>
      </c>
      <c r="B41" s="38" t="s">
        <v>109</v>
      </c>
      <c r="C41" s="29">
        <v>829</v>
      </c>
      <c r="E41" s="38" t="s">
        <v>109</v>
      </c>
      <c r="F41" s="29">
        <v>1253</v>
      </c>
      <c r="G41" t="b">
        <f>IF(B41=E41,TRUE,FALSE)</f>
        <v>1</v>
      </c>
      <c r="J41">
        <f>F41-C41</f>
        <v>424</v>
      </c>
      <c r="K41" s="4">
        <f>F41/C41-1</f>
        <v>0.51145958986730999</v>
      </c>
      <c r="M41" s="5">
        <v>1214.9000000000001</v>
      </c>
      <c r="N41" s="5">
        <v>2011.35</v>
      </c>
      <c r="Q41">
        <v>10142.69</v>
      </c>
      <c r="U41" s="149">
        <f>N41-M41</f>
        <v>796.44999999999982</v>
      </c>
      <c r="V41" s="4">
        <f>IF(M41=0,0,N41/M41-1)</f>
        <v>0.65556835953576398</v>
      </c>
      <c r="W41" s="18">
        <v>11597.71</v>
      </c>
      <c r="X41" s="18">
        <v>15837.470000000001</v>
      </c>
      <c r="Y41" s="4">
        <f>X41/W41-1</f>
        <v>0.36556872003179963</v>
      </c>
    </row>
    <row r="42" spans="1:25" ht="13.9" customHeight="1">
      <c r="A42" t="s">
        <v>110</v>
      </c>
      <c r="B42" t="s">
        <v>111</v>
      </c>
      <c r="C42" s="29">
        <v>3381</v>
      </c>
      <c r="E42" t="s">
        <v>111</v>
      </c>
      <c r="F42" s="29">
        <v>3802</v>
      </c>
      <c r="G42" t="b">
        <f>IF(B42=E42,TRUE,FALSE)</f>
        <v>1</v>
      </c>
      <c r="J42">
        <f>F42-C42</f>
        <v>421</v>
      </c>
      <c r="K42" s="4">
        <f>F42/C42-1</f>
        <v>0.12451937296657789</v>
      </c>
      <c r="M42" s="5">
        <v>5298.87</v>
      </c>
      <c r="N42" s="5">
        <v>3584</v>
      </c>
      <c r="Q42">
        <v>27635.8</v>
      </c>
      <c r="U42" s="149">
        <f>N42-M42</f>
        <v>-1714.87</v>
      </c>
      <c r="V42" s="4">
        <f>IF(M42=0,0,N42/M42-1)</f>
        <v>-0.32362937758427734</v>
      </c>
      <c r="W42" s="18">
        <v>99426.22</v>
      </c>
      <c r="X42" s="18">
        <v>110224.81</v>
      </c>
      <c r="Y42" s="4">
        <f>X42/W42-1</f>
        <v>0.10860907716294554</v>
      </c>
    </row>
    <row r="43" spans="1:25" ht="13.9" customHeight="1">
      <c r="A43" t="s">
        <v>112</v>
      </c>
      <c r="B43" t="s">
        <v>113</v>
      </c>
      <c r="C43" s="29">
        <v>1112</v>
      </c>
      <c r="E43" t="s">
        <v>113</v>
      </c>
      <c r="F43" s="29">
        <v>1490</v>
      </c>
      <c r="G43" t="b">
        <f>IF(B43=E43,TRUE,FALSE)</f>
        <v>1</v>
      </c>
      <c r="J43">
        <f>F43-C43</f>
        <v>378</v>
      </c>
      <c r="K43" s="4">
        <f>F43/C43-1</f>
        <v>0.33992805755395694</v>
      </c>
      <c r="M43" s="5">
        <v>2266.2399999999998</v>
      </c>
      <c r="N43" s="5">
        <v>2527.94</v>
      </c>
      <c r="Q43">
        <v>16201.39</v>
      </c>
      <c r="U43" s="149">
        <f>N43-M43</f>
        <v>261.70000000000027</v>
      </c>
      <c r="V43" s="4">
        <f>IF(M43=0,0,N43/M43-1)</f>
        <v>0.11547761931657741</v>
      </c>
      <c r="W43" s="18">
        <v>30489.01</v>
      </c>
      <c r="X43" s="18">
        <v>43130.23</v>
      </c>
      <c r="Y43" s="4">
        <f>X43/W43-1</f>
        <v>0.41461562707349331</v>
      </c>
    </row>
    <row r="44" spans="1:25">
      <c r="A44" s="56" t="s">
        <v>114</v>
      </c>
      <c r="B44" s="38" t="s">
        <v>115</v>
      </c>
      <c r="C44" s="29">
        <v>2178</v>
      </c>
      <c r="E44" s="38" t="s">
        <v>115</v>
      </c>
      <c r="F44" s="29">
        <v>2545</v>
      </c>
      <c r="G44" t="b">
        <f>IF(B44=E44,TRUE,FALSE)</f>
        <v>1</v>
      </c>
      <c r="J44">
        <f>F44-C44</f>
        <v>367</v>
      </c>
      <c r="K44" s="4">
        <f>F44/C44-1</f>
        <v>0.16850321395775936</v>
      </c>
      <c r="M44" s="5">
        <v>2404.44</v>
      </c>
      <c r="N44" s="5">
        <v>4142.1499999999996</v>
      </c>
      <c r="Q44">
        <v>41197.919999999998</v>
      </c>
      <c r="U44" s="149">
        <f>N44-M44</f>
        <v>1737.7099999999996</v>
      </c>
      <c r="V44" s="4">
        <f>IF(M44=0,0,N44/M44-1)</f>
        <v>0.72270882201260989</v>
      </c>
      <c r="W44" s="18">
        <v>36511.230000000003</v>
      </c>
      <c r="X44" s="18">
        <v>63526.559999999998</v>
      </c>
      <c r="Y44" s="4">
        <f>X44/W44-1</f>
        <v>0.73991837579835007</v>
      </c>
    </row>
    <row r="45" spans="1:25">
      <c r="A45" s="56" t="s">
        <v>116</v>
      </c>
      <c r="B45" s="38" t="s">
        <v>117</v>
      </c>
      <c r="C45" s="29">
        <v>793</v>
      </c>
      <c r="E45" s="38" t="s">
        <v>117</v>
      </c>
      <c r="F45" s="29">
        <v>1148</v>
      </c>
      <c r="G45" t="b">
        <f>IF(B45=E45,TRUE,FALSE)</f>
        <v>1</v>
      </c>
      <c r="J45">
        <f>F45-C45</f>
        <v>355</v>
      </c>
      <c r="K45" s="4">
        <f>F45/C45-1</f>
        <v>0.44766708701134927</v>
      </c>
      <c r="M45" s="5">
        <v>1228.8499999999999</v>
      </c>
      <c r="N45" s="5">
        <v>1347.17</v>
      </c>
      <c r="Q45">
        <v>11936.22</v>
      </c>
      <c r="U45" s="149">
        <f>N45-M45</f>
        <v>118.32000000000016</v>
      </c>
      <c r="V45" s="4">
        <f>IF(M45=0,0,N45/M45-1)</f>
        <v>9.6285144647434651E-2</v>
      </c>
      <c r="W45" s="18">
        <v>16932.669999999998</v>
      </c>
      <c r="X45" s="18">
        <v>27570.52</v>
      </c>
      <c r="Y45" s="4">
        <f>X45/W45-1</f>
        <v>0.62824409853850582</v>
      </c>
    </row>
    <row r="46" spans="1:25">
      <c r="A46" s="56" t="s">
        <v>118</v>
      </c>
      <c r="B46" s="38" t="s">
        <v>119</v>
      </c>
      <c r="C46" s="29">
        <v>1736</v>
      </c>
      <c r="E46" s="38" t="s">
        <v>119</v>
      </c>
      <c r="F46" s="29">
        <v>2069</v>
      </c>
      <c r="G46" t="b">
        <f>IF(B46=E46,TRUE,FALSE)</f>
        <v>1</v>
      </c>
      <c r="J46">
        <f>F46-C46</f>
        <v>333</v>
      </c>
      <c r="K46" s="4">
        <f>F46/C46-1</f>
        <v>0.19182027649769595</v>
      </c>
      <c r="M46" s="5">
        <v>2866.52</v>
      </c>
      <c r="N46" s="5">
        <v>2045.75</v>
      </c>
      <c r="Q46">
        <v>18998.14</v>
      </c>
      <c r="U46" s="149">
        <f>N46-M46</f>
        <v>-820.77</v>
      </c>
      <c r="V46" s="4">
        <f>IF(M46=0,0,N46/M46-1)</f>
        <v>-0.2863297657089432</v>
      </c>
      <c r="W46" s="18">
        <v>27743.9</v>
      </c>
      <c r="X46" s="18">
        <v>44120.1</v>
      </c>
      <c r="Y46" s="4">
        <f>X46/W46-1</f>
        <v>0.59026308485829304</v>
      </c>
    </row>
    <row r="47" spans="1:25">
      <c r="A47" t="s">
        <v>120</v>
      </c>
      <c r="B47" t="s">
        <v>121</v>
      </c>
      <c r="C47" s="29">
        <v>5250</v>
      </c>
      <c r="E47" t="s">
        <v>121</v>
      </c>
      <c r="F47" s="29">
        <v>5575</v>
      </c>
      <c r="G47" t="b">
        <f>IF(B47=E47,TRUE,FALSE)</f>
        <v>1</v>
      </c>
      <c r="J47">
        <f>F47-C47</f>
        <v>325</v>
      </c>
      <c r="K47" s="4">
        <f>F47/C47-1</f>
        <v>6.1904761904761907E-2</v>
      </c>
      <c r="M47" s="5">
        <v>5858.46</v>
      </c>
      <c r="N47" s="5">
        <v>5803.37</v>
      </c>
      <c r="Q47">
        <v>28993.33</v>
      </c>
      <c r="U47" s="149">
        <f>N47-M47</f>
        <v>-55.090000000000146</v>
      </c>
      <c r="V47" s="4">
        <f>IF(M47=0,0,N47/M47-1)</f>
        <v>-9.4034951164641001E-3</v>
      </c>
      <c r="W47" s="18">
        <v>125641.7</v>
      </c>
      <c r="X47" s="18">
        <v>133521.25</v>
      </c>
      <c r="Y47" s="4">
        <f>X47/W47-1</f>
        <v>6.2714449104079417E-2</v>
      </c>
    </row>
    <row r="48" spans="1:25">
      <c r="A48" t="s">
        <v>122</v>
      </c>
      <c r="B48" t="s">
        <v>123</v>
      </c>
      <c r="C48" s="29">
        <v>4541</v>
      </c>
      <c r="E48" t="s">
        <v>123</v>
      </c>
      <c r="F48" s="29">
        <v>4844</v>
      </c>
      <c r="G48" t="b">
        <f>IF(B48=E48,TRUE,FALSE)</f>
        <v>1</v>
      </c>
      <c r="J48">
        <f>F48-C48</f>
        <v>303</v>
      </c>
      <c r="K48" s="4">
        <f>F48/C48-1</f>
        <v>6.6725390883065394E-2</v>
      </c>
      <c r="M48" s="5">
        <v>9131.85</v>
      </c>
      <c r="N48" s="5">
        <v>8450.59</v>
      </c>
      <c r="Q48">
        <v>86770.22</v>
      </c>
      <c r="U48" s="149">
        <f>N48-M48</f>
        <v>-681.26000000000022</v>
      </c>
      <c r="V48" s="4">
        <f>IF(M48=0,0,N48/M48-1)</f>
        <v>-7.4602627068994787E-2</v>
      </c>
      <c r="W48" s="18">
        <v>136114.42000000001</v>
      </c>
      <c r="X48" s="18">
        <v>144880.18</v>
      </c>
      <c r="Y48" s="4">
        <f>X48/W48-1</f>
        <v>6.4399936465217911E-2</v>
      </c>
    </row>
    <row r="49" spans="1:25">
      <c r="A49" t="s">
        <v>124</v>
      </c>
      <c r="B49" t="s">
        <v>125</v>
      </c>
      <c r="C49" s="29">
        <v>1806</v>
      </c>
      <c r="E49" t="s">
        <v>125</v>
      </c>
      <c r="F49" s="29">
        <v>2075</v>
      </c>
      <c r="G49" t="b">
        <f>IF(B49=E49,TRUE,FALSE)</f>
        <v>1</v>
      </c>
      <c r="J49">
        <f>F49-C49</f>
        <v>269</v>
      </c>
      <c r="K49" s="4">
        <f>F49/C49-1</f>
        <v>0.14894795127353277</v>
      </c>
      <c r="M49" s="5">
        <v>2434.8000000000002</v>
      </c>
      <c r="N49" s="5">
        <v>2486.4</v>
      </c>
      <c r="Q49">
        <v>14886.52</v>
      </c>
      <c r="U49" s="149">
        <f>N49-M49</f>
        <v>51.599999999999909</v>
      </c>
      <c r="V49" s="4">
        <f>IF(M49=0,0,N49/M49-1)</f>
        <v>2.1192705766387432E-2</v>
      </c>
      <c r="W49" s="18">
        <v>36081.949999999997</v>
      </c>
      <c r="X49" s="18">
        <v>41459.26</v>
      </c>
      <c r="Y49" s="4">
        <f>X49/W49-1</f>
        <v>0.14903047091412747</v>
      </c>
    </row>
    <row r="50" spans="1:25">
      <c r="A50" t="s">
        <v>126</v>
      </c>
      <c r="B50" t="s">
        <v>127</v>
      </c>
      <c r="C50" s="29">
        <v>4047</v>
      </c>
      <c r="E50" t="s">
        <v>127</v>
      </c>
      <c r="F50" s="29">
        <v>4314</v>
      </c>
      <c r="G50" t="b">
        <f>IF(B50=E50,TRUE,FALSE)</f>
        <v>1</v>
      </c>
      <c r="J50">
        <f>F50-C50</f>
        <v>267</v>
      </c>
      <c r="K50" s="4">
        <f>F50/C50-1</f>
        <v>6.597479614529278E-2</v>
      </c>
      <c r="M50" s="5">
        <v>6866.93</v>
      </c>
      <c r="N50" s="5">
        <v>7728.42</v>
      </c>
      <c r="Q50">
        <v>50890.89</v>
      </c>
      <c r="U50" s="149">
        <f>N50-M50</f>
        <v>861.48999999999978</v>
      </c>
      <c r="V50" s="4">
        <f>IF(M50=0,0,N50/M50-1)</f>
        <v>0.12545489760344131</v>
      </c>
      <c r="W50" s="18">
        <v>141335.96</v>
      </c>
      <c r="X50" s="18">
        <v>150700.79999999999</v>
      </c>
      <c r="Y50" s="4">
        <f>X50/W50-1</f>
        <v>6.6259428952122335E-2</v>
      </c>
    </row>
    <row r="51" spans="1:25">
      <c r="A51" t="s">
        <v>128</v>
      </c>
      <c r="B51" t="s">
        <v>129</v>
      </c>
      <c r="C51" s="29">
        <v>4159</v>
      </c>
      <c r="E51" t="s">
        <v>129</v>
      </c>
      <c r="F51" s="29">
        <v>4422</v>
      </c>
      <c r="G51" t="b">
        <f>IF(B51=E51,TRUE,FALSE)</f>
        <v>1</v>
      </c>
      <c r="J51">
        <f>F51-C51</f>
        <v>263</v>
      </c>
      <c r="K51" s="4">
        <f>F51/C51-1</f>
        <v>6.3236354893003055E-2</v>
      </c>
      <c r="M51" s="5">
        <v>8264.98</v>
      </c>
      <c r="N51" s="5">
        <v>8177.99</v>
      </c>
      <c r="Q51">
        <v>60154.09</v>
      </c>
      <c r="U51" s="149">
        <f>N51-M51</f>
        <v>-86.989999999999782</v>
      </c>
      <c r="V51" s="4">
        <f>IF(M51=0,0,N51/M51-1)</f>
        <v>-1.0525131337280835E-2</v>
      </c>
      <c r="W51" s="18">
        <v>120765.28</v>
      </c>
      <c r="X51" s="18">
        <v>132347.37</v>
      </c>
      <c r="Y51" s="4">
        <f>X51/W51-1</f>
        <v>9.5905793453217703E-2</v>
      </c>
    </row>
    <row r="52" spans="1:25">
      <c r="A52" s="58" t="s">
        <v>130</v>
      </c>
      <c r="B52" s="38" t="s">
        <v>131</v>
      </c>
      <c r="C52" s="29">
        <v>1236</v>
      </c>
      <c r="E52" s="38" t="s">
        <v>131</v>
      </c>
      <c r="F52" s="29">
        <v>1494</v>
      </c>
      <c r="G52" t="b">
        <f>IF(B52=E52,TRUE,FALSE)</f>
        <v>1</v>
      </c>
      <c r="J52">
        <f>F52-C52</f>
        <v>258</v>
      </c>
      <c r="K52" s="4">
        <f>F52/C52-1</f>
        <v>0.20873786407766981</v>
      </c>
      <c r="M52" s="5">
        <v>1861.27</v>
      </c>
      <c r="N52" s="5">
        <v>2288.62</v>
      </c>
      <c r="Q52">
        <v>15851.04</v>
      </c>
      <c r="U52" s="149">
        <f>N52-M52</f>
        <v>427.34999999999991</v>
      </c>
      <c r="V52" s="4">
        <f>IF(M52=0,0,N52/M52-1)</f>
        <v>0.22960129374029559</v>
      </c>
      <c r="W52" s="18">
        <v>15301.619999999999</v>
      </c>
      <c r="X52" s="18">
        <v>18592.559999999998</v>
      </c>
      <c r="Y52" s="4">
        <f>X52/W52-1</f>
        <v>0.21507134538695905</v>
      </c>
    </row>
    <row r="53" spans="1:25">
      <c r="A53" s="56" t="s">
        <v>132</v>
      </c>
      <c r="B53" s="38" t="s">
        <v>133</v>
      </c>
      <c r="C53" s="29">
        <v>680</v>
      </c>
      <c r="E53" s="38" t="s">
        <v>133</v>
      </c>
      <c r="F53" s="29">
        <v>938</v>
      </c>
      <c r="G53" t="b">
        <f>IF(B53=E53,TRUE,FALSE)</f>
        <v>1</v>
      </c>
      <c r="J53">
        <f>F53-C53</f>
        <v>258</v>
      </c>
      <c r="K53" s="4">
        <f>F53/C53-1</f>
        <v>0.37941176470588234</v>
      </c>
      <c r="M53" s="5">
        <v>1406.91</v>
      </c>
      <c r="N53" s="5">
        <v>1029.8399999999999</v>
      </c>
      <c r="Q53">
        <v>3466.16</v>
      </c>
      <c r="U53" s="149">
        <f>N53-M53</f>
        <v>-377.07000000000016</v>
      </c>
      <c r="V53" s="4">
        <f>IF(M53=0,0,N53/M53-1)</f>
        <v>-0.26801287928865392</v>
      </c>
      <c r="W53" s="18">
        <v>6793.2</v>
      </c>
      <c r="X53" s="18">
        <v>9370.619999999999</v>
      </c>
      <c r="Y53" s="4">
        <f>X53/W53-1</f>
        <v>0.37941176470588234</v>
      </c>
    </row>
    <row r="54" spans="1:25">
      <c r="A54" t="s">
        <v>134</v>
      </c>
      <c r="B54" t="s">
        <v>135</v>
      </c>
      <c r="C54" s="29">
        <v>15291</v>
      </c>
      <c r="E54" t="s">
        <v>135</v>
      </c>
      <c r="F54" s="29">
        <v>15532</v>
      </c>
      <c r="G54" t="b">
        <f>IF(B54=E54,TRUE,FALSE)</f>
        <v>1</v>
      </c>
      <c r="J54">
        <f>F54-C54</f>
        <v>241</v>
      </c>
      <c r="K54" s="4">
        <f>F54/C54-1</f>
        <v>1.5760905107579548E-2</v>
      </c>
      <c r="M54" s="5">
        <v>17162.919999999998</v>
      </c>
      <c r="N54" s="5">
        <v>10756.77</v>
      </c>
      <c r="Q54">
        <v>100309.28</v>
      </c>
      <c r="U54" s="149">
        <f>N54-M54</f>
        <v>-6406.1499999999978</v>
      </c>
      <c r="V54" s="4">
        <f>IF(M54=0,0,N54/M54-1)</f>
        <v>-0.37325525027209816</v>
      </c>
      <c r="W54" s="18">
        <v>521890.89</v>
      </c>
      <c r="X54" s="18">
        <v>515637.33</v>
      </c>
      <c r="Y54" s="4">
        <f>X54/W54-1</f>
        <v>-1.1982504618925249E-2</v>
      </c>
    </row>
    <row r="55" spans="1:25">
      <c r="A55" t="s">
        <v>136</v>
      </c>
      <c r="B55" t="s">
        <v>137</v>
      </c>
      <c r="C55" s="29">
        <v>883</v>
      </c>
      <c r="E55" t="s">
        <v>137</v>
      </c>
      <c r="F55" s="29">
        <v>1092</v>
      </c>
      <c r="G55" t="b">
        <f>IF(B55=E55,TRUE,FALSE)</f>
        <v>1</v>
      </c>
      <c r="J55">
        <f>F55-C55</f>
        <v>209</v>
      </c>
      <c r="K55" s="4">
        <f>F55/C55-1</f>
        <v>0.23669309173272923</v>
      </c>
      <c r="M55" s="5">
        <v>1609.96</v>
      </c>
      <c r="N55" s="5">
        <v>1513.34</v>
      </c>
      <c r="Q55">
        <v>12015.53</v>
      </c>
      <c r="U55" s="149">
        <f>N55-M55</f>
        <v>-96.620000000000118</v>
      </c>
      <c r="V55" s="4">
        <f>IF(M55=0,0,N55/M55-1)</f>
        <v>-6.0013913389152629E-2</v>
      </c>
      <c r="W55" s="18">
        <v>26481.17</v>
      </c>
      <c r="X55" s="18">
        <v>32749.08</v>
      </c>
      <c r="Y55" s="4">
        <f>X55/W55-1</f>
        <v>0.23669309173272945</v>
      </c>
    </row>
    <row r="56" spans="1:25">
      <c r="A56" s="28" t="s">
        <v>138</v>
      </c>
      <c r="B56" s="28" t="s">
        <v>139</v>
      </c>
      <c r="C56" s="29">
        <v>2157</v>
      </c>
      <c r="D56" s="19"/>
      <c r="E56" s="28" t="s">
        <v>139</v>
      </c>
      <c r="F56" s="29">
        <v>2359</v>
      </c>
      <c r="G56" t="b">
        <f>IF(B56=E56,TRUE,FALSE)</f>
        <v>1</v>
      </c>
      <c r="H56" s="19"/>
      <c r="I56" s="19"/>
      <c r="J56">
        <f>F56-C56</f>
        <v>202</v>
      </c>
      <c r="K56" s="4">
        <f>F56/C56-1</f>
        <v>9.3648585999072775E-2</v>
      </c>
      <c r="M56" s="18">
        <v>3332.79</v>
      </c>
      <c r="N56" s="18">
        <v>3438.38</v>
      </c>
      <c r="O56" s="18"/>
      <c r="P56" s="18"/>
      <c r="Q56">
        <v>23280.53</v>
      </c>
      <c r="U56" s="149">
        <f>N56-M56</f>
        <v>105.59000000000015</v>
      </c>
      <c r="V56" s="4">
        <f>IF(M56=0,0,N56/M56-1)</f>
        <v>3.1682164192763373E-2</v>
      </c>
      <c r="W56" s="18">
        <v>51746.43</v>
      </c>
      <c r="X56" s="18">
        <v>56544.43</v>
      </c>
      <c r="Y56" s="4">
        <f>X56/W56-1</f>
        <v>9.272137227630961E-2</v>
      </c>
    </row>
    <row r="57" spans="1:25">
      <c r="A57" t="s">
        <v>140</v>
      </c>
      <c r="B57" t="s">
        <v>141</v>
      </c>
      <c r="C57" s="29">
        <v>1886</v>
      </c>
      <c r="E57" t="s">
        <v>141</v>
      </c>
      <c r="F57" s="29">
        <v>2088</v>
      </c>
      <c r="G57" t="b">
        <f>IF(B57=E57,TRUE,FALSE)</f>
        <v>1</v>
      </c>
      <c r="J57">
        <f>F57-C57</f>
        <v>202</v>
      </c>
      <c r="K57" s="4">
        <f>F57/C57-1</f>
        <v>0.10710498409331914</v>
      </c>
      <c r="M57" s="5">
        <v>2612.5</v>
      </c>
      <c r="N57" s="5">
        <v>3153.33</v>
      </c>
      <c r="Q57">
        <v>14448.87</v>
      </c>
      <c r="U57" s="149">
        <f>N57-M57</f>
        <v>540.82999999999993</v>
      </c>
      <c r="V57" s="4">
        <f>IF(M57=0,0,N57/M57-1)</f>
        <v>0.20701626794258376</v>
      </c>
      <c r="W57" s="18">
        <v>56415.8</v>
      </c>
      <c r="X57" s="18">
        <v>62445.75</v>
      </c>
      <c r="Y57" s="4">
        <f>X57/W57-1</f>
        <v>0.10688406439330822</v>
      </c>
    </row>
    <row r="58" spans="1:25">
      <c r="A58" t="s">
        <v>142</v>
      </c>
      <c r="B58" t="s">
        <v>143</v>
      </c>
      <c r="C58" s="29">
        <v>2324</v>
      </c>
      <c r="E58" t="s">
        <v>143</v>
      </c>
      <c r="F58" s="29">
        <v>2520</v>
      </c>
      <c r="G58" t="b">
        <f>IF(B58=E58,TRUE,FALSE)</f>
        <v>1</v>
      </c>
      <c r="J58">
        <f>F58-C58</f>
        <v>196</v>
      </c>
      <c r="K58" s="4">
        <f>F58/C58-1</f>
        <v>8.43373493975903E-2</v>
      </c>
      <c r="M58" s="5">
        <v>3705.65</v>
      </c>
      <c r="N58" s="5">
        <v>3798.85</v>
      </c>
      <c r="Q58">
        <v>29018.09</v>
      </c>
      <c r="U58" s="149">
        <f>N58-M58</f>
        <v>93.199999999999818</v>
      </c>
      <c r="V58" s="4">
        <f>IF(M58=0,0,N58/M58-1)</f>
        <v>2.5150783263395038E-2</v>
      </c>
      <c r="W58" s="18">
        <v>62724.76</v>
      </c>
      <c r="X58" s="18">
        <v>68014.8</v>
      </c>
      <c r="Y58" s="4">
        <f>X58/W58-1</f>
        <v>8.43373493975903E-2</v>
      </c>
    </row>
    <row r="59" spans="1:25">
      <c r="A59" s="57" t="s">
        <v>144</v>
      </c>
      <c r="B59" s="38" t="s">
        <v>145</v>
      </c>
      <c r="C59" s="29">
        <v>1871</v>
      </c>
      <c r="E59" s="38" t="s">
        <v>145</v>
      </c>
      <c r="F59" s="29">
        <v>2065</v>
      </c>
      <c r="G59" t="b">
        <f>IF(B59=E59,TRUE,FALSE)</f>
        <v>1</v>
      </c>
      <c r="J59">
        <f>F59-C59</f>
        <v>194</v>
      </c>
      <c r="K59" s="4">
        <f>F59/C59-1</f>
        <v>0.10368786745056124</v>
      </c>
      <c r="M59" s="5">
        <v>3653.13</v>
      </c>
      <c r="N59" s="5">
        <v>4157.82</v>
      </c>
      <c r="Q59">
        <v>23502.55</v>
      </c>
      <c r="U59" s="149">
        <f>N59-M59</f>
        <v>504.6899999999996</v>
      </c>
      <c r="V59" s="4">
        <f>IF(M59=0,0,N59/M59-1)</f>
        <v>0.13815276215190808</v>
      </c>
      <c r="W59" s="18">
        <v>37340.31</v>
      </c>
      <c r="X59" s="18">
        <v>41217.360000000001</v>
      </c>
      <c r="Y59" s="4">
        <f>X59/W59-1</f>
        <v>0.10383015031208909</v>
      </c>
    </row>
    <row r="60" spans="1:25">
      <c r="A60" t="s">
        <v>146</v>
      </c>
      <c r="B60" t="s">
        <v>147</v>
      </c>
      <c r="C60" s="29">
        <v>2520</v>
      </c>
      <c r="E60" t="s">
        <v>147</v>
      </c>
      <c r="F60" s="29">
        <v>2701</v>
      </c>
      <c r="G60" t="b">
        <f>IF(B60=E60,TRUE,FALSE)</f>
        <v>1</v>
      </c>
      <c r="J60">
        <f>F60-C60</f>
        <v>181</v>
      </c>
      <c r="K60" s="4">
        <f>F60/C60-1</f>
        <v>7.1825396825396792E-2</v>
      </c>
      <c r="M60" s="5">
        <v>3191.51</v>
      </c>
      <c r="N60" s="5">
        <v>2665.22</v>
      </c>
      <c r="Q60">
        <v>21707.45</v>
      </c>
      <c r="U60" s="149">
        <f>N60-M60</f>
        <v>-526.29000000000042</v>
      </c>
      <c r="V60" s="4">
        <f>IF(M60=0,0,N60/M60-1)</f>
        <v>-0.16490313362640263</v>
      </c>
      <c r="W60" s="18">
        <v>96289</v>
      </c>
      <c r="X60" s="18">
        <v>102158.08</v>
      </c>
      <c r="Y60" s="4">
        <f>X60/W60-1</f>
        <v>6.0952756805034758E-2</v>
      </c>
    </row>
    <row r="61" spans="1:25">
      <c r="A61" t="s">
        <v>148</v>
      </c>
      <c r="B61" t="s">
        <v>149</v>
      </c>
      <c r="C61" s="29">
        <v>3039</v>
      </c>
      <c r="E61" t="s">
        <v>149</v>
      </c>
      <c r="F61" s="29">
        <v>3213</v>
      </c>
      <c r="G61" t="b">
        <f>IF(B61=E61,TRUE,FALSE)</f>
        <v>1</v>
      </c>
      <c r="J61">
        <f>F61-C61</f>
        <v>174</v>
      </c>
      <c r="K61" s="4">
        <f>F61/C61-1</f>
        <v>5.7255676209279294E-2</v>
      </c>
      <c r="M61" s="5">
        <v>6002.26</v>
      </c>
      <c r="N61" s="5">
        <v>5854.54</v>
      </c>
      <c r="Q61">
        <v>36281.370000000003</v>
      </c>
      <c r="U61" s="149">
        <f>N61-M61</f>
        <v>-147.72000000000025</v>
      </c>
      <c r="V61" s="4">
        <f>IF(M61=0,0,N61/M61-1)</f>
        <v>-2.4610729958382427E-2</v>
      </c>
      <c r="W61" s="18">
        <v>87179.61</v>
      </c>
      <c r="X61" s="18">
        <v>90196.87</v>
      </c>
      <c r="Y61" s="4">
        <f>X61/W61-1</f>
        <v>3.4609698299866265E-2</v>
      </c>
    </row>
    <row r="62" spans="1:25">
      <c r="A62" t="s">
        <v>150</v>
      </c>
      <c r="B62" t="s">
        <v>151</v>
      </c>
      <c r="C62" s="29">
        <v>2935</v>
      </c>
      <c r="E62" t="s">
        <v>151</v>
      </c>
      <c r="F62" s="29">
        <v>3105</v>
      </c>
      <c r="G62" t="b">
        <f>IF(B62=E62,TRUE,FALSE)</f>
        <v>1</v>
      </c>
      <c r="J62">
        <f>F62-C62</f>
        <v>170</v>
      </c>
      <c r="K62" s="4">
        <f>F62/C62-1</f>
        <v>5.7921635434412311E-2</v>
      </c>
      <c r="M62" s="5">
        <v>5584.29</v>
      </c>
      <c r="N62" s="5">
        <v>4139.16</v>
      </c>
      <c r="Q62">
        <v>39888.29</v>
      </c>
      <c r="U62" s="149">
        <f>N62-M62</f>
        <v>-1445.13</v>
      </c>
      <c r="V62" s="4">
        <f>IF(M62=0,0,N62/M62-1)</f>
        <v>-0.25878491267466408</v>
      </c>
      <c r="W62" s="18">
        <v>72888.27</v>
      </c>
      <c r="X62" s="18">
        <v>76953.25</v>
      </c>
      <c r="Y62" s="4">
        <f>X62/W62-1</f>
        <v>5.5770016217973062E-2</v>
      </c>
    </row>
    <row r="63" spans="1:25">
      <c r="A63" t="s">
        <v>152</v>
      </c>
      <c r="B63" t="s">
        <v>153</v>
      </c>
      <c r="C63" s="29">
        <v>951</v>
      </c>
      <c r="E63" t="s">
        <v>153</v>
      </c>
      <c r="F63" s="29">
        <v>1116</v>
      </c>
      <c r="G63" t="b">
        <f>IF(B63=E63,TRUE,FALSE)</f>
        <v>1</v>
      </c>
      <c r="J63">
        <f>F63-C63</f>
        <v>165</v>
      </c>
      <c r="K63" s="4">
        <f>F63/C63-1</f>
        <v>0.17350157728706628</v>
      </c>
      <c r="M63" s="5">
        <v>899.65</v>
      </c>
      <c r="N63" s="5">
        <v>811.05</v>
      </c>
      <c r="Q63">
        <v>7460.06</v>
      </c>
      <c r="U63" s="149">
        <f>N63-M63</f>
        <v>-88.600000000000023</v>
      </c>
      <c r="V63" s="4">
        <f>IF(M63=0,0,N63/M63-1)</f>
        <v>-9.8482743289056929E-2</v>
      </c>
      <c r="W63" s="18">
        <v>22776.45</v>
      </c>
      <c r="X63" s="18">
        <v>26704.25</v>
      </c>
      <c r="Y63" s="4">
        <f>X63/W63-1</f>
        <v>0.17245005257623558</v>
      </c>
    </row>
    <row r="64" spans="1:25">
      <c r="A64" t="s">
        <v>154</v>
      </c>
      <c r="B64" t="s">
        <v>155</v>
      </c>
      <c r="C64" s="29">
        <v>757</v>
      </c>
      <c r="E64" t="s">
        <v>155</v>
      </c>
      <c r="F64" s="29">
        <v>921</v>
      </c>
      <c r="G64" t="b">
        <f>IF(B64=E64,TRUE,FALSE)</f>
        <v>1</v>
      </c>
      <c r="J64">
        <f>F64-C64</f>
        <v>164</v>
      </c>
      <c r="K64" s="4">
        <f>F64/C64-1</f>
        <v>0.21664464993394983</v>
      </c>
      <c r="M64" s="5">
        <v>1216.24</v>
      </c>
      <c r="N64" s="5">
        <v>1398.71</v>
      </c>
      <c r="Q64">
        <v>5469.19</v>
      </c>
      <c r="U64" s="149">
        <f>N64-M64</f>
        <v>182.47000000000003</v>
      </c>
      <c r="V64" s="4">
        <f>IF(M64=0,0,N64/M64-1)</f>
        <v>0.15002795500887989</v>
      </c>
      <c r="W64" s="18">
        <v>12717.91</v>
      </c>
      <c r="X64" s="18">
        <v>14689.95</v>
      </c>
      <c r="Y64" s="4">
        <f>X64/W64-1</f>
        <v>0.15506006883206447</v>
      </c>
    </row>
    <row r="65" spans="1:25">
      <c r="A65" s="58" t="s">
        <v>156</v>
      </c>
      <c r="B65" s="38" t="s">
        <v>157</v>
      </c>
      <c r="C65" s="29">
        <v>551</v>
      </c>
      <c r="E65" s="38" t="s">
        <v>157</v>
      </c>
      <c r="F65" s="29">
        <v>711</v>
      </c>
      <c r="G65" t="b">
        <f>IF(B65=E65,TRUE,FALSE)</f>
        <v>1</v>
      </c>
      <c r="J65">
        <f>F65-C65</f>
        <v>160</v>
      </c>
      <c r="K65" s="4">
        <f>F65/C65-1</f>
        <v>0.29038112522686021</v>
      </c>
      <c r="M65" s="5">
        <v>1031.05</v>
      </c>
      <c r="N65" s="5">
        <v>1200.05</v>
      </c>
      <c r="Q65">
        <v>6369.34</v>
      </c>
      <c r="U65" s="149">
        <f>N65-M65</f>
        <v>169</v>
      </c>
      <c r="V65" s="4">
        <f>IF(M65=0,0,N65/M65-1)</f>
        <v>0.1639105765966733</v>
      </c>
      <c r="W65" s="18">
        <v>24636.49</v>
      </c>
      <c r="X65" s="18">
        <v>30786.39</v>
      </c>
      <c r="Y65" s="4">
        <f>X65/W65-1</f>
        <v>0.2496256569016122</v>
      </c>
    </row>
    <row r="66" spans="1:25">
      <c r="A66" s="55" t="s">
        <v>158</v>
      </c>
      <c r="B66" s="38" t="s">
        <v>159</v>
      </c>
      <c r="C66" s="29">
        <v>738</v>
      </c>
      <c r="E66" s="38" t="s">
        <v>159</v>
      </c>
      <c r="F66" s="29">
        <v>897</v>
      </c>
      <c r="G66" t="b">
        <f>IF(B66=E66,TRUE,FALSE)</f>
        <v>1</v>
      </c>
      <c r="J66">
        <f>F66-C66</f>
        <v>159</v>
      </c>
      <c r="K66" s="4">
        <f>F66/C66-1</f>
        <v>0.21544715447154461</v>
      </c>
      <c r="M66" s="5">
        <v>1669.52</v>
      </c>
      <c r="N66" s="5">
        <v>1802.69</v>
      </c>
      <c r="Q66">
        <v>7225.93</v>
      </c>
      <c r="U66" s="149">
        <f>N66-M66</f>
        <v>133.17000000000007</v>
      </c>
      <c r="V66" s="4">
        <f>IF(M66=0,0,N66/M66-1)</f>
        <v>7.9765441564042305E-2</v>
      </c>
      <c r="W66" s="18">
        <v>10310.629999999999</v>
      </c>
      <c r="X66" s="18">
        <v>12866.04</v>
      </c>
      <c r="Y66" s="4">
        <f>X66/W66-1</f>
        <v>0.24784227539927262</v>
      </c>
    </row>
    <row r="67" spans="1:25">
      <c r="A67" t="s">
        <v>160</v>
      </c>
      <c r="B67" t="s">
        <v>161</v>
      </c>
      <c r="C67" s="29">
        <v>1265</v>
      </c>
      <c r="E67" t="s">
        <v>161</v>
      </c>
      <c r="F67" s="29">
        <v>1422</v>
      </c>
      <c r="G67" t="b">
        <f>IF(B67=E67,TRUE,FALSE)</f>
        <v>1</v>
      </c>
      <c r="J67">
        <f>F67-C67</f>
        <v>157</v>
      </c>
      <c r="K67" s="4">
        <f>F67/C67-1</f>
        <v>0.12411067193675884</v>
      </c>
      <c r="M67" s="5">
        <v>2372.16</v>
      </c>
      <c r="N67" s="5">
        <v>2549.86</v>
      </c>
      <c r="Q67">
        <v>16102.88</v>
      </c>
      <c r="U67" s="149">
        <f>N67-M67</f>
        <v>177.70000000000027</v>
      </c>
      <c r="V67" s="4">
        <f>IF(M67=0,0,N67/M67-1)</f>
        <v>7.4910629974369369E-2</v>
      </c>
      <c r="W67" s="18">
        <v>37936.51</v>
      </c>
      <c r="X67" s="18">
        <v>42645.780000000006</v>
      </c>
      <c r="Y67" s="4">
        <f>X67/W67-1</f>
        <v>0.12413556228551337</v>
      </c>
    </row>
    <row r="68" spans="1:25">
      <c r="A68" t="s">
        <v>162</v>
      </c>
      <c r="B68" t="s">
        <v>163</v>
      </c>
      <c r="C68" s="29">
        <v>973</v>
      </c>
      <c r="E68" t="s">
        <v>163</v>
      </c>
      <c r="F68" s="29">
        <v>1130</v>
      </c>
      <c r="G68" t="b">
        <f>IF(B68=E68,TRUE,FALSE)</f>
        <v>1</v>
      </c>
      <c r="J68">
        <f>F68-C68</f>
        <v>157</v>
      </c>
      <c r="K68" s="4">
        <f>F68/C68-1</f>
        <v>0.16135662898252834</v>
      </c>
      <c r="M68" s="5">
        <v>1954.19</v>
      </c>
      <c r="N68" s="5">
        <v>1640.38</v>
      </c>
      <c r="Q68">
        <v>11353.17</v>
      </c>
      <c r="U68" s="149">
        <f>N68-M68</f>
        <v>-313.80999999999995</v>
      </c>
      <c r="V68" s="4">
        <f>IF(M68=0,0,N68/M68-1)</f>
        <v>-0.16058315721603322</v>
      </c>
      <c r="W68" s="18">
        <v>25288.27</v>
      </c>
      <c r="X68" s="18">
        <v>29368.7</v>
      </c>
      <c r="Y68" s="4">
        <f>X68/W68-1</f>
        <v>0.16135662898252834</v>
      </c>
    </row>
    <row r="69" spans="1:25">
      <c r="A69" t="s">
        <v>164</v>
      </c>
      <c r="B69" t="s">
        <v>165</v>
      </c>
      <c r="C69" s="29">
        <v>733</v>
      </c>
      <c r="E69" t="s">
        <v>165</v>
      </c>
      <c r="F69" s="29">
        <v>883</v>
      </c>
      <c r="G69" t="b">
        <f>IF(B69=E69,TRUE,FALSE)</f>
        <v>1</v>
      </c>
      <c r="J69">
        <f>F69-C69</f>
        <v>150</v>
      </c>
      <c r="K69" s="4">
        <f>F69/C69-1</f>
        <v>0.2046384720327421</v>
      </c>
      <c r="M69" s="5">
        <v>497.13</v>
      </c>
      <c r="N69" s="5">
        <v>579.48</v>
      </c>
      <c r="Q69">
        <v>3845.71</v>
      </c>
      <c r="U69" s="149">
        <f>N69-M69</f>
        <v>82.350000000000023</v>
      </c>
      <c r="V69" s="4">
        <f>IF(M69=0,0,N69/M69-1)</f>
        <v>0.16565083579747752</v>
      </c>
      <c r="W69" s="18">
        <v>14623.35</v>
      </c>
      <c r="X69" s="18">
        <v>17615.849999999999</v>
      </c>
      <c r="Y69" s="4">
        <f>X69/W69-1</f>
        <v>0.2046384720327421</v>
      </c>
    </row>
    <row r="70" spans="1:25">
      <c r="A70" t="s">
        <v>166</v>
      </c>
      <c r="B70" t="s">
        <v>167</v>
      </c>
      <c r="C70" s="29">
        <v>808</v>
      </c>
      <c r="E70" t="s">
        <v>167</v>
      </c>
      <c r="F70" s="29">
        <v>954</v>
      </c>
      <c r="G70" t="b">
        <f>IF(B70=E70,TRUE,FALSE)</f>
        <v>1</v>
      </c>
      <c r="J70">
        <f>F70-C70</f>
        <v>146</v>
      </c>
      <c r="K70" s="4">
        <f>F70/C70-1</f>
        <v>0.18069306930693063</v>
      </c>
      <c r="M70" s="5">
        <v>686.82</v>
      </c>
      <c r="N70" s="5">
        <v>846</v>
      </c>
      <c r="Q70">
        <v>6647.67</v>
      </c>
      <c r="U70" s="149">
        <f>N70-M70</f>
        <v>159.17999999999995</v>
      </c>
      <c r="V70" s="4">
        <f>IF(M70=0,0,N70/M70-1)</f>
        <v>0.2317637809032933</v>
      </c>
      <c r="W70" s="18">
        <v>24199.599999999999</v>
      </c>
      <c r="X70" s="18">
        <v>28572.3</v>
      </c>
      <c r="Y70" s="4">
        <f>X70/W70-1</f>
        <v>0.18069306930693063</v>
      </c>
    </row>
    <row r="71" spans="1:25">
      <c r="A71" t="s">
        <v>168</v>
      </c>
      <c r="B71" t="s">
        <v>169</v>
      </c>
      <c r="C71" s="29">
        <v>588</v>
      </c>
      <c r="E71" t="s">
        <v>169</v>
      </c>
      <c r="F71" s="29">
        <v>731</v>
      </c>
      <c r="G71" t="b">
        <f>IF(B71=E71,TRUE,FALSE)</f>
        <v>1</v>
      </c>
      <c r="J71">
        <f>F71-C71</f>
        <v>143</v>
      </c>
      <c r="K71" s="4">
        <f>F71/C71-1</f>
        <v>0.24319727891156462</v>
      </c>
      <c r="M71" s="5">
        <v>1024.77</v>
      </c>
      <c r="N71" s="5">
        <v>1198.92</v>
      </c>
      <c r="Q71">
        <v>5708.2</v>
      </c>
      <c r="U71" s="149">
        <f>N71-M71</f>
        <v>174.15000000000009</v>
      </c>
      <c r="V71" s="4">
        <f>IF(M71=0,0,N71/M71-1)</f>
        <v>0.16994057203079715</v>
      </c>
      <c r="W71" s="18">
        <v>12318.6</v>
      </c>
      <c r="X71" s="18">
        <v>15314.45</v>
      </c>
      <c r="Y71" s="4">
        <f>X71/W71-1</f>
        <v>0.24319727891156462</v>
      </c>
    </row>
    <row r="72" spans="1:25">
      <c r="A72" s="57" t="s">
        <v>170</v>
      </c>
      <c r="B72" s="38" t="s">
        <v>171</v>
      </c>
      <c r="C72" s="29">
        <v>1440</v>
      </c>
      <c r="E72" s="38" t="s">
        <v>171</v>
      </c>
      <c r="F72" s="29">
        <v>1582</v>
      </c>
      <c r="G72" t="b">
        <f>IF(B72=E72,TRUE,FALSE)</f>
        <v>1</v>
      </c>
      <c r="J72">
        <f>F72-C72</f>
        <v>142</v>
      </c>
      <c r="K72" s="4">
        <f>F72/C72-1</f>
        <v>9.8611111111111205E-2</v>
      </c>
      <c r="M72" s="5">
        <v>2743.19</v>
      </c>
      <c r="N72" s="5">
        <v>2885.88</v>
      </c>
      <c r="Q72">
        <v>28808.99</v>
      </c>
      <c r="U72" s="149">
        <f>N72-M72</f>
        <v>142.69000000000005</v>
      </c>
      <c r="V72" s="4">
        <f>IF(M72=0,0,N72/M72-1)</f>
        <v>5.2016083464871299E-2</v>
      </c>
      <c r="W72" s="18">
        <v>41457.599999999999</v>
      </c>
      <c r="X72" s="18">
        <v>45833.19</v>
      </c>
      <c r="Y72" s="4">
        <f>X72/W72-1</f>
        <v>0.10554373625101321</v>
      </c>
    </row>
    <row r="73" spans="1:25">
      <c r="A73" t="s">
        <v>172</v>
      </c>
      <c r="B73" t="s">
        <v>173</v>
      </c>
      <c r="C73" s="29">
        <v>2234</v>
      </c>
      <c r="E73" t="s">
        <v>173</v>
      </c>
      <c r="F73" s="29">
        <v>2373</v>
      </c>
      <c r="G73" t="b">
        <f>IF(B73=E73,TRUE,FALSE)</f>
        <v>1</v>
      </c>
      <c r="J73">
        <f>F73-C73</f>
        <v>139</v>
      </c>
      <c r="K73" s="4">
        <f>F73/C73-1</f>
        <v>6.2220232766338368E-2</v>
      </c>
      <c r="M73" s="5">
        <v>4881.37</v>
      </c>
      <c r="N73" s="5">
        <v>4800.79</v>
      </c>
      <c r="Q73">
        <v>25174.57</v>
      </c>
      <c r="U73" s="149">
        <f>N73-M73</f>
        <v>-80.579999999999927</v>
      </c>
      <c r="V73" s="4">
        <f>IF(M73=0,0,N73/M73-1)</f>
        <v>-1.6507660759172094E-2</v>
      </c>
      <c r="W73" s="18">
        <v>66967.67</v>
      </c>
      <c r="X73" s="18">
        <v>71166.27</v>
      </c>
      <c r="Y73" s="4">
        <f>X73/W73-1</f>
        <v>6.2695924764890387E-2</v>
      </c>
    </row>
    <row r="74" spans="1:25">
      <c r="A74" s="56" t="s">
        <v>174</v>
      </c>
      <c r="B74" s="38" t="s">
        <v>175</v>
      </c>
      <c r="C74" s="29">
        <v>1034</v>
      </c>
      <c r="E74" s="38" t="s">
        <v>175</v>
      </c>
      <c r="F74" s="29">
        <v>1169</v>
      </c>
      <c r="G74" t="b">
        <f>IF(B74=E74,TRUE,FALSE)</f>
        <v>1</v>
      </c>
      <c r="J74">
        <f>F74-C74</f>
        <v>135</v>
      </c>
      <c r="K74" s="4">
        <f>F74/C74-1</f>
        <v>0.13056092843326894</v>
      </c>
      <c r="M74" s="5">
        <v>1866.57</v>
      </c>
      <c r="N74" s="5">
        <v>2220.5</v>
      </c>
      <c r="Q74">
        <v>11875.93</v>
      </c>
      <c r="U74" s="149">
        <f>N74-M74</f>
        <v>353.93000000000006</v>
      </c>
      <c r="V74" s="4">
        <f>IF(M74=0,0,N74/M74-1)</f>
        <v>0.18961517650021165</v>
      </c>
      <c r="W74" s="18">
        <v>25227.66</v>
      </c>
      <c r="X74" s="18">
        <v>27963.31</v>
      </c>
      <c r="Y74" s="4">
        <f>X74/W74-1</f>
        <v>0.10843851550242878</v>
      </c>
    </row>
    <row r="75" spans="1:25">
      <c r="A75" t="s">
        <v>176</v>
      </c>
      <c r="B75" t="s">
        <v>177</v>
      </c>
      <c r="C75" s="29">
        <v>797</v>
      </c>
      <c r="E75" t="s">
        <v>177</v>
      </c>
      <c r="F75" s="29">
        <v>927</v>
      </c>
      <c r="G75" t="b">
        <f>IF(B75=E75,TRUE,FALSE)</f>
        <v>1</v>
      </c>
      <c r="J75">
        <f>F75-C75</f>
        <v>130</v>
      </c>
      <c r="K75" s="4">
        <f>F75/C75-1</f>
        <v>0.163111668757842</v>
      </c>
      <c r="M75" s="5">
        <v>1356.24</v>
      </c>
      <c r="N75" s="5">
        <v>1334.38</v>
      </c>
      <c r="Q75">
        <v>8905.66</v>
      </c>
      <c r="U75" s="149">
        <f>N75-M75</f>
        <v>-21.8599999999999</v>
      </c>
      <c r="V75" s="4">
        <f>IF(M75=0,0,N75/M75-1)</f>
        <v>-1.61180911932991E-2</v>
      </c>
      <c r="W75" s="18">
        <v>15900.15</v>
      </c>
      <c r="X75" s="18">
        <v>18493.650000000001</v>
      </c>
      <c r="Y75" s="4">
        <f>X75/W75-1</f>
        <v>0.163111668757842</v>
      </c>
    </row>
    <row r="76" spans="1:25">
      <c r="A76" t="s">
        <v>178</v>
      </c>
      <c r="B76" t="s">
        <v>179</v>
      </c>
      <c r="C76" s="29">
        <v>1620</v>
      </c>
      <c r="E76" t="s">
        <v>179</v>
      </c>
      <c r="F76" s="29">
        <v>1747</v>
      </c>
      <c r="G76" t="b">
        <f>IF(B76=E76,TRUE,FALSE)</f>
        <v>1</v>
      </c>
      <c r="J76">
        <f>F76-C76</f>
        <v>127</v>
      </c>
      <c r="K76" s="4">
        <f>F76/C76-1</f>
        <v>7.8395061728395055E-2</v>
      </c>
      <c r="M76" s="5">
        <v>3117.15</v>
      </c>
      <c r="N76" s="5">
        <v>2455.0700000000002</v>
      </c>
      <c r="Q76">
        <v>10427.370000000001</v>
      </c>
      <c r="U76" s="149">
        <f>N76-M76</f>
        <v>-662.07999999999993</v>
      </c>
      <c r="V76" s="4">
        <f>IF(M76=0,0,N76/M76-1)</f>
        <v>-0.21239914665640081</v>
      </c>
      <c r="W76" s="18">
        <v>38839.81</v>
      </c>
      <c r="X76" s="18">
        <v>41886.54</v>
      </c>
      <c r="Y76" s="4">
        <f>X76/W76-1</f>
        <v>7.8443483631871702E-2</v>
      </c>
    </row>
    <row r="77" spans="1:25">
      <c r="A77" t="s">
        <v>180</v>
      </c>
      <c r="B77" t="s">
        <v>181</v>
      </c>
      <c r="C77" s="29">
        <v>872</v>
      </c>
      <c r="E77" t="s">
        <v>181</v>
      </c>
      <c r="F77" s="29">
        <v>996</v>
      </c>
      <c r="G77" t="b">
        <f>IF(B77=E77,TRUE,FALSE)</f>
        <v>1</v>
      </c>
      <c r="J77">
        <f>F77-C77</f>
        <v>124</v>
      </c>
      <c r="K77" s="4">
        <f>F77/C77-1</f>
        <v>0.14220183486238525</v>
      </c>
      <c r="M77" s="5">
        <v>1089.7</v>
      </c>
      <c r="N77" s="5">
        <v>1037.5899999999999</v>
      </c>
      <c r="Q77">
        <v>7793.51</v>
      </c>
      <c r="U77" s="149">
        <f>N77-M77</f>
        <v>-52.110000000000127</v>
      </c>
      <c r="V77" s="4">
        <f>IF(M77=0,0,N77/M77-1)</f>
        <v>-4.7820501055336417E-2</v>
      </c>
      <c r="W77" s="18">
        <v>20919.28</v>
      </c>
      <c r="X77" s="18">
        <v>23894.04</v>
      </c>
      <c r="Y77" s="4">
        <f>X77/W77-1</f>
        <v>0.14220183486238547</v>
      </c>
    </row>
    <row r="78" spans="1:25">
      <c r="A78" t="s">
        <v>182</v>
      </c>
      <c r="B78" t="s">
        <v>183</v>
      </c>
      <c r="C78" s="29">
        <v>1080</v>
      </c>
      <c r="E78" t="s">
        <v>183</v>
      </c>
      <c r="F78" s="29">
        <v>1203</v>
      </c>
      <c r="G78" t="b">
        <f>IF(B78=E78,TRUE,FALSE)</f>
        <v>1</v>
      </c>
      <c r="J78">
        <f>F78-C78</f>
        <v>123</v>
      </c>
      <c r="K78" s="4">
        <f>F78/C78-1</f>
        <v>0.11388888888888893</v>
      </c>
      <c r="M78" s="5">
        <v>995.2</v>
      </c>
      <c r="N78" s="5">
        <v>938.73</v>
      </c>
      <c r="Q78">
        <v>9036.2900000000009</v>
      </c>
      <c r="U78" s="149">
        <f>N78-M78</f>
        <v>-56.470000000000027</v>
      </c>
      <c r="V78" s="4">
        <f>IF(M78=0,0,N78/M78-1)</f>
        <v>-5.6742363344051472E-2</v>
      </c>
      <c r="W78" s="18">
        <v>32389.200000000001</v>
      </c>
      <c r="X78" s="18">
        <v>34940.97</v>
      </c>
      <c r="Y78" s="4">
        <f>X78/W78-1</f>
        <v>7.8784594864955038E-2</v>
      </c>
    </row>
    <row r="79" spans="1:25">
      <c r="A79" t="s">
        <v>184</v>
      </c>
      <c r="B79" t="s">
        <v>185</v>
      </c>
      <c r="C79" s="29">
        <v>1615</v>
      </c>
      <c r="E79" t="s">
        <v>185</v>
      </c>
      <c r="F79" s="29">
        <v>1737</v>
      </c>
      <c r="G79" t="b">
        <f>IF(B79=E79,TRUE,FALSE)</f>
        <v>1</v>
      </c>
      <c r="J79">
        <f>F79-C79</f>
        <v>122</v>
      </c>
      <c r="K79" s="4">
        <f>F79/C79-1</f>
        <v>7.554179566563457E-2</v>
      </c>
      <c r="M79" s="5">
        <v>2733.89</v>
      </c>
      <c r="N79" s="5">
        <v>2449.62</v>
      </c>
      <c r="Q79">
        <v>20093.86</v>
      </c>
      <c r="U79" s="149">
        <f>N79-M79</f>
        <v>-284.27</v>
      </c>
      <c r="V79" s="4">
        <f>IF(M79=0,0,N79/M79-1)</f>
        <v>-0.10398004308878561</v>
      </c>
      <c r="W79" s="18">
        <v>48423.770000000004</v>
      </c>
      <c r="X79" s="18">
        <v>52062.64</v>
      </c>
      <c r="Y79" s="4">
        <f>X79/W79-1</f>
        <v>7.5146358905966881E-2</v>
      </c>
    </row>
    <row r="80" spans="1:25">
      <c r="A80" t="s">
        <v>186</v>
      </c>
      <c r="B80" t="s">
        <v>187</v>
      </c>
      <c r="C80" s="29">
        <v>1213</v>
      </c>
      <c r="E80" t="s">
        <v>187</v>
      </c>
      <c r="F80" s="29">
        <v>1335</v>
      </c>
      <c r="G80" t="b">
        <f>IF(B80=E80,TRUE,FALSE)</f>
        <v>1</v>
      </c>
      <c r="J80">
        <f>F80-C80</f>
        <v>122</v>
      </c>
      <c r="K80" s="4">
        <f>F80/C80-1</f>
        <v>0.10057708161582846</v>
      </c>
      <c r="M80" s="5">
        <v>1266.96</v>
      </c>
      <c r="N80" s="5">
        <v>1388.36</v>
      </c>
      <c r="Q80">
        <v>12473.5</v>
      </c>
      <c r="U80" s="149">
        <f>N80-M80</f>
        <v>121.39999999999986</v>
      </c>
      <c r="V80" s="4">
        <f>IF(M80=0,0,N80/M80-1)</f>
        <v>9.5819915388015264E-2</v>
      </c>
      <c r="W80" s="18">
        <v>32690.35</v>
      </c>
      <c r="X80" s="18">
        <v>35978.25</v>
      </c>
      <c r="Y80" s="4">
        <f>X80/W80-1</f>
        <v>0.10057708161582868</v>
      </c>
    </row>
    <row r="81" spans="1:25">
      <c r="A81" t="s">
        <v>188</v>
      </c>
      <c r="B81" t="s">
        <v>189</v>
      </c>
      <c r="C81" s="29">
        <v>996</v>
      </c>
      <c r="E81" t="s">
        <v>189</v>
      </c>
      <c r="F81" s="29">
        <v>1116</v>
      </c>
      <c r="G81" t="b">
        <f>IF(B81=E81,TRUE,FALSE)</f>
        <v>1</v>
      </c>
      <c r="J81">
        <f>F81-C81</f>
        <v>120</v>
      </c>
      <c r="K81" s="4">
        <f>F81/C81-1</f>
        <v>0.12048192771084332</v>
      </c>
      <c r="M81" s="5">
        <v>2137.0700000000002</v>
      </c>
      <c r="N81" s="5">
        <v>2161.38</v>
      </c>
      <c r="Q81">
        <v>14757.86</v>
      </c>
      <c r="U81" s="149">
        <f>N81-M81</f>
        <v>24.309999999999945</v>
      </c>
      <c r="V81" s="4">
        <f>IF(M81=0,0,N81/M81-1)</f>
        <v>1.1375387797311287E-2</v>
      </c>
      <c r="W81" s="18">
        <v>24850.2</v>
      </c>
      <c r="X81" s="18">
        <v>27794.3</v>
      </c>
      <c r="Y81" s="4">
        <f>X81/W81-1</f>
        <v>0.11847389558232924</v>
      </c>
    </row>
    <row r="82" spans="1:25">
      <c r="A82" t="s">
        <v>190</v>
      </c>
      <c r="B82" t="s">
        <v>191</v>
      </c>
      <c r="C82" s="29">
        <v>477</v>
      </c>
      <c r="E82" t="s">
        <v>191</v>
      </c>
      <c r="F82" s="29">
        <v>596</v>
      </c>
      <c r="G82" t="b">
        <f>IF(B82=E82,TRUE,FALSE)</f>
        <v>1</v>
      </c>
      <c r="J82">
        <f>F82-C82</f>
        <v>119</v>
      </c>
      <c r="K82" s="4">
        <f>F82/C82-1</f>
        <v>0.24947589098532497</v>
      </c>
      <c r="M82" s="5">
        <v>942.09</v>
      </c>
      <c r="N82" s="5">
        <v>812.01</v>
      </c>
      <c r="Q82">
        <v>6743.29</v>
      </c>
      <c r="U82" s="149">
        <f>N82-M82</f>
        <v>-130.08000000000004</v>
      </c>
      <c r="V82" s="4">
        <f>IF(M82=0,0,N82/M82-1)</f>
        <v>-0.13807598000191068</v>
      </c>
      <c r="W82" s="18">
        <v>9535.23</v>
      </c>
      <c r="X82" s="18">
        <v>11914.04</v>
      </c>
      <c r="Y82" s="4">
        <f>X82/W82-1</f>
        <v>0.24947589098532519</v>
      </c>
    </row>
    <row r="83" spans="1:25">
      <c r="A83" s="56" t="s">
        <v>192</v>
      </c>
      <c r="B83" s="38" t="s">
        <v>193</v>
      </c>
      <c r="C83" s="29">
        <v>1848</v>
      </c>
      <c r="E83" s="38" t="s">
        <v>193</v>
      </c>
      <c r="F83" s="29">
        <v>1966</v>
      </c>
      <c r="G83" t="b">
        <f>IF(B83=E83,TRUE,FALSE)</f>
        <v>1</v>
      </c>
      <c r="J83">
        <f>F83-C83</f>
        <v>118</v>
      </c>
      <c r="K83" s="4">
        <f>F83/C83-1</f>
        <v>6.3852813852813828E-2</v>
      </c>
      <c r="M83" s="5">
        <v>2023.54</v>
      </c>
      <c r="N83" s="5">
        <v>1920.85</v>
      </c>
      <c r="Q83">
        <v>22696.400000000001</v>
      </c>
      <c r="U83" s="149">
        <f>N83-M83</f>
        <v>-102.69000000000005</v>
      </c>
      <c r="V83" s="4">
        <f>IF(M83=0,0,N83/M83-1)</f>
        <v>-5.0747699575990568E-2</v>
      </c>
      <c r="W83" s="18">
        <v>34513.54</v>
      </c>
      <c r="X83" s="18">
        <v>42018.35</v>
      </c>
      <c r="Y83" s="4">
        <f>X83/W83-1</f>
        <v>0.21744538520244516</v>
      </c>
    </row>
    <row r="84" spans="1:25">
      <c r="A84" t="s">
        <v>194</v>
      </c>
      <c r="B84" t="s">
        <v>195</v>
      </c>
      <c r="C84" s="29">
        <v>1213</v>
      </c>
      <c r="E84" t="s">
        <v>195</v>
      </c>
      <c r="F84" s="29">
        <v>1330</v>
      </c>
      <c r="G84" t="b">
        <f>IF(B84=E84,TRUE,FALSE)</f>
        <v>1</v>
      </c>
      <c r="J84">
        <f>F84-C84</f>
        <v>117</v>
      </c>
      <c r="K84" s="4">
        <f>F84/C84-1</f>
        <v>9.6455070074196181E-2</v>
      </c>
      <c r="M84" s="5">
        <v>2219.31</v>
      </c>
      <c r="N84" s="5">
        <v>1811.35</v>
      </c>
      <c r="Q84">
        <v>14665.32</v>
      </c>
      <c r="U84" s="149">
        <f>N84-M84</f>
        <v>-407.96000000000004</v>
      </c>
      <c r="V84" s="4">
        <f>IF(M84=0,0,N84/M84-1)</f>
        <v>-0.18382289991033252</v>
      </c>
      <c r="W84" s="18">
        <v>27917.049999999996</v>
      </c>
      <c r="X84" s="18">
        <v>30548.41</v>
      </c>
      <c r="Y84" s="4">
        <f>X84/W84-1</f>
        <v>9.4256377375116829E-2</v>
      </c>
    </row>
    <row r="85" spans="1:25">
      <c r="A85" t="s">
        <v>196</v>
      </c>
      <c r="B85" t="s">
        <v>197</v>
      </c>
      <c r="C85" s="29">
        <v>1360</v>
      </c>
      <c r="E85" t="s">
        <v>197</v>
      </c>
      <c r="F85" s="29">
        <v>1476</v>
      </c>
      <c r="G85" t="b">
        <f>IF(B85=E85,TRUE,FALSE)</f>
        <v>1</v>
      </c>
      <c r="J85">
        <f>F85-C85</f>
        <v>116</v>
      </c>
      <c r="K85" s="4">
        <f>F85/C85-1</f>
        <v>8.5294117647058743E-2</v>
      </c>
      <c r="M85" s="5">
        <v>1736.31</v>
      </c>
      <c r="N85" s="5">
        <v>2182.5700000000002</v>
      </c>
      <c r="Q85">
        <v>14719.61</v>
      </c>
      <c r="U85" s="149">
        <f>N85-M85</f>
        <v>446.26000000000022</v>
      </c>
      <c r="V85" s="4">
        <f>IF(M85=0,0,N85/M85-1)</f>
        <v>0.257016316210815</v>
      </c>
      <c r="W85" s="18">
        <v>47586.400000000001</v>
      </c>
      <c r="X85" s="18">
        <v>51645.24</v>
      </c>
      <c r="Y85" s="4">
        <f>X85/W85-1</f>
        <v>8.5294117647058743E-2</v>
      </c>
    </row>
    <row r="86" spans="1:25">
      <c r="A86" t="s">
        <v>198</v>
      </c>
      <c r="B86" t="s">
        <v>199</v>
      </c>
      <c r="C86" s="29">
        <v>434</v>
      </c>
      <c r="E86" t="s">
        <v>199</v>
      </c>
      <c r="F86" s="29">
        <v>547</v>
      </c>
      <c r="G86" t="b">
        <f>IF(B86=E86,TRUE,FALSE)</f>
        <v>1</v>
      </c>
      <c r="J86">
        <f>F86-C86</f>
        <v>113</v>
      </c>
      <c r="K86" s="4">
        <f>F86/C86-1</f>
        <v>0.26036866359446997</v>
      </c>
      <c r="M86" s="5">
        <v>1058.53</v>
      </c>
      <c r="N86" s="5">
        <v>1300.02</v>
      </c>
      <c r="Q86">
        <v>5548.28</v>
      </c>
      <c r="U86" s="149">
        <f>N86-M86</f>
        <v>241.49</v>
      </c>
      <c r="V86" s="4">
        <f>IF(M86=0,0,N86/M86-1)</f>
        <v>0.22813713357202925</v>
      </c>
      <c r="W86" s="18">
        <v>11723.25</v>
      </c>
      <c r="X86" s="18">
        <v>14741.65</v>
      </c>
      <c r="Y86" s="4">
        <f>X86/W86-1</f>
        <v>0.25747126436781609</v>
      </c>
    </row>
    <row r="87" spans="1:25">
      <c r="A87" t="s">
        <v>200</v>
      </c>
      <c r="B87" t="s">
        <v>201</v>
      </c>
      <c r="C87" s="29">
        <v>2260</v>
      </c>
      <c r="E87" t="s">
        <v>201</v>
      </c>
      <c r="F87" s="29">
        <v>2368</v>
      </c>
      <c r="G87" t="b">
        <f>IF(B87=E87,TRUE,FALSE)</f>
        <v>1</v>
      </c>
      <c r="J87">
        <f>F87-C87</f>
        <v>108</v>
      </c>
      <c r="K87" s="4">
        <f>F87/C87-1</f>
        <v>4.7787610619469012E-2</v>
      </c>
      <c r="M87" s="5">
        <v>4303.6000000000004</v>
      </c>
      <c r="N87" s="5">
        <v>3819.67</v>
      </c>
      <c r="Q87">
        <v>24605.32</v>
      </c>
      <c r="U87" s="149">
        <f>N87-M87</f>
        <v>-483.93000000000029</v>
      </c>
      <c r="V87" s="4">
        <f>IF(M87=0,0,N87/M87-1)</f>
        <v>-0.1124477181894229</v>
      </c>
      <c r="W87" s="18">
        <v>56477.4</v>
      </c>
      <c r="X87" s="18">
        <v>59088.36</v>
      </c>
      <c r="Y87" s="4">
        <f>X87/W87-1</f>
        <v>4.6230173485323212E-2</v>
      </c>
    </row>
    <row r="88" spans="1:25">
      <c r="A88" t="s">
        <v>202</v>
      </c>
      <c r="B88" t="s">
        <v>203</v>
      </c>
      <c r="C88" s="29">
        <v>869</v>
      </c>
      <c r="E88" t="s">
        <v>203</v>
      </c>
      <c r="F88" s="29">
        <v>975</v>
      </c>
      <c r="G88" t="b">
        <f>IF(B88=E88,TRUE,FALSE)</f>
        <v>1</v>
      </c>
      <c r="J88">
        <f>F88-C88</f>
        <v>106</v>
      </c>
      <c r="K88" s="4">
        <f>F88/C88-1</f>
        <v>0.12197928653624857</v>
      </c>
      <c r="M88" s="5">
        <v>646.55999999999995</v>
      </c>
      <c r="N88" s="5">
        <v>579.65</v>
      </c>
      <c r="Q88">
        <v>3354.77</v>
      </c>
      <c r="U88" s="149">
        <f>N88-M88</f>
        <v>-66.909999999999968</v>
      </c>
      <c r="V88" s="4">
        <f>IF(M88=0,0,N88/M88-1)</f>
        <v>-0.10348614204404849</v>
      </c>
      <c r="W88" s="18">
        <v>17336.55</v>
      </c>
      <c r="X88" s="18">
        <v>19451.25</v>
      </c>
      <c r="Y88" s="4">
        <f>X88/W88-1</f>
        <v>0.12197928653624857</v>
      </c>
    </row>
    <row r="89" spans="1:25">
      <c r="A89" t="s">
        <v>204</v>
      </c>
      <c r="B89" t="s">
        <v>205</v>
      </c>
      <c r="C89" s="29">
        <v>1433</v>
      </c>
      <c r="E89" t="s">
        <v>205</v>
      </c>
      <c r="F89" s="29">
        <v>1538</v>
      </c>
      <c r="G89" t="b">
        <f>IF(B89=E89,TRUE,FALSE)</f>
        <v>1</v>
      </c>
      <c r="J89">
        <f>F89-C89</f>
        <v>105</v>
      </c>
      <c r="K89" s="4">
        <f>F89/C89-1</f>
        <v>7.3272854152128364E-2</v>
      </c>
      <c r="M89" s="5">
        <v>1723.7</v>
      </c>
      <c r="N89" s="5">
        <v>1944.15</v>
      </c>
      <c r="Q89">
        <v>13462.01</v>
      </c>
      <c r="U89" s="149">
        <f>N89-M89</f>
        <v>220.45000000000005</v>
      </c>
      <c r="V89" s="4">
        <f>IF(M89=0,0,N89/M89-1)</f>
        <v>0.12789348494517605</v>
      </c>
      <c r="W89" s="18">
        <v>42975.67</v>
      </c>
      <c r="X89" s="18">
        <v>46094.63</v>
      </c>
      <c r="Y89" s="4">
        <f>X89/W89-1</f>
        <v>7.2575017445917656E-2</v>
      </c>
    </row>
    <row r="90" spans="1:25">
      <c r="A90" t="s">
        <v>206</v>
      </c>
      <c r="B90" t="s">
        <v>207</v>
      </c>
      <c r="C90" s="29">
        <v>434</v>
      </c>
      <c r="E90" t="s">
        <v>207</v>
      </c>
      <c r="F90" s="29">
        <v>539</v>
      </c>
      <c r="G90" t="b">
        <f>IF(B90=E90,TRUE,FALSE)</f>
        <v>1</v>
      </c>
      <c r="J90">
        <f>F90-C90</f>
        <v>105</v>
      </c>
      <c r="K90" s="4">
        <f>F90/C90-1</f>
        <v>0.24193548387096775</v>
      </c>
      <c r="M90" s="5">
        <v>812.43</v>
      </c>
      <c r="N90" s="5">
        <v>964.9</v>
      </c>
      <c r="Q90">
        <v>5801.9</v>
      </c>
      <c r="U90" s="149">
        <f>N90-M90</f>
        <v>152.47000000000003</v>
      </c>
      <c r="V90" s="4">
        <f>IF(M90=0,0,N90/M90-1)</f>
        <v>0.18767155324151008</v>
      </c>
      <c r="W90" s="18">
        <v>10394.299999999999</v>
      </c>
      <c r="X90" s="18">
        <v>12909.05</v>
      </c>
      <c r="Y90" s="4">
        <f>X90/W90-1</f>
        <v>0.24193548387096775</v>
      </c>
    </row>
    <row r="91" spans="1:25">
      <c r="A91" t="s">
        <v>208</v>
      </c>
      <c r="B91" t="s">
        <v>209</v>
      </c>
      <c r="C91" s="29">
        <v>1905</v>
      </c>
      <c r="E91" t="s">
        <v>209</v>
      </c>
      <c r="F91" s="29">
        <v>2002</v>
      </c>
      <c r="G91" t="b">
        <f>IF(B91=E91,TRUE,FALSE)</f>
        <v>1</v>
      </c>
      <c r="J91">
        <f>F91-C91</f>
        <v>97</v>
      </c>
      <c r="K91" s="4">
        <f>F91/C91-1</f>
        <v>5.0918635170603688E-2</v>
      </c>
      <c r="M91" s="5">
        <v>2590.2199999999998</v>
      </c>
      <c r="N91" s="5">
        <v>1471.47</v>
      </c>
      <c r="Q91">
        <v>11597.12</v>
      </c>
      <c r="U91" s="149">
        <f>N91-M91</f>
        <v>-1118.7499999999998</v>
      </c>
      <c r="V91" s="4">
        <f>IF(M91=0,0,N91/M91-1)</f>
        <v>-0.4319131193489355</v>
      </c>
      <c r="W91" s="18">
        <v>72110.039999999994</v>
      </c>
      <c r="X91" s="18">
        <v>75149.59</v>
      </c>
      <c r="Y91" s="4">
        <f>X91/W91-1</f>
        <v>4.2151550602384846E-2</v>
      </c>
    </row>
    <row r="92" spans="1:25">
      <c r="A92" t="s">
        <v>210</v>
      </c>
      <c r="B92" s="28" t="s">
        <v>211</v>
      </c>
      <c r="C92" s="29">
        <v>1287</v>
      </c>
      <c r="E92" s="28" t="s">
        <v>211</v>
      </c>
      <c r="F92" s="29">
        <v>1384</v>
      </c>
      <c r="G92" t="b">
        <f>IF(B92=E92,TRUE,FALSE)</f>
        <v>1</v>
      </c>
      <c r="J92">
        <f>F92-C92</f>
        <v>97</v>
      </c>
      <c r="K92" s="4">
        <f>F92/C92-1</f>
        <v>7.5369075369075444E-2</v>
      </c>
      <c r="M92" s="5">
        <v>3153.86</v>
      </c>
      <c r="N92" s="5">
        <v>2911.42</v>
      </c>
      <c r="Q92">
        <v>20424.240000000002</v>
      </c>
      <c r="U92" s="149">
        <f>N92-M92</f>
        <v>-242.44000000000005</v>
      </c>
      <c r="V92" s="4">
        <f>IF(M92=0,0,N92/M92-1)</f>
        <v>-7.6870882030274035E-2</v>
      </c>
      <c r="W92" s="18">
        <v>37310.129999999997</v>
      </c>
      <c r="X92" s="18">
        <v>40122.160000000003</v>
      </c>
      <c r="Y92" s="4">
        <f>X92/W92-1</f>
        <v>7.5369075369075444E-2</v>
      </c>
    </row>
    <row r="93" spans="1:25">
      <c r="A93" t="s">
        <v>212</v>
      </c>
      <c r="B93" t="s">
        <v>213</v>
      </c>
      <c r="C93" s="29">
        <v>1489</v>
      </c>
      <c r="E93" t="s">
        <v>213</v>
      </c>
      <c r="F93" s="29">
        <v>1581</v>
      </c>
      <c r="G93" t="b">
        <f>IF(B93=E93,TRUE,FALSE)</f>
        <v>1</v>
      </c>
      <c r="J93">
        <f>F93-C93</f>
        <v>92</v>
      </c>
      <c r="K93" s="4">
        <f>F93/C93-1</f>
        <v>6.1786433848220357E-2</v>
      </c>
      <c r="M93" s="5">
        <v>2947.86</v>
      </c>
      <c r="N93" s="5">
        <v>2927.75</v>
      </c>
      <c r="Q93">
        <v>18701.3</v>
      </c>
      <c r="U93" s="149">
        <f>N93-M93</f>
        <v>-20.110000000000127</v>
      </c>
      <c r="V93" s="4">
        <f>IF(M93=0,0,N93/M93-1)</f>
        <v>-6.8218979191685403E-3</v>
      </c>
      <c r="W93" s="18">
        <v>40188.11</v>
      </c>
      <c r="X93" s="18">
        <v>42671.19</v>
      </c>
      <c r="Y93" s="4">
        <f>X93/W93-1</f>
        <v>6.1786433848220357E-2</v>
      </c>
    </row>
    <row r="94" spans="1:25" hidden="1">
      <c r="A94" t="s">
        <v>214</v>
      </c>
      <c r="B94" t="s">
        <v>215</v>
      </c>
      <c r="C94" s="29">
        <v>14</v>
      </c>
      <c r="F94" s="29">
        <v>0</v>
      </c>
      <c r="G94" t="b">
        <f>IF(B94=E94,TRUE,FALSE)</f>
        <v>0</v>
      </c>
      <c r="J94">
        <f>F94-C94</f>
        <v>-14</v>
      </c>
      <c r="K94" s="4">
        <f>F94/C94-1</f>
        <v>-1</v>
      </c>
      <c r="M94" s="5">
        <v>2.04</v>
      </c>
      <c r="N94" s="5">
        <v>0</v>
      </c>
      <c r="Q94">
        <v>0</v>
      </c>
      <c r="U94" s="149">
        <f>N94-M94</f>
        <v>-2.04</v>
      </c>
      <c r="V94" s="4">
        <f>IF(M94=0,0,N94/M94-1)</f>
        <v>-1</v>
      </c>
      <c r="W94" s="18">
        <v>419.3</v>
      </c>
      <c r="X94" s="18">
        <v>0</v>
      </c>
      <c r="Y94" s="4">
        <f>X94/W94-1</f>
        <v>-1</v>
      </c>
    </row>
    <row r="95" spans="1:25">
      <c r="A95" t="s">
        <v>216</v>
      </c>
      <c r="B95" t="s">
        <v>217</v>
      </c>
      <c r="C95" s="29">
        <v>654</v>
      </c>
      <c r="E95" t="s">
        <v>217</v>
      </c>
      <c r="F95" s="29">
        <v>745</v>
      </c>
      <c r="G95" t="b">
        <f>IF(B95=E95,TRUE,FALSE)</f>
        <v>1</v>
      </c>
      <c r="J95">
        <f>F95-C95</f>
        <v>91</v>
      </c>
      <c r="K95" s="4">
        <f>F95/C95-1</f>
        <v>0.13914373088685017</v>
      </c>
      <c r="M95" s="5">
        <v>1605.03</v>
      </c>
      <c r="N95" s="5">
        <v>1423.49</v>
      </c>
      <c r="Q95">
        <v>5988.84</v>
      </c>
      <c r="U95" s="149">
        <f>N95-M95</f>
        <v>-181.53999999999996</v>
      </c>
      <c r="V95" s="4">
        <f>IF(M95=0,0,N95/M95-1)</f>
        <v>-0.11310692011987311</v>
      </c>
      <c r="W95" s="18">
        <v>6533.46</v>
      </c>
      <c r="X95" s="18">
        <v>7432.56</v>
      </c>
      <c r="Y95" s="4">
        <f>X95/W95-1</f>
        <v>0.13761467889908263</v>
      </c>
    </row>
    <row r="96" spans="1:25" hidden="1">
      <c r="A96" t="s">
        <v>218</v>
      </c>
      <c r="B96" t="s">
        <v>219</v>
      </c>
      <c r="C96" s="29">
        <v>11</v>
      </c>
      <c r="F96" s="29">
        <v>0</v>
      </c>
      <c r="G96" t="b">
        <f>IF(B96=E96,TRUE,FALSE)</f>
        <v>0</v>
      </c>
      <c r="J96">
        <f>F96-C96</f>
        <v>-11</v>
      </c>
      <c r="K96" s="4">
        <f>F96/C96-1</f>
        <v>-1</v>
      </c>
      <c r="M96" s="5">
        <v>15.23</v>
      </c>
      <c r="N96" s="5">
        <v>0</v>
      </c>
      <c r="Q96">
        <v>0</v>
      </c>
      <c r="U96" s="149">
        <f>N96-M96</f>
        <v>-15.23</v>
      </c>
      <c r="V96" s="4">
        <f>IF(M96=0,0,N96/M96-1)</f>
        <v>-1</v>
      </c>
      <c r="W96" s="18">
        <v>274.45</v>
      </c>
      <c r="X96" s="18">
        <v>0</v>
      </c>
      <c r="Y96" s="4">
        <f>X96/W96-1</f>
        <v>-1</v>
      </c>
    </row>
    <row r="97" spans="1:25">
      <c r="A97" t="s">
        <v>220</v>
      </c>
      <c r="B97" t="s">
        <v>221</v>
      </c>
      <c r="C97" s="29">
        <v>1629</v>
      </c>
      <c r="E97" t="s">
        <v>221</v>
      </c>
      <c r="F97" s="29">
        <v>1718</v>
      </c>
      <c r="G97" t="b">
        <f>IF(B97=E97,TRUE,FALSE)</f>
        <v>1</v>
      </c>
      <c r="J97">
        <f>F97-C97</f>
        <v>89</v>
      </c>
      <c r="K97" s="4">
        <f>F97/C97-1</f>
        <v>5.4634745242480021E-2</v>
      </c>
      <c r="M97" s="5">
        <v>3592.92</v>
      </c>
      <c r="N97" s="5">
        <v>3007.04</v>
      </c>
      <c r="Q97">
        <v>13375.9</v>
      </c>
      <c r="U97" s="149">
        <f>N97-M97</f>
        <v>-585.88000000000011</v>
      </c>
      <c r="V97" s="4">
        <f>IF(M97=0,0,N97/M97-1)</f>
        <v>-0.1630651392182404</v>
      </c>
      <c r="W97" s="18">
        <v>43847.65</v>
      </c>
      <c r="X97" s="18">
        <v>46246.2</v>
      </c>
      <c r="Y97" s="4">
        <f>X97/W97-1</f>
        <v>5.4701905347264823E-2</v>
      </c>
    </row>
    <row r="98" spans="1:25">
      <c r="A98" t="s">
        <v>222</v>
      </c>
      <c r="B98" t="s">
        <v>223</v>
      </c>
      <c r="C98" s="29">
        <v>917</v>
      </c>
      <c r="E98" t="s">
        <v>223</v>
      </c>
      <c r="F98" s="29">
        <v>1003</v>
      </c>
      <c r="G98" t="b">
        <f>IF(B98=E98,TRUE,FALSE)</f>
        <v>1</v>
      </c>
      <c r="J98">
        <f>F98-C98</f>
        <v>86</v>
      </c>
      <c r="K98" s="4">
        <f>F98/C98-1</f>
        <v>9.3784078516902847E-2</v>
      </c>
      <c r="M98" s="5">
        <v>2158.8200000000002</v>
      </c>
      <c r="N98" s="5">
        <v>2454.16</v>
      </c>
      <c r="Q98">
        <v>13756.97</v>
      </c>
      <c r="U98" s="149">
        <f>N98-M98</f>
        <v>295.33999999999969</v>
      </c>
      <c r="V98" s="4">
        <f>IF(M98=0,0,N98/M98-1)</f>
        <v>0.13680621821180083</v>
      </c>
      <c r="W98" s="18">
        <v>21081.83</v>
      </c>
      <c r="X98" s="18">
        <v>23058.61</v>
      </c>
      <c r="Y98" s="4">
        <f>X98/W98-1</f>
        <v>9.3767002200473071E-2</v>
      </c>
    </row>
    <row r="99" spans="1:25">
      <c r="A99" t="s">
        <v>224</v>
      </c>
      <c r="B99" t="s">
        <v>225</v>
      </c>
      <c r="C99" s="29">
        <v>534</v>
      </c>
      <c r="E99" t="s">
        <v>225</v>
      </c>
      <c r="F99" s="29">
        <v>619</v>
      </c>
      <c r="G99" t="b">
        <f>IF(B99=E99,TRUE,FALSE)</f>
        <v>1</v>
      </c>
      <c r="J99">
        <f>F99-C99</f>
        <v>85</v>
      </c>
      <c r="K99" s="4">
        <f>F99/C99-1</f>
        <v>0.15917602996254687</v>
      </c>
      <c r="M99" s="5">
        <v>870.21</v>
      </c>
      <c r="N99" s="5">
        <v>953.53</v>
      </c>
      <c r="Q99">
        <v>5912.19</v>
      </c>
      <c r="U99" s="149">
        <f>N99-M99</f>
        <v>83.319999999999936</v>
      </c>
      <c r="V99" s="4">
        <f>IF(M99=0,0,N99/M99-1)</f>
        <v>9.5747003596832858E-2</v>
      </c>
      <c r="W99" s="18">
        <v>13323.3</v>
      </c>
      <c r="X99" s="18">
        <v>15444.05</v>
      </c>
      <c r="Y99" s="4">
        <f>X99/W99-1</f>
        <v>0.15917602996254687</v>
      </c>
    </row>
    <row r="100" spans="1:25">
      <c r="A100" t="s">
        <v>226</v>
      </c>
      <c r="B100" t="s">
        <v>227</v>
      </c>
      <c r="C100" s="29">
        <v>336</v>
      </c>
      <c r="E100" t="s">
        <v>227</v>
      </c>
      <c r="F100" s="29">
        <v>421</v>
      </c>
      <c r="G100" t="b">
        <f>IF(B100=E100,TRUE,FALSE)</f>
        <v>1</v>
      </c>
      <c r="J100">
        <f>F100-C100</f>
        <v>85</v>
      </c>
      <c r="K100" s="4">
        <f>F100/C100-1</f>
        <v>0.25297619047619047</v>
      </c>
      <c r="M100" s="5">
        <v>775.19</v>
      </c>
      <c r="N100" s="5">
        <v>934.21</v>
      </c>
      <c r="Q100">
        <v>5427.1</v>
      </c>
      <c r="U100" s="149">
        <f>N100-M100</f>
        <v>159.01999999999998</v>
      </c>
      <c r="V100" s="4">
        <f>IF(M100=0,0,N100/M100-1)</f>
        <v>0.20513680517034527</v>
      </c>
      <c r="W100" s="18">
        <v>7375.2</v>
      </c>
      <c r="X100" s="18">
        <v>9240.9500000000007</v>
      </c>
      <c r="Y100" s="4">
        <f>X100/W100-1</f>
        <v>0.25297619047619069</v>
      </c>
    </row>
    <row r="101" spans="1:25">
      <c r="A101" t="s">
        <v>228</v>
      </c>
      <c r="B101" t="s">
        <v>229</v>
      </c>
      <c r="C101" s="29">
        <v>474</v>
      </c>
      <c r="E101" t="s">
        <v>229</v>
      </c>
      <c r="F101" s="29">
        <v>555</v>
      </c>
      <c r="G101" t="b">
        <f>IF(B101=E101,TRUE,FALSE)</f>
        <v>1</v>
      </c>
      <c r="J101">
        <f>F101-C101</f>
        <v>81</v>
      </c>
      <c r="K101" s="4">
        <f>F101/C101-1</f>
        <v>0.17088607594936711</v>
      </c>
      <c r="M101" s="5">
        <v>1294.4000000000001</v>
      </c>
      <c r="N101" s="5">
        <v>1321.72</v>
      </c>
      <c r="Q101">
        <v>6020.03</v>
      </c>
      <c r="U101" s="149">
        <f>N101-M101</f>
        <v>27.319999999999936</v>
      </c>
      <c r="V101" s="4">
        <f>IF(M101=0,0,N101/M101-1)</f>
        <v>2.1106304079109961E-2</v>
      </c>
      <c r="W101" s="18">
        <v>14196.3</v>
      </c>
      <c r="X101" s="18">
        <v>16622.25</v>
      </c>
      <c r="Y101" s="4">
        <f>X101/W101-1</f>
        <v>0.17088607594936711</v>
      </c>
    </row>
    <row r="102" spans="1:25">
      <c r="A102" t="s">
        <v>230</v>
      </c>
      <c r="B102" t="s">
        <v>231</v>
      </c>
      <c r="C102" s="29">
        <v>1569</v>
      </c>
      <c r="E102" t="s">
        <v>231</v>
      </c>
      <c r="F102" s="29">
        <v>1645</v>
      </c>
      <c r="G102" t="b">
        <f>IF(B102=E102,TRUE,FALSE)</f>
        <v>1</v>
      </c>
      <c r="J102">
        <f>F102-C102</f>
        <v>76</v>
      </c>
      <c r="K102" s="4">
        <f>F102/C102-1</f>
        <v>4.8438495857233921E-2</v>
      </c>
      <c r="M102" s="5">
        <v>2780.74</v>
      </c>
      <c r="N102" s="5">
        <v>2282.61</v>
      </c>
      <c r="Q102">
        <v>11761.81</v>
      </c>
      <c r="U102" s="149">
        <f>N102-M102</f>
        <v>-498.12999999999965</v>
      </c>
      <c r="V102" s="4">
        <f>IF(M102=0,0,N102/M102-1)</f>
        <v>-0.1791357696152821</v>
      </c>
      <c r="W102" s="18">
        <v>33394.32</v>
      </c>
      <c r="X102" s="18">
        <v>34835.96</v>
      </c>
      <c r="Y102" s="4">
        <f>X102/W102-1</f>
        <v>4.3170215773221221E-2</v>
      </c>
    </row>
    <row r="103" spans="1:25">
      <c r="A103" t="s">
        <v>232</v>
      </c>
      <c r="B103" t="s">
        <v>233</v>
      </c>
      <c r="C103" s="29">
        <v>1039</v>
      </c>
      <c r="E103" t="s">
        <v>233</v>
      </c>
      <c r="F103" s="29">
        <v>1114</v>
      </c>
      <c r="G103" t="b">
        <f>IF(B103=E103,TRUE,FALSE)</f>
        <v>1</v>
      </c>
      <c r="J103">
        <f>F103-C103</f>
        <v>75</v>
      </c>
      <c r="K103" s="4">
        <f>F103/C103-1</f>
        <v>7.2184793070259934E-2</v>
      </c>
      <c r="M103" s="5">
        <v>1438.16</v>
      </c>
      <c r="N103" s="5">
        <v>1365.23</v>
      </c>
      <c r="Q103">
        <v>5987.57</v>
      </c>
      <c r="U103" s="149">
        <f>N103-M103</f>
        <v>-72.930000000000064</v>
      </c>
      <c r="V103" s="4">
        <f>IF(M103=0,0,N103/M103-1)</f>
        <v>-5.0710630249763633E-2</v>
      </c>
      <c r="W103" s="18">
        <v>24884.05</v>
      </c>
      <c r="X103" s="18">
        <v>26680.3</v>
      </c>
      <c r="Y103" s="4">
        <f>X103/W103-1</f>
        <v>7.2184793070259934E-2</v>
      </c>
    </row>
    <row r="104" spans="1:25">
      <c r="A104" t="s">
        <v>234</v>
      </c>
      <c r="B104" t="s">
        <v>235</v>
      </c>
      <c r="C104" s="29">
        <v>560</v>
      </c>
      <c r="E104" t="s">
        <v>235</v>
      </c>
      <c r="F104" s="29">
        <v>632</v>
      </c>
      <c r="G104" t="b">
        <f>IF(B104=E104,TRUE,FALSE)</f>
        <v>1</v>
      </c>
      <c r="J104">
        <f>F104-C104</f>
        <v>72</v>
      </c>
      <c r="K104" s="4">
        <f>F104/C104-1</f>
        <v>0.12857142857142856</v>
      </c>
      <c r="M104" s="5">
        <v>970.49</v>
      </c>
      <c r="N104" s="5">
        <v>1033</v>
      </c>
      <c r="Q104">
        <v>7263.98</v>
      </c>
      <c r="U104" s="149">
        <f>N104-M104</f>
        <v>62.509999999999991</v>
      </c>
      <c r="V104" s="4">
        <f>IF(M104=0,0,N104/M104-1)</f>
        <v>6.4410761574050124E-2</v>
      </c>
      <c r="W104" s="18">
        <v>13869.92</v>
      </c>
      <c r="X104" s="18">
        <v>15628.04</v>
      </c>
      <c r="Y104" s="4">
        <f>X104/W104-1</f>
        <v>0.1267577606792254</v>
      </c>
    </row>
    <row r="105" spans="1:25" hidden="1">
      <c r="A105" t="s">
        <v>236</v>
      </c>
      <c r="B105" t="s">
        <v>237</v>
      </c>
      <c r="C105" s="29">
        <v>5</v>
      </c>
      <c r="F105" s="29">
        <v>0</v>
      </c>
      <c r="G105" t="b">
        <f>IF(B105=E105,TRUE,FALSE)</f>
        <v>0</v>
      </c>
      <c r="J105">
        <f>F105-C105</f>
        <v>-5</v>
      </c>
      <c r="K105" s="4">
        <f>F105/C105-1</f>
        <v>-1</v>
      </c>
      <c r="M105" s="5">
        <v>1.86</v>
      </c>
      <c r="N105" s="5">
        <v>0</v>
      </c>
      <c r="Q105">
        <v>0</v>
      </c>
      <c r="U105" s="149">
        <f>N105-M105</f>
        <v>-1.86</v>
      </c>
      <c r="V105" s="4">
        <f>IF(M105=0,0,N105/M105-1)</f>
        <v>-1</v>
      </c>
      <c r="W105" s="18">
        <v>124.75</v>
      </c>
      <c r="X105" s="18">
        <v>0</v>
      </c>
      <c r="Y105" s="4">
        <f>X105/W105-1</f>
        <v>-1</v>
      </c>
    </row>
    <row r="106" spans="1:25">
      <c r="A106" s="38" t="s">
        <v>238</v>
      </c>
      <c r="B106" s="38" t="s">
        <v>239</v>
      </c>
      <c r="C106" s="29">
        <v>968</v>
      </c>
      <c r="E106" s="38" t="s">
        <v>239</v>
      </c>
      <c r="F106" s="29">
        <v>1038</v>
      </c>
      <c r="G106" t="b">
        <f>IF(B106=E106,TRUE,FALSE)</f>
        <v>1</v>
      </c>
      <c r="J106">
        <f>F106-C106</f>
        <v>70</v>
      </c>
      <c r="K106" s="4">
        <f>F106/C106-1</f>
        <v>7.2314049586776896E-2</v>
      </c>
      <c r="M106" s="5">
        <v>1641.73</v>
      </c>
      <c r="N106" s="5">
        <v>1630.83</v>
      </c>
      <c r="Q106">
        <v>15366.02</v>
      </c>
      <c r="U106" s="149">
        <f>N106-M106</f>
        <v>-10.900000000000091</v>
      </c>
      <c r="V106" s="4">
        <f>IF(M106=0,0,N106/M106-1)</f>
        <v>-6.6393377717408608E-3</v>
      </c>
      <c r="W106" s="18">
        <v>15276.32</v>
      </c>
      <c r="X106" s="18">
        <v>16595.629999999997</v>
      </c>
      <c r="Y106" s="4">
        <f>X106/W106-1</f>
        <v>8.6363076971416985E-2</v>
      </c>
    </row>
    <row r="107" spans="1:25">
      <c r="A107" t="s">
        <v>240</v>
      </c>
      <c r="B107" t="s">
        <v>241</v>
      </c>
      <c r="C107" s="29">
        <v>1397</v>
      </c>
      <c r="E107" t="s">
        <v>241</v>
      </c>
      <c r="F107" s="29">
        <v>1467</v>
      </c>
      <c r="G107" t="b">
        <f>IF(B107=E107,TRUE,FALSE)</f>
        <v>1</v>
      </c>
      <c r="J107">
        <f>F107-C107</f>
        <v>70</v>
      </c>
      <c r="K107" s="4">
        <f>F107/C107-1</f>
        <v>5.0107372942018502E-2</v>
      </c>
      <c r="M107" s="5">
        <v>2823.95</v>
      </c>
      <c r="N107" s="5">
        <v>1624.08</v>
      </c>
      <c r="Q107">
        <v>11692.63</v>
      </c>
      <c r="U107" s="149">
        <f>N107-M107</f>
        <v>-1199.8699999999999</v>
      </c>
      <c r="V107" s="4">
        <f>IF(M107=0,0,N107/M107-1)</f>
        <v>-0.42489066732767933</v>
      </c>
      <c r="W107" s="18">
        <v>37678.04</v>
      </c>
      <c r="X107" s="18">
        <v>39594.33</v>
      </c>
      <c r="Y107" s="4">
        <f>X107/W107-1</f>
        <v>5.085959885386826E-2</v>
      </c>
    </row>
    <row r="108" spans="1:25" hidden="1">
      <c r="A108" t="s">
        <v>242</v>
      </c>
      <c r="B108" t="s">
        <v>243</v>
      </c>
      <c r="C108" s="29">
        <v>1</v>
      </c>
      <c r="F108" s="29">
        <v>0</v>
      </c>
      <c r="G108" t="b">
        <f>IF(B108=E108,TRUE,FALSE)</f>
        <v>0</v>
      </c>
      <c r="J108">
        <f>F108-C108</f>
        <v>-1</v>
      </c>
      <c r="K108" s="4">
        <f>F108/C108-1</f>
        <v>-1</v>
      </c>
      <c r="M108" s="5">
        <v>0</v>
      </c>
      <c r="N108" s="5">
        <v>0</v>
      </c>
      <c r="Q108">
        <v>0</v>
      </c>
      <c r="U108" s="149">
        <f>N108-M108</f>
        <v>0</v>
      </c>
      <c r="V108" s="4">
        <f>IF(M108=0,0,N108/M108-1)</f>
        <v>0</v>
      </c>
      <c r="W108" s="18">
        <v>21.95</v>
      </c>
      <c r="X108" s="18">
        <v>0</v>
      </c>
      <c r="Y108" s="4">
        <f>X108/W108-1</f>
        <v>-1</v>
      </c>
    </row>
    <row r="109" spans="1:25" hidden="1">
      <c r="A109" t="s">
        <v>244</v>
      </c>
      <c r="B109" t="s">
        <v>245</v>
      </c>
      <c r="C109" s="29">
        <v>0</v>
      </c>
      <c r="F109" s="29">
        <v>0</v>
      </c>
      <c r="G109" t="b">
        <f>IF(B109=E109,TRUE,FALSE)</f>
        <v>0</v>
      </c>
      <c r="J109">
        <f>F109-C109</f>
        <v>0</v>
      </c>
      <c r="K109" s="4" t="e">
        <f>F109/C109-1</f>
        <v>#DIV/0!</v>
      </c>
      <c r="L109" s="5"/>
      <c r="M109" s="5">
        <v>0</v>
      </c>
      <c r="N109" s="5">
        <v>0</v>
      </c>
      <c r="O109" s="5"/>
      <c r="P109" s="5"/>
      <c r="Q109">
        <v>0</v>
      </c>
      <c r="R109" s="5"/>
      <c r="S109" s="5"/>
      <c r="T109" s="5"/>
      <c r="U109" s="149">
        <f>N109-M109</f>
        <v>0</v>
      </c>
      <c r="V109" s="4">
        <f>IF(M109=0,0,N109/M109-1)</f>
        <v>0</v>
      </c>
      <c r="W109" s="18">
        <v>0</v>
      </c>
      <c r="X109" s="18">
        <v>0</v>
      </c>
      <c r="Y109" s="4" t="e">
        <f>X109/W109-1</f>
        <v>#DIV/0!</v>
      </c>
    </row>
    <row r="110" spans="1:25" hidden="1">
      <c r="A110" t="s">
        <v>246</v>
      </c>
      <c r="B110" t="s">
        <v>247</v>
      </c>
      <c r="C110" s="29">
        <v>0</v>
      </c>
      <c r="F110" s="29">
        <v>0</v>
      </c>
      <c r="G110" t="b">
        <f>IF(B110=E110,TRUE,FALSE)</f>
        <v>0</v>
      </c>
      <c r="J110">
        <f>F110-C110</f>
        <v>0</v>
      </c>
      <c r="K110" s="4" t="e">
        <f>F110/C110-1</f>
        <v>#DIV/0!</v>
      </c>
      <c r="M110" s="5">
        <v>0</v>
      </c>
      <c r="N110" s="5">
        <v>0</v>
      </c>
      <c r="Q110">
        <v>0</v>
      </c>
      <c r="U110" s="149">
        <f>N110-M110</f>
        <v>0</v>
      </c>
      <c r="V110" s="4">
        <f>IF(M110=0,0,N110/M110-1)</f>
        <v>0</v>
      </c>
      <c r="W110" s="18">
        <v>0</v>
      </c>
      <c r="X110" s="18">
        <v>0</v>
      </c>
      <c r="Y110" s="4" t="e">
        <f>X110/W110-1</f>
        <v>#DIV/0!</v>
      </c>
    </row>
    <row r="111" spans="1:25">
      <c r="A111" t="s">
        <v>248</v>
      </c>
      <c r="B111" t="s">
        <v>249</v>
      </c>
      <c r="C111" s="29">
        <v>1086</v>
      </c>
      <c r="E111" t="s">
        <v>249</v>
      </c>
      <c r="F111" s="29">
        <v>1154</v>
      </c>
      <c r="G111" t="b">
        <f>IF(B111=E111,TRUE,FALSE)</f>
        <v>1</v>
      </c>
      <c r="J111">
        <f>F111-C111</f>
        <v>68</v>
      </c>
      <c r="K111" s="4">
        <f>F111/C111-1</f>
        <v>6.26151012891345E-2</v>
      </c>
      <c r="M111" s="5">
        <v>2266.81</v>
      </c>
      <c r="N111" s="5">
        <v>2254.7399999999998</v>
      </c>
      <c r="Q111">
        <v>16701.53</v>
      </c>
      <c r="U111" s="149">
        <f>N111-M111</f>
        <v>-12.070000000000164</v>
      </c>
      <c r="V111" s="4">
        <f>IF(M111=0,0,N111/M111-1)</f>
        <v>-5.3246632933506843E-3</v>
      </c>
      <c r="W111" s="18">
        <v>27095.7</v>
      </c>
      <c r="X111" s="18">
        <v>28792.3</v>
      </c>
      <c r="Y111" s="4">
        <f>X111/W111-1</f>
        <v>6.2615101289134278E-2</v>
      </c>
    </row>
    <row r="112" spans="1:25">
      <c r="A112" t="s">
        <v>250</v>
      </c>
      <c r="B112" t="s">
        <v>251</v>
      </c>
      <c r="C112" s="29">
        <v>563</v>
      </c>
      <c r="E112" t="s">
        <v>251</v>
      </c>
      <c r="F112" s="29">
        <v>628</v>
      </c>
      <c r="G112" t="b">
        <f>IF(B112=E112,TRUE,FALSE)</f>
        <v>1</v>
      </c>
      <c r="J112">
        <f>F112-C112</f>
        <v>65</v>
      </c>
      <c r="K112" s="4">
        <f>F112/C112-1</f>
        <v>0.11545293072824148</v>
      </c>
      <c r="M112" s="5">
        <v>709.51</v>
      </c>
      <c r="N112" s="5">
        <v>550.6</v>
      </c>
      <c r="Q112">
        <v>3196.51</v>
      </c>
      <c r="U112" s="149">
        <f>N112-M112</f>
        <v>-158.90999999999997</v>
      </c>
      <c r="V112" s="4">
        <f>IF(M112=0,0,N112/M112-1)</f>
        <v>-0.2239714732702851</v>
      </c>
      <c r="W112" s="18">
        <v>16884.37</v>
      </c>
      <c r="X112" s="18">
        <v>18833.72</v>
      </c>
      <c r="Y112" s="4">
        <f>X112/W112-1</f>
        <v>0.1154529307282417</v>
      </c>
    </row>
    <row r="113" spans="1:25">
      <c r="A113" t="s">
        <v>252</v>
      </c>
      <c r="B113" t="s">
        <v>253</v>
      </c>
      <c r="C113" s="29">
        <v>661</v>
      </c>
      <c r="E113" t="s">
        <v>253</v>
      </c>
      <c r="F113" s="29">
        <v>726</v>
      </c>
      <c r="G113" t="b">
        <f>IF(B113=E113,TRUE,FALSE)</f>
        <v>1</v>
      </c>
      <c r="J113">
        <f>F113-C113</f>
        <v>65</v>
      </c>
      <c r="K113" s="4">
        <f>F113/C113-1</f>
        <v>9.833585476550688E-2</v>
      </c>
      <c r="M113" s="5">
        <v>326.64</v>
      </c>
      <c r="N113" s="5">
        <v>402.54</v>
      </c>
      <c r="Q113">
        <v>5920.45</v>
      </c>
      <c r="U113" s="149">
        <f>N113-M113</f>
        <v>75.900000000000034</v>
      </c>
      <c r="V113" s="4">
        <f>IF(M113=0,0,N113/M113-1)</f>
        <v>0.23236590742101404</v>
      </c>
      <c r="W113" s="18">
        <v>25334.99</v>
      </c>
      <c r="X113" s="18">
        <v>28303.46</v>
      </c>
      <c r="Y113" s="4">
        <f>X113/W113-1</f>
        <v>0.11716878514655016</v>
      </c>
    </row>
    <row r="114" spans="1:25">
      <c r="A114" t="s">
        <v>254</v>
      </c>
      <c r="B114" t="s">
        <v>255</v>
      </c>
      <c r="C114" s="29">
        <v>458</v>
      </c>
      <c r="E114" t="s">
        <v>255</v>
      </c>
      <c r="F114" s="29">
        <v>521</v>
      </c>
      <c r="G114" t="b">
        <f>IF(B114=E114,TRUE,FALSE)</f>
        <v>1</v>
      </c>
      <c r="J114">
        <f>F114-C114</f>
        <v>63</v>
      </c>
      <c r="K114" s="4">
        <f>F114/C114-1</f>
        <v>0.13755458515283836</v>
      </c>
      <c r="M114" s="5">
        <v>248.22</v>
      </c>
      <c r="N114" s="5">
        <v>193.71</v>
      </c>
      <c r="Q114">
        <v>3461.4</v>
      </c>
      <c r="U114" s="149">
        <f>N114-M114</f>
        <v>-54.509999999999991</v>
      </c>
      <c r="V114" s="4">
        <f>IF(M114=0,0,N114/M114-1)</f>
        <v>-0.21960357747159776</v>
      </c>
      <c r="W114" s="18">
        <v>13717.1</v>
      </c>
      <c r="X114" s="18">
        <v>15603.95</v>
      </c>
      <c r="Y114" s="4">
        <f>X114/W114-1</f>
        <v>0.13755458515283836</v>
      </c>
    </row>
    <row r="115" spans="1:25">
      <c r="A115" t="s">
        <v>256</v>
      </c>
      <c r="B115" t="s">
        <v>257</v>
      </c>
      <c r="C115" s="29">
        <v>793</v>
      </c>
      <c r="E115" t="s">
        <v>257</v>
      </c>
      <c r="F115" s="29">
        <v>855</v>
      </c>
      <c r="G115" t="b">
        <f>IF(B115=E115,TRUE,FALSE)</f>
        <v>1</v>
      </c>
      <c r="J115">
        <f>F115-C115</f>
        <v>62</v>
      </c>
      <c r="K115" s="4">
        <f>F115/C115-1</f>
        <v>7.8184110970996201E-2</v>
      </c>
      <c r="M115" s="5">
        <v>1566.56</v>
      </c>
      <c r="N115" s="5">
        <v>1141.45</v>
      </c>
      <c r="Q115">
        <v>5966.46</v>
      </c>
      <c r="U115" s="149">
        <f>N115-M115</f>
        <v>-425.1099999999999</v>
      </c>
      <c r="V115" s="4">
        <f>IF(M115=0,0,N115/M115-1)</f>
        <v>-0.27136528444489827</v>
      </c>
      <c r="W115" s="18">
        <v>19767.09</v>
      </c>
      <c r="X115" s="18">
        <v>21366.45</v>
      </c>
      <c r="Y115" s="4">
        <f>X115/W115-1</f>
        <v>8.0910240202275663E-2</v>
      </c>
    </row>
    <row r="116" spans="1:25">
      <c r="A116" s="38" t="s">
        <v>258</v>
      </c>
      <c r="B116" s="38" t="s">
        <v>259</v>
      </c>
      <c r="C116" s="29">
        <v>1586</v>
      </c>
      <c r="E116" s="38" t="s">
        <v>259</v>
      </c>
      <c r="F116" s="29">
        <v>1646</v>
      </c>
      <c r="G116" t="b">
        <f>IF(B116=E116,TRUE,FALSE)</f>
        <v>1</v>
      </c>
      <c r="J116">
        <f>F116-C116</f>
        <v>60</v>
      </c>
      <c r="K116" s="4">
        <f>F116/C116-1</f>
        <v>3.7831021437578771E-2</v>
      </c>
      <c r="M116" s="5">
        <v>2995.34</v>
      </c>
      <c r="N116" s="5">
        <v>2849.25</v>
      </c>
      <c r="Q116">
        <v>26430.38</v>
      </c>
      <c r="U116" s="149">
        <f>N116-M116</f>
        <v>-146.09000000000015</v>
      </c>
      <c r="V116" s="4">
        <f>IF(M116=0,0,N116/M116-1)</f>
        <v>-4.8772426502500577E-2</v>
      </c>
      <c r="W116" s="18">
        <v>25960.6</v>
      </c>
      <c r="X116" s="18">
        <v>28164.7</v>
      </c>
      <c r="Y116" s="4">
        <f>X116/W116-1</f>
        <v>8.4901735707187065E-2</v>
      </c>
    </row>
    <row r="117" spans="1:25">
      <c r="A117" t="s">
        <v>260</v>
      </c>
      <c r="B117" t="s">
        <v>261</v>
      </c>
      <c r="C117" s="29">
        <v>377</v>
      </c>
      <c r="E117" t="s">
        <v>261</v>
      </c>
      <c r="F117" s="29">
        <v>434</v>
      </c>
      <c r="G117" t="b">
        <f>IF(B117=E117,TRUE,FALSE)</f>
        <v>1</v>
      </c>
      <c r="J117">
        <f>F117-C117</f>
        <v>57</v>
      </c>
      <c r="K117" s="4">
        <f>F117/C117-1</f>
        <v>0.1511936339522546</v>
      </c>
      <c r="M117" s="5">
        <v>328.15</v>
      </c>
      <c r="N117" s="5">
        <v>334.53</v>
      </c>
      <c r="Q117">
        <v>1793.12</v>
      </c>
      <c r="U117" s="149">
        <f>N117-M117</f>
        <v>6.3799999999999955</v>
      </c>
      <c r="V117" s="4">
        <f>IF(M117=0,0,N117/M117-1)</f>
        <v>1.9442328203565395E-2</v>
      </c>
      <c r="W117" s="18">
        <v>8231.25</v>
      </c>
      <c r="X117" s="18">
        <v>9526.2999999999993</v>
      </c>
      <c r="Y117" s="4">
        <f>X117/W117-1</f>
        <v>0.15733333333333333</v>
      </c>
    </row>
    <row r="118" spans="1:25">
      <c r="A118" t="s">
        <v>262</v>
      </c>
      <c r="B118" t="s">
        <v>263</v>
      </c>
      <c r="C118" s="29">
        <v>1323</v>
      </c>
      <c r="E118" t="s">
        <v>263</v>
      </c>
      <c r="F118" s="29">
        <v>1376</v>
      </c>
      <c r="G118" t="b">
        <f>IF(B118=E118,TRUE,FALSE)</f>
        <v>1</v>
      </c>
      <c r="J118">
        <f>F118-C118</f>
        <v>53</v>
      </c>
      <c r="K118" s="4">
        <f>F118/C118-1</f>
        <v>4.0060468631897272E-2</v>
      </c>
      <c r="M118" s="5">
        <v>3127.19</v>
      </c>
      <c r="N118" s="5">
        <v>3083.59</v>
      </c>
      <c r="Q118">
        <v>17507.599999999999</v>
      </c>
      <c r="U118" s="149">
        <f>N118-M118</f>
        <v>-43.599999999999909</v>
      </c>
      <c r="V118" s="4">
        <f>IF(M118=0,0,N118/M118-1)</f>
        <v>-1.3942229285716534E-2</v>
      </c>
      <c r="W118" s="18">
        <v>38049.81</v>
      </c>
      <c r="X118" s="18">
        <v>39890.239999999998</v>
      </c>
      <c r="Y118" s="4">
        <f>X118/W118-1</f>
        <v>4.836896688840242E-2</v>
      </c>
    </row>
    <row r="119" spans="1:25">
      <c r="A119" t="s">
        <v>264</v>
      </c>
      <c r="B119" t="s">
        <v>265</v>
      </c>
      <c r="C119" s="29">
        <v>1152</v>
      </c>
      <c r="E119" t="s">
        <v>265</v>
      </c>
      <c r="F119" s="29">
        <v>1205</v>
      </c>
      <c r="G119" t="b">
        <f>IF(B119=E119,TRUE,FALSE)</f>
        <v>1</v>
      </c>
      <c r="J119">
        <f>F119-C119</f>
        <v>53</v>
      </c>
      <c r="K119" s="4">
        <f>F119/C119-1</f>
        <v>4.600694444444442E-2</v>
      </c>
      <c r="M119" s="5">
        <v>1649.24</v>
      </c>
      <c r="N119" s="5">
        <v>1588.59</v>
      </c>
      <c r="Q119">
        <v>13551.24</v>
      </c>
      <c r="U119" s="149">
        <f>N119-M119</f>
        <v>-60.650000000000091</v>
      </c>
      <c r="V119" s="4">
        <f>IF(M119=0,0,N119/M119-1)</f>
        <v>-3.6774514321748275E-2</v>
      </c>
      <c r="W119" s="18">
        <v>25286.400000000001</v>
      </c>
      <c r="X119" s="18">
        <v>26449.75</v>
      </c>
      <c r="Y119" s="4">
        <f>X119/W119-1</f>
        <v>4.600694444444442E-2</v>
      </c>
    </row>
    <row r="120" spans="1:25">
      <c r="A120" t="s">
        <v>266</v>
      </c>
      <c r="B120" t="s">
        <v>267</v>
      </c>
      <c r="C120" s="29">
        <v>895</v>
      </c>
      <c r="E120" t="s">
        <v>267</v>
      </c>
      <c r="F120" s="29">
        <v>946</v>
      </c>
      <c r="G120" t="b">
        <f>IF(B120=E120,TRUE,FALSE)</f>
        <v>1</v>
      </c>
      <c r="J120">
        <f>F120-C120</f>
        <v>51</v>
      </c>
      <c r="K120" s="4">
        <f>F120/C120-1</f>
        <v>5.6983240223463794E-2</v>
      </c>
      <c r="M120" s="5">
        <v>1142.8900000000001</v>
      </c>
      <c r="N120" s="5">
        <v>1101.8</v>
      </c>
      <c r="Q120">
        <v>6350.47</v>
      </c>
      <c r="U120" s="149">
        <f>N120-M120</f>
        <v>-41.090000000000146</v>
      </c>
      <c r="V120" s="4">
        <f>IF(M120=0,0,N120/M120-1)</f>
        <v>-3.5952716359404779E-2</v>
      </c>
      <c r="W120" s="18">
        <v>22280.35</v>
      </c>
      <c r="X120" s="18">
        <v>23602.7</v>
      </c>
      <c r="Y120" s="4">
        <f>X120/W120-1</f>
        <v>5.935050391937291E-2</v>
      </c>
    </row>
    <row r="121" spans="1:25">
      <c r="A121" t="s">
        <v>268</v>
      </c>
      <c r="B121" t="s">
        <v>269</v>
      </c>
      <c r="C121" s="29">
        <v>658</v>
      </c>
      <c r="E121" t="s">
        <v>269</v>
      </c>
      <c r="F121" s="29">
        <v>706</v>
      </c>
      <c r="G121" t="b">
        <f>IF(B121=E121,TRUE,FALSE)</f>
        <v>1</v>
      </c>
      <c r="J121">
        <f>F121-C121</f>
        <v>48</v>
      </c>
      <c r="K121" s="4">
        <f>F121/C121-1</f>
        <v>7.2948328267477214E-2</v>
      </c>
      <c r="M121" s="5">
        <v>627.85</v>
      </c>
      <c r="N121" s="5">
        <v>546.39</v>
      </c>
      <c r="Q121">
        <v>3805.04</v>
      </c>
      <c r="U121" s="149">
        <f>N121-M121</f>
        <v>-81.460000000000036</v>
      </c>
      <c r="V121" s="4">
        <f>IF(M121=0,0,N121/M121-1)</f>
        <v>-0.12974436569244252</v>
      </c>
      <c r="W121" s="18">
        <v>15759.1</v>
      </c>
      <c r="X121" s="18">
        <v>16908.7</v>
      </c>
      <c r="Y121" s="4">
        <f>X121/W121-1</f>
        <v>7.2948328267477214E-2</v>
      </c>
    </row>
    <row r="122" spans="1:25">
      <c r="A122" s="56" t="s">
        <v>270</v>
      </c>
      <c r="B122" s="38" t="s">
        <v>271</v>
      </c>
      <c r="C122" s="29">
        <v>646</v>
      </c>
      <c r="E122" s="38" t="s">
        <v>271</v>
      </c>
      <c r="F122" s="29">
        <v>693</v>
      </c>
      <c r="G122" t="b">
        <f>IF(B122=E122,TRUE,FALSE)</f>
        <v>1</v>
      </c>
      <c r="J122">
        <f>F122-C122</f>
        <v>47</v>
      </c>
      <c r="K122" s="4">
        <f>F122/C122-1</f>
        <v>7.2755417956656299E-2</v>
      </c>
      <c r="M122" s="5">
        <v>1203.8900000000001</v>
      </c>
      <c r="N122" s="5">
        <v>1248.58</v>
      </c>
      <c r="Q122">
        <v>6378.59</v>
      </c>
      <c r="U122" s="149">
        <f>N122-M122</f>
        <v>44.689999999999827</v>
      </c>
      <c r="V122" s="4">
        <f>IF(M122=0,0,N122/M122-1)</f>
        <v>3.7121331683127146E-2</v>
      </c>
      <c r="W122" s="18">
        <v>12913.539999999999</v>
      </c>
      <c r="X122" s="18">
        <v>13793.1</v>
      </c>
      <c r="Y122" s="4">
        <f>X122/W122-1</f>
        <v>6.8111455108359253E-2</v>
      </c>
    </row>
    <row r="123" spans="1:25">
      <c r="A123" t="s">
        <v>272</v>
      </c>
      <c r="B123" t="s">
        <v>273</v>
      </c>
      <c r="C123" s="29">
        <v>1138</v>
      </c>
      <c r="E123" t="s">
        <v>273</v>
      </c>
      <c r="F123" s="29">
        <v>1184</v>
      </c>
      <c r="G123" t="b">
        <f>IF(B123=E123,TRUE,FALSE)</f>
        <v>1</v>
      </c>
      <c r="J123">
        <f>F123-C123</f>
        <v>46</v>
      </c>
      <c r="K123" s="4">
        <f>F123/C123-1</f>
        <v>4.0421792618629215E-2</v>
      </c>
      <c r="M123" s="5">
        <v>2606.17</v>
      </c>
      <c r="N123" s="5">
        <v>2477.7399999999998</v>
      </c>
      <c r="Q123">
        <v>17920.03</v>
      </c>
      <c r="U123" s="149">
        <f>N123-M123</f>
        <v>-128.43000000000029</v>
      </c>
      <c r="V123" s="4">
        <f>IF(M123=0,0,N123/M123-1)</f>
        <v>-4.9279210488955116E-2</v>
      </c>
      <c r="W123" s="18">
        <v>27299.58</v>
      </c>
      <c r="X123" s="18">
        <v>28404.16</v>
      </c>
      <c r="Y123" s="4">
        <f>X123/W123-1</f>
        <v>4.0461428344318762E-2</v>
      </c>
    </row>
    <row r="124" spans="1:25">
      <c r="A124" t="s">
        <v>274</v>
      </c>
      <c r="B124" t="s">
        <v>275</v>
      </c>
      <c r="C124" s="29">
        <v>2171</v>
      </c>
      <c r="E124" t="s">
        <v>275</v>
      </c>
      <c r="F124" s="29">
        <v>2214</v>
      </c>
      <c r="G124" t="b">
        <f>IF(B124=E124,TRUE,FALSE)</f>
        <v>1</v>
      </c>
      <c r="J124">
        <f>F124-C124</f>
        <v>43</v>
      </c>
      <c r="K124" s="4">
        <f>F124/C124-1</f>
        <v>1.9806540764624625E-2</v>
      </c>
      <c r="M124" s="5">
        <v>3690.55</v>
      </c>
      <c r="N124" s="5">
        <v>3405.2</v>
      </c>
      <c r="Q124">
        <v>21811.24</v>
      </c>
      <c r="U124" s="149">
        <f>N124-M124</f>
        <v>-285.35000000000036</v>
      </c>
      <c r="V124" s="4">
        <f>IF(M124=0,0,N124/M124-1)</f>
        <v>-7.7319098779314865E-2</v>
      </c>
      <c r="W124" s="18">
        <v>47740.29</v>
      </c>
      <c r="X124" s="18">
        <v>48663.87</v>
      </c>
      <c r="Y124" s="4">
        <f>X124/W124-1</f>
        <v>1.9345923537540388E-2</v>
      </c>
    </row>
    <row r="125" spans="1:25">
      <c r="A125" t="s">
        <v>276</v>
      </c>
      <c r="B125" t="s">
        <v>277</v>
      </c>
      <c r="C125" s="29">
        <v>505</v>
      </c>
      <c r="E125" t="s">
        <v>277</v>
      </c>
      <c r="F125" s="29">
        <v>547</v>
      </c>
      <c r="G125" t="b">
        <f>IF(B125=E125,TRUE,FALSE)</f>
        <v>1</v>
      </c>
      <c r="J125">
        <f>F125-C125</f>
        <v>42</v>
      </c>
      <c r="K125" s="4">
        <f>F125/C125-1</f>
        <v>8.3168316831683242E-2</v>
      </c>
      <c r="M125" s="5">
        <v>903.92</v>
      </c>
      <c r="N125" s="5">
        <v>921.29</v>
      </c>
      <c r="Q125">
        <v>8434.68</v>
      </c>
      <c r="U125" s="149">
        <f>N125-M125</f>
        <v>17.370000000000005</v>
      </c>
      <c r="V125" s="4">
        <f>IF(M125=0,0,N125/M125-1)</f>
        <v>1.9216302327639712E-2</v>
      </c>
      <c r="W125" s="18">
        <v>13454.95</v>
      </c>
      <c r="X125" s="18">
        <v>14176.11</v>
      </c>
      <c r="Y125" s="4">
        <f>X125/W125-1</f>
        <v>5.3598118164690289E-2</v>
      </c>
    </row>
    <row r="126" spans="1:25">
      <c r="A126" t="s">
        <v>278</v>
      </c>
      <c r="B126" t="s">
        <v>279</v>
      </c>
      <c r="C126" s="29">
        <v>577</v>
      </c>
      <c r="E126" t="s">
        <v>279</v>
      </c>
      <c r="F126" s="29">
        <v>619</v>
      </c>
      <c r="G126" t="b">
        <f>IF(B126=E126,TRUE,FALSE)</f>
        <v>1</v>
      </c>
      <c r="J126">
        <f>F126-C126</f>
        <v>42</v>
      </c>
      <c r="K126" s="4">
        <f>F126/C126-1</f>
        <v>7.2790294627383068E-2</v>
      </c>
      <c r="M126" s="5">
        <v>620.41999999999996</v>
      </c>
      <c r="N126" s="5">
        <v>546.16</v>
      </c>
      <c r="Q126">
        <v>2859.59</v>
      </c>
      <c r="U126" s="149">
        <f>N126-M126</f>
        <v>-74.259999999999991</v>
      </c>
      <c r="V126" s="4">
        <f>IF(M126=0,0,N126/M126-1)</f>
        <v>-0.11969311111827474</v>
      </c>
      <c r="W126" s="18">
        <v>10915.2</v>
      </c>
      <c r="X126" s="18">
        <v>11730.05</v>
      </c>
      <c r="Y126" s="4">
        <f>X126/W126-1</f>
        <v>7.4652777777777679E-2</v>
      </c>
    </row>
    <row r="127" spans="1:25">
      <c r="A127" t="s">
        <v>280</v>
      </c>
      <c r="B127" t="s">
        <v>281</v>
      </c>
      <c r="C127" s="29">
        <v>965</v>
      </c>
      <c r="E127" t="s">
        <v>281</v>
      </c>
      <c r="F127" s="29">
        <v>1006</v>
      </c>
      <c r="G127" t="b">
        <f>IF(B127=E127,TRUE,FALSE)</f>
        <v>1</v>
      </c>
      <c r="J127">
        <f>F127-C127</f>
        <v>41</v>
      </c>
      <c r="K127" s="4">
        <f>F127/C127-1</f>
        <v>4.2487046632124326E-2</v>
      </c>
      <c r="M127" s="5">
        <v>815.53</v>
      </c>
      <c r="N127" s="5">
        <v>844.05</v>
      </c>
      <c r="Q127">
        <v>5309.2</v>
      </c>
      <c r="U127" s="149">
        <f>N127-M127</f>
        <v>28.519999999999982</v>
      </c>
      <c r="V127" s="4">
        <f>IF(M127=0,0,N127/M127-1)</f>
        <v>3.4971123073338717E-2</v>
      </c>
      <c r="W127" s="18">
        <v>26006.75</v>
      </c>
      <c r="X127" s="18">
        <v>27111.7</v>
      </c>
      <c r="Y127" s="4">
        <f>X127/W127-1</f>
        <v>4.2487046632124326E-2</v>
      </c>
    </row>
    <row r="128" spans="1:25">
      <c r="A128" t="s">
        <v>282</v>
      </c>
      <c r="B128" t="s">
        <v>283</v>
      </c>
      <c r="C128" s="29">
        <v>11415</v>
      </c>
      <c r="E128" t="s">
        <v>283</v>
      </c>
      <c r="F128" s="29">
        <v>11454</v>
      </c>
      <c r="G128" t="b">
        <f>IF(B128=E128,TRUE,FALSE)</f>
        <v>1</v>
      </c>
      <c r="J128">
        <f>F128-C128</f>
        <v>39</v>
      </c>
      <c r="K128" s="4">
        <f>F128/C128-1</f>
        <v>3.4165571616293633E-3</v>
      </c>
      <c r="M128" s="5">
        <v>7046.61</v>
      </c>
      <c r="N128" s="5">
        <v>5995.45</v>
      </c>
      <c r="Q128">
        <v>53539.14</v>
      </c>
      <c r="U128" s="149">
        <f>N128-M128</f>
        <v>-1051.1599999999999</v>
      </c>
      <c r="V128" s="4">
        <f>IF(M128=0,0,N128/M128-1)</f>
        <v>-0.14917243894581933</v>
      </c>
      <c r="W128" s="18">
        <v>341321.26</v>
      </c>
      <c r="X128" s="18">
        <v>331843.28999999998</v>
      </c>
      <c r="Y128" s="4">
        <f>X128/W128-1</f>
        <v>-2.7768472435616864E-2</v>
      </c>
    </row>
    <row r="129" spans="1:25">
      <c r="A129" t="s">
        <v>284</v>
      </c>
      <c r="B129" t="s">
        <v>285</v>
      </c>
      <c r="C129" s="29">
        <v>562</v>
      </c>
      <c r="E129" t="s">
        <v>285</v>
      </c>
      <c r="F129" s="29">
        <v>599</v>
      </c>
      <c r="G129" t="b">
        <f>IF(B129=E129,TRUE,FALSE)</f>
        <v>1</v>
      </c>
      <c r="J129">
        <f>F129-C129</f>
        <v>37</v>
      </c>
      <c r="K129" s="4">
        <f>F129/C129-1</f>
        <v>6.5836298932384407E-2</v>
      </c>
      <c r="M129" s="5">
        <v>1870.6</v>
      </c>
      <c r="N129" s="5">
        <v>1828.25</v>
      </c>
      <c r="Q129">
        <v>9772.0400000000009</v>
      </c>
      <c r="U129" s="149">
        <f>N129-M129</f>
        <v>-42.349999999999909</v>
      </c>
      <c r="V129" s="4">
        <f>IF(M129=0,0,N129/M129-1)</f>
        <v>-2.2639794718272155E-2</v>
      </c>
      <c r="W129" s="18">
        <v>14044.38</v>
      </c>
      <c r="X129" s="18">
        <v>14969.01</v>
      </c>
      <c r="Y129" s="4">
        <f>X129/W129-1</f>
        <v>6.5836298932384407E-2</v>
      </c>
    </row>
    <row r="130" spans="1:25">
      <c r="A130" t="s">
        <v>286</v>
      </c>
      <c r="B130" t="s">
        <v>287</v>
      </c>
      <c r="C130" s="29">
        <v>274</v>
      </c>
      <c r="E130" t="s">
        <v>287</v>
      </c>
      <c r="F130" s="29">
        <v>310</v>
      </c>
      <c r="G130" t="b">
        <f>IF(B130=E130,TRUE,FALSE)</f>
        <v>1</v>
      </c>
      <c r="J130">
        <f>F130-C130</f>
        <v>36</v>
      </c>
      <c r="K130" s="4">
        <f>F130/C130-1</f>
        <v>0.13138686131386867</v>
      </c>
      <c r="M130" s="5">
        <v>285.52999999999997</v>
      </c>
      <c r="N130" s="5">
        <v>291.52</v>
      </c>
      <c r="Q130">
        <v>1354.23</v>
      </c>
      <c r="U130" s="149">
        <f>N130-M130</f>
        <v>5.9900000000000091</v>
      </c>
      <c r="V130" s="4">
        <f>IF(M130=0,0,N130/M130-1)</f>
        <v>2.0978531152593405E-2</v>
      </c>
      <c r="W130" s="18">
        <v>6562.3</v>
      </c>
      <c r="X130" s="18">
        <v>7424.5</v>
      </c>
      <c r="Y130" s="4">
        <f>X130/W130-1</f>
        <v>0.13138686131386867</v>
      </c>
    </row>
    <row r="131" spans="1:25">
      <c r="A131" t="s">
        <v>288</v>
      </c>
      <c r="B131" s="28" t="s">
        <v>289</v>
      </c>
      <c r="C131" s="30">
        <v>1534</v>
      </c>
      <c r="D131" s="19"/>
      <c r="E131" s="28" t="s">
        <v>289</v>
      </c>
      <c r="F131" s="30">
        <v>1567</v>
      </c>
      <c r="G131" t="b">
        <f>IF(B131=E131,TRUE,FALSE)</f>
        <v>1</v>
      </c>
      <c r="H131" s="19"/>
      <c r="I131" s="19"/>
      <c r="J131">
        <f>F131-C131</f>
        <v>33</v>
      </c>
      <c r="K131" s="4">
        <f>F131/C131-1</f>
        <v>2.1512385919165489E-2</v>
      </c>
      <c r="M131" s="5">
        <v>3321.85</v>
      </c>
      <c r="N131" s="5">
        <v>3245.73</v>
      </c>
      <c r="Q131">
        <v>20736.82</v>
      </c>
      <c r="U131" s="149">
        <f>N131-M131</f>
        <v>-76.119999999999891</v>
      </c>
      <c r="V131" s="4">
        <f>IF(M131=0,0,N131/M131-1)</f>
        <v>-2.2914941975104242E-2</v>
      </c>
      <c r="W131" s="18">
        <v>36800.660000000003</v>
      </c>
      <c r="X131" s="18">
        <v>37592.33</v>
      </c>
      <c r="Y131" s="4">
        <f>X131/W131-1</f>
        <v>2.1512385919165489E-2</v>
      </c>
    </row>
    <row r="132" spans="1:25">
      <c r="A132" t="s">
        <v>290</v>
      </c>
      <c r="B132" t="s">
        <v>291</v>
      </c>
      <c r="C132" s="29">
        <v>1230</v>
      </c>
      <c r="E132" t="s">
        <v>291</v>
      </c>
      <c r="F132" s="29">
        <v>1261</v>
      </c>
      <c r="G132" t="b">
        <f>IF(B132=E132,TRUE,FALSE)</f>
        <v>1</v>
      </c>
      <c r="J132">
        <f>F132-C132</f>
        <v>31</v>
      </c>
      <c r="K132" s="4">
        <f>F132/C132-1</f>
        <v>2.5203252032520274E-2</v>
      </c>
      <c r="M132" s="5">
        <v>1065.6300000000001</v>
      </c>
      <c r="N132" s="5">
        <v>753.21</v>
      </c>
      <c r="Q132">
        <v>3523.99</v>
      </c>
      <c r="U132" s="149">
        <f>N132-M132</f>
        <v>-312.42000000000007</v>
      </c>
      <c r="V132" s="4">
        <f>IF(M132=0,0,N132/M132-1)</f>
        <v>-0.29317868303257233</v>
      </c>
      <c r="W132" s="18">
        <v>42988.5</v>
      </c>
      <c r="X132" s="18">
        <v>44071.95</v>
      </c>
      <c r="Y132" s="4">
        <f>X132/W132-1</f>
        <v>2.5203252032520274E-2</v>
      </c>
    </row>
    <row r="133" spans="1:25">
      <c r="A133" t="s">
        <v>292</v>
      </c>
      <c r="B133" t="s">
        <v>293</v>
      </c>
      <c r="C133" s="29">
        <v>1302</v>
      </c>
      <c r="E133" t="s">
        <v>293</v>
      </c>
      <c r="F133" s="29">
        <v>1332</v>
      </c>
      <c r="G133" t="b">
        <f>IF(B133=E133,TRUE,FALSE)</f>
        <v>1</v>
      </c>
      <c r="J133">
        <f>F133-C133</f>
        <v>30</v>
      </c>
      <c r="K133" s="4">
        <f>F133/C133-1</f>
        <v>2.3041474654377891E-2</v>
      </c>
      <c r="L133" s="5"/>
      <c r="M133" s="5">
        <v>1884.02</v>
      </c>
      <c r="N133" s="5">
        <v>1767.56</v>
      </c>
      <c r="O133" s="5"/>
      <c r="P133" s="5"/>
      <c r="Q133">
        <v>10587.45</v>
      </c>
      <c r="R133" s="5"/>
      <c r="S133" s="5"/>
      <c r="T133" s="5"/>
      <c r="U133" s="149">
        <f>N133-M133</f>
        <v>-116.46000000000004</v>
      </c>
      <c r="V133" s="4">
        <f>IF(M133=0,0,N133/M133-1)</f>
        <v>-6.1814630417936112E-2</v>
      </c>
      <c r="W133" s="18">
        <v>35088.9</v>
      </c>
      <c r="X133" s="18">
        <v>35897.4</v>
      </c>
      <c r="Y133" s="4">
        <f>X133/W133-1</f>
        <v>2.3041474654377891E-2</v>
      </c>
    </row>
    <row r="134" spans="1:25">
      <c r="A134" t="s">
        <v>294</v>
      </c>
      <c r="B134" t="s">
        <v>295</v>
      </c>
      <c r="C134" s="29">
        <v>372</v>
      </c>
      <c r="E134" t="s">
        <v>295</v>
      </c>
      <c r="F134" s="29">
        <v>399</v>
      </c>
      <c r="G134" t="b">
        <f>IF(B134=E134,TRUE,FALSE)</f>
        <v>1</v>
      </c>
      <c r="J134">
        <f>F134-C134</f>
        <v>27</v>
      </c>
      <c r="K134" s="4">
        <f>F134/C134-1</f>
        <v>7.2580645161290258E-2</v>
      </c>
      <c r="M134" s="5">
        <v>546.41</v>
      </c>
      <c r="N134" s="5">
        <v>578.67999999999995</v>
      </c>
      <c r="Q134">
        <v>2776.37</v>
      </c>
      <c r="U134" s="149">
        <f>N134-M134</f>
        <v>32.269999999999982</v>
      </c>
      <c r="V134" s="4">
        <f>IF(M134=0,0,N134/M134-1)</f>
        <v>5.9058216357680049E-2</v>
      </c>
      <c r="W134" s="18">
        <v>7421.4</v>
      </c>
      <c r="X134" s="18">
        <v>7960.05</v>
      </c>
      <c r="Y134" s="4">
        <f>X134/W134-1</f>
        <v>7.258064516129048E-2</v>
      </c>
    </row>
    <row r="135" spans="1:25">
      <c r="A135" t="s">
        <v>296</v>
      </c>
      <c r="B135" t="s">
        <v>297</v>
      </c>
      <c r="C135" s="29">
        <v>1355</v>
      </c>
      <c r="E135" t="s">
        <v>297</v>
      </c>
      <c r="F135" s="29">
        <v>1378</v>
      </c>
      <c r="G135" t="b">
        <f>IF(B135=E135,TRUE,FALSE)</f>
        <v>1</v>
      </c>
      <c r="J135">
        <f>F135-C135</f>
        <v>23</v>
      </c>
      <c r="K135" s="4">
        <f>F135/C135-1</f>
        <v>1.6974169741697409E-2</v>
      </c>
      <c r="M135" s="5">
        <v>2854.72</v>
      </c>
      <c r="N135" s="5">
        <v>2411.69</v>
      </c>
      <c r="Q135">
        <v>21761.24</v>
      </c>
      <c r="U135" s="149">
        <f>N135-M135</f>
        <v>-443.02999999999975</v>
      </c>
      <c r="V135" s="4">
        <f>IF(M135=0,0,N135/M135-1)</f>
        <v>-0.15519210290326191</v>
      </c>
      <c r="W135" s="18">
        <v>36517.25</v>
      </c>
      <c r="X135" s="18">
        <v>37137.1</v>
      </c>
      <c r="Y135" s="4">
        <f>X135/W135-1</f>
        <v>1.6974169741697409E-2</v>
      </c>
    </row>
    <row r="136" spans="1:25">
      <c r="A136" t="s">
        <v>298</v>
      </c>
      <c r="B136" t="s">
        <v>299</v>
      </c>
      <c r="C136" s="29">
        <v>212</v>
      </c>
      <c r="E136" t="s">
        <v>299</v>
      </c>
      <c r="F136" s="29">
        <v>233</v>
      </c>
      <c r="G136" t="b">
        <f>IF(B136=E136,TRUE,FALSE)</f>
        <v>1</v>
      </c>
      <c r="J136">
        <f>F136-C136</f>
        <v>21</v>
      </c>
      <c r="K136" s="4">
        <f>F136/C136-1</f>
        <v>9.9056603773584939E-2</v>
      </c>
      <c r="M136" s="5">
        <v>453.98</v>
      </c>
      <c r="N136" s="5">
        <v>472.62</v>
      </c>
      <c r="Q136">
        <v>1640.9</v>
      </c>
      <c r="U136" s="149">
        <f>N136-M136</f>
        <v>18.639999999999986</v>
      </c>
      <c r="V136" s="4">
        <f>IF(M136=0,0,N136/M136-1)</f>
        <v>4.1059077492400453E-2</v>
      </c>
      <c r="W136" s="18">
        <v>4217.8900000000003</v>
      </c>
      <c r="X136" s="18">
        <v>4657.67</v>
      </c>
      <c r="Y136" s="4">
        <f>X136/W136-1</f>
        <v>0.10426540284360186</v>
      </c>
    </row>
    <row r="137" spans="1:25">
      <c r="A137" t="s">
        <v>300</v>
      </c>
      <c r="B137" t="s">
        <v>301</v>
      </c>
      <c r="C137" s="29">
        <v>1789</v>
      </c>
      <c r="E137" t="s">
        <v>301</v>
      </c>
      <c r="F137" s="29">
        <v>1808</v>
      </c>
      <c r="G137" t="b">
        <f>IF(B137=E137,TRUE,FALSE)</f>
        <v>1</v>
      </c>
      <c r="J137">
        <f>F137-C137</f>
        <v>19</v>
      </c>
      <c r="K137" s="4">
        <f>F137/C137-1</f>
        <v>1.0620458356623841E-2</v>
      </c>
      <c r="M137" s="5">
        <v>2541.92</v>
      </c>
      <c r="N137" s="5">
        <v>2215.56</v>
      </c>
      <c r="Q137">
        <v>24588.54</v>
      </c>
      <c r="U137" s="149">
        <f>N137-M137</f>
        <v>-326.36000000000013</v>
      </c>
      <c r="V137" s="4">
        <f>IF(M137=0,0,N137/M137-1)</f>
        <v>-0.12839113740794361</v>
      </c>
      <c r="W137" s="18">
        <v>53592.13</v>
      </c>
      <c r="X137" s="18">
        <v>54221.919999999998</v>
      </c>
      <c r="Y137" s="4">
        <f>X137/W137-1</f>
        <v>1.1751538891997759E-2</v>
      </c>
    </row>
    <row r="138" spans="1:25">
      <c r="A138" t="s">
        <v>302</v>
      </c>
      <c r="B138" t="s">
        <v>303</v>
      </c>
      <c r="C138" s="29">
        <v>536</v>
      </c>
      <c r="E138" t="s">
        <v>303</v>
      </c>
      <c r="F138" s="29">
        <v>554</v>
      </c>
      <c r="G138" t="b">
        <f>IF(B138=E138,TRUE,FALSE)</f>
        <v>1</v>
      </c>
      <c r="J138">
        <f>F138-C138</f>
        <v>18</v>
      </c>
      <c r="K138" s="4">
        <f>F138/C138-1</f>
        <v>3.3582089552238736E-2</v>
      </c>
      <c r="M138" s="5">
        <v>376.23</v>
      </c>
      <c r="N138" s="5">
        <v>122.56</v>
      </c>
      <c r="Q138">
        <v>1108.54</v>
      </c>
      <c r="U138" s="149">
        <f>N138-M138</f>
        <v>-253.67000000000002</v>
      </c>
      <c r="V138" s="4">
        <f>IF(M138=0,0,N138/M138-1)</f>
        <v>-0.67424182016319811</v>
      </c>
      <c r="W138" s="18">
        <v>11743.25</v>
      </c>
      <c r="X138" s="18">
        <v>12169.86</v>
      </c>
      <c r="Y138" s="4">
        <f>X138/W138-1</f>
        <v>3.6328103378536758E-2</v>
      </c>
    </row>
    <row r="139" spans="1:25">
      <c r="A139" s="58" t="s">
        <v>304</v>
      </c>
      <c r="B139" s="38" t="s">
        <v>305</v>
      </c>
      <c r="C139" s="29">
        <v>317</v>
      </c>
      <c r="E139" s="38" t="s">
        <v>305</v>
      </c>
      <c r="F139" s="29">
        <v>333</v>
      </c>
      <c r="G139" t="b">
        <f>IF(B139=E139,TRUE,FALSE)</f>
        <v>1</v>
      </c>
      <c r="J139">
        <f>F139-C139</f>
        <v>16</v>
      </c>
      <c r="K139" s="4">
        <f>F139/C139-1</f>
        <v>5.0473186119873725E-2</v>
      </c>
      <c r="M139" s="5">
        <v>179.72</v>
      </c>
      <c r="N139" s="5">
        <v>90.77</v>
      </c>
      <c r="Q139">
        <v>651.79</v>
      </c>
      <c r="U139" s="149">
        <f>N139-M139</f>
        <v>-88.95</v>
      </c>
      <c r="V139" s="4">
        <f>IF(M139=0,0,N139/M139-1)</f>
        <v>-0.49493656799465835</v>
      </c>
      <c r="W139" s="18">
        <v>5373.15</v>
      </c>
      <c r="X139" s="18">
        <v>5644.35</v>
      </c>
      <c r="Y139" s="4">
        <f>X139/W139-1</f>
        <v>5.0473186119873947E-2</v>
      </c>
    </row>
    <row r="140" spans="1:25">
      <c r="A140" t="s">
        <v>306</v>
      </c>
      <c r="B140" t="s">
        <v>307</v>
      </c>
      <c r="C140" s="29">
        <v>1707</v>
      </c>
      <c r="E140" t="s">
        <v>307</v>
      </c>
      <c r="F140" s="29">
        <v>1722</v>
      </c>
      <c r="G140" t="b">
        <f>IF(B140=E140,TRUE,FALSE)</f>
        <v>1</v>
      </c>
      <c r="J140">
        <f>F140-C140</f>
        <v>15</v>
      </c>
      <c r="K140" s="4">
        <f>F140/C140-1</f>
        <v>8.7873462214411724E-3</v>
      </c>
      <c r="M140" s="5">
        <v>2582.73</v>
      </c>
      <c r="N140" s="5">
        <v>2588.13</v>
      </c>
      <c r="Q140">
        <v>19190.400000000001</v>
      </c>
      <c r="U140" s="149">
        <f>N140-M140</f>
        <v>5.4000000000000909</v>
      </c>
      <c r="V140" s="4">
        <f>IF(M140=0,0,N140/M140-1)</f>
        <v>2.0908108861554808E-3</v>
      </c>
      <c r="W140" s="18">
        <v>45922.8</v>
      </c>
      <c r="X140" s="18">
        <v>46362.9</v>
      </c>
      <c r="Y140" s="4">
        <f>X140/W140-1</f>
        <v>9.5834748752252619E-3</v>
      </c>
    </row>
    <row r="141" spans="1:25">
      <c r="A141" t="s">
        <v>308</v>
      </c>
      <c r="B141" t="s">
        <v>309</v>
      </c>
      <c r="C141" s="29">
        <v>767</v>
      </c>
      <c r="E141" t="s">
        <v>309</v>
      </c>
      <c r="F141" s="29">
        <v>781</v>
      </c>
      <c r="G141" t="b">
        <f>IF(B141=E141,TRUE,FALSE)</f>
        <v>1</v>
      </c>
      <c r="J141">
        <f>F141-C141</f>
        <v>14</v>
      </c>
      <c r="K141" s="4">
        <f>F141/C141-1</f>
        <v>1.8252933507170832E-2</v>
      </c>
      <c r="M141" s="5">
        <v>1828.45</v>
      </c>
      <c r="N141" s="5">
        <v>1819.82</v>
      </c>
      <c r="Q141">
        <v>10383.799999999999</v>
      </c>
      <c r="U141" s="149">
        <f>N141-M141</f>
        <v>-8.6300000000001091</v>
      </c>
      <c r="V141" s="4">
        <f>IF(M141=0,0,N141/M141-1)</f>
        <v>-4.7198446771856695E-3</v>
      </c>
      <c r="W141" s="18">
        <v>14534.65</v>
      </c>
      <c r="X141" s="18">
        <v>14799.95</v>
      </c>
      <c r="Y141" s="4">
        <f>X141/W141-1</f>
        <v>1.8252933507170832E-2</v>
      </c>
    </row>
    <row r="142" spans="1:25">
      <c r="A142" t="s">
        <v>310</v>
      </c>
      <c r="B142" t="s">
        <v>311</v>
      </c>
      <c r="C142" s="29">
        <v>490</v>
      </c>
      <c r="E142" t="s">
        <v>311</v>
      </c>
      <c r="F142" s="29">
        <v>503</v>
      </c>
      <c r="G142" t="b">
        <f>IF(B142=E142,TRUE,FALSE)</f>
        <v>1</v>
      </c>
      <c r="J142">
        <f>F142-C142</f>
        <v>13</v>
      </c>
      <c r="K142" s="4">
        <f>F142/C142-1</f>
        <v>2.6530612244898055E-2</v>
      </c>
      <c r="M142" s="5">
        <v>604.4</v>
      </c>
      <c r="N142" s="5">
        <v>528.32000000000005</v>
      </c>
      <c r="Q142">
        <v>3322.46</v>
      </c>
      <c r="U142" s="149">
        <f>N142-M142</f>
        <v>-76.079999999999927</v>
      </c>
      <c r="V142" s="4">
        <f>IF(M142=0,0,N142/M142-1)</f>
        <v>-0.12587690271343466</v>
      </c>
      <c r="W142" s="18">
        <v>12225.5</v>
      </c>
      <c r="X142" s="18">
        <v>12549.85</v>
      </c>
      <c r="Y142" s="4">
        <f>X142/W142-1</f>
        <v>2.6530612244898055E-2</v>
      </c>
    </row>
    <row r="143" spans="1:25">
      <c r="A143" t="s">
        <v>312</v>
      </c>
      <c r="B143" t="s">
        <v>313</v>
      </c>
      <c r="C143" s="29">
        <v>839</v>
      </c>
      <c r="E143" t="s">
        <v>313</v>
      </c>
      <c r="F143" s="29">
        <v>852</v>
      </c>
      <c r="G143" t="b">
        <f>IF(B143=E143,TRUE,FALSE)</f>
        <v>1</v>
      </c>
      <c r="J143">
        <f>F143-C143</f>
        <v>13</v>
      </c>
      <c r="K143" s="4">
        <f>F143/C143-1</f>
        <v>1.5494636471990564E-2</v>
      </c>
      <c r="M143" s="5">
        <v>783.81</v>
      </c>
      <c r="N143" s="5">
        <v>691.53</v>
      </c>
      <c r="Q143">
        <v>3915.09</v>
      </c>
      <c r="U143" s="149">
        <f>N143-M143</f>
        <v>-92.279999999999973</v>
      </c>
      <c r="V143" s="4">
        <f>IF(M143=0,0,N143/M143-1)</f>
        <v>-0.11773261377119448</v>
      </c>
      <c r="W143" s="18">
        <v>24860.05</v>
      </c>
      <c r="X143" s="18">
        <v>25551.48</v>
      </c>
      <c r="Y143" s="4">
        <f>X143/W143-1</f>
        <v>2.7812896595139636E-2</v>
      </c>
    </row>
    <row r="144" spans="1:25">
      <c r="A144" t="s">
        <v>314</v>
      </c>
      <c r="B144" t="s">
        <v>315</v>
      </c>
      <c r="C144" s="29">
        <v>1906</v>
      </c>
      <c r="E144" t="s">
        <v>315</v>
      </c>
      <c r="F144" s="29">
        <v>1919</v>
      </c>
      <c r="G144" t="b">
        <f>IF(B144=E144,TRUE,FALSE)</f>
        <v>1</v>
      </c>
      <c r="J144">
        <f>F144-C144</f>
        <v>13</v>
      </c>
      <c r="K144" s="4">
        <f>F144/C144-1</f>
        <v>6.8205666316893954E-3</v>
      </c>
      <c r="M144" s="5">
        <v>4040.35</v>
      </c>
      <c r="N144" s="5">
        <v>3759.35</v>
      </c>
      <c r="Q144">
        <v>25261.81</v>
      </c>
      <c r="U144" s="149">
        <f>N144-M144</f>
        <v>-281</v>
      </c>
      <c r="V144" s="4">
        <f>IF(M144=0,0,N144/M144-1)</f>
        <v>-6.9548430210254031E-2</v>
      </c>
      <c r="W144" s="18">
        <v>57130.95</v>
      </c>
      <c r="X144" s="18">
        <v>57454.82</v>
      </c>
      <c r="Y144" s="4">
        <f>X144/W144-1</f>
        <v>5.6689062583417105E-3</v>
      </c>
    </row>
    <row r="145" spans="1:25">
      <c r="A145" t="s">
        <v>316</v>
      </c>
      <c r="B145" t="s">
        <v>317</v>
      </c>
      <c r="C145" s="29">
        <v>409</v>
      </c>
      <c r="E145" t="s">
        <v>317</v>
      </c>
      <c r="F145" s="29">
        <v>419</v>
      </c>
      <c r="G145" t="b">
        <f>IF(B145=E145,TRUE,FALSE)</f>
        <v>1</v>
      </c>
      <c r="J145">
        <f>F145-C145</f>
        <v>10</v>
      </c>
      <c r="K145" s="4">
        <f>F145/C145-1</f>
        <v>2.4449877750611249E-2</v>
      </c>
      <c r="M145" s="5">
        <v>635.63</v>
      </c>
      <c r="N145" s="5">
        <v>502.34</v>
      </c>
      <c r="Q145">
        <v>3247.64</v>
      </c>
      <c r="U145" s="149">
        <f>N145-M145</f>
        <v>-133.29000000000002</v>
      </c>
      <c r="V145" s="4">
        <f>IF(M145=0,0,N145/M145-1)</f>
        <v>-0.20969746550666268</v>
      </c>
      <c r="W145" s="18">
        <v>20329.650000000001</v>
      </c>
      <c r="X145" s="18">
        <v>20879.099999999999</v>
      </c>
      <c r="Y145" s="4">
        <f>X145/W145-1</f>
        <v>2.7027027027026973E-2</v>
      </c>
    </row>
    <row r="146" spans="1:25">
      <c r="A146" t="s">
        <v>318</v>
      </c>
      <c r="B146" t="s">
        <v>319</v>
      </c>
      <c r="C146" s="29">
        <v>698</v>
      </c>
      <c r="E146" t="s">
        <v>319</v>
      </c>
      <c r="F146" s="29">
        <v>708</v>
      </c>
      <c r="G146" t="b">
        <f>IF(B146=E146,TRUE,FALSE)</f>
        <v>1</v>
      </c>
      <c r="J146">
        <f>F146-C146</f>
        <v>10</v>
      </c>
      <c r="K146" s="4">
        <f>F146/C146-1</f>
        <v>1.4326647564469885E-2</v>
      </c>
      <c r="M146" s="5">
        <v>1435.65</v>
      </c>
      <c r="N146" s="5">
        <v>1270.48</v>
      </c>
      <c r="Q146">
        <v>7148.7</v>
      </c>
      <c r="U146" s="149">
        <f>N146-M146</f>
        <v>-165.17000000000007</v>
      </c>
      <c r="V146" s="4">
        <f>IF(M146=0,0,N146/M146-1)</f>
        <v>-0.11504893253926796</v>
      </c>
      <c r="W146" s="18">
        <v>13255.02</v>
      </c>
      <c r="X146" s="18">
        <v>13444.92</v>
      </c>
      <c r="Y146" s="4">
        <f>X146/W146-1</f>
        <v>1.4326647564469885E-2</v>
      </c>
    </row>
    <row r="147" spans="1:25">
      <c r="A147" t="s">
        <v>320</v>
      </c>
      <c r="B147" t="s">
        <v>321</v>
      </c>
      <c r="C147" s="29">
        <v>686</v>
      </c>
      <c r="E147" t="s">
        <v>321</v>
      </c>
      <c r="F147" s="29">
        <v>695</v>
      </c>
      <c r="G147" t="b">
        <f>IF(B147=E147,TRUE,FALSE)</f>
        <v>1</v>
      </c>
      <c r="J147">
        <f>F147-C147</f>
        <v>9</v>
      </c>
      <c r="K147" s="4">
        <f>F147/C147-1</f>
        <v>1.3119533527696792E-2</v>
      </c>
      <c r="M147" s="5">
        <v>1088.01</v>
      </c>
      <c r="N147" s="5">
        <v>852.1</v>
      </c>
      <c r="Q147">
        <v>6730.67</v>
      </c>
      <c r="U147" s="149">
        <f>N147-M147</f>
        <v>-235.90999999999997</v>
      </c>
      <c r="V147" s="4">
        <f>IF(M147=0,0,N147/M147-1)</f>
        <v>-0.21682705122195567</v>
      </c>
      <c r="W147" s="18">
        <v>13685.7</v>
      </c>
      <c r="X147" s="18">
        <v>13865.25</v>
      </c>
      <c r="Y147" s="4">
        <f>X147/W147-1</f>
        <v>1.3119533527696792E-2</v>
      </c>
    </row>
    <row r="148" spans="1:25">
      <c r="A148" t="s">
        <v>322</v>
      </c>
      <c r="B148" t="s">
        <v>323</v>
      </c>
      <c r="C148" s="29">
        <v>1092</v>
      </c>
      <c r="E148" t="s">
        <v>323</v>
      </c>
      <c r="F148" s="29">
        <v>1099</v>
      </c>
      <c r="G148" t="b">
        <f>IF(B148=E148,TRUE,FALSE)</f>
        <v>1</v>
      </c>
      <c r="J148">
        <f>F148-C148</f>
        <v>7</v>
      </c>
      <c r="K148" s="4">
        <f>F148/C148-1</f>
        <v>6.4102564102563875E-3</v>
      </c>
      <c r="M148" s="5">
        <v>1877.1399999999999</v>
      </c>
      <c r="N148" s="5">
        <v>1547.22</v>
      </c>
      <c r="Q148">
        <v>11532.41</v>
      </c>
      <c r="U148" s="149">
        <f>N148-M148</f>
        <v>-329.91999999999985</v>
      </c>
      <c r="V148" s="4">
        <f>IF(M148=0,0,N148/M148-1)</f>
        <v>-0.17575673631162292</v>
      </c>
      <c r="W148" s="18">
        <v>32705.65</v>
      </c>
      <c r="X148" s="18">
        <v>32928.94</v>
      </c>
      <c r="Y148" s="4">
        <f>X148/W148-1</f>
        <v>6.8272607332371393E-3</v>
      </c>
    </row>
    <row r="149" spans="1:25">
      <c r="A149" s="58" t="s">
        <v>324</v>
      </c>
      <c r="B149" s="38" t="s">
        <v>325</v>
      </c>
      <c r="C149" s="29">
        <v>1420</v>
      </c>
      <c r="E149" s="38" t="s">
        <v>325</v>
      </c>
      <c r="F149" s="29">
        <v>1424</v>
      </c>
      <c r="G149" t="b">
        <f>IF(B149=E149,TRUE,FALSE)</f>
        <v>1</v>
      </c>
      <c r="J149">
        <f>F149-C149</f>
        <v>4</v>
      </c>
      <c r="K149" s="4">
        <f>F149/C149-1</f>
        <v>2.8169014084507005E-3</v>
      </c>
      <c r="M149" s="5">
        <v>2403.1799999999998</v>
      </c>
      <c r="N149" s="5">
        <v>2422.81</v>
      </c>
      <c r="Q149">
        <v>19142.28</v>
      </c>
      <c r="U149" s="149">
        <f>N149-M149</f>
        <v>19.630000000000109</v>
      </c>
      <c r="V149" s="4">
        <f>IF(M149=0,0,N149/M149-1)</f>
        <v>8.1683436113815233E-3</v>
      </c>
      <c r="W149" s="18">
        <v>22951.800000000003</v>
      </c>
      <c r="X149" s="18">
        <v>23719.16</v>
      </c>
      <c r="Y149" s="4">
        <f>X149/W149-1</f>
        <v>3.3433543338648786E-2</v>
      </c>
    </row>
    <row r="150" spans="1:25">
      <c r="A150" t="s">
        <v>326</v>
      </c>
      <c r="B150" t="s">
        <v>327</v>
      </c>
      <c r="C150" s="29">
        <v>631</v>
      </c>
      <c r="E150" t="s">
        <v>327</v>
      </c>
      <c r="F150" s="29">
        <v>634</v>
      </c>
      <c r="G150" t="b">
        <f>IF(B150=E150,TRUE,FALSE)</f>
        <v>1</v>
      </c>
      <c r="J150">
        <f>F150-C150</f>
        <v>3</v>
      </c>
      <c r="K150" s="4">
        <f>F150/C150-1</f>
        <v>4.7543581616482644E-3</v>
      </c>
      <c r="M150" s="5">
        <v>1010</v>
      </c>
      <c r="N150" s="5">
        <v>904.49</v>
      </c>
      <c r="Q150">
        <v>4652.92</v>
      </c>
      <c r="U150" s="149">
        <f>N150-M150</f>
        <v>-105.50999999999999</v>
      </c>
      <c r="V150" s="4">
        <f>IF(M150=0,0,N150/M150-1)</f>
        <v>-0.10446534653465345</v>
      </c>
      <c r="W150" s="18">
        <v>13828.5</v>
      </c>
      <c r="X150" s="18">
        <v>13916.3</v>
      </c>
      <c r="Y150" s="4">
        <f>X150/W150-1</f>
        <v>6.3492063492063266E-3</v>
      </c>
    </row>
    <row r="151" spans="1:25">
      <c r="A151" t="s">
        <v>328</v>
      </c>
      <c r="B151" t="s">
        <v>329</v>
      </c>
      <c r="C151" s="29">
        <v>1069</v>
      </c>
      <c r="E151" t="s">
        <v>329</v>
      </c>
      <c r="F151" s="29">
        <v>1070</v>
      </c>
      <c r="G151" t="b">
        <f>IF(B151=E151,TRUE,FALSE)</f>
        <v>1</v>
      </c>
      <c r="J151">
        <f>F151-C151</f>
        <v>1</v>
      </c>
      <c r="K151" s="4">
        <f>F151/C151-1</f>
        <v>9.3545369504210996E-4</v>
      </c>
      <c r="M151" s="5">
        <v>1629.02</v>
      </c>
      <c r="N151" s="5">
        <v>1105.26</v>
      </c>
      <c r="Q151">
        <v>10865.92</v>
      </c>
      <c r="U151" s="149">
        <f>N151-M151</f>
        <v>-523.76</v>
      </c>
      <c r="V151" s="4">
        <f>IF(M151=0,0,N151/M151-1)</f>
        <v>-0.32151845895078024</v>
      </c>
      <c r="W151" s="18">
        <v>31999.33</v>
      </c>
      <c r="X151" s="18">
        <v>32089.3</v>
      </c>
      <c r="Y151" s="4">
        <f>X151/W151-1</f>
        <v>2.811621368322248E-3</v>
      </c>
    </row>
    <row r="152" spans="1:25">
      <c r="A152" t="s">
        <v>330</v>
      </c>
      <c r="B152" t="s">
        <v>331</v>
      </c>
      <c r="C152" s="29">
        <v>479</v>
      </c>
      <c r="E152" t="s">
        <v>331</v>
      </c>
      <c r="F152" s="29">
        <v>480</v>
      </c>
      <c r="G152" t="b">
        <f>IF(B152=E152,TRUE,FALSE)</f>
        <v>1</v>
      </c>
      <c r="J152">
        <f>F152-C152</f>
        <v>1</v>
      </c>
      <c r="K152" s="4">
        <f>F152/C152-1</f>
        <v>2.0876826722338038E-3</v>
      </c>
      <c r="M152" s="5">
        <v>0</v>
      </c>
      <c r="N152" s="5">
        <v>0</v>
      </c>
      <c r="Q152">
        <v>0</v>
      </c>
      <c r="U152" s="149">
        <f>N152-M152</f>
        <v>0</v>
      </c>
      <c r="V152" s="4">
        <f>IF(M152=0,0,N152/M152-1)</f>
        <v>0</v>
      </c>
      <c r="W152" s="18">
        <v>9556.0499999999993</v>
      </c>
      <c r="X152" s="18">
        <v>9576</v>
      </c>
      <c r="Y152" s="4">
        <f>X152/W152-1</f>
        <v>2.0876826722338038E-3</v>
      </c>
    </row>
    <row r="153" spans="1:25">
      <c r="A153" t="s">
        <v>332</v>
      </c>
      <c r="B153" t="s">
        <v>333</v>
      </c>
      <c r="C153" s="29">
        <v>2916</v>
      </c>
      <c r="E153" t="s">
        <v>333</v>
      </c>
      <c r="F153" s="29">
        <v>2914</v>
      </c>
      <c r="G153" t="b">
        <f>IF(B153=E153,TRUE,FALSE)</f>
        <v>1</v>
      </c>
      <c r="J153">
        <f>F153-C153</f>
        <v>-2</v>
      </c>
      <c r="K153" s="4">
        <f>F153/C153-1</f>
        <v>-6.8587105624140499E-4</v>
      </c>
      <c r="M153" s="5">
        <v>4343.4399999999996</v>
      </c>
      <c r="N153" s="5">
        <v>3936.42</v>
      </c>
      <c r="Q153">
        <v>18405.86</v>
      </c>
      <c r="U153" s="149">
        <f>N153-M153</f>
        <v>-407.01999999999953</v>
      </c>
      <c r="V153" s="4">
        <f>IF(M153=0,0,N153/M153-1)</f>
        <v>-9.3709133774151243E-2</v>
      </c>
      <c r="W153" s="18">
        <v>85401.56</v>
      </c>
      <c r="X153" s="18">
        <v>87441.9</v>
      </c>
      <c r="Y153" s="4">
        <f>X153/W153-1</f>
        <v>2.3891132667834158E-2</v>
      </c>
    </row>
    <row r="154" spans="1:25">
      <c r="A154" t="s">
        <v>334</v>
      </c>
      <c r="B154" t="s">
        <v>335</v>
      </c>
      <c r="C154" s="29">
        <v>606</v>
      </c>
      <c r="E154" t="s">
        <v>335</v>
      </c>
      <c r="F154" s="29">
        <v>602</v>
      </c>
      <c r="G154" t="b">
        <f>IF(B154=E154,TRUE,FALSE)</f>
        <v>1</v>
      </c>
      <c r="J154">
        <f>F154-C154</f>
        <v>-4</v>
      </c>
      <c r="K154" s="4">
        <f>F154/C154-1</f>
        <v>-6.6006600660065695E-3</v>
      </c>
      <c r="M154" s="5">
        <v>1413.68</v>
      </c>
      <c r="N154" s="5">
        <v>1336.2</v>
      </c>
      <c r="Q154">
        <v>8951.61</v>
      </c>
      <c r="U154" s="149">
        <f>N154-M154</f>
        <v>-77.480000000000018</v>
      </c>
      <c r="V154" s="4">
        <f>IF(M154=0,0,N154/M154-1)</f>
        <v>-5.4807311414181492E-2</v>
      </c>
      <c r="W154" s="18">
        <v>28475.94</v>
      </c>
      <c r="X154" s="18">
        <v>28240.99</v>
      </c>
      <c r="Y154" s="4">
        <f>X154/W154-1</f>
        <v>-8.2508250825081841E-3</v>
      </c>
    </row>
    <row r="155" spans="1:25">
      <c r="A155" t="s">
        <v>336</v>
      </c>
      <c r="B155" t="s">
        <v>337</v>
      </c>
      <c r="C155" s="29">
        <v>1255</v>
      </c>
      <c r="E155" t="s">
        <v>337</v>
      </c>
      <c r="F155" s="29">
        <v>1250</v>
      </c>
      <c r="G155" t="b">
        <f>IF(B155=E155,TRUE,FALSE)</f>
        <v>1</v>
      </c>
      <c r="J155">
        <f>F155-C155</f>
        <v>-5</v>
      </c>
      <c r="K155" s="4">
        <f>F155/C155-1</f>
        <v>-3.9840637450199168E-3</v>
      </c>
      <c r="M155" s="5">
        <v>2310.64</v>
      </c>
      <c r="N155" s="5">
        <v>1868.45</v>
      </c>
      <c r="Q155">
        <v>8787.4599999999991</v>
      </c>
      <c r="U155" s="149">
        <f>N155-M155</f>
        <v>-442.18999999999983</v>
      </c>
      <c r="V155" s="4">
        <f>IF(M155=0,0,N155/M155-1)</f>
        <v>-0.19137122182598754</v>
      </c>
      <c r="W155" s="18">
        <v>36382.449999999997</v>
      </c>
      <c r="X155" s="18">
        <v>36236.92</v>
      </c>
      <c r="Y155" s="4">
        <f>X155/W155-1</f>
        <v>-4.0000054971558452E-3</v>
      </c>
    </row>
    <row r="156" spans="1:25">
      <c r="A156" t="s">
        <v>338</v>
      </c>
      <c r="B156" t="s">
        <v>339</v>
      </c>
      <c r="C156" s="30">
        <v>264</v>
      </c>
      <c r="E156" t="s">
        <v>339</v>
      </c>
      <c r="F156" s="30">
        <v>259</v>
      </c>
      <c r="G156" t="b">
        <f>IF(B156=E156,TRUE,FALSE)</f>
        <v>1</v>
      </c>
      <c r="J156">
        <f>F156-C156</f>
        <v>-5</v>
      </c>
      <c r="K156" s="4">
        <f>F156/C156-1</f>
        <v>-1.8939393939393923E-2</v>
      </c>
      <c r="M156" s="5">
        <v>992.7</v>
      </c>
      <c r="N156" s="5">
        <v>965.8</v>
      </c>
      <c r="Q156">
        <v>5955.83</v>
      </c>
      <c r="U156" s="149">
        <f>N156-M156</f>
        <v>-26.900000000000091</v>
      </c>
      <c r="V156" s="4">
        <f>IF(M156=0,0,N156/M156-1)</f>
        <v>-2.7097814042510437E-2</v>
      </c>
      <c r="W156" s="18">
        <v>5266.8</v>
      </c>
      <c r="X156" s="18">
        <v>5167.05</v>
      </c>
      <c r="Y156" s="4">
        <f>X156/W156-1</f>
        <v>-1.8939393939393923E-2</v>
      </c>
    </row>
    <row r="157" spans="1:25">
      <c r="A157" t="s">
        <v>340</v>
      </c>
      <c r="B157" t="s">
        <v>341</v>
      </c>
      <c r="C157" s="29">
        <v>1510</v>
      </c>
      <c r="E157" t="s">
        <v>341</v>
      </c>
      <c r="F157" s="29">
        <v>1504</v>
      </c>
      <c r="G157" t="b">
        <f>IF(B157=E157,TRUE,FALSE)</f>
        <v>1</v>
      </c>
      <c r="J157">
        <f>F157-C157</f>
        <v>-6</v>
      </c>
      <c r="K157" s="4">
        <f>F157/C157-1</f>
        <v>-3.9735099337748769E-3</v>
      </c>
      <c r="M157" s="5">
        <v>1578.94</v>
      </c>
      <c r="N157" s="5">
        <v>1642.63</v>
      </c>
      <c r="Q157">
        <v>12865.37</v>
      </c>
      <c r="U157" s="149">
        <f>N157-M157</f>
        <v>63.690000000000055</v>
      </c>
      <c r="V157" s="4">
        <f>IF(M157=0,0,N157/M157-1)</f>
        <v>4.033718824021193E-2</v>
      </c>
      <c r="W157" s="18">
        <v>25637.91</v>
      </c>
      <c r="X157" s="18">
        <v>25552.959999999999</v>
      </c>
      <c r="Y157" s="4">
        <f>X157/W157-1</f>
        <v>-3.3134526176276102E-3</v>
      </c>
    </row>
    <row r="158" spans="1:25">
      <c r="A158" t="s">
        <v>342</v>
      </c>
      <c r="B158" t="s">
        <v>343</v>
      </c>
      <c r="C158" s="29">
        <v>884</v>
      </c>
      <c r="E158" t="s">
        <v>343</v>
      </c>
      <c r="F158" s="29">
        <v>875</v>
      </c>
      <c r="G158" t="b">
        <f>IF(B158=E158,TRUE,FALSE)</f>
        <v>1</v>
      </c>
      <c r="J158">
        <f>F158-C158</f>
        <v>-9</v>
      </c>
      <c r="K158" s="4">
        <f>F158/C158-1</f>
        <v>-1.0180995475113086E-2</v>
      </c>
      <c r="M158" s="5">
        <v>1401.84</v>
      </c>
      <c r="N158" s="5">
        <v>1305.6500000000001</v>
      </c>
      <c r="Q158">
        <v>10216.74</v>
      </c>
      <c r="U158" s="149">
        <f>N158-M158</f>
        <v>-96.189999999999827</v>
      </c>
      <c r="V158" s="4">
        <f>IF(M158=0,0,N158/M158-1)</f>
        <v>-6.8616960566112994E-2</v>
      </c>
      <c r="W158" s="18">
        <v>26511.16</v>
      </c>
      <c r="X158" s="18">
        <v>26241.25</v>
      </c>
      <c r="Y158" s="4">
        <f>X158/W158-1</f>
        <v>-1.0180995475113086E-2</v>
      </c>
    </row>
    <row r="159" spans="1:25" ht="13.5" customHeight="1">
      <c r="A159" t="s">
        <v>344</v>
      </c>
      <c r="B159" t="s">
        <v>345</v>
      </c>
      <c r="C159" s="29">
        <v>582</v>
      </c>
      <c r="E159" t="s">
        <v>345</v>
      </c>
      <c r="F159" s="29">
        <v>573</v>
      </c>
      <c r="G159" t="b">
        <f>IF(B159=E159,TRUE,FALSE)</f>
        <v>1</v>
      </c>
      <c r="J159">
        <f>F159-C159</f>
        <v>-9</v>
      </c>
      <c r="K159" s="4">
        <f>F159/C159-1</f>
        <v>-1.5463917525773141E-2</v>
      </c>
      <c r="M159" s="5">
        <v>559.54999999999995</v>
      </c>
      <c r="N159" s="5">
        <v>457.13</v>
      </c>
      <c r="Q159">
        <v>2600.2199999999998</v>
      </c>
      <c r="U159" s="149">
        <f>N159-M159</f>
        <v>-102.41999999999996</v>
      </c>
      <c r="V159" s="4">
        <f>IF(M159=0,0,N159/M159-1)</f>
        <v>-0.18303994281118752</v>
      </c>
      <c r="W159" s="18">
        <v>12752.95</v>
      </c>
      <c r="X159" s="18">
        <v>12577.35</v>
      </c>
      <c r="Y159" s="4">
        <f>X159/W159-1</f>
        <v>-1.3769363166953541E-2</v>
      </c>
    </row>
    <row r="160" spans="1:25">
      <c r="A160" t="s">
        <v>346</v>
      </c>
      <c r="B160" t="s">
        <v>347</v>
      </c>
      <c r="C160" s="29">
        <v>600</v>
      </c>
      <c r="E160" t="s">
        <v>347</v>
      </c>
      <c r="F160" s="29">
        <v>591</v>
      </c>
      <c r="G160" t="b">
        <f>IF(B160=E160,TRUE,FALSE)</f>
        <v>1</v>
      </c>
      <c r="J160">
        <f>F160-C160</f>
        <v>-9</v>
      </c>
      <c r="K160" s="4">
        <f>F160/C160-1</f>
        <v>-1.5000000000000013E-2</v>
      </c>
      <c r="M160" s="5">
        <v>1668.45</v>
      </c>
      <c r="N160" s="5">
        <v>1183.3</v>
      </c>
      <c r="Q160">
        <v>7630.69</v>
      </c>
      <c r="U160" s="149">
        <f>N160-M160</f>
        <v>-485.15000000000009</v>
      </c>
      <c r="V160" s="4">
        <f>IF(M160=0,0,N160/M160-1)</f>
        <v>-0.29077886661272445</v>
      </c>
      <c r="W160" s="18">
        <v>17394</v>
      </c>
      <c r="X160" s="18">
        <v>17133.09</v>
      </c>
      <c r="Y160" s="4">
        <f>X160/W160-1</f>
        <v>-1.5000000000000013E-2</v>
      </c>
    </row>
    <row r="161" spans="1:25">
      <c r="A161" t="s">
        <v>348</v>
      </c>
      <c r="B161" t="s">
        <v>349</v>
      </c>
      <c r="C161" s="29">
        <v>433</v>
      </c>
      <c r="E161" t="s">
        <v>349</v>
      </c>
      <c r="F161" s="29">
        <v>424</v>
      </c>
      <c r="G161" t="b">
        <f>IF(B161=E161,TRUE,FALSE)</f>
        <v>1</v>
      </c>
      <c r="J161">
        <f>F161-C161</f>
        <v>-9</v>
      </c>
      <c r="K161" s="4">
        <f>F161/C161-1</f>
        <v>-2.0785219399538146E-2</v>
      </c>
      <c r="M161" s="5">
        <v>496.79</v>
      </c>
      <c r="N161" s="5">
        <v>600.02</v>
      </c>
      <c r="Q161">
        <v>1712.63</v>
      </c>
      <c r="U161" s="149">
        <f>N161-M161</f>
        <v>103.22999999999996</v>
      </c>
      <c r="V161" s="4">
        <f>IF(M161=0,0,N161/M161-1)</f>
        <v>0.20779403772217631</v>
      </c>
      <c r="W161" s="18">
        <v>8167.45</v>
      </c>
      <c r="X161" s="18">
        <v>8034.8</v>
      </c>
      <c r="Y161" s="4">
        <f>X161/W161-1</f>
        <v>-1.6241299303944245E-2</v>
      </c>
    </row>
    <row r="162" spans="1:25">
      <c r="A162" t="s">
        <v>350</v>
      </c>
      <c r="B162" t="s">
        <v>351</v>
      </c>
      <c r="C162" s="29">
        <v>699</v>
      </c>
      <c r="E162" t="s">
        <v>351</v>
      </c>
      <c r="F162" s="29">
        <v>690</v>
      </c>
      <c r="G162" t="b">
        <f>IF(B162=E162,TRUE,FALSE)</f>
        <v>1</v>
      </c>
      <c r="J162">
        <f>F162-C162</f>
        <v>-9</v>
      </c>
      <c r="K162" s="4">
        <f>F162/C162-1</f>
        <v>-1.2875536480686733E-2</v>
      </c>
      <c r="M162" s="5">
        <v>61.5</v>
      </c>
      <c r="N162" s="5">
        <v>47.35</v>
      </c>
      <c r="Q162">
        <v>889.35</v>
      </c>
      <c r="U162" s="149">
        <f>N162-M162</f>
        <v>-14.149999999999999</v>
      </c>
      <c r="V162" s="4">
        <f>IF(M162=0,0,N162/M162-1)</f>
        <v>-0.23008130081300815</v>
      </c>
      <c r="W162" s="18">
        <v>18838.05</v>
      </c>
      <c r="X162" s="18">
        <v>18595.5</v>
      </c>
      <c r="Y162" s="4">
        <f>X162/W162-1</f>
        <v>-1.2875536480686622E-2</v>
      </c>
    </row>
    <row r="163" spans="1:25" ht="15" customHeight="1">
      <c r="A163" t="s">
        <v>352</v>
      </c>
      <c r="B163" t="s">
        <v>353</v>
      </c>
      <c r="C163" s="29">
        <v>2315</v>
      </c>
      <c r="E163" t="s">
        <v>353</v>
      </c>
      <c r="F163" s="29">
        <v>2303</v>
      </c>
      <c r="G163" t="b">
        <f>IF(B163=E163,TRUE,FALSE)</f>
        <v>1</v>
      </c>
      <c r="J163">
        <f>F163-C163</f>
        <v>-12</v>
      </c>
      <c r="K163" s="4">
        <f>F163/C163-1</f>
        <v>-5.1835853131749765E-3</v>
      </c>
      <c r="M163" s="5">
        <v>2410.4699999999998</v>
      </c>
      <c r="N163" s="5">
        <v>2291.73</v>
      </c>
      <c r="Q163">
        <v>16497.669999999998</v>
      </c>
      <c r="U163" s="149">
        <f>N163-M163</f>
        <v>-118.73999999999978</v>
      </c>
      <c r="V163" s="4">
        <f>IF(M163=0,0,N163/M163-1)</f>
        <v>-4.926010280152826E-2</v>
      </c>
      <c r="W163" s="18">
        <v>33440.33</v>
      </c>
      <c r="X163" s="18">
        <v>33622.67</v>
      </c>
      <c r="Y163" s="4">
        <f>X163/W163-1</f>
        <v>5.4526973866584338E-3</v>
      </c>
    </row>
    <row r="164" spans="1:25" ht="15" customHeight="1">
      <c r="A164" s="56" t="s">
        <v>354</v>
      </c>
      <c r="B164" s="38" t="s">
        <v>355</v>
      </c>
      <c r="C164" s="29">
        <v>1290</v>
      </c>
      <c r="E164" s="38" t="s">
        <v>355</v>
      </c>
      <c r="F164" s="29">
        <v>1276</v>
      </c>
      <c r="G164" t="b">
        <f>IF(B164=E164,TRUE,FALSE)</f>
        <v>1</v>
      </c>
      <c r="J164">
        <f>F164-C164</f>
        <v>-14</v>
      </c>
      <c r="K164" s="4">
        <f>F164/C164-1</f>
        <v>-1.0852713178294615E-2</v>
      </c>
      <c r="M164" s="5">
        <v>2699.7</v>
      </c>
      <c r="N164" s="5">
        <v>2179.9499999999998</v>
      </c>
      <c r="Q164">
        <v>11564.23</v>
      </c>
      <c r="U164" s="149">
        <f>N164-M164</f>
        <v>-519.75</v>
      </c>
      <c r="V164" s="4">
        <f>IF(M164=0,0,N164/M164-1)</f>
        <v>-0.19252139126569623</v>
      </c>
      <c r="W164" s="18">
        <v>23376.67</v>
      </c>
      <c r="X164" s="18">
        <v>23143.01</v>
      </c>
      <c r="Y164" s="4">
        <f>X164/W164-1</f>
        <v>-9.9954356202145433E-3</v>
      </c>
    </row>
    <row r="165" spans="1:25" ht="15" customHeight="1">
      <c r="A165" t="s">
        <v>356</v>
      </c>
      <c r="B165" t="s">
        <v>357</v>
      </c>
      <c r="C165" s="29">
        <v>547</v>
      </c>
      <c r="E165" t="s">
        <v>357</v>
      </c>
      <c r="F165" s="29">
        <v>533</v>
      </c>
      <c r="G165" t="b">
        <f>IF(B165=E165,TRUE,FALSE)</f>
        <v>1</v>
      </c>
      <c r="J165">
        <f>F165-C165</f>
        <v>-14</v>
      </c>
      <c r="K165" s="4">
        <f>F165/C165-1</f>
        <v>-2.5594149908592323E-2</v>
      </c>
      <c r="M165" s="5">
        <v>717.89</v>
      </c>
      <c r="N165" s="5">
        <v>691.81</v>
      </c>
      <c r="Q165">
        <v>4597.28</v>
      </c>
      <c r="U165" s="149">
        <f>N165-M165</f>
        <v>-26.080000000000041</v>
      </c>
      <c r="V165" s="4">
        <f>IF(M165=0,0,N165/M165-1)</f>
        <v>-3.6328685453203224E-2</v>
      </c>
      <c r="W165" s="18">
        <v>16382.65</v>
      </c>
      <c r="X165" s="18">
        <v>15933.4</v>
      </c>
      <c r="Y165" s="4">
        <f>X165/W165-1</f>
        <v>-2.7422303473491727E-2</v>
      </c>
    </row>
    <row r="166" spans="1:25" ht="15" customHeight="1">
      <c r="A166" t="s">
        <v>358</v>
      </c>
      <c r="B166" t="s">
        <v>359</v>
      </c>
      <c r="C166" s="29">
        <v>1129</v>
      </c>
      <c r="E166" t="s">
        <v>359</v>
      </c>
      <c r="F166" s="29">
        <v>1114</v>
      </c>
      <c r="G166" t="b">
        <f>IF(B166=E166,TRUE,FALSE)</f>
        <v>1</v>
      </c>
      <c r="J166">
        <f>F166-C166</f>
        <v>-15</v>
      </c>
      <c r="K166" s="4">
        <f>F166/C166-1</f>
        <v>-1.3286093888396855E-2</v>
      </c>
      <c r="M166" s="5">
        <v>1190.31</v>
      </c>
      <c r="N166" s="5">
        <v>952.91</v>
      </c>
      <c r="Q166">
        <v>7138.1</v>
      </c>
      <c r="U166" s="149">
        <f>N166-M166</f>
        <v>-237.39999999999998</v>
      </c>
      <c r="V166" s="4">
        <f>IF(M166=0,0,N166/M166-1)</f>
        <v>-0.19944384236039348</v>
      </c>
      <c r="W166" s="18">
        <v>25910.55</v>
      </c>
      <c r="X166" s="18">
        <v>25566.3</v>
      </c>
      <c r="Y166" s="4">
        <f>X166/W166-1</f>
        <v>-1.3286093888396855E-2</v>
      </c>
    </row>
    <row r="167" spans="1:25" ht="15" customHeight="1">
      <c r="A167" t="s">
        <v>360</v>
      </c>
      <c r="B167" t="s">
        <v>361</v>
      </c>
      <c r="C167" s="29">
        <v>186</v>
      </c>
      <c r="E167" t="s">
        <v>361</v>
      </c>
      <c r="F167" s="29">
        <v>170</v>
      </c>
      <c r="G167" t="b">
        <f>IF(B167=E167,TRUE,FALSE)</f>
        <v>1</v>
      </c>
      <c r="J167">
        <f>F167-C167</f>
        <v>-16</v>
      </c>
      <c r="K167" s="4">
        <f>F167/C167-1</f>
        <v>-8.6021505376344121E-2</v>
      </c>
      <c r="M167" s="5">
        <v>376.03</v>
      </c>
      <c r="N167" s="5">
        <v>322.17</v>
      </c>
      <c r="Q167">
        <v>1934.28</v>
      </c>
      <c r="U167" s="149">
        <f>N167-M167</f>
        <v>-53.859999999999957</v>
      </c>
      <c r="V167" s="4">
        <f>IF(M167=0,0,N167/M167-1)</f>
        <v>-0.14323325266601061</v>
      </c>
      <c r="W167" s="18">
        <v>5384.7</v>
      </c>
      <c r="X167" s="18">
        <v>4921.5</v>
      </c>
      <c r="Y167" s="4">
        <f>X167/W167-1</f>
        <v>-8.602150537634401E-2</v>
      </c>
    </row>
    <row r="168" spans="1:25" ht="15" customHeight="1">
      <c r="A168" t="s">
        <v>362</v>
      </c>
      <c r="B168" t="s">
        <v>363</v>
      </c>
      <c r="C168" s="29">
        <v>2915</v>
      </c>
      <c r="E168" t="s">
        <v>363</v>
      </c>
      <c r="F168" s="29">
        <v>2895</v>
      </c>
      <c r="G168" t="b">
        <f>IF(B168=E168,TRUE,FALSE)</f>
        <v>1</v>
      </c>
      <c r="J168">
        <f>F168-C168</f>
        <v>-20</v>
      </c>
      <c r="K168" s="4">
        <f>F168/C168-1</f>
        <v>-6.8610634648370583E-3</v>
      </c>
      <c r="M168" s="5">
        <v>2554.1999999999998</v>
      </c>
      <c r="N168" s="5">
        <v>1598.87</v>
      </c>
      <c r="Q168">
        <v>16199.84</v>
      </c>
      <c r="U168" s="149">
        <f>N168-M168</f>
        <v>-955.32999999999993</v>
      </c>
      <c r="V168" s="4">
        <f>IF(M168=0,0,N168/M168-1)</f>
        <v>-0.37402317751154956</v>
      </c>
      <c r="W168" s="18">
        <v>113190</v>
      </c>
      <c r="X168" s="18">
        <v>108927.2</v>
      </c>
      <c r="Y168" s="4">
        <f>X168/W168-1</f>
        <v>-3.7660570721795184E-2</v>
      </c>
    </row>
    <row r="169" spans="1:25">
      <c r="A169" t="s">
        <v>364</v>
      </c>
      <c r="B169" t="s">
        <v>365</v>
      </c>
      <c r="C169" s="29">
        <v>638</v>
      </c>
      <c r="E169" t="s">
        <v>365</v>
      </c>
      <c r="F169" s="29">
        <v>615</v>
      </c>
      <c r="G169" t="b">
        <f>IF(B169=E169,TRUE,FALSE)</f>
        <v>1</v>
      </c>
      <c r="J169">
        <f>F169-C169</f>
        <v>-23</v>
      </c>
      <c r="K169" s="4">
        <f>F169/C169-1</f>
        <v>-3.6050156739811934E-2</v>
      </c>
      <c r="M169" s="5">
        <v>844.39</v>
      </c>
      <c r="N169" s="5">
        <v>815.51</v>
      </c>
      <c r="Q169">
        <v>3592.99</v>
      </c>
      <c r="U169" s="149">
        <f>N169-M169</f>
        <v>-28.879999999999995</v>
      </c>
      <c r="V169" s="4">
        <f>IF(M169=0,0,N169/M169-1)</f>
        <v>-3.4202205142173647E-2</v>
      </c>
      <c r="W169" s="18">
        <v>12115.62</v>
      </c>
      <c r="X169" s="18">
        <v>11659.86</v>
      </c>
      <c r="Y169" s="4">
        <f>X169/W169-1</f>
        <v>-3.7617554858934144E-2</v>
      </c>
    </row>
    <row r="170" spans="1:25" ht="15" customHeight="1">
      <c r="A170" t="s">
        <v>366</v>
      </c>
      <c r="B170" t="s">
        <v>367</v>
      </c>
      <c r="C170" s="29">
        <v>1998</v>
      </c>
      <c r="E170" t="s">
        <v>367</v>
      </c>
      <c r="F170" s="29">
        <v>1974</v>
      </c>
      <c r="G170" t="b">
        <f>IF(B170=E170,TRUE,FALSE)</f>
        <v>1</v>
      </c>
      <c r="J170">
        <f>F170-C170</f>
        <v>-24</v>
      </c>
      <c r="K170" s="4">
        <f>F170/C170-1</f>
        <v>-1.2012012012011963E-2</v>
      </c>
      <c r="L170" s="5"/>
      <c r="M170" s="5">
        <v>4152.49</v>
      </c>
      <c r="N170" s="5">
        <v>3112.52</v>
      </c>
      <c r="O170" s="5"/>
      <c r="P170" s="5"/>
      <c r="Q170">
        <v>20078.12</v>
      </c>
      <c r="R170" s="5"/>
      <c r="S170" s="5"/>
      <c r="T170" s="5"/>
      <c r="U170" s="149">
        <f>N170-M170</f>
        <v>-1039.9699999999998</v>
      </c>
      <c r="V170" s="4">
        <f>IF(M170=0,0,N170/M170-1)</f>
        <v>-0.25044491377462674</v>
      </c>
      <c r="W170" s="18">
        <v>59890.03</v>
      </c>
      <c r="X170" s="18">
        <v>59110.29</v>
      </c>
      <c r="Y170" s="4">
        <f>X170/W170-1</f>
        <v>-1.3019529293940901E-2</v>
      </c>
    </row>
    <row r="171" spans="1:25" ht="15" customHeight="1">
      <c r="A171" t="s">
        <v>368</v>
      </c>
      <c r="B171" t="s">
        <v>369</v>
      </c>
      <c r="C171" s="29">
        <v>485</v>
      </c>
      <c r="E171" t="s">
        <v>369</v>
      </c>
      <c r="F171" s="29">
        <v>459</v>
      </c>
      <c r="G171" t="b">
        <f>IF(B171=E171,TRUE,FALSE)</f>
        <v>1</v>
      </c>
      <c r="J171">
        <f>F171-C171</f>
        <v>-26</v>
      </c>
      <c r="K171" s="4">
        <f>F171/C171-1</f>
        <v>-5.3608247422680444E-2</v>
      </c>
      <c r="M171" s="5">
        <v>862.64</v>
      </c>
      <c r="N171" s="5">
        <v>804.81</v>
      </c>
      <c r="Q171">
        <v>3354.74</v>
      </c>
      <c r="U171" s="149">
        <f>N171-M171</f>
        <v>-57.830000000000041</v>
      </c>
      <c r="V171" s="4">
        <f>IF(M171=0,0,N171/M171-1)</f>
        <v>-6.7038393767968163E-2</v>
      </c>
      <c r="W171" s="18">
        <v>8705.75</v>
      </c>
      <c r="X171" s="18">
        <v>8239.0499999999993</v>
      </c>
      <c r="Y171" s="4">
        <f>X171/W171-1</f>
        <v>-5.3608247422680444E-2</v>
      </c>
    </row>
    <row r="172" spans="1:25" ht="15" customHeight="1">
      <c r="A172" t="s">
        <v>370</v>
      </c>
      <c r="B172" t="s">
        <v>371</v>
      </c>
      <c r="C172" s="29">
        <v>741</v>
      </c>
      <c r="E172" t="s">
        <v>371</v>
      </c>
      <c r="F172" s="29">
        <v>714</v>
      </c>
      <c r="G172" t="b">
        <f>IF(B172=E172,TRUE,FALSE)</f>
        <v>1</v>
      </c>
      <c r="J172">
        <f>F172-C172</f>
        <v>-27</v>
      </c>
      <c r="K172" s="4">
        <f>F172/C172-1</f>
        <v>-3.6437246963562764E-2</v>
      </c>
      <c r="M172" s="5">
        <v>474.07</v>
      </c>
      <c r="N172" s="5">
        <v>364.64</v>
      </c>
      <c r="Q172">
        <v>4338.63</v>
      </c>
      <c r="U172" s="149">
        <f>N172-M172</f>
        <v>-109.43</v>
      </c>
      <c r="V172" s="4">
        <f>IF(M172=0,0,N172/M172-1)</f>
        <v>-0.23083088995296053</v>
      </c>
      <c r="W172" s="18">
        <v>19918.150000000001</v>
      </c>
      <c r="X172" s="18">
        <v>19211.22</v>
      </c>
      <c r="Y172" s="4">
        <f>X172/W172-1</f>
        <v>-3.5491749986821031E-2</v>
      </c>
    </row>
    <row r="173" spans="1:25" ht="15" customHeight="1">
      <c r="A173" t="s">
        <v>372</v>
      </c>
      <c r="B173" t="s">
        <v>373</v>
      </c>
      <c r="C173" s="29">
        <v>568</v>
      </c>
      <c r="E173" t="s">
        <v>373</v>
      </c>
      <c r="F173" s="29">
        <v>541</v>
      </c>
      <c r="G173" t="b">
        <f>IF(B173=E173,TRUE,FALSE)</f>
        <v>1</v>
      </c>
      <c r="J173">
        <f>F173-C173</f>
        <v>-27</v>
      </c>
      <c r="K173" s="4">
        <f>F173/C173-1</f>
        <v>-4.7535211267605626E-2</v>
      </c>
      <c r="M173" s="5">
        <v>517.49</v>
      </c>
      <c r="N173" s="5">
        <v>521.62</v>
      </c>
      <c r="Q173">
        <v>4147.62</v>
      </c>
      <c r="U173" s="149">
        <f>N173-M173</f>
        <v>4.1299999999999955</v>
      </c>
      <c r="V173" s="4">
        <f>IF(M173=0,0,N173/M173-1)</f>
        <v>7.9808305474502461E-3</v>
      </c>
      <c r="W173" s="18">
        <v>17011.599999999999</v>
      </c>
      <c r="X173" s="18">
        <v>16173</v>
      </c>
      <c r="Y173" s="4">
        <f>X173/W173-1</f>
        <v>-4.9295774647887258E-2</v>
      </c>
    </row>
    <row r="174" spans="1:25" ht="15" customHeight="1">
      <c r="A174" t="s">
        <v>374</v>
      </c>
      <c r="B174" t="s">
        <v>375</v>
      </c>
      <c r="C174" s="29">
        <v>1368</v>
      </c>
      <c r="E174" t="s">
        <v>375</v>
      </c>
      <c r="F174" s="29">
        <v>1340</v>
      </c>
      <c r="G174" t="b">
        <f>IF(B174=E174,TRUE,FALSE)</f>
        <v>1</v>
      </c>
      <c r="J174">
        <f>F174-C174</f>
        <v>-28</v>
      </c>
      <c r="K174" s="4">
        <f>F174/C174-1</f>
        <v>-2.0467836257309968E-2</v>
      </c>
      <c r="M174" s="5">
        <v>2238.94</v>
      </c>
      <c r="N174" s="5">
        <v>1693.96</v>
      </c>
      <c r="Q174">
        <v>15447.92</v>
      </c>
      <c r="U174" s="149">
        <f>N174-M174</f>
        <v>-544.98</v>
      </c>
      <c r="V174" s="4">
        <f>IF(M174=0,0,N174/M174-1)</f>
        <v>-0.24340982786497178</v>
      </c>
      <c r="W174" s="18">
        <v>40682.6</v>
      </c>
      <c r="X174" s="18">
        <v>39665.21</v>
      </c>
      <c r="Y174" s="4">
        <f>X174/W174-1</f>
        <v>-2.5007988673290238E-2</v>
      </c>
    </row>
    <row r="175" spans="1:25" ht="15" customHeight="1">
      <c r="A175" t="s">
        <v>376</v>
      </c>
      <c r="B175" t="s">
        <v>377</v>
      </c>
      <c r="C175" s="29">
        <v>1048</v>
      </c>
      <c r="E175" t="s">
        <v>377</v>
      </c>
      <c r="F175" s="29">
        <v>1019</v>
      </c>
      <c r="G175" t="b">
        <f>IF(B175=E175,TRUE,FALSE)</f>
        <v>1</v>
      </c>
      <c r="J175">
        <f>F175-C175</f>
        <v>-29</v>
      </c>
      <c r="K175" s="4">
        <f>F175/C175-1</f>
        <v>-2.7671755725190872E-2</v>
      </c>
      <c r="M175" s="5">
        <v>1441.23</v>
      </c>
      <c r="N175" s="5">
        <v>1392.4</v>
      </c>
      <c r="Q175">
        <v>8423.57</v>
      </c>
      <c r="U175" s="149">
        <f>N175-M175</f>
        <v>-48.829999999999927</v>
      </c>
      <c r="V175" s="4">
        <f>IF(M175=0,0,N175/M175-1)</f>
        <v>-3.3880782387266328E-2</v>
      </c>
      <c r="W175" s="18">
        <v>31429.52</v>
      </c>
      <c r="X175" s="18">
        <v>30559.81</v>
      </c>
      <c r="Y175" s="4">
        <f>X175/W175-1</f>
        <v>-2.7671755725190761E-2</v>
      </c>
    </row>
    <row r="176" spans="1:25" ht="15" customHeight="1">
      <c r="A176" s="57" t="s">
        <v>378</v>
      </c>
      <c r="B176" s="38" t="s">
        <v>379</v>
      </c>
      <c r="C176" s="29">
        <v>1366</v>
      </c>
      <c r="E176" s="38" t="s">
        <v>379</v>
      </c>
      <c r="F176" s="29">
        <v>1336</v>
      </c>
      <c r="G176" t="b">
        <f>IF(B176=E176,TRUE,FALSE)</f>
        <v>1</v>
      </c>
      <c r="J176">
        <f>F176-C176</f>
        <v>-30</v>
      </c>
      <c r="K176" s="4">
        <f>F176/C176-1</f>
        <v>-2.1961932650073179E-2</v>
      </c>
      <c r="M176" s="5">
        <v>1927.07</v>
      </c>
      <c r="N176" s="5">
        <v>2649.25</v>
      </c>
      <c r="Q176">
        <v>16154.38</v>
      </c>
      <c r="U176" s="149">
        <f>N176-M176</f>
        <v>722.18000000000006</v>
      </c>
      <c r="V176" s="4">
        <f>IF(M176=0,0,N176/M176-1)</f>
        <v>0.37475545776749164</v>
      </c>
      <c r="W176" s="18">
        <v>27138.34</v>
      </c>
      <c r="X176" s="18">
        <v>26706.639999999999</v>
      </c>
      <c r="Y176" s="4">
        <f>X176/W176-1</f>
        <v>-1.5907384165722793E-2</v>
      </c>
    </row>
    <row r="177" spans="1:25" ht="15" customHeight="1">
      <c r="A177" t="s">
        <v>380</v>
      </c>
      <c r="B177" t="s">
        <v>381</v>
      </c>
      <c r="C177" s="29">
        <v>1672</v>
      </c>
      <c r="E177" t="s">
        <v>381</v>
      </c>
      <c r="F177" s="29">
        <v>1640</v>
      </c>
      <c r="G177" t="b">
        <f>IF(B177=E177,TRUE,FALSE)</f>
        <v>1</v>
      </c>
      <c r="J177">
        <f>F177-C177</f>
        <v>-32</v>
      </c>
      <c r="K177" s="4">
        <f>F177/C177-1</f>
        <v>-1.9138755980861233E-2</v>
      </c>
      <c r="M177" s="5">
        <v>1476.1</v>
      </c>
      <c r="N177" s="5">
        <v>1546.16</v>
      </c>
      <c r="Q177">
        <v>10494.45</v>
      </c>
      <c r="U177" s="149">
        <f>N177-M177</f>
        <v>70.060000000000173</v>
      </c>
      <c r="V177" s="4">
        <f>IF(M177=0,0,N177/M177-1)</f>
        <v>4.7462909017004451E-2</v>
      </c>
      <c r="W177" s="18">
        <v>44979.060000000005</v>
      </c>
      <c r="X177" s="18">
        <v>44273.4</v>
      </c>
      <c r="Y177" s="4">
        <f>X177/W177-1</f>
        <v>-1.568863377758456E-2</v>
      </c>
    </row>
    <row r="178" spans="1:25" ht="15" customHeight="1">
      <c r="A178" t="s">
        <v>382</v>
      </c>
      <c r="B178" t="s">
        <v>383</v>
      </c>
      <c r="C178" s="29">
        <v>254</v>
      </c>
      <c r="E178" t="s">
        <v>383</v>
      </c>
      <c r="F178" s="29">
        <v>219</v>
      </c>
      <c r="G178" t="b">
        <f>IF(B178=E178,TRUE,FALSE)</f>
        <v>1</v>
      </c>
      <c r="J178">
        <f>F178-C178</f>
        <v>-35</v>
      </c>
      <c r="K178" s="4">
        <f>F178/C178-1</f>
        <v>-0.13779527559055116</v>
      </c>
      <c r="M178" s="5">
        <v>126.7</v>
      </c>
      <c r="N178" s="5">
        <v>106.79</v>
      </c>
      <c r="Q178">
        <v>675.39</v>
      </c>
      <c r="U178" s="149">
        <f>N178-M178</f>
        <v>-19.909999999999997</v>
      </c>
      <c r="V178" s="4">
        <f>IF(M178=0,0,N178/M178-1)</f>
        <v>-0.15714285714285714</v>
      </c>
      <c r="W178" s="18">
        <v>5047.3500000000004</v>
      </c>
      <c r="X178" s="18">
        <v>4369.05</v>
      </c>
      <c r="Y178" s="4">
        <f>X178/W178-1</f>
        <v>-0.13438735177865613</v>
      </c>
    </row>
    <row r="179" spans="1:25" ht="15" customHeight="1">
      <c r="A179" t="s">
        <v>384</v>
      </c>
      <c r="B179" t="s">
        <v>385</v>
      </c>
      <c r="C179" s="29">
        <v>371</v>
      </c>
      <c r="E179" t="s">
        <v>385</v>
      </c>
      <c r="F179" s="29">
        <v>330</v>
      </c>
      <c r="G179" t="b">
        <f>IF(B179=E179,TRUE,FALSE)</f>
        <v>1</v>
      </c>
      <c r="J179">
        <f>F179-C179</f>
        <v>-41</v>
      </c>
      <c r="K179" s="4">
        <f>F179/C179-1</f>
        <v>-0.11051212938005395</v>
      </c>
      <c r="M179" s="5">
        <v>284.74</v>
      </c>
      <c r="N179" s="5">
        <v>251.12</v>
      </c>
      <c r="Q179">
        <v>1927.13</v>
      </c>
      <c r="U179" s="149">
        <f>N179-M179</f>
        <v>-33.620000000000005</v>
      </c>
      <c r="V179" s="4">
        <f>IF(M179=0,0,N179/M179-1)</f>
        <v>-0.11807262766032167</v>
      </c>
      <c r="W179" s="18">
        <v>8885.4500000000007</v>
      </c>
      <c r="X179" s="18">
        <v>7903.5</v>
      </c>
      <c r="Y179" s="4">
        <f>X179/W179-1</f>
        <v>-0.11051212938005395</v>
      </c>
    </row>
    <row r="180" spans="1:25" ht="15" customHeight="1">
      <c r="A180" t="s">
        <v>386</v>
      </c>
      <c r="B180" t="s">
        <v>387</v>
      </c>
      <c r="C180" s="29">
        <v>1026</v>
      </c>
      <c r="E180" t="s">
        <v>387</v>
      </c>
      <c r="F180" s="29">
        <v>985</v>
      </c>
      <c r="G180" t="b">
        <f>IF(B180=E180,TRUE,FALSE)</f>
        <v>1</v>
      </c>
      <c r="J180">
        <f>F180-C180</f>
        <v>-41</v>
      </c>
      <c r="K180" s="4">
        <f>F180/C180-1</f>
        <v>-3.9961013645224197E-2</v>
      </c>
      <c r="M180" s="5">
        <v>1299.3699999999999</v>
      </c>
      <c r="N180" s="5">
        <v>1406.05</v>
      </c>
      <c r="Q180">
        <v>10832.96</v>
      </c>
      <c r="U180" s="149">
        <f>N180-M180</f>
        <v>106.68000000000006</v>
      </c>
      <c r="V180" s="4">
        <f>IF(M180=0,0,N180/M180-1)</f>
        <v>8.2101326027228527E-2</v>
      </c>
      <c r="W180" s="18">
        <v>30728.7</v>
      </c>
      <c r="X180" s="18">
        <v>29500.75</v>
      </c>
      <c r="Y180" s="4">
        <f>X180/W180-1</f>
        <v>-3.9961013645224197E-2</v>
      </c>
    </row>
    <row r="181" spans="1:25" ht="15" customHeight="1">
      <c r="A181" t="s">
        <v>388</v>
      </c>
      <c r="B181" t="s">
        <v>389</v>
      </c>
      <c r="C181" s="29">
        <v>961</v>
      </c>
      <c r="E181" t="s">
        <v>389</v>
      </c>
      <c r="F181" s="29">
        <v>917</v>
      </c>
      <c r="G181" t="b">
        <f>IF(B181=E181,TRUE,FALSE)</f>
        <v>1</v>
      </c>
      <c r="J181">
        <f>F181-C181</f>
        <v>-44</v>
      </c>
      <c r="K181" s="4">
        <f>F181/C181-1</f>
        <v>-4.57856399583767E-2</v>
      </c>
      <c r="M181" s="5">
        <v>1548.49</v>
      </c>
      <c r="N181" s="5">
        <v>1216.06</v>
      </c>
      <c r="Q181">
        <v>9011.56</v>
      </c>
      <c r="U181" s="149">
        <f>N181-M181</f>
        <v>-332.43000000000006</v>
      </c>
      <c r="V181" s="4">
        <f>IF(M181=0,0,N181/M181-1)</f>
        <v>-0.2146801077178413</v>
      </c>
      <c r="W181" s="18">
        <v>35473.410000000003</v>
      </c>
      <c r="X181" s="18">
        <v>33882.839999999997</v>
      </c>
      <c r="Y181" s="4">
        <f>X181/W181-1</f>
        <v>-4.4838373305526757E-2</v>
      </c>
    </row>
    <row r="182" spans="1:25" ht="15" customHeight="1">
      <c r="A182" t="s">
        <v>390</v>
      </c>
      <c r="B182" t="s">
        <v>391</v>
      </c>
      <c r="C182" s="29">
        <v>580</v>
      </c>
      <c r="E182" t="s">
        <v>391</v>
      </c>
      <c r="F182" s="29">
        <v>533</v>
      </c>
      <c r="G182" t="b">
        <f>IF(B182=E182,TRUE,FALSE)</f>
        <v>1</v>
      </c>
      <c r="J182">
        <f>F182-C182</f>
        <v>-47</v>
      </c>
      <c r="K182" s="4">
        <f>F182/C182-1</f>
        <v>-8.1034482758620685E-2</v>
      </c>
      <c r="M182" s="5">
        <v>1043.73</v>
      </c>
      <c r="N182" s="5">
        <v>967.11</v>
      </c>
      <c r="Q182">
        <v>7823.43</v>
      </c>
      <c r="U182" s="149">
        <f>N182-M182</f>
        <v>-76.62</v>
      </c>
      <c r="V182" s="4">
        <f>IF(M182=0,0,N182/M182-1)</f>
        <v>-7.3409789888189469E-2</v>
      </c>
      <c r="W182" s="18">
        <v>12754.2</v>
      </c>
      <c r="X182" s="18">
        <v>11720.67</v>
      </c>
      <c r="Y182" s="4">
        <f>X182/W182-1</f>
        <v>-8.1034482758620685E-2</v>
      </c>
    </row>
    <row r="183" spans="1:25" ht="15" customHeight="1">
      <c r="A183" t="s">
        <v>392</v>
      </c>
      <c r="B183" t="s">
        <v>393</v>
      </c>
      <c r="C183" s="29">
        <v>1150</v>
      </c>
      <c r="E183" t="s">
        <v>393</v>
      </c>
      <c r="F183" s="29">
        <v>1103</v>
      </c>
      <c r="G183" t="b">
        <f>IF(B183=E183,TRUE,FALSE)</f>
        <v>1</v>
      </c>
      <c r="J183">
        <f>F183-C183</f>
        <v>-47</v>
      </c>
      <c r="K183" s="4">
        <f>F183/C183-1</f>
        <v>-4.0869565217391268E-2</v>
      </c>
      <c r="M183" s="5">
        <v>2541.1</v>
      </c>
      <c r="N183" s="5">
        <v>2435.2800000000002</v>
      </c>
      <c r="Q183">
        <v>12053.02</v>
      </c>
      <c r="U183" s="149">
        <f>N183-M183</f>
        <v>-105.81999999999971</v>
      </c>
      <c r="V183" s="4">
        <f>IF(M183=0,0,N183/M183-1)</f>
        <v>-4.1643382786981875E-2</v>
      </c>
      <c r="W183" s="18">
        <v>33061.06</v>
      </c>
      <c r="X183" s="18">
        <v>31917.99</v>
      </c>
      <c r="Y183" s="4">
        <f>X183/W183-1</f>
        <v>-3.4574511525038654E-2</v>
      </c>
    </row>
    <row r="184" spans="1:25" ht="15" customHeight="1">
      <c r="A184" t="s">
        <v>394</v>
      </c>
      <c r="B184" t="s">
        <v>395</v>
      </c>
      <c r="C184" s="29">
        <v>3487</v>
      </c>
      <c r="E184" t="s">
        <v>395</v>
      </c>
      <c r="F184" s="29">
        <v>3437</v>
      </c>
      <c r="G184" t="b">
        <f>IF(B184=E184,TRUE,FALSE)</f>
        <v>1</v>
      </c>
      <c r="J184">
        <f>F184-C184</f>
        <v>-50</v>
      </c>
      <c r="K184" s="4">
        <f>F184/C184-1</f>
        <v>-1.4338973329509619E-2</v>
      </c>
      <c r="M184" s="5">
        <v>5992.85</v>
      </c>
      <c r="N184" s="5">
        <v>3870.96</v>
      </c>
      <c r="Q184">
        <v>35425.519999999997</v>
      </c>
      <c r="U184" s="149">
        <f>N184-M184</f>
        <v>-2121.8900000000003</v>
      </c>
      <c r="V184" s="4">
        <f>IF(M184=0,0,N184/M184-1)</f>
        <v>-0.35407026706825639</v>
      </c>
      <c r="W184" s="18">
        <v>104435.65</v>
      </c>
      <c r="X184" s="18">
        <v>102848.5</v>
      </c>
      <c r="Y184" s="4">
        <f>X184/W184-1</f>
        <v>-1.5197396674411445E-2</v>
      </c>
    </row>
    <row r="185" spans="1:25" ht="15" customHeight="1">
      <c r="A185" t="s">
        <v>396</v>
      </c>
      <c r="B185" t="s">
        <v>397</v>
      </c>
      <c r="C185" s="29">
        <v>624</v>
      </c>
      <c r="E185" t="s">
        <v>397</v>
      </c>
      <c r="F185" s="29">
        <v>574</v>
      </c>
      <c r="G185" t="b">
        <f>IF(B185=E185,TRUE,FALSE)</f>
        <v>1</v>
      </c>
      <c r="J185">
        <f>F185-C185</f>
        <v>-50</v>
      </c>
      <c r="K185" s="4">
        <f>F185/C185-1</f>
        <v>-8.0128205128205177E-2</v>
      </c>
      <c r="M185" s="5">
        <v>964.76</v>
      </c>
      <c r="N185" s="5">
        <v>718.45</v>
      </c>
      <c r="Q185">
        <v>5190.6099999999997</v>
      </c>
      <c r="U185" s="149">
        <f>N185-M185</f>
        <v>-246.30999999999995</v>
      </c>
      <c r="V185" s="4">
        <f>IF(M185=0,0,N185/M185-1)</f>
        <v>-0.25530701936232836</v>
      </c>
      <c r="W185" s="18">
        <v>12448.8</v>
      </c>
      <c r="X185" s="18">
        <v>12040.86</v>
      </c>
      <c r="Y185" s="4">
        <f>X185/W185-1</f>
        <v>-3.2769423558897115E-2</v>
      </c>
    </row>
    <row r="186" spans="1:25" ht="15" customHeight="1">
      <c r="A186" t="s">
        <v>398</v>
      </c>
      <c r="B186" t="s">
        <v>399</v>
      </c>
      <c r="C186" s="29">
        <v>3477</v>
      </c>
      <c r="E186" t="s">
        <v>399</v>
      </c>
      <c r="F186" s="29">
        <v>3411</v>
      </c>
      <c r="G186" t="b">
        <f>IF(B186=E186,TRUE,FALSE)</f>
        <v>1</v>
      </c>
      <c r="J186">
        <f>F186-C186</f>
        <v>-66</v>
      </c>
      <c r="K186" s="4">
        <f>F186/C186-1</f>
        <v>-1.8981880931837836E-2</v>
      </c>
      <c r="M186" s="5">
        <v>5092.46</v>
      </c>
      <c r="N186" s="5">
        <v>4909.76</v>
      </c>
      <c r="Q186">
        <v>28670.3</v>
      </c>
      <c r="U186" s="149">
        <f>N186-M186</f>
        <v>-182.69999999999982</v>
      </c>
      <c r="V186" s="4">
        <f>IF(M186=0,0,N186/M186-1)</f>
        <v>-3.5876570459070778E-2</v>
      </c>
      <c r="W186" s="18">
        <v>83250.2</v>
      </c>
      <c r="X186" s="18">
        <v>84346.43</v>
      </c>
      <c r="Y186" s="4">
        <f>X186/W186-1</f>
        <v>1.3167896293342141E-2</v>
      </c>
    </row>
    <row r="187" spans="1:25" ht="15" customHeight="1">
      <c r="A187" t="s">
        <v>400</v>
      </c>
      <c r="B187" t="s">
        <v>401</v>
      </c>
      <c r="C187" s="29">
        <v>844</v>
      </c>
      <c r="E187" t="s">
        <v>401</v>
      </c>
      <c r="F187" s="29">
        <v>777</v>
      </c>
      <c r="G187" t="b">
        <f>IF(B187=E187,TRUE,FALSE)</f>
        <v>1</v>
      </c>
      <c r="J187">
        <f>F187-C187</f>
        <v>-67</v>
      </c>
      <c r="K187" s="4">
        <f>F187/C187-1</f>
        <v>-7.9383886255924185E-2</v>
      </c>
      <c r="M187" s="5">
        <v>1693.12</v>
      </c>
      <c r="N187" s="5">
        <v>1310.49</v>
      </c>
      <c r="Q187">
        <v>9868.33</v>
      </c>
      <c r="U187" s="149">
        <f>N187-M187</f>
        <v>-382.62999999999988</v>
      </c>
      <c r="V187" s="4">
        <f>IF(M187=0,0,N187/M187-1)</f>
        <v>-0.22599106974106964</v>
      </c>
      <c r="W187" s="18">
        <v>23287.88</v>
      </c>
      <c r="X187" s="18">
        <v>22525.23</v>
      </c>
      <c r="Y187" s="4">
        <f>X187/W187-1</f>
        <v>-3.2748794651982105E-2</v>
      </c>
    </row>
    <row r="188" spans="1:25" ht="15" customHeight="1">
      <c r="A188" t="s">
        <v>402</v>
      </c>
      <c r="B188" t="s">
        <v>403</v>
      </c>
      <c r="C188" s="29">
        <v>1392</v>
      </c>
      <c r="E188" t="s">
        <v>403</v>
      </c>
      <c r="F188" s="29">
        <v>1322</v>
      </c>
      <c r="G188" t="b">
        <f>IF(B188=E188,TRUE,FALSE)</f>
        <v>1</v>
      </c>
      <c r="J188">
        <f>F188-C188</f>
        <v>-70</v>
      </c>
      <c r="K188" s="4">
        <f>F188/C188-1</f>
        <v>-5.0287356321839116E-2</v>
      </c>
      <c r="L188" s="5"/>
      <c r="M188" s="5">
        <v>2166.27</v>
      </c>
      <c r="N188" s="5">
        <v>2254.4499999999998</v>
      </c>
      <c r="O188" s="5"/>
      <c r="P188" s="5"/>
      <c r="Q188">
        <v>11820.51</v>
      </c>
      <c r="R188" s="5"/>
      <c r="S188" s="5"/>
      <c r="T188" s="5"/>
      <c r="U188" s="149">
        <f>N188-M188</f>
        <v>88.179999999999836</v>
      </c>
      <c r="V188" s="4">
        <f>IF(M188=0,0,N188/M188-1)</f>
        <v>4.0705913851920572E-2</v>
      </c>
      <c r="W188" s="18">
        <v>32391.96</v>
      </c>
      <c r="X188" s="18">
        <v>31661.9</v>
      </c>
      <c r="Y188" s="4">
        <f>X188/W188-1</f>
        <v>-2.2538308888995884E-2</v>
      </c>
    </row>
    <row r="189" spans="1:25" ht="15" customHeight="1">
      <c r="A189" t="s">
        <v>404</v>
      </c>
      <c r="B189" t="s">
        <v>405</v>
      </c>
      <c r="C189" s="29">
        <v>1890</v>
      </c>
      <c r="E189" t="s">
        <v>405</v>
      </c>
      <c r="F189" s="29">
        <v>1820</v>
      </c>
      <c r="G189" t="b">
        <f>IF(B189=E189,TRUE,FALSE)</f>
        <v>1</v>
      </c>
      <c r="J189">
        <f>F189-C189</f>
        <v>-70</v>
      </c>
      <c r="K189" s="4">
        <f>F189/C189-1</f>
        <v>-3.703703703703709E-2</v>
      </c>
      <c r="M189" s="5">
        <v>2355.23</v>
      </c>
      <c r="N189" s="5">
        <v>1950.64</v>
      </c>
      <c r="Q189">
        <v>16244.62</v>
      </c>
      <c r="U189" s="149">
        <f>N189-M189</f>
        <v>-404.58999999999992</v>
      </c>
      <c r="V189" s="4">
        <f>IF(M189=0,0,N189/M189-1)</f>
        <v>-0.17178364745693619</v>
      </c>
      <c r="W189" s="18">
        <v>56605.5</v>
      </c>
      <c r="X189" s="18">
        <v>54479.05</v>
      </c>
      <c r="Y189" s="4">
        <f>X189/W189-1</f>
        <v>-3.756613756613747E-2</v>
      </c>
    </row>
    <row r="190" spans="1:25" ht="15" customHeight="1">
      <c r="A190" s="58" t="s">
        <v>406</v>
      </c>
      <c r="B190" s="38" t="s">
        <v>407</v>
      </c>
      <c r="C190" s="29">
        <v>859</v>
      </c>
      <c r="E190" s="38" t="s">
        <v>407</v>
      </c>
      <c r="F190" s="29">
        <v>789</v>
      </c>
      <c r="G190" t="b">
        <f>IF(B190=E190,TRUE,FALSE)</f>
        <v>1</v>
      </c>
      <c r="J190">
        <f>F190-C190</f>
        <v>-70</v>
      </c>
      <c r="K190" s="4">
        <f>F190/C190-1</f>
        <v>-8.14901047729919E-2</v>
      </c>
      <c r="M190" s="5">
        <v>1319.34</v>
      </c>
      <c r="N190" s="5">
        <v>260.22000000000003</v>
      </c>
      <c r="Q190">
        <v>2218.79</v>
      </c>
      <c r="U190" s="149">
        <f>N190-M190</f>
        <v>-1059.1199999999999</v>
      </c>
      <c r="V190" s="4">
        <f>IF(M190=0,0,N190/M190-1)</f>
        <v>-0.80276501887307283</v>
      </c>
      <c r="W190" s="18">
        <v>12253.41</v>
      </c>
      <c r="X190" s="18">
        <v>12616.11</v>
      </c>
      <c r="Y190" s="4">
        <f>X190/W190-1</f>
        <v>2.9599923613100376E-2</v>
      </c>
    </row>
    <row r="191" spans="1:25" ht="15" customHeight="1">
      <c r="A191" t="s">
        <v>408</v>
      </c>
      <c r="B191" t="s">
        <v>409</v>
      </c>
      <c r="C191" s="29">
        <v>351</v>
      </c>
      <c r="E191" t="s">
        <v>409</v>
      </c>
      <c r="F191" s="29">
        <v>277</v>
      </c>
      <c r="G191" t="b">
        <f>IF(B191=E191,TRUE,FALSE)</f>
        <v>1</v>
      </c>
      <c r="J191">
        <f>F191-C191</f>
        <v>-74</v>
      </c>
      <c r="K191" s="4">
        <f>F191/C191-1</f>
        <v>-0.21082621082621078</v>
      </c>
      <c r="M191" s="5">
        <v>1090.83</v>
      </c>
      <c r="N191" s="5">
        <v>940.85</v>
      </c>
      <c r="Q191">
        <v>3484.7599999999998</v>
      </c>
      <c r="U191" s="149">
        <f>N191-M191</f>
        <v>-149.9799999999999</v>
      </c>
      <c r="V191" s="4">
        <f>IF(M191=0,0,N191/M191-1)</f>
        <v>-0.13749163481019033</v>
      </c>
      <c r="W191" s="18">
        <v>7696.5</v>
      </c>
      <c r="X191" s="18">
        <v>6091.03</v>
      </c>
      <c r="Y191" s="4">
        <f>X191/W191-1</f>
        <v>-0.20859741440914703</v>
      </c>
    </row>
    <row r="192" spans="1:25" ht="15" customHeight="1">
      <c r="A192" t="s">
        <v>410</v>
      </c>
      <c r="B192" t="s">
        <v>411</v>
      </c>
      <c r="C192" s="29">
        <v>754</v>
      </c>
      <c r="E192" t="s">
        <v>411</v>
      </c>
      <c r="F192" s="29">
        <v>678</v>
      </c>
      <c r="G192" t="b">
        <f>IF(B192=E192,TRUE,FALSE)</f>
        <v>1</v>
      </c>
      <c r="J192">
        <f>F192-C192</f>
        <v>-76</v>
      </c>
      <c r="K192" s="4">
        <f>F192/C192-1</f>
        <v>-0.10079575596816981</v>
      </c>
      <c r="M192" s="5">
        <v>1136.8699999999999</v>
      </c>
      <c r="N192" s="5">
        <v>782.96</v>
      </c>
      <c r="Q192">
        <v>5964.85</v>
      </c>
      <c r="U192" s="149">
        <f>N192-M192</f>
        <v>-353.90999999999985</v>
      </c>
      <c r="V192" s="4">
        <f>IF(M192=0,0,N192/M192-1)</f>
        <v>-0.3113020837914624</v>
      </c>
      <c r="W192" s="18">
        <v>18812.3</v>
      </c>
      <c r="X192" s="18">
        <v>16916.099999999999</v>
      </c>
      <c r="Y192" s="4">
        <f>X192/W192-1</f>
        <v>-0.10079575596816981</v>
      </c>
    </row>
    <row r="193" spans="1:25" ht="15" customHeight="1">
      <c r="A193" t="s">
        <v>412</v>
      </c>
      <c r="B193" t="s">
        <v>413</v>
      </c>
      <c r="C193" s="29">
        <v>803</v>
      </c>
      <c r="E193" t="s">
        <v>413</v>
      </c>
      <c r="F193" s="29">
        <v>727</v>
      </c>
      <c r="G193" t="b">
        <f>IF(B193=E193,TRUE,FALSE)</f>
        <v>1</v>
      </c>
      <c r="J193">
        <f>F193-C193</f>
        <v>-76</v>
      </c>
      <c r="K193" s="4">
        <f>F193/C193-1</f>
        <v>-9.4645080946450855E-2</v>
      </c>
      <c r="M193" s="5">
        <v>1620.54</v>
      </c>
      <c r="N193" s="5">
        <v>1202.69</v>
      </c>
      <c r="Q193">
        <v>6490.53</v>
      </c>
      <c r="U193" s="149">
        <f>N193-M193</f>
        <v>-417.84999999999991</v>
      </c>
      <c r="V193" s="4">
        <f>IF(M193=0,0,N193/M193-1)</f>
        <v>-0.25784615004874911</v>
      </c>
      <c r="W193" s="18">
        <v>20062.890000000003</v>
      </c>
      <c r="X193" s="18">
        <v>18167.73</v>
      </c>
      <c r="Y193" s="4">
        <f>X193/W193-1</f>
        <v>-9.4460967487735026E-2</v>
      </c>
    </row>
    <row r="194" spans="1:25" ht="15" customHeight="1">
      <c r="A194" s="58" t="s">
        <v>414</v>
      </c>
      <c r="B194" s="38" t="s">
        <v>415</v>
      </c>
      <c r="C194" s="29">
        <v>344</v>
      </c>
      <c r="E194" s="38" t="s">
        <v>415</v>
      </c>
      <c r="F194" s="29">
        <v>268</v>
      </c>
      <c r="G194" t="b">
        <f>IF(B194=E194,TRUE,FALSE)</f>
        <v>1</v>
      </c>
      <c r="J194">
        <f>F194-C194</f>
        <v>-76</v>
      </c>
      <c r="K194" s="4">
        <f>F194/C194-1</f>
        <v>-0.22093023255813948</v>
      </c>
      <c r="M194" s="5">
        <v>134.62</v>
      </c>
      <c r="N194" s="5">
        <v>210.12</v>
      </c>
      <c r="Q194">
        <v>401.89</v>
      </c>
      <c r="U194" s="149">
        <f>N194-M194</f>
        <v>75.5</v>
      </c>
      <c r="V194" s="4">
        <f>IF(M194=0,0,N194/M194-1)</f>
        <v>0.56083791412865835</v>
      </c>
      <c r="W194" s="18">
        <v>8010.56</v>
      </c>
      <c r="X194" s="18">
        <v>7233.32</v>
      </c>
      <c r="Y194" s="4">
        <f>X194/W194-1</f>
        <v>-9.7026924459713282E-2</v>
      </c>
    </row>
    <row r="195" spans="1:25" ht="15" customHeight="1">
      <c r="A195" t="s">
        <v>416</v>
      </c>
      <c r="B195" t="s">
        <v>417</v>
      </c>
      <c r="C195" s="29">
        <v>833</v>
      </c>
      <c r="E195" t="s">
        <v>417</v>
      </c>
      <c r="F195" s="29">
        <v>754</v>
      </c>
      <c r="G195" t="b">
        <f>IF(B195=E195,TRUE,FALSE)</f>
        <v>1</v>
      </c>
      <c r="J195">
        <f>F195-C195</f>
        <v>-79</v>
      </c>
      <c r="K195" s="4">
        <f>F195/C195-1</f>
        <v>-9.4837935174069576E-2</v>
      </c>
      <c r="M195" s="5">
        <v>1656.5</v>
      </c>
      <c r="N195" s="5">
        <v>1360.22</v>
      </c>
      <c r="Q195">
        <v>8180.94</v>
      </c>
      <c r="U195" s="149">
        <f>N195-M195</f>
        <v>-296.27999999999997</v>
      </c>
      <c r="V195" s="4">
        <f>IF(M195=0,0,N195/M195-1)</f>
        <v>-0.17885904014488374</v>
      </c>
      <c r="W195" s="18">
        <v>11885.67</v>
      </c>
      <c r="X195" s="18">
        <v>12056.46</v>
      </c>
      <c r="Y195" s="4">
        <f>X195/W195-1</f>
        <v>1.4369404501386907E-2</v>
      </c>
    </row>
    <row r="196" spans="1:25" ht="14.25" customHeight="1">
      <c r="A196" t="s">
        <v>418</v>
      </c>
      <c r="B196" t="s">
        <v>419</v>
      </c>
      <c r="C196" s="29">
        <v>749</v>
      </c>
      <c r="E196" t="s">
        <v>419</v>
      </c>
      <c r="F196" s="29">
        <v>668</v>
      </c>
      <c r="G196" t="b">
        <f>IF(B196=E196,TRUE,FALSE)</f>
        <v>1</v>
      </c>
      <c r="J196">
        <f>F196-C196</f>
        <v>-81</v>
      </c>
      <c r="K196" s="4">
        <f>F196/C196-1</f>
        <v>-0.10814419225634175</v>
      </c>
      <c r="M196" s="5">
        <v>1098</v>
      </c>
      <c r="N196" s="5">
        <v>950.47</v>
      </c>
      <c r="Q196">
        <v>3155.79</v>
      </c>
      <c r="U196" s="149">
        <f>N196-M196</f>
        <v>-147.52999999999997</v>
      </c>
      <c r="V196" s="4">
        <f>IF(M196=0,0,N196/M196-1)</f>
        <v>-0.13436247723132966</v>
      </c>
      <c r="W196" s="18">
        <v>14193.55</v>
      </c>
      <c r="X196" s="18">
        <v>12658.6</v>
      </c>
      <c r="Y196" s="4">
        <f>X196/W196-1</f>
        <v>-0.10814419225634175</v>
      </c>
    </row>
    <row r="197" spans="1:25" ht="15" customHeight="1">
      <c r="A197" t="s">
        <v>420</v>
      </c>
      <c r="B197" t="s">
        <v>421</v>
      </c>
      <c r="C197" s="29">
        <v>525</v>
      </c>
      <c r="E197" t="s">
        <v>421</v>
      </c>
      <c r="F197" s="29">
        <v>443</v>
      </c>
      <c r="G197" t="b">
        <f>IF(B197=E197,TRUE,FALSE)</f>
        <v>1</v>
      </c>
      <c r="J197">
        <f>F197-C197</f>
        <v>-82</v>
      </c>
      <c r="K197" s="4">
        <f>F197/C197-1</f>
        <v>-0.15619047619047621</v>
      </c>
      <c r="M197" s="5">
        <v>901.03</v>
      </c>
      <c r="N197" s="5">
        <v>678.36</v>
      </c>
      <c r="Q197">
        <v>3997.79</v>
      </c>
      <c r="U197" s="149">
        <f>N197-M197</f>
        <v>-222.66999999999996</v>
      </c>
      <c r="V197" s="4">
        <f>IF(M197=0,0,N197/M197-1)</f>
        <v>-0.24712828651654217</v>
      </c>
      <c r="W197" s="18">
        <v>11523.75</v>
      </c>
      <c r="X197" s="18">
        <v>9723.85</v>
      </c>
      <c r="Y197" s="4">
        <f>X197/W197-1</f>
        <v>-0.15619047619047621</v>
      </c>
    </row>
    <row r="198" spans="1:25" ht="15" customHeight="1">
      <c r="A198" t="s">
        <v>422</v>
      </c>
      <c r="B198" t="s">
        <v>423</v>
      </c>
      <c r="C198" s="29">
        <v>637</v>
      </c>
      <c r="E198" t="s">
        <v>423</v>
      </c>
      <c r="F198" s="29">
        <v>549</v>
      </c>
      <c r="G198" t="b">
        <f>IF(B198=E198,TRUE,FALSE)</f>
        <v>1</v>
      </c>
      <c r="J198">
        <f>F198-C198</f>
        <v>-88</v>
      </c>
      <c r="K198" s="4">
        <f>F198/C198-1</f>
        <v>-0.13814756671899531</v>
      </c>
      <c r="M198" s="5">
        <v>935.65</v>
      </c>
      <c r="N198" s="5">
        <v>744.63</v>
      </c>
      <c r="Q198">
        <v>4075.26</v>
      </c>
      <c r="U198" s="149">
        <f>N198-M198</f>
        <v>-191.01999999999998</v>
      </c>
      <c r="V198" s="4">
        <f>IF(M198=0,0,N198/M198-1)</f>
        <v>-0.20415753754074706</v>
      </c>
      <c r="W198" s="18">
        <v>13982.15</v>
      </c>
      <c r="X198" s="18">
        <v>12050.55</v>
      </c>
      <c r="Y198" s="4">
        <f>X198/W198-1</f>
        <v>-0.13814756671899531</v>
      </c>
    </row>
    <row r="199" spans="1:25" ht="15" customHeight="1">
      <c r="A199" t="s">
        <v>424</v>
      </c>
      <c r="B199" t="s">
        <v>425</v>
      </c>
      <c r="C199" s="29">
        <v>1663</v>
      </c>
      <c r="E199" t="s">
        <v>425</v>
      </c>
      <c r="F199" s="29">
        <v>1573</v>
      </c>
      <c r="G199" t="b">
        <f>IF(B199=E199,TRUE,FALSE)</f>
        <v>1</v>
      </c>
      <c r="J199">
        <f>F199-C199</f>
        <v>-90</v>
      </c>
      <c r="K199" s="4">
        <f>F199/C199-1</f>
        <v>-5.4119061936259816E-2</v>
      </c>
      <c r="M199" s="5">
        <v>1505.7</v>
      </c>
      <c r="N199" s="5">
        <v>1133.6099999999999</v>
      </c>
      <c r="Q199">
        <v>9701.66</v>
      </c>
      <c r="U199" s="149">
        <f>N199-M199</f>
        <v>-372.09000000000015</v>
      </c>
      <c r="V199" s="4">
        <f>IF(M199=0,0,N199/M199-1)</f>
        <v>-0.24712094042637989</v>
      </c>
      <c r="W199" s="18">
        <v>49657.1</v>
      </c>
      <c r="X199" s="18">
        <v>47111.35</v>
      </c>
      <c r="Y199" s="4">
        <f>X199/W199-1</f>
        <v>-5.1266586248492119E-2</v>
      </c>
    </row>
    <row r="200" spans="1:25" ht="15" customHeight="1">
      <c r="A200" t="s">
        <v>426</v>
      </c>
      <c r="B200" t="s">
        <v>427</v>
      </c>
      <c r="C200" s="29">
        <v>2732</v>
      </c>
      <c r="E200" t="s">
        <v>427</v>
      </c>
      <c r="F200" s="29">
        <v>2641</v>
      </c>
      <c r="G200" t="b">
        <f>IF(B200=E200,TRUE,FALSE)</f>
        <v>1</v>
      </c>
      <c r="J200">
        <f>F200-C200</f>
        <v>-91</v>
      </c>
      <c r="K200" s="4">
        <f>F200/C200-1</f>
        <v>-3.3308931185944357E-2</v>
      </c>
      <c r="M200" s="5">
        <v>4692.49</v>
      </c>
      <c r="N200" s="5">
        <v>3897.92</v>
      </c>
      <c r="Q200">
        <v>23717.599999999999</v>
      </c>
      <c r="U200" s="149">
        <f>N200-M200</f>
        <v>-794.56999999999971</v>
      </c>
      <c r="V200" s="4">
        <f>IF(M200=0,0,N200/M200-1)</f>
        <v>-0.16932801135431286</v>
      </c>
      <c r="W200" s="18">
        <v>81793.45</v>
      </c>
      <c r="X200" s="18">
        <v>79097.950000000012</v>
      </c>
      <c r="Y200" s="4">
        <f>X200/W200-1</f>
        <v>-3.2954961552544626E-2</v>
      </c>
    </row>
    <row r="201" spans="1:25" ht="15" customHeight="1">
      <c r="A201" t="s">
        <v>428</v>
      </c>
      <c r="B201" t="s">
        <v>429</v>
      </c>
      <c r="C201" s="29">
        <v>740</v>
      </c>
      <c r="E201" t="s">
        <v>429</v>
      </c>
      <c r="F201" s="29">
        <v>644</v>
      </c>
      <c r="G201" t="b">
        <f>IF(B201=E201,TRUE,FALSE)</f>
        <v>1</v>
      </c>
      <c r="J201">
        <f>F201-C201</f>
        <v>-96</v>
      </c>
      <c r="K201" s="4">
        <f>F201/C201-1</f>
        <v>-0.12972972972972974</v>
      </c>
      <c r="M201" s="5">
        <v>864.18</v>
      </c>
      <c r="N201" s="5">
        <v>722.95</v>
      </c>
      <c r="Q201">
        <v>4951.58</v>
      </c>
      <c r="U201" s="149">
        <f>N201-M201</f>
        <v>-141.2299999999999</v>
      </c>
      <c r="V201" s="4">
        <f>IF(M201=0,0,N201/M201-1)</f>
        <v>-0.16342660093961892</v>
      </c>
      <c r="W201" s="18">
        <v>19232.599999999999</v>
      </c>
      <c r="X201" s="18">
        <v>16737.560000000001</v>
      </c>
      <c r="Y201" s="4">
        <f>X201/W201-1</f>
        <v>-0.12972972972972963</v>
      </c>
    </row>
    <row r="202" spans="1:25" ht="15" customHeight="1">
      <c r="A202" s="56" t="s">
        <v>430</v>
      </c>
      <c r="B202" s="38" t="s">
        <v>431</v>
      </c>
      <c r="C202" s="29">
        <v>1453</v>
      </c>
      <c r="E202" s="38" t="s">
        <v>431</v>
      </c>
      <c r="F202" s="29">
        <v>1356</v>
      </c>
      <c r="G202" t="b">
        <f>IF(B202=E202,TRUE,FALSE)</f>
        <v>1</v>
      </c>
      <c r="J202">
        <f>F202-C202</f>
        <v>-97</v>
      </c>
      <c r="K202" s="4">
        <f>F202/C202-1</f>
        <v>-6.6758430832759785E-2</v>
      </c>
      <c r="M202" s="5">
        <v>1648.11</v>
      </c>
      <c r="N202" s="5">
        <v>2115.9699999999998</v>
      </c>
      <c r="Q202">
        <v>21997.200000000001</v>
      </c>
      <c r="U202" s="149">
        <f>N202-M202</f>
        <v>467.8599999999999</v>
      </c>
      <c r="V202" s="4">
        <f>IF(M202=0,0,N202/M202-1)</f>
        <v>0.28387668298839275</v>
      </c>
      <c r="W202" s="18">
        <v>31891.77</v>
      </c>
      <c r="X202" s="18">
        <v>36346.44</v>
      </c>
      <c r="Y202" s="4">
        <f>X202/W202-1</f>
        <v>0.13968086437347327</v>
      </c>
    </row>
    <row r="203" spans="1:25" ht="15" customHeight="1">
      <c r="A203" t="s">
        <v>432</v>
      </c>
      <c r="B203" t="s">
        <v>433</v>
      </c>
      <c r="C203" s="29">
        <v>1431</v>
      </c>
      <c r="E203" t="s">
        <v>433</v>
      </c>
      <c r="F203" s="29">
        <v>1330</v>
      </c>
      <c r="G203" t="b">
        <f>IF(B203=E203,TRUE,FALSE)</f>
        <v>1</v>
      </c>
      <c r="J203">
        <f>F203-C203</f>
        <v>-101</v>
      </c>
      <c r="K203" s="4">
        <f>F203/C203-1</f>
        <v>-7.0580013976240363E-2</v>
      </c>
      <c r="M203" s="5">
        <v>1192.8499999999999</v>
      </c>
      <c r="N203" s="5">
        <v>823.17</v>
      </c>
      <c r="Q203">
        <v>6254.67</v>
      </c>
      <c r="U203" s="149">
        <f>N203-M203</f>
        <v>-369.67999999999995</v>
      </c>
      <c r="V203" s="4">
        <f>IF(M203=0,0,N203/M203-1)</f>
        <v>-0.30991323301337137</v>
      </c>
      <c r="W203" s="18">
        <v>42798.55</v>
      </c>
      <c r="X203" s="18">
        <v>39623.85</v>
      </c>
      <c r="Y203" s="4">
        <f>X203/W203-1</f>
        <v>-7.4177746675997303E-2</v>
      </c>
    </row>
    <row r="204" spans="1:25" ht="15" customHeight="1">
      <c r="A204" t="s">
        <v>434</v>
      </c>
      <c r="B204" t="s">
        <v>435</v>
      </c>
      <c r="C204" s="29">
        <v>995</v>
      </c>
      <c r="E204" t="s">
        <v>435</v>
      </c>
      <c r="F204" s="29">
        <v>892</v>
      </c>
      <c r="G204" t="b">
        <f>IF(B204=E204,TRUE,FALSE)</f>
        <v>1</v>
      </c>
      <c r="J204">
        <f>F204-C204</f>
        <v>-103</v>
      </c>
      <c r="K204" s="4">
        <f>F204/C204-1</f>
        <v>-0.10351758793969845</v>
      </c>
      <c r="M204" s="5">
        <v>1890.8</v>
      </c>
      <c r="N204" s="5">
        <v>1535.73</v>
      </c>
      <c r="Q204">
        <v>9765.9699999999993</v>
      </c>
      <c r="U204" s="149">
        <f>N204-M204</f>
        <v>-355.06999999999994</v>
      </c>
      <c r="V204" s="4">
        <f>IF(M204=0,0,N204/M204-1)</f>
        <v>-0.18778823778294895</v>
      </c>
      <c r="W204" s="18">
        <v>28919.059999999998</v>
      </c>
      <c r="X204" s="18">
        <v>26661.11</v>
      </c>
      <c r="Y204" s="4">
        <f>X204/W204-1</f>
        <v>-7.8078263954637461E-2</v>
      </c>
    </row>
    <row r="205" spans="1:25" ht="15" customHeight="1">
      <c r="A205" t="s">
        <v>436</v>
      </c>
      <c r="B205" t="s">
        <v>437</v>
      </c>
      <c r="C205" s="29">
        <v>1133</v>
      </c>
      <c r="E205" t="s">
        <v>437</v>
      </c>
      <c r="F205" s="29">
        <v>1027</v>
      </c>
      <c r="G205" t="b">
        <f>IF(B205=E205,TRUE,FALSE)</f>
        <v>1</v>
      </c>
      <c r="J205">
        <f>F205-C205</f>
        <v>-106</v>
      </c>
      <c r="K205" s="4">
        <f>F205/C205-1</f>
        <v>-9.3556928508384818E-2</v>
      </c>
      <c r="M205" s="5">
        <v>1491.31</v>
      </c>
      <c r="N205" s="5">
        <v>1464.19</v>
      </c>
      <c r="Q205">
        <v>10896.48</v>
      </c>
      <c r="U205" s="149">
        <f>N205-M205</f>
        <v>-27.119999999999891</v>
      </c>
      <c r="V205" s="4">
        <f>IF(M205=0,0,N205/M205-1)</f>
        <v>-1.8185353816443151E-2</v>
      </c>
      <c r="W205" s="18">
        <v>33933.35</v>
      </c>
      <c r="X205" s="18">
        <v>30758.65</v>
      </c>
      <c r="Y205" s="4">
        <f>X205/W205-1</f>
        <v>-9.3556928508384707E-2</v>
      </c>
    </row>
    <row r="206" spans="1:25" ht="15" customHeight="1">
      <c r="A206" t="s">
        <v>438</v>
      </c>
      <c r="B206" t="s">
        <v>439</v>
      </c>
      <c r="C206" s="29">
        <v>1909</v>
      </c>
      <c r="E206" t="s">
        <v>439</v>
      </c>
      <c r="F206" s="29">
        <v>1799</v>
      </c>
      <c r="G206" t="b">
        <f>IF(B206=E206,TRUE,FALSE)</f>
        <v>1</v>
      </c>
      <c r="J206">
        <f>F206-C206</f>
        <v>-110</v>
      </c>
      <c r="K206" s="4">
        <f>F206/C206-1</f>
        <v>-5.7621791513881582E-2</v>
      </c>
      <c r="M206" s="5">
        <v>1112.47</v>
      </c>
      <c r="N206" s="5">
        <v>1006.72</v>
      </c>
      <c r="Q206">
        <v>7998.32</v>
      </c>
      <c r="U206" s="149">
        <f>N206-M206</f>
        <v>-105.75</v>
      </c>
      <c r="V206" s="4">
        <f>IF(M206=0,0,N206/M206-1)</f>
        <v>-9.5058743157118819E-2</v>
      </c>
      <c r="W206" s="18">
        <v>54882.99</v>
      </c>
      <c r="X206" s="18">
        <v>53952.01</v>
      </c>
      <c r="Y206" s="4">
        <f>X206/W206-1</f>
        <v>-1.6962997096185872E-2</v>
      </c>
    </row>
    <row r="207" spans="1:25" ht="15" customHeight="1">
      <c r="A207" t="s">
        <v>440</v>
      </c>
      <c r="B207" t="s">
        <v>441</v>
      </c>
      <c r="C207" s="29">
        <v>886</v>
      </c>
      <c r="E207" t="s">
        <v>441</v>
      </c>
      <c r="F207" s="29">
        <v>767</v>
      </c>
      <c r="G207" t="b">
        <f>IF(B207=E207,TRUE,FALSE)</f>
        <v>1</v>
      </c>
      <c r="J207">
        <f>F207-C207</f>
        <v>-119</v>
      </c>
      <c r="K207" s="4">
        <f>F207/C207-1</f>
        <v>-0.13431151241534989</v>
      </c>
      <c r="M207" s="5">
        <v>1520.47</v>
      </c>
      <c r="N207" s="5">
        <v>1177.42</v>
      </c>
      <c r="Q207">
        <v>6843.34</v>
      </c>
      <c r="U207" s="149">
        <f>N207-M207</f>
        <v>-343.04999999999995</v>
      </c>
      <c r="V207" s="4">
        <f>IF(M207=0,0,N207/M207-1)</f>
        <v>-0.22562102507777193</v>
      </c>
      <c r="W207" s="18">
        <v>23877.7</v>
      </c>
      <c r="X207" s="18">
        <v>20670.650000000001</v>
      </c>
      <c r="Y207" s="4">
        <f>X207/W207-1</f>
        <v>-0.13431151241534989</v>
      </c>
    </row>
    <row r="208" spans="1:25" ht="15" customHeight="1">
      <c r="A208" t="s">
        <v>442</v>
      </c>
      <c r="B208" t="s">
        <v>443</v>
      </c>
      <c r="C208" s="29">
        <v>1337</v>
      </c>
      <c r="E208" t="s">
        <v>443</v>
      </c>
      <c r="F208" s="29">
        <v>1214</v>
      </c>
      <c r="G208" t="b">
        <f>IF(B208=E208,TRUE,FALSE)</f>
        <v>1</v>
      </c>
      <c r="J208">
        <f>F208-C208</f>
        <v>-123</v>
      </c>
      <c r="K208" s="4">
        <f>F208/C208-1</f>
        <v>-9.1997008227374666E-2</v>
      </c>
      <c r="M208" s="5">
        <v>2066.33</v>
      </c>
      <c r="N208" s="5">
        <v>1896.84</v>
      </c>
      <c r="Q208">
        <v>10840.91</v>
      </c>
      <c r="U208" s="149">
        <f>N208-M208</f>
        <v>-169.49</v>
      </c>
      <c r="V208" s="4">
        <f>IF(M208=0,0,N208/M208-1)</f>
        <v>-8.2024652403052789E-2</v>
      </c>
      <c r="W208" s="18">
        <v>36999.660000000003</v>
      </c>
      <c r="X208" s="18">
        <v>35096.15</v>
      </c>
      <c r="Y208" s="4">
        <f>X208/W208-1</f>
        <v>-5.1446688969574383E-2</v>
      </c>
    </row>
    <row r="209" spans="1:25" ht="15" customHeight="1">
      <c r="A209" t="s">
        <v>444</v>
      </c>
      <c r="B209" t="s">
        <v>445</v>
      </c>
      <c r="C209" s="29">
        <v>4707</v>
      </c>
      <c r="E209" t="s">
        <v>445</v>
      </c>
      <c r="F209" s="29">
        <v>4583</v>
      </c>
      <c r="G209" t="b">
        <f>IF(B209=E209,TRUE,FALSE)</f>
        <v>1</v>
      </c>
      <c r="J209">
        <f>F209-C209</f>
        <v>-124</v>
      </c>
      <c r="K209" s="4">
        <f>F209/C209-1</f>
        <v>-2.6343743360951799E-2</v>
      </c>
      <c r="M209" s="5">
        <v>6545.64</v>
      </c>
      <c r="N209" s="5">
        <v>7027.61</v>
      </c>
      <c r="Q209">
        <v>34880.31</v>
      </c>
      <c r="U209" s="149">
        <f>N209-M209</f>
        <v>481.96999999999935</v>
      </c>
      <c r="V209" s="4">
        <f>IF(M209=0,0,N209/M209-1)</f>
        <v>7.3632219309341718E-2</v>
      </c>
      <c r="W209" s="18">
        <v>126987.95</v>
      </c>
      <c r="X209" s="18">
        <v>123670.18000000001</v>
      </c>
      <c r="Y209" s="4">
        <f>X209/W209-1</f>
        <v>-2.6126652174477849E-2</v>
      </c>
    </row>
    <row r="210" spans="1:25" ht="15" customHeight="1">
      <c r="A210" t="s">
        <v>446</v>
      </c>
      <c r="B210" t="s">
        <v>447</v>
      </c>
      <c r="C210" s="29">
        <v>2249</v>
      </c>
      <c r="E210" t="s">
        <v>447</v>
      </c>
      <c r="F210" s="29">
        <v>2124</v>
      </c>
      <c r="G210" t="b">
        <f>IF(B210=E210,TRUE,FALSE)</f>
        <v>1</v>
      </c>
      <c r="J210">
        <f>F210-C210</f>
        <v>-125</v>
      </c>
      <c r="K210" s="4">
        <f>F210/C210-1</f>
        <v>-5.5580257892396623E-2</v>
      </c>
      <c r="M210" s="5">
        <v>4440.3999999999996</v>
      </c>
      <c r="N210" s="5">
        <v>3054.04</v>
      </c>
      <c r="Q210">
        <v>15702.77</v>
      </c>
      <c r="U210" s="149">
        <f>N210-M210</f>
        <v>-1386.3599999999997</v>
      </c>
      <c r="V210" s="4">
        <f>IF(M210=0,0,N210/M210-1)</f>
        <v>-0.31221511575533734</v>
      </c>
      <c r="W210" s="18">
        <v>44688</v>
      </c>
      <c r="X210" s="18">
        <v>42333.9</v>
      </c>
      <c r="Y210" s="4">
        <f>X210/W210-1</f>
        <v>-5.2678571428571352E-2</v>
      </c>
    </row>
    <row r="211" spans="1:25" ht="15" customHeight="1">
      <c r="A211" t="s">
        <v>448</v>
      </c>
      <c r="B211" t="s">
        <v>449</v>
      </c>
      <c r="C211" s="29">
        <v>1923</v>
      </c>
      <c r="E211" t="s">
        <v>449</v>
      </c>
      <c r="F211" s="29">
        <v>1791</v>
      </c>
      <c r="G211" t="b">
        <f>IF(B211=E211,TRUE,FALSE)</f>
        <v>1</v>
      </c>
      <c r="J211">
        <f>F211-C211</f>
        <v>-132</v>
      </c>
      <c r="K211" s="4">
        <f>F211/C211-1</f>
        <v>-6.8642745709828423E-2</v>
      </c>
      <c r="M211" s="5">
        <v>3620.62</v>
      </c>
      <c r="N211" s="5">
        <v>3040.46</v>
      </c>
      <c r="Q211">
        <v>20192.330000000002</v>
      </c>
      <c r="U211" s="149">
        <f>N211-M211</f>
        <v>-580.15999999999985</v>
      </c>
      <c r="V211" s="4">
        <f>IF(M211=0,0,N211/M211-1)</f>
        <v>-0.16023774933574908</v>
      </c>
      <c r="W211" s="18">
        <v>57593.85</v>
      </c>
      <c r="X211" s="18">
        <v>53640.45</v>
      </c>
      <c r="Y211" s="4">
        <f>X211/W211-1</f>
        <v>-6.8642745709828423E-2</v>
      </c>
    </row>
    <row r="212" spans="1:25" ht="15" customHeight="1">
      <c r="A212" s="58" t="s">
        <v>450</v>
      </c>
      <c r="B212" s="38" t="s">
        <v>451</v>
      </c>
      <c r="C212" s="29">
        <v>1143</v>
      </c>
      <c r="E212" s="38" t="s">
        <v>451</v>
      </c>
      <c r="F212" s="29">
        <v>1009</v>
      </c>
      <c r="G212" t="b">
        <f>IF(B212=E212,TRUE,FALSE)</f>
        <v>1</v>
      </c>
      <c r="J212">
        <f>F212-C212</f>
        <v>-134</v>
      </c>
      <c r="K212" s="4">
        <f>F212/C212-1</f>
        <v>-0.11723534558180226</v>
      </c>
      <c r="M212" s="5">
        <v>2229.4</v>
      </c>
      <c r="N212" s="5">
        <v>1370.49</v>
      </c>
      <c r="Q212">
        <v>8543.3799999999992</v>
      </c>
      <c r="U212" s="149">
        <f>N212-M212</f>
        <v>-858.91000000000008</v>
      </c>
      <c r="V212" s="4">
        <f>IF(M212=0,0,N212/M212-1)</f>
        <v>-0.38526509374719653</v>
      </c>
      <c r="W212" s="18">
        <v>17663.78</v>
      </c>
      <c r="X212" s="18">
        <v>15743.52</v>
      </c>
      <c r="Y212" s="4">
        <f>X212/W212-1</f>
        <v>-0.10871172534984008</v>
      </c>
    </row>
    <row r="213" spans="1:25" ht="15" customHeight="1">
      <c r="A213" t="s">
        <v>452</v>
      </c>
      <c r="B213" t="s">
        <v>453</v>
      </c>
      <c r="C213" s="29">
        <v>928</v>
      </c>
      <c r="E213" t="s">
        <v>453</v>
      </c>
      <c r="F213" s="29">
        <v>792</v>
      </c>
      <c r="G213" t="b">
        <f>IF(B213=E213,TRUE,FALSE)</f>
        <v>1</v>
      </c>
      <c r="J213">
        <f>F213-C213</f>
        <v>-136</v>
      </c>
      <c r="K213" s="4">
        <f>F213/C213-1</f>
        <v>-0.14655172413793105</v>
      </c>
      <c r="M213" s="5">
        <v>2434.4899999999998</v>
      </c>
      <c r="N213" s="5">
        <v>1619.17</v>
      </c>
      <c r="Q213">
        <v>11557.17</v>
      </c>
      <c r="U213" s="149">
        <f>N213-M213</f>
        <v>-815.31999999999971</v>
      </c>
      <c r="V213" s="4">
        <f>IF(M213=0,0,N213/M213-1)</f>
        <v>-0.33490381969118777</v>
      </c>
      <c r="W213" s="18">
        <v>22917.86</v>
      </c>
      <c r="X213" s="18">
        <v>19539.72</v>
      </c>
      <c r="Y213" s="4">
        <f>X213/W213-1</f>
        <v>-0.14740206982676385</v>
      </c>
    </row>
    <row r="214" spans="1:25" ht="15" customHeight="1">
      <c r="A214" t="s">
        <v>454</v>
      </c>
      <c r="B214" t="s">
        <v>455</v>
      </c>
      <c r="C214" s="29">
        <v>1768</v>
      </c>
      <c r="E214" t="s">
        <v>455</v>
      </c>
      <c r="F214" s="29">
        <v>1626</v>
      </c>
      <c r="G214" t="b">
        <f>IF(B214=E214,TRUE,FALSE)</f>
        <v>1</v>
      </c>
      <c r="J214">
        <f>F214-C214</f>
        <v>-142</v>
      </c>
      <c r="K214" s="4">
        <f>F214/C214-1</f>
        <v>-8.0316742081448012E-2</v>
      </c>
      <c r="M214" s="5">
        <v>1982.35</v>
      </c>
      <c r="N214" s="5">
        <v>1501.19</v>
      </c>
      <c r="Q214">
        <v>15593.52</v>
      </c>
      <c r="U214" s="149">
        <f>N214-M214</f>
        <v>-481.15999999999985</v>
      </c>
      <c r="V214" s="4">
        <f>IF(M214=0,0,N214/M214-1)</f>
        <v>-0.24272202184276237</v>
      </c>
      <c r="W214" s="18">
        <v>51090.720000000001</v>
      </c>
      <c r="X214" s="18">
        <v>48763.74</v>
      </c>
      <c r="Y214" s="4">
        <f>X214/W214-1</f>
        <v>-4.5546040455096359E-2</v>
      </c>
    </row>
    <row r="215" spans="1:25" ht="15" customHeight="1">
      <c r="A215" t="s">
        <v>456</v>
      </c>
      <c r="B215" t="s">
        <v>457</v>
      </c>
      <c r="C215" s="29">
        <v>1601</v>
      </c>
      <c r="E215" t="s">
        <v>457</v>
      </c>
      <c r="F215" s="29">
        <v>1455</v>
      </c>
      <c r="G215" t="b">
        <f>IF(B215=E215,TRUE,FALSE)</f>
        <v>1</v>
      </c>
      <c r="J215">
        <f>F215-C215</f>
        <v>-146</v>
      </c>
      <c r="K215" s="4">
        <f>F215/C215-1</f>
        <v>-9.1193004372267294E-2</v>
      </c>
      <c r="M215" s="5">
        <v>2359.14</v>
      </c>
      <c r="N215" s="5">
        <v>1771.94</v>
      </c>
      <c r="Q215">
        <v>16613.57</v>
      </c>
      <c r="U215" s="149">
        <f>N215-M215</f>
        <v>-587.19999999999982</v>
      </c>
      <c r="V215" s="4">
        <f>IF(M215=0,0,N215/M215-1)</f>
        <v>-0.24890426172249203</v>
      </c>
      <c r="W215" s="18">
        <v>61274.99</v>
      </c>
      <c r="X215" s="18">
        <v>56730.45</v>
      </c>
      <c r="Y215" s="4">
        <f>X215/W215-1</f>
        <v>-7.4166311573449439E-2</v>
      </c>
    </row>
    <row r="216" spans="1:25" ht="15" customHeight="1">
      <c r="A216" t="s">
        <v>458</v>
      </c>
      <c r="B216" t="s">
        <v>459</v>
      </c>
      <c r="C216" s="29">
        <v>1001</v>
      </c>
      <c r="E216" t="s">
        <v>459</v>
      </c>
      <c r="F216" s="29">
        <v>852</v>
      </c>
      <c r="G216" t="b">
        <f>IF(B216=E216,TRUE,FALSE)</f>
        <v>1</v>
      </c>
      <c r="J216">
        <f>F216-C216</f>
        <v>-149</v>
      </c>
      <c r="K216" s="4">
        <f>F216/C216-1</f>
        <v>-0.14885114885114881</v>
      </c>
      <c r="M216" s="5">
        <v>1276.67</v>
      </c>
      <c r="N216" s="5">
        <v>758.73</v>
      </c>
      <c r="Q216">
        <v>6682.79</v>
      </c>
      <c r="U216" s="149">
        <f>N216-M216</f>
        <v>-517.94000000000005</v>
      </c>
      <c r="V216" s="4">
        <f>IF(M216=0,0,N216/M216-1)</f>
        <v>-0.40569606867867192</v>
      </c>
      <c r="W216" s="18">
        <v>24946.95</v>
      </c>
      <c r="X216" s="18">
        <v>21237.4</v>
      </c>
      <c r="Y216" s="4">
        <f>X216/W216-1</f>
        <v>-0.14869753617175641</v>
      </c>
    </row>
    <row r="217" spans="1:25" ht="15" customHeight="1">
      <c r="A217" t="s">
        <v>460</v>
      </c>
      <c r="B217" t="s">
        <v>461</v>
      </c>
      <c r="C217" s="29">
        <v>3134</v>
      </c>
      <c r="E217" t="s">
        <v>461</v>
      </c>
      <c r="F217" s="29">
        <v>2984</v>
      </c>
      <c r="G217" t="b">
        <f>IF(B217=E217,TRUE,FALSE)</f>
        <v>1</v>
      </c>
      <c r="J217">
        <f>F217-C217</f>
        <v>-150</v>
      </c>
      <c r="K217" s="4">
        <f>F217/C217-1</f>
        <v>-4.7862156987874882E-2</v>
      </c>
      <c r="M217" s="5">
        <v>4731.57</v>
      </c>
      <c r="N217" s="5">
        <v>4032.07</v>
      </c>
      <c r="Q217">
        <v>22082.45</v>
      </c>
      <c r="U217" s="149">
        <f>N217-M217</f>
        <v>-699.49999999999955</v>
      </c>
      <c r="V217" s="4">
        <f>IF(M217=0,0,N217/M217-1)</f>
        <v>-0.14783676454115646</v>
      </c>
      <c r="W217" s="18">
        <v>93743.5</v>
      </c>
      <c r="X217" s="18">
        <v>89340.849999999991</v>
      </c>
      <c r="Y217" s="4">
        <f>X217/W217-1</f>
        <v>-4.6964856230031993E-2</v>
      </c>
    </row>
    <row r="218" spans="1:25" ht="15" customHeight="1">
      <c r="A218" s="56" t="s">
        <v>462</v>
      </c>
      <c r="B218" s="38" t="s">
        <v>463</v>
      </c>
      <c r="C218" s="29">
        <v>1677</v>
      </c>
      <c r="E218" s="38" t="s">
        <v>463</v>
      </c>
      <c r="F218" s="29">
        <v>1523</v>
      </c>
      <c r="G218" t="b">
        <f>IF(B218=E218,TRUE,FALSE)</f>
        <v>1</v>
      </c>
      <c r="J218">
        <f>F218-C218</f>
        <v>-154</v>
      </c>
      <c r="K218" s="4">
        <f>F218/C218-1</f>
        <v>-9.1830649970184863E-2</v>
      </c>
      <c r="M218" s="5">
        <v>2049.37</v>
      </c>
      <c r="N218" s="5">
        <v>2571.5700000000002</v>
      </c>
      <c r="Q218">
        <v>13947.27</v>
      </c>
      <c r="U218" s="149">
        <f>N218-M218</f>
        <v>522.20000000000027</v>
      </c>
      <c r="V218" s="4">
        <f>IF(M218=0,0,N218/M218-1)</f>
        <v>0.25481001478503162</v>
      </c>
      <c r="W218" s="18">
        <v>30249.24</v>
      </c>
      <c r="X218" s="18">
        <v>34868.769999999997</v>
      </c>
      <c r="Y218" s="4">
        <f>X218/W218-1</f>
        <v>0.15271557235818145</v>
      </c>
    </row>
    <row r="219" spans="1:25" ht="15" customHeight="1">
      <c r="A219" t="s">
        <v>464</v>
      </c>
      <c r="B219" t="s">
        <v>465</v>
      </c>
      <c r="C219" s="29">
        <v>1957</v>
      </c>
      <c r="E219" t="s">
        <v>465</v>
      </c>
      <c r="F219" s="29">
        <v>1796</v>
      </c>
      <c r="G219" t="b">
        <f>IF(B219=E219,TRUE,FALSE)</f>
        <v>1</v>
      </c>
      <c r="J219">
        <f>F219-C219</f>
        <v>-161</v>
      </c>
      <c r="K219" s="4">
        <f>F219/C219-1</f>
        <v>-8.2268778742973891E-2</v>
      </c>
      <c r="M219" s="5">
        <v>3969.96</v>
      </c>
      <c r="N219" s="5">
        <v>3542.69</v>
      </c>
      <c r="Q219">
        <v>23114.39</v>
      </c>
      <c r="U219" s="149">
        <f>N219-M219</f>
        <v>-427.27</v>
      </c>
      <c r="V219" s="4">
        <f>IF(M219=0,0,N219/M219-1)</f>
        <v>-0.10762576952916403</v>
      </c>
      <c r="W219" s="18">
        <v>38077.26</v>
      </c>
      <c r="X219" s="18">
        <v>35174.910000000003</v>
      </c>
      <c r="Y219" s="4">
        <f>X219/W219-1</f>
        <v>-7.622265887829105E-2</v>
      </c>
    </row>
    <row r="220" spans="1:25" ht="15" customHeight="1">
      <c r="A220" t="s">
        <v>466</v>
      </c>
      <c r="B220" t="s">
        <v>467</v>
      </c>
      <c r="C220" s="29">
        <v>1019</v>
      </c>
      <c r="E220" t="s">
        <v>467</v>
      </c>
      <c r="F220" s="29">
        <v>858</v>
      </c>
      <c r="G220" t="b">
        <f>IF(B220=E220,TRUE,FALSE)</f>
        <v>1</v>
      </c>
      <c r="J220">
        <f>F220-C220</f>
        <v>-161</v>
      </c>
      <c r="K220" s="4">
        <f>F220/C220-1</f>
        <v>-0.15799803729146222</v>
      </c>
      <c r="M220" s="5">
        <v>1162.54</v>
      </c>
      <c r="N220" s="5">
        <v>733.03</v>
      </c>
      <c r="Q220">
        <v>4208.67</v>
      </c>
      <c r="U220" s="149">
        <f>N220-M220</f>
        <v>-429.51</v>
      </c>
      <c r="V220" s="4">
        <f>IF(M220=0,0,N220/M220-1)</f>
        <v>-0.36945825519982112</v>
      </c>
      <c r="W220" s="18">
        <v>23403.82</v>
      </c>
      <c r="X220" s="18">
        <v>19725.419999999998</v>
      </c>
      <c r="Y220" s="4">
        <f>X220/W220-1</f>
        <v>-0.15717092337917493</v>
      </c>
    </row>
    <row r="221" spans="1:25" ht="15" customHeight="1">
      <c r="A221" t="s">
        <v>468</v>
      </c>
      <c r="B221" t="s">
        <v>469</v>
      </c>
      <c r="C221" s="29">
        <v>455</v>
      </c>
      <c r="E221" t="s">
        <v>469</v>
      </c>
      <c r="F221" s="29">
        <v>288</v>
      </c>
      <c r="G221" t="b">
        <f>IF(B221=E221,TRUE,FALSE)</f>
        <v>1</v>
      </c>
      <c r="J221">
        <f>F221-C221</f>
        <v>-167</v>
      </c>
      <c r="K221" s="4">
        <f>F221/C221-1</f>
        <v>-0.36703296703296706</v>
      </c>
      <c r="M221" s="5">
        <v>504.79</v>
      </c>
      <c r="N221" s="5">
        <v>174.63</v>
      </c>
      <c r="Q221">
        <v>743.23</v>
      </c>
      <c r="U221" s="149">
        <f>N221-M221</f>
        <v>-330.16</v>
      </c>
      <c r="V221" s="4">
        <f>IF(M221=0,0,N221/M221-1)</f>
        <v>-0.6540541611363142</v>
      </c>
      <c r="W221" s="18">
        <v>9057.2999999999993</v>
      </c>
      <c r="X221" s="18">
        <v>5745.6</v>
      </c>
      <c r="Y221" s="4">
        <f>X221/W221-1</f>
        <v>-0.36563876651982374</v>
      </c>
    </row>
    <row r="222" spans="1:25" ht="15" customHeight="1">
      <c r="A222" t="s">
        <v>470</v>
      </c>
      <c r="B222" t="s">
        <v>471</v>
      </c>
      <c r="C222" s="29">
        <v>3455</v>
      </c>
      <c r="E222" t="s">
        <v>471</v>
      </c>
      <c r="F222" s="29">
        <v>3285</v>
      </c>
      <c r="G222" t="b">
        <f>IF(B222=E222,TRUE,FALSE)</f>
        <v>1</v>
      </c>
      <c r="J222">
        <f>F222-C222</f>
        <v>-170</v>
      </c>
      <c r="K222" s="4">
        <f>F222/C222-1</f>
        <v>-4.9204052098408058E-2</v>
      </c>
      <c r="M222" s="5">
        <v>6972.92</v>
      </c>
      <c r="N222" s="5">
        <v>3365.2</v>
      </c>
      <c r="Q222">
        <v>19896.84</v>
      </c>
      <c r="U222" s="149">
        <f>N222-M222</f>
        <v>-3607.7200000000003</v>
      </c>
      <c r="V222" s="4">
        <f>IF(M222=0,0,N222/M222-1)</f>
        <v>-0.5173901321110812</v>
      </c>
      <c r="W222" s="18">
        <v>103477.25</v>
      </c>
      <c r="X222" s="18">
        <v>98176.1</v>
      </c>
      <c r="Y222" s="4">
        <f>X222/W222-1</f>
        <v>-5.1230101302460196E-2</v>
      </c>
    </row>
    <row r="223" spans="1:25" ht="15" customHeight="1">
      <c r="A223" t="s">
        <v>472</v>
      </c>
      <c r="B223" t="s">
        <v>473</v>
      </c>
      <c r="C223" s="29">
        <v>1828</v>
      </c>
      <c r="E223" t="s">
        <v>473</v>
      </c>
      <c r="F223" s="29">
        <v>1641</v>
      </c>
      <c r="G223" t="b">
        <f>IF(B223=E223,TRUE,FALSE)</f>
        <v>1</v>
      </c>
      <c r="J223">
        <f>F223-C223</f>
        <v>-187</v>
      </c>
      <c r="K223" s="4">
        <f>F223/C223-1</f>
        <v>-0.10229759299781183</v>
      </c>
      <c r="M223" s="5">
        <v>3760.42</v>
      </c>
      <c r="N223" s="5">
        <v>3608.84</v>
      </c>
      <c r="Q223">
        <v>17456.09</v>
      </c>
      <c r="U223" s="149">
        <f>N223-M223</f>
        <v>-151.57999999999993</v>
      </c>
      <c r="V223" s="4">
        <f>IF(M223=0,0,N223/M223-1)</f>
        <v>-4.0309327149626872E-2</v>
      </c>
      <c r="W223" s="18">
        <v>73101.72</v>
      </c>
      <c r="X223" s="18">
        <v>65670.600000000006</v>
      </c>
      <c r="Y223" s="4">
        <f>X223/W223-1</f>
        <v>-0.10165451647375734</v>
      </c>
    </row>
    <row r="224" spans="1:25" ht="15" customHeight="1">
      <c r="A224" t="s">
        <v>474</v>
      </c>
      <c r="B224" t="s">
        <v>475</v>
      </c>
      <c r="C224" s="29">
        <v>2195</v>
      </c>
      <c r="E224" t="s">
        <v>475</v>
      </c>
      <c r="F224" s="29">
        <v>2002</v>
      </c>
      <c r="G224" t="b">
        <f>IF(B224=E224,TRUE,FALSE)</f>
        <v>1</v>
      </c>
      <c r="J224">
        <f>F224-C224</f>
        <v>-193</v>
      </c>
      <c r="K224" s="4">
        <f>F224/C224-1</f>
        <v>-8.7927107061503418E-2</v>
      </c>
      <c r="M224" s="5">
        <v>4648.92</v>
      </c>
      <c r="N224" s="5">
        <v>3763.08</v>
      </c>
      <c r="Q224">
        <v>21058.78</v>
      </c>
      <c r="U224" s="149">
        <f>N224-M224</f>
        <v>-885.84000000000015</v>
      </c>
      <c r="V224" s="4">
        <f>IF(M224=0,0,N224/M224-1)</f>
        <v>-0.19054748199581839</v>
      </c>
      <c r="W224" s="18">
        <v>65680.350000000006</v>
      </c>
      <c r="X224" s="18">
        <v>59959.9</v>
      </c>
      <c r="Y224" s="4">
        <f>X224/W224-1</f>
        <v>-8.7095303237574195E-2</v>
      </c>
    </row>
    <row r="225" spans="1:25" ht="15" customHeight="1">
      <c r="A225" t="s">
        <v>476</v>
      </c>
      <c r="B225" t="s">
        <v>477</v>
      </c>
      <c r="C225" s="29">
        <v>1496</v>
      </c>
      <c r="E225" t="s">
        <v>477</v>
      </c>
      <c r="F225" s="29">
        <v>1296</v>
      </c>
      <c r="G225" t="b">
        <f>IF(B225=E225,TRUE,FALSE)</f>
        <v>1</v>
      </c>
      <c r="J225">
        <f>F225-C225</f>
        <v>-200</v>
      </c>
      <c r="K225" s="4">
        <f>F225/C225-1</f>
        <v>-0.13368983957219249</v>
      </c>
      <c r="M225" s="5">
        <v>1842.58</v>
      </c>
      <c r="N225" s="5">
        <v>1173.3900000000001</v>
      </c>
      <c r="Q225">
        <v>9179.6299999999992</v>
      </c>
      <c r="U225" s="149">
        <f>N225-M225</f>
        <v>-669.18999999999983</v>
      </c>
      <c r="V225" s="4">
        <f>IF(M225=0,0,N225/M225-1)</f>
        <v>-0.36318097450314224</v>
      </c>
      <c r="W225" s="18">
        <v>29905.040000000001</v>
      </c>
      <c r="X225" s="18">
        <v>25775.09</v>
      </c>
      <c r="Y225" s="4">
        <f>X225/W225-1</f>
        <v>-0.13810213930494664</v>
      </c>
    </row>
    <row r="226" spans="1:25" ht="15" customHeight="1">
      <c r="A226" t="s">
        <v>478</v>
      </c>
      <c r="B226" t="s">
        <v>479</v>
      </c>
      <c r="C226" s="29">
        <v>685</v>
      </c>
      <c r="E226" t="s">
        <v>479</v>
      </c>
      <c r="F226" s="29">
        <v>475</v>
      </c>
      <c r="G226" t="b">
        <f>IF(B226=E226,TRUE,FALSE)</f>
        <v>1</v>
      </c>
      <c r="J226">
        <f>F226-C226</f>
        <v>-210</v>
      </c>
      <c r="K226" s="4">
        <f>F226/C226-1</f>
        <v>-0.30656934306569339</v>
      </c>
      <c r="M226" s="5">
        <v>1482.75</v>
      </c>
      <c r="N226" s="5">
        <v>749.6</v>
      </c>
      <c r="Q226">
        <v>3846.9</v>
      </c>
      <c r="U226" s="149">
        <f>N226-M226</f>
        <v>-733.15</v>
      </c>
      <c r="V226" s="4">
        <f>IF(M226=0,0,N226/M226-1)</f>
        <v>-0.49445287472601585</v>
      </c>
      <c r="W226" s="18">
        <v>10953.15</v>
      </c>
      <c r="X226" s="18">
        <v>7595.25</v>
      </c>
      <c r="Y226" s="4">
        <f>X226/W226-1</f>
        <v>-0.30656934306569339</v>
      </c>
    </row>
    <row r="227" spans="1:25" ht="15" customHeight="1">
      <c r="A227" t="s">
        <v>480</v>
      </c>
      <c r="B227" t="s">
        <v>481</v>
      </c>
      <c r="C227" s="29">
        <v>865</v>
      </c>
      <c r="E227" t="s">
        <v>481</v>
      </c>
      <c r="F227" s="29">
        <v>641</v>
      </c>
      <c r="G227" t="b">
        <f>IF(B227=E227,TRUE,FALSE)</f>
        <v>1</v>
      </c>
      <c r="J227">
        <f>F227-C227</f>
        <v>-224</v>
      </c>
      <c r="K227" s="4">
        <f>F227/C227-1</f>
        <v>-0.25895953757225432</v>
      </c>
      <c r="M227" s="5">
        <v>1499.09</v>
      </c>
      <c r="N227" s="5">
        <v>1327.23</v>
      </c>
      <c r="Q227">
        <v>7212.83</v>
      </c>
      <c r="U227" s="149">
        <f>N227-M227</f>
        <v>-171.8599999999999</v>
      </c>
      <c r="V227" s="4">
        <f>IF(M227=0,0,N227/M227-1)</f>
        <v>-0.11464288334923178</v>
      </c>
      <c r="W227" s="18">
        <v>23319.360000000001</v>
      </c>
      <c r="X227" s="18">
        <v>17282.61</v>
      </c>
      <c r="Y227" s="4">
        <f>X227/W227-1</f>
        <v>-0.25887288501914285</v>
      </c>
    </row>
    <row r="228" spans="1:25" ht="15" customHeight="1">
      <c r="A228" t="s">
        <v>482</v>
      </c>
      <c r="B228" t="s">
        <v>483</v>
      </c>
      <c r="C228" s="29">
        <v>5075</v>
      </c>
      <c r="E228" t="s">
        <v>483</v>
      </c>
      <c r="F228" s="29">
        <v>4850</v>
      </c>
      <c r="G228" t="b">
        <f>IF(B228=E228,TRUE,FALSE)</f>
        <v>1</v>
      </c>
      <c r="J228">
        <f>F228-C228</f>
        <v>-225</v>
      </c>
      <c r="K228" s="4">
        <f>F228/C228-1</f>
        <v>-4.4334975369458074E-2</v>
      </c>
      <c r="M228" s="5">
        <v>8456.7800000000007</v>
      </c>
      <c r="N228" s="5">
        <v>6642.95</v>
      </c>
      <c r="Q228">
        <v>41567.589999999997</v>
      </c>
      <c r="U228" s="149">
        <f>N228-M228</f>
        <v>-1813.8300000000008</v>
      </c>
      <c r="V228" s="4">
        <f>IF(M228=0,0,N228/M228-1)</f>
        <v>-0.2144823443438284</v>
      </c>
      <c r="W228" s="18">
        <v>132243.65</v>
      </c>
      <c r="X228" s="18">
        <v>130634.66</v>
      </c>
      <c r="Y228" s="4">
        <f>X228/W228-1</f>
        <v>-1.2166860185725326E-2</v>
      </c>
    </row>
    <row r="229" spans="1:25" ht="15" customHeight="1">
      <c r="A229" t="s">
        <v>484</v>
      </c>
      <c r="B229" t="s">
        <v>485</v>
      </c>
      <c r="C229" s="29">
        <v>6656</v>
      </c>
      <c r="E229" t="s">
        <v>485</v>
      </c>
      <c r="F229" s="29">
        <v>6430</v>
      </c>
      <c r="G229" t="b">
        <f>IF(B229=E229,TRUE,FALSE)</f>
        <v>1</v>
      </c>
      <c r="J229">
        <f>F229-C229</f>
        <v>-226</v>
      </c>
      <c r="K229" s="4">
        <f>F229/C229-1</f>
        <v>-3.3954326923076872E-2</v>
      </c>
      <c r="M229" s="5">
        <v>8105.1</v>
      </c>
      <c r="N229" s="5">
        <v>6401.95</v>
      </c>
      <c r="Q229">
        <v>47626.559999999998</v>
      </c>
      <c r="U229" s="149">
        <f>N229-M229</f>
        <v>-1703.1500000000005</v>
      </c>
      <c r="V229" s="4">
        <f>IF(M229=0,0,N229/M229-1)</f>
        <v>-0.21013312605643364</v>
      </c>
      <c r="W229" s="18">
        <v>199209.43</v>
      </c>
      <c r="X229" s="18">
        <v>192302.96</v>
      </c>
      <c r="Y229" s="4">
        <f>X229/W229-1</f>
        <v>-3.4669392909763341E-2</v>
      </c>
    </row>
    <row r="230" spans="1:25" ht="15" customHeight="1">
      <c r="A230" t="s">
        <v>486</v>
      </c>
      <c r="B230" t="s">
        <v>487</v>
      </c>
      <c r="C230" s="29">
        <v>2298</v>
      </c>
      <c r="E230" t="s">
        <v>487</v>
      </c>
      <c r="F230" s="29">
        <v>2063</v>
      </c>
      <c r="G230" t="b">
        <f>IF(B230=E230,TRUE,FALSE)</f>
        <v>1</v>
      </c>
      <c r="J230">
        <f>F230-C230</f>
        <v>-235</v>
      </c>
      <c r="K230" s="4">
        <f>F230/C230-1</f>
        <v>-0.10226283724978247</v>
      </c>
      <c r="M230" s="5">
        <v>4265.92</v>
      </c>
      <c r="N230" s="5">
        <v>2977.68</v>
      </c>
      <c r="Q230">
        <v>17900.099999999999</v>
      </c>
      <c r="U230" s="149">
        <f>N230-M230</f>
        <v>-1288.2400000000002</v>
      </c>
      <c r="V230" s="4">
        <f>IF(M230=0,0,N230/M230-1)</f>
        <v>-0.30198409721701303</v>
      </c>
      <c r="W230" s="18">
        <v>49662.39</v>
      </c>
      <c r="X230" s="18">
        <v>45909.64</v>
      </c>
      <c r="Y230" s="4">
        <f>X230/W230-1</f>
        <v>-7.5565231556515955E-2</v>
      </c>
    </row>
    <row r="231" spans="1:25" ht="15" customHeight="1">
      <c r="A231" t="s">
        <v>488</v>
      </c>
      <c r="B231" t="s">
        <v>489</v>
      </c>
      <c r="C231" s="29">
        <v>2147</v>
      </c>
      <c r="E231" t="s">
        <v>489</v>
      </c>
      <c r="F231" s="29">
        <v>1843</v>
      </c>
      <c r="G231" t="b">
        <f>IF(B231=E231,TRUE,FALSE)</f>
        <v>1</v>
      </c>
      <c r="J231">
        <f>F231-C231</f>
        <v>-304</v>
      </c>
      <c r="K231" s="4">
        <f>F231/C231-1</f>
        <v>-0.1415929203539823</v>
      </c>
      <c r="M231" s="5">
        <v>4458.8599999999997</v>
      </c>
      <c r="N231" s="5">
        <v>3310.95</v>
      </c>
      <c r="Q231">
        <v>27074.36</v>
      </c>
      <c r="U231" s="149">
        <f>N231-M231</f>
        <v>-1147.9099999999999</v>
      </c>
      <c r="V231" s="4">
        <f>IF(M231=0,0,N231/M231-1)</f>
        <v>-0.25744472802465201</v>
      </c>
      <c r="W231" s="18">
        <v>57834.7</v>
      </c>
      <c r="X231" s="18">
        <v>49614.95</v>
      </c>
      <c r="Y231" s="4">
        <f>X231/W231-1</f>
        <v>-0.14212488350419383</v>
      </c>
    </row>
    <row r="232" spans="1:25" ht="15" customHeight="1">
      <c r="A232" t="s">
        <v>490</v>
      </c>
      <c r="B232" t="s">
        <v>491</v>
      </c>
      <c r="C232" s="29">
        <v>1486</v>
      </c>
      <c r="E232" t="s">
        <v>491</v>
      </c>
      <c r="F232" s="29">
        <v>1163</v>
      </c>
      <c r="G232" t="b">
        <f>IF(B232=E232,TRUE,FALSE)</f>
        <v>1</v>
      </c>
      <c r="J232">
        <f>F232-C232</f>
        <v>-323</v>
      </c>
      <c r="K232" s="4">
        <f>F232/C232-1</f>
        <v>-0.21736204576043072</v>
      </c>
      <c r="M232" s="5">
        <v>3067.57</v>
      </c>
      <c r="N232" s="5">
        <v>2391.4299999999998</v>
      </c>
      <c r="Q232">
        <v>18648.32</v>
      </c>
      <c r="U232" s="149">
        <f>N232-M232</f>
        <v>-676.14000000000033</v>
      </c>
      <c r="V232" s="4">
        <f>IF(M232=0,0,N232/M232-1)</f>
        <v>-0.22041550804056642</v>
      </c>
      <c r="W232" s="18">
        <v>54065.14</v>
      </c>
      <c r="X232" s="18">
        <v>45345.37</v>
      </c>
      <c r="Y232" s="4">
        <f>X232/W232-1</f>
        <v>-0.16128266753771459</v>
      </c>
    </row>
    <row r="233" spans="1:25" ht="15" customHeight="1">
      <c r="A233" t="s">
        <v>492</v>
      </c>
      <c r="B233" t="s">
        <v>493</v>
      </c>
      <c r="C233" s="29">
        <v>5798</v>
      </c>
      <c r="E233" t="s">
        <v>493</v>
      </c>
      <c r="F233" s="29">
        <v>5459</v>
      </c>
      <c r="G233" t="b">
        <f>IF(B233=E233,TRUE,FALSE)</f>
        <v>1</v>
      </c>
      <c r="J233">
        <f>F233-C233</f>
        <v>-339</v>
      </c>
      <c r="K233" s="4">
        <f>F233/C233-1</f>
        <v>-5.8468437392204198E-2</v>
      </c>
      <c r="M233" s="5">
        <v>8914.89</v>
      </c>
      <c r="N233" s="5">
        <v>8385.2099999999991</v>
      </c>
      <c r="Q233">
        <v>57725.14</v>
      </c>
      <c r="U233" s="149">
        <f>N233-M233</f>
        <v>-529.68000000000029</v>
      </c>
      <c r="V233" s="4">
        <f>IF(M233=0,0,N233/M233-1)</f>
        <v>-5.9415203104020375E-2</v>
      </c>
      <c r="W233" s="18">
        <v>214775.32</v>
      </c>
      <c r="X233" s="18">
        <v>205818.15999999997</v>
      </c>
      <c r="Y233" s="4">
        <f>X233/W233-1</f>
        <v>-4.1704791779614281E-2</v>
      </c>
    </row>
    <row r="234" spans="1:25" ht="15" customHeight="1">
      <c r="A234" t="s">
        <v>494</v>
      </c>
      <c r="B234" t="s">
        <v>495</v>
      </c>
      <c r="C234" s="29">
        <v>1842</v>
      </c>
      <c r="E234" t="s">
        <v>495</v>
      </c>
      <c r="F234" s="29">
        <v>1497</v>
      </c>
      <c r="G234" t="b">
        <f>IF(B234=E234,TRUE,FALSE)</f>
        <v>1</v>
      </c>
      <c r="J234">
        <f>F234-C234</f>
        <v>-345</v>
      </c>
      <c r="K234" s="4">
        <f>F234/C234-1</f>
        <v>-0.18729641693811072</v>
      </c>
      <c r="M234" s="5">
        <v>1644.44</v>
      </c>
      <c r="N234" s="5">
        <v>734.77</v>
      </c>
      <c r="Q234">
        <v>4112.8100000000004</v>
      </c>
      <c r="U234" s="149">
        <f>N234-M234</f>
        <v>-909.67000000000007</v>
      </c>
      <c r="V234" s="4">
        <f>IF(M234=0,0,N234/M234-1)</f>
        <v>-0.55317919778161562</v>
      </c>
      <c r="W234" s="18">
        <v>36747.9</v>
      </c>
      <c r="X234" s="18">
        <v>29825.25</v>
      </c>
      <c r="Y234" s="4">
        <f>X234/W234-1</f>
        <v>-0.18838219326818684</v>
      </c>
    </row>
    <row r="235" spans="1:25" ht="15" customHeight="1">
      <c r="A235" t="s">
        <v>496</v>
      </c>
      <c r="B235" t="s">
        <v>497</v>
      </c>
      <c r="C235" s="29">
        <v>1356</v>
      </c>
      <c r="E235" t="s">
        <v>497</v>
      </c>
      <c r="F235" s="29">
        <v>1008</v>
      </c>
      <c r="G235" t="b">
        <f>IF(B235=E235,TRUE,FALSE)</f>
        <v>1</v>
      </c>
      <c r="J235">
        <f>F235-C235</f>
        <v>-348</v>
      </c>
      <c r="K235" s="4">
        <f>F235/C235-1</f>
        <v>-0.25663716814159288</v>
      </c>
      <c r="M235" s="5">
        <v>2489.42</v>
      </c>
      <c r="N235" s="5">
        <v>1403.14</v>
      </c>
      <c r="Q235">
        <v>11479.72</v>
      </c>
      <c r="U235" s="149">
        <f>N235-M235</f>
        <v>-1086.28</v>
      </c>
      <c r="V235" s="4">
        <f>IF(M235=0,0,N235/M235-1)</f>
        <v>-0.4363586698909786</v>
      </c>
      <c r="W235" s="18">
        <v>40552.299999999996</v>
      </c>
      <c r="X235" s="18">
        <v>30159.649999999998</v>
      </c>
      <c r="Y235" s="4">
        <f>X235/W235-1</f>
        <v>-0.2562776957163958</v>
      </c>
    </row>
    <row r="236" spans="1:25" ht="15" customHeight="1">
      <c r="A236" t="s">
        <v>498</v>
      </c>
      <c r="B236" t="s">
        <v>499</v>
      </c>
      <c r="C236" s="29">
        <v>4295</v>
      </c>
      <c r="E236" t="s">
        <v>499</v>
      </c>
      <c r="F236" s="29">
        <v>3928</v>
      </c>
      <c r="G236" t="b">
        <f>IF(B236=E236,TRUE,FALSE)</f>
        <v>1</v>
      </c>
      <c r="J236">
        <f>F236-C236</f>
        <v>-367</v>
      </c>
      <c r="K236" s="4">
        <f>F236/C236-1</f>
        <v>-8.5448195576251496E-2</v>
      </c>
      <c r="M236" s="5">
        <v>8051.09</v>
      </c>
      <c r="N236" s="5">
        <v>5901.67</v>
      </c>
      <c r="Q236">
        <v>37636.06</v>
      </c>
      <c r="U236" s="149">
        <f>N236-M236</f>
        <v>-2149.42</v>
      </c>
      <c r="V236" s="4">
        <f>IF(M236=0,0,N236/M236-1)</f>
        <v>-0.26697254657443903</v>
      </c>
      <c r="W236" s="18">
        <v>128635.25</v>
      </c>
      <c r="X236" s="18">
        <v>117613.65</v>
      </c>
      <c r="Y236" s="4">
        <f>X236/W236-1</f>
        <v>-8.5681024447031517E-2</v>
      </c>
    </row>
    <row r="237" spans="1:25" ht="15" customHeight="1">
      <c r="A237" t="s">
        <v>500</v>
      </c>
      <c r="B237" t="s">
        <v>501</v>
      </c>
      <c r="C237" s="29">
        <v>1533</v>
      </c>
      <c r="E237" t="s">
        <v>501</v>
      </c>
      <c r="F237" s="29">
        <v>1139</v>
      </c>
      <c r="G237" t="b">
        <f>IF(B237=E237,TRUE,FALSE)</f>
        <v>1</v>
      </c>
      <c r="J237">
        <f>F237-C237</f>
        <v>-394</v>
      </c>
      <c r="K237" s="4">
        <f>F237/C237-1</f>
        <v>-0.25701239399869535</v>
      </c>
      <c r="M237" s="5">
        <v>2331.09</v>
      </c>
      <c r="N237" s="5">
        <v>2015.86</v>
      </c>
      <c r="Q237">
        <v>13992.65</v>
      </c>
      <c r="U237" s="149">
        <f>N237-M237</f>
        <v>-315.23000000000025</v>
      </c>
      <c r="V237" s="4">
        <f>IF(M237=0,0,N237/M237-1)</f>
        <v>-0.1352285840529539</v>
      </c>
      <c r="W237" s="18">
        <v>31296.67</v>
      </c>
      <c r="X237" s="18">
        <v>27230.61</v>
      </c>
      <c r="Y237" s="4">
        <f>X237/W237-1</f>
        <v>-0.12991989243584057</v>
      </c>
    </row>
    <row r="238" spans="1:25" ht="15" customHeight="1">
      <c r="A238" t="s">
        <v>502</v>
      </c>
      <c r="B238" t="s">
        <v>503</v>
      </c>
      <c r="C238" s="29">
        <v>2350</v>
      </c>
      <c r="E238" t="s">
        <v>503</v>
      </c>
      <c r="F238" s="29">
        <v>1942</v>
      </c>
      <c r="G238" t="b">
        <f>IF(B238=E238,TRUE,FALSE)</f>
        <v>1</v>
      </c>
      <c r="J238">
        <f>F238-C238</f>
        <v>-408</v>
      </c>
      <c r="K238" s="4">
        <f>F238/C238-1</f>
        <v>-0.17361702127659573</v>
      </c>
      <c r="M238" s="5">
        <v>4043.96</v>
      </c>
      <c r="N238" s="5">
        <v>1966.2</v>
      </c>
      <c r="Q238">
        <v>20468.189999999999</v>
      </c>
      <c r="U238" s="149">
        <f>N238-M238</f>
        <v>-2077.7600000000002</v>
      </c>
      <c r="V238" s="4">
        <f>IF(M238=0,0,N238/M238-1)</f>
        <v>-0.51379341041948978</v>
      </c>
      <c r="W238" s="18">
        <v>65662.87</v>
      </c>
      <c r="X238" s="18">
        <v>56220.9</v>
      </c>
      <c r="Y238" s="4">
        <f>X238/W238-1</f>
        <v>-0.14379465899068977</v>
      </c>
    </row>
    <row r="239" spans="1:25" ht="15" customHeight="1">
      <c r="A239" s="58" t="s">
        <v>504</v>
      </c>
      <c r="B239" s="38" t="s">
        <v>505</v>
      </c>
      <c r="C239" s="29">
        <v>1309</v>
      </c>
      <c r="E239" s="38" t="s">
        <v>505</v>
      </c>
      <c r="F239" s="29">
        <v>895</v>
      </c>
      <c r="G239" t="b">
        <f>IF(B239=E239,TRUE,FALSE)</f>
        <v>1</v>
      </c>
      <c r="J239">
        <f>F239-C239</f>
        <v>-414</v>
      </c>
      <c r="K239" s="4">
        <f>F239/C239-1</f>
        <v>-0.31627196333078689</v>
      </c>
      <c r="M239" s="5">
        <v>2923.02</v>
      </c>
      <c r="N239" s="5">
        <v>2096.2600000000002</v>
      </c>
      <c r="Q239">
        <v>11285.28</v>
      </c>
      <c r="U239" s="149">
        <f>N239-M239</f>
        <v>-826.75999999999976</v>
      </c>
      <c r="V239" s="4">
        <f>IF(M239=0,0,N239/M239-1)</f>
        <v>-0.28284445539202596</v>
      </c>
      <c r="W239" s="18">
        <v>21717.91</v>
      </c>
      <c r="X239" s="18">
        <v>15206.05</v>
      </c>
      <c r="Y239" s="4">
        <f>X239/W239-1</f>
        <v>-0.29983824410359927</v>
      </c>
    </row>
    <row r="240" spans="1:25" ht="15" customHeight="1">
      <c r="A240" t="s">
        <v>506</v>
      </c>
      <c r="B240" t="s">
        <v>507</v>
      </c>
      <c r="C240" s="29">
        <v>4097</v>
      </c>
      <c r="E240" t="s">
        <v>507</v>
      </c>
      <c r="F240" s="29">
        <v>3682</v>
      </c>
      <c r="G240" t="b">
        <f>IF(B240=E240,TRUE,FALSE)</f>
        <v>1</v>
      </c>
      <c r="J240">
        <f>F240-C240</f>
        <v>-415</v>
      </c>
      <c r="K240" s="4">
        <f>F240/C240-1</f>
        <v>-0.10129362948498899</v>
      </c>
      <c r="M240" s="5">
        <v>4412.04</v>
      </c>
      <c r="N240" s="5">
        <v>3281.33</v>
      </c>
      <c r="Q240">
        <v>20843.91</v>
      </c>
      <c r="U240" s="149">
        <f>N240-M240</f>
        <v>-1130.71</v>
      </c>
      <c r="V240" s="4">
        <f>IF(M240=0,0,N240/M240-1)</f>
        <v>-0.25627827490231281</v>
      </c>
      <c r="W240" s="18">
        <v>106277.16</v>
      </c>
      <c r="X240" s="18">
        <v>95578.880000000005</v>
      </c>
      <c r="Y240" s="4">
        <f>X240/W240-1</f>
        <v>-0.10066396204038575</v>
      </c>
    </row>
    <row r="241" spans="1:25" ht="15" customHeight="1">
      <c r="A241" t="s">
        <v>508</v>
      </c>
      <c r="B241" t="s">
        <v>509</v>
      </c>
      <c r="C241" s="29">
        <v>1820</v>
      </c>
      <c r="E241" t="s">
        <v>509</v>
      </c>
      <c r="F241" s="29">
        <v>1392</v>
      </c>
      <c r="G241" t="b">
        <f>IF(B241=E241,TRUE,FALSE)</f>
        <v>1</v>
      </c>
      <c r="J241">
        <f>F241-C241</f>
        <v>-428</v>
      </c>
      <c r="K241" s="4">
        <f>F241/C241-1</f>
        <v>-0.23516483516483522</v>
      </c>
      <c r="M241" s="5">
        <v>3409.48</v>
      </c>
      <c r="N241" s="5">
        <v>1887.7</v>
      </c>
      <c r="Q241">
        <v>8274.1299999999992</v>
      </c>
      <c r="U241" s="149">
        <f>N241-M241</f>
        <v>-1521.78</v>
      </c>
      <c r="V241" s="4">
        <f>IF(M241=0,0,N241/M241-1)</f>
        <v>-0.44633785797247671</v>
      </c>
      <c r="W241" s="18">
        <v>45356.85</v>
      </c>
      <c r="X241" s="18">
        <v>34711.11</v>
      </c>
      <c r="Y241" s="4">
        <f>X241/W241-1</f>
        <v>-0.23471074380165291</v>
      </c>
    </row>
    <row r="242" spans="1:25" ht="15" customHeight="1">
      <c r="A242" t="s">
        <v>510</v>
      </c>
      <c r="B242" t="s">
        <v>511</v>
      </c>
      <c r="C242" s="29">
        <v>1605</v>
      </c>
      <c r="E242" t="s">
        <v>511</v>
      </c>
      <c r="F242" s="29">
        <v>1142</v>
      </c>
      <c r="G242" t="b">
        <f>IF(B242=E242,TRUE,FALSE)</f>
        <v>1</v>
      </c>
      <c r="J242">
        <f>F242-C242</f>
        <v>-463</v>
      </c>
      <c r="K242" s="4">
        <f>F242/C242-1</f>
        <v>-0.28847352024922124</v>
      </c>
      <c r="M242" s="5">
        <v>3536.28</v>
      </c>
      <c r="N242" s="5">
        <v>2738.54</v>
      </c>
      <c r="Q242">
        <v>13022.67</v>
      </c>
      <c r="U242" s="149">
        <f>N242-M242</f>
        <v>-797.74000000000024</v>
      </c>
      <c r="V242" s="4">
        <f>IF(M242=0,0,N242/M242-1)</f>
        <v>-0.22558734036897532</v>
      </c>
      <c r="W242" s="18">
        <v>41623.800000000003</v>
      </c>
      <c r="X242" s="18">
        <v>29634.9</v>
      </c>
      <c r="Y242" s="4">
        <f>X242/W242-1</f>
        <v>-0.28802992518703241</v>
      </c>
    </row>
    <row r="243" spans="1:25" ht="15" customHeight="1">
      <c r="A243" t="s">
        <v>512</v>
      </c>
      <c r="B243" t="s">
        <v>513</v>
      </c>
      <c r="C243" s="29">
        <v>3193</v>
      </c>
      <c r="E243" t="s">
        <v>513</v>
      </c>
      <c r="F243" s="29">
        <v>2690</v>
      </c>
      <c r="G243" t="b">
        <f>IF(B243=E243,TRUE,FALSE)</f>
        <v>1</v>
      </c>
      <c r="J243">
        <f>F243-C243</f>
        <v>-503</v>
      </c>
      <c r="K243" s="4">
        <f>F243/C243-1</f>
        <v>-0.15753210147196994</v>
      </c>
      <c r="M243" s="5">
        <v>5287.15</v>
      </c>
      <c r="N243" s="5">
        <v>5016.91</v>
      </c>
      <c r="Q243">
        <v>36392.449999999997</v>
      </c>
      <c r="U243" s="149">
        <f>N243-M243</f>
        <v>-270.23999999999978</v>
      </c>
      <c r="V243" s="4">
        <f>IF(M243=0,0,N243/M243-1)</f>
        <v>-5.111260319832045E-2</v>
      </c>
      <c r="W243" s="18">
        <v>77109.08</v>
      </c>
      <c r="X243" s="18">
        <v>67223.100000000006</v>
      </c>
      <c r="Y243" s="4">
        <f>X243/W243-1</f>
        <v>-0.12820772858397478</v>
      </c>
    </row>
    <row r="244" spans="1:25" ht="15" customHeight="1">
      <c r="A244" t="s">
        <v>514</v>
      </c>
      <c r="B244" t="s">
        <v>515</v>
      </c>
      <c r="C244" s="29">
        <v>1183</v>
      </c>
      <c r="E244" t="s">
        <v>515</v>
      </c>
      <c r="F244" s="29">
        <v>673</v>
      </c>
      <c r="G244" t="b">
        <f>IF(B244=E244,TRUE,FALSE)</f>
        <v>1</v>
      </c>
      <c r="J244">
        <f>F244-C244</f>
        <v>-510</v>
      </c>
      <c r="K244" s="4">
        <f>F244/C244-1</f>
        <v>-0.43110735418427726</v>
      </c>
      <c r="M244" s="5">
        <v>1386.41</v>
      </c>
      <c r="N244" s="5">
        <v>1022.44</v>
      </c>
      <c r="Q244">
        <v>8577.74</v>
      </c>
      <c r="U244" s="149">
        <f>N244-M244</f>
        <v>-363.97</v>
      </c>
      <c r="V244" s="4">
        <f>IF(M244=0,0,N244/M244-1)</f>
        <v>-0.26252695811484339</v>
      </c>
      <c r="W244" s="18">
        <v>36807.449999999997</v>
      </c>
      <c r="X244" s="18">
        <v>23486.400000000001</v>
      </c>
      <c r="Y244" s="4">
        <f>X244/W244-1</f>
        <v>-0.36191178688010162</v>
      </c>
    </row>
    <row r="245" spans="1:25" ht="15" customHeight="1">
      <c r="A245" t="s">
        <v>516</v>
      </c>
      <c r="B245" t="s">
        <v>517</v>
      </c>
      <c r="C245" s="29">
        <v>2626</v>
      </c>
      <c r="E245" t="s">
        <v>517</v>
      </c>
      <c r="F245" s="29">
        <v>1939</v>
      </c>
      <c r="G245" t="b">
        <f>IF(B245=E245,TRUE,FALSE)</f>
        <v>1</v>
      </c>
      <c r="J245">
        <f>F245-C245</f>
        <v>-687</v>
      </c>
      <c r="K245" s="4">
        <f>F245/C245-1</f>
        <v>-0.26161462300076166</v>
      </c>
      <c r="M245" s="5">
        <v>1929.92</v>
      </c>
      <c r="N245" s="5">
        <v>1597.65</v>
      </c>
      <c r="Q245">
        <v>16451.009999999998</v>
      </c>
      <c r="U245" s="149">
        <f>N245-M245</f>
        <v>-332.27</v>
      </c>
      <c r="V245" s="4">
        <f>IF(M245=0,0,N245/M245-1)</f>
        <v>-0.17216775824904662</v>
      </c>
      <c r="W245" s="18">
        <v>95917.25</v>
      </c>
      <c r="X245" s="18">
        <v>77451.11</v>
      </c>
      <c r="Y245" s="4">
        <f>X245/W245-1</f>
        <v>-0.19252157458642738</v>
      </c>
    </row>
    <row r="246" spans="1:25" ht="15" customHeight="1">
      <c r="A246" t="s">
        <v>518</v>
      </c>
      <c r="B246" t="s">
        <v>519</v>
      </c>
      <c r="C246" s="29">
        <v>6878</v>
      </c>
      <c r="E246" t="s">
        <v>519</v>
      </c>
      <c r="F246" s="29">
        <v>6179</v>
      </c>
      <c r="G246" t="b">
        <f>IF(B246=E246,TRUE,FALSE)</f>
        <v>1</v>
      </c>
      <c r="J246">
        <f>F246-C246</f>
        <v>-699</v>
      </c>
      <c r="K246" s="4">
        <f>F246/C246-1</f>
        <v>-0.10162838034312305</v>
      </c>
      <c r="M246" s="5">
        <v>9269.7099999999991</v>
      </c>
      <c r="N246" s="5">
        <v>8425.43</v>
      </c>
      <c r="Q246">
        <v>71592.33</v>
      </c>
      <c r="U246" s="149">
        <f>N246-M246</f>
        <v>-844.27999999999884</v>
      </c>
      <c r="V246" s="4">
        <f>IF(M246=0,0,N246/M246-1)</f>
        <v>-9.1079440457144667E-2</v>
      </c>
      <c r="W246" s="18">
        <v>262756.09999999998</v>
      </c>
      <c r="X246" s="18">
        <v>240282.55</v>
      </c>
      <c r="Y246" s="4">
        <f>X246/W246-1</f>
        <v>-8.5530079035272544E-2</v>
      </c>
    </row>
    <row r="247" spans="1:25" ht="15" customHeight="1">
      <c r="A247" t="s">
        <v>520</v>
      </c>
      <c r="B247" s="28" t="s">
        <v>521</v>
      </c>
      <c r="C247" s="29">
        <v>767</v>
      </c>
      <c r="E247" s="28" t="s">
        <v>521</v>
      </c>
      <c r="F247" s="29">
        <v>14</v>
      </c>
      <c r="G247" t="b">
        <f>IF(B247=E247,TRUE,FALSE)</f>
        <v>1</v>
      </c>
      <c r="J247">
        <f>F247-C247</f>
        <v>-753</v>
      </c>
      <c r="K247" s="4">
        <f>F247/C247-1</f>
        <v>-0.98174706649282917</v>
      </c>
      <c r="M247" s="5">
        <v>1531.71</v>
      </c>
      <c r="N247" s="5">
        <v>0</v>
      </c>
      <c r="Q247">
        <v>0</v>
      </c>
      <c r="U247" s="149">
        <f>N247-M247</f>
        <v>-1531.71</v>
      </c>
      <c r="V247" s="4">
        <f>IF(M247=0,0,N247/M247-1)</f>
        <v>-1</v>
      </c>
      <c r="W247" s="18">
        <v>24536.33</v>
      </c>
      <c r="X247" s="18">
        <v>447.86</v>
      </c>
      <c r="Y247" s="4">
        <f>X247/W247-1</f>
        <v>-0.98174706649282917</v>
      </c>
    </row>
    <row r="248" spans="1:25" ht="15" customHeight="1">
      <c r="A248" t="s">
        <v>522</v>
      </c>
      <c r="B248" t="s">
        <v>523</v>
      </c>
      <c r="C248" s="29">
        <v>4113</v>
      </c>
      <c r="E248" t="s">
        <v>523</v>
      </c>
      <c r="F248" s="29">
        <v>3221</v>
      </c>
      <c r="G248" t="b">
        <f>IF(B248=E248,TRUE,FALSE)</f>
        <v>1</v>
      </c>
      <c r="J248">
        <f>F248-C248</f>
        <v>-892</v>
      </c>
      <c r="K248" s="4">
        <f>F248/C248-1</f>
        <v>-0.21687332847070262</v>
      </c>
      <c r="M248" s="5">
        <v>7005.23</v>
      </c>
      <c r="N248" s="5">
        <v>3820.98</v>
      </c>
      <c r="Q248">
        <v>37004.839999999997</v>
      </c>
      <c r="U248" s="149">
        <f>N248-M248</f>
        <v>-3184.2499999999995</v>
      </c>
      <c r="V248" s="4">
        <f>IF(M248=0,0,N248/M248-1)</f>
        <v>-0.45455324093570082</v>
      </c>
      <c r="W248" s="18">
        <v>126330.09</v>
      </c>
      <c r="X248" s="18">
        <v>102975.81</v>
      </c>
      <c r="Y248" s="4">
        <f>X248/W248-1</f>
        <v>-0.18486712073109424</v>
      </c>
    </row>
    <row r="249" spans="1:25" ht="15" customHeight="1">
      <c r="A249" t="s">
        <v>524</v>
      </c>
      <c r="B249" t="s">
        <v>525</v>
      </c>
      <c r="C249" s="29">
        <v>4077</v>
      </c>
      <c r="E249" t="s">
        <v>525</v>
      </c>
      <c r="F249" s="29">
        <v>3171</v>
      </c>
      <c r="G249" t="b">
        <f>IF(B249=E249,TRUE,FALSE)</f>
        <v>1</v>
      </c>
      <c r="J249">
        <f>F249-C249</f>
        <v>-906</v>
      </c>
      <c r="K249" s="4">
        <f>F249/C249-1</f>
        <v>-0.22222222222222221</v>
      </c>
      <c r="M249" s="5">
        <v>5320.45</v>
      </c>
      <c r="N249" s="5">
        <v>3464.24</v>
      </c>
      <c r="Q249">
        <v>32616.45</v>
      </c>
      <c r="U249" s="149">
        <f>N249-M249</f>
        <v>-1856.21</v>
      </c>
      <c r="V249" s="4">
        <f>IF(M249=0,0,N249/M249-1)</f>
        <v>-0.34888214342771762</v>
      </c>
      <c r="W249" s="18">
        <v>122046.25</v>
      </c>
      <c r="X249" s="18">
        <v>95001.4</v>
      </c>
      <c r="Y249" s="4">
        <f>X249/W249-1</f>
        <v>-0.22159509202453997</v>
      </c>
    </row>
    <row r="250" spans="1:25" ht="15" customHeight="1">
      <c r="A250" t="s">
        <v>526</v>
      </c>
      <c r="B250" t="s">
        <v>527</v>
      </c>
      <c r="C250" s="29">
        <v>5351</v>
      </c>
      <c r="E250" t="s">
        <v>527</v>
      </c>
      <c r="F250" s="29">
        <v>4184</v>
      </c>
      <c r="G250" t="b">
        <f>IF(B250=E250,TRUE,FALSE)</f>
        <v>1</v>
      </c>
      <c r="J250">
        <f>F250-C250</f>
        <v>-1167</v>
      </c>
      <c r="K250" s="4">
        <f>F250/C250-1</f>
        <v>-0.21809007662119229</v>
      </c>
      <c r="M250" s="5">
        <v>8256.57</v>
      </c>
      <c r="N250" s="5">
        <v>5952.22</v>
      </c>
      <c r="Q250">
        <v>33380.1</v>
      </c>
      <c r="U250" s="149">
        <f>N250-M250</f>
        <v>-2304.3499999999995</v>
      </c>
      <c r="V250" s="4">
        <f>IF(M250=0,0,N250/M250-1)</f>
        <v>-0.27909289208472765</v>
      </c>
      <c r="W250" s="18">
        <v>117427.31</v>
      </c>
      <c r="X250" s="18">
        <v>91797.98</v>
      </c>
      <c r="Y250" s="4">
        <f>X250/W250-1</f>
        <v>-0.21825697957315038</v>
      </c>
    </row>
    <row r="251" spans="1:25" ht="15" customHeight="1">
      <c r="A251" s="58" t="s">
        <v>528</v>
      </c>
      <c r="B251" s="38" t="s">
        <v>529</v>
      </c>
      <c r="C251" s="29">
        <v>1507</v>
      </c>
      <c r="E251" s="38" t="s">
        <v>529</v>
      </c>
      <c r="F251" s="29">
        <v>299</v>
      </c>
      <c r="G251" t="b">
        <f>IF(B251=E251,TRUE,FALSE)</f>
        <v>1</v>
      </c>
      <c r="J251">
        <f>F251-C251</f>
        <v>-1208</v>
      </c>
      <c r="K251" s="4">
        <f>F251/C251-1</f>
        <v>-0.80159256801592571</v>
      </c>
      <c r="M251" s="5">
        <v>2226.25</v>
      </c>
      <c r="N251" s="5">
        <v>333.75</v>
      </c>
      <c r="Q251">
        <v>1629.19</v>
      </c>
      <c r="U251" s="149">
        <f>N251-M251</f>
        <v>-1892.5</v>
      </c>
      <c r="V251" s="4">
        <f>IF(M251=0,0,N251/M251-1)</f>
        <v>-0.8500842223469961</v>
      </c>
      <c r="W251" s="18">
        <v>40352.5</v>
      </c>
      <c r="X251" s="18">
        <v>8016.46</v>
      </c>
      <c r="Y251" s="4">
        <f>X251/W251-1</f>
        <v>-0.80133919831485034</v>
      </c>
    </row>
    <row r="252" spans="1:25" ht="15" customHeight="1">
      <c r="A252" t="s">
        <v>530</v>
      </c>
      <c r="B252" t="s">
        <v>531</v>
      </c>
      <c r="C252" s="29">
        <v>6518</v>
      </c>
      <c r="E252" t="s">
        <v>531</v>
      </c>
      <c r="F252" s="29">
        <v>4750</v>
      </c>
      <c r="G252" t="b">
        <f>IF(B252=E252,TRUE,FALSE)</f>
        <v>1</v>
      </c>
      <c r="J252">
        <f>F252-C252</f>
        <v>-1768</v>
      </c>
      <c r="K252" s="4">
        <f>F252/C252-1</f>
        <v>-0.27124884934028848</v>
      </c>
      <c r="M252" s="5">
        <v>1506.81</v>
      </c>
      <c r="N252" s="5">
        <v>1900.95</v>
      </c>
      <c r="Q252">
        <v>16266.85</v>
      </c>
      <c r="U252" s="149">
        <f>N252-M252</f>
        <v>394.1400000000001</v>
      </c>
      <c r="V252" s="4">
        <f>IF(M252=0,0,N252/M252-1)</f>
        <v>0.26157246102693787</v>
      </c>
      <c r="W252" s="18">
        <v>216217.91</v>
      </c>
      <c r="X252" s="18">
        <v>175665.51</v>
      </c>
      <c r="Y252" s="4">
        <f>X252/W252-1</f>
        <v>-0.18755338075370354</v>
      </c>
    </row>
    <row r="253" spans="1:25" ht="15" customHeight="1">
      <c r="A253" t="s">
        <v>532</v>
      </c>
      <c r="B253" t="s">
        <v>533</v>
      </c>
      <c r="C253" s="29">
        <v>9553</v>
      </c>
      <c r="E253" t="s">
        <v>533</v>
      </c>
      <c r="F253" s="29">
        <v>7213</v>
      </c>
      <c r="G253" t="b">
        <f>IF(B253=E253,TRUE,FALSE)</f>
        <v>1</v>
      </c>
      <c r="J253">
        <f>F253-C253</f>
        <v>-2340</v>
      </c>
      <c r="K253" s="4">
        <f>F253/C253-1</f>
        <v>-0.24494923060818596</v>
      </c>
      <c r="M253" s="5">
        <v>12332.59</v>
      </c>
      <c r="N253" s="5">
        <v>10952.95</v>
      </c>
      <c r="Q253">
        <v>66351.47</v>
      </c>
      <c r="U253" s="149">
        <f>N253-M253</f>
        <v>-1379.6399999999994</v>
      </c>
      <c r="V253" s="4">
        <f>IF(M253=0,0,N253/M253-1)</f>
        <v>-0.11186944510439412</v>
      </c>
      <c r="W253" s="18">
        <v>246408.43</v>
      </c>
      <c r="X253" s="18">
        <v>208647.01</v>
      </c>
      <c r="Y253" s="4">
        <f>X253/W253-1</f>
        <v>-0.15324727323655274</v>
      </c>
    </row>
    <row r="254" spans="1:25" ht="15" customHeight="1">
      <c r="A254" t="s">
        <v>534</v>
      </c>
      <c r="B254" t="s">
        <v>535</v>
      </c>
      <c r="C254" s="29">
        <v>10451</v>
      </c>
      <c r="E254" t="s">
        <v>535</v>
      </c>
      <c r="F254" s="29">
        <v>8070</v>
      </c>
      <c r="G254" t="b">
        <f>IF(B254=E254,TRUE,FALSE)</f>
        <v>1</v>
      </c>
      <c r="J254">
        <f>F254-C254</f>
        <v>-2381</v>
      </c>
      <c r="K254" s="4">
        <f>F254/C254-1</f>
        <v>-0.22782508850827676</v>
      </c>
      <c r="M254" s="5">
        <v>9353.2099999999991</v>
      </c>
      <c r="N254" s="5">
        <v>7128.01</v>
      </c>
      <c r="Q254">
        <v>73512.91</v>
      </c>
      <c r="U254" s="149">
        <f>N254-M254</f>
        <v>-2225.1999999999989</v>
      </c>
      <c r="V254" s="4">
        <f>IF(M254=0,0,N254/M254-1)</f>
        <v>-0.23790762743485916</v>
      </c>
      <c r="W254" s="18">
        <v>312887.65000000002</v>
      </c>
      <c r="X254" s="18">
        <v>241666.55</v>
      </c>
      <c r="Y254" s="4">
        <f>X254/W254-1</f>
        <v>-0.2276251555470471</v>
      </c>
    </row>
    <row r="255" spans="1:25" ht="15" customHeight="1">
      <c r="A255" t="s">
        <v>536</v>
      </c>
      <c r="B255" t="s">
        <v>537</v>
      </c>
      <c r="C255" s="29">
        <v>10559</v>
      </c>
      <c r="E255" t="s">
        <v>537</v>
      </c>
      <c r="F255" s="29">
        <v>7481</v>
      </c>
      <c r="G255" t="b">
        <f>IF(B255=E255,TRUE,FALSE)</f>
        <v>1</v>
      </c>
      <c r="J255">
        <f>F255-C255</f>
        <v>-3078</v>
      </c>
      <c r="K255" s="4">
        <f>F255/C255-1</f>
        <v>-0.29150487735581021</v>
      </c>
      <c r="M255" s="5">
        <v>10577.03</v>
      </c>
      <c r="N255" s="5">
        <v>9471.1</v>
      </c>
      <c r="Q255">
        <v>77266.91</v>
      </c>
      <c r="U255" s="149">
        <f>N255-M255</f>
        <v>-1105.9300000000003</v>
      </c>
      <c r="V255" s="4">
        <f>IF(M255=0,0,N255/M255-1)</f>
        <v>-0.10455959754297761</v>
      </c>
      <c r="W255" s="18">
        <v>349543.03</v>
      </c>
      <c r="X255" s="18">
        <v>261620.23</v>
      </c>
      <c r="Y255" s="4">
        <f>X255/W255-1</f>
        <v>-0.25153641312773423</v>
      </c>
    </row>
    <row r="256" spans="1:25" ht="17.25" customHeight="1">
      <c r="C256" s="29"/>
      <c r="F256" s="29"/>
      <c r="K256" s="4"/>
      <c r="N256" s="5">
        <v>0</v>
      </c>
      <c r="Q256" s="5">
        <v>0</v>
      </c>
      <c r="V256" s="4">
        <f t="shared" ref="V255:V276" si="0">IF(M256=0,0,N256/M256-1)</f>
        <v>0</v>
      </c>
      <c r="W256" s="18"/>
      <c r="X256" s="18"/>
      <c r="Y256" s="4"/>
    </row>
    <row r="257" spans="1:25" ht="13.5" customHeight="1">
      <c r="A257" s="58" t="s">
        <v>538</v>
      </c>
      <c r="B257" s="38" t="s">
        <v>539</v>
      </c>
      <c r="C257" s="29">
        <v>9.9999999999999998E-13</v>
      </c>
      <c r="E257" s="38" t="s">
        <v>539</v>
      </c>
      <c r="F257" s="29">
        <v>88</v>
      </c>
      <c r="G257" t="b">
        <f t="shared" ref="G248:G276" si="1">IF(B257=E257,TRUE,FALSE)</f>
        <v>1</v>
      </c>
      <c r="J257">
        <f t="shared" ref="J257:J275" si="2">F257-C257</f>
        <v>87.999999999999005</v>
      </c>
      <c r="K257" s="4">
        <f t="shared" ref="K257:K276" si="3">F257/C257-1</f>
        <v>87999999999999</v>
      </c>
      <c r="M257" s="5">
        <v>0</v>
      </c>
      <c r="N257" s="5">
        <v>374.05</v>
      </c>
      <c r="Q257" s="5">
        <v>550.77</v>
      </c>
      <c r="U257" s="149">
        <f t="shared" ref="U255:U276" si="4">N257-M257</f>
        <v>374.05</v>
      </c>
      <c r="V257" s="4">
        <f t="shared" si="0"/>
        <v>0</v>
      </c>
      <c r="W257" s="18">
        <v>0</v>
      </c>
      <c r="X257" s="18">
        <v>1721.1200000000001</v>
      </c>
      <c r="Y257" s="4" t="e">
        <f t="shared" ref="Y248:Y276" si="5">X257/W257-1</f>
        <v>#DIV/0!</v>
      </c>
    </row>
    <row r="258" spans="1:25" ht="17.25" customHeight="1">
      <c r="A258" s="56" t="s">
        <v>540</v>
      </c>
      <c r="B258" s="38" t="s">
        <v>541</v>
      </c>
      <c r="C258" s="29">
        <v>9.9999999999999998E-13</v>
      </c>
      <c r="E258" s="38" t="s">
        <v>541</v>
      </c>
      <c r="F258" s="29">
        <v>643</v>
      </c>
      <c r="G258" t="b">
        <f t="shared" si="1"/>
        <v>1</v>
      </c>
      <c r="J258">
        <f t="shared" si="2"/>
        <v>642.99999999999898</v>
      </c>
      <c r="K258" s="4">
        <f t="shared" si="3"/>
        <v>642999999999999</v>
      </c>
      <c r="M258" s="5">
        <v>0</v>
      </c>
      <c r="N258" s="5">
        <v>2601.3200000000002</v>
      </c>
      <c r="Q258" s="5">
        <v>10164.07</v>
      </c>
      <c r="U258" s="149">
        <f t="shared" si="4"/>
        <v>2601.3200000000002</v>
      </c>
      <c r="V258" s="4">
        <f t="shared" si="0"/>
        <v>0</v>
      </c>
      <c r="W258" s="18">
        <v>0</v>
      </c>
      <c r="X258" s="18">
        <v>8073.57</v>
      </c>
      <c r="Y258" s="4" t="e">
        <f t="shared" si="5"/>
        <v>#DIV/0!</v>
      </c>
    </row>
    <row r="259" spans="1:25" ht="17.25" customHeight="1">
      <c r="A259" s="56" t="s">
        <v>542</v>
      </c>
      <c r="B259" s="38" t="s">
        <v>543</v>
      </c>
      <c r="C259" s="29">
        <v>9.9999999999999998E-13</v>
      </c>
      <c r="E259" s="38" t="s">
        <v>543</v>
      </c>
      <c r="F259" s="29">
        <v>73</v>
      </c>
      <c r="G259" t="b">
        <f t="shared" si="1"/>
        <v>1</v>
      </c>
      <c r="J259">
        <f t="shared" si="2"/>
        <v>72.999999999999005</v>
      </c>
      <c r="K259" s="4">
        <f t="shared" si="3"/>
        <v>72999999999999</v>
      </c>
      <c r="M259" s="5">
        <v>0</v>
      </c>
      <c r="N259" s="5">
        <v>264.69</v>
      </c>
      <c r="Q259" s="5">
        <v>604.39</v>
      </c>
      <c r="U259" s="149">
        <f t="shared" si="4"/>
        <v>264.69</v>
      </c>
      <c r="V259" s="4">
        <f t="shared" si="0"/>
        <v>0</v>
      </c>
      <c r="W259" s="18">
        <v>0</v>
      </c>
      <c r="X259" s="18">
        <v>699.3</v>
      </c>
      <c r="Y259" s="4" t="e">
        <f t="shared" si="5"/>
        <v>#DIV/0!</v>
      </c>
    </row>
    <row r="260" spans="1:25" ht="17.25" customHeight="1">
      <c r="A260" s="58" t="s">
        <v>544</v>
      </c>
      <c r="B260" s="28" t="s">
        <v>545</v>
      </c>
      <c r="C260" s="29">
        <v>9.9999999999999998E-13</v>
      </c>
      <c r="E260" s="28" t="s">
        <v>545</v>
      </c>
      <c r="F260" s="29">
        <v>1035</v>
      </c>
      <c r="G260" t="b">
        <f t="shared" si="1"/>
        <v>1</v>
      </c>
      <c r="J260">
        <f t="shared" si="2"/>
        <v>1034.9999999999991</v>
      </c>
      <c r="K260" s="4">
        <f t="shared" si="3"/>
        <v>1034999999999999</v>
      </c>
      <c r="M260" s="5">
        <v>0</v>
      </c>
      <c r="N260" s="5">
        <v>1433.62</v>
      </c>
      <c r="Q260" s="5">
        <v>8177.2</v>
      </c>
      <c r="U260" s="149">
        <f t="shared" si="4"/>
        <v>1433.62</v>
      </c>
      <c r="V260" s="4">
        <f t="shared" si="0"/>
        <v>0</v>
      </c>
      <c r="W260" s="18">
        <v>0</v>
      </c>
      <c r="X260" s="18">
        <v>17796.650000000001</v>
      </c>
      <c r="Y260" s="4" t="e">
        <f t="shared" si="5"/>
        <v>#DIV/0!</v>
      </c>
    </row>
    <row r="261" spans="1:25" ht="17.25" customHeight="1">
      <c r="A261" s="56" t="s">
        <v>546</v>
      </c>
      <c r="B261" s="38" t="s">
        <v>547</v>
      </c>
      <c r="C261" s="29">
        <v>9.9999999999999998E-13</v>
      </c>
      <c r="E261" s="38" t="s">
        <v>547</v>
      </c>
      <c r="F261" s="29">
        <v>1184</v>
      </c>
      <c r="G261" t="b">
        <f t="shared" si="1"/>
        <v>1</v>
      </c>
      <c r="J261">
        <f t="shared" si="2"/>
        <v>1183.9999999999991</v>
      </c>
      <c r="K261" s="4">
        <f t="shared" si="3"/>
        <v>1183999999999999</v>
      </c>
      <c r="M261" s="5">
        <v>0</v>
      </c>
      <c r="N261" s="5">
        <v>1929.97</v>
      </c>
      <c r="Q261" s="5">
        <v>12306.98</v>
      </c>
      <c r="U261" s="149">
        <f t="shared" si="4"/>
        <v>1929.97</v>
      </c>
      <c r="V261" s="4">
        <f t="shared" si="0"/>
        <v>0</v>
      </c>
      <c r="W261" s="18">
        <v>0</v>
      </c>
      <c r="X261" s="18">
        <v>14052.16</v>
      </c>
      <c r="Y261" s="4" t="e">
        <f t="shared" si="5"/>
        <v>#DIV/0!</v>
      </c>
    </row>
    <row r="262" spans="1:25" ht="17.25" customHeight="1">
      <c r="A262" s="58" t="s">
        <v>548</v>
      </c>
      <c r="B262" s="38" t="s">
        <v>549</v>
      </c>
      <c r="C262" s="29">
        <v>9.9999999999999998E-13</v>
      </c>
      <c r="E262" s="38" t="s">
        <v>549</v>
      </c>
      <c r="F262" s="29">
        <v>983</v>
      </c>
      <c r="G262" t="b">
        <f t="shared" si="1"/>
        <v>1</v>
      </c>
      <c r="J262">
        <f t="shared" si="2"/>
        <v>982.99999999999898</v>
      </c>
      <c r="K262" s="4">
        <f t="shared" si="3"/>
        <v>982999999999999</v>
      </c>
      <c r="M262" s="5">
        <v>0</v>
      </c>
      <c r="N262" s="5">
        <v>679.58</v>
      </c>
      <c r="Q262" s="5">
        <v>5120.37</v>
      </c>
      <c r="U262" s="149">
        <f t="shared" si="4"/>
        <v>679.58</v>
      </c>
      <c r="V262" s="4">
        <f t="shared" si="0"/>
        <v>0</v>
      </c>
      <c r="W262" s="18">
        <v>0</v>
      </c>
      <c r="X262" s="18">
        <v>23518.9</v>
      </c>
      <c r="Y262" s="4" t="e">
        <f t="shared" si="5"/>
        <v>#DIV/0!</v>
      </c>
    </row>
    <row r="263" spans="1:25" ht="17.25" customHeight="1">
      <c r="A263" s="56" t="s">
        <v>550</v>
      </c>
      <c r="B263" s="38" t="s">
        <v>551</v>
      </c>
      <c r="C263" s="29">
        <v>9.9999999999999998E-13</v>
      </c>
      <c r="E263" s="38" t="s">
        <v>551</v>
      </c>
      <c r="F263" s="29">
        <v>210</v>
      </c>
      <c r="G263" t="b">
        <f t="shared" si="1"/>
        <v>1</v>
      </c>
      <c r="J263">
        <f t="shared" si="2"/>
        <v>209.99999999999901</v>
      </c>
      <c r="K263" s="4">
        <f t="shared" si="3"/>
        <v>209999999999999</v>
      </c>
      <c r="M263" s="5">
        <v>0</v>
      </c>
      <c r="N263" s="5">
        <v>689.64</v>
      </c>
      <c r="Q263" s="5">
        <v>2671.92</v>
      </c>
      <c r="U263" s="149">
        <f t="shared" si="4"/>
        <v>689.64</v>
      </c>
      <c r="V263" s="4">
        <f t="shared" si="0"/>
        <v>0</v>
      </c>
      <c r="W263" s="18">
        <v>0</v>
      </c>
      <c r="X263" s="18">
        <v>2097.9</v>
      </c>
      <c r="Y263" s="4" t="e">
        <f t="shared" si="5"/>
        <v>#DIV/0!</v>
      </c>
    </row>
    <row r="264" spans="1:25" ht="13.5" customHeight="1">
      <c r="A264" s="56" t="s">
        <v>552</v>
      </c>
      <c r="B264" s="38" t="s">
        <v>553</v>
      </c>
      <c r="C264" s="29">
        <v>9.9999999999999998E-13</v>
      </c>
      <c r="E264" s="38" t="s">
        <v>553</v>
      </c>
      <c r="F264" s="29">
        <v>548</v>
      </c>
      <c r="G264" t="b">
        <f t="shared" si="1"/>
        <v>1</v>
      </c>
      <c r="J264">
        <f t="shared" si="2"/>
        <v>547.99999999999898</v>
      </c>
      <c r="K264" s="4">
        <f t="shared" si="3"/>
        <v>547999999999999</v>
      </c>
      <c r="M264" s="5">
        <v>0</v>
      </c>
      <c r="N264" s="5">
        <v>736.25</v>
      </c>
      <c r="Q264" s="5">
        <v>5667.06</v>
      </c>
      <c r="U264" s="149">
        <f t="shared" si="4"/>
        <v>736.25</v>
      </c>
      <c r="V264" s="4">
        <f t="shared" si="0"/>
        <v>0</v>
      </c>
      <c r="W264" s="18">
        <v>0</v>
      </c>
      <c r="X264" s="18">
        <v>13132.1</v>
      </c>
      <c r="Y264" s="4" t="e">
        <f t="shared" si="5"/>
        <v>#DIV/0!</v>
      </c>
    </row>
    <row r="265" spans="1:25" ht="15" customHeight="1">
      <c r="A265" s="56" t="s">
        <v>554</v>
      </c>
      <c r="B265" s="38" t="s">
        <v>555</v>
      </c>
      <c r="C265" s="29">
        <v>9.9999999999999998E-13</v>
      </c>
      <c r="E265" s="38" t="s">
        <v>555</v>
      </c>
      <c r="F265" s="29">
        <v>1847</v>
      </c>
      <c r="G265" t="b">
        <f t="shared" si="1"/>
        <v>1</v>
      </c>
      <c r="J265">
        <f t="shared" si="2"/>
        <v>1846.9999999999991</v>
      </c>
      <c r="K265" s="4">
        <f t="shared" si="3"/>
        <v>1846999999999999</v>
      </c>
      <c r="M265" s="5">
        <v>0</v>
      </c>
      <c r="N265" s="5">
        <v>1979.87</v>
      </c>
      <c r="Q265" s="5">
        <v>15784.48</v>
      </c>
      <c r="U265" s="149">
        <f t="shared" si="4"/>
        <v>1979.87</v>
      </c>
      <c r="V265" s="4">
        <f t="shared" si="0"/>
        <v>0</v>
      </c>
      <c r="W265" s="18">
        <v>0</v>
      </c>
      <c r="X265" s="18">
        <v>24889.83</v>
      </c>
      <c r="Y265" s="4" t="e">
        <f t="shared" si="5"/>
        <v>#DIV/0!</v>
      </c>
    </row>
    <row r="266" spans="1:25" ht="15" customHeight="1">
      <c r="A266" s="56" t="s">
        <v>556</v>
      </c>
      <c r="B266" s="38" t="s">
        <v>557</v>
      </c>
      <c r="C266" s="29">
        <v>9.9999999999999998E-13</v>
      </c>
      <c r="E266" s="38" t="s">
        <v>557</v>
      </c>
      <c r="F266" s="29">
        <v>351</v>
      </c>
      <c r="G266" t="b">
        <f t="shared" si="1"/>
        <v>1</v>
      </c>
      <c r="J266">
        <f t="shared" si="2"/>
        <v>350.99999999999898</v>
      </c>
      <c r="K266" s="4">
        <f t="shared" si="3"/>
        <v>350999999999999</v>
      </c>
      <c r="M266" s="5">
        <v>0</v>
      </c>
      <c r="N266" s="5">
        <v>611.73</v>
      </c>
      <c r="Q266" s="5">
        <v>4099.68</v>
      </c>
      <c r="U266" s="149">
        <f t="shared" si="4"/>
        <v>611.73</v>
      </c>
      <c r="V266" s="4">
        <f t="shared" si="0"/>
        <v>0</v>
      </c>
      <c r="W266" s="18">
        <v>0</v>
      </c>
      <c r="X266" s="18">
        <v>5785.79</v>
      </c>
      <c r="Y266" s="4" t="e">
        <f t="shared" si="5"/>
        <v>#DIV/0!</v>
      </c>
    </row>
    <row r="267" spans="1:25" ht="15" customHeight="1">
      <c r="A267" s="56" t="s">
        <v>558</v>
      </c>
      <c r="B267" s="38" t="s">
        <v>559</v>
      </c>
      <c r="C267" s="29">
        <v>9.9999999999999998E-13</v>
      </c>
      <c r="E267" s="38" t="s">
        <v>559</v>
      </c>
      <c r="F267" s="29">
        <v>86</v>
      </c>
      <c r="G267" t="b">
        <f t="shared" si="1"/>
        <v>1</v>
      </c>
      <c r="J267">
        <f t="shared" si="2"/>
        <v>85.999999999999005</v>
      </c>
      <c r="K267" s="4">
        <f t="shared" si="3"/>
        <v>85999999999999</v>
      </c>
      <c r="M267" s="5">
        <v>0</v>
      </c>
      <c r="N267" s="5">
        <v>88.57</v>
      </c>
      <c r="Q267" s="5">
        <v>415.57</v>
      </c>
      <c r="U267" s="149">
        <f t="shared" si="4"/>
        <v>88.57</v>
      </c>
      <c r="V267" s="4">
        <f t="shared" si="0"/>
        <v>0</v>
      </c>
      <c r="W267" s="18">
        <v>0</v>
      </c>
      <c r="X267" s="18">
        <v>559.44000000000005</v>
      </c>
      <c r="Y267" s="4" t="e">
        <f t="shared" si="5"/>
        <v>#DIV/0!</v>
      </c>
    </row>
    <row r="268" spans="1:25" ht="15" customHeight="1">
      <c r="A268" s="56" t="s">
        <v>560</v>
      </c>
      <c r="B268" s="38" t="s">
        <v>561</v>
      </c>
      <c r="C268" s="29">
        <v>9.9999999999999998E-13</v>
      </c>
      <c r="E268" s="38" t="s">
        <v>561</v>
      </c>
      <c r="F268" s="29">
        <v>134</v>
      </c>
      <c r="G268" t="b">
        <f t="shared" si="1"/>
        <v>1</v>
      </c>
      <c r="J268">
        <f t="shared" si="2"/>
        <v>133.99999999999901</v>
      </c>
      <c r="K268" s="4">
        <f t="shared" si="3"/>
        <v>133999999999999</v>
      </c>
      <c r="M268" s="5">
        <v>0</v>
      </c>
      <c r="N268" s="5">
        <v>155.62</v>
      </c>
      <c r="Q268" s="5">
        <v>883.61</v>
      </c>
      <c r="U268" s="149">
        <f t="shared" si="4"/>
        <v>155.62</v>
      </c>
      <c r="V268" s="4">
        <f t="shared" si="0"/>
        <v>0</v>
      </c>
      <c r="W268" s="18">
        <v>0</v>
      </c>
      <c r="X268" s="18">
        <v>1593.96</v>
      </c>
      <c r="Y268" s="4" t="e">
        <f t="shared" si="5"/>
        <v>#DIV/0!</v>
      </c>
    </row>
    <row r="269" spans="1:25" ht="15" customHeight="1">
      <c r="A269" s="56" t="s">
        <v>562</v>
      </c>
      <c r="B269" s="38" t="s">
        <v>563</v>
      </c>
      <c r="C269" s="29">
        <v>9.9999999999999998E-13</v>
      </c>
      <c r="E269" s="38" t="s">
        <v>563</v>
      </c>
      <c r="F269" s="29">
        <v>134</v>
      </c>
      <c r="G269" t="b">
        <f t="shared" si="1"/>
        <v>1</v>
      </c>
      <c r="J269">
        <f t="shared" si="2"/>
        <v>133.99999999999901</v>
      </c>
      <c r="K269" s="4">
        <f t="shared" si="3"/>
        <v>133999999999999</v>
      </c>
      <c r="M269" s="5">
        <v>0</v>
      </c>
      <c r="N269" s="5">
        <v>265.76</v>
      </c>
      <c r="Q269" s="5">
        <v>2254.65</v>
      </c>
      <c r="U269" s="149">
        <f t="shared" si="4"/>
        <v>265.76</v>
      </c>
      <c r="V269" s="4">
        <f t="shared" si="0"/>
        <v>0</v>
      </c>
      <c r="W269" s="18">
        <v>0</v>
      </c>
      <c r="X269" s="18">
        <v>1573.96</v>
      </c>
      <c r="Y269" s="4" t="e">
        <f t="shared" si="5"/>
        <v>#DIV/0!</v>
      </c>
    </row>
    <row r="270" spans="1:25" ht="15" customHeight="1">
      <c r="A270" s="56" t="s">
        <v>564</v>
      </c>
      <c r="B270" s="38" t="s">
        <v>565</v>
      </c>
      <c r="C270" s="29">
        <v>9.9999999999999998E-13</v>
      </c>
      <c r="E270" s="38" t="s">
        <v>565</v>
      </c>
      <c r="F270">
        <v>91</v>
      </c>
      <c r="G270" t="b">
        <f t="shared" si="1"/>
        <v>1</v>
      </c>
      <c r="J270">
        <f t="shared" si="2"/>
        <v>90.999999999999005</v>
      </c>
      <c r="K270" s="4">
        <f t="shared" si="3"/>
        <v>90999999999999</v>
      </c>
      <c r="M270" s="5">
        <v>0</v>
      </c>
      <c r="N270" s="5">
        <v>139.81</v>
      </c>
      <c r="Q270" s="5">
        <v>1479.21</v>
      </c>
      <c r="U270" s="149">
        <f t="shared" si="4"/>
        <v>139.81</v>
      </c>
      <c r="V270" s="4">
        <f t="shared" si="0"/>
        <v>0</v>
      </c>
      <c r="W270" s="18">
        <v>0</v>
      </c>
      <c r="X270">
        <v>619.39</v>
      </c>
      <c r="Y270" s="4" t="e">
        <f t="shared" si="5"/>
        <v>#DIV/0!</v>
      </c>
    </row>
    <row r="271" spans="1:25" ht="15" customHeight="1">
      <c r="A271" s="56" t="s">
        <v>566</v>
      </c>
      <c r="B271" s="38" t="s">
        <v>567</v>
      </c>
      <c r="C271" s="29">
        <v>9.9999999999999998E-13</v>
      </c>
      <c r="E271" s="38" t="s">
        <v>567</v>
      </c>
      <c r="F271">
        <v>83</v>
      </c>
      <c r="G271" t="b">
        <f t="shared" si="1"/>
        <v>1</v>
      </c>
      <c r="J271">
        <f t="shared" si="2"/>
        <v>82.999999999999005</v>
      </c>
      <c r="K271" s="4">
        <f t="shared" si="3"/>
        <v>82999999999999</v>
      </c>
      <c r="M271" s="5">
        <v>0</v>
      </c>
      <c r="N271" s="5">
        <v>336.7</v>
      </c>
      <c r="Q271" s="5">
        <v>2351.7399999999998</v>
      </c>
      <c r="U271" s="149">
        <f t="shared" si="4"/>
        <v>336.7</v>
      </c>
      <c r="V271" s="4">
        <f t="shared" si="0"/>
        <v>0</v>
      </c>
      <c r="W271" s="18">
        <v>0</v>
      </c>
      <c r="X271">
        <v>1243.17</v>
      </c>
      <c r="Y271" s="4" t="e">
        <f t="shared" si="5"/>
        <v>#DIV/0!</v>
      </c>
    </row>
    <row r="272" spans="1:25" ht="15" customHeight="1">
      <c r="A272" s="56" t="s">
        <v>568</v>
      </c>
      <c r="B272" s="38" t="s">
        <v>569</v>
      </c>
      <c r="C272" s="29">
        <v>9.9999999999999998E-13</v>
      </c>
      <c r="E272" s="38" t="s">
        <v>569</v>
      </c>
      <c r="F272">
        <v>48</v>
      </c>
      <c r="G272" t="b">
        <f t="shared" si="1"/>
        <v>1</v>
      </c>
      <c r="J272">
        <f t="shared" si="2"/>
        <v>47.999999999998998</v>
      </c>
      <c r="K272" s="4">
        <f t="shared" si="3"/>
        <v>47999999999999</v>
      </c>
      <c r="M272" s="5">
        <v>0</v>
      </c>
      <c r="N272" s="5">
        <v>73.790000000000006</v>
      </c>
      <c r="Q272" s="5">
        <v>652.49</v>
      </c>
      <c r="U272" s="149">
        <f t="shared" si="4"/>
        <v>73.790000000000006</v>
      </c>
      <c r="V272" s="4">
        <f t="shared" si="0"/>
        <v>0</v>
      </c>
      <c r="W272" s="18">
        <v>0</v>
      </c>
      <c r="X272">
        <v>707.52</v>
      </c>
      <c r="Y272" s="4" t="e">
        <f t="shared" si="5"/>
        <v>#DIV/0!</v>
      </c>
    </row>
    <row r="273" spans="1:25" ht="15" customHeight="1">
      <c r="A273" s="56" t="s">
        <v>570</v>
      </c>
      <c r="B273" s="38" t="s">
        <v>571</v>
      </c>
      <c r="C273" s="29">
        <v>9.9999999999999998E-13</v>
      </c>
      <c r="E273" s="38" t="s">
        <v>571</v>
      </c>
      <c r="F273">
        <v>43</v>
      </c>
      <c r="G273" t="b">
        <f t="shared" si="1"/>
        <v>1</v>
      </c>
      <c r="J273">
        <f t="shared" si="2"/>
        <v>42.999999999998998</v>
      </c>
      <c r="K273" s="4">
        <f t="shared" si="3"/>
        <v>42999999999999</v>
      </c>
      <c r="M273" s="5">
        <v>0</v>
      </c>
      <c r="N273" s="5">
        <v>85.23</v>
      </c>
      <c r="Q273" s="5">
        <v>846.86</v>
      </c>
      <c r="U273" s="149">
        <f t="shared" si="4"/>
        <v>85.23</v>
      </c>
      <c r="V273" s="4">
        <f t="shared" si="0"/>
        <v>0</v>
      </c>
      <c r="W273" s="18">
        <v>0</v>
      </c>
      <c r="X273">
        <v>614.57000000000005</v>
      </c>
      <c r="Y273" s="4" t="e">
        <f t="shared" si="5"/>
        <v>#DIV/0!</v>
      </c>
    </row>
    <row r="274" spans="1:25" ht="15" customHeight="1">
      <c r="A274" s="56" t="s">
        <v>572</v>
      </c>
      <c r="B274" s="38" t="s">
        <v>573</v>
      </c>
      <c r="C274" s="29">
        <v>9.9999999999999998E-13</v>
      </c>
      <c r="E274" s="38" t="s">
        <v>573</v>
      </c>
      <c r="F274">
        <v>55</v>
      </c>
      <c r="G274" t="b">
        <f t="shared" si="1"/>
        <v>1</v>
      </c>
      <c r="J274">
        <f t="shared" si="2"/>
        <v>54.999999999998998</v>
      </c>
      <c r="K274" s="4">
        <f t="shared" si="3"/>
        <v>54999999999999</v>
      </c>
      <c r="M274" s="5">
        <v>0</v>
      </c>
      <c r="N274" s="5">
        <v>39.46</v>
      </c>
      <c r="Q274" s="5">
        <v>137.9</v>
      </c>
      <c r="U274" s="149">
        <f t="shared" si="4"/>
        <v>39.46</v>
      </c>
      <c r="V274" s="4">
        <f t="shared" si="0"/>
        <v>0</v>
      </c>
      <c r="W274" s="18">
        <v>0</v>
      </c>
      <c r="X274">
        <v>499.75</v>
      </c>
      <c r="Y274" s="4" t="e">
        <f t="shared" si="5"/>
        <v>#DIV/0!</v>
      </c>
    </row>
    <row r="275" spans="1:25" ht="15" customHeight="1">
      <c r="A275" s="56" t="s">
        <v>574</v>
      </c>
      <c r="B275" s="38" t="s">
        <v>575</v>
      </c>
      <c r="C275" s="29">
        <v>9.9999999999999998E-13</v>
      </c>
      <c r="E275" s="38" t="s">
        <v>575</v>
      </c>
      <c r="F275">
        <v>57</v>
      </c>
      <c r="G275" t="b">
        <f t="shared" si="1"/>
        <v>1</v>
      </c>
      <c r="J275">
        <f t="shared" si="2"/>
        <v>56.999999999998998</v>
      </c>
      <c r="K275" s="4">
        <f t="shared" si="3"/>
        <v>56999999999999</v>
      </c>
      <c r="M275" s="5">
        <v>0</v>
      </c>
      <c r="N275" s="5">
        <v>24.83</v>
      </c>
      <c r="Q275" s="5">
        <v>38.97</v>
      </c>
      <c r="U275" s="149">
        <f t="shared" si="4"/>
        <v>24.83</v>
      </c>
      <c r="V275" s="4">
        <f t="shared" si="0"/>
        <v>0</v>
      </c>
      <c r="W275" s="18">
        <v>0</v>
      </c>
      <c r="X275">
        <v>269.73</v>
      </c>
      <c r="Y275" s="4" t="e">
        <f t="shared" si="5"/>
        <v>#DIV/0!</v>
      </c>
    </row>
    <row r="276" spans="1:25" ht="15" customHeight="1">
      <c r="A276" s="56" t="s">
        <v>576</v>
      </c>
      <c r="B276" s="38" t="s">
        <v>577</v>
      </c>
      <c r="C276" s="29">
        <v>9.9999999999999998E-13</v>
      </c>
      <c r="E276" s="38" t="s">
        <v>577</v>
      </c>
      <c r="F276">
        <v>0</v>
      </c>
      <c r="G276" t="b">
        <f t="shared" si="1"/>
        <v>1</v>
      </c>
      <c r="J276" s="26">
        <f>F276-C276</f>
        <v>-9.9999999999999998E-13</v>
      </c>
      <c r="K276" s="4">
        <f t="shared" si="3"/>
        <v>-1</v>
      </c>
      <c r="M276" s="5">
        <v>0</v>
      </c>
      <c r="N276" s="5">
        <v>9.5</v>
      </c>
      <c r="Q276" s="5">
        <v>0</v>
      </c>
      <c r="U276" s="149">
        <f t="shared" si="4"/>
        <v>9.5</v>
      </c>
      <c r="V276" s="4">
        <f t="shared" si="0"/>
        <v>0</v>
      </c>
      <c r="W276" s="18">
        <v>0</v>
      </c>
      <c r="X276">
        <v>0</v>
      </c>
      <c r="Y276" s="4" t="e">
        <f t="shared" si="5"/>
        <v>#DIV/0!</v>
      </c>
    </row>
    <row r="277" spans="1:25" ht="15" customHeight="1">
      <c r="A277" s="56"/>
    </row>
    <row r="278" spans="1:25" ht="15" customHeight="1">
      <c r="C278" s="3" t="s">
        <v>578</v>
      </c>
      <c r="D278" s="3"/>
      <c r="E278" s="3"/>
      <c r="F278" s="3" t="s">
        <v>578</v>
      </c>
      <c r="G278" s="3"/>
      <c r="H278" s="3"/>
      <c r="I278" s="3"/>
      <c r="J278" s="3" t="s">
        <v>579</v>
      </c>
      <c r="K278" s="32"/>
      <c r="L278" s="3"/>
      <c r="M278" s="34" t="s">
        <v>580</v>
      </c>
      <c r="N278" s="34" t="s">
        <v>580</v>
      </c>
      <c r="O278" s="3"/>
      <c r="Q278" s="34" t="s">
        <v>581</v>
      </c>
      <c r="R278" s="3"/>
      <c r="U278" s="150" t="s">
        <v>582</v>
      </c>
      <c r="V278" s="3"/>
      <c r="W278" s="36" t="s">
        <v>3</v>
      </c>
      <c r="X278" s="36" t="s">
        <v>3</v>
      </c>
      <c r="Y278" s="36"/>
    </row>
    <row r="279" spans="1:25" ht="15" customHeight="1">
      <c r="A279" s="20"/>
      <c r="C279" s="26">
        <f>SUM(C3:C255)</f>
        <v>603840</v>
      </c>
      <c r="F279" s="26">
        <f>SUM(F3:F276)</f>
        <v>681884</v>
      </c>
      <c r="J279" s="26">
        <f>SUM(J3:J255)</f>
        <v>70351</v>
      </c>
      <c r="M279" s="18">
        <f>SUM(M3:M255)</f>
        <v>773959.08999999973</v>
      </c>
      <c r="N279" s="18">
        <f>SUM(N3:N255)</f>
        <v>710843.32999999903</v>
      </c>
      <c r="Q279" s="18">
        <f>SUM(Q3:Q255)</f>
        <v>5433591.339999998</v>
      </c>
      <c r="U279" s="149">
        <f>N279-M279</f>
        <v>-63115.760000000708</v>
      </c>
      <c r="V279" s="4">
        <f>IF(M279=0,0,N279/M279-1)</f>
        <v>-8.1549219868973566E-2</v>
      </c>
      <c r="W279" s="31">
        <f>SUM(W3:W255)</f>
        <v>17831297.739999995</v>
      </c>
      <c r="X279" s="31">
        <f>SUM(X3:X276)</f>
        <v>20024167.780000001</v>
      </c>
      <c r="Y279" s="32">
        <f>X279/W279-1</f>
        <v>0.12297871259705673</v>
      </c>
    </row>
    <row r="281" spans="1:25" ht="15" customHeight="1">
      <c r="F281" s="19">
        <f>F279-C279</f>
        <v>78044</v>
      </c>
      <c r="N281" s="34" t="s">
        <v>583</v>
      </c>
      <c r="Q281" s="27">
        <f>N279/Q279</f>
        <v>0.13082384844937553</v>
      </c>
      <c r="W281" s="3" t="s">
        <v>584</v>
      </c>
      <c r="X281" s="3" t="s">
        <v>584</v>
      </c>
    </row>
    <row r="282" spans="1:25" ht="15" customHeight="1">
      <c r="F282" s="4">
        <f>F279/C279-1</f>
        <v>0.1292461579226285</v>
      </c>
      <c r="W282" s="33">
        <f>M279/W279</f>
        <v>4.3404529568468748E-2</v>
      </c>
      <c r="X282" s="33">
        <f>N279/X279</f>
        <v>3.549926957313973E-2</v>
      </c>
    </row>
    <row r="285" spans="1:25" ht="15" customHeight="1">
      <c r="W285" s="36"/>
      <c r="X285" s="36"/>
    </row>
    <row r="286" spans="1:25" ht="15" customHeight="1">
      <c r="V286" s="3"/>
      <c r="W286" s="31"/>
      <c r="X286" s="31"/>
    </row>
    <row r="287" spans="1:25" ht="15" customHeight="1">
      <c r="V287" s="3"/>
    </row>
    <row r="288" spans="1:25" ht="15" customHeight="1">
      <c r="V288" s="3"/>
    </row>
    <row r="292" spans="23:24" ht="15" customHeight="1">
      <c r="W292" s="3"/>
      <c r="X292" s="3"/>
    </row>
  </sheetData>
  <autoFilter ref="A2:AA255" xr:uid="{00000000-0001-0000-0000-000000000000}">
    <filterColumn colId="6">
      <filters>
        <filter val="TRUE"/>
      </filters>
    </filterColumn>
    <sortState xmlns:xlrd2="http://schemas.microsoft.com/office/spreadsheetml/2017/richdata2" ref="A3:AA255">
      <sortCondition descending="1" ref="J2:J255"/>
    </sortState>
  </autoFilter>
  <sortState xmlns:xlrd2="http://schemas.microsoft.com/office/spreadsheetml/2017/richdata2" ref="J3:K228">
    <sortCondition descending="1" ref="J3:J228"/>
  </sortState>
  <mergeCells count="6">
    <mergeCell ref="W1:X1"/>
    <mergeCell ref="U1:V1"/>
    <mergeCell ref="B1:C1"/>
    <mergeCell ref="J1:K1"/>
    <mergeCell ref="M1:N1"/>
    <mergeCell ref="E1:F1"/>
  </mergeCells>
  <phoneticPr fontId="3" type="noConversion"/>
  <conditionalFormatting sqref="D173 H173:I173 L173 O173:P173 R173:T173 J278:J282 J286:J1048576 J2:J276">
    <cfRule type="cellIs" dxfId="43" priority="23" operator="greaterThan">
      <formula>500</formula>
    </cfRule>
  </conditionalFormatting>
  <conditionalFormatting sqref="J3:J276">
    <cfRule type="cellIs" dxfId="42" priority="29" operator="lessThan">
      <formula>-100</formula>
    </cfRule>
  </conditionalFormatting>
  <conditionalFormatting sqref="J278">
    <cfRule type="cellIs" dxfId="41" priority="2" operator="lessThan">
      <formula>-100</formula>
    </cfRule>
  </conditionalFormatting>
  <conditionalFormatting sqref="K278:K1048576 K3:K276">
    <cfRule type="cellIs" dxfId="40" priority="3" operator="lessThan">
      <formula>-0.2</formula>
    </cfRule>
  </conditionalFormatting>
  <conditionalFormatting sqref="K3:K276">
    <cfRule type="cellIs" dxfId="39" priority="15" operator="lessThan">
      <formula>-10%</formula>
    </cfRule>
    <cfRule type="cellIs" dxfId="38" priority="46" operator="greaterThan">
      <formula>0.2</formula>
    </cfRule>
  </conditionalFormatting>
  <conditionalFormatting sqref="K278">
    <cfRule type="cellIs" dxfId="37" priority="5" operator="greaterThan">
      <formula>0.2</formula>
    </cfRule>
  </conditionalFormatting>
  <conditionalFormatting sqref="V279 V3:V276">
    <cfRule type="cellIs" dxfId="36" priority="14" operator="greaterThan">
      <formula>0.5</formula>
    </cfRule>
  </conditionalFormatting>
  <conditionalFormatting sqref="Y3:Y276">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279">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filterMode="1"/>
  <dimension ref="A1:AC210"/>
  <sheetViews>
    <sheetView zoomScale="85" zoomScaleNormal="85" workbookViewId="0">
      <pane xSplit="2" ySplit="2" topLeftCell="F3" activePane="bottomRight" state="frozen"/>
      <selection pane="bottomRight" activeCell="AE10" sqref="AE10"/>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5" customWidth="1"/>
    <col min="18" max="19" width="0.85546875" customWidth="1"/>
    <col min="20" max="20" width="11.85546875" style="135" bestFit="1" customWidth="1"/>
    <col min="22" max="22" width="0.85546875" customWidth="1"/>
    <col min="23" max="24" width="7" hidden="1" customWidth="1"/>
    <col min="25" max="25" width="13.7109375" hidden="1" customWidth="1"/>
    <col min="26" max="26" width="7.42578125" style="14" hidden="1" customWidth="1"/>
    <col min="27" max="28" width="13.28515625" customWidth="1"/>
  </cols>
  <sheetData>
    <row r="1" spans="1:29">
      <c r="B1" s="159">
        <v>45717</v>
      </c>
      <c r="C1" s="158"/>
      <c r="E1" s="159">
        <v>45748</v>
      </c>
      <c r="F1" s="158"/>
      <c r="J1" s="160"/>
      <c r="K1" s="160"/>
      <c r="M1" s="161" t="s">
        <v>0</v>
      </c>
      <c r="N1" s="161"/>
      <c r="O1" s="1"/>
      <c r="Q1" s="10" t="s">
        <v>1</v>
      </c>
      <c r="R1" s="1"/>
      <c r="T1" s="158" t="s">
        <v>2</v>
      </c>
      <c r="U1" s="158"/>
      <c r="W1" s="160" t="s">
        <v>585</v>
      </c>
      <c r="X1" s="160"/>
      <c r="Y1" s="160"/>
      <c r="Z1" s="160"/>
      <c r="AA1" s="158" t="s">
        <v>3</v>
      </c>
      <c r="AB1" s="158"/>
    </row>
    <row r="2" spans="1:29">
      <c r="A2" t="s">
        <v>4</v>
      </c>
      <c r="B2" s="3" t="s">
        <v>5</v>
      </c>
      <c r="C2" s="3" t="s">
        <v>6</v>
      </c>
      <c r="E2" s="3" t="s">
        <v>5</v>
      </c>
      <c r="F2" s="3" t="s">
        <v>6</v>
      </c>
      <c r="G2" t="s">
        <v>7</v>
      </c>
      <c r="J2" t="s">
        <v>8</v>
      </c>
      <c r="K2" t="s">
        <v>9</v>
      </c>
      <c r="M2" t="s">
        <v>10</v>
      </c>
      <c r="N2" t="s">
        <v>11</v>
      </c>
      <c r="Q2" s="5" t="s">
        <v>12</v>
      </c>
      <c r="T2" s="135" t="s">
        <v>13</v>
      </c>
      <c r="U2" t="s">
        <v>9</v>
      </c>
      <c r="W2" t="s">
        <v>14</v>
      </c>
      <c r="X2" t="s">
        <v>586</v>
      </c>
      <c r="Y2" t="s">
        <v>587</v>
      </c>
      <c r="Z2" s="14" t="s">
        <v>588</v>
      </c>
      <c r="AA2" t="s">
        <v>10</v>
      </c>
      <c r="AB2" t="s">
        <v>11</v>
      </c>
      <c r="AC2" t="s">
        <v>9</v>
      </c>
    </row>
    <row r="3" spans="1:29" ht="13.5" customHeight="1">
      <c r="A3" t="s">
        <v>589</v>
      </c>
      <c r="B3" t="s">
        <v>590</v>
      </c>
      <c r="C3" s="19">
        <v>8126</v>
      </c>
      <c r="E3" t="s">
        <v>590</v>
      </c>
      <c r="F3" s="19">
        <v>10207</v>
      </c>
      <c r="G3" t="b">
        <f>IF(B3=E3,TRUE,FALSE)</f>
        <v>1</v>
      </c>
      <c r="J3">
        <f>F3-C3</f>
        <v>2081</v>
      </c>
      <c r="K3" s="4">
        <f>F3/C3-1</f>
        <v>0.25609155796209704</v>
      </c>
      <c r="M3" s="5">
        <v>6399.34</v>
      </c>
      <c r="N3" s="5">
        <v>6533.26</v>
      </c>
      <c r="Q3" s="5">
        <v>32601.01</v>
      </c>
      <c r="T3" s="133">
        <f>N3-M3</f>
        <v>133.92000000000007</v>
      </c>
      <c r="U3" s="4">
        <f>IF(M3=0,0,N3/M3-1)</f>
        <v>2.0927158113180466E-2</v>
      </c>
      <c r="W3" t="s">
        <v>591</v>
      </c>
      <c r="Y3" t="s">
        <v>592</v>
      </c>
      <c r="AA3" s="18">
        <v>157464.06</v>
      </c>
      <c r="AB3" s="18">
        <v>192303.15</v>
      </c>
      <c r="AC3" s="4">
        <f>AB3/AA3-1</f>
        <v>0.22125105881303964</v>
      </c>
    </row>
    <row r="4" spans="1:29" ht="13.9" customHeight="1">
      <c r="A4" t="s">
        <v>593</v>
      </c>
      <c r="B4" t="s">
        <v>594</v>
      </c>
      <c r="C4" s="19">
        <v>4973</v>
      </c>
      <c r="E4" t="s">
        <v>594</v>
      </c>
      <c r="F4" s="19">
        <v>6068</v>
      </c>
      <c r="G4" t="b">
        <f>IF(B4=E4,TRUE,FALSE)</f>
        <v>1</v>
      </c>
      <c r="J4">
        <f>F4-C4</f>
        <v>1095</v>
      </c>
      <c r="K4" s="4">
        <f>F4/C4-1</f>
        <v>0.22018902071184399</v>
      </c>
      <c r="M4" s="5">
        <v>9282.0300000000007</v>
      </c>
      <c r="N4" s="5">
        <v>7051.44</v>
      </c>
      <c r="Q4" s="5">
        <v>39083.050000000003</v>
      </c>
      <c r="T4" s="133">
        <f>N4-M4</f>
        <v>-2230.5900000000011</v>
      </c>
      <c r="U4" s="4">
        <f>IF(M4=0,0,N4/M4-1)</f>
        <v>-0.2403127333137256</v>
      </c>
      <c r="AA4" s="18">
        <v>145612.99</v>
      </c>
      <c r="AB4" s="18">
        <v>170358.16</v>
      </c>
      <c r="AC4" s="4">
        <f>AB4/AA4-1</f>
        <v>0.16993792930149998</v>
      </c>
    </row>
    <row r="5" spans="1:29" ht="14.25" customHeight="1">
      <c r="A5" t="s">
        <v>595</v>
      </c>
      <c r="B5" t="s">
        <v>596</v>
      </c>
      <c r="C5" s="19">
        <v>1698</v>
      </c>
      <c r="E5" t="s">
        <v>596</v>
      </c>
      <c r="F5" s="19">
        <v>2249</v>
      </c>
      <c r="G5" t="b">
        <f>IF(B5=E5,TRUE,FALSE)</f>
        <v>1</v>
      </c>
      <c r="J5">
        <f>F5-C5</f>
        <v>551</v>
      </c>
      <c r="K5" s="4">
        <f>F5/C5-1</f>
        <v>0.32449941107184932</v>
      </c>
      <c r="M5" s="5">
        <v>3086.07</v>
      </c>
      <c r="N5" s="5">
        <v>3911.92</v>
      </c>
      <c r="Q5" s="5">
        <v>26055.03</v>
      </c>
      <c r="T5" s="133">
        <f>N5-M5</f>
        <v>825.84999999999991</v>
      </c>
      <c r="U5" s="4">
        <f>IF(M5=0,0,N5/M5-1)</f>
        <v>0.26760572508076619</v>
      </c>
      <c r="AA5" s="18">
        <v>57681.03</v>
      </c>
      <c r="AB5" s="18">
        <v>76409.52</v>
      </c>
      <c r="AC5" s="4">
        <f>AB5/AA5-1</f>
        <v>0.32469063052445502</v>
      </c>
    </row>
    <row r="6" spans="1:29" ht="13.9" customHeight="1">
      <c r="A6" t="s">
        <v>597</v>
      </c>
      <c r="B6" t="s">
        <v>598</v>
      </c>
      <c r="C6" s="19">
        <v>1185</v>
      </c>
      <c r="E6" t="s">
        <v>598</v>
      </c>
      <c r="F6" s="19">
        <v>1649</v>
      </c>
      <c r="G6" t="b">
        <f>IF(B6=E6,TRUE,FALSE)</f>
        <v>1</v>
      </c>
      <c r="J6">
        <f>F6-C6</f>
        <v>464</v>
      </c>
      <c r="K6" s="4">
        <f>F6/C6-1</f>
        <v>0.39156118143459917</v>
      </c>
      <c r="M6" s="5">
        <v>2053.0500000000002</v>
      </c>
      <c r="N6" s="5">
        <v>3004.1</v>
      </c>
      <c r="Q6" s="5">
        <v>10858.36</v>
      </c>
      <c r="T6" s="133">
        <f>N6-M6</f>
        <v>951.04999999999973</v>
      </c>
      <c r="U6" s="4">
        <f>IF(M6=0,0,N6/M6-1)</f>
        <v>0.4632376220744745</v>
      </c>
      <c r="AA6" s="18">
        <v>18274.55</v>
      </c>
      <c r="AB6" s="18">
        <v>26304.52</v>
      </c>
      <c r="AC6" s="4">
        <f>AB6/AA6-1</f>
        <v>0.43940726310634193</v>
      </c>
    </row>
    <row r="7" spans="1:29" ht="13.9" customHeight="1">
      <c r="A7" t="s">
        <v>599</v>
      </c>
      <c r="B7" t="s">
        <v>600</v>
      </c>
      <c r="C7" s="19">
        <v>3593</v>
      </c>
      <c r="E7" t="s">
        <v>600</v>
      </c>
      <c r="F7" s="19">
        <v>4051</v>
      </c>
      <c r="G7" t="b">
        <f>IF(B7=E7,TRUE,FALSE)</f>
        <v>1</v>
      </c>
      <c r="J7">
        <f>F7-C7</f>
        <v>458</v>
      </c>
      <c r="K7" s="4">
        <f>F7/C7-1</f>
        <v>0.12747008071249644</v>
      </c>
      <c r="M7" s="5">
        <v>5630.28</v>
      </c>
      <c r="N7" s="5">
        <v>4645.0200000000004</v>
      </c>
      <c r="Q7" s="5">
        <v>22988.23</v>
      </c>
      <c r="T7" s="133">
        <f>N7-M7</f>
        <v>-985.25999999999931</v>
      </c>
      <c r="U7" s="4">
        <f>IF(M7=0,0,N7/M7-1)</f>
        <v>-0.1749930731686522</v>
      </c>
      <c r="AA7" s="18">
        <v>71680.350000000006</v>
      </c>
      <c r="AB7" s="18">
        <v>80817.45</v>
      </c>
      <c r="AC7" s="4">
        <f>AB7/AA7-1</f>
        <v>0.12747008071249644</v>
      </c>
    </row>
    <row r="8" spans="1:29" ht="13.5" customHeight="1">
      <c r="A8" s="56" t="s">
        <v>601</v>
      </c>
      <c r="B8" s="38" t="s">
        <v>602</v>
      </c>
      <c r="C8">
        <v>0</v>
      </c>
      <c r="E8" s="38" t="s">
        <v>602</v>
      </c>
      <c r="F8">
        <v>400</v>
      </c>
      <c r="G8" t="b">
        <f>IF(B8=E8,TRUE,FALSE)</f>
        <v>1</v>
      </c>
      <c r="J8">
        <f>F8-C8</f>
        <v>400</v>
      </c>
      <c r="K8" s="4" t="e">
        <f>F8/C8-1</f>
        <v>#DIV/0!</v>
      </c>
      <c r="M8" s="154">
        <v>0</v>
      </c>
      <c r="N8" s="154">
        <v>621.5</v>
      </c>
      <c r="Q8" s="5">
        <v>2269.61</v>
      </c>
      <c r="T8" s="133">
        <f>N8-M8</f>
        <v>621.5</v>
      </c>
      <c r="U8" s="4">
        <f>IF(M8=0,0,N8/M8-1)</f>
        <v>0</v>
      </c>
      <c r="AA8">
        <v>0</v>
      </c>
      <c r="AB8">
        <v>4081</v>
      </c>
      <c r="AC8" s="4" t="e">
        <f>AB8/AA8-1</f>
        <v>#DIV/0!</v>
      </c>
    </row>
    <row r="9" spans="1:29" ht="12.75" customHeight="1">
      <c r="A9" t="s">
        <v>603</v>
      </c>
      <c r="B9" t="s">
        <v>604</v>
      </c>
      <c r="C9" s="19">
        <v>4064</v>
      </c>
      <c r="E9" t="s">
        <v>604</v>
      </c>
      <c r="F9" s="19">
        <v>4460</v>
      </c>
      <c r="G9" t="b">
        <f>IF(B9=E9,TRUE,FALSE)</f>
        <v>1</v>
      </c>
      <c r="J9">
        <f>F9-C9</f>
        <v>396</v>
      </c>
      <c r="K9" s="4">
        <f>F9/C9-1</f>
        <v>9.7440944881889813E-2</v>
      </c>
      <c r="M9" s="5">
        <v>1061.33</v>
      </c>
      <c r="N9" s="5">
        <v>915.44</v>
      </c>
      <c r="Q9" s="5">
        <v>13653.51</v>
      </c>
      <c r="T9" s="133">
        <f>N9-M9</f>
        <v>-145.88999999999987</v>
      </c>
      <c r="U9" s="4">
        <f>IF(M9=0,0,N9/M9-1)</f>
        <v>-0.13745960257412859</v>
      </c>
      <c r="AA9" s="18">
        <v>144526.43</v>
      </c>
      <c r="AB9" s="18">
        <v>152841.35999999999</v>
      </c>
      <c r="AC9" s="4">
        <f>AB9/AA9-1</f>
        <v>5.7532245140214044E-2</v>
      </c>
    </row>
    <row r="10" spans="1:29" ht="13.9" customHeight="1">
      <c r="A10" t="s">
        <v>605</v>
      </c>
      <c r="B10" t="s">
        <v>606</v>
      </c>
      <c r="C10" s="19">
        <v>936</v>
      </c>
      <c r="E10" t="s">
        <v>606</v>
      </c>
      <c r="F10" s="19">
        <v>1316</v>
      </c>
      <c r="G10" t="b">
        <f>IF(B10=E10,TRUE,FALSE)</f>
        <v>1</v>
      </c>
      <c r="J10">
        <f>F10-C10</f>
        <v>380</v>
      </c>
      <c r="K10" s="4">
        <f>F10/C10-1</f>
        <v>0.40598290598290587</v>
      </c>
      <c r="M10" s="5">
        <v>873.56</v>
      </c>
      <c r="N10" s="5">
        <v>2447.7199999999998</v>
      </c>
      <c r="Q10" s="5">
        <v>13033.36</v>
      </c>
      <c r="T10" s="133">
        <f>N10-M10</f>
        <v>1574.1599999999999</v>
      </c>
      <c r="U10" s="4">
        <f>IF(M10=0,0,N10/M10-1)</f>
        <v>1.8020055863363709</v>
      </c>
      <c r="AA10" s="18">
        <v>14950.65</v>
      </c>
      <c r="AB10" s="18">
        <v>21042.84</v>
      </c>
      <c r="AC10" s="4">
        <f>AB10/AA10-1</f>
        <v>0.40748663101604277</v>
      </c>
    </row>
    <row r="11" spans="1:29" ht="13.9" customHeight="1">
      <c r="A11" t="s">
        <v>607</v>
      </c>
      <c r="B11" t="s">
        <v>608</v>
      </c>
      <c r="C11" s="19">
        <v>650</v>
      </c>
      <c r="E11" t="s">
        <v>608</v>
      </c>
      <c r="F11" s="19">
        <v>1029</v>
      </c>
      <c r="G11" t="b">
        <f>IF(B11=E11,TRUE,FALSE)</f>
        <v>1</v>
      </c>
      <c r="J11">
        <f>F11-C11</f>
        <v>379</v>
      </c>
      <c r="K11" s="4">
        <f>F11/C11-1</f>
        <v>0.58307692307692305</v>
      </c>
      <c r="M11" s="5">
        <v>247.73</v>
      </c>
      <c r="N11" s="5">
        <v>92.18</v>
      </c>
      <c r="Q11" s="5">
        <v>717</v>
      </c>
      <c r="T11" s="133">
        <f>N11-M11</f>
        <v>-155.54999999999998</v>
      </c>
      <c r="U11" s="4">
        <f>IF(M11=0,0,N11/M11-1)</f>
        <v>-0.6279013442053849</v>
      </c>
      <c r="AA11" s="18">
        <v>23392.18</v>
      </c>
      <c r="AB11" s="18">
        <v>37029.89</v>
      </c>
      <c r="AC11" s="4">
        <f>AB11/AA11-1</f>
        <v>0.58300295226866417</v>
      </c>
    </row>
    <row r="12" spans="1:29" ht="13.9" customHeight="1">
      <c r="A12" s="153" t="s">
        <v>609</v>
      </c>
      <c r="B12" s="38" t="s">
        <v>610</v>
      </c>
      <c r="C12">
        <v>93</v>
      </c>
      <c r="E12" s="38" t="s">
        <v>610</v>
      </c>
      <c r="F12">
        <v>458</v>
      </c>
      <c r="G12" t="b">
        <f>IF(B12=E12,TRUE,FALSE)</f>
        <v>1</v>
      </c>
      <c r="J12">
        <f>F12-C12</f>
        <v>365</v>
      </c>
      <c r="K12" s="4">
        <f>F12/C12-1</f>
        <v>3.924731182795699</v>
      </c>
      <c r="M12" s="154">
        <v>133.72</v>
      </c>
      <c r="N12" s="154">
        <v>768.03</v>
      </c>
      <c r="Q12" s="5">
        <v>2626.29</v>
      </c>
      <c r="T12" s="133">
        <f>N12-M12</f>
        <v>634.30999999999995</v>
      </c>
      <c r="U12" s="4">
        <f>IF(M12=0,0,N12/M12-1)</f>
        <v>4.743568650912354</v>
      </c>
      <c r="AA12">
        <v>1580.07</v>
      </c>
      <c r="AB12">
        <v>5280.52</v>
      </c>
      <c r="AC12" s="4">
        <f>AB12/AA12-1</f>
        <v>2.3419532046048599</v>
      </c>
    </row>
    <row r="13" spans="1:29" ht="13.9" customHeight="1">
      <c r="A13" s="153" t="s">
        <v>611</v>
      </c>
      <c r="B13" s="38" t="s">
        <v>612</v>
      </c>
      <c r="C13">
        <v>74</v>
      </c>
      <c r="E13" s="38" t="s">
        <v>612</v>
      </c>
      <c r="F13">
        <v>437</v>
      </c>
      <c r="G13" t="b">
        <f>IF(B13=E13,TRUE,FALSE)</f>
        <v>1</v>
      </c>
      <c r="J13">
        <f>F13-C13</f>
        <v>363</v>
      </c>
      <c r="K13" s="4">
        <f>F13/C13-1</f>
        <v>4.9054054054054053</v>
      </c>
      <c r="M13" s="154">
        <v>398.96</v>
      </c>
      <c r="N13" s="154">
        <v>1730.44</v>
      </c>
      <c r="Q13" s="5">
        <v>2930.27</v>
      </c>
      <c r="T13" s="133">
        <f>N13-M13</f>
        <v>1331.48</v>
      </c>
      <c r="U13" s="4">
        <f>IF(M13=0,0,N13/M13-1)</f>
        <v>3.3373771806697414</v>
      </c>
      <c r="AA13">
        <v>1183.26</v>
      </c>
      <c r="AB13">
        <v>4377.63</v>
      </c>
      <c r="AC13" s="4">
        <f>AB13/AA13-1</f>
        <v>2.6996349069519803</v>
      </c>
    </row>
    <row r="14" spans="1:29" ht="13.9" customHeight="1">
      <c r="A14" t="s">
        <v>613</v>
      </c>
      <c r="B14" t="s">
        <v>614</v>
      </c>
      <c r="C14" s="19">
        <v>1251</v>
      </c>
      <c r="D14" s="5"/>
      <c r="E14" t="s">
        <v>614</v>
      </c>
      <c r="F14" s="19">
        <v>1609</v>
      </c>
      <c r="G14" t="b">
        <f>IF(B14=E14,TRUE,FALSE)</f>
        <v>1</v>
      </c>
      <c r="H14" s="5"/>
      <c r="I14" s="5"/>
      <c r="J14">
        <f>F14-C14</f>
        <v>358</v>
      </c>
      <c r="K14" s="4">
        <f>F14/C14-1</f>
        <v>0.28617106314948049</v>
      </c>
      <c r="L14" s="5"/>
      <c r="M14" s="5">
        <v>2038.25</v>
      </c>
      <c r="N14" s="5">
        <v>2344.5100000000002</v>
      </c>
      <c r="O14" s="5"/>
      <c r="P14" s="5"/>
      <c r="Q14" s="5">
        <v>13103.65</v>
      </c>
      <c r="R14" s="5"/>
      <c r="S14" s="5"/>
      <c r="T14" s="133">
        <f>N14-M14</f>
        <v>306.26000000000022</v>
      </c>
      <c r="U14" s="4">
        <f>IF(M14=0,0,N14/M14-1)</f>
        <v>0.15025634735680127</v>
      </c>
      <c r="V14" s="5"/>
      <c r="W14" s="5"/>
      <c r="X14" s="5"/>
      <c r="Y14" s="5"/>
      <c r="Z14" s="15"/>
      <c r="AA14" s="18">
        <v>25007.49</v>
      </c>
      <c r="AB14" s="18">
        <v>30650.11</v>
      </c>
      <c r="AC14" s="4">
        <f>AB14/AA14-1</f>
        <v>0.22563719909515112</v>
      </c>
    </row>
    <row r="15" spans="1:29" ht="13.9" customHeight="1">
      <c r="A15" s="152" t="s">
        <v>615</v>
      </c>
      <c r="B15" s="28" t="s">
        <v>616</v>
      </c>
      <c r="C15">
        <v>386</v>
      </c>
      <c r="E15" s="28" t="s">
        <v>616</v>
      </c>
      <c r="F15">
        <v>734</v>
      </c>
      <c r="G15" t="b">
        <f>IF(B15=E15,TRUE,FALSE)</f>
        <v>1</v>
      </c>
      <c r="J15">
        <f>F15-C15</f>
        <v>348</v>
      </c>
      <c r="K15" s="4">
        <f>F15/C15-1</f>
        <v>0.90155440414507781</v>
      </c>
      <c r="M15" s="154">
        <v>222.28</v>
      </c>
      <c r="N15" s="154">
        <v>910.31</v>
      </c>
      <c r="Q15" s="5">
        <v>4024.59</v>
      </c>
      <c r="T15" s="133">
        <f>N15-M15</f>
        <v>688.03</v>
      </c>
      <c r="U15" s="4">
        <f>IF(M15=0,0,N15/M15-1)</f>
        <v>3.0953302141443224</v>
      </c>
      <c r="AA15">
        <v>7700.7</v>
      </c>
      <c r="AB15">
        <v>13956.24</v>
      </c>
      <c r="AC15" s="4">
        <f>AB15/AA15-1</f>
        <v>0.81233394366745881</v>
      </c>
    </row>
    <row r="16" spans="1:29" ht="13.9" customHeight="1">
      <c r="A16" t="s">
        <v>617</v>
      </c>
      <c r="B16" t="s">
        <v>618</v>
      </c>
      <c r="C16" s="19">
        <v>605</v>
      </c>
      <c r="E16" t="s">
        <v>618</v>
      </c>
      <c r="F16" s="19">
        <v>903</v>
      </c>
      <c r="G16" t="b">
        <f>IF(B16=E16,TRUE,FALSE)</f>
        <v>1</v>
      </c>
      <c r="J16">
        <f>F16-C16</f>
        <v>298</v>
      </c>
      <c r="K16" s="4">
        <f>F16/C16-1</f>
        <v>0.49256198347107438</v>
      </c>
      <c r="M16" s="5">
        <v>621.30999999999995</v>
      </c>
      <c r="N16" s="5">
        <v>1157.74</v>
      </c>
      <c r="Q16" s="5">
        <v>8703.19</v>
      </c>
      <c r="T16" s="133">
        <f>N16-M16</f>
        <v>536.43000000000006</v>
      </c>
      <c r="U16" s="4">
        <f>IF(M16=0,0,N16/M16-1)</f>
        <v>0.86338542756434</v>
      </c>
      <c r="W16" t="s">
        <v>619</v>
      </c>
      <c r="Z16" s="14" t="s">
        <v>620</v>
      </c>
      <c r="AA16" s="18">
        <v>18119.75</v>
      </c>
      <c r="AB16" s="18">
        <v>26475.8</v>
      </c>
      <c r="AC16" s="4">
        <f>AB16/AA16-1</f>
        <v>0.46115702479338849</v>
      </c>
    </row>
    <row r="17" spans="1:29" ht="13.9" customHeight="1">
      <c r="A17" t="s">
        <v>621</v>
      </c>
      <c r="B17" t="s">
        <v>622</v>
      </c>
      <c r="C17" s="19">
        <v>2801</v>
      </c>
      <c r="E17" t="s">
        <v>622</v>
      </c>
      <c r="F17" s="19">
        <v>3077</v>
      </c>
      <c r="G17" t="b">
        <f>IF(B17=E17,TRUE,FALSE)</f>
        <v>1</v>
      </c>
      <c r="J17">
        <f>F17-C17</f>
        <v>276</v>
      </c>
      <c r="K17" s="4">
        <f>F17/C17-1</f>
        <v>9.8536237058193477E-2</v>
      </c>
      <c r="M17" s="5">
        <v>4811.72</v>
      </c>
      <c r="N17" s="5">
        <v>4876.7700000000004</v>
      </c>
      <c r="Q17" s="5">
        <v>23731.01</v>
      </c>
      <c r="T17" s="133">
        <f>N17-M17</f>
        <v>65.050000000000182</v>
      </c>
      <c r="U17" s="4">
        <f>IF(M17=0,0,N17/M17-1)</f>
        <v>1.3519074260347708E-2</v>
      </c>
      <c r="AA17" s="18">
        <v>70725.81</v>
      </c>
      <c r="AB17" s="18">
        <v>79915.350000000006</v>
      </c>
      <c r="AC17" s="4">
        <f>AB17/AA17-1</f>
        <v>0.12993191594412301</v>
      </c>
    </row>
    <row r="18" spans="1:29" ht="13.9" customHeight="1">
      <c r="A18" t="s">
        <v>623</v>
      </c>
      <c r="B18" s="28" t="s">
        <v>624</v>
      </c>
      <c r="C18" s="19">
        <v>1391</v>
      </c>
      <c r="E18" s="28" t="s">
        <v>624</v>
      </c>
      <c r="F18" s="19">
        <v>1644</v>
      </c>
      <c r="G18" t="b">
        <f>IF(B18=E18,TRUE,FALSE)</f>
        <v>1</v>
      </c>
      <c r="J18">
        <f>F18-C18</f>
        <v>253</v>
      </c>
      <c r="K18" s="4">
        <f>F18/C18-1</f>
        <v>0.18188353702372395</v>
      </c>
      <c r="M18" s="5">
        <v>0</v>
      </c>
      <c r="N18" s="5">
        <v>0</v>
      </c>
      <c r="Q18" s="5">
        <v>0</v>
      </c>
      <c r="T18" s="133">
        <f>N18-M18</f>
        <v>0</v>
      </c>
      <c r="U18" s="4">
        <f>IF(M18=0,0,N18/M18-1)</f>
        <v>0</v>
      </c>
      <c r="AA18" s="18">
        <v>25842.33</v>
      </c>
      <c r="AB18" s="18">
        <v>34162.839999999997</v>
      </c>
      <c r="AC18" s="4">
        <f>AB18/AA18-1</f>
        <v>0.3219721286741557</v>
      </c>
    </row>
    <row r="19" spans="1:29" ht="13.9" customHeight="1">
      <c r="A19" s="58" t="s">
        <v>625</v>
      </c>
      <c r="B19" s="38" t="s">
        <v>626</v>
      </c>
      <c r="C19" s="19">
        <v>782</v>
      </c>
      <c r="E19" s="38" t="s">
        <v>626</v>
      </c>
      <c r="F19" s="19">
        <v>1029</v>
      </c>
      <c r="G19" t="b">
        <f>IF(B19=E19,TRUE,FALSE)</f>
        <v>1</v>
      </c>
      <c r="J19">
        <f>F19-C19</f>
        <v>247</v>
      </c>
      <c r="K19" s="4">
        <f>F19/C20-1</f>
        <v>-9.419014084507038E-2</v>
      </c>
      <c r="M19" s="5">
        <v>2201.29</v>
      </c>
      <c r="N19" s="5">
        <v>2528.61</v>
      </c>
      <c r="Q19" s="5">
        <v>8852.26</v>
      </c>
      <c r="T19" s="133">
        <f>N19-M19</f>
        <v>327.32000000000016</v>
      </c>
      <c r="U19" s="4">
        <f>IF(M19=0,0,N19/M19-1)</f>
        <v>0.14869462905841591</v>
      </c>
      <c r="AA19" s="18">
        <v>15592.2</v>
      </c>
      <c r="AB19" s="18">
        <v>20509.740000000002</v>
      </c>
      <c r="AC19" s="4">
        <f>AB19/AA19-1</f>
        <v>0.31538461538461537</v>
      </c>
    </row>
    <row r="20" spans="1:29" ht="13.9" customHeight="1">
      <c r="A20" s="57" t="s">
        <v>627</v>
      </c>
      <c r="B20" s="38" t="s">
        <v>628</v>
      </c>
      <c r="C20" s="19">
        <v>1136</v>
      </c>
      <c r="E20" s="38" t="s">
        <v>628</v>
      </c>
      <c r="F20" s="19">
        <v>1352</v>
      </c>
      <c r="G20" t="b">
        <f>IF(B20=E20,TRUE,FALSE)</f>
        <v>1</v>
      </c>
      <c r="J20">
        <f>F20-C20</f>
        <v>216</v>
      </c>
      <c r="K20" s="4">
        <f>F20/C21-1</f>
        <v>0.50222222222222213</v>
      </c>
      <c r="M20" s="5">
        <v>2203.0500000000002</v>
      </c>
      <c r="N20" s="5">
        <v>2202.42</v>
      </c>
      <c r="Q20" s="5">
        <v>10589.23</v>
      </c>
      <c r="T20" s="133">
        <f>N20-M20</f>
        <v>-0.63000000000010914</v>
      </c>
      <c r="U20" s="4">
        <f>IF(M20=0,0,N20/M20-1)</f>
        <v>-2.8596718186157943E-4</v>
      </c>
      <c r="AA20" s="18">
        <v>18652.68</v>
      </c>
      <c r="AB20" s="18">
        <v>27660.48</v>
      </c>
      <c r="AC20" s="4">
        <f>AB20/AA20-1</f>
        <v>0.48292256126197408</v>
      </c>
    </row>
    <row r="21" spans="1:29" ht="13.9" customHeight="1">
      <c r="A21" s="5" t="s">
        <v>629</v>
      </c>
      <c r="B21" s="28" t="s">
        <v>630</v>
      </c>
      <c r="C21" s="19">
        <v>900</v>
      </c>
      <c r="D21" s="5"/>
      <c r="E21" s="28" t="s">
        <v>630</v>
      </c>
      <c r="F21" s="19">
        <v>1114</v>
      </c>
      <c r="G21" t="b">
        <f>IF(B21=E21,TRUE,FALSE)</f>
        <v>1</v>
      </c>
      <c r="H21" s="5"/>
      <c r="I21" s="5"/>
      <c r="J21">
        <f>F21-C21</f>
        <v>214</v>
      </c>
      <c r="K21" s="4">
        <f>F21/C21-1</f>
        <v>0.23777777777777787</v>
      </c>
      <c r="L21" s="5"/>
      <c r="M21" s="5">
        <v>1352.66</v>
      </c>
      <c r="N21" s="5">
        <v>1182.77</v>
      </c>
      <c r="O21" s="5"/>
      <c r="P21" s="5"/>
      <c r="Q21" s="5">
        <v>5096.1499999999996</v>
      </c>
      <c r="R21" s="5"/>
      <c r="S21" s="5"/>
      <c r="T21" s="133">
        <f>N21-M21</f>
        <v>-169.8900000000001</v>
      </c>
      <c r="U21" s="5">
        <f>IF(M21=0,0,N21/M21-1)</f>
        <v>-0.12559697189241947</v>
      </c>
      <c r="V21" s="5"/>
      <c r="W21" s="5"/>
      <c r="X21" s="5"/>
      <c r="Y21" s="5"/>
      <c r="Z21" s="15"/>
      <c r="AA21" s="18">
        <v>12591</v>
      </c>
      <c r="AB21" s="18">
        <v>15542.89</v>
      </c>
      <c r="AC21" s="4">
        <f>AB21/AA21-1</f>
        <v>0.23444444444444446</v>
      </c>
    </row>
    <row r="22" spans="1:29" ht="13.9" customHeight="1">
      <c r="A22" s="153" t="s">
        <v>631</v>
      </c>
      <c r="B22" s="38" t="s">
        <v>632</v>
      </c>
      <c r="C22">
        <v>2070</v>
      </c>
      <c r="E22" s="38" t="s">
        <v>632</v>
      </c>
      <c r="F22">
        <v>2258</v>
      </c>
      <c r="G22" t="b">
        <f>IF(B22=E22,TRUE,FALSE)</f>
        <v>1</v>
      </c>
      <c r="J22">
        <f>F22-C22</f>
        <v>188</v>
      </c>
      <c r="K22" s="4">
        <f>F22/C22-1</f>
        <v>9.0821256038647435E-2</v>
      </c>
      <c r="M22" s="154">
        <v>3286.61</v>
      </c>
      <c r="N22" s="154">
        <v>4491.26</v>
      </c>
      <c r="Q22" s="5">
        <v>34233.1</v>
      </c>
      <c r="T22" s="133">
        <f>N22-M22</f>
        <v>1204.6500000000001</v>
      </c>
      <c r="U22" s="4">
        <f>IF(M22=0,0,N22/M22-1)</f>
        <v>0.36653268869747246</v>
      </c>
      <c r="AA22">
        <v>57759.33</v>
      </c>
      <c r="AB22">
        <v>69557.42</v>
      </c>
      <c r="AC22" s="4">
        <f>AB22/AA22-1</f>
        <v>0.20426293033523746</v>
      </c>
    </row>
    <row r="23" spans="1:29" ht="13.9" customHeight="1">
      <c r="A23" t="s">
        <v>633</v>
      </c>
      <c r="B23" t="s">
        <v>634</v>
      </c>
      <c r="C23" s="19">
        <v>3107</v>
      </c>
      <c r="E23" t="s">
        <v>634</v>
      </c>
      <c r="F23" s="19">
        <v>3286</v>
      </c>
      <c r="G23" t="b">
        <f>IF(B23=E23,TRUE,FALSE)</f>
        <v>1</v>
      </c>
      <c r="J23">
        <f>F23-C23</f>
        <v>179</v>
      </c>
      <c r="K23" s="4">
        <f>F23/C23-1</f>
        <v>5.7611844222722919E-2</v>
      </c>
      <c r="M23" s="5">
        <v>4967.6400000000003</v>
      </c>
      <c r="N23" s="5">
        <v>3487.59</v>
      </c>
      <c r="Q23" s="5">
        <v>18883.78</v>
      </c>
      <c r="T23" s="133">
        <f>N23-M23</f>
        <v>-1480.0500000000002</v>
      </c>
      <c r="U23" s="4">
        <f>IF(M23=0,0,N23/M23-1)</f>
        <v>-0.29793825639539095</v>
      </c>
      <c r="W23" t="s">
        <v>635</v>
      </c>
      <c r="AA23" s="18">
        <v>55138.15</v>
      </c>
      <c r="AB23" s="18">
        <v>58212.74</v>
      </c>
      <c r="AC23" s="4">
        <f>AB23/AA23-1</f>
        <v>5.5761573429648825E-2</v>
      </c>
    </row>
    <row r="24" spans="1:29" ht="13.9" customHeight="1">
      <c r="A24" t="s">
        <v>636</v>
      </c>
      <c r="B24" t="s">
        <v>637</v>
      </c>
      <c r="C24" s="19">
        <v>893</v>
      </c>
      <c r="E24" t="s">
        <v>637</v>
      </c>
      <c r="F24" s="19">
        <v>1068</v>
      </c>
      <c r="G24" t="b">
        <f>IF(B24=E24,TRUE,FALSE)</f>
        <v>1</v>
      </c>
      <c r="J24">
        <f>F24-C24</f>
        <v>175</v>
      </c>
      <c r="K24" s="4">
        <f>F24/C24-1</f>
        <v>0.19596864501679723</v>
      </c>
      <c r="M24" s="5">
        <v>914.8</v>
      </c>
      <c r="N24" s="5">
        <v>778.96</v>
      </c>
      <c r="Q24" s="5">
        <v>4877.22</v>
      </c>
      <c r="T24" s="133">
        <f>N24-M24</f>
        <v>-135.83999999999992</v>
      </c>
      <c r="U24" s="4">
        <f>IF(M24=0,0,N24/M24-1)</f>
        <v>-0.14849147354613024</v>
      </c>
      <c r="AA24" s="18">
        <v>17795.400000000001</v>
      </c>
      <c r="AB24" s="18">
        <v>21306.6</v>
      </c>
      <c r="AC24" s="4">
        <f>AB24/AA24-1</f>
        <v>0.19730941704035865</v>
      </c>
    </row>
    <row r="25" spans="1:29" ht="13.9" customHeight="1">
      <c r="A25" t="s">
        <v>638</v>
      </c>
      <c r="B25" t="s">
        <v>639</v>
      </c>
      <c r="C25" s="19">
        <v>894</v>
      </c>
      <c r="E25" t="s">
        <v>639</v>
      </c>
      <c r="F25" s="19">
        <v>1059</v>
      </c>
      <c r="G25" t="b">
        <f>IF(B25=E25,TRUE,FALSE)</f>
        <v>1</v>
      </c>
      <c r="J25">
        <f>F25-C25</f>
        <v>165</v>
      </c>
      <c r="K25" s="4">
        <f>F25/C25-1</f>
        <v>0.18456375838926165</v>
      </c>
      <c r="M25" s="5">
        <v>2219.62</v>
      </c>
      <c r="N25" s="5">
        <v>2280.08</v>
      </c>
      <c r="Q25" s="5">
        <v>14004.91</v>
      </c>
      <c r="T25" s="133">
        <f>N25-M25</f>
        <v>60.460000000000036</v>
      </c>
      <c r="U25" s="4">
        <f>IF(M25=0,0,N25/M25-1)</f>
        <v>2.7238896748092101E-2</v>
      </c>
      <c r="Y25" t="s">
        <v>640</v>
      </c>
      <c r="AA25" s="18">
        <v>26775.3</v>
      </c>
      <c r="AB25" s="18">
        <v>31717.05</v>
      </c>
      <c r="AC25" s="4">
        <f>AB25/AA25-1</f>
        <v>0.18456375838926165</v>
      </c>
    </row>
    <row r="26" spans="1:29" ht="13.9" customHeight="1">
      <c r="A26" s="28" t="s">
        <v>641</v>
      </c>
      <c r="B26" s="38" t="s">
        <v>642</v>
      </c>
      <c r="C26" s="19">
        <v>1345</v>
      </c>
      <c r="E26" s="38" t="s">
        <v>642</v>
      </c>
      <c r="F26" s="19">
        <v>1508</v>
      </c>
      <c r="G26" t="b">
        <f>IF(B26=E26,TRUE,FALSE)</f>
        <v>1</v>
      </c>
      <c r="J26">
        <f>F26-C26</f>
        <v>163</v>
      </c>
      <c r="K26" s="4">
        <f>F26/C26-1</f>
        <v>0.12118959107806693</v>
      </c>
      <c r="M26" s="5">
        <v>2772.62</v>
      </c>
      <c r="N26" s="5">
        <v>2802.07</v>
      </c>
      <c r="Q26" s="5">
        <v>22951.35</v>
      </c>
      <c r="T26" s="133">
        <f>N26-M26</f>
        <v>29.450000000000273</v>
      </c>
      <c r="U26" s="4">
        <f>IF(M26=0,0,N26/M26-1)</f>
        <v>1.0621722414178691E-2</v>
      </c>
      <c r="AA26" s="18">
        <v>40336.550000000003</v>
      </c>
      <c r="AB26" s="18">
        <v>45194.93</v>
      </c>
      <c r="AC26" s="4">
        <f>AB26/AA26-1</f>
        <v>0.12044609665427508</v>
      </c>
    </row>
    <row r="27" spans="1:29" ht="13.9" customHeight="1">
      <c r="A27" t="s">
        <v>643</v>
      </c>
      <c r="B27" t="s">
        <v>644</v>
      </c>
      <c r="C27" s="19">
        <v>1327</v>
      </c>
      <c r="D27" s="5"/>
      <c r="E27" t="s">
        <v>644</v>
      </c>
      <c r="F27" s="19">
        <v>1488</v>
      </c>
      <c r="G27" t="b">
        <f>IF(B27=E27,TRUE,FALSE)</f>
        <v>1</v>
      </c>
      <c r="H27" s="5"/>
      <c r="I27" s="5"/>
      <c r="J27">
        <f>F27-C27</f>
        <v>161</v>
      </c>
      <c r="K27" s="4">
        <f>F27/C27-1</f>
        <v>0.12132629992464206</v>
      </c>
      <c r="L27" s="5"/>
      <c r="M27" s="5">
        <v>2207.42</v>
      </c>
      <c r="N27" s="5">
        <v>1362.93</v>
      </c>
      <c r="O27" s="5"/>
      <c r="P27" s="5"/>
      <c r="Q27" s="5">
        <v>7336.02</v>
      </c>
      <c r="R27" s="5"/>
      <c r="S27" s="5"/>
      <c r="T27" s="133">
        <f>N27-M27</f>
        <v>-844.49</v>
      </c>
      <c r="U27" s="4">
        <f>IF(M27=0,0,N27/M27-1)</f>
        <v>-0.38256879071495231</v>
      </c>
      <c r="V27" s="5"/>
      <c r="W27" s="5"/>
      <c r="X27" s="5"/>
      <c r="Y27" s="5"/>
      <c r="Z27" s="15"/>
      <c r="AA27" s="18">
        <v>33136.74</v>
      </c>
      <c r="AB27" s="18">
        <v>36092.620000000003</v>
      </c>
      <c r="AC27" s="4">
        <f>AB27/AA27-1</f>
        <v>8.9202498495627669E-2</v>
      </c>
    </row>
    <row r="28" spans="1:29" ht="13.9" customHeight="1">
      <c r="A28" t="s">
        <v>645</v>
      </c>
      <c r="B28" s="5" t="s">
        <v>646</v>
      </c>
      <c r="C28" s="19">
        <v>1318</v>
      </c>
      <c r="E28" t="s">
        <v>646</v>
      </c>
      <c r="F28" s="19">
        <v>1465</v>
      </c>
      <c r="G28" t="b">
        <f>IF(B28=E28,TRUE,FALSE)</f>
        <v>1</v>
      </c>
      <c r="J28">
        <f>F28-C28</f>
        <v>147</v>
      </c>
      <c r="K28" s="4">
        <f>F28/C28-1</f>
        <v>0.11153262518968132</v>
      </c>
      <c r="M28" s="5">
        <v>2732.16</v>
      </c>
      <c r="N28" s="5">
        <v>2615.4699999999998</v>
      </c>
      <c r="Q28" s="5">
        <v>10857.71</v>
      </c>
      <c r="T28" s="133">
        <f>N28-M28</f>
        <v>-116.69000000000005</v>
      </c>
      <c r="U28" s="4">
        <f>IF(M28=0,0,N28/M28-1)</f>
        <v>-4.2709797376434766E-2</v>
      </c>
      <c r="AA28" s="18">
        <v>28908.15</v>
      </c>
      <c r="AB28" s="18">
        <v>32112.85</v>
      </c>
      <c r="AC28" s="4">
        <f>AB28/AA28-1</f>
        <v>0.11085801063022016</v>
      </c>
    </row>
    <row r="29" spans="1:29" ht="13.9" customHeight="1">
      <c r="A29" t="s">
        <v>647</v>
      </c>
      <c r="B29" t="s">
        <v>648</v>
      </c>
      <c r="C29" s="19">
        <v>871</v>
      </c>
      <c r="E29" t="s">
        <v>648</v>
      </c>
      <c r="F29" s="19">
        <v>1000</v>
      </c>
      <c r="G29" t="b">
        <f>IF(B29=E29,TRUE,FALSE)</f>
        <v>1</v>
      </c>
      <c r="J29">
        <f>F29-C29</f>
        <v>129</v>
      </c>
      <c r="K29" s="4">
        <f>F29/C29-1</f>
        <v>0.14810562571756591</v>
      </c>
      <c r="M29" s="5">
        <v>1185.95</v>
      </c>
      <c r="N29" s="5">
        <v>1115.1300000000001</v>
      </c>
      <c r="Q29" s="5">
        <v>7622.64</v>
      </c>
      <c r="T29" s="133">
        <f>N29-M29</f>
        <v>-70.819999999999936</v>
      </c>
      <c r="U29" s="4">
        <f>IF(M29=0,0,N29/M29-1)</f>
        <v>-5.9715839622243694E-2</v>
      </c>
      <c r="AA29" s="18">
        <v>21706.5</v>
      </c>
      <c r="AB29" s="18">
        <v>24950</v>
      </c>
      <c r="AC29" s="4">
        <f>AB29/AA29-1</f>
        <v>0.14942528735632177</v>
      </c>
    </row>
    <row r="30" spans="1:29" ht="13.9" customHeight="1">
      <c r="A30" t="s">
        <v>649</v>
      </c>
      <c r="B30" t="s">
        <v>650</v>
      </c>
      <c r="C30" s="19">
        <v>2082</v>
      </c>
      <c r="E30" t="s">
        <v>650</v>
      </c>
      <c r="F30" s="19">
        <v>2211</v>
      </c>
      <c r="G30" t="b">
        <f>IF(B30=E30,TRUE,FALSE)</f>
        <v>1</v>
      </c>
      <c r="J30">
        <f>F30-C30</f>
        <v>129</v>
      </c>
      <c r="K30" s="4">
        <f>F30/C30-1</f>
        <v>6.1959654178674439E-2</v>
      </c>
      <c r="M30" s="5">
        <v>2687.91</v>
      </c>
      <c r="N30" s="5">
        <v>1688.69</v>
      </c>
      <c r="Q30" s="5">
        <v>10926.53</v>
      </c>
      <c r="T30" s="133">
        <f>N30-M30</f>
        <v>-999.2199999999998</v>
      </c>
      <c r="U30" s="4">
        <f>IF(M30=0,0,N30/M30-1)</f>
        <v>-0.37174607780766467</v>
      </c>
      <c r="AA30" s="18">
        <v>62469.17</v>
      </c>
      <c r="AB30" s="18">
        <v>66307.89</v>
      </c>
      <c r="AC30" s="4">
        <f>AB30/AA30-1</f>
        <v>6.144983197311582E-2</v>
      </c>
    </row>
    <row r="31" spans="1:29" ht="13.9" customHeight="1">
      <c r="A31" t="s">
        <v>651</v>
      </c>
      <c r="B31" t="s">
        <v>652</v>
      </c>
      <c r="C31" s="19">
        <v>1093</v>
      </c>
      <c r="E31" t="s">
        <v>652</v>
      </c>
      <c r="F31" s="19">
        <v>1222</v>
      </c>
      <c r="G31" t="b">
        <f>IF(B31=E31,TRUE,FALSE)</f>
        <v>1</v>
      </c>
      <c r="J31">
        <f>F31-C31</f>
        <v>129</v>
      </c>
      <c r="K31" s="4">
        <f>F31/C31-1</f>
        <v>0.11802378774016464</v>
      </c>
      <c r="M31" s="5">
        <v>1148.51</v>
      </c>
      <c r="N31" s="5">
        <v>781.96</v>
      </c>
      <c r="Q31" s="5">
        <v>6702.04</v>
      </c>
      <c r="T31" s="133">
        <f>N31-M31</f>
        <v>-366.54999999999995</v>
      </c>
      <c r="U31" s="4">
        <f>IF(M31=0,0,N31/M31-1)</f>
        <v>-0.31915264124822595</v>
      </c>
      <c r="AA31" s="18">
        <v>30708.77</v>
      </c>
      <c r="AB31" s="18">
        <v>33796.080000000002</v>
      </c>
      <c r="AC31" s="4">
        <f>AB31/AA31-1</f>
        <v>0.1005351240052923</v>
      </c>
    </row>
    <row r="32" spans="1:29" ht="13.9" customHeight="1">
      <c r="A32" t="s">
        <v>653</v>
      </c>
      <c r="B32" t="s">
        <v>654</v>
      </c>
      <c r="C32" s="19">
        <v>492</v>
      </c>
      <c r="E32" t="s">
        <v>654</v>
      </c>
      <c r="F32" s="19">
        <v>606</v>
      </c>
      <c r="G32" t="b">
        <f>IF(B32=E32,TRUE,FALSE)</f>
        <v>1</v>
      </c>
      <c r="J32">
        <f>F32-C32</f>
        <v>114</v>
      </c>
      <c r="K32" s="4">
        <f>F32/C32-1</f>
        <v>0.23170731707317072</v>
      </c>
      <c r="M32" s="5">
        <v>555.45000000000005</v>
      </c>
      <c r="N32" s="5">
        <v>328.77</v>
      </c>
      <c r="Q32" s="5">
        <v>883.19</v>
      </c>
      <c r="T32" s="133">
        <f>N32-M32</f>
        <v>-226.68000000000006</v>
      </c>
      <c r="U32" s="4">
        <f>IF(M32=0,0,N32/M32-1)</f>
        <v>-0.40810153929246562</v>
      </c>
      <c r="AA32" s="18">
        <v>6883.08</v>
      </c>
      <c r="AB32" s="18">
        <v>8477.9399999999987</v>
      </c>
      <c r="AC32" s="4">
        <f>AB32/AA32-1</f>
        <v>0.23170731707317049</v>
      </c>
    </row>
    <row r="33" spans="1:29">
      <c r="A33" t="s">
        <v>655</v>
      </c>
      <c r="B33" t="s">
        <v>656</v>
      </c>
      <c r="C33" s="19">
        <v>1236</v>
      </c>
      <c r="E33" t="s">
        <v>656</v>
      </c>
      <c r="F33" s="19">
        <v>1340</v>
      </c>
      <c r="G33" t="b">
        <f>IF(B33=E33,TRUE,FALSE)</f>
        <v>1</v>
      </c>
      <c r="J33">
        <f>F33-C33</f>
        <v>104</v>
      </c>
      <c r="K33" s="4">
        <f>F33/C33-1</f>
        <v>8.4142394822006583E-2</v>
      </c>
      <c r="M33" s="5">
        <v>331.66</v>
      </c>
      <c r="N33" s="5">
        <v>139.34</v>
      </c>
      <c r="Q33" s="5">
        <v>959.06</v>
      </c>
      <c r="T33" s="133">
        <f>N33-M33</f>
        <v>-192.32000000000002</v>
      </c>
      <c r="U33" s="4">
        <f>IF(M33=0,0,N33/M33-1)</f>
        <v>-0.57987095217994333</v>
      </c>
      <c r="AA33" s="18">
        <v>24707.64</v>
      </c>
      <c r="AB33" s="18">
        <v>26786.600000000002</v>
      </c>
      <c r="AC33" s="4">
        <f>AB33/AA33-1</f>
        <v>8.4142394822006583E-2</v>
      </c>
    </row>
    <row r="34" spans="1:29">
      <c r="A34" t="s">
        <v>657</v>
      </c>
      <c r="B34" t="s">
        <v>658</v>
      </c>
      <c r="C34" s="19">
        <v>1129</v>
      </c>
      <c r="E34" t="s">
        <v>658</v>
      </c>
      <c r="F34" s="19">
        <v>1231</v>
      </c>
      <c r="G34" t="b">
        <f>IF(B34=E34,TRUE,FALSE)</f>
        <v>1</v>
      </c>
      <c r="J34">
        <f>F34-C34</f>
        <v>102</v>
      </c>
      <c r="K34" s="4">
        <f>F34/C34-1</f>
        <v>9.0345438441098214E-2</v>
      </c>
      <c r="M34" s="5">
        <v>771.36</v>
      </c>
      <c r="N34" s="5">
        <v>845.85</v>
      </c>
      <c r="Q34" s="5">
        <v>5192.17</v>
      </c>
      <c r="T34" s="133">
        <f>N34-M34</f>
        <v>74.490000000000009</v>
      </c>
      <c r="U34" s="4">
        <f>IF(M34=0,0,N34/M34-1)</f>
        <v>9.6569695084007368E-2</v>
      </c>
      <c r="AA34" s="18">
        <v>22523.55</v>
      </c>
      <c r="AB34" s="18">
        <v>24558.45</v>
      </c>
      <c r="AC34" s="4">
        <f>AB34/AA34-1</f>
        <v>9.0345438441098436E-2</v>
      </c>
    </row>
    <row r="35" spans="1:29">
      <c r="A35" t="s">
        <v>659</v>
      </c>
      <c r="B35" t="s">
        <v>660</v>
      </c>
      <c r="C35" s="19">
        <v>455</v>
      </c>
      <c r="E35" t="s">
        <v>660</v>
      </c>
      <c r="F35" s="19">
        <v>547</v>
      </c>
      <c r="G35" t="b">
        <f>IF(B35=E35,TRUE,FALSE)</f>
        <v>1</v>
      </c>
      <c r="J35">
        <f>F35-C35</f>
        <v>92</v>
      </c>
      <c r="K35" s="4">
        <f>F35/C35-1</f>
        <v>0.20219780219780215</v>
      </c>
      <c r="M35" s="5">
        <v>742.58</v>
      </c>
      <c r="N35" s="5">
        <v>742.49</v>
      </c>
      <c r="Q35" s="5">
        <v>2313.98</v>
      </c>
      <c r="T35" s="133">
        <f>N35-M35</f>
        <v>-9.0000000000031832E-2</v>
      </c>
      <c r="U35" s="4">
        <f>IF(M35=0,0,N35/M35-1)</f>
        <v>-1.211990627273396E-4</v>
      </c>
      <c r="AA35" s="18">
        <v>8622.25</v>
      </c>
      <c r="AB35" s="18">
        <v>10365.65</v>
      </c>
      <c r="AC35" s="4">
        <f>AB35/AA35-1</f>
        <v>0.20219780219780215</v>
      </c>
    </row>
    <row r="36" spans="1:29">
      <c r="A36" t="s">
        <v>661</v>
      </c>
      <c r="B36" t="s">
        <v>662</v>
      </c>
      <c r="C36" s="19">
        <v>2359</v>
      </c>
      <c r="E36" t="s">
        <v>662</v>
      </c>
      <c r="F36" s="19">
        <v>2445</v>
      </c>
      <c r="G36" t="b">
        <f>IF(B36=E36,TRUE,FALSE)</f>
        <v>1</v>
      </c>
      <c r="J36">
        <f>F36-C36</f>
        <v>86</v>
      </c>
      <c r="K36" s="4">
        <f>F36/C36-1</f>
        <v>3.6456125476896917E-2</v>
      </c>
      <c r="M36" s="5">
        <v>2303.3200000000002</v>
      </c>
      <c r="N36" s="5">
        <v>1895.88</v>
      </c>
      <c r="Q36" s="5">
        <v>14024.75</v>
      </c>
      <c r="T36" s="133">
        <f>N36-M36</f>
        <v>-407.44000000000005</v>
      </c>
      <c r="U36" s="4">
        <f>IF(M36=0,0,N36/M36-1)</f>
        <v>-0.17689248562943927</v>
      </c>
      <c r="AA36" s="18">
        <v>70801.8</v>
      </c>
      <c r="AB36" s="18">
        <v>73167.850000000006</v>
      </c>
      <c r="AC36" s="4">
        <f>AB36/AA36-1</f>
        <v>3.3417935702199753E-2</v>
      </c>
    </row>
    <row r="37" spans="1:29">
      <c r="A37" t="s">
        <v>663</v>
      </c>
      <c r="B37" t="s">
        <v>664</v>
      </c>
      <c r="C37" s="19">
        <v>1035</v>
      </c>
      <c r="E37" t="s">
        <v>664</v>
      </c>
      <c r="F37" s="19">
        <v>1120</v>
      </c>
      <c r="G37" t="b">
        <f>IF(B37=E37,TRUE,FALSE)</f>
        <v>1</v>
      </c>
      <c r="J37">
        <f>F37-C37</f>
        <v>85</v>
      </c>
      <c r="K37" s="4">
        <f>F37/C37-1</f>
        <v>8.212560386473422E-2</v>
      </c>
      <c r="M37" s="5">
        <v>876.7</v>
      </c>
      <c r="N37" s="5">
        <v>400.97</v>
      </c>
      <c r="Q37" s="5">
        <v>1957.43</v>
      </c>
      <c r="T37" s="133">
        <f>N37-M37</f>
        <v>-475.73</v>
      </c>
      <c r="U37" s="4">
        <f>IF(M37=0,0,N37/M37-1)</f>
        <v>-0.54263716208509183</v>
      </c>
      <c r="Y37" t="s">
        <v>665</v>
      </c>
      <c r="AA37" s="18">
        <v>19008.66</v>
      </c>
      <c r="AB37" s="18">
        <v>19937.29</v>
      </c>
      <c r="AC37" s="4">
        <f>AB37/AA37-1</f>
        <v>4.8852996476342891E-2</v>
      </c>
    </row>
    <row r="38" spans="1:29">
      <c r="A38" t="s">
        <v>666</v>
      </c>
      <c r="B38" t="s">
        <v>667</v>
      </c>
      <c r="C38" s="19">
        <v>864</v>
      </c>
      <c r="D38" s="5"/>
      <c r="E38" t="s">
        <v>667</v>
      </c>
      <c r="F38" s="19">
        <v>947</v>
      </c>
      <c r="G38" t="b">
        <f>IF(B38=E38,TRUE,FALSE)</f>
        <v>1</v>
      </c>
      <c r="H38" s="5"/>
      <c r="I38" s="5"/>
      <c r="J38">
        <f>F38-C38</f>
        <v>83</v>
      </c>
      <c r="K38" s="4">
        <f>F38/C38-1</f>
        <v>9.6064814814814881E-2</v>
      </c>
      <c r="L38" s="5"/>
      <c r="M38" s="5">
        <v>1023.49</v>
      </c>
      <c r="N38" s="5">
        <v>1106.72</v>
      </c>
      <c r="O38" s="5"/>
      <c r="P38" s="5"/>
      <c r="Q38" s="5">
        <v>6300.64</v>
      </c>
      <c r="R38" s="5"/>
      <c r="S38" s="5"/>
      <c r="T38" s="133">
        <f>N38-M38</f>
        <v>83.230000000000018</v>
      </c>
      <c r="U38" s="4">
        <f>IF(M38=0,0,N38/M38-1)</f>
        <v>8.1319797946242778E-2</v>
      </c>
      <c r="V38" s="5"/>
      <c r="W38" s="5"/>
      <c r="X38" s="5"/>
      <c r="Y38" s="5"/>
      <c r="Z38" s="15"/>
      <c r="AA38" s="18">
        <v>25876.799999999999</v>
      </c>
      <c r="AB38" s="18">
        <v>28392.6</v>
      </c>
      <c r="AC38" s="4">
        <f>AB38/AA38-1</f>
        <v>9.7222222222222099E-2</v>
      </c>
    </row>
    <row r="39" spans="1:29">
      <c r="A39" s="28" t="s">
        <v>668</v>
      </c>
      <c r="B39" s="28" t="s">
        <v>669</v>
      </c>
      <c r="C39" s="19">
        <v>1030</v>
      </c>
      <c r="E39" s="28" t="s">
        <v>669</v>
      </c>
      <c r="F39" s="19">
        <v>1111</v>
      </c>
      <c r="G39" t="b">
        <f>IF(B39=E39,TRUE,FALSE)</f>
        <v>1</v>
      </c>
      <c r="J39">
        <f>F39-C39</f>
        <v>81</v>
      </c>
      <c r="K39" s="4">
        <f>F39/C39-1</f>
        <v>7.8640776699029136E-2</v>
      </c>
      <c r="M39" s="5">
        <v>1674.29</v>
      </c>
      <c r="N39" s="5">
        <v>2090.19</v>
      </c>
      <c r="Q39" s="5">
        <v>7943.9</v>
      </c>
      <c r="T39" s="133">
        <f>N39-M39</f>
        <v>415.90000000000009</v>
      </c>
      <c r="U39" s="4">
        <f>IF(M39=0,0,N39/M39-1)</f>
        <v>0.24840380101416137</v>
      </c>
      <c r="AA39" s="18">
        <v>14395.71</v>
      </c>
      <c r="AB39" s="18">
        <v>15542.89</v>
      </c>
      <c r="AC39" s="4">
        <f>AB39/AA39-1</f>
        <v>7.9689018464528694E-2</v>
      </c>
    </row>
    <row r="40" spans="1:29">
      <c r="A40" t="s">
        <v>670</v>
      </c>
      <c r="B40" t="s">
        <v>671</v>
      </c>
      <c r="C40" s="19">
        <v>1035</v>
      </c>
      <c r="E40" t="s">
        <v>671</v>
      </c>
      <c r="F40" s="19">
        <v>1112</v>
      </c>
      <c r="G40" t="b">
        <f>IF(B40=E40,TRUE,FALSE)</f>
        <v>1</v>
      </c>
      <c r="J40">
        <f>F40-C40</f>
        <v>77</v>
      </c>
      <c r="K40" s="4">
        <f>F40/C40-1</f>
        <v>7.4396135265700547E-2</v>
      </c>
      <c r="M40" s="5">
        <v>1426.56</v>
      </c>
      <c r="N40" s="5">
        <v>1222.6099999999999</v>
      </c>
      <c r="Q40" s="5">
        <v>14435.74</v>
      </c>
      <c r="T40" s="133">
        <f>N40-M40</f>
        <v>-203.95000000000005</v>
      </c>
      <c r="U40" s="4">
        <f>IF(M40=0,0,N40/M40-1)</f>
        <v>-0.14296629654553616</v>
      </c>
      <c r="AA40" s="18">
        <v>25823.25</v>
      </c>
      <c r="AB40" s="18">
        <v>27744.400000000001</v>
      </c>
      <c r="AC40" s="4">
        <f>AB40/AA40-1</f>
        <v>7.4396135265700547E-2</v>
      </c>
    </row>
    <row r="41" spans="1:29">
      <c r="A41" t="s">
        <v>672</v>
      </c>
      <c r="B41" t="s">
        <v>673</v>
      </c>
      <c r="C41" s="19">
        <v>1450</v>
      </c>
      <c r="D41" s="5"/>
      <c r="E41" t="s">
        <v>673</v>
      </c>
      <c r="F41" s="19">
        <v>1515</v>
      </c>
      <c r="G41" t="b">
        <f>IF(B41=E41,TRUE,FALSE)</f>
        <v>1</v>
      </c>
      <c r="H41" s="5"/>
      <c r="I41" s="5"/>
      <c r="J41">
        <f>F41-C41</f>
        <v>65</v>
      </c>
      <c r="K41" s="4">
        <f>F41/C41-1</f>
        <v>4.482758620689653E-2</v>
      </c>
      <c r="L41" s="5"/>
      <c r="M41" s="5">
        <v>3758.44</v>
      </c>
      <c r="N41" s="5">
        <v>3340.26</v>
      </c>
      <c r="O41" s="5"/>
      <c r="P41" s="5"/>
      <c r="Q41" s="5">
        <v>21116.97</v>
      </c>
      <c r="R41" s="5"/>
      <c r="S41" s="5"/>
      <c r="T41" s="133">
        <f>N41-M41</f>
        <v>-418.17999999999984</v>
      </c>
      <c r="U41" s="4">
        <f>IF(M41=0,0,N41/M41-1)</f>
        <v>-0.11126424793265288</v>
      </c>
      <c r="V41" s="5"/>
      <c r="W41" s="5"/>
      <c r="X41" s="5"/>
      <c r="Y41" s="5"/>
      <c r="Z41" s="15"/>
      <c r="AA41" s="18">
        <v>34355.72</v>
      </c>
      <c r="AB41" s="18">
        <v>36223.11</v>
      </c>
      <c r="AC41" s="4">
        <f>AB41/AA41-1</f>
        <v>5.4354558716859902E-2</v>
      </c>
    </row>
    <row r="42" spans="1:29">
      <c r="A42" t="s">
        <v>674</v>
      </c>
      <c r="B42" t="s">
        <v>675</v>
      </c>
      <c r="C42" s="19">
        <v>2116</v>
      </c>
      <c r="E42" t="s">
        <v>675</v>
      </c>
      <c r="F42" s="19">
        <v>2178</v>
      </c>
      <c r="G42" t="b">
        <f>IF(B42=E42,TRUE,FALSE)</f>
        <v>1</v>
      </c>
      <c r="J42">
        <f>F42-C42</f>
        <v>62</v>
      </c>
      <c r="K42" s="4">
        <f>F42/C42-1</f>
        <v>2.9300567107750419E-2</v>
      </c>
      <c r="M42" s="5">
        <v>2344.62</v>
      </c>
      <c r="N42" s="5">
        <v>2342.52</v>
      </c>
      <c r="Q42" s="5">
        <v>14614.37</v>
      </c>
      <c r="T42" s="133">
        <f>N42-M42</f>
        <v>-2.0999999999999091</v>
      </c>
      <c r="U42" s="4">
        <f>IF(M42=0,0,N42/M42-1)</f>
        <v>-8.9566752821346185E-4</v>
      </c>
      <c r="AA42" s="18">
        <v>42298.68</v>
      </c>
      <c r="AB42" s="18">
        <v>43518.23</v>
      </c>
      <c r="AC42" s="4">
        <f>AB42/AA42-1</f>
        <v>2.8831868985036868E-2</v>
      </c>
    </row>
    <row r="43" spans="1:29">
      <c r="A43" t="s">
        <v>676</v>
      </c>
      <c r="B43" t="s">
        <v>677</v>
      </c>
      <c r="C43" s="19">
        <v>1061</v>
      </c>
      <c r="E43" t="s">
        <v>677</v>
      </c>
      <c r="F43" s="19">
        <v>1115</v>
      </c>
      <c r="G43" t="b">
        <f>IF(B43=E43,TRUE,FALSE)</f>
        <v>1</v>
      </c>
      <c r="J43">
        <f>F43-C43</f>
        <v>54</v>
      </c>
      <c r="K43" s="4">
        <f>F43/C43-1</f>
        <v>5.0895381715362786E-2</v>
      </c>
      <c r="M43" s="5">
        <v>1352.17</v>
      </c>
      <c r="N43" s="5">
        <v>1112.8399999999999</v>
      </c>
      <c r="Q43" s="5">
        <v>5916.34</v>
      </c>
      <c r="T43" s="133">
        <f>N43-M43</f>
        <v>-239.33000000000015</v>
      </c>
      <c r="U43" s="4">
        <f>IF(M43=0,0,N43/M43-1)</f>
        <v>-0.17699697523240432</v>
      </c>
      <c r="AA43" s="18">
        <v>18026.39</v>
      </c>
      <c r="AB43" s="18">
        <v>18926.86</v>
      </c>
      <c r="AC43" s="4">
        <f>AB43/AA43-1</f>
        <v>4.9952874646559842E-2</v>
      </c>
    </row>
    <row r="44" spans="1:29">
      <c r="A44" t="s">
        <v>678</v>
      </c>
      <c r="B44" t="s">
        <v>679</v>
      </c>
      <c r="C44" s="19">
        <v>2145</v>
      </c>
      <c r="D44" s="5"/>
      <c r="E44" t="s">
        <v>679</v>
      </c>
      <c r="F44" s="19">
        <v>2188</v>
      </c>
      <c r="G44" t="b">
        <f>IF(B44=E44,TRUE,FALSE)</f>
        <v>1</v>
      </c>
      <c r="H44" s="5"/>
      <c r="I44" s="5"/>
      <c r="J44">
        <f>F44-C44</f>
        <v>43</v>
      </c>
      <c r="K44" s="4">
        <f>F44/C44-1</f>
        <v>2.0046620046620056E-2</v>
      </c>
      <c r="L44" s="5"/>
      <c r="M44" s="5">
        <v>2797.39</v>
      </c>
      <c r="N44" s="5">
        <v>2188.62</v>
      </c>
      <c r="O44" s="5"/>
      <c r="P44" s="5"/>
      <c r="Q44" s="5">
        <v>12637.75</v>
      </c>
      <c r="R44" s="5"/>
      <c r="S44" s="5"/>
      <c r="T44" s="133">
        <f>N44-M44</f>
        <v>-608.77</v>
      </c>
      <c r="U44" s="4">
        <f>IF(M44=0,0,N44/M44-1)</f>
        <v>-0.21762071073393419</v>
      </c>
      <c r="V44" s="5"/>
      <c r="W44" s="5"/>
      <c r="X44" s="5"/>
      <c r="Y44" s="5"/>
      <c r="Z44" s="15"/>
      <c r="AA44" s="18">
        <v>47082.75</v>
      </c>
      <c r="AB44" s="18">
        <v>48026.6</v>
      </c>
      <c r="AC44" s="4">
        <f>AB44/AA44-1</f>
        <v>2.0046620046620056E-2</v>
      </c>
    </row>
    <row r="45" spans="1:29">
      <c r="A45" t="s">
        <v>680</v>
      </c>
      <c r="B45" t="s">
        <v>681</v>
      </c>
      <c r="C45" s="19">
        <v>363</v>
      </c>
      <c r="E45" t="s">
        <v>681</v>
      </c>
      <c r="F45" s="19">
        <v>405</v>
      </c>
      <c r="G45" t="b">
        <f>IF(B45=E45,TRUE,FALSE)</f>
        <v>1</v>
      </c>
      <c r="J45">
        <f>F45-C45</f>
        <v>42</v>
      </c>
      <c r="K45" s="4">
        <f>F45/C45-1</f>
        <v>0.11570247933884303</v>
      </c>
      <c r="M45" s="5">
        <v>0</v>
      </c>
      <c r="N45" s="5">
        <v>0</v>
      </c>
      <c r="Q45" s="5">
        <v>0</v>
      </c>
      <c r="T45" s="133">
        <f>N45-M45</f>
        <v>0</v>
      </c>
      <c r="U45" s="4">
        <f>IF(M45=0,0,N45/M45-1)</f>
        <v>0</v>
      </c>
      <c r="AA45" s="18">
        <v>11597.85</v>
      </c>
      <c r="AB45" s="18">
        <v>12939.75</v>
      </c>
      <c r="AC45" s="4">
        <f>AB45/AA45-1</f>
        <v>0.11570247933884303</v>
      </c>
    </row>
    <row r="46" spans="1:29">
      <c r="A46" t="s">
        <v>682</v>
      </c>
      <c r="B46" t="s">
        <v>683</v>
      </c>
      <c r="C46" s="19">
        <v>411</v>
      </c>
      <c r="E46" t="s">
        <v>683</v>
      </c>
      <c r="F46" s="19">
        <v>452</v>
      </c>
      <c r="G46" t="b">
        <f>IF(B46=E46,TRUE,FALSE)</f>
        <v>1</v>
      </c>
      <c r="J46">
        <f>F46-C46</f>
        <v>41</v>
      </c>
      <c r="K46" s="4">
        <f>F46/C46-1</f>
        <v>9.9756690997566899E-2</v>
      </c>
      <c r="M46" s="5">
        <v>404.29</v>
      </c>
      <c r="N46" s="5">
        <v>453.44</v>
      </c>
      <c r="Q46" s="5">
        <v>2209.9299999999998</v>
      </c>
      <c r="T46" s="133">
        <f>N46-M46</f>
        <v>49.149999999999977</v>
      </c>
      <c r="U46" s="4">
        <f>IF(M46=0,0,N46/M46-1)</f>
        <v>0.12157114942244429</v>
      </c>
      <c r="AA46" s="18">
        <v>12309.449999999999</v>
      </c>
      <c r="AB46" s="18">
        <v>13537.4</v>
      </c>
      <c r="AC46" s="4">
        <f>AB46/AA46-1</f>
        <v>9.9756690997566899E-2</v>
      </c>
    </row>
    <row r="47" spans="1:29">
      <c r="A47" t="s">
        <v>684</v>
      </c>
      <c r="B47" t="s">
        <v>685</v>
      </c>
      <c r="C47" s="19">
        <v>464</v>
      </c>
      <c r="E47" t="s">
        <v>685</v>
      </c>
      <c r="F47" s="19">
        <v>500</v>
      </c>
      <c r="G47" t="b">
        <f>IF(B47=E47,TRUE,FALSE)</f>
        <v>1</v>
      </c>
      <c r="J47">
        <f>F47-C47</f>
        <v>36</v>
      </c>
      <c r="K47" s="4">
        <f>F47/C47-1</f>
        <v>7.7586206896551824E-2</v>
      </c>
      <c r="M47" s="5">
        <v>427.66</v>
      </c>
      <c r="N47" s="5">
        <v>270.04000000000002</v>
      </c>
      <c r="Q47" s="5">
        <v>1876.11</v>
      </c>
      <c r="T47" s="133">
        <f>N47-M47</f>
        <v>-157.62</v>
      </c>
      <c r="U47" s="4">
        <f>IF(M47=0,0,N47/M47-1)</f>
        <v>-0.36856381237431601</v>
      </c>
      <c r="AA47" s="18">
        <v>12469.38</v>
      </c>
      <c r="AB47" s="18">
        <v>13493.960000000001</v>
      </c>
      <c r="AC47" s="4">
        <f>AB47/AA47-1</f>
        <v>8.2167677943891571E-2</v>
      </c>
    </row>
    <row r="48" spans="1:29">
      <c r="A48" s="5" t="s">
        <v>686</v>
      </c>
      <c r="B48" t="s">
        <v>687</v>
      </c>
      <c r="C48" s="19">
        <v>1108</v>
      </c>
      <c r="D48" s="5"/>
      <c r="E48" t="s">
        <v>687</v>
      </c>
      <c r="F48" s="19">
        <v>1140</v>
      </c>
      <c r="G48" t="b">
        <f>IF(B48=E48,TRUE,FALSE)</f>
        <v>1</v>
      </c>
      <c r="H48" s="5"/>
      <c r="I48" s="5"/>
      <c r="J48">
        <f>F48-C48</f>
        <v>32</v>
      </c>
      <c r="K48" s="4">
        <f>F48/C48-1</f>
        <v>2.8880866425992746E-2</v>
      </c>
      <c r="L48" s="5"/>
      <c r="M48" s="5">
        <v>2270.17</v>
      </c>
      <c r="N48" s="5">
        <v>1795.8</v>
      </c>
      <c r="O48" s="5"/>
      <c r="P48" s="5"/>
      <c r="Q48" s="5">
        <v>7611.44</v>
      </c>
      <c r="R48" s="5"/>
      <c r="S48" s="5"/>
      <c r="T48" s="133">
        <f>N48-M48</f>
        <v>-474.37000000000012</v>
      </c>
      <c r="U48" s="4">
        <f>IF(M48=0,0,N48/M48-1)</f>
        <v>-0.20895791945096631</v>
      </c>
      <c r="V48" s="5"/>
      <c r="W48" s="5"/>
      <c r="X48" s="5"/>
      <c r="Y48" s="5"/>
      <c r="Z48" s="15"/>
      <c r="AA48" s="18">
        <v>19200.32</v>
      </c>
      <c r="AB48" s="18">
        <v>19272.91</v>
      </c>
      <c r="AC48" s="4">
        <f>AB48/AA48-1</f>
        <v>3.7806661555641607E-3</v>
      </c>
    </row>
    <row r="49" spans="1:29">
      <c r="A49" t="s">
        <v>688</v>
      </c>
      <c r="B49" t="s">
        <v>689</v>
      </c>
      <c r="C49" s="19">
        <v>1654</v>
      </c>
      <c r="E49" t="s">
        <v>689</v>
      </c>
      <c r="F49" s="19">
        <v>1681</v>
      </c>
      <c r="G49" t="b">
        <f>IF(B49=E49,TRUE,FALSE)</f>
        <v>1</v>
      </c>
      <c r="J49">
        <f>F49-C49</f>
        <v>27</v>
      </c>
      <c r="K49" s="4">
        <f>F49/C49-1</f>
        <v>1.6324062877871803E-2</v>
      </c>
      <c r="M49" s="5">
        <v>3094.91</v>
      </c>
      <c r="N49" s="5">
        <v>2258.09</v>
      </c>
      <c r="Q49" s="5">
        <v>8503.3799999999992</v>
      </c>
      <c r="T49" s="133">
        <f>N49-M49</f>
        <v>-836.81999999999971</v>
      </c>
      <c r="U49" s="4">
        <f>IF(M49=0,0,N49/M49-1)</f>
        <v>-0.27038589167374816</v>
      </c>
      <c r="AA49" s="18">
        <v>41296.050000000003</v>
      </c>
      <c r="AB49" s="18">
        <v>42008.19</v>
      </c>
      <c r="AC49" s="4">
        <f>AB49/AA49-1</f>
        <v>1.724474858975622E-2</v>
      </c>
    </row>
    <row r="50" spans="1:29">
      <c r="A50" t="s">
        <v>690</v>
      </c>
      <c r="B50" t="s">
        <v>691</v>
      </c>
      <c r="C50" s="19">
        <v>1394</v>
      </c>
      <c r="E50" t="s">
        <v>691</v>
      </c>
      <c r="F50" s="19">
        <v>1414</v>
      </c>
      <c r="G50" t="b">
        <f>IF(B50=E50,TRUE,FALSE)</f>
        <v>1</v>
      </c>
      <c r="J50">
        <f>F50-C50</f>
        <v>20</v>
      </c>
      <c r="K50" s="4">
        <f>F50/C50-1</f>
        <v>1.4347202295552419E-2</v>
      </c>
      <c r="M50" s="5">
        <v>710.09</v>
      </c>
      <c r="N50" s="5">
        <v>489.3</v>
      </c>
      <c r="Q50" s="5">
        <v>2742.7</v>
      </c>
      <c r="T50" s="133">
        <f>N50-M50</f>
        <v>-220.79000000000002</v>
      </c>
      <c r="U50" s="4">
        <f>IF(M50=0,0,N50/M50-1)</f>
        <v>-0.31093241701756114</v>
      </c>
      <c r="AA50" s="18">
        <v>26453.07</v>
      </c>
      <c r="AB50" s="18">
        <v>26851.86</v>
      </c>
      <c r="AC50" s="4">
        <f>AB50/AA50-1</f>
        <v>1.5075376884422065E-2</v>
      </c>
    </row>
    <row r="51" spans="1:29">
      <c r="A51" t="s">
        <v>692</v>
      </c>
      <c r="B51" t="s">
        <v>693</v>
      </c>
      <c r="C51" s="19">
        <v>554</v>
      </c>
      <c r="E51" t="s">
        <v>693</v>
      </c>
      <c r="F51" s="19">
        <v>574</v>
      </c>
      <c r="G51" t="b">
        <f>IF(B51=E51,TRUE,FALSE)</f>
        <v>1</v>
      </c>
      <c r="J51">
        <f>F51-C51</f>
        <v>20</v>
      </c>
      <c r="K51" s="4">
        <f>F51/C51-1</f>
        <v>3.6101083032491044E-2</v>
      </c>
      <c r="M51" s="5">
        <v>330.98</v>
      </c>
      <c r="N51" s="5">
        <v>293</v>
      </c>
      <c r="Q51" s="5">
        <v>2705.92</v>
      </c>
      <c r="T51" s="133">
        <f>N51-M51</f>
        <v>-37.980000000000018</v>
      </c>
      <c r="U51" s="4">
        <f>IF(M51=0,0,N51/M51-1)</f>
        <v>-0.11475013595987682</v>
      </c>
      <c r="AA51" s="18">
        <v>16614.46</v>
      </c>
      <c r="AB51" s="18">
        <v>17214.259999999998</v>
      </c>
      <c r="AC51" s="4">
        <f>AB51/AA51-1</f>
        <v>3.6101083032491044E-2</v>
      </c>
    </row>
    <row r="52" spans="1:29">
      <c r="A52" t="s">
        <v>694</v>
      </c>
      <c r="B52" t="s">
        <v>695</v>
      </c>
      <c r="C52" s="19">
        <v>1570</v>
      </c>
      <c r="E52" t="s">
        <v>695</v>
      </c>
      <c r="F52" s="19">
        <v>1589</v>
      </c>
      <c r="G52" t="b">
        <f>IF(B52=E52,TRUE,FALSE)</f>
        <v>1</v>
      </c>
      <c r="J52">
        <f>F52-C52</f>
        <v>19</v>
      </c>
      <c r="K52" s="4">
        <f>F52/C52-1</f>
        <v>1.2101910828025586E-2</v>
      </c>
      <c r="M52" s="5">
        <v>3401.73</v>
      </c>
      <c r="N52" s="5">
        <v>3112.52</v>
      </c>
      <c r="Q52" s="5">
        <v>13952.87</v>
      </c>
      <c r="T52" s="133">
        <f>N52-M52</f>
        <v>-289.21000000000004</v>
      </c>
      <c r="U52" s="4">
        <f>IF(M52=0,0,N52/M52-1)</f>
        <v>-8.5018505289955471E-2</v>
      </c>
      <c r="W52" t="s">
        <v>696</v>
      </c>
      <c r="Y52" t="s">
        <v>697</v>
      </c>
      <c r="AA52" s="18">
        <v>37664.300000000003</v>
      </c>
      <c r="AB52" s="18">
        <v>38120.11</v>
      </c>
      <c r="AC52" s="4">
        <f>AB52/AA52-1</f>
        <v>1.2101910828025364E-2</v>
      </c>
    </row>
    <row r="53" spans="1:29">
      <c r="A53" s="28" t="s">
        <v>698</v>
      </c>
      <c r="B53" s="28" t="s">
        <v>699</v>
      </c>
      <c r="C53" s="19">
        <v>1338</v>
      </c>
      <c r="E53" s="28" t="s">
        <v>699</v>
      </c>
      <c r="F53" s="19">
        <v>1355</v>
      </c>
      <c r="G53" t="b">
        <f>IF(B53=E53,TRUE,FALSE)</f>
        <v>1</v>
      </c>
      <c r="J53">
        <f>F53-C53</f>
        <v>17</v>
      </c>
      <c r="K53" s="4">
        <f>F53/C53-1</f>
        <v>1.2705530642750373E-2</v>
      </c>
      <c r="M53" s="5">
        <v>2881.24</v>
      </c>
      <c r="N53" s="5">
        <v>2770.41</v>
      </c>
      <c r="Q53" s="5">
        <v>15793.52</v>
      </c>
      <c r="T53" s="133">
        <f>N53-M53</f>
        <v>-110.82999999999993</v>
      </c>
      <c r="U53" s="4">
        <f>IF(M53=0,0,N53/M53-1)</f>
        <v>-3.846607710569061E-2</v>
      </c>
      <c r="AA53" s="18">
        <v>26726.629999999997</v>
      </c>
      <c r="AB53" s="18">
        <v>27046.47</v>
      </c>
      <c r="AC53" s="4">
        <f>AB53/AA53-1</f>
        <v>1.1967090501121991E-2</v>
      </c>
    </row>
    <row r="54" spans="1:29">
      <c r="A54" t="s">
        <v>700</v>
      </c>
      <c r="B54" t="s">
        <v>701</v>
      </c>
      <c r="C54" s="19">
        <v>135</v>
      </c>
      <c r="E54" t="s">
        <v>701</v>
      </c>
      <c r="F54" s="19">
        <v>143</v>
      </c>
      <c r="G54" t="b">
        <f>IF(B54=E54,TRUE,FALSE)</f>
        <v>1</v>
      </c>
      <c r="J54">
        <f>F54-C54</f>
        <v>8</v>
      </c>
      <c r="K54" s="4">
        <f>F54/C54-1</f>
        <v>5.9259259259259345E-2</v>
      </c>
      <c r="M54" s="5">
        <v>0</v>
      </c>
      <c r="N54" s="5">
        <v>0</v>
      </c>
      <c r="Q54" s="5">
        <v>0</v>
      </c>
      <c r="T54" s="133">
        <v>0</v>
      </c>
      <c r="U54" s="4">
        <f>IF(M54=0,0,N54/M54-1)</f>
        <v>0</v>
      </c>
      <c r="AA54" s="18">
        <v>4313.25</v>
      </c>
      <c r="AB54" s="18">
        <v>4568.8500000000004</v>
      </c>
      <c r="AC54" s="4">
        <f>AB54/AA54-1</f>
        <v>5.9259259259259345E-2</v>
      </c>
    </row>
    <row r="55" spans="1:29">
      <c r="A55" t="s">
        <v>702</v>
      </c>
      <c r="B55" t="s">
        <v>703</v>
      </c>
      <c r="C55" s="19">
        <v>5642</v>
      </c>
      <c r="E55" t="s">
        <v>703</v>
      </c>
      <c r="F55" s="19">
        <v>5644</v>
      </c>
      <c r="G55" t="b">
        <f>IF(B55=E55,TRUE,FALSE)</f>
        <v>1</v>
      </c>
      <c r="J55">
        <f>F55-C55</f>
        <v>2</v>
      </c>
      <c r="K55" s="4">
        <f>F55/C55-1</f>
        <v>3.5448422545192315E-4</v>
      </c>
      <c r="M55" s="5">
        <v>9224.68</v>
      </c>
      <c r="N55" s="5">
        <v>7771.19</v>
      </c>
      <c r="Q55" s="5">
        <v>42029.87</v>
      </c>
      <c r="T55" s="133">
        <f>N55-M55</f>
        <v>-1453.4900000000007</v>
      </c>
      <c r="U55" s="4">
        <f>IF(M55=0,0,N55/M55-1)</f>
        <v>-0.15756535728068621</v>
      </c>
      <c r="W55" t="s">
        <v>704</v>
      </c>
      <c r="AA55" s="18">
        <v>140866.85999999999</v>
      </c>
      <c r="AB55" s="18">
        <v>140962.92000000001</v>
      </c>
      <c r="AC55" s="4">
        <f>AB55/AA55-1</f>
        <v>6.8192050280679872E-4</v>
      </c>
    </row>
    <row r="56" spans="1:29">
      <c r="A56" t="s">
        <v>705</v>
      </c>
      <c r="B56" t="s">
        <v>706</v>
      </c>
      <c r="C56" s="19">
        <v>581</v>
      </c>
      <c r="E56" t="s">
        <v>706</v>
      </c>
      <c r="F56" s="19">
        <v>581</v>
      </c>
      <c r="G56" t="b">
        <f>IF(B56=E56,TRUE,FALSE)</f>
        <v>1</v>
      </c>
      <c r="J56">
        <f>F56-C56</f>
        <v>0</v>
      </c>
      <c r="K56" s="4">
        <f>F56/C56-1</f>
        <v>0</v>
      </c>
      <c r="M56" s="5">
        <v>428.89</v>
      </c>
      <c r="N56" s="5">
        <v>404.55</v>
      </c>
      <c r="Q56" s="5">
        <v>3724.67</v>
      </c>
      <c r="T56" s="133">
        <f>N56-M56</f>
        <v>-24.339999999999975</v>
      </c>
      <c r="U56" s="4">
        <f>IF(M56=0,0,N56/M56-1)</f>
        <v>-5.6751148313087252E-2</v>
      </c>
      <c r="AA56" s="18">
        <v>17400.95</v>
      </c>
      <c r="AB56" s="18">
        <v>17400.95</v>
      </c>
      <c r="AC56" s="4">
        <f>AB56/AA56-1</f>
        <v>0</v>
      </c>
    </row>
    <row r="57" spans="1:29">
      <c r="A57" t="s">
        <v>707</v>
      </c>
      <c r="B57" t="s">
        <v>708</v>
      </c>
      <c r="C57" s="19">
        <v>1</v>
      </c>
      <c r="D57" s="5"/>
      <c r="E57" t="s">
        <v>708</v>
      </c>
      <c r="F57" s="19">
        <v>1</v>
      </c>
      <c r="G57" t="b">
        <f>IF(B57=E57,TRUE,FALSE)</f>
        <v>1</v>
      </c>
      <c r="H57" s="5"/>
      <c r="I57" s="5"/>
      <c r="J57">
        <f>F57-C57</f>
        <v>0</v>
      </c>
      <c r="K57" s="4">
        <f>F57/C57-1</f>
        <v>0</v>
      </c>
      <c r="L57" s="5"/>
      <c r="M57" s="5">
        <v>0</v>
      </c>
      <c r="N57" s="5">
        <v>0</v>
      </c>
      <c r="O57" s="5"/>
      <c r="P57" s="5"/>
      <c r="Q57" s="5">
        <v>0</v>
      </c>
      <c r="R57" s="5"/>
      <c r="S57" s="5"/>
      <c r="T57" s="133">
        <f>N57-M57</f>
        <v>0</v>
      </c>
      <c r="U57" s="4">
        <f>IF(M57=0,0,N57/M57-1)</f>
        <v>0</v>
      </c>
      <c r="V57" s="5"/>
      <c r="W57" s="5"/>
      <c r="X57" s="5"/>
      <c r="Y57" s="5"/>
      <c r="Z57" s="15"/>
      <c r="AA57" s="18">
        <v>23.99</v>
      </c>
      <c r="AB57" s="18">
        <v>23.99</v>
      </c>
      <c r="AC57" s="4">
        <f>AB57/AA57-1</f>
        <v>0</v>
      </c>
    </row>
    <row r="58" spans="1:29">
      <c r="A58" s="153" t="s">
        <v>709</v>
      </c>
      <c r="B58" s="38" t="s">
        <v>710</v>
      </c>
      <c r="C58">
        <v>0</v>
      </c>
      <c r="E58" s="38" t="s">
        <v>710</v>
      </c>
      <c r="F58">
        <v>0</v>
      </c>
      <c r="G58" t="b">
        <f>IF(B58=E58,TRUE,FALSE)</f>
        <v>1</v>
      </c>
      <c r="J58">
        <v>0</v>
      </c>
      <c r="K58" s="4" t="e">
        <f>F58/C58-1</f>
        <v>#DIV/0!</v>
      </c>
      <c r="M58" s="5">
        <v>0</v>
      </c>
      <c r="N58" s="154">
        <v>0</v>
      </c>
      <c r="Q58" s="5">
        <v>0</v>
      </c>
      <c r="T58" s="135">
        <f>N58-M58</f>
        <v>0</v>
      </c>
      <c r="U58" s="4">
        <f>IF(M58=0,0,N58/M58-1)</f>
        <v>0</v>
      </c>
      <c r="AA58">
        <v>0</v>
      </c>
      <c r="AB58">
        <v>0</v>
      </c>
      <c r="AC58" s="4" t="e">
        <f>AB58/AA58-1</f>
        <v>#DIV/0!</v>
      </c>
    </row>
    <row r="59" spans="1:29">
      <c r="A59" t="s">
        <v>711</v>
      </c>
      <c r="B59" t="s">
        <v>712</v>
      </c>
      <c r="C59" s="19">
        <v>1053</v>
      </c>
      <c r="E59" t="s">
        <v>712</v>
      </c>
      <c r="F59" s="19">
        <v>1051</v>
      </c>
      <c r="G59" t="b">
        <f>IF(B59=E59,TRUE,FALSE)</f>
        <v>1</v>
      </c>
      <c r="J59">
        <f>F59-C59</f>
        <v>-2</v>
      </c>
      <c r="K59" s="4">
        <f>F59/C59-1</f>
        <v>-1.8993352326686086E-3</v>
      </c>
      <c r="M59" s="5">
        <v>1391.6699999999998</v>
      </c>
      <c r="N59" s="5">
        <v>1059.74</v>
      </c>
      <c r="Q59" s="5">
        <v>5811.42</v>
      </c>
      <c r="T59" s="133">
        <f>N59-M59</f>
        <v>-331.92999999999984</v>
      </c>
      <c r="U59" s="4">
        <f>IF(M59=0,0,N59/M59-1)</f>
        <v>-0.23851200356406321</v>
      </c>
      <c r="AA59" s="18">
        <v>21049.35</v>
      </c>
      <c r="AB59" s="18">
        <v>21009.49</v>
      </c>
      <c r="AC59" s="4">
        <f>AB59/AA59-1</f>
        <v>-1.8936451719410163E-3</v>
      </c>
    </row>
    <row r="60" spans="1:29">
      <c r="A60" t="s">
        <v>713</v>
      </c>
      <c r="B60" t="s">
        <v>714</v>
      </c>
      <c r="C60" s="19">
        <v>136</v>
      </c>
      <c r="E60" t="s">
        <v>714</v>
      </c>
      <c r="F60" s="19">
        <v>133</v>
      </c>
      <c r="G60" t="b">
        <f>IF(B60=E60,TRUE,FALSE)</f>
        <v>1</v>
      </c>
      <c r="J60">
        <f>F60-C60</f>
        <v>-3</v>
      </c>
      <c r="K60" s="4">
        <f>F60/C60-1</f>
        <v>-2.2058823529411797E-2</v>
      </c>
      <c r="M60" s="5">
        <v>0</v>
      </c>
      <c r="N60" s="5">
        <v>0</v>
      </c>
      <c r="Q60" s="5">
        <v>0</v>
      </c>
      <c r="T60" s="133">
        <f>N60-M60</f>
        <v>0</v>
      </c>
      <c r="U60" s="4">
        <f>IF(M60=0,0,N60/M60-1)</f>
        <v>0</v>
      </c>
      <c r="AA60" s="18">
        <v>4617.2</v>
      </c>
      <c r="AB60" s="18">
        <v>4515.3500000000004</v>
      </c>
      <c r="AC60" s="4">
        <f>AB60/AA60-1</f>
        <v>-2.2058823529411686E-2</v>
      </c>
    </row>
    <row r="61" spans="1:29">
      <c r="A61" s="28" t="s">
        <v>715</v>
      </c>
      <c r="B61" s="28" t="s">
        <v>716</v>
      </c>
      <c r="C61" s="19">
        <v>3022</v>
      </c>
      <c r="E61" s="28" t="s">
        <v>716</v>
      </c>
      <c r="F61" s="19">
        <v>3018</v>
      </c>
      <c r="G61" t="b">
        <f>IF(B61=E61,TRUE,FALSE)</f>
        <v>1</v>
      </c>
      <c r="J61">
        <f>F61-C61</f>
        <v>-4</v>
      </c>
      <c r="K61" s="4">
        <f>F61/C61-1</f>
        <v>-1.323626737260053E-3</v>
      </c>
      <c r="M61" s="5">
        <v>4490.2700000000004</v>
      </c>
      <c r="N61" s="5">
        <v>5255.09</v>
      </c>
      <c r="Q61" s="5">
        <v>34335.19</v>
      </c>
      <c r="T61" s="133">
        <f>N61-M61</f>
        <v>764.81999999999971</v>
      </c>
      <c r="U61" s="4">
        <f>IF(M61=0,0,N61/M61-1)</f>
        <v>0.17032828760854013</v>
      </c>
      <c r="AA61" s="18">
        <v>62745.97</v>
      </c>
      <c r="AB61" s="18">
        <v>65951.06</v>
      </c>
      <c r="AC61" s="4">
        <f>AB61/AA61-1</f>
        <v>5.1080412016899279E-2</v>
      </c>
    </row>
    <row r="62" spans="1:29">
      <c r="A62" t="s">
        <v>717</v>
      </c>
      <c r="B62" t="s">
        <v>718</v>
      </c>
      <c r="C62" s="19">
        <v>1490</v>
      </c>
      <c r="E62" t="s">
        <v>718</v>
      </c>
      <c r="F62" s="19">
        <v>1486</v>
      </c>
      <c r="G62" t="b">
        <f>IF(B62=E62,TRUE,FALSE)</f>
        <v>1</v>
      </c>
      <c r="J62">
        <f>F62-C62</f>
        <v>-4</v>
      </c>
      <c r="K62" s="4">
        <f>F62/C62-1</f>
        <v>-2.6845637583892135E-3</v>
      </c>
      <c r="M62" s="5">
        <v>1956.14</v>
      </c>
      <c r="N62" s="5">
        <v>1398.83</v>
      </c>
      <c r="Q62" s="5">
        <v>11043.06</v>
      </c>
      <c r="T62" s="133">
        <f>N62-M62</f>
        <v>-557.31000000000017</v>
      </c>
      <c r="U62" s="4">
        <f>IF(M62=0,0,N62/M62-1)</f>
        <v>-0.28490292105881998</v>
      </c>
      <c r="AA62" s="18">
        <v>43195.1</v>
      </c>
      <c r="AB62" s="18">
        <v>43079.14</v>
      </c>
      <c r="AC62" s="4">
        <f>AB62/AA62-1</f>
        <v>-2.6845637583892135E-3</v>
      </c>
    </row>
    <row r="63" spans="1:29">
      <c r="A63" t="s">
        <v>719</v>
      </c>
      <c r="B63" t="s">
        <v>720</v>
      </c>
      <c r="C63" s="19">
        <v>254</v>
      </c>
      <c r="E63" t="s">
        <v>720</v>
      </c>
      <c r="F63" s="19">
        <v>250</v>
      </c>
      <c r="G63" t="b">
        <f>IF(B63=E63,TRUE,FALSE)</f>
        <v>1</v>
      </c>
      <c r="J63">
        <f>F63-C63</f>
        <v>-4</v>
      </c>
      <c r="K63" s="4">
        <f>F63/C63-1</f>
        <v>-1.5748031496062964E-2</v>
      </c>
      <c r="M63" s="5">
        <v>0</v>
      </c>
      <c r="N63" s="5">
        <v>0</v>
      </c>
      <c r="Q63" s="5">
        <v>0</v>
      </c>
      <c r="T63" s="133">
        <f>N63-M63</f>
        <v>0</v>
      </c>
      <c r="U63" s="4">
        <f>IF(M63=0,0,N63/M63-1)</f>
        <v>0</v>
      </c>
      <c r="AA63" s="18">
        <v>8125.46</v>
      </c>
      <c r="AB63" s="18">
        <v>7997.5</v>
      </c>
      <c r="AC63" s="4">
        <f>AB63/AA63-1</f>
        <v>-1.5748031496062964E-2</v>
      </c>
    </row>
    <row r="64" spans="1:29">
      <c r="A64" t="s">
        <v>721</v>
      </c>
      <c r="B64" t="s">
        <v>722</v>
      </c>
      <c r="C64" s="19">
        <v>679</v>
      </c>
      <c r="E64" t="s">
        <v>722</v>
      </c>
      <c r="F64" s="19">
        <v>675</v>
      </c>
      <c r="G64" t="b">
        <f>IF(B64=E64,TRUE,FALSE)</f>
        <v>1</v>
      </c>
      <c r="J64">
        <f>F64-C64</f>
        <v>-4</v>
      </c>
      <c r="K64" s="4">
        <f>F64/C64-1</f>
        <v>-5.8910162002945299E-3</v>
      </c>
      <c r="L64" s="5"/>
      <c r="M64" s="5">
        <v>302.39999999999998</v>
      </c>
      <c r="N64" s="5">
        <v>250.32</v>
      </c>
      <c r="O64" s="5"/>
      <c r="P64" s="5"/>
      <c r="Q64" s="5">
        <v>1668.99</v>
      </c>
      <c r="R64" s="5"/>
      <c r="S64" s="5"/>
      <c r="T64" s="133">
        <f>N64-M64</f>
        <v>-52.079999999999984</v>
      </c>
      <c r="U64" s="4">
        <f>IF(M64=0,0,N64/M64-1)</f>
        <v>-0.17222222222222217</v>
      </c>
      <c r="V64" s="5"/>
      <c r="W64" s="5"/>
      <c r="X64" s="5"/>
      <c r="Y64" s="5"/>
      <c r="Z64" s="15"/>
      <c r="AA64" s="18">
        <v>20363.21</v>
      </c>
      <c r="AB64" s="18">
        <v>20003.330000000002</v>
      </c>
      <c r="AC64" s="4">
        <f>AB64/AA64-1</f>
        <v>-1.7673048600883479E-2</v>
      </c>
    </row>
    <row r="65" spans="1:29">
      <c r="A65" t="s">
        <v>723</v>
      </c>
      <c r="B65" t="s">
        <v>724</v>
      </c>
      <c r="C65" s="19">
        <v>637</v>
      </c>
      <c r="E65" t="s">
        <v>724</v>
      </c>
      <c r="F65" s="19">
        <v>630</v>
      </c>
      <c r="G65" t="b">
        <f>IF(B65=E65,TRUE,FALSE)</f>
        <v>1</v>
      </c>
      <c r="J65">
        <f>F65-C65</f>
        <v>-7</v>
      </c>
      <c r="K65" s="4">
        <f>F65/C65-1</f>
        <v>-1.098901098901095E-2</v>
      </c>
      <c r="M65" s="5">
        <v>0</v>
      </c>
      <c r="N65" s="5">
        <v>0</v>
      </c>
      <c r="Q65" s="5">
        <v>0</v>
      </c>
      <c r="T65" s="133">
        <v>0</v>
      </c>
      <c r="U65" s="4">
        <f>IF(M65=0,0,N65/M65-1)</f>
        <v>0</v>
      </c>
      <c r="W65" t="s">
        <v>725</v>
      </c>
      <c r="Y65" t="s">
        <v>726</v>
      </c>
      <c r="Z65" s="14" t="s">
        <v>727</v>
      </c>
      <c r="AA65" s="18">
        <v>13982.150000000001</v>
      </c>
      <c r="AB65" s="18">
        <v>13828.5</v>
      </c>
      <c r="AC65" s="4">
        <f>AB65/AA65-1</f>
        <v>-1.0989010989011061E-2</v>
      </c>
    </row>
    <row r="66" spans="1:29">
      <c r="A66" t="s">
        <v>728</v>
      </c>
      <c r="B66" t="s">
        <v>729</v>
      </c>
      <c r="C66" s="19">
        <v>528</v>
      </c>
      <c r="E66" t="s">
        <v>729</v>
      </c>
      <c r="F66" s="19">
        <v>521</v>
      </c>
      <c r="G66" t="b">
        <f>IF(B66=E66,TRUE,FALSE)</f>
        <v>1</v>
      </c>
      <c r="J66">
        <f>F66-C66</f>
        <v>-7</v>
      </c>
      <c r="K66" s="4">
        <f>F66/C66-1</f>
        <v>-1.3257575757575801E-2</v>
      </c>
      <c r="M66" s="5">
        <v>375.38</v>
      </c>
      <c r="N66" s="5">
        <v>196.88</v>
      </c>
      <c r="Q66" s="5">
        <v>1829.39</v>
      </c>
      <c r="T66" s="133">
        <f>N66-M66</f>
        <v>-178.5</v>
      </c>
      <c r="U66" s="4">
        <f>IF(M66=0,0,N66/M66-1)</f>
        <v>-0.4755181416164953</v>
      </c>
      <c r="AA66" s="18">
        <v>17157.84</v>
      </c>
      <c r="AB66" s="18">
        <v>15624.79</v>
      </c>
      <c r="AC66" s="4">
        <f>AB66/AA66-1</f>
        <v>-8.9349824919686793E-2</v>
      </c>
    </row>
    <row r="67" spans="1:29">
      <c r="A67" t="s">
        <v>730</v>
      </c>
      <c r="B67" t="s">
        <v>731</v>
      </c>
      <c r="C67" s="19">
        <v>786</v>
      </c>
      <c r="E67" t="s">
        <v>731</v>
      </c>
      <c r="F67" s="19">
        <v>778</v>
      </c>
      <c r="G67" t="b">
        <f>IF(B67=E67,TRUE,FALSE)</f>
        <v>1</v>
      </c>
      <c r="J67">
        <f>F67-C67</f>
        <v>-8</v>
      </c>
      <c r="K67" s="4">
        <f>F67/C67-1</f>
        <v>-1.0178117048346036E-2</v>
      </c>
      <c r="M67" s="5">
        <v>331.38</v>
      </c>
      <c r="N67" s="5">
        <v>372.77</v>
      </c>
      <c r="Q67" s="5">
        <v>5123.13</v>
      </c>
      <c r="T67" s="133">
        <f>N67-M67</f>
        <v>41.389999999999986</v>
      </c>
      <c r="U67" s="4">
        <f>IF(M67=0,0,N67/M67-1)</f>
        <v>0.12490192528215327</v>
      </c>
      <c r="AA67" s="18">
        <v>30614.7</v>
      </c>
      <c r="AB67" s="18">
        <v>30264.15</v>
      </c>
      <c r="AC67" s="4">
        <f>AB67/AA67-1</f>
        <v>-1.1450381679389277E-2</v>
      </c>
    </row>
    <row r="68" spans="1:29">
      <c r="A68" s="28" t="s">
        <v>732</v>
      </c>
      <c r="B68" s="28" t="s">
        <v>733</v>
      </c>
      <c r="C68" s="19">
        <v>1041</v>
      </c>
      <c r="E68" s="28" t="s">
        <v>733</v>
      </c>
      <c r="F68" s="19">
        <v>1033</v>
      </c>
      <c r="G68" t="b">
        <f>IF(B68=E68,TRUE,FALSE)</f>
        <v>1</v>
      </c>
      <c r="J68">
        <f>F68-C68</f>
        <v>-8</v>
      </c>
      <c r="K68" s="4">
        <f>F68/C68-1</f>
        <v>-7.684918347742542E-3</v>
      </c>
      <c r="M68" s="5">
        <v>1639.71</v>
      </c>
      <c r="N68" s="5">
        <v>1679.91</v>
      </c>
      <c r="Q68" s="5">
        <v>5301.19</v>
      </c>
      <c r="T68" s="133">
        <f>N68-M68</f>
        <v>40.200000000000045</v>
      </c>
      <c r="U68" s="4">
        <f>IF(M68=0,0,N68/M68-1)</f>
        <v>2.4516530362076239E-2</v>
      </c>
      <c r="AA68" s="18">
        <v>14450.94</v>
      </c>
      <c r="AB68" s="18">
        <v>14354.52</v>
      </c>
      <c r="AC68" s="4">
        <f>AB68/AA68-1</f>
        <v>-6.6722303185813292E-3</v>
      </c>
    </row>
    <row r="69" spans="1:29">
      <c r="A69" t="s">
        <v>734</v>
      </c>
      <c r="B69" t="s">
        <v>735</v>
      </c>
      <c r="C69" s="19">
        <v>327</v>
      </c>
      <c r="E69" t="s">
        <v>735</v>
      </c>
      <c r="F69" s="19">
        <v>316</v>
      </c>
      <c r="G69" t="b">
        <f>IF(B69=E69,TRUE,FALSE)</f>
        <v>1</v>
      </c>
      <c r="J69">
        <f>F69-C69</f>
        <v>-11</v>
      </c>
      <c r="K69" s="4">
        <f>F69/C69-1</f>
        <v>-3.3639143730886834E-2</v>
      </c>
      <c r="M69" s="5">
        <v>264.47000000000003</v>
      </c>
      <c r="N69" s="5">
        <v>209.46</v>
      </c>
      <c r="Q69" s="5">
        <v>818.3</v>
      </c>
      <c r="T69" s="133">
        <f>N69-M69</f>
        <v>-55.010000000000019</v>
      </c>
      <c r="U69" s="4">
        <f>IF(M69=0,0,N69/M69-1)</f>
        <v>-0.20800090747532807</v>
      </c>
      <c r="AA69" s="18">
        <v>7177.65</v>
      </c>
      <c r="AB69" s="18">
        <v>6936.2</v>
      </c>
      <c r="AC69" s="4">
        <f>AB69/AA69-1</f>
        <v>-3.3639143730886834E-2</v>
      </c>
    </row>
    <row r="70" spans="1:29">
      <c r="A70" t="s">
        <v>736</v>
      </c>
      <c r="B70" t="s">
        <v>737</v>
      </c>
      <c r="C70" s="19">
        <v>14</v>
      </c>
      <c r="E70" t="s">
        <v>737</v>
      </c>
      <c r="F70" s="19">
        <v>3</v>
      </c>
      <c r="G70" t="b">
        <f>IF(B70=E70,TRUE,FALSE)</f>
        <v>1</v>
      </c>
      <c r="J70">
        <f>F70-C70</f>
        <v>-11</v>
      </c>
      <c r="K70" s="4">
        <f>F70/C70-1</f>
        <v>-0.7857142857142857</v>
      </c>
      <c r="M70" s="5">
        <v>0</v>
      </c>
      <c r="N70" s="5">
        <v>0</v>
      </c>
      <c r="Q70" s="5">
        <v>0</v>
      </c>
      <c r="T70" s="133">
        <f>N70-M70</f>
        <v>0</v>
      </c>
      <c r="U70" s="4">
        <f>IF(M70=0,0,N70/M70-1)</f>
        <v>0</v>
      </c>
      <c r="AA70" s="18">
        <v>279.86</v>
      </c>
      <c r="AB70" s="18">
        <v>59.97</v>
      </c>
      <c r="AC70" s="4">
        <f>AB70/AA70-1</f>
        <v>-0.7857142857142857</v>
      </c>
    </row>
    <row r="71" spans="1:29">
      <c r="A71" t="s">
        <v>738</v>
      </c>
      <c r="B71" t="s">
        <v>739</v>
      </c>
      <c r="C71" s="19">
        <v>3640</v>
      </c>
      <c r="E71" t="s">
        <v>739</v>
      </c>
      <c r="F71" s="19">
        <v>3629</v>
      </c>
      <c r="G71" t="b">
        <f>IF(B71=E71,TRUE,FALSE)</f>
        <v>1</v>
      </c>
      <c r="J71">
        <f>F71-C71</f>
        <v>-11</v>
      </c>
      <c r="K71" s="4">
        <f>F71/C71-1</f>
        <v>-3.0219780219780112E-3</v>
      </c>
      <c r="M71" s="5">
        <v>4258.66</v>
      </c>
      <c r="N71" s="5">
        <v>3467.41</v>
      </c>
      <c r="Q71" s="5">
        <v>17335.7</v>
      </c>
      <c r="T71" s="133">
        <f>N71-M71</f>
        <v>-791.25</v>
      </c>
      <c r="U71" s="4">
        <f>IF(M71=0,0,N71/M71-1)</f>
        <v>-0.18579788008434583</v>
      </c>
      <c r="AA71" s="18">
        <v>101794.56</v>
      </c>
      <c r="AB71" s="18">
        <v>101568.70000000001</v>
      </c>
      <c r="AC71" s="4">
        <f>AB71/AA71-1</f>
        <v>-2.2187826147093137E-3</v>
      </c>
    </row>
    <row r="72" spans="1:29" ht="13.5" customHeight="1">
      <c r="A72" t="s">
        <v>740</v>
      </c>
      <c r="B72" t="s">
        <v>741</v>
      </c>
      <c r="C72" s="19">
        <v>1400</v>
      </c>
      <c r="E72" t="s">
        <v>741</v>
      </c>
      <c r="F72" s="19">
        <v>1387</v>
      </c>
      <c r="G72" t="b">
        <f>IF(B72=E72,TRUE,FALSE)</f>
        <v>1</v>
      </c>
      <c r="J72">
        <f>F72-C72</f>
        <v>-13</v>
      </c>
      <c r="K72" s="4">
        <f>F72/C72-1</f>
        <v>-9.2857142857142305E-3</v>
      </c>
      <c r="M72" s="5">
        <v>1909.71</v>
      </c>
      <c r="N72" s="5">
        <v>1621.88</v>
      </c>
      <c r="Q72" s="5">
        <v>6108.8</v>
      </c>
      <c r="T72" s="133">
        <f>N72-M72</f>
        <v>-287.82999999999993</v>
      </c>
      <c r="U72" s="4">
        <f>IF(M72=0,0,N72/M72-1)</f>
        <v>-0.1507192191484571</v>
      </c>
      <c r="AA72" s="18">
        <v>27959.84</v>
      </c>
      <c r="AB72" s="18">
        <v>27726.13</v>
      </c>
      <c r="AC72" s="4">
        <f>AB72/AA72-1</f>
        <v>-8.3587745852622408E-3</v>
      </c>
    </row>
    <row r="73" spans="1:29">
      <c r="A73" s="55" t="s">
        <v>742</v>
      </c>
      <c r="B73" s="38" t="s">
        <v>743</v>
      </c>
      <c r="C73" s="19">
        <v>680</v>
      </c>
      <c r="E73" s="38" t="s">
        <v>743</v>
      </c>
      <c r="F73" s="19">
        <v>667</v>
      </c>
      <c r="G73" t="b">
        <f>IF(B73=E73,TRUE,FALSE)</f>
        <v>1</v>
      </c>
      <c r="J73">
        <f>F73-C73</f>
        <v>-13</v>
      </c>
      <c r="K73" s="4">
        <f>F73/C74-1</f>
        <v>-0.41898954703832758</v>
      </c>
      <c r="M73" s="5">
        <v>680.69</v>
      </c>
      <c r="N73" s="5">
        <v>680.3</v>
      </c>
      <c r="Q73" s="5">
        <v>1862.64</v>
      </c>
      <c r="T73" s="133">
        <f>N73-M73</f>
        <v>-0.39000000000010004</v>
      </c>
      <c r="U73" s="4">
        <f>IF(M73=0,0,N73/M73-1)</f>
        <v>-5.729480380204377E-4</v>
      </c>
      <c r="AA73" s="18">
        <v>8829.17</v>
      </c>
      <c r="AB73" s="18">
        <v>9075.3700000000008</v>
      </c>
      <c r="AC73" s="4">
        <f>AB73/AA73-1</f>
        <v>2.7884840817426815E-2</v>
      </c>
    </row>
    <row r="74" spans="1:29">
      <c r="A74" t="s">
        <v>744</v>
      </c>
      <c r="B74" t="s">
        <v>745</v>
      </c>
      <c r="C74" s="19">
        <v>1148</v>
      </c>
      <c r="E74" t="s">
        <v>745</v>
      </c>
      <c r="F74" s="19">
        <v>1133</v>
      </c>
      <c r="G74" t="b">
        <f>IF(B74=E74,TRUE,FALSE)</f>
        <v>1</v>
      </c>
      <c r="J74">
        <f>F74-C74</f>
        <v>-15</v>
      </c>
      <c r="K74" s="4">
        <f>F74/C74-1</f>
        <v>-1.3066202090592283E-2</v>
      </c>
      <c r="M74" s="5">
        <v>1927.97</v>
      </c>
      <c r="N74" s="5">
        <v>1771.42</v>
      </c>
      <c r="Q74" s="5">
        <v>9090.34</v>
      </c>
      <c r="T74" s="133">
        <f>N74-M74</f>
        <v>-156.54999999999995</v>
      </c>
      <c r="U74" s="4">
        <f>IF(M74=0,0,N74/M74-1)</f>
        <v>-8.119939625616579E-2</v>
      </c>
      <c r="AA74" s="18">
        <v>22862.7</v>
      </c>
      <c r="AB74" s="18">
        <v>22603.35</v>
      </c>
      <c r="AC74" s="4">
        <f>AB74/AA74-1</f>
        <v>-1.1343804537521929E-2</v>
      </c>
    </row>
    <row r="75" spans="1:29">
      <c r="A75" t="s">
        <v>746</v>
      </c>
      <c r="B75" t="s">
        <v>747</v>
      </c>
      <c r="C75" s="19">
        <v>1155</v>
      </c>
      <c r="E75" t="s">
        <v>747</v>
      </c>
      <c r="F75" s="19">
        <v>1138</v>
      </c>
      <c r="G75" t="b">
        <f>IF(B75=E75,TRUE,FALSE)</f>
        <v>1</v>
      </c>
      <c r="J75">
        <f>F75-C75</f>
        <v>-17</v>
      </c>
      <c r="K75" s="4">
        <f>F75/C75-1</f>
        <v>-1.4718614718614687E-2</v>
      </c>
      <c r="M75" s="5">
        <v>1296.17</v>
      </c>
      <c r="N75" s="5">
        <v>844.4</v>
      </c>
      <c r="Q75" s="5">
        <v>3077.39</v>
      </c>
      <c r="T75" s="133">
        <f>N75-M75</f>
        <v>-451.7700000000001</v>
      </c>
      <c r="U75" s="4">
        <f>IF(M75=0,0,N75/M75-1)</f>
        <v>-0.34854224368717068</v>
      </c>
      <c r="AA75" s="18">
        <v>23068.46</v>
      </c>
      <c r="AB75" s="18">
        <v>22748.62</v>
      </c>
      <c r="AC75" s="4">
        <f>AB75/AA75-1</f>
        <v>-1.3864818024263426E-2</v>
      </c>
    </row>
    <row r="76" spans="1:29" ht="13.9" customHeight="1">
      <c r="A76" t="s">
        <v>748</v>
      </c>
      <c r="B76" t="s">
        <v>749</v>
      </c>
      <c r="C76" s="19">
        <v>639</v>
      </c>
      <c r="E76" t="s">
        <v>749</v>
      </c>
      <c r="F76" s="19">
        <v>621</v>
      </c>
      <c r="G76" t="b">
        <f>IF(B76=E76,TRUE,FALSE)</f>
        <v>1</v>
      </c>
      <c r="J76">
        <f>F76-C76</f>
        <v>-18</v>
      </c>
      <c r="K76" s="4">
        <f>F76/C76-1</f>
        <v>-2.8169014084507005E-2</v>
      </c>
      <c r="M76" s="5">
        <v>600.4</v>
      </c>
      <c r="N76" s="5">
        <v>421.76</v>
      </c>
      <c r="Q76" s="5">
        <v>2978.13</v>
      </c>
      <c r="T76" s="133">
        <f>N76-M76</f>
        <v>-178.64</v>
      </c>
      <c r="U76" s="4">
        <f>IF(M76=0,0,N76/M76-1)</f>
        <v>-0.29753497668221185</v>
      </c>
      <c r="AA76" s="18">
        <v>12134.61</v>
      </c>
      <c r="AB76" s="18">
        <v>11792.79</v>
      </c>
      <c r="AC76" s="4">
        <f>AB76/AA76-1</f>
        <v>-2.8169014084507005E-2</v>
      </c>
    </row>
    <row r="77" spans="1:29" ht="13.9" customHeight="1">
      <c r="A77" t="s">
        <v>750</v>
      </c>
      <c r="B77" t="s">
        <v>751</v>
      </c>
      <c r="C77" s="19">
        <v>702</v>
      </c>
      <c r="E77" t="s">
        <v>751</v>
      </c>
      <c r="F77" s="19">
        <v>683</v>
      </c>
      <c r="G77" t="b">
        <f>IF(B77=E77,TRUE,FALSE)</f>
        <v>1</v>
      </c>
      <c r="J77">
        <f>F77-C77</f>
        <v>-19</v>
      </c>
      <c r="K77" s="4">
        <f>F77/C77-1</f>
        <v>-2.7065527065527117E-2</v>
      </c>
      <c r="M77" s="5">
        <v>891.86</v>
      </c>
      <c r="N77" s="5">
        <v>722.8</v>
      </c>
      <c r="Q77" s="5">
        <v>3808.05</v>
      </c>
      <c r="T77" s="133">
        <f>N77-M77</f>
        <v>-169.06000000000006</v>
      </c>
      <c r="U77" s="4">
        <f>IF(M77=0,0,N77/M77-1)</f>
        <v>-0.18955889937882631</v>
      </c>
      <c r="AA77" s="18">
        <v>16812.900000000001</v>
      </c>
      <c r="AB77" s="18">
        <v>16309.95</v>
      </c>
      <c r="AC77" s="4">
        <f>AB77/AA77-1</f>
        <v>-2.9914529914529919E-2</v>
      </c>
    </row>
    <row r="78" spans="1:29" ht="13.9" customHeight="1">
      <c r="A78" t="s">
        <v>752</v>
      </c>
      <c r="B78" t="s">
        <v>753</v>
      </c>
      <c r="C78" s="19">
        <v>1775</v>
      </c>
      <c r="E78" t="s">
        <v>753</v>
      </c>
      <c r="F78" s="19">
        <v>1755</v>
      </c>
      <c r="G78" t="b">
        <f>IF(B78=E78,TRUE,FALSE)</f>
        <v>1</v>
      </c>
      <c r="J78">
        <f>F78-C78</f>
        <v>-20</v>
      </c>
      <c r="K78" s="4">
        <f>F78/C78-1</f>
        <v>-1.1267605633802802E-2</v>
      </c>
      <c r="M78" s="5">
        <v>934.96</v>
      </c>
      <c r="N78" s="5">
        <v>561.04</v>
      </c>
      <c r="Q78" s="5">
        <v>2960.8</v>
      </c>
      <c r="T78" s="133">
        <f>N78-M78</f>
        <v>-373.92000000000007</v>
      </c>
      <c r="U78" s="4">
        <f>IF(M78=0,0,N78/M78-1)</f>
        <v>-0.39993154787370588</v>
      </c>
      <c r="W78" t="s">
        <v>754</v>
      </c>
      <c r="Y78" t="s">
        <v>755</v>
      </c>
      <c r="AA78" s="18">
        <v>53191.199999999997</v>
      </c>
      <c r="AB78" s="18">
        <v>52532.3</v>
      </c>
      <c r="AC78" s="4">
        <f>AB78/AA78-1</f>
        <v>-1.2387387387387316E-2</v>
      </c>
    </row>
    <row r="79" spans="1:29" ht="13.9" customHeight="1">
      <c r="A79" t="s">
        <v>756</v>
      </c>
      <c r="B79" t="s">
        <v>757</v>
      </c>
      <c r="C79" s="19">
        <v>317</v>
      </c>
      <c r="E79" t="s">
        <v>757</v>
      </c>
      <c r="F79" s="19">
        <v>296</v>
      </c>
      <c r="G79" t="b">
        <f>IF(B79=E79,TRUE,FALSE)</f>
        <v>1</v>
      </c>
      <c r="J79">
        <f>F79-C79</f>
        <v>-21</v>
      </c>
      <c r="K79" s="4">
        <f>F79/C79-1</f>
        <v>-6.6246056782334417E-2</v>
      </c>
      <c r="M79" s="5">
        <v>231.82</v>
      </c>
      <c r="N79" s="5">
        <v>214.78</v>
      </c>
      <c r="Q79" s="5">
        <v>1535.02</v>
      </c>
      <c r="T79" s="133">
        <f>N79-M79</f>
        <v>-17.039999999999992</v>
      </c>
      <c r="U79" s="4">
        <f>IF(M79=0,0,N79/M79-1)</f>
        <v>-7.3505305840738444E-2</v>
      </c>
      <c r="AA79" s="18">
        <v>9506.83</v>
      </c>
      <c r="AB79" s="18">
        <v>8877.0400000000009</v>
      </c>
      <c r="AC79" s="4">
        <f>AB79/AA79-1</f>
        <v>-6.6246056782334306E-2</v>
      </c>
    </row>
    <row r="80" spans="1:29" ht="13.9" customHeight="1">
      <c r="A80" t="s">
        <v>758</v>
      </c>
      <c r="B80" t="s">
        <v>759</v>
      </c>
      <c r="C80" s="19">
        <v>2172</v>
      </c>
      <c r="E80" t="s">
        <v>759</v>
      </c>
      <c r="F80" s="19">
        <v>2148</v>
      </c>
      <c r="G80" t="b">
        <f>IF(B80=E80,TRUE,FALSE)</f>
        <v>1</v>
      </c>
      <c r="J80">
        <f>F80-C80</f>
        <v>-24</v>
      </c>
      <c r="K80" s="4">
        <f>F80/C80-1</f>
        <v>-1.1049723756906049E-2</v>
      </c>
      <c r="M80" s="5">
        <v>3125.93</v>
      </c>
      <c r="N80" s="5">
        <v>2383.8200000000002</v>
      </c>
      <c r="Q80" s="5">
        <v>11536.14</v>
      </c>
      <c r="T80" s="133">
        <f>N80-M80</f>
        <v>-742.10999999999967</v>
      </c>
      <c r="U80" s="4">
        <f>IF(M80=0,0,N80/M80-1)</f>
        <v>-0.23740454840639413</v>
      </c>
      <c r="AA80" s="18">
        <v>43311.45</v>
      </c>
      <c r="AB80" s="18">
        <v>42852.6</v>
      </c>
      <c r="AC80" s="4">
        <f>AB80/AA80-1</f>
        <v>-1.0594196222938668E-2</v>
      </c>
    </row>
    <row r="81" spans="1:29" ht="14.45" customHeight="1">
      <c r="A81" t="s">
        <v>760</v>
      </c>
      <c r="B81" t="s">
        <v>761</v>
      </c>
      <c r="C81" s="19">
        <v>657</v>
      </c>
      <c r="E81" t="s">
        <v>761</v>
      </c>
      <c r="F81" s="19">
        <v>632</v>
      </c>
      <c r="G81" t="b">
        <f>IF(B81=E81,TRUE,FALSE)</f>
        <v>1</v>
      </c>
      <c r="J81">
        <f>F81-C81</f>
        <v>-25</v>
      </c>
      <c r="K81" s="4">
        <f>F81/C81-1</f>
        <v>-3.8051750380517557E-2</v>
      </c>
      <c r="M81" s="5">
        <v>849.35</v>
      </c>
      <c r="N81" s="5">
        <v>595.01</v>
      </c>
      <c r="Q81" s="5">
        <v>3518.28</v>
      </c>
      <c r="T81" s="133">
        <f>N81-M81</f>
        <v>-254.34000000000003</v>
      </c>
      <c r="U81" s="4">
        <f>IF(M81=0,0,N81/M81-1)</f>
        <v>-0.2994525225172191</v>
      </c>
      <c r="AA81" s="18">
        <v>13107.15</v>
      </c>
      <c r="AB81" s="18">
        <v>12608.4</v>
      </c>
      <c r="AC81" s="4">
        <f>AB81/AA81-1</f>
        <v>-3.8051750380517557E-2</v>
      </c>
    </row>
    <row r="82" spans="1:29" ht="13.9" customHeight="1">
      <c r="A82" t="s">
        <v>762</v>
      </c>
      <c r="B82" t="s">
        <v>763</v>
      </c>
      <c r="C82" s="19">
        <v>306</v>
      </c>
      <c r="E82" t="s">
        <v>763</v>
      </c>
      <c r="F82" s="19">
        <v>278</v>
      </c>
      <c r="G82" t="b">
        <f>IF(B82=E82,TRUE,FALSE)</f>
        <v>1</v>
      </c>
      <c r="J82">
        <f>F82-C82</f>
        <v>-28</v>
      </c>
      <c r="K82" s="4">
        <f>F82/C82-1</f>
        <v>-9.1503267973856217E-2</v>
      </c>
      <c r="M82" s="5">
        <v>262.81</v>
      </c>
      <c r="N82" s="5">
        <v>211.9</v>
      </c>
      <c r="Q82" s="5">
        <v>1108.29</v>
      </c>
      <c r="T82" s="133">
        <f>N82-M82</f>
        <v>-50.91</v>
      </c>
      <c r="U82" s="4">
        <f>IF(M82=0,0,N82/M82-1)</f>
        <v>-0.19371409002701567</v>
      </c>
      <c r="AA82" s="18">
        <v>9164.6999999999989</v>
      </c>
      <c r="AB82" s="18">
        <v>8326.1</v>
      </c>
      <c r="AC82" s="4">
        <f>AB82/AA82-1</f>
        <v>-9.1503267973856106E-2</v>
      </c>
    </row>
    <row r="83" spans="1:29" ht="13.9" customHeight="1">
      <c r="A83" t="s">
        <v>764</v>
      </c>
      <c r="B83" t="s">
        <v>765</v>
      </c>
      <c r="C83" s="19">
        <v>1066</v>
      </c>
      <c r="E83" t="s">
        <v>765</v>
      </c>
      <c r="F83" s="19">
        <v>1035</v>
      </c>
      <c r="G83" t="b">
        <f>IF(B83=E83,TRUE,FALSE)</f>
        <v>1</v>
      </c>
      <c r="J83">
        <f>F83-C83</f>
        <v>-31</v>
      </c>
      <c r="K83" s="4">
        <f>F83/C83-1</f>
        <v>-2.908067542213888E-2</v>
      </c>
      <c r="M83" s="5">
        <v>1368.9</v>
      </c>
      <c r="N83" s="5">
        <v>1310.2</v>
      </c>
      <c r="Q83" s="5">
        <v>7160.54</v>
      </c>
      <c r="T83" s="133">
        <f>N83-M83</f>
        <v>-58.700000000000045</v>
      </c>
      <c r="U83" s="4">
        <f>IF(M83=0,0,N83/M83-1)</f>
        <v>-4.2881145445248015E-2</v>
      </c>
      <c r="AA83" s="18">
        <v>21309.34</v>
      </c>
      <c r="AB83" s="18">
        <v>20689.650000000001</v>
      </c>
      <c r="AC83" s="4">
        <f>AB83/AA83-1</f>
        <v>-2.9080675422138769E-2</v>
      </c>
    </row>
    <row r="84" spans="1:29" ht="13.9" customHeight="1">
      <c r="A84" t="s">
        <v>766</v>
      </c>
      <c r="B84" t="s">
        <v>767</v>
      </c>
      <c r="C84" s="19">
        <v>1684</v>
      </c>
      <c r="D84" s="12"/>
      <c r="E84" t="s">
        <v>767</v>
      </c>
      <c r="F84" s="19">
        <v>1649</v>
      </c>
      <c r="G84" t="b">
        <f>IF(B84=E84,TRUE,FALSE)</f>
        <v>1</v>
      </c>
      <c r="H84" s="12"/>
      <c r="I84" s="12"/>
      <c r="J84">
        <f>F84-C84</f>
        <v>-35</v>
      </c>
      <c r="K84" s="4">
        <f>F84/C84-1</f>
        <v>-2.0783847980997638E-2</v>
      </c>
      <c r="L84" s="12"/>
      <c r="M84" s="5">
        <v>2673.35</v>
      </c>
      <c r="N84" s="5">
        <v>2158.0500000000002</v>
      </c>
      <c r="O84" s="12"/>
      <c r="P84" s="12"/>
      <c r="Q84" s="5">
        <v>8715.31</v>
      </c>
      <c r="R84" s="12"/>
      <c r="S84" s="12"/>
      <c r="T84" s="133">
        <f>N84-M84</f>
        <v>-515.29999999999973</v>
      </c>
      <c r="U84" s="4">
        <f>IF(M84=0,0,N84/M84-1)</f>
        <v>-0.19275440926178755</v>
      </c>
      <c r="V84" s="5"/>
      <c r="W84" s="5"/>
      <c r="X84" s="5"/>
      <c r="Y84" s="5"/>
      <c r="Z84" s="15"/>
      <c r="AA84" s="18">
        <v>42067.16</v>
      </c>
      <c r="AB84" s="18">
        <v>41183.519999999997</v>
      </c>
      <c r="AC84" s="4">
        <f>AB84/AA84-1</f>
        <v>-2.1005458890022699E-2</v>
      </c>
    </row>
    <row r="85" spans="1:29">
      <c r="A85" t="s">
        <v>768</v>
      </c>
      <c r="B85" t="s">
        <v>769</v>
      </c>
      <c r="C85" s="19">
        <v>200</v>
      </c>
      <c r="E85" t="s">
        <v>769</v>
      </c>
      <c r="F85" s="19">
        <v>160</v>
      </c>
      <c r="G85" t="b">
        <f>IF(B85=E85,TRUE,FALSE)</f>
        <v>1</v>
      </c>
      <c r="J85">
        <f>F85-C85</f>
        <v>-40</v>
      </c>
      <c r="K85" s="4">
        <f>F85/C85-1</f>
        <v>-0.19999999999999996</v>
      </c>
      <c r="M85" s="5">
        <v>127.52</v>
      </c>
      <c r="N85" s="5">
        <v>83.69</v>
      </c>
      <c r="Q85" s="5">
        <v>397.95</v>
      </c>
      <c r="T85" s="133">
        <f>N85-M85</f>
        <v>-43.83</v>
      </c>
      <c r="U85" s="4">
        <f>IF(M85=0,0,N85/M85-1)</f>
        <v>-0.34371079046424091</v>
      </c>
      <c r="AA85" s="18">
        <v>3790</v>
      </c>
      <c r="AB85" s="18">
        <v>3032</v>
      </c>
      <c r="AC85" s="4">
        <f>AB85/AA85-1</f>
        <v>-0.19999999999999996</v>
      </c>
    </row>
    <row r="86" spans="1:29">
      <c r="A86" t="s">
        <v>770</v>
      </c>
      <c r="B86" s="5" t="s">
        <v>771</v>
      </c>
      <c r="C86" s="19">
        <v>1888</v>
      </c>
      <c r="D86" s="5"/>
      <c r="E86" t="s">
        <v>771</v>
      </c>
      <c r="F86" s="19">
        <v>1845</v>
      </c>
      <c r="G86" t="b">
        <f>IF(B86=E86,TRUE,FALSE)</f>
        <v>1</v>
      </c>
      <c r="H86" s="5"/>
      <c r="I86" s="5"/>
      <c r="J86">
        <f>F86-C86</f>
        <v>-43</v>
      </c>
      <c r="K86" s="4">
        <f>F86/C86-1</f>
        <v>-2.2775423728813582E-2</v>
      </c>
      <c r="L86" s="5"/>
      <c r="M86" s="5">
        <v>2171.29</v>
      </c>
      <c r="N86" s="5">
        <v>1868.27</v>
      </c>
      <c r="O86" s="5"/>
      <c r="P86" s="5"/>
      <c r="Q86" s="5">
        <v>9677.77</v>
      </c>
      <c r="R86" s="5"/>
      <c r="S86" s="5"/>
      <c r="T86" s="133">
        <f>N86-M86</f>
        <v>-303.02</v>
      </c>
      <c r="U86" s="4">
        <f>IF(M86=0,0,N86/M86-1)</f>
        <v>-0.13955759018832126</v>
      </c>
      <c r="V86" s="5"/>
      <c r="W86" s="5"/>
      <c r="X86" s="5"/>
      <c r="Y86" s="5"/>
      <c r="Z86" s="15"/>
      <c r="AA86" s="18">
        <v>49007.72</v>
      </c>
      <c r="AB86" s="18">
        <v>47172.15</v>
      </c>
      <c r="AC86" s="4">
        <f>AB86/AA86-1</f>
        <v>-3.7454711216926673E-2</v>
      </c>
    </row>
    <row r="87" spans="1:29">
      <c r="A87" t="s">
        <v>772</v>
      </c>
      <c r="B87" t="s">
        <v>773</v>
      </c>
      <c r="C87" s="19">
        <v>2078</v>
      </c>
      <c r="E87" t="s">
        <v>773</v>
      </c>
      <c r="F87" s="19">
        <v>2034</v>
      </c>
      <c r="G87" t="b">
        <f>IF(B87=E87,TRUE,FALSE)</f>
        <v>1</v>
      </c>
      <c r="J87">
        <f>F87-C87</f>
        <v>-44</v>
      </c>
      <c r="K87" s="4">
        <f>F87/C87-1</f>
        <v>-2.1174205967276261E-2</v>
      </c>
      <c r="M87" s="5">
        <v>2515.38</v>
      </c>
      <c r="N87" s="5">
        <v>2432.84</v>
      </c>
      <c r="Q87" s="5">
        <v>10681.08</v>
      </c>
      <c r="T87" s="133">
        <f>N87-M87</f>
        <v>-82.539999999999964</v>
      </c>
      <c r="U87" s="4">
        <f>IF(M87=0,0,N87/M87-1)</f>
        <v>-3.2814127487695632E-2</v>
      </c>
      <c r="AA87" s="18">
        <v>40073.78</v>
      </c>
      <c r="AB87" s="18">
        <v>38328.68</v>
      </c>
      <c r="AC87" s="4">
        <f>AB87/AA87-1</f>
        <v>-4.354717723159629E-2</v>
      </c>
    </row>
    <row r="88" spans="1:29" hidden="1">
      <c r="A88" t="s">
        <v>774</v>
      </c>
      <c r="B88" t="s">
        <v>775</v>
      </c>
      <c r="C88" s="19">
        <v>0</v>
      </c>
      <c r="F88" s="19">
        <v>0</v>
      </c>
      <c r="G88" t="b">
        <f>IF(B88=E88,TRUE,FALSE)</f>
        <v>0</v>
      </c>
      <c r="J88">
        <f>F88-C88</f>
        <v>0</v>
      </c>
      <c r="K88" s="4" t="e">
        <f>F88/C88-1</f>
        <v>#DIV/0!</v>
      </c>
      <c r="M88" s="5">
        <v>0</v>
      </c>
      <c r="N88" s="5">
        <v>0</v>
      </c>
      <c r="Q88" s="5">
        <v>0</v>
      </c>
      <c r="T88" s="133">
        <f>N88-M88</f>
        <v>0</v>
      </c>
      <c r="U88" s="4">
        <f>IF(M88=0,0,N88/M88-1)</f>
        <v>0</v>
      </c>
      <c r="AA88" s="18">
        <v>0</v>
      </c>
      <c r="AB88" s="18">
        <v>0</v>
      </c>
      <c r="AC88" s="4" t="e">
        <f>AB88/AA88-1</f>
        <v>#DIV/0!</v>
      </c>
    </row>
    <row r="89" spans="1:29" s="5" customFormat="1">
      <c r="A89" t="s">
        <v>776</v>
      </c>
      <c r="B89" t="s">
        <v>777</v>
      </c>
      <c r="C89" s="19">
        <v>679</v>
      </c>
      <c r="D89"/>
      <c r="E89" t="s">
        <v>777</v>
      </c>
      <c r="F89" s="19">
        <v>633</v>
      </c>
      <c r="G89" t="b">
        <f>IF(B89=E89,TRUE,FALSE)</f>
        <v>1</v>
      </c>
      <c r="H89"/>
      <c r="I89"/>
      <c r="J89">
        <f>F89-C89</f>
        <v>-46</v>
      </c>
      <c r="K89" s="4">
        <f>F89/C89-1</f>
        <v>-6.7746686303387316E-2</v>
      </c>
      <c r="L89"/>
      <c r="M89" s="5">
        <v>1703.46</v>
      </c>
      <c r="N89" s="5">
        <v>1342.07</v>
      </c>
      <c r="O89"/>
      <c r="P89"/>
      <c r="Q89" s="5">
        <v>4252.87</v>
      </c>
      <c r="R89"/>
      <c r="S89"/>
      <c r="T89" s="133">
        <f>N89-M89</f>
        <v>-361.3900000000001</v>
      </c>
      <c r="U89" s="4">
        <f>IF(M89=0,0,N89/M89-1)</f>
        <v>-0.21215056414591482</v>
      </c>
      <c r="V89"/>
      <c r="W89"/>
      <c r="X89"/>
      <c r="Y89"/>
      <c r="Z89" s="14"/>
      <c r="AA89" s="18">
        <v>13526.1</v>
      </c>
      <c r="AB89" s="18">
        <v>12628.35</v>
      </c>
      <c r="AC89" s="4">
        <f>AB89/AA89-1</f>
        <v>-6.6371681415929196E-2</v>
      </c>
    </row>
    <row r="90" spans="1:29" s="5" customFormat="1">
      <c r="A90" t="s">
        <v>778</v>
      </c>
      <c r="B90" t="s">
        <v>779</v>
      </c>
      <c r="C90" s="19">
        <v>733</v>
      </c>
      <c r="D90"/>
      <c r="E90" t="s">
        <v>779</v>
      </c>
      <c r="F90" s="19">
        <v>683</v>
      </c>
      <c r="G90" t="b">
        <f>IF(B90=E90,TRUE,FALSE)</f>
        <v>1</v>
      </c>
      <c r="H90"/>
      <c r="I90"/>
      <c r="J90">
        <f>F90-C90</f>
        <v>-50</v>
      </c>
      <c r="K90" s="4">
        <f>F90/C90-1</f>
        <v>-6.8212824010913997E-2</v>
      </c>
      <c r="L90"/>
      <c r="M90" s="5">
        <v>891.2</v>
      </c>
      <c r="N90" s="5">
        <v>803.67</v>
      </c>
      <c r="O90"/>
      <c r="P90"/>
      <c r="Q90" s="5">
        <v>4728.66</v>
      </c>
      <c r="R90"/>
      <c r="S90"/>
      <c r="T90" s="133">
        <f>N90-M90</f>
        <v>-87.530000000000086</v>
      </c>
      <c r="U90" s="4">
        <f>IF(M90=0,0,N90/M90-1)</f>
        <v>-9.8215888689407671E-2</v>
      </c>
      <c r="V90"/>
      <c r="W90"/>
      <c r="X90"/>
      <c r="Y90"/>
      <c r="Z90" s="14"/>
      <c r="AA90" s="18">
        <v>14652.67</v>
      </c>
      <c r="AB90" s="18">
        <v>13653.17</v>
      </c>
      <c r="AC90" s="4">
        <f>AB90/AA90-1</f>
        <v>-6.8212824010913997E-2</v>
      </c>
    </row>
    <row r="91" spans="1:29" s="5" customFormat="1">
      <c r="A91" t="s">
        <v>780</v>
      </c>
      <c r="B91" t="s">
        <v>781</v>
      </c>
      <c r="C91" s="19">
        <v>1133</v>
      </c>
      <c r="D91"/>
      <c r="E91" t="s">
        <v>781</v>
      </c>
      <c r="F91" s="19">
        <v>1082</v>
      </c>
      <c r="G91" t="b">
        <f>IF(B91=E91,TRUE,FALSE)</f>
        <v>1</v>
      </c>
      <c r="H91"/>
      <c r="I91"/>
      <c r="J91">
        <f>F91-C91</f>
        <v>-51</v>
      </c>
      <c r="K91" s="4">
        <f>F91/C91-1</f>
        <v>-4.501323918799649E-2</v>
      </c>
      <c r="L91"/>
      <c r="M91" s="5">
        <v>2054.2600000000002</v>
      </c>
      <c r="N91" s="5">
        <v>1830.47</v>
      </c>
      <c r="O91"/>
      <c r="P91"/>
      <c r="Q91" s="5">
        <v>8664.64</v>
      </c>
      <c r="R91"/>
      <c r="S91"/>
      <c r="T91" s="133">
        <f>N91-M91</f>
        <v>-223.79000000000019</v>
      </c>
      <c r="U91" s="4">
        <f>IF(M91=0,0,N91/M91-1)</f>
        <v>-0.10893947212134791</v>
      </c>
      <c r="V91"/>
      <c r="W91"/>
      <c r="X91"/>
      <c r="Y91"/>
      <c r="Z91" s="14"/>
      <c r="AA91" s="18">
        <v>19187.400000000001</v>
      </c>
      <c r="AB91" s="18">
        <v>18322.95</v>
      </c>
      <c r="AC91" s="4">
        <f>AB91/AA91-1</f>
        <v>-4.5053003533568892E-2</v>
      </c>
    </row>
    <row r="92" spans="1:29" s="5" customFormat="1">
      <c r="A92" t="s">
        <v>782</v>
      </c>
      <c r="B92" t="s">
        <v>783</v>
      </c>
      <c r="C92" s="19">
        <v>672</v>
      </c>
      <c r="D92"/>
      <c r="E92" t="s">
        <v>783</v>
      </c>
      <c r="F92" s="19">
        <v>620</v>
      </c>
      <c r="G92" t="b">
        <f>IF(B92=E92,TRUE,FALSE)</f>
        <v>1</v>
      </c>
      <c r="H92"/>
      <c r="I92"/>
      <c r="J92">
        <f>F92-C92</f>
        <v>-52</v>
      </c>
      <c r="K92" s="4">
        <f>F92/C92-1</f>
        <v>-7.7380952380952328E-2</v>
      </c>
      <c r="L92"/>
      <c r="M92" s="5">
        <v>468.86</v>
      </c>
      <c r="N92" s="5">
        <v>339.01</v>
      </c>
      <c r="O92"/>
      <c r="P92"/>
      <c r="Q92" s="5">
        <v>2467.09</v>
      </c>
      <c r="R92"/>
      <c r="S92"/>
      <c r="T92" s="133">
        <f>N92-M92</f>
        <v>-129.85000000000002</v>
      </c>
      <c r="U92" s="4">
        <f>IF(M92=0,0,N92/M92-1)</f>
        <v>-0.27694834278889224</v>
      </c>
      <c r="V92"/>
      <c r="W92" t="s">
        <v>784</v>
      </c>
      <c r="X92"/>
      <c r="Y92"/>
      <c r="Z92" s="14"/>
      <c r="AA92" s="18">
        <v>16766.400000000001</v>
      </c>
      <c r="AB92" s="18">
        <v>15444.05</v>
      </c>
      <c r="AC92" s="4">
        <f>AB92/AA92-1</f>
        <v>-7.8869047619047783E-2</v>
      </c>
    </row>
    <row r="93" spans="1:29" s="5" customFormat="1">
      <c r="A93" t="s">
        <v>785</v>
      </c>
      <c r="B93" t="s">
        <v>786</v>
      </c>
      <c r="C93" s="19">
        <v>840</v>
      </c>
      <c r="D93"/>
      <c r="E93" t="s">
        <v>786</v>
      </c>
      <c r="F93" s="19">
        <v>785</v>
      </c>
      <c r="G93" t="b">
        <f>IF(B93=E93,TRUE,FALSE)</f>
        <v>1</v>
      </c>
      <c r="H93"/>
      <c r="I93"/>
      <c r="J93">
        <f>F93-C93</f>
        <v>-55</v>
      </c>
      <c r="K93" s="4">
        <f>F93/C93-1</f>
        <v>-6.5476190476190466E-2</v>
      </c>
      <c r="L93"/>
      <c r="M93" s="5">
        <v>1270.3399999999999</v>
      </c>
      <c r="N93" s="5">
        <v>1271.47</v>
      </c>
      <c r="O93"/>
      <c r="P93"/>
      <c r="Q93" s="5">
        <v>4676.99</v>
      </c>
      <c r="R93"/>
      <c r="S93"/>
      <c r="T93" s="133">
        <f>N93-M93</f>
        <v>1.1300000000001091</v>
      </c>
      <c r="U93" s="4">
        <f>IF(M93=0,0,N93/M93-1)</f>
        <v>8.8952563880551061E-4</v>
      </c>
      <c r="V93"/>
      <c r="W93"/>
      <c r="X93"/>
      <c r="Y93"/>
      <c r="Z93" s="14"/>
      <c r="AA93" s="18">
        <v>13399.62</v>
      </c>
      <c r="AB93" s="18">
        <v>12552.15</v>
      </c>
      <c r="AC93" s="4">
        <f>AB93/AA93-1</f>
        <v>-6.3245823389021516E-2</v>
      </c>
    </row>
    <row r="94" spans="1:29" s="5" customFormat="1">
      <c r="A94" t="s">
        <v>787</v>
      </c>
      <c r="B94" t="s">
        <v>788</v>
      </c>
      <c r="C94" s="19">
        <v>57</v>
      </c>
      <c r="D94"/>
      <c r="E94" t="s">
        <v>788</v>
      </c>
      <c r="F94" s="19">
        <v>0</v>
      </c>
      <c r="G94" t="b">
        <f>IF(B94=E94,TRUE,FALSE)</f>
        <v>1</v>
      </c>
      <c r="H94"/>
      <c r="I94"/>
      <c r="J94">
        <f>F94-C94</f>
        <v>-57</v>
      </c>
      <c r="K94" s="4">
        <f>F94/C94-1</f>
        <v>-1</v>
      </c>
      <c r="L94"/>
      <c r="M94" s="5">
        <v>0</v>
      </c>
      <c r="N94" s="5">
        <v>0</v>
      </c>
      <c r="O94"/>
      <c r="P94"/>
      <c r="Q94" s="5">
        <v>0</v>
      </c>
      <c r="R94"/>
      <c r="S94"/>
      <c r="T94" s="133">
        <f>N94-M94</f>
        <v>0</v>
      </c>
      <c r="U94" s="4">
        <f>IF(M94=0,0,N94/M94-1)</f>
        <v>0</v>
      </c>
      <c r="V94"/>
      <c r="W94"/>
      <c r="X94"/>
      <c r="Y94"/>
      <c r="Z94" s="14"/>
      <c r="AA94" s="18">
        <v>1137.72</v>
      </c>
      <c r="AB94" s="18">
        <v>0</v>
      </c>
      <c r="AC94" s="4">
        <f>AB94/AA94-1</f>
        <v>-1</v>
      </c>
    </row>
    <row r="95" spans="1:29" s="5" customFormat="1">
      <c r="A95" s="5" t="s">
        <v>789</v>
      </c>
      <c r="B95" s="5" t="s">
        <v>790</v>
      </c>
      <c r="C95" s="19">
        <v>1603</v>
      </c>
      <c r="E95" t="s">
        <v>790</v>
      </c>
      <c r="F95" s="19">
        <v>1544</v>
      </c>
      <c r="G95" t="b">
        <f>IF(B95=E95,TRUE,FALSE)</f>
        <v>1</v>
      </c>
      <c r="J95">
        <f>F95-C95</f>
        <v>-59</v>
      </c>
      <c r="K95" s="4">
        <f>F95/C95-1</f>
        <v>-3.6805988771054232E-2</v>
      </c>
      <c r="M95" s="5">
        <v>2340.7600000000002</v>
      </c>
      <c r="N95" s="5">
        <v>2079.64</v>
      </c>
      <c r="Q95" s="5">
        <v>9271.2800000000007</v>
      </c>
      <c r="T95" s="133">
        <f>N95-M95</f>
        <v>-261.12000000000035</v>
      </c>
      <c r="U95" s="4">
        <f>IF(M95=0,0,N95/M95-1)</f>
        <v>-0.11155351253439072</v>
      </c>
      <c r="Z95" s="15"/>
      <c r="AA95" s="18">
        <v>48043.98</v>
      </c>
      <c r="AB95" s="18">
        <v>46304.56</v>
      </c>
      <c r="AC95" s="4">
        <f>AB95/AA95-1</f>
        <v>-3.6204744069912698E-2</v>
      </c>
    </row>
    <row r="96" spans="1:29" s="5" customFormat="1">
      <c r="A96" t="s">
        <v>791</v>
      </c>
      <c r="B96" t="s">
        <v>792</v>
      </c>
      <c r="C96" s="19">
        <v>1007</v>
      </c>
      <c r="D96"/>
      <c r="E96" t="s">
        <v>792</v>
      </c>
      <c r="F96" s="19">
        <v>935</v>
      </c>
      <c r="G96" t="b">
        <f>IF(B96=E96,TRUE,FALSE)</f>
        <v>1</v>
      </c>
      <c r="H96"/>
      <c r="I96"/>
      <c r="J96">
        <f>F96-C96</f>
        <v>-72</v>
      </c>
      <c r="K96" s="4">
        <f>F96/C96-1</f>
        <v>-7.1499503475670356E-2</v>
      </c>
      <c r="L96"/>
      <c r="M96" s="5">
        <v>1239.58</v>
      </c>
      <c r="N96" s="5">
        <v>1165.56</v>
      </c>
      <c r="O96"/>
      <c r="P96"/>
      <c r="Q96" s="5">
        <v>8211.1</v>
      </c>
      <c r="R96"/>
      <c r="S96"/>
      <c r="T96" s="133">
        <f>N96-M96</f>
        <v>-74.019999999999982</v>
      </c>
      <c r="U96" s="4">
        <f>IF(M96=0,0,N96/M96-1)</f>
        <v>-5.9713774020232702E-2</v>
      </c>
      <c r="V96"/>
      <c r="W96"/>
      <c r="X96"/>
      <c r="Y96"/>
      <c r="Z96" s="14"/>
      <c r="AA96" s="18">
        <v>20089.95</v>
      </c>
      <c r="AB96" s="18">
        <v>18690.650000000001</v>
      </c>
      <c r="AC96" s="4">
        <f>AB96/AA96-1</f>
        <v>-6.9651741293532354E-2</v>
      </c>
    </row>
    <row r="97" spans="1:29">
      <c r="A97" t="s">
        <v>793</v>
      </c>
      <c r="B97" t="s">
        <v>794</v>
      </c>
      <c r="C97" s="19">
        <v>916</v>
      </c>
      <c r="E97" t="s">
        <v>794</v>
      </c>
      <c r="F97" s="19">
        <v>830</v>
      </c>
      <c r="G97" t="b">
        <f>IF(B97=E97,TRUE,FALSE)</f>
        <v>1</v>
      </c>
      <c r="J97">
        <f>F97-C97</f>
        <v>-86</v>
      </c>
      <c r="K97" s="4">
        <f>F97/C97-1</f>
        <v>-9.3886462882096122E-2</v>
      </c>
      <c r="M97" s="5">
        <v>850.69</v>
      </c>
      <c r="N97" s="5">
        <v>550.20000000000005</v>
      </c>
      <c r="Q97" s="5">
        <v>2377.8200000000002</v>
      </c>
      <c r="T97" s="133">
        <f>N97-M97</f>
        <v>-300.49</v>
      </c>
      <c r="U97" s="4">
        <f>IF(M97=0,0,N97/M97-1)</f>
        <v>-0.35323090667575729</v>
      </c>
      <c r="AA97" s="18">
        <v>20142.84</v>
      </c>
      <c r="AB97" s="18">
        <v>18251.7</v>
      </c>
      <c r="AC97" s="4">
        <f>AB97/AA97-1</f>
        <v>-9.3886462882096011E-2</v>
      </c>
    </row>
    <row r="98" spans="1:29" s="5" customFormat="1">
      <c r="A98" t="s">
        <v>795</v>
      </c>
      <c r="B98" t="s">
        <v>796</v>
      </c>
      <c r="C98" s="19">
        <v>1668</v>
      </c>
      <c r="D98"/>
      <c r="E98" t="s">
        <v>796</v>
      </c>
      <c r="F98" s="19">
        <v>1582</v>
      </c>
      <c r="G98" t="b">
        <f>IF(B98=E98,TRUE,FALSE)</f>
        <v>1</v>
      </c>
      <c r="H98"/>
      <c r="I98"/>
      <c r="J98">
        <f>F98-C98</f>
        <v>-86</v>
      </c>
      <c r="K98" s="4">
        <f>F98/C98-1</f>
        <v>-5.1558752997601931E-2</v>
      </c>
      <c r="L98"/>
      <c r="M98" s="5">
        <v>2412.29</v>
      </c>
      <c r="N98" s="5">
        <v>2306.34</v>
      </c>
      <c r="O98"/>
      <c r="P98"/>
      <c r="Q98" s="5">
        <v>8900.74</v>
      </c>
      <c r="R98"/>
      <c r="S98"/>
      <c r="T98" s="133">
        <f>N98-M98</f>
        <v>-105.94999999999982</v>
      </c>
      <c r="U98" s="4">
        <f>IF(M98=0,0,N98/M98-1)</f>
        <v>-4.3920921613902042E-2</v>
      </c>
      <c r="V98"/>
      <c r="W98"/>
      <c r="X98"/>
      <c r="Y98"/>
      <c r="Z98" s="14"/>
      <c r="AA98" s="18">
        <v>48355.32</v>
      </c>
      <c r="AB98" s="18">
        <v>45862.18</v>
      </c>
      <c r="AC98" s="4">
        <f>AB98/AA98-1</f>
        <v>-5.1558752997601931E-2</v>
      </c>
    </row>
    <row r="99" spans="1:29" s="5" customFormat="1">
      <c r="A99" t="s">
        <v>797</v>
      </c>
      <c r="B99" t="s">
        <v>798</v>
      </c>
      <c r="C99" s="19">
        <v>542</v>
      </c>
      <c r="D99"/>
      <c r="E99" t="s">
        <v>798</v>
      </c>
      <c r="F99" s="19">
        <v>453</v>
      </c>
      <c r="G99" t="b">
        <f>IF(B99=E99,TRUE,FALSE)</f>
        <v>1</v>
      </c>
      <c r="H99"/>
      <c r="I99"/>
      <c r="J99">
        <f>F99-C99</f>
        <v>-89</v>
      </c>
      <c r="K99" s="4">
        <f>F99/C99-1</f>
        <v>-0.16420664206642066</v>
      </c>
      <c r="L99"/>
      <c r="M99" s="5">
        <v>1497.23</v>
      </c>
      <c r="N99" s="5">
        <v>1132.3699999999999</v>
      </c>
      <c r="O99"/>
      <c r="P99"/>
      <c r="Q99" s="5">
        <v>4427.4799999999996</v>
      </c>
      <c r="R99"/>
      <c r="S99"/>
      <c r="T99" s="133">
        <f>N99-M99</f>
        <v>-364.86000000000013</v>
      </c>
      <c r="U99" s="4">
        <f>IF(M99=0,0,N99/M99-1)</f>
        <v>-0.24369001422627123</v>
      </c>
      <c r="V99"/>
      <c r="W99"/>
      <c r="X99"/>
      <c r="Y99"/>
      <c r="Z99" s="14"/>
      <c r="AA99" s="18">
        <v>10812.9</v>
      </c>
      <c r="AB99" s="18">
        <v>9017.4</v>
      </c>
      <c r="AC99" s="4">
        <f>AB99/AA99-1</f>
        <v>-0.16605166051660514</v>
      </c>
    </row>
    <row r="100" spans="1:29" s="5" customFormat="1">
      <c r="A100" t="s">
        <v>799</v>
      </c>
      <c r="B100" t="s">
        <v>800</v>
      </c>
      <c r="C100" s="19">
        <v>727</v>
      </c>
      <c r="D100"/>
      <c r="E100" t="s">
        <v>800</v>
      </c>
      <c r="F100" s="19">
        <v>638</v>
      </c>
      <c r="G100" t="b">
        <f>IF(B100=E100,TRUE,FALSE)</f>
        <v>1</v>
      </c>
      <c r="H100"/>
      <c r="I100"/>
      <c r="J100">
        <f>F100-C100</f>
        <v>-89</v>
      </c>
      <c r="K100" s="4">
        <f>F100/C100-1</f>
        <v>-0.12242090784044013</v>
      </c>
      <c r="L100"/>
      <c r="M100" s="5">
        <v>848.06</v>
      </c>
      <c r="N100" s="5">
        <v>565.99</v>
      </c>
      <c r="O100"/>
      <c r="P100"/>
      <c r="Q100" s="5">
        <v>3173.18</v>
      </c>
      <c r="R100"/>
      <c r="S100"/>
      <c r="T100" s="133">
        <f>N100-M100</f>
        <v>-282.06999999999994</v>
      </c>
      <c r="U100" s="4">
        <f>IF(M100=0,0,N100/M100-1)</f>
        <v>-0.33260618352475058</v>
      </c>
      <c r="V100"/>
      <c r="W100" t="s">
        <v>801</v>
      </c>
      <c r="X100"/>
      <c r="Y100" s="4" t="s">
        <v>802</v>
      </c>
      <c r="Z100" s="14"/>
      <c r="AA100" s="18">
        <v>13805.73</v>
      </c>
      <c r="AB100" s="18">
        <v>12115.62</v>
      </c>
      <c r="AC100" s="4">
        <f>AB100/AA100-1</f>
        <v>-0.12242090784044013</v>
      </c>
    </row>
    <row r="101" spans="1:29" s="5" customFormat="1" ht="15.75" customHeight="1">
      <c r="A101" t="s">
        <v>803</v>
      </c>
      <c r="B101" t="s">
        <v>804</v>
      </c>
      <c r="C101" s="19">
        <v>1319</v>
      </c>
      <c r="D101"/>
      <c r="E101" t="s">
        <v>804</v>
      </c>
      <c r="F101" s="19">
        <v>1219</v>
      </c>
      <c r="G101" t="b">
        <f>IF(B101=E101,TRUE,FALSE)</f>
        <v>1</v>
      </c>
      <c r="H101"/>
      <c r="I101"/>
      <c r="J101">
        <f>F101-C101</f>
        <v>-100</v>
      </c>
      <c r="K101" s="4">
        <f>F101/C101-1</f>
        <v>-7.5815011372251662E-2</v>
      </c>
      <c r="L101"/>
      <c r="M101" s="5">
        <v>421.2</v>
      </c>
      <c r="N101" s="5">
        <v>258.14999999999998</v>
      </c>
      <c r="O101"/>
      <c r="P101"/>
      <c r="Q101" s="5">
        <v>1944.91</v>
      </c>
      <c r="R101"/>
      <c r="S101"/>
      <c r="T101" s="133">
        <f>N101-M101</f>
        <v>-163.05000000000001</v>
      </c>
      <c r="U101" s="4">
        <f>IF(M101=0,0,N101/M101-1)</f>
        <v>-0.3871082621082621</v>
      </c>
      <c r="V101"/>
      <c r="W101"/>
      <c r="X101"/>
      <c r="Y101"/>
      <c r="Z101" s="14"/>
      <c r="AA101" s="18">
        <v>32844.39</v>
      </c>
      <c r="AB101" s="18">
        <v>30462.81</v>
      </c>
      <c r="AC101" s="4">
        <f>AB101/AA101-1</f>
        <v>-7.2511013296334581E-2</v>
      </c>
    </row>
    <row r="102" spans="1:29" s="5" customFormat="1">
      <c r="A102" t="s">
        <v>805</v>
      </c>
      <c r="B102" t="s">
        <v>806</v>
      </c>
      <c r="C102" s="19">
        <v>2312</v>
      </c>
      <c r="D102"/>
      <c r="E102" t="s">
        <v>806</v>
      </c>
      <c r="F102" s="19">
        <v>2210</v>
      </c>
      <c r="G102" t="b">
        <f>IF(B102=E102,TRUE,FALSE)</f>
        <v>1</v>
      </c>
      <c r="H102"/>
      <c r="I102"/>
      <c r="J102">
        <f>F102-C102</f>
        <v>-102</v>
      </c>
      <c r="K102" s="4">
        <f>F102/C102-1</f>
        <v>-4.4117647058823484E-2</v>
      </c>
      <c r="L102"/>
      <c r="M102" s="5">
        <v>4249.1400000000003</v>
      </c>
      <c r="N102" s="5">
        <v>3307.43</v>
      </c>
      <c r="O102"/>
      <c r="P102"/>
      <c r="Q102" s="5">
        <v>12485.77</v>
      </c>
      <c r="R102"/>
      <c r="S102"/>
      <c r="T102" s="133">
        <f>N102-M102</f>
        <v>-941.71000000000049</v>
      </c>
      <c r="U102" s="4">
        <f>IF(M102=0,0,N102/M102-1)</f>
        <v>-0.22162366973081626</v>
      </c>
      <c r="V102"/>
      <c r="W102"/>
      <c r="X102"/>
      <c r="Y102"/>
      <c r="Z102" s="14"/>
      <c r="AA102" s="18">
        <v>44114.69</v>
      </c>
      <c r="AB102" s="18">
        <v>42068.31</v>
      </c>
      <c r="AC102" s="4">
        <f>AB102/AA102-1</f>
        <v>-4.6387722547750032E-2</v>
      </c>
    </row>
    <row r="103" spans="1:29" s="5" customFormat="1">
      <c r="A103" t="s">
        <v>807</v>
      </c>
      <c r="B103" t="s">
        <v>808</v>
      </c>
      <c r="C103" s="19">
        <v>749</v>
      </c>
      <c r="D103"/>
      <c r="E103" t="s">
        <v>808</v>
      </c>
      <c r="F103" s="19">
        <v>647</v>
      </c>
      <c r="G103" t="b">
        <f>IF(B103=E103,TRUE,FALSE)</f>
        <v>1</v>
      </c>
      <c r="H103"/>
      <c r="I103"/>
      <c r="J103">
        <f>F103-C103</f>
        <v>-102</v>
      </c>
      <c r="K103" s="4">
        <f>F103/C103-1</f>
        <v>-0.13618157543391185</v>
      </c>
      <c r="L103"/>
      <c r="M103" s="5">
        <v>1210.31</v>
      </c>
      <c r="N103" s="5">
        <v>989.81</v>
      </c>
      <c r="O103"/>
      <c r="P103"/>
      <c r="Q103" s="5">
        <v>3674.62</v>
      </c>
      <c r="R103"/>
      <c r="S103"/>
      <c r="T103" s="133">
        <f>N103-M103</f>
        <v>-220.5</v>
      </c>
      <c r="U103" s="4">
        <f>IF(M103=0,0,N103/M103-1)</f>
        <v>-0.18218472953210341</v>
      </c>
      <c r="V103"/>
      <c r="W103" t="s">
        <v>809</v>
      </c>
      <c r="X103"/>
      <c r="Y103" t="s">
        <v>810</v>
      </c>
      <c r="Z103" s="14"/>
      <c r="AA103" s="18">
        <v>14972.51</v>
      </c>
      <c r="AB103" s="18">
        <v>12933.53</v>
      </c>
      <c r="AC103" s="4">
        <f>AB103/AA103-1</f>
        <v>-0.13618157543391185</v>
      </c>
    </row>
    <row r="104" spans="1:29" s="5" customFormat="1">
      <c r="A104" t="s">
        <v>811</v>
      </c>
      <c r="B104" s="5" t="s">
        <v>812</v>
      </c>
      <c r="C104" s="19">
        <v>1571</v>
      </c>
      <c r="E104" t="s">
        <v>812</v>
      </c>
      <c r="F104" s="19">
        <v>1466</v>
      </c>
      <c r="G104" t="b">
        <f>IF(B104=E104,TRUE,FALSE)</f>
        <v>1</v>
      </c>
      <c r="J104">
        <f>F104-C104</f>
        <v>-105</v>
      </c>
      <c r="K104" s="4">
        <f>F104/C104-1</f>
        <v>-6.6836409929980856E-2</v>
      </c>
      <c r="M104" s="5">
        <v>2522.2199999999998</v>
      </c>
      <c r="N104" s="5">
        <v>2388.4899999999998</v>
      </c>
      <c r="Q104" s="5">
        <v>11029.54</v>
      </c>
      <c r="T104" s="133">
        <f>N104-M104</f>
        <v>-133.73000000000002</v>
      </c>
      <c r="U104" s="4">
        <f>IF(M104=0,0,N104/M104-1)</f>
        <v>-5.3020751560133528E-2</v>
      </c>
      <c r="Z104" s="15"/>
      <c r="AA104" s="18">
        <v>30015.07</v>
      </c>
      <c r="AB104" s="18">
        <v>27706.38</v>
      </c>
      <c r="AC104" s="4">
        <f>AB104/AA104-1</f>
        <v>-7.6917695011206044E-2</v>
      </c>
    </row>
    <row r="105" spans="1:29" s="5" customFormat="1">
      <c r="A105" s="28" t="s">
        <v>813</v>
      </c>
      <c r="B105" s="28" t="s">
        <v>814</v>
      </c>
      <c r="C105" s="19">
        <v>850</v>
      </c>
      <c r="D105"/>
      <c r="E105" s="28" t="s">
        <v>814</v>
      </c>
      <c r="F105" s="19">
        <v>745</v>
      </c>
      <c r="G105" t="b">
        <f>IF(B105=E105,TRUE,FALSE)</f>
        <v>1</v>
      </c>
      <c r="H105"/>
      <c r="I105"/>
      <c r="J105">
        <f>F105-C105</f>
        <v>-105</v>
      </c>
      <c r="K105" s="4">
        <f>F105/C105-1</f>
        <v>-0.12352941176470589</v>
      </c>
      <c r="L105"/>
      <c r="M105" s="5">
        <v>2405.41</v>
      </c>
      <c r="N105" s="5">
        <v>1262.54</v>
      </c>
      <c r="O105"/>
      <c r="P105"/>
      <c r="Q105" s="5">
        <v>3850.14</v>
      </c>
      <c r="R105"/>
      <c r="S105"/>
      <c r="T105" s="133">
        <f>N105-M105</f>
        <v>-1142.8699999999999</v>
      </c>
      <c r="U105" s="4">
        <f>IF(M105=0,0,N105/M105-1)</f>
        <v>-0.47512482279528223</v>
      </c>
      <c r="V105"/>
      <c r="W105"/>
      <c r="X105"/>
      <c r="Y105"/>
      <c r="Z105" s="14"/>
      <c r="AA105" s="18">
        <v>11748.83</v>
      </c>
      <c r="AB105" s="18">
        <v>10360.41</v>
      </c>
      <c r="AC105" s="4">
        <f>AB105/AA105-1</f>
        <v>-0.11817517148516066</v>
      </c>
    </row>
    <row r="106" spans="1:29" s="5" customFormat="1">
      <c r="A106" t="s">
        <v>815</v>
      </c>
      <c r="B106" t="s">
        <v>816</v>
      </c>
      <c r="C106" s="19">
        <v>1623</v>
      </c>
      <c r="D106"/>
      <c r="E106" t="s">
        <v>816</v>
      </c>
      <c r="F106" s="19">
        <v>1515</v>
      </c>
      <c r="G106" t="b">
        <f>IF(B106=E106,TRUE,FALSE)</f>
        <v>1</v>
      </c>
      <c r="H106"/>
      <c r="I106"/>
      <c r="J106">
        <f>F106-C106</f>
        <v>-108</v>
      </c>
      <c r="K106" s="4">
        <f>F106/C106-1</f>
        <v>-6.6543438077633965E-2</v>
      </c>
      <c r="L106"/>
      <c r="M106" s="5">
        <v>2929.66</v>
      </c>
      <c r="N106" s="5">
        <v>2574.21</v>
      </c>
      <c r="O106"/>
      <c r="P106"/>
      <c r="Q106" s="5">
        <v>11569.32</v>
      </c>
      <c r="R106"/>
      <c r="S106"/>
      <c r="T106" s="133">
        <f>N106-M106</f>
        <v>-355.44999999999982</v>
      </c>
      <c r="U106" s="4">
        <f>IF(M106=0,0,N106/M106-1)</f>
        <v>-0.12132807219950437</v>
      </c>
      <c r="V106"/>
      <c r="W106" t="s">
        <v>817</v>
      </c>
      <c r="X106"/>
      <c r="Y106" t="s">
        <v>818</v>
      </c>
      <c r="Z106" s="14"/>
      <c r="AA106" s="18">
        <v>32358.9</v>
      </c>
      <c r="AB106" s="18">
        <v>30224.25</v>
      </c>
      <c r="AC106" s="4">
        <f>AB106/AA106-1</f>
        <v>-6.5967940813810189E-2</v>
      </c>
    </row>
    <row r="107" spans="1:29" s="5" customFormat="1">
      <c r="A107" s="55" t="s">
        <v>819</v>
      </c>
      <c r="B107" s="38" t="s">
        <v>820</v>
      </c>
      <c r="C107" s="19">
        <v>699</v>
      </c>
      <c r="D107"/>
      <c r="E107" s="38" t="s">
        <v>820</v>
      </c>
      <c r="F107" s="19">
        <v>590</v>
      </c>
      <c r="G107" t="b">
        <f>IF(B107=E107,TRUE,FALSE)</f>
        <v>1</v>
      </c>
      <c r="H107"/>
      <c r="I107"/>
      <c r="J107">
        <f>F107-C107</f>
        <v>-109</v>
      </c>
      <c r="K107" s="4">
        <f>F107/C108-1</f>
        <v>-0.78276877761413843</v>
      </c>
      <c r="L107"/>
      <c r="M107" s="5">
        <v>1233.22</v>
      </c>
      <c r="N107" s="5">
        <v>1173.47</v>
      </c>
      <c r="O107"/>
      <c r="P107"/>
      <c r="Q107" s="5">
        <v>3975.47</v>
      </c>
      <c r="R107"/>
      <c r="S107"/>
      <c r="T107" s="133">
        <f>N107-M107</f>
        <v>-59.75</v>
      </c>
      <c r="U107" s="4">
        <f>IF(M107=0,0,N107/M107-1)</f>
        <v>-4.8450398144694429E-2</v>
      </c>
      <c r="V107"/>
      <c r="W107"/>
      <c r="X107"/>
      <c r="Y107"/>
      <c r="Z107" s="14"/>
      <c r="AA107" s="18">
        <v>13532.01</v>
      </c>
      <c r="AB107" s="18">
        <v>12592.1</v>
      </c>
      <c r="AC107" s="4">
        <f>AB107/AA107-1</f>
        <v>-6.9458269687947327E-2</v>
      </c>
    </row>
    <row r="108" spans="1:29" s="5" customFormat="1">
      <c r="A108" t="s">
        <v>821</v>
      </c>
      <c r="B108" t="s">
        <v>822</v>
      </c>
      <c r="C108" s="19">
        <v>2716</v>
      </c>
      <c r="D108"/>
      <c r="E108" t="s">
        <v>822</v>
      </c>
      <c r="F108" s="19">
        <v>2596</v>
      </c>
      <c r="G108" t="b">
        <f>IF(B108=E108,TRUE,FALSE)</f>
        <v>1</v>
      </c>
      <c r="H108"/>
      <c r="I108"/>
      <c r="J108">
        <f>F108-C108</f>
        <v>-120</v>
      </c>
      <c r="K108" s="4">
        <f>F108/C108-1</f>
        <v>-4.4182621502209085E-2</v>
      </c>
      <c r="L108"/>
      <c r="M108" s="5">
        <v>3724.74</v>
      </c>
      <c r="N108" s="5">
        <v>3771.4</v>
      </c>
      <c r="O108"/>
      <c r="P108"/>
      <c r="Q108" s="5">
        <v>18330.009999999998</v>
      </c>
      <c r="R108"/>
      <c r="S108"/>
      <c r="T108" s="133">
        <f>N108-M108</f>
        <v>46.660000000000309</v>
      </c>
      <c r="U108" s="4">
        <f>IF(M108=0,0,N108/M108-1)</f>
        <v>1.2527048867840618E-2</v>
      </c>
      <c r="V108"/>
      <c r="W108" t="s">
        <v>823</v>
      </c>
      <c r="X108"/>
      <c r="Y108" t="s">
        <v>824</v>
      </c>
      <c r="Z108" s="14" t="s">
        <v>825</v>
      </c>
      <c r="AA108" s="18">
        <v>70588.84</v>
      </c>
      <c r="AB108" s="18">
        <v>68594.87</v>
      </c>
      <c r="AC108" s="4">
        <f>AB108/AA108-1</f>
        <v>-2.8247666344991651E-2</v>
      </c>
    </row>
    <row r="109" spans="1:29" s="5" customFormat="1">
      <c r="A109" t="s">
        <v>826</v>
      </c>
      <c r="B109" t="s">
        <v>827</v>
      </c>
      <c r="C109" s="19">
        <v>3253</v>
      </c>
      <c r="D109"/>
      <c r="E109" t="s">
        <v>827</v>
      </c>
      <c r="F109" s="19">
        <v>3132</v>
      </c>
      <c r="G109" t="b">
        <f>IF(B109=E109,TRUE,FALSE)</f>
        <v>1</v>
      </c>
      <c r="H109"/>
      <c r="I109"/>
      <c r="J109">
        <f>F109-C109</f>
        <v>-121</v>
      </c>
      <c r="K109" s="4">
        <f>F109/C109-1</f>
        <v>-3.7196434060866923E-2</v>
      </c>
      <c r="L109"/>
      <c r="M109" s="5">
        <v>2380.19</v>
      </c>
      <c r="N109" s="5">
        <v>1974.23</v>
      </c>
      <c r="O109"/>
      <c r="P109"/>
      <c r="Q109" s="5">
        <v>17814.52</v>
      </c>
      <c r="R109"/>
      <c r="S109"/>
      <c r="T109" s="133">
        <f>N109-M109</f>
        <v>-405.96000000000004</v>
      </c>
      <c r="U109" s="4">
        <f>IF(M109=0,0,N109/M109-1)</f>
        <v>-0.17055781261159819</v>
      </c>
      <c r="V109"/>
      <c r="W109"/>
      <c r="X109"/>
      <c r="Y109"/>
      <c r="Z109" s="14"/>
      <c r="AA109" s="18">
        <v>73753.08</v>
      </c>
      <c r="AB109" s="18">
        <v>70875.7</v>
      </c>
      <c r="AC109" s="4">
        <f>AB109/AA109-1</f>
        <v>-3.9013692716290738E-2</v>
      </c>
    </row>
    <row r="110" spans="1:29" s="5" customFormat="1">
      <c r="A110" t="s">
        <v>828</v>
      </c>
      <c r="B110" t="s">
        <v>829</v>
      </c>
      <c r="C110" s="19">
        <v>1071</v>
      </c>
      <c r="D110"/>
      <c r="E110" t="s">
        <v>829</v>
      </c>
      <c r="F110" s="19">
        <v>947</v>
      </c>
      <c r="G110" t="b">
        <f>IF(B110=E110,TRUE,FALSE)</f>
        <v>1</v>
      </c>
      <c r="H110"/>
      <c r="I110"/>
      <c r="J110">
        <f>F110-C110</f>
        <v>-124</v>
      </c>
      <c r="K110" s="4">
        <f>F110/C110-1</f>
        <v>-0.11577964519140993</v>
      </c>
      <c r="L110"/>
      <c r="M110" s="5">
        <v>1998.48</v>
      </c>
      <c r="N110" s="5">
        <v>1614.48</v>
      </c>
      <c r="O110"/>
      <c r="P110"/>
      <c r="Q110" s="5">
        <v>8526.4699999999993</v>
      </c>
      <c r="R110"/>
      <c r="S110"/>
      <c r="T110" s="133">
        <f>N110-M110</f>
        <v>-384</v>
      </c>
      <c r="U110" s="4">
        <f>IF(M110=0,0,N110/M110-1)</f>
        <v>-0.19214603098354754</v>
      </c>
      <c r="V110"/>
      <c r="W110"/>
      <c r="X110"/>
      <c r="Y110"/>
      <c r="Z110" s="14"/>
      <c r="AA110" s="18">
        <v>17272.29</v>
      </c>
      <c r="AB110" s="18">
        <v>16089.53</v>
      </c>
      <c r="AC110" s="4">
        <f>AB110/AA110-1</f>
        <v>-6.8477312504595544E-2</v>
      </c>
    </row>
    <row r="111" spans="1:29" s="5" customFormat="1">
      <c r="A111" t="s">
        <v>830</v>
      </c>
      <c r="B111" t="s">
        <v>831</v>
      </c>
      <c r="C111" s="19">
        <v>871</v>
      </c>
      <c r="E111" t="s">
        <v>831</v>
      </c>
      <c r="F111" s="19">
        <v>739</v>
      </c>
      <c r="G111" t="b">
        <f>IF(B111=E111,TRUE,FALSE)</f>
        <v>1</v>
      </c>
      <c r="J111">
        <f>F111-C111</f>
        <v>-132</v>
      </c>
      <c r="K111" s="4">
        <f>F111/C111-1</f>
        <v>-0.15154994259471877</v>
      </c>
      <c r="M111" s="5">
        <v>1515.09</v>
      </c>
      <c r="N111" s="5">
        <v>490.71</v>
      </c>
      <c r="Q111" s="5">
        <v>2803.14</v>
      </c>
      <c r="T111" s="133">
        <f>N111-M111</f>
        <v>-1024.3799999999999</v>
      </c>
      <c r="U111" s="4">
        <f>IF(M111=0,0,N111/M111-1)</f>
        <v>-0.67611825040096629</v>
      </c>
      <c r="Z111" s="15"/>
      <c r="AA111" s="18">
        <v>16280.29</v>
      </c>
      <c r="AB111" s="18">
        <v>14033.61</v>
      </c>
      <c r="AC111" s="4">
        <f>AB111/AA111-1</f>
        <v>-0.13799999877152069</v>
      </c>
    </row>
    <row r="112" spans="1:29" s="5" customFormat="1">
      <c r="A112" s="25" t="s">
        <v>832</v>
      </c>
      <c r="B112" s="24" t="s">
        <v>833</v>
      </c>
      <c r="C112" s="19">
        <v>2545</v>
      </c>
      <c r="E112" s="24" t="s">
        <v>833</v>
      </c>
      <c r="F112" s="19">
        <v>2411</v>
      </c>
      <c r="G112" t="b">
        <f>IF(B112=E112,TRUE,FALSE)</f>
        <v>1</v>
      </c>
      <c r="J112">
        <f>F112-C112</f>
        <v>-134</v>
      </c>
      <c r="K112" s="4">
        <f>F112/C112-1</f>
        <v>-5.2652259332023554E-2</v>
      </c>
      <c r="M112" s="5">
        <v>1973.44</v>
      </c>
      <c r="N112" s="5">
        <v>2401.61</v>
      </c>
      <c r="Q112" s="5">
        <v>8642.91</v>
      </c>
      <c r="T112" s="133">
        <f>N112-M112</f>
        <v>428.17000000000007</v>
      </c>
      <c r="U112" s="4">
        <f>IF(M112=0,0,N112/M112-1)</f>
        <v>0.21696631263174959</v>
      </c>
      <c r="Z112" s="15"/>
      <c r="AA112" s="18">
        <v>68677.56</v>
      </c>
      <c r="AB112" s="18">
        <v>65021.23</v>
      </c>
      <c r="AC112" s="4">
        <f>AB112/AA112-1</f>
        <v>-5.3239078383099159E-2</v>
      </c>
    </row>
    <row r="113" spans="1:29" s="5" customFormat="1">
      <c r="A113" t="s">
        <v>834</v>
      </c>
      <c r="B113" t="s">
        <v>835</v>
      </c>
      <c r="C113" s="19">
        <v>797</v>
      </c>
      <c r="D113"/>
      <c r="E113" t="s">
        <v>835</v>
      </c>
      <c r="F113" s="19">
        <v>655</v>
      </c>
      <c r="G113" t="b">
        <f>IF(B113=E113,TRUE,FALSE)</f>
        <v>1</v>
      </c>
      <c r="H113"/>
      <c r="I113"/>
      <c r="J113">
        <f>F113-C113</f>
        <v>-142</v>
      </c>
      <c r="K113" s="4">
        <f>F113/C113-1</f>
        <v>-0.178168130489335</v>
      </c>
      <c r="L113"/>
      <c r="M113" s="5">
        <v>70.78</v>
      </c>
      <c r="N113" s="5">
        <v>252.44</v>
      </c>
      <c r="O113"/>
      <c r="P113"/>
      <c r="Q113" s="5">
        <v>1998.11</v>
      </c>
      <c r="R113"/>
      <c r="S113"/>
      <c r="T113" s="133">
        <f>N113-M113</f>
        <v>181.66</v>
      </c>
      <c r="U113" s="4">
        <f>IF(M113=0,0,N113/M113-1)</f>
        <v>2.566544221531506</v>
      </c>
      <c r="V113"/>
      <c r="W113"/>
      <c r="X113"/>
      <c r="Y113"/>
      <c r="Z113" s="14"/>
      <c r="AA113" s="18">
        <v>22280.04</v>
      </c>
      <c r="AB113" s="18">
        <v>18333.45</v>
      </c>
      <c r="AC113" s="4">
        <f>AB113/AA113-1</f>
        <v>-0.17713567839195976</v>
      </c>
    </row>
    <row r="114" spans="1:29" s="5" customFormat="1">
      <c r="A114" t="s">
        <v>836</v>
      </c>
      <c r="B114" t="s">
        <v>837</v>
      </c>
      <c r="C114" s="19">
        <v>875</v>
      </c>
      <c r="D114"/>
      <c r="E114" t="s">
        <v>837</v>
      </c>
      <c r="F114" s="19">
        <v>724</v>
      </c>
      <c r="G114" t="b">
        <f>IF(B114=E114,TRUE,FALSE)</f>
        <v>1</v>
      </c>
      <c r="H114"/>
      <c r="I114"/>
      <c r="J114">
        <f>F114-C114</f>
        <v>-151</v>
      </c>
      <c r="K114" s="4">
        <f>F114/C114-1</f>
        <v>-0.1725714285714286</v>
      </c>
      <c r="L114"/>
      <c r="M114" s="5">
        <v>1357.85</v>
      </c>
      <c r="N114" s="5">
        <v>699.33</v>
      </c>
      <c r="O114"/>
      <c r="P114"/>
      <c r="Q114" s="5">
        <v>2877.45</v>
      </c>
      <c r="R114"/>
      <c r="S114"/>
      <c r="T114" s="133">
        <f>N114-M114</f>
        <v>-658.51999999999987</v>
      </c>
      <c r="U114" s="4">
        <f>IF(M114=0,0,N114/M114-1)</f>
        <v>-0.48497256692565449</v>
      </c>
      <c r="V114"/>
      <c r="W114"/>
      <c r="X114"/>
      <c r="Y114"/>
      <c r="Z114" s="14"/>
      <c r="AA114" s="18">
        <v>16599.27</v>
      </c>
      <c r="AB114" s="18">
        <v>13748.76</v>
      </c>
      <c r="AC114" s="4">
        <f>AB114/AA114-1</f>
        <v>-0.17172502164251802</v>
      </c>
    </row>
    <row r="115" spans="1:29" s="5" customFormat="1">
      <c r="A115" t="s">
        <v>838</v>
      </c>
      <c r="B115" t="s">
        <v>839</v>
      </c>
      <c r="C115" s="19">
        <v>1877</v>
      </c>
      <c r="E115" t="s">
        <v>839</v>
      </c>
      <c r="F115" s="19">
        <v>1713</v>
      </c>
      <c r="G115" t="b">
        <f>IF(B115=E115,TRUE,FALSE)</f>
        <v>1</v>
      </c>
      <c r="J115">
        <f>F115-C115</f>
        <v>-164</v>
      </c>
      <c r="K115" s="4">
        <f>F115/C115-1</f>
        <v>-8.737346830047954E-2</v>
      </c>
      <c r="M115" s="5">
        <v>3325.87</v>
      </c>
      <c r="N115" s="5">
        <v>3047.23</v>
      </c>
      <c r="Q115" s="5">
        <v>15665.36</v>
      </c>
      <c r="T115" s="133">
        <f>N115-M115</f>
        <v>-278.63999999999987</v>
      </c>
      <c r="U115" s="4">
        <f>IF(M115=0,0,N115/M115-1)</f>
        <v>-8.3779582485184245E-2</v>
      </c>
      <c r="Z115" s="15"/>
      <c r="AA115" s="18">
        <v>44715.23</v>
      </c>
      <c r="AB115" s="18">
        <v>41540.870000000003</v>
      </c>
      <c r="AC115" s="4">
        <f>AB115/AA115-1</f>
        <v>-7.0990577483331707E-2</v>
      </c>
    </row>
    <row r="116" spans="1:29" s="5" customFormat="1">
      <c r="A116" t="s">
        <v>840</v>
      </c>
      <c r="B116" t="s">
        <v>841</v>
      </c>
      <c r="C116" s="19">
        <v>1621</v>
      </c>
      <c r="D116"/>
      <c r="E116" t="s">
        <v>841</v>
      </c>
      <c r="F116" s="19">
        <v>1456</v>
      </c>
      <c r="G116" t="b">
        <f>IF(B116=E116,TRUE,FALSE)</f>
        <v>1</v>
      </c>
      <c r="H116"/>
      <c r="I116"/>
      <c r="J116">
        <f>F116-C116</f>
        <v>-165</v>
      </c>
      <c r="K116" s="4">
        <f>F116/C116-1</f>
        <v>-0.10178901912399752</v>
      </c>
      <c r="L116"/>
      <c r="M116" s="5">
        <v>3352.86</v>
      </c>
      <c r="N116" s="5">
        <v>2912.17</v>
      </c>
      <c r="O116"/>
      <c r="P116"/>
      <c r="Q116" s="5">
        <v>12600.39</v>
      </c>
      <c r="R116"/>
      <c r="S116"/>
      <c r="T116" s="133">
        <f>N116-M116</f>
        <v>-440.69000000000005</v>
      </c>
      <c r="U116" s="4">
        <f>IF(M116=0,0,N116/M116-1)</f>
        <v>-0.13143704180908244</v>
      </c>
      <c r="V116"/>
      <c r="W116"/>
      <c r="X116"/>
      <c r="Y116"/>
      <c r="Z116" s="14"/>
      <c r="AA116" s="18">
        <v>32403.79</v>
      </c>
      <c r="AB116" s="18">
        <v>29085.45</v>
      </c>
      <c r="AC116" s="4">
        <f>AB116/AA116-1</f>
        <v>-0.10240592227020362</v>
      </c>
    </row>
    <row r="117" spans="1:29">
      <c r="A117" s="152" t="s">
        <v>842</v>
      </c>
      <c r="B117" s="38" t="s">
        <v>843</v>
      </c>
      <c r="C117">
        <v>765</v>
      </c>
      <c r="E117" s="38" t="s">
        <v>843</v>
      </c>
      <c r="F117">
        <v>589</v>
      </c>
      <c r="G117" t="b">
        <f>IF(B117=E117,TRUE,FALSE)</f>
        <v>1</v>
      </c>
      <c r="J117">
        <f>F117-C117</f>
        <v>-176</v>
      </c>
      <c r="K117" s="4">
        <f>F117/C117-1</f>
        <v>-0.23006535947712414</v>
      </c>
      <c r="M117" s="154">
        <v>578.95000000000005</v>
      </c>
      <c r="N117" s="154">
        <v>1329.67</v>
      </c>
      <c r="Q117" s="5">
        <v>7985.58</v>
      </c>
      <c r="T117" s="133">
        <f>N117-M117</f>
        <v>750.72</v>
      </c>
      <c r="U117" s="4">
        <f>IF(M117=0,0,N117/M117-1)</f>
        <v>1.2966922877623284</v>
      </c>
      <c r="AA117">
        <v>21646.65</v>
      </c>
      <c r="AB117">
        <v>15747.61</v>
      </c>
      <c r="AC117" s="4">
        <f>AB117/AA117-1</f>
        <v>-0.27251514668551491</v>
      </c>
    </row>
    <row r="118" spans="1:29">
      <c r="A118" s="152" t="s">
        <v>844</v>
      </c>
      <c r="B118" s="38" t="s">
        <v>845</v>
      </c>
      <c r="C118">
        <v>1655</v>
      </c>
      <c r="E118" s="38" t="s">
        <v>845</v>
      </c>
      <c r="F118">
        <v>1478</v>
      </c>
      <c r="G118" t="b">
        <f>IF(B118=E118,TRUE,FALSE)</f>
        <v>1</v>
      </c>
      <c r="J118">
        <f>F118-C118</f>
        <v>-177</v>
      </c>
      <c r="K118" s="4">
        <f>F118/C118-1</f>
        <v>-0.10694864048338371</v>
      </c>
      <c r="M118" s="154">
        <v>2037.25</v>
      </c>
      <c r="N118" s="154">
        <v>1968.71</v>
      </c>
      <c r="Q118" s="5">
        <v>7878.36</v>
      </c>
      <c r="T118" s="133">
        <f>N118-M118</f>
        <v>-68.539999999999964</v>
      </c>
      <c r="U118" s="4">
        <f>IF(M118=0,0,N118/M118-1)</f>
        <v>-3.3643391827218094E-2</v>
      </c>
      <c r="AA118">
        <v>31447.45</v>
      </c>
      <c r="AB118">
        <v>35357.230000000003</v>
      </c>
      <c r="AC118" s="4">
        <f>AB118/AA118-1</f>
        <v>0.12432740969458589</v>
      </c>
    </row>
    <row r="119" spans="1:29">
      <c r="A119" t="s">
        <v>846</v>
      </c>
      <c r="B119" t="s">
        <v>847</v>
      </c>
      <c r="C119" s="19">
        <v>899</v>
      </c>
      <c r="E119" t="s">
        <v>847</v>
      </c>
      <c r="F119" s="19">
        <v>720</v>
      </c>
      <c r="G119" t="b">
        <f>IF(B119=E119,TRUE,FALSE)</f>
        <v>1</v>
      </c>
      <c r="J119">
        <f>F119-C119</f>
        <v>-179</v>
      </c>
      <c r="K119" s="4">
        <f>F119/C119-1</f>
        <v>-0.19911012235817571</v>
      </c>
      <c r="M119" s="5">
        <v>1560.91</v>
      </c>
      <c r="N119" s="5">
        <v>794.18</v>
      </c>
      <c r="Q119" s="5">
        <v>8141.77</v>
      </c>
      <c r="T119" s="133">
        <f>N119-M119</f>
        <v>-766.73000000000013</v>
      </c>
      <c r="U119" s="4">
        <f>IF(M119=0,0,N119/M119-1)</f>
        <v>-0.49120705229641692</v>
      </c>
      <c r="AA119" s="18">
        <v>24334.01</v>
      </c>
      <c r="AB119" s="18">
        <v>20872.8</v>
      </c>
      <c r="AC119" s="4">
        <f>AB119/AA119-1</f>
        <v>-0.14223755147630823</v>
      </c>
    </row>
    <row r="120" spans="1:29">
      <c r="A120" t="s">
        <v>848</v>
      </c>
      <c r="B120" t="s">
        <v>849</v>
      </c>
      <c r="C120" s="19">
        <v>1078</v>
      </c>
      <c r="D120" s="5"/>
      <c r="E120" t="s">
        <v>849</v>
      </c>
      <c r="F120" s="19">
        <v>895</v>
      </c>
      <c r="G120" t="b">
        <f>IF(B120=E120,TRUE,FALSE)</f>
        <v>1</v>
      </c>
      <c r="H120" s="5"/>
      <c r="I120" s="5"/>
      <c r="J120">
        <f>F120-C120</f>
        <v>-183</v>
      </c>
      <c r="K120" s="4">
        <f>F120/C120-1</f>
        <v>-0.16975881261595549</v>
      </c>
      <c r="L120" s="5"/>
      <c r="M120" s="5">
        <v>2040.84</v>
      </c>
      <c r="N120" s="5">
        <v>1231.1199999999999</v>
      </c>
      <c r="O120" s="5"/>
      <c r="P120" s="5"/>
      <c r="Q120" s="5">
        <v>7928.72</v>
      </c>
      <c r="R120" s="5"/>
      <c r="S120" s="5"/>
      <c r="T120" s="133">
        <f>N120-M120</f>
        <v>-809.72</v>
      </c>
      <c r="U120" s="4">
        <f>IF(M120=0,0,N120/M120-1)</f>
        <v>-0.39675819760490783</v>
      </c>
      <c r="V120" s="5"/>
      <c r="W120" s="5"/>
      <c r="X120" s="5"/>
      <c r="Y120" s="5"/>
      <c r="Z120" s="15"/>
      <c r="AA120" s="18">
        <v>17221.23</v>
      </c>
      <c r="AB120" s="18">
        <v>14311.05</v>
      </c>
      <c r="AC120" s="4">
        <f>AB120/AA120-1</f>
        <v>-0.16898792943361196</v>
      </c>
    </row>
    <row r="121" spans="1:29">
      <c r="A121" s="25" t="s">
        <v>850</v>
      </c>
      <c r="B121" s="24" t="s">
        <v>851</v>
      </c>
      <c r="C121" s="19">
        <v>1003</v>
      </c>
      <c r="D121" s="5"/>
      <c r="E121" s="24" t="s">
        <v>851</v>
      </c>
      <c r="F121" s="19">
        <v>814</v>
      </c>
      <c r="G121" t="b">
        <f>IF(B121=E121,TRUE,FALSE)</f>
        <v>1</v>
      </c>
      <c r="H121" s="5"/>
      <c r="I121" s="5"/>
      <c r="J121">
        <f>F121-C121</f>
        <v>-189</v>
      </c>
      <c r="K121" s="4">
        <f>F121/C121-1</f>
        <v>-0.18843469591226325</v>
      </c>
      <c r="L121" s="5"/>
      <c r="M121" s="5">
        <v>1936.47</v>
      </c>
      <c r="N121" s="5">
        <v>1278.29</v>
      </c>
      <c r="O121" s="5"/>
      <c r="P121" s="5"/>
      <c r="Q121" s="5">
        <v>6473.61</v>
      </c>
      <c r="R121" s="5"/>
      <c r="S121" s="5"/>
      <c r="T121" s="133">
        <f>N121-M121</f>
        <v>-658.18000000000006</v>
      </c>
      <c r="U121" s="4">
        <f>IF(M121=0,0,N121/M121-1)</f>
        <v>-0.33988649449772013</v>
      </c>
      <c r="V121" s="5"/>
      <c r="W121" s="5"/>
      <c r="X121" s="5"/>
      <c r="Y121" s="5"/>
      <c r="Z121" s="15"/>
      <c r="AA121" s="18">
        <v>15034.97</v>
      </c>
      <c r="AB121" s="18">
        <v>12201.86</v>
      </c>
      <c r="AC121" s="4">
        <f>AB121/AA121-1</f>
        <v>-0.18843469591226314</v>
      </c>
    </row>
    <row r="122" spans="1:29">
      <c r="A122" t="s">
        <v>852</v>
      </c>
      <c r="B122" t="s">
        <v>853</v>
      </c>
      <c r="C122" s="19">
        <v>1235</v>
      </c>
      <c r="D122" s="5"/>
      <c r="E122" t="s">
        <v>853</v>
      </c>
      <c r="F122" s="19">
        <v>1043</v>
      </c>
      <c r="G122" t="b">
        <f>IF(B122=E122,TRUE,FALSE)</f>
        <v>1</v>
      </c>
      <c r="H122" s="5"/>
      <c r="I122" s="5"/>
      <c r="J122">
        <f>F122-C122</f>
        <v>-192</v>
      </c>
      <c r="K122" s="4">
        <f>F122/C122-1</f>
        <v>-0.15546558704453439</v>
      </c>
      <c r="L122" s="5"/>
      <c r="M122" s="5">
        <v>2416.15</v>
      </c>
      <c r="N122" s="5">
        <v>1745.29</v>
      </c>
      <c r="O122" s="5"/>
      <c r="P122" s="5"/>
      <c r="Q122" s="5">
        <v>7376.77</v>
      </c>
      <c r="R122" s="5"/>
      <c r="S122" s="5"/>
      <c r="T122" s="133">
        <f>N122-M122</f>
        <v>-670.86000000000013</v>
      </c>
      <c r="U122" s="4">
        <f>IF(M122=0,0,N122/M122-1)</f>
        <v>-0.27765660244604018</v>
      </c>
      <c r="V122" s="5"/>
      <c r="W122" s="5"/>
      <c r="X122" s="5"/>
      <c r="Y122" s="5"/>
      <c r="Z122" s="15"/>
      <c r="AA122" s="18">
        <v>33327.86</v>
      </c>
      <c r="AB122" s="18">
        <v>28141.65</v>
      </c>
      <c r="AC122" s="4">
        <f>AB122/AA122-1</f>
        <v>-0.15561185146601064</v>
      </c>
    </row>
    <row r="123" spans="1:29">
      <c r="A123" t="s">
        <v>854</v>
      </c>
      <c r="B123" s="28" t="s">
        <v>855</v>
      </c>
      <c r="C123" s="19">
        <v>1088</v>
      </c>
      <c r="D123" s="19"/>
      <c r="E123" s="28" t="s">
        <v>855</v>
      </c>
      <c r="F123" s="19">
        <v>889</v>
      </c>
      <c r="G123" t="b">
        <f>IF(B123=E123,TRUE,FALSE)</f>
        <v>1</v>
      </c>
      <c r="J123">
        <f>F123-C123</f>
        <v>-199</v>
      </c>
      <c r="K123" s="4">
        <f>F123/C123-1</f>
        <v>-0.18290441176470584</v>
      </c>
      <c r="M123" s="19">
        <v>1627.5</v>
      </c>
      <c r="N123" s="19">
        <v>1449.18</v>
      </c>
      <c r="Q123" s="5">
        <v>5972.48</v>
      </c>
      <c r="T123" s="135">
        <f>N123-M123</f>
        <v>-178.31999999999994</v>
      </c>
      <c r="U123" s="4">
        <f>IF(M123=0,0,N123/M123-1)</f>
        <v>-0.10956682027649767</v>
      </c>
      <c r="AA123" s="18">
        <v>21997.119999999999</v>
      </c>
      <c r="AB123" s="18">
        <v>19549.11</v>
      </c>
      <c r="AC123" s="4">
        <f>AB123/AA123-1</f>
        <v>-0.11128775039641547</v>
      </c>
    </row>
    <row r="124" spans="1:29">
      <c r="A124" s="56" t="s">
        <v>856</v>
      </c>
      <c r="B124" s="38" t="s">
        <v>857</v>
      </c>
      <c r="C124" s="19">
        <v>874</v>
      </c>
      <c r="E124" s="38" t="s">
        <v>857</v>
      </c>
      <c r="F124" s="19">
        <v>673</v>
      </c>
      <c r="G124" t="b">
        <f>IF(B124=E124,TRUE,FALSE)</f>
        <v>1</v>
      </c>
      <c r="J124">
        <f>F124-C124</f>
        <v>-201</v>
      </c>
      <c r="K124" s="4">
        <f>F124/C125-1</f>
        <v>-0.32293762575452711</v>
      </c>
      <c r="M124" s="5">
        <v>2051.1799999999998</v>
      </c>
      <c r="N124" s="5">
        <v>1512.98</v>
      </c>
      <c r="Q124" s="5">
        <v>6430.25</v>
      </c>
      <c r="T124" s="133">
        <f>N124-M124</f>
        <v>-538.19999999999982</v>
      </c>
      <c r="U124" s="4">
        <f>IF(M124=0,0,N124/M124-1)</f>
        <v>-0.26238555368129557</v>
      </c>
      <c r="AA124" s="18">
        <v>12227.26</v>
      </c>
      <c r="AB124" s="18">
        <v>9415.27</v>
      </c>
      <c r="AC124" s="4">
        <f>AB124/AA124-1</f>
        <v>-0.22997711670480547</v>
      </c>
    </row>
    <row r="125" spans="1:29">
      <c r="A125" s="28" t="s">
        <v>858</v>
      </c>
      <c r="B125" s="28" t="s">
        <v>859</v>
      </c>
      <c r="C125" s="19">
        <v>994</v>
      </c>
      <c r="E125" s="28" t="s">
        <v>859</v>
      </c>
      <c r="F125" s="19">
        <v>769</v>
      </c>
      <c r="G125" t="b">
        <f>IF(B125=E125,TRUE,FALSE)</f>
        <v>1</v>
      </c>
      <c r="J125">
        <f>F125-C125</f>
        <v>-225</v>
      </c>
      <c r="K125" s="4">
        <f>F125/C125-1</f>
        <v>-0.22635814889336014</v>
      </c>
      <c r="M125" s="5">
        <v>2257.36</v>
      </c>
      <c r="N125" s="5">
        <v>1570.84</v>
      </c>
      <c r="Q125" s="5">
        <v>7950.98</v>
      </c>
      <c r="T125" s="133">
        <f>N125-M125</f>
        <v>-686.52000000000021</v>
      </c>
      <c r="U125" s="4">
        <f>IF(M125=0,0,N125/M125-1)</f>
        <v>-0.30412517276818951</v>
      </c>
      <c r="AA125" s="18">
        <v>10924.45</v>
      </c>
      <c r="AB125" s="18">
        <v>10561.37</v>
      </c>
      <c r="AC125" s="4">
        <f>AB125/AA125-1</f>
        <v>-3.3235540461991175E-2</v>
      </c>
    </row>
    <row r="126" spans="1:29">
      <c r="A126" s="28" t="s">
        <v>860</v>
      </c>
      <c r="B126" t="s">
        <v>861</v>
      </c>
      <c r="C126" s="19">
        <v>1643</v>
      </c>
      <c r="E126" s="28" t="s">
        <v>861</v>
      </c>
      <c r="F126" s="19">
        <v>1412</v>
      </c>
      <c r="G126" t="b">
        <f>IF(B126=E126,TRUE,FALSE)</f>
        <v>1</v>
      </c>
      <c r="J126">
        <f>F126-C126</f>
        <v>-231</v>
      </c>
      <c r="K126" s="4">
        <f>F126/C126-1</f>
        <v>-0.14059646987218499</v>
      </c>
      <c r="M126" s="5">
        <v>3322.31</v>
      </c>
      <c r="N126" s="5">
        <v>3333.7</v>
      </c>
      <c r="Q126" s="5">
        <v>15631.4</v>
      </c>
      <c r="T126" s="133">
        <f>N126-M126</f>
        <v>11.389999999999873</v>
      </c>
      <c r="U126" s="4">
        <f>IF(M126=0,0,N126/M126-1)</f>
        <v>3.4283375121526571E-3</v>
      </c>
      <c r="AA126" s="18">
        <v>30880.02</v>
      </c>
      <c r="AB126" s="18">
        <v>27698.31</v>
      </c>
      <c r="AC126" s="4">
        <f>AB126/AA126-1</f>
        <v>-0.10303458352682415</v>
      </c>
    </row>
    <row r="127" spans="1:29">
      <c r="A127" t="s">
        <v>862</v>
      </c>
      <c r="B127" t="s">
        <v>863</v>
      </c>
      <c r="C127" s="19">
        <v>1362</v>
      </c>
      <c r="D127" s="5"/>
      <c r="E127" t="s">
        <v>863</v>
      </c>
      <c r="F127" s="19">
        <v>1126</v>
      </c>
      <c r="G127" t="b">
        <f>IF(B127=E127,TRUE,FALSE)</f>
        <v>1</v>
      </c>
      <c r="H127" s="5"/>
      <c r="I127" s="5"/>
      <c r="J127">
        <f>F127-C127</f>
        <v>-236</v>
      </c>
      <c r="K127" s="4">
        <f>F127/C127-1</f>
        <v>-0.17327459618208518</v>
      </c>
      <c r="L127" s="5"/>
      <c r="M127" s="5">
        <v>3083.07</v>
      </c>
      <c r="N127" s="5">
        <v>2156.13</v>
      </c>
      <c r="O127" s="5"/>
      <c r="P127" s="5"/>
      <c r="Q127" s="5">
        <v>8077.03</v>
      </c>
      <c r="R127" s="5"/>
      <c r="S127" s="5"/>
      <c r="T127" s="133">
        <f>N127-M127</f>
        <v>-926.94</v>
      </c>
      <c r="U127" s="4">
        <f>IF(M127=0,0,N127/M127-1)</f>
        <v>-0.30065486673997022</v>
      </c>
      <c r="V127" s="5"/>
      <c r="W127" s="5"/>
      <c r="X127" s="5"/>
      <c r="Y127" s="5"/>
      <c r="Z127" s="15"/>
      <c r="AA127" s="18">
        <v>27151.95</v>
      </c>
      <c r="AB127" s="18">
        <v>21731.7</v>
      </c>
      <c r="AC127" s="4">
        <f>AB127/AA127-1</f>
        <v>-0.19962654615966813</v>
      </c>
    </row>
    <row r="128" spans="1:29">
      <c r="A128" t="s">
        <v>864</v>
      </c>
      <c r="B128" t="s">
        <v>865</v>
      </c>
      <c r="C128" s="19">
        <v>1332</v>
      </c>
      <c r="E128" t="s">
        <v>865</v>
      </c>
      <c r="F128" s="19">
        <v>1092</v>
      </c>
      <c r="G128" t="b">
        <f>IF(B128=E128,TRUE,FALSE)</f>
        <v>1</v>
      </c>
      <c r="J128">
        <f>F128-C128</f>
        <v>-240</v>
      </c>
      <c r="K128" s="4">
        <f>F128/C128-1</f>
        <v>-0.18018018018018023</v>
      </c>
      <c r="M128" s="5">
        <v>0</v>
      </c>
      <c r="N128" s="5">
        <v>0</v>
      </c>
      <c r="Q128" s="5">
        <v>0</v>
      </c>
      <c r="T128" s="133">
        <v>0</v>
      </c>
      <c r="U128" s="4">
        <f>IF(M128=0,0,N128/M128-1)</f>
        <v>0</v>
      </c>
      <c r="AA128" s="18">
        <v>50123.56</v>
      </c>
      <c r="AB128" s="18">
        <v>42533.4</v>
      </c>
      <c r="AC128" s="4">
        <f>AB128/AA128-1</f>
        <v>-0.15142898868316612</v>
      </c>
    </row>
    <row r="129" spans="1:29">
      <c r="A129" t="s">
        <v>866</v>
      </c>
      <c r="B129" t="s">
        <v>867</v>
      </c>
      <c r="C129" s="19">
        <v>1604</v>
      </c>
      <c r="E129" t="s">
        <v>867</v>
      </c>
      <c r="F129" s="19">
        <v>1341</v>
      </c>
      <c r="G129" t="b">
        <f>IF(B129=E129,TRUE,FALSE)</f>
        <v>1</v>
      </c>
      <c r="J129">
        <f>F129-C129</f>
        <v>-263</v>
      </c>
      <c r="K129" s="4">
        <f>F129/C129-1</f>
        <v>-0.16396508728179549</v>
      </c>
      <c r="M129" s="5">
        <v>2886.33</v>
      </c>
      <c r="N129" s="5">
        <v>1680.29</v>
      </c>
      <c r="Q129" s="5">
        <v>6082.55</v>
      </c>
      <c r="T129" s="133">
        <f>N129-M129</f>
        <v>-1206.04</v>
      </c>
      <c r="U129" s="4">
        <f>IF(M129=0,0,N129/M129-1)</f>
        <v>-0.41784549930188164</v>
      </c>
      <c r="X129" t="s">
        <v>868</v>
      </c>
      <c r="Y129" t="s">
        <v>869</v>
      </c>
      <c r="Z129" s="14" t="s">
        <v>870</v>
      </c>
      <c r="AA129" s="18">
        <v>28454.95</v>
      </c>
      <c r="AB129" s="18">
        <v>25465.59</v>
      </c>
      <c r="AC129" s="4">
        <f>AB129/AA129-1</f>
        <v>-0.10505588658563803</v>
      </c>
    </row>
    <row r="130" spans="1:29">
      <c r="A130" t="s">
        <v>871</v>
      </c>
      <c r="B130" t="s">
        <v>872</v>
      </c>
      <c r="C130" s="19">
        <v>3344</v>
      </c>
      <c r="E130" t="s">
        <v>872</v>
      </c>
      <c r="F130" s="19">
        <v>3076</v>
      </c>
      <c r="G130" t="b">
        <f>IF(B130=E130,TRUE,FALSE)</f>
        <v>1</v>
      </c>
      <c r="J130">
        <f>F130-C130</f>
        <v>-268</v>
      </c>
      <c r="K130" s="4">
        <f>F130/C130-1</f>
        <v>-8.0143540669856406E-2</v>
      </c>
      <c r="M130" s="5">
        <v>5690.75</v>
      </c>
      <c r="N130" s="5">
        <v>4109.6400000000003</v>
      </c>
      <c r="Q130" s="5">
        <v>23741.17</v>
      </c>
      <c r="T130" s="133">
        <f>N130-M130</f>
        <v>-1581.1099999999997</v>
      </c>
      <c r="U130" s="4">
        <f>IF(M130=0,0,N130/M130-1)</f>
        <v>-0.27783859772437725</v>
      </c>
      <c r="W130" t="s">
        <v>873</v>
      </c>
      <c r="AA130" s="18">
        <v>87974.41</v>
      </c>
      <c r="AB130" s="18">
        <v>82994.210000000006</v>
      </c>
      <c r="AC130" s="4">
        <f>AB130/AA130-1</f>
        <v>-5.660964364523724E-2</v>
      </c>
    </row>
    <row r="131" spans="1:29">
      <c r="A131" t="s">
        <v>874</v>
      </c>
      <c r="B131" t="s">
        <v>875</v>
      </c>
      <c r="C131" s="19">
        <v>1130</v>
      </c>
      <c r="E131" t="s">
        <v>875</v>
      </c>
      <c r="F131" s="19">
        <v>859</v>
      </c>
      <c r="G131" t="b">
        <f>IF(B131=E131,TRUE,FALSE)</f>
        <v>1</v>
      </c>
      <c r="J131">
        <f>F131-C131</f>
        <v>-271</v>
      </c>
      <c r="K131" s="4">
        <f>F131/C131-1</f>
        <v>-0.23982300884955754</v>
      </c>
      <c r="M131" s="5">
        <v>1098.99</v>
      </c>
      <c r="N131" s="5">
        <v>1156.83</v>
      </c>
      <c r="Q131" s="5">
        <v>6196.66</v>
      </c>
      <c r="T131" s="133">
        <f>N131-M131</f>
        <v>57.839999999999918</v>
      </c>
      <c r="U131" s="4">
        <f>IF(M131=0,0,N131/M131-1)</f>
        <v>5.2630142221494314E-2</v>
      </c>
      <c r="AA131" s="18">
        <v>22543.5</v>
      </c>
      <c r="AB131" s="18">
        <v>17157</v>
      </c>
      <c r="AC131" s="4">
        <f>AB131/AA131-1</f>
        <v>-0.23893805309734517</v>
      </c>
    </row>
    <row r="132" spans="1:29">
      <c r="A132" t="s">
        <v>876</v>
      </c>
      <c r="B132" t="s">
        <v>877</v>
      </c>
      <c r="C132" s="19">
        <v>2216</v>
      </c>
      <c r="E132" t="s">
        <v>877</v>
      </c>
      <c r="F132" s="19">
        <v>1903</v>
      </c>
      <c r="G132" t="b">
        <f>IF(B132=E132,TRUE,FALSE)</f>
        <v>1</v>
      </c>
      <c r="J132">
        <f>F132-C132</f>
        <v>-313</v>
      </c>
      <c r="K132" s="4">
        <f>F132/C132-1</f>
        <v>-0.14124548736462095</v>
      </c>
      <c r="M132" s="5">
        <v>3071.86</v>
      </c>
      <c r="N132" s="5">
        <v>1840.74</v>
      </c>
      <c r="Q132" s="5">
        <v>10092.68</v>
      </c>
      <c r="T132" s="133">
        <f>N132-M132</f>
        <v>-1231.1200000000001</v>
      </c>
      <c r="U132" s="4">
        <f>IF(M132=0,0,N132/M132-1)</f>
        <v>-0.40077347274940922</v>
      </c>
      <c r="AA132" s="18">
        <v>48669.52</v>
      </c>
      <c r="AB132" s="18">
        <v>41526.47</v>
      </c>
      <c r="AC132" s="4">
        <f>AB132/AA132-1</f>
        <v>-0.14676639506615219</v>
      </c>
    </row>
    <row r="133" spans="1:29">
      <c r="A133" t="s">
        <v>878</v>
      </c>
      <c r="B133" t="s">
        <v>879</v>
      </c>
      <c r="C133" s="19">
        <v>884</v>
      </c>
      <c r="E133" t="s">
        <v>879</v>
      </c>
      <c r="F133" s="19">
        <v>562</v>
      </c>
      <c r="G133" t="b">
        <f>IF(B133=E133,TRUE,FALSE)</f>
        <v>1</v>
      </c>
      <c r="J133">
        <f>F133-C133</f>
        <v>-322</v>
      </c>
      <c r="K133" s="4">
        <f>F133/C133-1</f>
        <v>-0.36425339366515841</v>
      </c>
      <c r="M133" s="5">
        <v>442.77</v>
      </c>
      <c r="N133" s="5">
        <v>160.04</v>
      </c>
      <c r="Q133" s="5">
        <v>1161.83</v>
      </c>
      <c r="T133" s="133">
        <f>N133-M133</f>
        <v>-282.73</v>
      </c>
      <c r="U133" s="4">
        <f>IF(M133=0,0,N133/M133-1)</f>
        <v>-0.63854823045825149</v>
      </c>
      <c r="AA133" s="18">
        <v>11114.76</v>
      </c>
      <c r="AB133" s="18">
        <v>7862.38</v>
      </c>
      <c r="AC133" s="4">
        <f>AB133/AA133-1</f>
        <v>-0.2926181042145759</v>
      </c>
    </row>
    <row r="134" spans="1:29">
      <c r="A134" t="s">
        <v>880</v>
      </c>
      <c r="B134" t="s">
        <v>881</v>
      </c>
      <c r="C134" s="19">
        <v>4154</v>
      </c>
      <c r="E134" t="s">
        <v>881</v>
      </c>
      <c r="F134" s="19">
        <v>3818</v>
      </c>
      <c r="G134" t="b">
        <f>IF(B134=E134,TRUE,FALSE)</f>
        <v>1</v>
      </c>
      <c r="J134">
        <f>F134-C134</f>
        <v>-336</v>
      </c>
      <c r="K134" s="4">
        <f>F134/C134-1</f>
        <v>-8.0885893115069774E-2</v>
      </c>
      <c r="M134" s="5">
        <v>4782.66</v>
      </c>
      <c r="N134" s="5">
        <v>3467.62</v>
      </c>
      <c r="Q134" s="5">
        <v>17227.96</v>
      </c>
      <c r="T134" s="133">
        <f>N134-M134</f>
        <v>-1315.04</v>
      </c>
      <c r="U134" s="4">
        <f>IF(M134=0,0,N134/M134-1)</f>
        <v>-0.27495995952043428</v>
      </c>
      <c r="AA134" s="18">
        <v>95313.39</v>
      </c>
      <c r="AB134" s="18">
        <v>87694.74</v>
      </c>
      <c r="AC134" s="4">
        <f>AB134/AA134-1</f>
        <v>-7.9932630661861848E-2</v>
      </c>
    </row>
    <row r="135" spans="1:29">
      <c r="A135" t="s">
        <v>882</v>
      </c>
      <c r="B135" t="s">
        <v>883</v>
      </c>
      <c r="C135" s="19">
        <v>3621</v>
      </c>
      <c r="D135" s="5"/>
      <c r="E135" t="s">
        <v>883</v>
      </c>
      <c r="F135" s="19">
        <v>3185</v>
      </c>
      <c r="G135" t="b">
        <f>IF(B135=E135,TRUE,FALSE)</f>
        <v>1</v>
      </c>
      <c r="H135" s="5"/>
      <c r="I135" s="5"/>
      <c r="J135">
        <f>F135-C135</f>
        <v>-436</v>
      </c>
      <c r="K135" s="4">
        <f>F135/C135-1</f>
        <v>-0.1204087268710301</v>
      </c>
      <c r="L135" s="5"/>
      <c r="M135" s="5">
        <v>2666.29</v>
      </c>
      <c r="N135" s="5">
        <v>2306.1999999999998</v>
      </c>
      <c r="O135" s="5"/>
      <c r="P135" s="5"/>
      <c r="Q135" s="5">
        <v>8445.66</v>
      </c>
      <c r="R135" s="5"/>
      <c r="S135" s="5"/>
      <c r="T135" s="133">
        <f>N135-M135</f>
        <v>-360.09000000000015</v>
      </c>
      <c r="U135" s="4">
        <f>IF(M135=0,0,N135/M135-1)</f>
        <v>-0.13505282621170245</v>
      </c>
      <c r="V135" s="5"/>
      <c r="W135" s="5"/>
      <c r="X135" s="5"/>
      <c r="Y135" s="5"/>
      <c r="Z135" s="15"/>
      <c r="AA135" s="18">
        <v>81710.2</v>
      </c>
      <c r="AB135" s="18">
        <v>73284.070000000007</v>
      </c>
      <c r="AC135" s="4">
        <f>AB135/AA135-1</f>
        <v>-0.10312213163105699</v>
      </c>
    </row>
    <row r="136" spans="1:29">
      <c r="A136" t="s">
        <v>884</v>
      </c>
      <c r="B136" t="s">
        <v>885</v>
      </c>
      <c r="C136" s="19">
        <v>2591</v>
      </c>
      <c r="E136" t="s">
        <v>885</v>
      </c>
      <c r="F136" s="19">
        <v>2132</v>
      </c>
      <c r="G136" t="b">
        <f>IF(B136=E136,TRUE,FALSE)</f>
        <v>1</v>
      </c>
      <c r="J136">
        <f>F136-C136</f>
        <v>-459</v>
      </c>
      <c r="K136" s="4">
        <f>F136/C136-1</f>
        <v>-0.17715167888846006</v>
      </c>
      <c r="M136" s="5">
        <v>3926.79</v>
      </c>
      <c r="N136" s="5">
        <v>2995.71</v>
      </c>
      <c r="Q136" s="5">
        <v>10372.73</v>
      </c>
      <c r="T136" s="133">
        <f>N136-M136</f>
        <v>-931.07999999999993</v>
      </c>
      <c r="U136" s="4">
        <f>IF(M136=0,0,N136/M136-1)</f>
        <v>-0.23710970028954947</v>
      </c>
      <c r="Z136" s="144"/>
      <c r="AA136" s="18">
        <v>77480.649999999994</v>
      </c>
      <c r="AB136" s="18">
        <v>63853.4</v>
      </c>
      <c r="AC136" s="4">
        <f>AB136/AA136-1</f>
        <v>-0.1758793969849245</v>
      </c>
    </row>
    <row r="137" spans="1:29">
      <c r="A137" s="57" t="s">
        <v>886</v>
      </c>
      <c r="B137" s="38" t="s">
        <v>887</v>
      </c>
      <c r="C137" s="19">
        <v>1649</v>
      </c>
      <c r="E137" s="38" t="s">
        <v>887</v>
      </c>
      <c r="F137" s="19">
        <v>1061</v>
      </c>
      <c r="G137" t="b">
        <f>IF(B137=E137,TRUE,FALSE)</f>
        <v>1</v>
      </c>
      <c r="J137">
        <f>F137-C137</f>
        <v>-588</v>
      </c>
      <c r="K137" s="4">
        <f>F137/C138-1</f>
        <v>-0.66253180661577615</v>
      </c>
      <c r="M137" s="5">
        <v>4299.82</v>
      </c>
      <c r="N137" s="5">
        <v>3064.01</v>
      </c>
      <c r="Q137" s="5">
        <v>13166.96</v>
      </c>
      <c r="T137" s="133">
        <f>N137-M137</f>
        <v>-1235.8099999999995</v>
      </c>
      <c r="U137" s="4">
        <f>IF(M137=0,0,N137/M137-1)</f>
        <v>-0.28740970552255662</v>
      </c>
      <c r="Z137" s="144"/>
      <c r="AA137" s="18">
        <v>29138.51</v>
      </c>
      <c r="AB137" s="18">
        <v>20148.39</v>
      </c>
      <c r="AC137" s="4">
        <f>AB137/AA137-1</f>
        <v>-0.30853053227498595</v>
      </c>
    </row>
    <row r="138" spans="1:29">
      <c r="A138" t="s">
        <v>888</v>
      </c>
      <c r="B138" t="s">
        <v>889</v>
      </c>
      <c r="C138" s="19">
        <v>3144</v>
      </c>
      <c r="E138" t="s">
        <v>889</v>
      </c>
      <c r="F138" s="19">
        <v>2362</v>
      </c>
      <c r="G138" t="b">
        <f>IF(B138=E138,TRUE,FALSE)</f>
        <v>1</v>
      </c>
      <c r="J138">
        <f>F138-C138</f>
        <v>-782</v>
      </c>
      <c r="K138" s="4">
        <f>F138/C138-1</f>
        <v>-0.24872773536895676</v>
      </c>
      <c r="M138" s="5">
        <v>5191.24</v>
      </c>
      <c r="N138" s="5">
        <v>4587.8</v>
      </c>
      <c r="Q138" s="5">
        <v>29303.05</v>
      </c>
      <c r="T138" s="133">
        <f>N138-M138</f>
        <v>-603.4399999999996</v>
      </c>
      <c r="U138" s="4">
        <f>IF(M138=0,0,N138/M138-1)</f>
        <v>-0.11624197686872495</v>
      </c>
      <c r="Z138" s="144"/>
      <c r="AA138" s="18">
        <v>94228.58</v>
      </c>
      <c r="AB138" s="18">
        <v>70836.38</v>
      </c>
      <c r="AC138" s="4">
        <f>AB138/AA138-1</f>
        <v>-0.24824952259707189</v>
      </c>
    </row>
    <row r="139" spans="1:29">
      <c r="A139" s="25" t="s">
        <v>890</v>
      </c>
      <c r="B139" s="24" t="s">
        <v>891</v>
      </c>
      <c r="C139" s="19">
        <v>3156</v>
      </c>
      <c r="D139" s="5"/>
      <c r="E139" s="24" t="s">
        <v>891</v>
      </c>
      <c r="F139" s="19">
        <v>2342</v>
      </c>
      <c r="G139" t="b">
        <f>IF(B139=E139,TRUE,FALSE)</f>
        <v>1</v>
      </c>
      <c r="H139" s="5"/>
      <c r="I139" s="5"/>
      <c r="J139">
        <f>F139-C139</f>
        <v>-814</v>
      </c>
      <c r="K139" s="4">
        <f>F139/C139-1</f>
        <v>-0.25792141951837766</v>
      </c>
      <c r="L139" s="5"/>
      <c r="M139" s="5">
        <v>5239.1099999999997</v>
      </c>
      <c r="N139" s="5">
        <v>4854.78</v>
      </c>
      <c r="O139" s="5"/>
      <c r="P139" s="5"/>
      <c r="Q139" s="5">
        <v>21901.119999999999</v>
      </c>
      <c r="R139" s="5"/>
      <c r="S139" s="5"/>
      <c r="T139" s="133">
        <f>N139-M139</f>
        <v>-384.32999999999993</v>
      </c>
      <c r="U139" s="4">
        <f>IF(M139=0,0,N139/M139-1)</f>
        <v>-7.3357879487164768E-2</v>
      </c>
      <c r="V139" s="5"/>
      <c r="W139" s="5"/>
      <c r="X139" s="5"/>
      <c r="Y139" s="5"/>
      <c r="Z139" s="157"/>
      <c r="AA139" s="18">
        <v>87227.45</v>
      </c>
      <c r="AB139" s="18">
        <v>67894.58</v>
      </c>
      <c r="AC139" s="4">
        <f>AB139/AA139-1</f>
        <v>-0.22163745472325502</v>
      </c>
    </row>
    <row r="140" spans="1:29">
      <c r="A140" t="s">
        <v>892</v>
      </c>
      <c r="B140" t="s">
        <v>893</v>
      </c>
      <c r="C140" s="19">
        <v>937</v>
      </c>
      <c r="E140" t="s">
        <v>893</v>
      </c>
      <c r="F140" s="19">
        <v>103</v>
      </c>
      <c r="G140" t="b">
        <f>IF(B140=E140,TRUE,FALSE)</f>
        <v>1</v>
      </c>
      <c r="J140">
        <f>F140-C140</f>
        <v>-834</v>
      </c>
      <c r="K140" s="4">
        <f>F140/C140-1</f>
        <v>-0.89007470651013876</v>
      </c>
      <c r="M140" s="5">
        <v>1732.35</v>
      </c>
      <c r="N140" s="5">
        <v>172.32</v>
      </c>
      <c r="Q140" s="5">
        <v>879.56</v>
      </c>
      <c r="T140" s="133">
        <f>N140-M140</f>
        <v>-1560.03</v>
      </c>
      <c r="U140" s="4">
        <f>IF(M140=0,0,N140/M140-1)</f>
        <v>-0.90052818425837733</v>
      </c>
      <c r="Z140" s="144"/>
      <c r="AA140" s="18">
        <v>18730.63</v>
      </c>
      <c r="AB140" s="18">
        <v>2198.9699999999998</v>
      </c>
      <c r="AC140" s="4">
        <f>AB140/AA140-1</f>
        <v>-0.88260031830216068</v>
      </c>
    </row>
    <row r="141" spans="1:29">
      <c r="A141" t="s">
        <v>894</v>
      </c>
      <c r="B141" t="s">
        <v>895</v>
      </c>
      <c r="C141" s="19">
        <v>6453</v>
      </c>
      <c r="E141" t="s">
        <v>895</v>
      </c>
      <c r="F141" s="19">
        <v>4540</v>
      </c>
      <c r="G141" t="b">
        <f>IF(B141=E141,TRUE,FALSE)</f>
        <v>1</v>
      </c>
      <c r="J141">
        <f>F141-C141</f>
        <v>-1913</v>
      </c>
      <c r="K141" s="4">
        <f>F141/C141-1</f>
        <v>-0.29645126297845958</v>
      </c>
      <c r="M141" s="5">
        <v>4813.1200000000008</v>
      </c>
      <c r="N141" s="5">
        <v>4400.8</v>
      </c>
      <c r="Q141" s="5">
        <v>24748.33</v>
      </c>
      <c r="T141" s="133">
        <f>N141-M141</f>
        <v>-412.32000000000062</v>
      </c>
      <c r="U141" s="4">
        <f>IF(M141=0,0,N141/M141-1)</f>
        <v>-8.5665846685725744E-2</v>
      </c>
      <c r="Z141" s="144"/>
      <c r="AA141" s="18">
        <v>154697.19</v>
      </c>
      <c r="AB141" s="18">
        <v>108463.41</v>
      </c>
      <c r="AC141" s="4">
        <f>AB141/AA141-1</f>
        <v>-0.29886632071338848</v>
      </c>
    </row>
    <row r="142" spans="1:29">
      <c r="A142" t="s">
        <v>896</v>
      </c>
      <c r="B142" t="s">
        <v>897</v>
      </c>
      <c r="C142" s="19">
        <v>34362</v>
      </c>
      <c r="E142" t="s">
        <v>897</v>
      </c>
      <c r="F142" s="19">
        <v>31151</v>
      </c>
      <c r="G142" t="b">
        <f>IF(B142=E142,TRUE,FALSE)</f>
        <v>1</v>
      </c>
      <c r="J142">
        <f>F142-C142</f>
        <v>-3211</v>
      </c>
      <c r="K142" s="4">
        <f>F142/C142-1</f>
        <v>-9.3446248763168649E-2</v>
      </c>
      <c r="M142" s="5">
        <v>25665.68</v>
      </c>
      <c r="N142" s="5">
        <v>20438.240000000002</v>
      </c>
      <c r="Q142" s="5">
        <v>101072.03</v>
      </c>
      <c r="T142" s="133">
        <f>N142-M142</f>
        <v>-5227.4399999999987</v>
      </c>
      <c r="U142" s="4">
        <f>IF(M142=0,0,N142/M142-1)</f>
        <v>-0.20367432306488664</v>
      </c>
      <c r="W142" t="s">
        <v>898</v>
      </c>
      <c r="Z142" s="144"/>
      <c r="AA142" s="18">
        <v>663119.19999999995</v>
      </c>
      <c r="AB142" s="18">
        <v>599662.66</v>
      </c>
      <c r="AC142" s="4">
        <f>AB142/AA142-1</f>
        <v>-9.5694017003277732E-2</v>
      </c>
    </row>
    <row r="143" spans="1:29">
      <c r="K143" s="4"/>
      <c r="N143" s="4"/>
      <c r="Z143" s="144"/>
    </row>
    <row r="144" spans="1:29">
      <c r="C144" s="3" t="s">
        <v>578</v>
      </c>
      <c r="D144" s="3"/>
      <c r="E144" s="3"/>
      <c r="F144" s="3" t="s">
        <v>578</v>
      </c>
      <c r="G144" s="3"/>
      <c r="H144" s="3"/>
      <c r="I144" s="3"/>
      <c r="J144" s="3" t="s">
        <v>579</v>
      </c>
      <c r="K144" s="32"/>
      <c r="L144" s="3"/>
      <c r="M144" s="34" t="s">
        <v>580</v>
      </c>
      <c r="N144" s="34" t="s">
        <v>580</v>
      </c>
      <c r="O144" s="3"/>
      <c r="Q144" s="34" t="s">
        <v>581</v>
      </c>
      <c r="R144" s="3"/>
      <c r="T144" s="134" t="s">
        <v>582</v>
      </c>
      <c r="U144" s="3"/>
      <c r="V144" s="3"/>
      <c r="W144" s="3"/>
      <c r="X144" s="3"/>
      <c r="Y144" s="35"/>
      <c r="Z144" s="36" t="s">
        <v>3</v>
      </c>
      <c r="AA144" s="36" t="s">
        <v>3</v>
      </c>
      <c r="AB144" s="36" t="s">
        <v>3</v>
      </c>
    </row>
    <row r="145" spans="3:29">
      <c r="C145" s="19">
        <f>SUM(C3:C142)</f>
        <v>231239</v>
      </c>
      <c r="F145" s="19">
        <f>SUM(F3:F142)</f>
        <v>226754</v>
      </c>
      <c r="J145" s="19">
        <f>SUM(J3:J142)</f>
        <v>-4485</v>
      </c>
      <c r="K145" s="4"/>
      <c r="M145" s="19">
        <f>SUM(M3:M142)</f>
        <v>291117.67</v>
      </c>
      <c r="N145" s="5">
        <f>SUM(N3:N142)</f>
        <v>253585.89000000004</v>
      </c>
      <c r="Q145" s="19">
        <f>SUM(Q3:Q142)</f>
        <v>1319419.9200000004</v>
      </c>
      <c r="T145" s="136">
        <f>SUM(T3:T141)</f>
        <v>-32304.339999999997</v>
      </c>
      <c r="U145" s="4">
        <f>IF(M145=0,0,N145/M145-1)</f>
        <v>-0.12892305712669361</v>
      </c>
      <c r="AA145" s="31">
        <f>SUM(AA3:AA142)</f>
        <v>5253202.32</v>
      </c>
      <c r="AB145" s="31">
        <f>SUM(AB3:AB142)</f>
        <v>5178806.7600000026</v>
      </c>
      <c r="AC145" s="4">
        <f>AB145/AA145-1</f>
        <v>-1.4161944556515316E-2</v>
      </c>
    </row>
    <row r="146" spans="3:29">
      <c r="K146" s="4"/>
      <c r="U146" s="4"/>
    </row>
    <row r="147" spans="3:29">
      <c r="F147" s="26">
        <f>F145-C145</f>
        <v>-4485</v>
      </c>
      <c r="K147" s="4"/>
      <c r="N147" s="34" t="s">
        <v>583</v>
      </c>
      <c r="Q147" s="27">
        <f>N145/Q145</f>
        <v>0.19219498368646729</v>
      </c>
      <c r="U147" s="4"/>
      <c r="AA147" s="3" t="s">
        <v>584</v>
      </c>
      <c r="AB147" s="3" t="s">
        <v>584</v>
      </c>
    </row>
    <row r="148" spans="3:29">
      <c r="F148" s="4">
        <f>F145/C145-1</f>
        <v>-1.9395517192169143E-2</v>
      </c>
      <c r="K148" s="4"/>
      <c r="U148" s="4"/>
      <c r="AA148" s="33">
        <f>M145/AA145</f>
        <v>5.5417182180792147E-2</v>
      </c>
      <c r="AB148" s="33">
        <f>N145/AB145</f>
        <v>4.8966084612124032E-2</v>
      </c>
    </row>
    <row r="149" spans="3:29">
      <c r="K149" s="4"/>
      <c r="U149" s="4"/>
    </row>
    <row r="150" spans="3:29">
      <c r="K150" s="4"/>
    </row>
    <row r="151" spans="3:29">
      <c r="K151" s="4"/>
      <c r="U151" s="4"/>
    </row>
    <row r="152" spans="3:29">
      <c r="K152" s="4"/>
      <c r="U152" s="4"/>
    </row>
    <row r="153" spans="3:29">
      <c r="K153" s="4"/>
      <c r="U153" s="4"/>
    </row>
    <row r="154" spans="3:29">
      <c r="K154" s="4"/>
      <c r="U154" s="4"/>
    </row>
    <row r="155" spans="3:29">
      <c r="K155" s="4"/>
      <c r="U155" s="4"/>
    </row>
    <row r="156" spans="3:29">
      <c r="K156" s="4"/>
      <c r="U156" s="4"/>
    </row>
    <row r="157" spans="3:29">
      <c r="K157" s="4"/>
      <c r="U157" s="4"/>
    </row>
    <row r="158" spans="3:29">
      <c r="K158" s="4"/>
      <c r="U158" s="4"/>
    </row>
    <row r="159" spans="3:29">
      <c r="K159" s="4"/>
      <c r="U159" s="4"/>
    </row>
    <row r="160" spans="3:29">
      <c r="K160" s="4"/>
      <c r="U160" s="4"/>
    </row>
    <row r="161" spans="11:21">
      <c r="K161" s="4"/>
      <c r="U161" s="4"/>
    </row>
    <row r="162" spans="11:21">
      <c r="K162" s="4"/>
      <c r="U162" s="4"/>
    </row>
    <row r="163" spans="11:21">
      <c r="K163" s="4"/>
      <c r="U163" s="4"/>
    </row>
    <row r="164" spans="11:21">
      <c r="K164" s="4"/>
      <c r="U164" s="4"/>
    </row>
    <row r="165" spans="11:21">
      <c r="K165" s="4"/>
      <c r="U165" s="4"/>
    </row>
    <row r="166" spans="11:21">
      <c r="K166" s="4"/>
      <c r="U166" s="4"/>
    </row>
    <row r="167" spans="11:21">
      <c r="K167" s="4"/>
      <c r="U167" s="4"/>
    </row>
    <row r="168" spans="11:21">
      <c r="K168" s="4"/>
      <c r="U168" s="4"/>
    </row>
    <row r="169" spans="11:21">
      <c r="K169" s="4"/>
      <c r="U169" s="4"/>
    </row>
    <row r="170" spans="11:21">
      <c r="K170" s="4"/>
      <c r="U170" s="4"/>
    </row>
    <row r="171" spans="11:21">
      <c r="K171" s="4"/>
      <c r="U171" s="4"/>
    </row>
    <row r="172" spans="11:21">
      <c r="K172" s="4"/>
      <c r="U172" s="4"/>
    </row>
    <row r="173" spans="11:21">
      <c r="K173" s="4"/>
      <c r="U173" s="4"/>
    </row>
    <row r="174" spans="11:21">
      <c r="K174" s="4"/>
      <c r="U174" s="4"/>
    </row>
    <row r="175" spans="11:21">
      <c r="K175" s="4"/>
      <c r="U175" s="4"/>
    </row>
    <row r="176" spans="11:21">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6"/>
      <c r="M192" s="11"/>
      <c r="N192" s="11"/>
      <c r="T192" s="137"/>
      <c r="U192" s="6"/>
    </row>
    <row r="193" spans="3:21" ht="15" customHeight="1">
      <c r="K193" s="6"/>
      <c r="M193" s="11"/>
      <c r="N193" s="11"/>
      <c r="T193" s="137"/>
      <c r="U193" s="6"/>
    </row>
    <row r="194" spans="3:21" ht="15" customHeight="1">
      <c r="K194" s="6"/>
      <c r="M194" s="11"/>
      <c r="N194" s="11"/>
      <c r="T194" s="137"/>
      <c r="U194" s="6"/>
    </row>
    <row r="195" spans="3:21" ht="15" customHeight="1">
      <c r="K195" s="6"/>
      <c r="M195" s="11"/>
      <c r="N195" s="11"/>
      <c r="T195" s="137"/>
      <c r="U195" s="6"/>
    </row>
    <row r="196" spans="3:21" ht="15" customHeight="1">
      <c r="K196" s="6"/>
      <c r="M196" s="11"/>
      <c r="N196" s="11"/>
      <c r="T196" s="137"/>
      <c r="U196" s="6"/>
    </row>
    <row r="197" spans="3:21" ht="15" customHeight="1">
      <c r="K197" s="6"/>
      <c r="M197" s="11"/>
      <c r="N197" s="11"/>
      <c r="T197" s="137"/>
      <c r="U197" s="6"/>
    </row>
    <row r="198" spans="3:21" ht="15" customHeight="1">
      <c r="K198" s="6"/>
      <c r="M198" s="11"/>
      <c r="N198" s="11"/>
      <c r="T198" s="137"/>
      <c r="U198" s="6"/>
    </row>
    <row r="199" spans="3:21" ht="15" customHeight="1">
      <c r="K199" s="6"/>
      <c r="M199" s="11"/>
      <c r="N199" s="11"/>
      <c r="T199" s="137"/>
      <c r="U199" s="6"/>
    </row>
    <row r="200" spans="3:21" ht="15" customHeight="1">
      <c r="K200" s="6"/>
      <c r="M200" s="11"/>
      <c r="N200" s="11"/>
      <c r="T200" s="137"/>
      <c r="U200" s="6"/>
    </row>
    <row r="201" spans="3:21">
      <c r="M201" s="11"/>
      <c r="N201" s="11"/>
      <c r="T201" s="137"/>
    </row>
    <row r="202" spans="3:21" ht="15" customHeight="1">
      <c r="C202" s="8"/>
      <c r="F202" s="8"/>
      <c r="J202" s="8"/>
      <c r="M202" s="11"/>
      <c r="N202" s="11"/>
      <c r="T202" s="137"/>
    </row>
    <row r="203" spans="3:21">
      <c r="M203" s="11"/>
      <c r="N203" s="11"/>
      <c r="T203" s="137"/>
    </row>
    <row r="204" spans="3:21" ht="15" customHeight="1">
      <c r="M204" s="11"/>
      <c r="N204" s="11"/>
      <c r="T204" s="137"/>
    </row>
    <row r="205" spans="3:21" ht="15" customHeight="1">
      <c r="C205" s="9"/>
      <c r="F205" s="9"/>
      <c r="M205" s="7"/>
      <c r="N205" s="7"/>
    </row>
    <row r="207" spans="3:21" ht="15" customHeight="1">
      <c r="C207" s="8"/>
      <c r="F207" s="8"/>
    </row>
    <row r="210" spans="3:14" ht="15" customHeight="1">
      <c r="C210" s="9"/>
      <c r="F210" s="9"/>
      <c r="M210" s="7"/>
      <c r="N210" s="7"/>
    </row>
  </sheetData>
  <autoFilter ref="A2:AC142" xr:uid="{97EDC353-A3BB-4027-BC75-3196C26C68C7}">
    <filterColumn colId="6">
      <filters>
        <filter val="TRUE"/>
      </filters>
    </filterColumn>
    <sortState xmlns:xlrd2="http://schemas.microsoft.com/office/spreadsheetml/2017/richdata2" ref="A3:AC142">
      <sortCondition descending="1" ref="J2:J142"/>
    </sortState>
  </autoFilter>
  <mergeCells count="7">
    <mergeCell ref="AA1:AB1"/>
    <mergeCell ref="W1:Z1"/>
    <mergeCell ref="B1:C1"/>
    <mergeCell ref="E1:F1"/>
    <mergeCell ref="J1:K1"/>
    <mergeCell ref="T1:U1"/>
    <mergeCell ref="M1:N1"/>
  </mergeCells>
  <phoneticPr fontId="3" type="noConversion"/>
  <conditionalFormatting sqref="D92 H92:I92 L92 O92:P92 R92:S92">
    <cfRule type="cellIs" dxfId="29" priority="15" operator="greaterThan">
      <formula>500</formula>
    </cfRule>
    <cfRule type="cellIs" dxfId="28" priority="21" operator="lessThan">
      <formula>-100</formula>
    </cfRule>
  </conditionalFormatting>
  <conditionalFormatting sqref="J2:J201">
    <cfRule type="cellIs" dxfId="27" priority="1" operator="greaterThan">
      <formula>500</formula>
    </cfRule>
  </conditionalFormatting>
  <conditionalFormatting sqref="J3:J200">
    <cfRule type="cellIs" dxfId="26" priority="2" operator="lessThan">
      <formula>-100</formula>
    </cfRule>
  </conditionalFormatting>
  <conditionalFormatting sqref="J203:J1048576">
    <cfRule type="cellIs" dxfId="25" priority="19" operator="greaterThan">
      <formula>500</formula>
    </cfRule>
  </conditionalFormatting>
  <conditionalFormatting sqref="K2">
    <cfRule type="cellIs" dxfId="24" priority="20" operator="lessThan">
      <formula>-20%</formula>
    </cfRule>
  </conditionalFormatting>
  <conditionalFormatting sqref="K3:K200">
    <cfRule type="cellIs" dxfId="23" priority="5" operator="greaterThan">
      <formula>0.2</formula>
    </cfRule>
  </conditionalFormatting>
  <conditionalFormatting sqref="K3:K1048576">
    <cfRule type="cellIs" dxfId="22" priority="3" operator="lessThan">
      <formula>-0.2</formula>
    </cfRule>
  </conditionalFormatting>
  <conditionalFormatting sqref="U3:U142 U145:U149 U151:U200">
    <cfRule type="cellIs" dxfId="21" priority="12" operator="greaterThan">
      <formula>0.5</formula>
    </cfRule>
  </conditionalFormatting>
  <conditionalFormatting sqref="AC3:AC142">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45">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D185"/>
  <sheetViews>
    <sheetView zoomScale="85" zoomScaleNormal="85" workbookViewId="0">
      <pane xSplit="2" ySplit="2" topLeftCell="C97" activePane="bottomRight" state="frozen"/>
      <selection pane="bottomRight" activeCell="F118" sqref="F118"/>
      <selection pane="bottomLeft" activeCell="O135" sqref="O135"/>
      <selection pane="topRight" activeCell="O135" sqref="O135"/>
    </sheetView>
  </sheetViews>
  <sheetFormatPr defaultRowHeight="15" customHeight="1"/>
  <cols>
    <col min="1" max="1" width="63.85546875" customWidth="1"/>
    <col min="2" max="2" width="14.5703125" customWidth="1"/>
    <col min="3" max="3" width="18.85546875" customWidth="1"/>
    <col min="4" max="4" width="1"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133" bestFit="1" customWidth="1"/>
    <col min="22" max="23" width="0.85546875" customWidth="1"/>
    <col min="24" max="24" width="19.140625" hidden="1" customWidth="1"/>
    <col min="25" max="26" width="7" hidden="1" customWidth="1"/>
    <col min="27" max="27" width="7" style="16" hidden="1" customWidth="1"/>
    <col min="28" max="29" width="13.28515625" customWidth="1"/>
    <col min="30" max="30" width="8.28515625" customWidth="1"/>
  </cols>
  <sheetData>
    <row r="1" spans="1:30">
      <c r="B1" s="159">
        <v>45717</v>
      </c>
      <c r="C1" s="158"/>
      <c r="E1" s="159">
        <v>45748</v>
      </c>
      <c r="F1" s="158"/>
      <c r="J1" s="160"/>
      <c r="K1" s="160"/>
      <c r="L1" s="1"/>
      <c r="N1" s="161" t="s">
        <v>0</v>
      </c>
      <c r="O1" s="161"/>
      <c r="Q1" s="10" t="s">
        <v>1</v>
      </c>
      <c r="R1" s="1"/>
      <c r="T1" s="158" t="s">
        <v>2</v>
      </c>
      <c r="U1" s="158"/>
      <c r="X1" s="160" t="s">
        <v>585</v>
      </c>
      <c r="Y1" s="160"/>
      <c r="Z1" s="160"/>
      <c r="AA1" s="160"/>
      <c r="AB1" s="158" t="s">
        <v>3</v>
      </c>
      <c r="AC1" s="158"/>
    </row>
    <row r="2" spans="1:30">
      <c r="A2" s="3" t="s">
        <v>4</v>
      </c>
      <c r="B2" s="3" t="s">
        <v>5</v>
      </c>
      <c r="C2" s="3" t="s">
        <v>6</v>
      </c>
      <c r="E2" s="3" t="s">
        <v>5</v>
      </c>
      <c r="F2" s="3" t="s">
        <v>6</v>
      </c>
      <c r="G2" t="s">
        <v>7</v>
      </c>
      <c r="J2" t="s">
        <v>8</v>
      </c>
      <c r="K2" t="s">
        <v>9</v>
      </c>
      <c r="N2" t="s">
        <v>10</v>
      </c>
      <c r="O2" t="s">
        <v>11</v>
      </c>
      <c r="Q2" s="5" t="s">
        <v>12</v>
      </c>
      <c r="T2" s="133" t="s">
        <v>13</v>
      </c>
      <c r="U2" t="s">
        <v>9</v>
      </c>
      <c r="X2" t="s">
        <v>14</v>
      </c>
      <c r="Y2" t="s">
        <v>586</v>
      </c>
      <c r="Z2" t="s">
        <v>899</v>
      </c>
      <c r="AB2" t="s">
        <v>10</v>
      </c>
      <c r="AC2" t="s">
        <v>11</v>
      </c>
      <c r="AD2" t="s">
        <v>9</v>
      </c>
    </row>
    <row r="3" spans="1:30" ht="13.9" customHeight="1">
      <c r="A3" t="s">
        <v>900</v>
      </c>
      <c r="B3" t="s">
        <v>901</v>
      </c>
      <c r="C3" s="19">
        <v>6174</v>
      </c>
      <c r="E3" t="s">
        <v>901</v>
      </c>
      <c r="F3" s="19">
        <v>9499</v>
      </c>
      <c r="G3" t="b">
        <f>IF(B3=E3,TRUE,FALSE)</f>
        <v>1</v>
      </c>
      <c r="J3">
        <f>F3-C3</f>
        <v>3325</v>
      </c>
      <c r="K3" s="4">
        <f>F3/C3-1</f>
        <v>0.53854875283446701</v>
      </c>
      <c r="L3" s="4"/>
      <c r="N3" s="5">
        <v>4469.01</v>
      </c>
      <c r="O3" s="5">
        <v>4480.3</v>
      </c>
      <c r="Q3" s="5">
        <v>19360.36</v>
      </c>
      <c r="T3" s="133">
        <f>O3-N3</f>
        <v>11.289999999999964</v>
      </c>
      <c r="U3" s="4">
        <f>IF(N3=0,0,O3/N3-1)</f>
        <v>2.5262865824868808E-3</v>
      </c>
      <c r="AB3" s="18">
        <v>61668.27</v>
      </c>
      <c r="AC3" s="18">
        <v>94875.03</v>
      </c>
      <c r="AD3" s="4">
        <f>AC3/AB3-1</f>
        <v>0.5384739996760084</v>
      </c>
    </row>
    <row r="4" spans="1:30" ht="13.9" customHeight="1">
      <c r="A4" s="56" t="s">
        <v>902</v>
      </c>
      <c r="B4" s="38" t="s">
        <v>903</v>
      </c>
      <c r="C4">
        <v>50</v>
      </c>
      <c r="E4" s="38" t="s">
        <v>903</v>
      </c>
      <c r="F4">
        <v>1312</v>
      </c>
      <c r="G4" t="b">
        <f>IF(B4=E4,TRUE,FALSE)</f>
        <v>1</v>
      </c>
      <c r="J4">
        <f>F4-C4</f>
        <v>1262</v>
      </c>
      <c r="K4" s="4">
        <f>F4/C4-1</f>
        <v>25.24</v>
      </c>
      <c r="L4" s="4"/>
      <c r="N4" s="5">
        <v>50.85</v>
      </c>
      <c r="O4" s="5">
        <v>1386.2</v>
      </c>
      <c r="Q4" s="5">
        <v>5064.93</v>
      </c>
      <c r="T4" s="133">
        <f>O4-N4</f>
        <v>1335.3500000000001</v>
      </c>
      <c r="U4" s="4">
        <f>IF(N5=0,0,O4/N5-1)</f>
        <v>-0.65183975888484236</v>
      </c>
      <c r="AB4" s="18">
        <v>319.64</v>
      </c>
      <c r="AC4" s="18">
        <v>21110.880000000001</v>
      </c>
      <c r="AD4" s="4">
        <f>AC4/AB4-1</f>
        <v>65.045801526717568</v>
      </c>
    </row>
    <row r="5" spans="1:30" ht="13.9" customHeight="1">
      <c r="A5" t="s">
        <v>904</v>
      </c>
      <c r="B5" t="s">
        <v>905</v>
      </c>
      <c r="C5" s="19">
        <v>3264</v>
      </c>
      <c r="E5" t="s">
        <v>905</v>
      </c>
      <c r="F5" s="19">
        <v>4483</v>
      </c>
      <c r="G5" t="b">
        <f>IF(B5=E5,TRUE,FALSE)</f>
        <v>1</v>
      </c>
      <c r="J5">
        <f>F5-C5</f>
        <v>1219</v>
      </c>
      <c r="K5" s="4">
        <f>F5/C5-1</f>
        <v>0.37346813725490202</v>
      </c>
      <c r="L5" s="4"/>
      <c r="N5" s="5">
        <v>3981.5</v>
      </c>
      <c r="O5" s="5">
        <v>4019.86</v>
      </c>
      <c r="Q5" s="5">
        <v>17746.509999999998</v>
      </c>
      <c r="T5" s="133">
        <f>O5-N5</f>
        <v>38.360000000000127</v>
      </c>
      <c r="U5" s="4">
        <f>IF(N6=0,0,O5/N6-1)</f>
        <v>6.3097666975796924</v>
      </c>
      <c r="AB5" s="18">
        <v>65207.38</v>
      </c>
      <c r="AC5" s="18">
        <v>84674.19</v>
      </c>
      <c r="AD5" s="4">
        <f>AC5/AB5-1</f>
        <v>0.29853691407322303</v>
      </c>
    </row>
    <row r="6" spans="1:30" ht="13.9" customHeight="1">
      <c r="A6" s="56" t="s">
        <v>906</v>
      </c>
      <c r="B6" s="38" t="s">
        <v>907</v>
      </c>
      <c r="C6">
        <v>855</v>
      </c>
      <c r="E6" s="38" t="s">
        <v>907</v>
      </c>
      <c r="F6">
        <v>1598</v>
      </c>
      <c r="G6" t="b">
        <f>IF(B6=E6,TRUE,FALSE)</f>
        <v>1</v>
      </c>
      <c r="J6">
        <f>F6-C6</f>
        <v>743</v>
      </c>
      <c r="K6" s="4">
        <f>F6/C6-1</f>
        <v>0.86900584795321634</v>
      </c>
      <c r="L6" s="4"/>
      <c r="N6" s="5">
        <v>549.92999999999995</v>
      </c>
      <c r="O6" s="5">
        <v>1475.22</v>
      </c>
      <c r="Q6" s="5">
        <v>5898.38</v>
      </c>
      <c r="T6" s="133">
        <f>O6-N6</f>
        <v>925.29000000000008</v>
      </c>
      <c r="U6" s="4">
        <f>IF(N7=0,0,O6/N7-1)</f>
        <v>0.9385282522996059</v>
      </c>
      <c r="AB6" s="18">
        <v>11961.449999999999</v>
      </c>
      <c r="AC6" s="18">
        <v>26247.03</v>
      </c>
      <c r="AD6" s="4">
        <f>AC6/AB6-1</f>
        <v>1.1943016941925939</v>
      </c>
    </row>
    <row r="7" spans="1:30" ht="13.9" customHeight="1">
      <c r="A7" t="s">
        <v>908</v>
      </c>
      <c r="B7" t="s">
        <v>909</v>
      </c>
      <c r="C7" s="19">
        <v>460</v>
      </c>
      <c r="E7" t="s">
        <v>909</v>
      </c>
      <c r="F7" s="19">
        <v>983</v>
      </c>
      <c r="G7" t="b">
        <f>IF(B7=E7,TRUE,FALSE)</f>
        <v>1</v>
      </c>
      <c r="J7">
        <f>F7-C7</f>
        <v>523</v>
      </c>
      <c r="K7" s="4">
        <f>F7/C7-1</f>
        <v>1.1369565217391306</v>
      </c>
      <c r="L7" s="4"/>
      <c r="N7" s="5">
        <v>761</v>
      </c>
      <c r="O7" s="5">
        <v>1362.76</v>
      </c>
      <c r="Q7" s="5">
        <v>6771.7</v>
      </c>
      <c r="T7" s="133">
        <f>O7-N7</f>
        <v>601.76</v>
      </c>
      <c r="U7" s="4">
        <f>IF(N7=0,0,O7/N7-1)</f>
        <v>0.79074901445466494</v>
      </c>
      <c r="AB7" s="18">
        <v>8275.4</v>
      </c>
      <c r="AC7" s="18">
        <v>14957.17</v>
      </c>
      <c r="AD7" s="4">
        <f>AC7/AB7-1</f>
        <v>0.80742562293061382</v>
      </c>
    </row>
    <row r="8" spans="1:30" ht="13.9" customHeight="1">
      <c r="A8" s="58" t="s">
        <v>910</v>
      </c>
      <c r="B8" s="38" t="s">
        <v>911</v>
      </c>
      <c r="C8" s="148">
        <v>1175</v>
      </c>
      <c r="E8" s="38" t="s">
        <v>911</v>
      </c>
      <c r="F8" s="148">
        <v>1682</v>
      </c>
      <c r="G8" t="b">
        <f>IF(B8=E8,TRUE,FALSE)</f>
        <v>1</v>
      </c>
      <c r="J8">
        <f>F8-C8</f>
        <v>507</v>
      </c>
      <c r="K8" s="4">
        <f>F8/C8-1</f>
        <v>0.43148936170212759</v>
      </c>
      <c r="L8" s="4"/>
      <c r="N8" s="5">
        <v>2894.09</v>
      </c>
      <c r="O8" s="5">
        <v>3460.67</v>
      </c>
      <c r="Q8" s="5">
        <v>15620.62</v>
      </c>
      <c r="T8" s="133">
        <f>O8-N8</f>
        <v>566.57999999999993</v>
      </c>
      <c r="U8" s="4">
        <f>IF(N8=0,0,O8/N8-1)</f>
        <v>0.19577138236889668</v>
      </c>
      <c r="AB8" s="18">
        <v>26606.06</v>
      </c>
      <c r="AC8" s="18">
        <v>40255.22</v>
      </c>
      <c r="AD8" s="4">
        <f>AC8/AB8-1</f>
        <v>0.51300944220978217</v>
      </c>
    </row>
    <row r="9" spans="1:30" ht="13.9" customHeight="1">
      <c r="A9" t="s">
        <v>912</v>
      </c>
      <c r="B9" t="s">
        <v>913</v>
      </c>
      <c r="C9" s="19">
        <v>10704</v>
      </c>
      <c r="E9" t="s">
        <v>913</v>
      </c>
      <c r="F9" s="19">
        <v>11107</v>
      </c>
      <c r="G9" t="b">
        <f>IF(B9=E9,TRUE,FALSE)</f>
        <v>1</v>
      </c>
      <c r="J9">
        <f>F9-C9</f>
        <v>403</v>
      </c>
      <c r="K9" s="4">
        <f>F9/C9-1</f>
        <v>3.76494768310911E-2</v>
      </c>
      <c r="L9" s="4"/>
      <c r="N9" s="5">
        <v>9663.89</v>
      </c>
      <c r="O9" s="5">
        <v>8064.05</v>
      </c>
      <c r="Q9" s="5">
        <v>43871.62</v>
      </c>
      <c r="T9" s="133">
        <f>O9-N9</f>
        <v>-1599.8399999999992</v>
      </c>
      <c r="U9" s="4">
        <f>IF(N9=0,0,O9/N9-1)</f>
        <v>-0.16554824196053552</v>
      </c>
      <c r="X9" t="s">
        <v>914</v>
      </c>
      <c r="AB9" s="18">
        <v>198772.09</v>
      </c>
      <c r="AC9" s="18">
        <v>204604.05</v>
      </c>
      <c r="AD9" s="4">
        <f>AC9/AB9-1</f>
        <v>2.9339933991738842E-2</v>
      </c>
    </row>
    <row r="10" spans="1:30" ht="13.9" customHeight="1">
      <c r="A10" s="57" t="s">
        <v>915</v>
      </c>
      <c r="B10" s="38" t="s">
        <v>916</v>
      </c>
      <c r="C10">
        <v>1738</v>
      </c>
      <c r="E10" s="38" t="s">
        <v>916</v>
      </c>
      <c r="F10">
        <v>2036</v>
      </c>
      <c r="G10" t="b">
        <f>IF(B10=E10,TRUE,FALSE)</f>
        <v>1</v>
      </c>
      <c r="J10">
        <f>F10-C10</f>
        <v>298</v>
      </c>
      <c r="K10" s="4">
        <f>F10/C10-1</f>
        <v>0.17146144994246271</v>
      </c>
      <c r="L10" s="4"/>
      <c r="N10" s="5">
        <v>2172.14</v>
      </c>
      <c r="O10" s="5">
        <v>2572.25</v>
      </c>
      <c r="Q10" s="5">
        <v>11171.61</v>
      </c>
      <c r="T10" s="133">
        <f>O10-N10</f>
        <v>400.11000000000013</v>
      </c>
      <c r="U10" s="4">
        <f>IF(N11=0,0,O10/N11-1)</f>
        <v>2.4972306122936994E-2</v>
      </c>
      <c r="AB10" s="18">
        <v>24106.66</v>
      </c>
      <c r="AC10" s="18">
        <v>35102.639999999999</v>
      </c>
      <c r="AD10" s="4">
        <f>AC10/AB10-1</f>
        <v>0.45613867702950128</v>
      </c>
    </row>
    <row r="11" spans="1:30" ht="13.9" customHeight="1">
      <c r="A11" t="s">
        <v>917</v>
      </c>
      <c r="B11" t="s">
        <v>918</v>
      </c>
      <c r="C11" s="19">
        <v>2045</v>
      </c>
      <c r="E11" t="s">
        <v>918</v>
      </c>
      <c r="F11" s="19">
        <v>2332</v>
      </c>
      <c r="G11" t="b">
        <f>IF(B11=E11,TRUE,FALSE)</f>
        <v>1</v>
      </c>
      <c r="J11">
        <f>F11-C11</f>
        <v>287</v>
      </c>
      <c r="K11" s="4">
        <f>F11/C11-1</f>
        <v>0.14034229828850853</v>
      </c>
      <c r="L11" s="4"/>
      <c r="N11" s="5">
        <v>2509.58</v>
      </c>
      <c r="O11" s="5">
        <v>1592.57</v>
      </c>
      <c r="Q11" s="5">
        <v>8126.49</v>
      </c>
      <c r="T11" s="133">
        <f>O11-N11</f>
        <v>-917.01</v>
      </c>
      <c r="U11" s="4">
        <f>IF(N11=0,0,O11/N11-1)</f>
        <v>-0.36540377274284941</v>
      </c>
      <c r="AB11" s="18">
        <v>40777.800000000003</v>
      </c>
      <c r="AC11" s="18">
        <v>46463.55</v>
      </c>
      <c r="AD11" s="4">
        <f>AC11/AB11-1</f>
        <v>0.13943248532289632</v>
      </c>
    </row>
    <row r="12" spans="1:30" ht="13.9" customHeight="1">
      <c r="A12" t="s">
        <v>919</v>
      </c>
      <c r="B12" t="s">
        <v>920</v>
      </c>
      <c r="C12" s="19">
        <v>2</v>
      </c>
      <c r="E12" t="s">
        <v>920</v>
      </c>
      <c r="F12" s="19">
        <v>268</v>
      </c>
      <c r="G12" t="b">
        <f>IF(B12=E12,TRUE,FALSE)</f>
        <v>1</v>
      </c>
      <c r="J12">
        <f>F12-C12</f>
        <v>266</v>
      </c>
      <c r="K12" s="4">
        <f>F12/C12-1</f>
        <v>133</v>
      </c>
      <c r="L12" s="4"/>
      <c r="N12" s="5">
        <v>0</v>
      </c>
      <c r="O12" s="5">
        <v>0</v>
      </c>
      <c r="Q12" s="5">
        <v>0</v>
      </c>
      <c r="T12" s="133">
        <f>O12-N12</f>
        <v>0</v>
      </c>
      <c r="U12" s="4">
        <f>IF(N12=0,0,O12/N12-1)</f>
        <v>0</v>
      </c>
      <c r="AB12" s="18">
        <v>57.9</v>
      </c>
      <c r="AC12" s="18">
        <v>5849.34</v>
      </c>
      <c r="AD12" s="4">
        <f>AC12/AB12-1</f>
        <v>100.02487046632125</v>
      </c>
    </row>
    <row r="13" spans="1:30" ht="13.9" customHeight="1">
      <c r="A13" t="s">
        <v>921</v>
      </c>
      <c r="B13" t="s">
        <v>922</v>
      </c>
      <c r="C13" s="19">
        <v>1352</v>
      </c>
      <c r="E13" t="s">
        <v>922</v>
      </c>
      <c r="F13" s="19">
        <v>1603</v>
      </c>
      <c r="G13" t="b">
        <f>IF(B13=E13,TRUE,FALSE)</f>
        <v>1</v>
      </c>
      <c r="J13">
        <f>F13-C13</f>
        <v>251</v>
      </c>
      <c r="K13" s="4">
        <f>F13/C13-1</f>
        <v>0.18565088757396442</v>
      </c>
      <c r="L13" s="6"/>
      <c r="N13" s="5">
        <v>2237.36</v>
      </c>
      <c r="O13" s="5">
        <v>2112.17</v>
      </c>
      <c r="Q13" s="5">
        <v>13496.97</v>
      </c>
      <c r="T13" s="133">
        <f>O13-N13</f>
        <v>-125.19000000000005</v>
      </c>
      <c r="U13" s="4">
        <f>IF(N13=0,0,O13/N13-1)</f>
        <v>-5.5954339042442847E-2</v>
      </c>
      <c r="AB13" s="18">
        <v>26972.400000000001</v>
      </c>
      <c r="AC13" s="18">
        <v>31959.9</v>
      </c>
      <c r="AD13" s="4">
        <f>AC13/AB13-1</f>
        <v>0.18491124260355019</v>
      </c>
    </row>
    <row r="14" spans="1:30" ht="13.9" customHeight="1">
      <c r="A14" t="s">
        <v>923</v>
      </c>
      <c r="B14" t="s">
        <v>924</v>
      </c>
      <c r="C14" s="19">
        <v>1296</v>
      </c>
      <c r="E14" t="s">
        <v>924</v>
      </c>
      <c r="F14" s="19">
        <v>1448</v>
      </c>
      <c r="G14" t="b">
        <f>IF(B14=E14,TRUE,FALSE)</f>
        <v>1</v>
      </c>
      <c r="J14">
        <f>F14-C14</f>
        <v>152</v>
      </c>
      <c r="K14" s="4">
        <f>F14/C14-1</f>
        <v>0.11728395061728403</v>
      </c>
      <c r="L14" s="4"/>
      <c r="N14" s="5">
        <v>2148.64</v>
      </c>
      <c r="O14" s="5">
        <v>2762.27</v>
      </c>
      <c r="Q14" s="5">
        <v>13738.43</v>
      </c>
      <c r="T14" s="133">
        <f>O14-N14</f>
        <v>613.63000000000011</v>
      </c>
      <c r="U14" s="4">
        <f>IF(N14=0,0,O14/N14-1)</f>
        <v>0.28558995457591796</v>
      </c>
      <c r="AB14" s="18">
        <v>29720.25</v>
      </c>
      <c r="AC14" s="18">
        <v>33673.599999999999</v>
      </c>
      <c r="AD14" s="4">
        <f>AC14/AB14-1</f>
        <v>0.1330187330187329</v>
      </c>
    </row>
    <row r="15" spans="1:30" ht="13.9" customHeight="1">
      <c r="A15" s="28" t="s">
        <v>925</v>
      </c>
      <c r="B15" s="28" t="s">
        <v>926</v>
      </c>
      <c r="C15" s="19">
        <v>352</v>
      </c>
      <c r="E15" s="28" t="s">
        <v>926</v>
      </c>
      <c r="F15" s="19">
        <v>483</v>
      </c>
      <c r="G15" t="b">
        <f>IF(B15=E15,TRUE,FALSE)</f>
        <v>1</v>
      </c>
      <c r="J15">
        <f>F15-C15</f>
        <v>131</v>
      </c>
      <c r="K15" s="4">
        <f>F15/C15-1</f>
        <v>0.37215909090909083</v>
      </c>
      <c r="L15" s="4"/>
      <c r="N15" s="5">
        <v>969.84</v>
      </c>
      <c r="O15" s="5">
        <v>994.13</v>
      </c>
      <c r="Q15" s="5">
        <v>7219.07</v>
      </c>
      <c r="T15" s="133">
        <f>O15-N15</f>
        <v>24.289999999999964</v>
      </c>
      <c r="U15" s="4">
        <f>IF(N15=0,0,O15/N15-1)</f>
        <v>2.5045368308174609E-2</v>
      </c>
      <c r="AB15" s="18">
        <v>9500.48</v>
      </c>
      <c r="AC15" s="18">
        <v>13036.17</v>
      </c>
      <c r="AD15" s="4">
        <f>AC15/AB15-1</f>
        <v>0.37215909090909105</v>
      </c>
    </row>
    <row r="16" spans="1:30" ht="13.9" customHeight="1">
      <c r="A16" t="s">
        <v>927</v>
      </c>
      <c r="B16" t="s">
        <v>928</v>
      </c>
      <c r="C16" s="19">
        <v>300</v>
      </c>
      <c r="E16" t="s">
        <v>928</v>
      </c>
      <c r="F16" s="19">
        <v>424</v>
      </c>
      <c r="G16" t="b">
        <f>IF(B16=E16,TRUE,FALSE)</f>
        <v>1</v>
      </c>
      <c r="J16">
        <f>F16-C16</f>
        <v>124</v>
      </c>
      <c r="K16" s="4">
        <f>F16/C16-1</f>
        <v>0.41333333333333333</v>
      </c>
      <c r="L16" s="4"/>
      <c r="N16" s="5">
        <v>392.22</v>
      </c>
      <c r="O16" s="5">
        <v>379.4</v>
      </c>
      <c r="Q16" s="5">
        <v>2214.25</v>
      </c>
      <c r="T16" s="133">
        <f>O16-N16</f>
        <v>-12.82000000000005</v>
      </c>
      <c r="U16" s="4">
        <f>IF(N16=0,0,O16/N16-1)</f>
        <v>-3.2685737596247155E-2</v>
      </c>
      <c r="X16" t="s">
        <v>929</v>
      </c>
      <c r="AB16" s="18">
        <v>7173.01</v>
      </c>
      <c r="AC16" s="18">
        <v>10171.76</v>
      </c>
      <c r="AD16" s="4">
        <f>AC16/AB16-1</f>
        <v>0.41806020066889626</v>
      </c>
    </row>
    <row r="17" spans="1:30" ht="13.9" customHeight="1">
      <c r="A17" t="s">
        <v>930</v>
      </c>
      <c r="B17" t="s">
        <v>931</v>
      </c>
      <c r="C17" s="19">
        <v>3844</v>
      </c>
      <c r="E17" t="s">
        <v>931</v>
      </c>
      <c r="F17" s="19">
        <v>3951</v>
      </c>
      <c r="G17" t="b">
        <f>IF(B17=E17,TRUE,FALSE)</f>
        <v>1</v>
      </c>
      <c r="J17">
        <f>F17-C17</f>
        <v>107</v>
      </c>
      <c r="K17" s="4">
        <f>F17/C17-1</f>
        <v>2.7835587929240457E-2</v>
      </c>
      <c r="L17" s="4"/>
      <c r="N17" s="5">
        <v>3673.24</v>
      </c>
      <c r="O17" s="5">
        <v>2383.41</v>
      </c>
      <c r="Q17" s="5">
        <v>9778.26</v>
      </c>
      <c r="T17" s="133">
        <f>O17-N17</f>
        <v>-1289.83</v>
      </c>
      <c r="U17" s="4">
        <f>IF(N17=0,0,O17/N17-1)</f>
        <v>-0.35114231577571842</v>
      </c>
      <c r="X17" s="5"/>
      <c r="Y17" s="5" t="s">
        <v>932</v>
      </c>
      <c r="Z17" s="5"/>
      <c r="AA17" s="17"/>
      <c r="AB17" s="18">
        <v>72805.899999999994</v>
      </c>
      <c r="AC17" s="18">
        <v>74795.649999999994</v>
      </c>
      <c r="AD17" s="4">
        <f>AC17/AB17-1</f>
        <v>2.7329515877147381E-2</v>
      </c>
    </row>
    <row r="18" spans="1:30" ht="13.9" customHeight="1">
      <c r="A18" t="s">
        <v>933</v>
      </c>
      <c r="B18" t="s">
        <v>934</v>
      </c>
      <c r="C18" s="19">
        <v>1194</v>
      </c>
      <c r="D18" s="5"/>
      <c r="E18" t="s">
        <v>934</v>
      </c>
      <c r="F18" s="19">
        <v>1300</v>
      </c>
      <c r="G18" t="b">
        <f>IF(B18=E18,TRUE,FALSE)</f>
        <v>1</v>
      </c>
      <c r="H18" s="5"/>
      <c r="I18" s="5"/>
      <c r="J18">
        <f>F18-C18</f>
        <v>106</v>
      </c>
      <c r="K18" s="4">
        <f>F18/C18-1</f>
        <v>8.8777219430485665E-2</v>
      </c>
      <c r="L18" s="5"/>
      <c r="M18" s="5"/>
      <c r="N18" s="5">
        <v>1675.1</v>
      </c>
      <c r="O18" s="5">
        <v>1604.66</v>
      </c>
      <c r="Q18" s="5">
        <v>12957.08</v>
      </c>
      <c r="T18" s="133">
        <f>O18-N18</f>
        <v>-70.439999999999827</v>
      </c>
      <c r="U18" s="4">
        <f>IF(N18=0,0,O18/N18-1)</f>
        <v>-4.2051220822637347E-2</v>
      </c>
      <c r="X18" s="5"/>
      <c r="Y18" s="5"/>
      <c r="Z18" s="5"/>
      <c r="AA18" s="17"/>
      <c r="AB18" s="18">
        <v>35760.300000000003</v>
      </c>
      <c r="AC18" s="18">
        <v>38935</v>
      </c>
      <c r="AD18" s="4">
        <f>AC18/AB18-1</f>
        <v>8.8777219430485665E-2</v>
      </c>
    </row>
    <row r="19" spans="1:30" ht="13.9" customHeight="1">
      <c r="A19" t="s">
        <v>935</v>
      </c>
      <c r="B19" t="s">
        <v>936</v>
      </c>
      <c r="C19" s="19">
        <v>1152</v>
      </c>
      <c r="E19" t="s">
        <v>936</v>
      </c>
      <c r="F19" s="19">
        <v>1258</v>
      </c>
      <c r="G19" t="b">
        <f>IF(B19=E19,TRUE,FALSE)</f>
        <v>1</v>
      </c>
      <c r="J19">
        <f>F19-C19</f>
        <v>106</v>
      </c>
      <c r="K19" s="4">
        <f>F19/C19-1</f>
        <v>9.201388888888884E-2</v>
      </c>
      <c r="N19" s="5">
        <v>1694.72</v>
      </c>
      <c r="O19" s="5">
        <v>2318.62</v>
      </c>
      <c r="Q19" s="5">
        <v>10716.4</v>
      </c>
      <c r="T19" s="133">
        <f>O19-N19</f>
        <v>623.89999999999986</v>
      </c>
      <c r="U19" s="4">
        <f>IF(N19=0,0,O19/N19-1)</f>
        <v>0.36814341012084584</v>
      </c>
      <c r="X19" s="5"/>
      <c r="Y19" s="5"/>
      <c r="Z19" s="5"/>
      <c r="AA19" s="17"/>
      <c r="AB19" s="18">
        <v>21602.48</v>
      </c>
      <c r="AC19" s="18">
        <v>23889.42</v>
      </c>
      <c r="AD19" s="4">
        <f>AC19/AB19-1</f>
        <v>0.10586469701626844</v>
      </c>
    </row>
    <row r="20" spans="1:30" ht="13.9" customHeight="1">
      <c r="A20" s="57" t="s">
        <v>937</v>
      </c>
      <c r="B20" s="38" t="s">
        <v>938</v>
      </c>
      <c r="C20" s="148">
        <v>112</v>
      </c>
      <c r="E20" s="38" t="s">
        <v>938</v>
      </c>
      <c r="F20" s="148">
        <v>215</v>
      </c>
      <c r="G20" t="b">
        <f>IF(B20=E20,TRUE,FALSE)</f>
        <v>1</v>
      </c>
      <c r="J20">
        <f>F20-C20</f>
        <v>103</v>
      </c>
      <c r="K20" s="4">
        <f>F20/C20-1</f>
        <v>0.91964285714285721</v>
      </c>
      <c r="L20" s="4"/>
      <c r="N20" s="5">
        <v>468.96</v>
      </c>
      <c r="O20" s="5">
        <v>1049.8800000000001</v>
      </c>
      <c r="Q20" s="5">
        <v>3771.33</v>
      </c>
      <c r="T20" s="133">
        <f>O20-N20</f>
        <v>580.92000000000007</v>
      </c>
      <c r="U20" s="4">
        <f>IF(N20=0,0,O20/N20-1)</f>
        <v>1.2387410440122828</v>
      </c>
      <c r="AB20" s="18">
        <v>3022.88</v>
      </c>
      <c r="AC20" s="18">
        <v>5403.85</v>
      </c>
      <c r="AD20" s="4">
        <f>AC20/AB20-1</f>
        <v>0.78764952627957441</v>
      </c>
    </row>
    <row r="21" spans="1:30" ht="13.9" customHeight="1">
      <c r="A21" t="s">
        <v>939</v>
      </c>
      <c r="B21" t="s">
        <v>940</v>
      </c>
      <c r="C21" s="19">
        <v>327</v>
      </c>
      <c r="E21" t="s">
        <v>940</v>
      </c>
      <c r="F21" s="19">
        <v>430</v>
      </c>
      <c r="G21" t="b">
        <f>IF(B21=E21,TRUE,FALSE)</f>
        <v>1</v>
      </c>
      <c r="J21">
        <f>F21-C21</f>
        <v>103</v>
      </c>
      <c r="K21" s="4">
        <f>F21/C21-1</f>
        <v>0.31498470948012236</v>
      </c>
      <c r="L21" s="4"/>
      <c r="N21" s="5">
        <v>0</v>
      </c>
      <c r="O21" s="5">
        <v>0</v>
      </c>
      <c r="Q21" s="5">
        <v>0</v>
      </c>
      <c r="T21" s="133">
        <f>O21-N21</f>
        <v>0</v>
      </c>
      <c r="U21" s="4">
        <f>IF(N21=0,0,O21/N21-1)</f>
        <v>0</v>
      </c>
      <c r="AB21" s="18">
        <v>6523.65</v>
      </c>
      <c r="AC21" s="18">
        <v>8578.5</v>
      </c>
      <c r="AD21" s="4">
        <f>AC21/AB21-1</f>
        <v>0.31498470948012236</v>
      </c>
    </row>
    <row r="22" spans="1:30" ht="13.9" customHeight="1">
      <c r="A22" t="s">
        <v>941</v>
      </c>
      <c r="B22" t="s">
        <v>942</v>
      </c>
      <c r="C22" s="19">
        <v>162</v>
      </c>
      <c r="E22" t="s">
        <v>942</v>
      </c>
      <c r="F22" s="19">
        <v>258</v>
      </c>
      <c r="G22" t="b">
        <f>IF(B22=E22,TRUE,FALSE)</f>
        <v>1</v>
      </c>
      <c r="J22">
        <f>F22-C22</f>
        <v>96</v>
      </c>
      <c r="K22" s="4">
        <f>F22/C22-1</f>
        <v>0.59259259259259256</v>
      </c>
      <c r="L22" s="4"/>
      <c r="N22" s="5">
        <v>82.77</v>
      </c>
      <c r="O22" s="5">
        <v>573.92999999999995</v>
      </c>
      <c r="Q22" s="5">
        <v>2438.52</v>
      </c>
      <c r="T22" s="133">
        <f>O22-N22</f>
        <v>491.15999999999997</v>
      </c>
      <c r="U22" s="4">
        <f>IF(N22=0,0,O22/N22-1)</f>
        <v>5.9340340703153318</v>
      </c>
      <c r="AB22" s="18">
        <v>3562.38</v>
      </c>
      <c r="AC22" s="18">
        <v>5673.42</v>
      </c>
      <c r="AD22" s="4">
        <f>AC22/AB22-1</f>
        <v>0.59259259259259256</v>
      </c>
    </row>
    <row r="23" spans="1:30" ht="13.9" customHeight="1">
      <c r="A23" t="s">
        <v>943</v>
      </c>
      <c r="B23" t="s">
        <v>944</v>
      </c>
      <c r="C23" s="19">
        <v>788</v>
      </c>
      <c r="E23" t="s">
        <v>944</v>
      </c>
      <c r="F23" s="19">
        <v>881</v>
      </c>
      <c r="G23" t="b">
        <f>IF(B23=E23,TRUE,FALSE)</f>
        <v>1</v>
      </c>
      <c r="J23">
        <f>F23-C23</f>
        <v>93</v>
      </c>
      <c r="K23" s="4">
        <f>F23/C23-1</f>
        <v>0.11802030456852797</v>
      </c>
      <c r="L23" s="4"/>
      <c r="N23" s="5">
        <v>934.46</v>
      </c>
      <c r="O23" s="5">
        <v>964.45</v>
      </c>
      <c r="Q23" s="5">
        <v>4082.87</v>
      </c>
      <c r="T23" s="133">
        <f>O23-N23</f>
        <v>29.990000000000009</v>
      </c>
      <c r="U23" s="4">
        <f>IF(N23=0,0,O23/N23-1)</f>
        <v>3.209340153671647E-2</v>
      </c>
      <c r="AB23" s="18">
        <v>15752.12</v>
      </c>
      <c r="AC23" s="18">
        <v>17611.189999999999</v>
      </c>
      <c r="AD23" s="4">
        <f>AC23/AB23-1</f>
        <v>0.11802030456852775</v>
      </c>
    </row>
    <row r="24" spans="1:30" ht="13.9" customHeight="1">
      <c r="A24" t="s">
        <v>945</v>
      </c>
      <c r="B24" t="s">
        <v>946</v>
      </c>
      <c r="C24" s="19">
        <v>1205</v>
      </c>
      <c r="E24" t="s">
        <v>946</v>
      </c>
      <c r="F24" s="19">
        <v>1296</v>
      </c>
      <c r="G24" t="b">
        <f>IF(B24=E24,TRUE,FALSE)</f>
        <v>1</v>
      </c>
      <c r="J24">
        <f>F24-C24</f>
        <v>91</v>
      </c>
      <c r="K24" s="4">
        <f>F24/C24-1</f>
        <v>7.5518672199170078E-2</v>
      </c>
      <c r="L24" s="4"/>
      <c r="N24" s="5">
        <v>1434.36</v>
      </c>
      <c r="O24" s="5">
        <v>1392.96</v>
      </c>
      <c r="Q24" s="5">
        <v>10171.280000000001</v>
      </c>
      <c r="T24" s="133">
        <f>O24-N24</f>
        <v>-41.399999999999864</v>
      </c>
      <c r="U24" s="4">
        <f>IF(N24=0,0,O24/N24-1)</f>
        <v>-2.8863046933824021E-2</v>
      </c>
      <c r="AB24" s="18">
        <v>28907.95</v>
      </c>
      <c r="AC24" s="18">
        <v>31091.040000000001</v>
      </c>
      <c r="AD24" s="4">
        <f>AC24/AB24-1</f>
        <v>7.5518672199170078E-2</v>
      </c>
    </row>
    <row r="25" spans="1:30" ht="13.9" customHeight="1">
      <c r="A25" t="s">
        <v>947</v>
      </c>
      <c r="B25" t="s">
        <v>948</v>
      </c>
      <c r="C25" s="19">
        <v>1599</v>
      </c>
      <c r="E25" t="s">
        <v>948</v>
      </c>
      <c r="F25" s="19">
        <v>1679</v>
      </c>
      <c r="G25" t="b">
        <f>IF(B25=E25,TRUE,FALSE)</f>
        <v>1</v>
      </c>
      <c r="J25">
        <f>F25-C25</f>
        <v>80</v>
      </c>
      <c r="K25" s="4">
        <f>F25/C25-1</f>
        <v>5.0031269543464596E-2</v>
      </c>
      <c r="L25" s="4"/>
      <c r="N25" s="5">
        <v>1606.25</v>
      </c>
      <c r="O25" s="5">
        <v>1471.09</v>
      </c>
      <c r="Q25" s="5">
        <v>8696.57</v>
      </c>
      <c r="T25" s="133">
        <f>O25-N25</f>
        <v>-135.16000000000008</v>
      </c>
      <c r="U25" s="4">
        <f>IF(N25=0,0,O25/N25-1)</f>
        <v>-8.414630350194563E-2</v>
      </c>
      <c r="AB25" s="18">
        <v>27150.02</v>
      </c>
      <c r="AC25" s="18">
        <v>28509.22</v>
      </c>
      <c r="AD25" s="4">
        <f>AC25/AB25-1</f>
        <v>5.0062578222778598E-2</v>
      </c>
    </row>
    <row r="26" spans="1:30">
      <c r="A26" t="s">
        <v>949</v>
      </c>
      <c r="B26" t="s">
        <v>950</v>
      </c>
      <c r="C26" s="19">
        <v>1087</v>
      </c>
      <c r="E26" t="s">
        <v>950</v>
      </c>
      <c r="F26" s="19">
        <v>1166</v>
      </c>
      <c r="G26" t="b">
        <f>IF(B26=E26,TRUE,FALSE)</f>
        <v>1</v>
      </c>
      <c r="J26">
        <f>F26-C26</f>
        <v>79</v>
      </c>
      <c r="K26" s="4">
        <f>F26/C26-1</f>
        <v>7.2677092916283437E-2</v>
      </c>
      <c r="L26" s="4"/>
      <c r="N26" s="5">
        <v>2118.8200000000002</v>
      </c>
      <c r="O26" s="5">
        <v>1447.82</v>
      </c>
      <c r="Q26" s="5">
        <v>9664.41</v>
      </c>
      <c r="T26" s="133">
        <f>O26-N26</f>
        <v>-671.00000000000023</v>
      </c>
      <c r="U26" s="4">
        <f>IF(N26=0,0,O26/N26-1)</f>
        <v>-0.31668570241927119</v>
      </c>
      <c r="AB26" s="18">
        <v>18451.14</v>
      </c>
      <c r="AC26" s="18">
        <v>19810.34</v>
      </c>
      <c r="AD26" s="4">
        <f>AC26/AB26-1</f>
        <v>7.366482504604055E-2</v>
      </c>
    </row>
    <row r="27" spans="1:30">
      <c r="A27" t="s">
        <v>951</v>
      </c>
      <c r="B27" t="s">
        <v>952</v>
      </c>
      <c r="C27" s="19">
        <v>857</v>
      </c>
      <c r="E27" t="s">
        <v>952</v>
      </c>
      <c r="F27" s="19">
        <v>927</v>
      </c>
      <c r="G27" t="b">
        <f>IF(B27=E27,TRUE,FALSE)</f>
        <v>1</v>
      </c>
      <c r="J27">
        <f>F27-C27</f>
        <v>70</v>
      </c>
      <c r="K27" s="4">
        <f>F27/C27-1</f>
        <v>8.1680280046674492E-2</v>
      </c>
      <c r="L27" s="4"/>
      <c r="N27" s="5">
        <v>1794.08</v>
      </c>
      <c r="O27" s="5">
        <v>1780.18</v>
      </c>
      <c r="Q27" s="5">
        <v>11387.85</v>
      </c>
      <c r="T27" s="133">
        <f>O27-N27</f>
        <v>-13.899999999999864</v>
      </c>
      <c r="U27" s="4">
        <f>IF(N27=0,0,O27/N27-1)</f>
        <v>-7.747703558369623E-3</v>
      </c>
      <c r="AB27" s="18">
        <v>18845.43</v>
      </c>
      <c r="AC27" s="18">
        <v>20384.73</v>
      </c>
      <c r="AD27" s="4">
        <f>AC27/AB27-1</f>
        <v>8.1680280046674492E-2</v>
      </c>
    </row>
    <row r="28" spans="1:30">
      <c r="A28" t="s">
        <v>953</v>
      </c>
      <c r="B28" t="s">
        <v>954</v>
      </c>
      <c r="C28" s="19">
        <v>709</v>
      </c>
      <c r="E28" t="s">
        <v>954</v>
      </c>
      <c r="F28" s="19">
        <v>776</v>
      </c>
      <c r="G28" t="b">
        <f>IF(B28=E28,TRUE,FALSE)</f>
        <v>1</v>
      </c>
      <c r="J28">
        <f>F28-C28</f>
        <v>67</v>
      </c>
      <c r="K28" s="4">
        <f>F28/C28-1</f>
        <v>9.4499294781382304E-2</v>
      </c>
      <c r="L28" s="4"/>
      <c r="N28" s="5">
        <v>67.430000000000007</v>
      </c>
      <c r="O28" s="5">
        <v>539.39</v>
      </c>
      <c r="Q28" s="5">
        <v>2903.38</v>
      </c>
      <c r="T28" s="133">
        <f>O28-N28</f>
        <v>471.96</v>
      </c>
      <c r="U28" s="4">
        <f>IF(N28=0,0,O28/N28-1)</f>
        <v>6.9992584902862216</v>
      </c>
      <c r="X28" t="s">
        <v>955</v>
      </c>
      <c r="AB28" s="18">
        <v>14172.91</v>
      </c>
      <c r="AC28" s="18">
        <v>15492.25</v>
      </c>
      <c r="AD28" s="4">
        <f>AC28/AB28-1</f>
        <v>9.3088857545839288E-2</v>
      </c>
    </row>
    <row r="29" spans="1:30">
      <c r="A29" t="s">
        <v>956</v>
      </c>
      <c r="B29" t="s">
        <v>957</v>
      </c>
      <c r="C29" s="19">
        <v>665</v>
      </c>
      <c r="E29" t="s">
        <v>957</v>
      </c>
      <c r="F29" s="19">
        <v>724</v>
      </c>
      <c r="G29" t="b">
        <f>IF(B29=E29,TRUE,FALSE)</f>
        <v>1</v>
      </c>
      <c r="J29">
        <f>F29-C29</f>
        <v>59</v>
      </c>
      <c r="K29" s="4">
        <f>F29/C29-1</f>
        <v>8.8721804511278091E-2</v>
      </c>
      <c r="L29" s="4"/>
      <c r="N29" s="5">
        <v>1016.24</v>
      </c>
      <c r="O29" s="5">
        <v>633.70000000000005</v>
      </c>
      <c r="Q29" s="5">
        <v>2794.83</v>
      </c>
      <c r="T29" s="133">
        <f>O29-N29</f>
        <v>-382.53999999999996</v>
      </c>
      <c r="U29" s="4">
        <f>IF(N29=0,0,O29/N29-1)</f>
        <v>-0.37642682830827356</v>
      </c>
      <c r="X29" t="s">
        <v>958</v>
      </c>
      <c r="AB29" s="18">
        <v>13273.4</v>
      </c>
      <c r="AC29" s="18">
        <v>14451.04</v>
      </c>
      <c r="AD29" s="4">
        <f>AC29/AB29-1</f>
        <v>8.8721804511278313E-2</v>
      </c>
    </row>
    <row r="30" spans="1:30">
      <c r="A30" t="s">
        <v>959</v>
      </c>
      <c r="B30" t="s">
        <v>960</v>
      </c>
      <c r="C30" s="19">
        <v>318</v>
      </c>
      <c r="E30" t="s">
        <v>960</v>
      </c>
      <c r="F30" s="19">
        <v>375</v>
      </c>
      <c r="G30" t="b">
        <f>IF(B30=E30,TRUE,FALSE)</f>
        <v>1</v>
      </c>
      <c r="J30">
        <f>F30-C30</f>
        <v>57</v>
      </c>
      <c r="K30" s="4">
        <f>F30/C30-1</f>
        <v>0.179245283018868</v>
      </c>
      <c r="L30" s="4"/>
      <c r="N30" s="5">
        <v>494.32</v>
      </c>
      <c r="O30" s="5">
        <v>257.61</v>
      </c>
      <c r="Q30" s="5">
        <v>1067.29</v>
      </c>
      <c r="T30" s="133">
        <f>O30-N30</f>
        <v>-236.70999999999998</v>
      </c>
      <c r="U30" s="4">
        <f>IF(N30=0,0,O30/N30-1)</f>
        <v>-0.4788598478718239</v>
      </c>
      <c r="AB30" s="18">
        <v>5014.3500000000004</v>
      </c>
      <c r="AC30" s="18">
        <v>5896.95</v>
      </c>
      <c r="AD30" s="4">
        <f>AC30/AB30-1</f>
        <v>0.17601483741661417</v>
      </c>
    </row>
    <row r="31" spans="1:30">
      <c r="A31" t="s">
        <v>961</v>
      </c>
      <c r="B31" t="s">
        <v>962</v>
      </c>
      <c r="C31" s="19">
        <v>905</v>
      </c>
      <c r="E31" t="s">
        <v>962</v>
      </c>
      <c r="F31" s="19">
        <v>961</v>
      </c>
      <c r="G31" t="b">
        <f>IF(B31=E31,TRUE,FALSE)</f>
        <v>1</v>
      </c>
      <c r="J31">
        <f>F31-C31</f>
        <v>56</v>
      </c>
      <c r="K31" s="4">
        <f>F31/C31-1</f>
        <v>6.1878453038674008E-2</v>
      </c>
      <c r="L31" s="4"/>
      <c r="N31" s="5">
        <v>641.14</v>
      </c>
      <c r="O31" s="5">
        <v>593.12</v>
      </c>
      <c r="Q31" s="5">
        <v>3717.2</v>
      </c>
      <c r="T31" s="133">
        <f>O31-N31</f>
        <v>-48.019999999999982</v>
      </c>
      <c r="U31" s="4">
        <f>IF(N31=0,0,O31/N31-1)</f>
        <v>-7.489783822566054E-2</v>
      </c>
      <c r="AB31" s="18">
        <v>21686.959999999999</v>
      </c>
      <c r="AC31" s="18">
        <v>23054.39</v>
      </c>
      <c r="AD31" s="4">
        <f>AC31/AB31-1</f>
        <v>6.3053097345132869E-2</v>
      </c>
    </row>
    <row r="32" spans="1:30">
      <c r="A32" t="s">
        <v>963</v>
      </c>
      <c r="B32" s="5" t="s">
        <v>964</v>
      </c>
      <c r="C32" s="19">
        <v>1639</v>
      </c>
      <c r="E32" t="s">
        <v>964</v>
      </c>
      <c r="F32" s="19">
        <v>1692</v>
      </c>
      <c r="G32" t="b">
        <f>IF(B32=E32,TRUE,FALSE)</f>
        <v>1</v>
      </c>
      <c r="J32">
        <f>F32-C32</f>
        <v>53</v>
      </c>
      <c r="K32" s="4">
        <f>F32/C32-1</f>
        <v>3.2336790726052556E-2</v>
      </c>
      <c r="N32" s="5">
        <v>2402.4499999999998</v>
      </c>
      <c r="O32" s="5">
        <v>1940.7</v>
      </c>
      <c r="Q32" s="5">
        <v>9925.52</v>
      </c>
      <c r="T32" s="133">
        <f>O32-N32</f>
        <v>-461.74999999999977</v>
      </c>
      <c r="U32" s="4">
        <f>IF(N32=0,0,O32/N32-1)</f>
        <v>-0.1921996295448396</v>
      </c>
      <c r="X32" s="5"/>
      <c r="Y32" s="5"/>
      <c r="Z32" s="5"/>
      <c r="AA32" s="17"/>
      <c r="AB32" s="18">
        <v>49058.1</v>
      </c>
      <c r="AC32" s="18">
        <v>50675.4</v>
      </c>
      <c r="AD32" s="4">
        <f>AC32/AB32-1</f>
        <v>3.2967032967033072E-2</v>
      </c>
    </row>
    <row r="33" spans="1:30">
      <c r="A33" s="56" t="s">
        <v>965</v>
      </c>
      <c r="B33" s="38" t="s">
        <v>966</v>
      </c>
      <c r="C33">
        <v>684</v>
      </c>
      <c r="E33" s="38" t="s">
        <v>966</v>
      </c>
      <c r="F33">
        <v>734</v>
      </c>
      <c r="G33" t="b">
        <f>IF(B33=E33,TRUE,FALSE)</f>
        <v>1</v>
      </c>
      <c r="J33">
        <f>F33-C33</f>
        <v>50</v>
      </c>
      <c r="K33" s="4">
        <f>F33/C33-1</f>
        <v>7.3099415204678442E-2</v>
      </c>
      <c r="L33" s="4"/>
      <c r="N33" s="5">
        <v>834.24</v>
      </c>
      <c r="O33" s="5">
        <v>916.71</v>
      </c>
      <c r="Q33" s="5">
        <v>3303.2</v>
      </c>
      <c r="T33" s="133">
        <f>O33-N33</f>
        <v>82.470000000000027</v>
      </c>
      <c r="U33" s="4">
        <f>IF(N34=0,0,O33/N34-1)</f>
        <v>1.0842370916035744</v>
      </c>
      <c r="AB33" s="18">
        <v>9569.16</v>
      </c>
      <c r="AC33" s="18">
        <v>10268.66</v>
      </c>
      <c r="AD33" s="4">
        <f>AC33/AB33-1</f>
        <v>7.3099415204678442E-2</v>
      </c>
    </row>
    <row r="34" spans="1:30">
      <c r="A34" t="s">
        <v>967</v>
      </c>
      <c r="B34" t="s">
        <v>968</v>
      </c>
      <c r="C34" s="19">
        <v>382</v>
      </c>
      <c r="E34" t="s">
        <v>968</v>
      </c>
      <c r="F34" s="19">
        <v>430</v>
      </c>
      <c r="G34" t="b">
        <f>IF(B34=E34,TRUE,FALSE)</f>
        <v>1</v>
      </c>
      <c r="J34">
        <f>F34-C34</f>
        <v>48</v>
      </c>
      <c r="K34" s="4">
        <f>F34/C34-1</f>
        <v>0.12565445026178002</v>
      </c>
      <c r="L34" s="6"/>
      <c r="N34" s="5">
        <v>439.83</v>
      </c>
      <c r="O34" s="5">
        <v>409.28</v>
      </c>
      <c r="Q34" s="5">
        <v>2525.62</v>
      </c>
      <c r="T34" s="133">
        <f>O34-N34</f>
        <v>-30.550000000000011</v>
      </c>
      <c r="U34" s="4">
        <f>IF(N34=0,0,O34/N34-1)</f>
        <v>-6.9458654480140103E-2</v>
      </c>
      <c r="AB34" s="18">
        <v>9054.18</v>
      </c>
      <c r="AC34" s="18">
        <v>9455.7000000000007</v>
      </c>
      <c r="AD34" s="4">
        <f>AC34/AB34-1</f>
        <v>4.434636819678861E-2</v>
      </c>
    </row>
    <row r="35" spans="1:30">
      <c r="A35" t="s">
        <v>969</v>
      </c>
      <c r="B35" t="s">
        <v>970</v>
      </c>
      <c r="C35" s="19">
        <v>810</v>
      </c>
      <c r="E35" t="s">
        <v>970</v>
      </c>
      <c r="F35" s="19">
        <v>855</v>
      </c>
      <c r="G35" t="b">
        <f>IF(B35=E35,TRUE,FALSE)</f>
        <v>1</v>
      </c>
      <c r="J35">
        <f>F35-C35</f>
        <v>45</v>
      </c>
      <c r="K35" s="4">
        <f>F35/C35-1</f>
        <v>5.555555555555558E-2</v>
      </c>
      <c r="L35" s="4"/>
      <c r="N35" s="5">
        <v>1668.64</v>
      </c>
      <c r="O35" s="5">
        <v>1530.96</v>
      </c>
      <c r="Q35" s="5">
        <v>11741.64</v>
      </c>
      <c r="T35" s="133">
        <f>O35-N35</f>
        <v>-137.68000000000006</v>
      </c>
      <c r="U35" s="4">
        <f>IF(N35=0,0,O35/N35-1)</f>
        <v>-8.2510307795570115E-2</v>
      </c>
      <c r="X35" s="5"/>
      <c r="Y35" s="5"/>
      <c r="Z35" s="5"/>
      <c r="AA35" s="17"/>
      <c r="AB35" s="18">
        <v>21051.9</v>
      </c>
      <c r="AC35" s="18">
        <v>22221.45</v>
      </c>
      <c r="AD35" s="4">
        <f>AC35/AB35-1</f>
        <v>5.555555555555558E-2</v>
      </c>
    </row>
    <row r="36" spans="1:30">
      <c r="A36" t="s">
        <v>971</v>
      </c>
      <c r="B36" t="s">
        <v>972</v>
      </c>
      <c r="C36" s="19">
        <v>293</v>
      </c>
      <c r="E36" t="s">
        <v>972</v>
      </c>
      <c r="F36" s="19">
        <v>337</v>
      </c>
      <c r="G36" t="b">
        <f>IF(B36=E36,TRUE,FALSE)</f>
        <v>1</v>
      </c>
      <c r="J36">
        <f>F36-C36</f>
        <v>44</v>
      </c>
      <c r="K36" s="4">
        <f>F36/C36-1</f>
        <v>0.15017064846416384</v>
      </c>
      <c r="L36" s="4"/>
      <c r="N36" s="5">
        <v>0</v>
      </c>
      <c r="O36" s="5">
        <v>0</v>
      </c>
      <c r="Q36" s="5">
        <v>0</v>
      </c>
      <c r="T36" s="133">
        <f>O36-N36</f>
        <v>0</v>
      </c>
      <c r="U36" s="4">
        <f>IF(N36=0,0,O36/N36-1)</f>
        <v>0</v>
      </c>
      <c r="AB36" s="18">
        <v>2927.07</v>
      </c>
      <c r="AC36" s="18">
        <v>3366.63</v>
      </c>
      <c r="AD36" s="4">
        <f>AC36/AB36-1</f>
        <v>0.15017064846416384</v>
      </c>
    </row>
    <row r="37" spans="1:30">
      <c r="A37" s="38" t="s">
        <v>973</v>
      </c>
      <c r="B37" s="38" t="s">
        <v>974</v>
      </c>
      <c r="C37">
        <v>0</v>
      </c>
      <c r="E37" s="38" t="s">
        <v>974</v>
      </c>
      <c r="F37">
        <v>42</v>
      </c>
      <c r="G37" t="b">
        <f>IF(B37=E37,TRUE,FALSE)</f>
        <v>1</v>
      </c>
      <c r="J37">
        <f>F37-C37</f>
        <v>42</v>
      </c>
      <c r="K37" s="4" t="e">
        <f>F37/C37-1</f>
        <v>#DIV/0!</v>
      </c>
      <c r="L37" s="4"/>
      <c r="N37" s="5">
        <v>0</v>
      </c>
      <c r="O37" s="5">
        <v>17.649999999999999</v>
      </c>
      <c r="Q37" s="5">
        <v>79.92</v>
      </c>
      <c r="T37" s="133">
        <f>O37-N37</f>
        <v>17.649999999999999</v>
      </c>
      <c r="U37" s="4"/>
      <c r="AB37" s="18">
        <v>0</v>
      </c>
      <c r="AC37" s="18">
        <v>239.88</v>
      </c>
      <c r="AD37" s="4" t="e">
        <f>AC37/AB37-1</f>
        <v>#DIV/0!</v>
      </c>
    </row>
    <row r="38" spans="1:30">
      <c r="A38" s="56" t="s">
        <v>975</v>
      </c>
      <c r="B38" s="28" t="s">
        <v>976</v>
      </c>
      <c r="C38">
        <v>693</v>
      </c>
      <c r="E38" s="28" t="s">
        <v>976</v>
      </c>
      <c r="F38">
        <v>732</v>
      </c>
      <c r="G38" t="b">
        <f>IF(B38=E38,TRUE,FALSE)</f>
        <v>1</v>
      </c>
      <c r="J38">
        <f>F38-C38</f>
        <v>39</v>
      </c>
      <c r="K38" s="4">
        <f>F38/C38-1</f>
        <v>5.6277056277056259E-2</v>
      </c>
      <c r="L38" s="4"/>
      <c r="N38" s="5">
        <v>1472.47</v>
      </c>
      <c r="O38" s="5">
        <v>1415.13</v>
      </c>
      <c r="Q38" s="5">
        <v>9279.43</v>
      </c>
      <c r="T38" s="133">
        <f>O38-N38</f>
        <v>-57.339999999999918</v>
      </c>
      <c r="U38" s="4">
        <f>IF(N39=0,0,O38/N39-1)</f>
        <v>0.75270002477086972</v>
      </c>
      <c r="AB38" s="18">
        <v>13253.37</v>
      </c>
      <c r="AC38" s="18">
        <v>16758.689999999999</v>
      </c>
      <c r="AD38" s="4">
        <f>AC38/AB38-1</f>
        <v>0.26448518376835461</v>
      </c>
    </row>
    <row r="39" spans="1:30">
      <c r="A39" t="s">
        <v>977</v>
      </c>
      <c r="B39" t="s">
        <v>978</v>
      </c>
      <c r="C39" s="19">
        <v>955</v>
      </c>
      <c r="E39" t="s">
        <v>978</v>
      </c>
      <c r="F39" s="19">
        <v>991</v>
      </c>
      <c r="G39" t="b">
        <f>IF(B39=E39,TRUE,FALSE)</f>
        <v>1</v>
      </c>
      <c r="J39">
        <f>F39-C39</f>
        <v>36</v>
      </c>
      <c r="K39" s="4">
        <f>F39/C39-1</f>
        <v>3.7696335078533982E-2</v>
      </c>
      <c r="N39" s="5">
        <v>807.4</v>
      </c>
      <c r="O39" s="5">
        <v>774.09</v>
      </c>
      <c r="Q39" s="5">
        <v>2995.4</v>
      </c>
      <c r="T39" s="133">
        <f>O39-N39</f>
        <v>-33.309999999999945</v>
      </c>
      <c r="U39" s="4">
        <f>IF(N39=0,0,O39/N39-1)</f>
        <v>-4.1255883081496081E-2</v>
      </c>
      <c r="AB39" s="18">
        <v>19052.25</v>
      </c>
      <c r="AC39" s="18">
        <v>19770.45</v>
      </c>
      <c r="AD39" s="4">
        <f>AC39/AB39-1</f>
        <v>3.7696335078533982E-2</v>
      </c>
    </row>
    <row r="40" spans="1:30">
      <c r="A40" t="s">
        <v>979</v>
      </c>
      <c r="B40" t="s">
        <v>980</v>
      </c>
      <c r="C40" s="19">
        <v>996</v>
      </c>
      <c r="E40" t="s">
        <v>980</v>
      </c>
      <c r="F40" s="19">
        <v>1023</v>
      </c>
      <c r="G40" t="b">
        <f>IF(B40=E40,TRUE,FALSE)</f>
        <v>1</v>
      </c>
      <c r="J40">
        <f>F40-C40</f>
        <v>27</v>
      </c>
      <c r="K40" s="4">
        <f>F40/C40-1</f>
        <v>2.7108433734939652E-2</v>
      </c>
      <c r="L40" s="6"/>
      <c r="N40" s="5">
        <v>1253.9100000000001</v>
      </c>
      <c r="O40" s="5">
        <v>813.95</v>
      </c>
      <c r="Q40" s="5">
        <v>4881.93</v>
      </c>
      <c r="T40" s="133">
        <f>O40-N40</f>
        <v>-439.96000000000004</v>
      </c>
      <c r="U40" s="4">
        <f>IF(N40=0,0,O40/N40-1)</f>
        <v>-0.35087047714748265</v>
      </c>
      <c r="X40" t="s">
        <v>981</v>
      </c>
      <c r="AB40" s="18">
        <v>32405.59</v>
      </c>
      <c r="AC40" s="18">
        <v>30589.8</v>
      </c>
      <c r="AD40" s="4">
        <f>AC40/AB40-1</f>
        <v>-5.6033233772321389E-2</v>
      </c>
    </row>
    <row r="41" spans="1:30">
      <c r="A41" t="s">
        <v>982</v>
      </c>
      <c r="B41" t="s">
        <v>983</v>
      </c>
      <c r="C41" s="19">
        <v>578</v>
      </c>
      <c r="E41" t="s">
        <v>983</v>
      </c>
      <c r="F41" s="19">
        <v>601</v>
      </c>
      <c r="G41" t="b">
        <f>IF(B41=E41,TRUE,FALSE)</f>
        <v>1</v>
      </c>
      <c r="J41">
        <f>F41-C41</f>
        <v>23</v>
      </c>
      <c r="K41" s="4">
        <f>F41/C41-1</f>
        <v>3.979238754325265E-2</v>
      </c>
      <c r="L41" s="4"/>
      <c r="N41" s="5">
        <v>854.58</v>
      </c>
      <c r="O41" s="5">
        <v>747.11</v>
      </c>
      <c r="Q41" s="5">
        <v>4103.88</v>
      </c>
      <c r="T41" s="133">
        <f>O41-N41</f>
        <v>-107.47000000000003</v>
      </c>
      <c r="U41" s="4">
        <f>IF(N41=0,0,O41/N41-1)</f>
        <v>-0.12575768213625405</v>
      </c>
      <c r="AB41" s="18">
        <v>10953.1</v>
      </c>
      <c r="AC41" s="18">
        <v>11351.05</v>
      </c>
      <c r="AD41" s="4">
        <f>AC41/AB41-1</f>
        <v>3.6332179930795849E-2</v>
      </c>
    </row>
    <row r="42" spans="1:30">
      <c r="A42" t="s">
        <v>984</v>
      </c>
      <c r="B42" t="s">
        <v>985</v>
      </c>
      <c r="C42" s="19">
        <v>1584</v>
      </c>
      <c r="E42" t="s">
        <v>985</v>
      </c>
      <c r="F42" s="19">
        <v>1606</v>
      </c>
      <c r="G42" t="b">
        <f>IF(B42=E42,TRUE,FALSE)</f>
        <v>1</v>
      </c>
      <c r="J42">
        <f>F42-C42</f>
        <v>22</v>
      </c>
      <c r="K42" s="4">
        <f>F42/C42-1</f>
        <v>1.388888888888884E-2</v>
      </c>
      <c r="L42" s="4"/>
      <c r="N42" s="5">
        <v>4700.8100000000004</v>
      </c>
      <c r="O42" s="5">
        <v>3641.57</v>
      </c>
      <c r="Q42" s="5">
        <v>21158.78</v>
      </c>
      <c r="T42" s="133">
        <f>O42-N42</f>
        <v>-1059.2400000000002</v>
      </c>
      <c r="U42" s="4">
        <f>IF(N42=0,0,O42/N42-1)</f>
        <v>-0.22533137906020451</v>
      </c>
      <c r="AB42" s="18">
        <v>47474.17</v>
      </c>
      <c r="AC42" s="18">
        <v>48163.94</v>
      </c>
      <c r="AD42" s="4">
        <f>AC42/AB42-1</f>
        <v>1.4529374605180223E-2</v>
      </c>
    </row>
    <row r="43" spans="1:30">
      <c r="A43" t="s">
        <v>986</v>
      </c>
      <c r="B43" t="s">
        <v>987</v>
      </c>
      <c r="C43" s="19">
        <v>332</v>
      </c>
      <c r="E43" t="s">
        <v>987</v>
      </c>
      <c r="F43" s="19">
        <v>352</v>
      </c>
      <c r="G43" t="b">
        <f>IF(B43=E43,TRUE,FALSE)</f>
        <v>1</v>
      </c>
      <c r="J43">
        <f>F43-C43</f>
        <v>20</v>
      </c>
      <c r="K43" s="4">
        <f>F43/C43-1</f>
        <v>6.024096385542177E-2</v>
      </c>
      <c r="L43" s="4"/>
      <c r="N43" s="5">
        <v>950.89</v>
      </c>
      <c r="O43" s="5">
        <v>880.21</v>
      </c>
      <c r="Q43" s="5">
        <v>6846.96</v>
      </c>
      <c r="T43" s="133">
        <f>O43-N43</f>
        <v>-70.67999999999995</v>
      </c>
      <c r="U43" s="4">
        <f>IF(N43=0,0,O43/N43-1)</f>
        <v>-7.4330364185131725E-2</v>
      </c>
      <c r="AB43" s="18">
        <v>9956.68</v>
      </c>
      <c r="AC43" s="18">
        <v>10556.48</v>
      </c>
      <c r="AD43" s="4">
        <f>AC43/AB43-1</f>
        <v>6.0240963855421548E-2</v>
      </c>
    </row>
    <row r="44" spans="1:30">
      <c r="A44" t="s">
        <v>988</v>
      </c>
      <c r="B44" t="s">
        <v>989</v>
      </c>
      <c r="C44" s="19">
        <v>312</v>
      </c>
      <c r="E44" t="s">
        <v>989</v>
      </c>
      <c r="F44" s="19">
        <v>331</v>
      </c>
      <c r="G44" t="b">
        <f>IF(B44=E44,TRUE,FALSE)</f>
        <v>1</v>
      </c>
      <c r="J44">
        <f>F44-C44</f>
        <v>19</v>
      </c>
      <c r="K44" s="4">
        <f>F44/C44-1</f>
        <v>6.0897435897435903E-2</v>
      </c>
      <c r="L44" s="4"/>
      <c r="N44" s="5">
        <v>189.85</v>
      </c>
      <c r="O44" s="5">
        <v>121.41</v>
      </c>
      <c r="Q44" s="5">
        <v>1172.5999999999999</v>
      </c>
      <c r="T44" s="133">
        <f>O44-N44</f>
        <v>-68.44</v>
      </c>
      <c r="U44" s="4">
        <f>IF(N44=0,0,O44/N44-1)</f>
        <v>-0.36049512773242032</v>
      </c>
      <c r="AB44" s="18">
        <v>12152.4</v>
      </c>
      <c r="AC44" s="18">
        <v>12892.45</v>
      </c>
      <c r="AD44" s="4">
        <f>AC44/AB44-1</f>
        <v>6.0897435897435903E-2</v>
      </c>
    </row>
    <row r="45" spans="1:30">
      <c r="A45" s="56" t="s">
        <v>990</v>
      </c>
      <c r="B45" s="38" t="s">
        <v>991</v>
      </c>
      <c r="C45" s="148">
        <v>298</v>
      </c>
      <c r="E45" s="38" t="s">
        <v>991</v>
      </c>
      <c r="F45" s="148">
        <v>309</v>
      </c>
      <c r="G45" t="b">
        <f>IF(B45=E45,TRUE,FALSE)</f>
        <v>1</v>
      </c>
      <c r="J45">
        <f>F45-C45</f>
        <v>11</v>
      </c>
      <c r="K45" s="4">
        <f>F45/C45-1</f>
        <v>3.691275167785224E-2</v>
      </c>
      <c r="L45" s="4"/>
      <c r="N45" s="5">
        <v>1674.13</v>
      </c>
      <c r="O45" s="5">
        <v>1434.99</v>
      </c>
      <c r="Q45" s="5">
        <v>6463.46</v>
      </c>
      <c r="T45" s="133">
        <f>O45-N45</f>
        <v>-239.1400000000001</v>
      </c>
      <c r="U45" s="4">
        <f>IF(N45=0,0,O45/N45-1)</f>
        <v>-0.14284434303190319</v>
      </c>
      <c r="AB45" s="18">
        <v>7447.02</v>
      </c>
      <c r="AC45" s="18">
        <v>7721.91</v>
      </c>
      <c r="AD45" s="4">
        <f>AC45/AB45-1</f>
        <v>3.691275167785224E-2</v>
      </c>
    </row>
    <row r="46" spans="1:30">
      <c r="A46" t="s">
        <v>992</v>
      </c>
      <c r="B46" t="s">
        <v>993</v>
      </c>
      <c r="C46" s="19">
        <v>1841</v>
      </c>
      <c r="E46" t="s">
        <v>993</v>
      </c>
      <c r="F46" s="19">
        <v>1851</v>
      </c>
      <c r="G46" t="b">
        <f>IF(B46=E46,TRUE,FALSE)</f>
        <v>1</v>
      </c>
      <c r="J46">
        <f>F46-C46</f>
        <v>10</v>
      </c>
      <c r="K46" s="4">
        <f>F46/C46-1</f>
        <v>5.431830526887671E-3</v>
      </c>
      <c r="L46" s="4"/>
      <c r="N46" s="5">
        <v>1436.56</v>
      </c>
      <c r="O46" s="5">
        <v>964.76</v>
      </c>
      <c r="Q46" s="5">
        <v>6233.97</v>
      </c>
      <c r="T46" s="133">
        <f>O46-N46</f>
        <v>-471.79999999999995</v>
      </c>
      <c r="U46" s="4">
        <f>IF(N46=0,0,O46/N46-1)</f>
        <v>-0.3284234560338587</v>
      </c>
      <c r="AB46" s="18">
        <v>45908</v>
      </c>
      <c r="AC46" s="18">
        <v>46182.45</v>
      </c>
      <c r="AD46" s="4">
        <f>AC46/AB46-1</f>
        <v>5.9782608695650996E-3</v>
      </c>
    </row>
    <row r="47" spans="1:30">
      <c r="A47" t="s">
        <v>994</v>
      </c>
      <c r="B47" t="s">
        <v>995</v>
      </c>
      <c r="C47" s="19">
        <v>3122</v>
      </c>
      <c r="E47" t="s">
        <v>995</v>
      </c>
      <c r="F47" s="19">
        <v>3132</v>
      </c>
      <c r="G47" t="b">
        <f>IF(B47=E47,TRUE,FALSE)</f>
        <v>1</v>
      </c>
      <c r="J47">
        <f>F47-C47</f>
        <v>10</v>
      </c>
      <c r="K47" s="4">
        <f>F47/C47-1</f>
        <v>3.2030749519538215E-3</v>
      </c>
      <c r="L47" s="4"/>
      <c r="N47" s="5">
        <v>2533.23</v>
      </c>
      <c r="O47" s="5">
        <v>2624.33</v>
      </c>
      <c r="Q47" s="5">
        <v>11235.16</v>
      </c>
      <c r="T47" s="133">
        <f>O47-N47</f>
        <v>91.099999999999909</v>
      </c>
      <c r="U47" s="4">
        <f>IF(N47=0,0,O47/N47-1)</f>
        <v>3.5961993186564234E-2</v>
      </c>
      <c r="AB47" s="18">
        <v>62283.9</v>
      </c>
      <c r="AC47" s="18">
        <v>62463.45</v>
      </c>
      <c r="AD47" s="4">
        <f>AC47/AB47-1</f>
        <v>2.8827674567584172E-3</v>
      </c>
    </row>
    <row r="48" spans="1:30">
      <c r="A48" s="28" t="s">
        <v>996</v>
      </c>
      <c r="B48" s="28" t="s">
        <v>997</v>
      </c>
      <c r="C48" s="19">
        <v>355</v>
      </c>
      <c r="E48" s="28" t="s">
        <v>997</v>
      </c>
      <c r="F48" s="19">
        <v>364</v>
      </c>
      <c r="G48" t="b">
        <f>IF(B48=E48,TRUE,FALSE)</f>
        <v>1</v>
      </c>
      <c r="J48">
        <f>F48-C48</f>
        <v>9</v>
      </c>
      <c r="K48" s="4">
        <f>F48/C48-1</f>
        <v>2.5352112676056304E-2</v>
      </c>
      <c r="L48" s="4"/>
      <c r="N48" s="5">
        <v>864.08</v>
      </c>
      <c r="O48" s="5">
        <v>430.24</v>
      </c>
      <c r="Q48" s="5">
        <v>2321.36</v>
      </c>
      <c r="T48" s="133">
        <f>O48-N48</f>
        <v>-433.84000000000003</v>
      </c>
      <c r="U48" s="4">
        <f>IF(N48=0,0,O48/N48-1)</f>
        <v>-0.50208314044995839</v>
      </c>
      <c r="AB48" s="18">
        <v>7076.46</v>
      </c>
      <c r="AC48" s="18">
        <v>6976.36</v>
      </c>
      <c r="AD48" s="4">
        <f>AC48/AB48-1</f>
        <v>-1.4145490824508333E-2</v>
      </c>
    </row>
    <row r="49" spans="1:30">
      <c r="A49" t="s">
        <v>998</v>
      </c>
      <c r="B49" t="s">
        <v>999</v>
      </c>
      <c r="C49" s="19">
        <v>8</v>
      </c>
      <c r="E49" t="s">
        <v>999</v>
      </c>
      <c r="F49" s="19">
        <v>17</v>
      </c>
      <c r="G49" t="b">
        <f>IF(B49=E49,TRUE,FALSE)</f>
        <v>1</v>
      </c>
      <c r="J49">
        <f>F49-C49</f>
        <v>9</v>
      </c>
      <c r="K49" s="4">
        <f>F49/C49-1</f>
        <v>1.125</v>
      </c>
      <c r="L49" s="4"/>
      <c r="N49" s="5">
        <v>17.52</v>
      </c>
      <c r="O49" s="5">
        <v>13.88</v>
      </c>
      <c r="Q49" s="5">
        <v>217.76</v>
      </c>
      <c r="T49" s="133">
        <f>O49-N49</f>
        <v>-3.6399999999999988</v>
      </c>
      <c r="U49" s="4">
        <f>IF(N49=0,0,O49/N49-1)</f>
        <v>-0.20776255707762548</v>
      </c>
      <c r="AB49" s="18">
        <v>311.60000000000002</v>
      </c>
      <c r="AC49" s="18">
        <v>662.15</v>
      </c>
      <c r="AD49" s="4">
        <f>AC49/AB49-1</f>
        <v>1.1249999999999996</v>
      </c>
    </row>
    <row r="50" spans="1:30">
      <c r="A50" t="s">
        <v>1000</v>
      </c>
      <c r="B50" t="s">
        <v>1001</v>
      </c>
      <c r="C50" s="19">
        <v>495</v>
      </c>
      <c r="E50" t="s">
        <v>1001</v>
      </c>
      <c r="F50" s="19">
        <v>502</v>
      </c>
      <c r="G50" t="b">
        <f>IF(B50=E50,TRUE,FALSE)</f>
        <v>1</v>
      </c>
      <c r="J50">
        <f>F50-C50</f>
        <v>7</v>
      </c>
      <c r="K50" s="4">
        <f>F50/C50-1</f>
        <v>1.4141414141414232E-2</v>
      </c>
      <c r="L50" s="4"/>
      <c r="N50" s="5">
        <v>428.23</v>
      </c>
      <c r="O50" s="5">
        <v>277.06</v>
      </c>
      <c r="Q50" s="5">
        <v>2011.53</v>
      </c>
      <c r="T50" s="133">
        <f>O50-N50</f>
        <v>-151.17000000000002</v>
      </c>
      <c r="U50" s="4">
        <f>IF(N50=0,0,O50/N50-1)</f>
        <v>-0.35301123228171782</v>
      </c>
      <c r="AB50" s="18">
        <v>11380.05</v>
      </c>
      <c r="AC50" s="18">
        <v>11495</v>
      </c>
      <c r="AD50" s="4">
        <f>AC50/AB50-1</f>
        <v>1.0101010101010166E-2</v>
      </c>
    </row>
    <row r="51" spans="1:30">
      <c r="A51" t="s">
        <v>1002</v>
      </c>
      <c r="B51" t="s">
        <v>1003</v>
      </c>
      <c r="C51" s="19">
        <v>946</v>
      </c>
      <c r="E51" t="s">
        <v>1003</v>
      </c>
      <c r="F51" s="19">
        <v>952</v>
      </c>
      <c r="G51" t="b">
        <f>IF(B51=E51,TRUE,FALSE)</f>
        <v>1</v>
      </c>
      <c r="J51">
        <f>F51-C51</f>
        <v>6</v>
      </c>
      <c r="K51" s="4">
        <f>F51/C51-1</f>
        <v>6.3424947145878097E-3</v>
      </c>
      <c r="N51" s="5">
        <v>1944.05</v>
      </c>
      <c r="O51" s="5">
        <v>1960.92</v>
      </c>
      <c r="Q51" s="5">
        <v>10211.18</v>
      </c>
      <c r="T51" s="133">
        <f>O51-N51</f>
        <v>16.870000000000118</v>
      </c>
      <c r="U51" s="4">
        <f>IF(N51=0,0,O51/N51-1)</f>
        <v>8.677760345670249E-3</v>
      </c>
      <c r="X51" s="5"/>
      <c r="Y51" s="5"/>
      <c r="Z51" s="5"/>
      <c r="AA51" s="17"/>
      <c r="AB51" s="18">
        <v>18910.54</v>
      </c>
      <c r="AC51" s="18">
        <v>19030.48</v>
      </c>
      <c r="AD51" s="4">
        <f>AC51/AB51-1</f>
        <v>6.3424947145875876E-3</v>
      </c>
    </row>
    <row r="52" spans="1:30">
      <c r="A52" t="s">
        <v>1004</v>
      </c>
      <c r="B52" t="s">
        <v>1005</v>
      </c>
      <c r="C52" s="19">
        <v>1066</v>
      </c>
      <c r="E52" t="s">
        <v>1005</v>
      </c>
      <c r="F52" s="19">
        <v>1071</v>
      </c>
      <c r="G52" t="b">
        <f>IF(B52=E52,TRUE,FALSE)</f>
        <v>1</v>
      </c>
      <c r="J52">
        <f>F52-C52</f>
        <v>5</v>
      </c>
      <c r="K52" s="4">
        <f>F52/C52-1</f>
        <v>4.6904315196998336E-3</v>
      </c>
      <c r="L52" s="4"/>
      <c r="N52" s="5">
        <v>2661.12</v>
      </c>
      <c r="O52" s="5">
        <v>2342.06</v>
      </c>
      <c r="Q52" s="5">
        <v>17203.2</v>
      </c>
      <c r="T52" s="133">
        <f>O52-N52</f>
        <v>-319.05999999999995</v>
      </c>
      <c r="U52" s="4">
        <f>IF(N52=0,0,O52/N52-1)</f>
        <v>-0.11989688552188549</v>
      </c>
      <c r="Y52" t="s">
        <v>1006</v>
      </c>
      <c r="AB52" s="18">
        <v>28769.34</v>
      </c>
      <c r="AC52" s="18">
        <v>28906.29</v>
      </c>
      <c r="AD52" s="4">
        <f>AC52/AB52-1</f>
        <v>4.7602760438716363E-3</v>
      </c>
    </row>
    <row r="53" spans="1:30">
      <c r="A53" t="s">
        <v>1007</v>
      </c>
      <c r="B53" t="s">
        <v>1008</v>
      </c>
      <c r="C53" s="19">
        <v>857</v>
      </c>
      <c r="E53" t="s">
        <v>1008</v>
      </c>
      <c r="F53" s="19">
        <v>860</v>
      </c>
      <c r="G53" t="b">
        <f>IF(B53=E53,TRUE,FALSE)</f>
        <v>1</v>
      </c>
      <c r="J53">
        <f>F53-C53</f>
        <v>3</v>
      </c>
      <c r="K53" s="4">
        <f>F53/C53-1</f>
        <v>3.500583430571691E-3</v>
      </c>
      <c r="L53" s="4"/>
      <c r="N53" s="5">
        <v>1121.8499999999999</v>
      </c>
      <c r="O53" s="5">
        <v>1161.53</v>
      </c>
      <c r="Q53" s="5">
        <v>5220.41</v>
      </c>
      <c r="T53" s="133">
        <f>O53-N53</f>
        <v>39.680000000000064</v>
      </c>
      <c r="U53" s="4">
        <f>IF(N53=0,0,O53/N53-1)</f>
        <v>3.5370147524178774E-2</v>
      </c>
      <c r="AB53" s="18">
        <v>11955.15</v>
      </c>
      <c r="AC53" s="18">
        <v>11997</v>
      </c>
      <c r="AD53" s="4">
        <f>AC53/AB53-1</f>
        <v>3.500583430571691E-3</v>
      </c>
    </row>
    <row r="54" spans="1:30">
      <c r="A54" t="s">
        <v>1009</v>
      </c>
      <c r="B54" t="s">
        <v>1010</v>
      </c>
      <c r="C54" s="19">
        <v>1333</v>
      </c>
      <c r="E54" t="s">
        <v>1010</v>
      </c>
      <c r="F54" s="19">
        <v>1334</v>
      </c>
      <c r="G54" t="b">
        <f>IF(B54=E54,TRUE,FALSE)</f>
        <v>1</v>
      </c>
      <c r="J54">
        <f>F54-C54</f>
        <v>1</v>
      </c>
      <c r="K54" s="4">
        <f>F54/C54-1</f>
        <v>7.5018754688671585E-4</v>
      </c>
      <c r="L54" s="4"/>
      <c r="N54" s="5">
        <v>1655.34</v>
      </c>
      <c r="O54" s="5">
        <v>1291.8599999999999</v>
      </c>
      <c r="Q54" s="5">
        <v>6284.96</v>
      </c>
      <c r="T54" s="133">
        <f>O54-N54</f>
        <v>-363.48</v>
      </c>
      <c r="U54" s="4">
        <f>IF(N54=0,0,O54/N54-1)</f>
        <v>-0.21958026749791582</v>
      </c>
      <c r="AB54" s="18">
        <v>30645.67</v>
      </c>
      <c r="AC54" s="18">
        <v>30668.66</v>
      </c>
      <c r="AD54" s="4">
        <f>AC54/AB54-1</f>
        <v>7.5018754688671585E-4</v>
      </c>
    </row>
    <row r="55" spans="1:30">
      <c r="A55" t="s">
        <v>1011</v>
      </c>
      <c r="B55" t="s">
        <v>1012</v>
      </c>
      <c r="C55" s="19">
        <v>1373</v>
      </c>
      <c r="E55" t="s">
        <v>1012</v>
      </c>
      <c r="F55" s="19">
        <v>1374</v>
      </c>
      <c r="G55" t="b">
        <f>IF(B55=E55,TRUE,FALSE)</f>
        <v>1</v>
      </c>
      <c r="J55">
        <f>F55-C55</f>
        <v>1</v>
      </c>
      <c r="K55" s="4">
        <f>F55/C55-1</f>
        <v>7.2833211944645093E-4</v>
      </c>
      <c r="L55" s="4"/>
      <c r="N55" s="5">
        <v>1208.6099999999999</v>
      </c>
      <c r="O55" s="5">
        <v>933.76</v>
      </c>
      <c r="Q55" s="5">
        <v>4175.7</v>
      </c>
      <c r="T55" s="133">
        <f>O55-N55</f>
        <v>-274.84999999999991</v>
      </c>
      <c r="U55" s="4">
        <f>IF(N55=0,0,O55/N55-1)</f>
        <v>-0.2274099999172603</v>
      </c>
      <c r="AB55" s="18">
        <v>26018.35</v>
      </c>
      <c r="AC55" s="18">
        <v>26018.35</v>
      </c>
      <c r="AD55" s="4">
        <f>AC55/AB55-1</f>
        <v>0</v>
      </c>
    </row>
    <row r="56" spans="1:30">
      <c r="A56" t="s">
        <v>1013</v>
      </c>
      <c r="B56" t="s">
        <v>1014</v>
      </c>
      <c r="C56" s="19">
        <v>0</v>
      </c>
      <c r="F56" s="19">
        <v>0</v>
      </c>
      <c r="G56" t="b">
        <f>IF(B56=E56,TRUE,FALSE)</f>
        <v>0</v>
      </c>
      <c r="J56">
        <f>F56-C56</f>
        <v>0</v>
      </c>
      <c r="K56" s="4" t="e">
        <f>F56/C56-1</f>
        <v>#DIV/0!</v>
      </c>
      <c r="L56" s="6"/>
      <c r="N56" s="5">
        <v>0</v>
      </c>
      <c r="O56" s="5">
        <v>0</v>
      </c>
      <c r="Q56" s="5">
        <v>0</v>
      </c>
      <c r="T56" s="133">
        <f>O56-N56</f>
        <v>0</v>
      </c>
      <c r="U56" s="4">
        <f>IF(N56=0,0,O56/N56-1)</f>
        <v>0</v>
      </c>
      <c r="AB56" s="18">
        <v>0</v>
      </c>
      <c r="AC56" s="18">
        <v>0</v>
      </c>
      <c r="AD56" s="4" t="e">
        <f>AC56/AB56-1</f>
        <v>#DIV/0!</v>
      </c>
    </row>
    <row r="57" spans="1:30">
      <c r="A57" t="s">
        <v>1015</v>
      </c>
      <c r="B57" t="s">
        <v>1016</v>
      </c>
      <c r="C57" s="19">
        <v>789</v>
      </c>
      <c r="E57" t="s">
        <v>1016</v>
      </c>
      <c r="F57" s="19">
        <v>786</v>
      </c>
      <c r="G57" t="b">
        <f>IF(B57=E57,TRUE,FALSE)</f>
        <v>1</v>
      </c>
      <c r="J57">
        <f>F57-C57</f>
        <v>-3</v>
      </c>
      <c r="K57" s="4">
        <f>F57/C57-1</f>
        <v>-3.8022813688213253E-3</v>
      </c>
      <c r="L57" s="4"/>
      <c r="N57" s="5">
        <v>735.26</v>
      </c>
      <c r="O57" s="5">
        <v>584.24</v>
      </c>
      <c r="Q57" s="5">
        <v>4954.8900000000003</v>
      </c>
      <c r="T57" s="133">
        <f>O57-N57</f>
        <v>-151.01999999999998</v>
      </c>
      <c r="U57" s="4">
        <f>IF(N57=0,0,O57/N57-1)</f>
        <v>-0.20539673040829087</v>
      </c>
      <c r="AB57" s="18">
        <v>13373.55</v>
      </c>
      <c r="AC57" s="18">
        <v>13305.75</v>
      </c>
      <c r="AD57" s="4">
        <f>AC57/AB57-1</f>
        <v>-5.069708491761693E-3</v>
      </c>
    </row>
    <row r="58" spans="1:30">
      <c r="A58" t="s">
        <v>1017</v>
      </c>
      <c r="B58" t="s">
        <v>1018</v>
      </c>
      <c r="C58" s="19">
        <v>1147</v>
      </c>
      <c r="E58" t="s">
        <v>1018</v>
      </c>
      <c r="F58" s="19">
        <v>1140</v>
      </c>
      <c r="G58" t="b">
        <f>IF(B58=E58,TRUE,FALSE)</f>
        <v>1</v>
      </c>
      <c r="J58">
        <f>F58-C58</f>
        <v>-7</v>
      </c>
      <c r="K58" s="4">
        <f>F58/C58-1</f>
        <v>-6.1028770706189617E-3</v>
      </c>
      <c r="L58" s="4"/>
      <c r="N58" s="5">
        <v>2546.5300000000002</v>
      </c>
      <c r="O58" s="5">
        <v>2346.04</v>
      </c>
      <c r="Q58" s="5">
        <v>12987.74</v>
      </c>
      <c r="T58" s="133">
        <f>O58-N58</f>
        <v>-200.49000000000024</v>
      </c>
      <c r="U58" s="4">
        <f>IF(N58=0,0,O58/N58-1)</f>
        <v>-7.8730664865522937E-2</v>
      </c>
      <c r="X58" s="5"/>
      <c r="Y58" s="5"/>
      <c r="Z58" s="5"/>
      <c r="AA58" s="17"/>
      <c r="AB58" s="18">
        <v>25176.65</v>
      </c>
      <c r="AC58" s="18">
        <v>25023</v>
      </c>
      <c r="AD58" s="4">
        <f>AC58/AB58-1</f>
        <v>-6.1028770706190727E-3</v>
      </c>
    </row>
    <row r="59" spans="1:30">
      <c r="A59" t="s">
        <v>1019</v>
      </c>
      <c r="B59" t="s">
        <v>1020</v>
      </c>
      <c r="C59" s="19">
        <v>761</v>
      </c>
      <c r="E59" t="s">
        <v>1020</v>
      </c>
      <c r="F59" s="19">
        <v>752</v>
      </c>
      <c r="G59" t="b">
        <f>IF(B59=E59,TRUE,FALSE)</f>
        <v>1</v>
      </c>
      <c r="J59">
        <f>F59-C59</f>
        <v>-9</v>
      </c>
      <c r="K59" s="4">
        <f>F59/C59-1</f>
        <v>-1.1826544021025009E-2</v>
      </c>
      <c r="L59" s="4"/>
      <c r="N59" s="5">
        <v>888.52</v>
      </c>
      <c r="O59" s="5">
        <v>624.79</v>
      </c>
      <c r="Q59" s="5">
        <v>3552.37</v>
      </c>
      <c r="T59" s="133">
        <f>O59-N59</f>
        <v>-263.73</v>
      </c>
      <c r="U59" s="4">
        <f>IF(N59=0,0,O59/N59-1)</f>
        <v>-0.29681943006347633</v>
      </c>
      <c r="AB59" s="18">
        <v>22030.95</v>
      </c>
      <c r="AC59" s="18">
        <v>21770.400000000001</v>
      </c>
      <c r="AD59" s="4">
        <f>AC59/AB59-1</f>
        <v>-1.1826544021024898E-2</v>
      </c>
    </row>
    <row r="60" spans="1:30">
      <c r="A60" t="s">
        <v>1021</v>
      </c>
      <c r="B60" t="s">
        <v>1022</v>
      </c>
      <c r="C60" s="19">
        <v>31</v>
      </c>
      <c r="E60" t="s">
        <v>1022</v>
      </c>
      <c r="F60" s="19">
        <v>17</v>
      </c>
      <c r="G60" t="b">
        <f>IF(B60=E60,TRUE,FALSE)</f>
        <v>1</v>
      </c>
      <c r="J60">
        <f>F60-C60</f>
        <v>-14</v>
      </c>
      <c r="K60" s="4">
        <f>F60/C60-1</f>
        <v>-0.45161290322580649</v>
      </c>
      <c r="L60" s="4"/>
      <c r="N60" s="5">
        <v>31.75</v>
      </c>
      <c r="O60" s="5">
        <v>19.79</v>
      </c>
      <c r="Q60" s="5">
        <v>158.79</v>
      </c>
      <c r="T60" s="133">
        <f>O60-N60</f>
        <v>-11.96</v>
      </c>
      <c r="U60" s="4">
        <f>IF(N60=0,0,O60/N60-1)</f>
        <v>-0.37669291338582678</v>
      </c>
      <c r="AB60" s="18">
        <v>1207.45</v>
      </c>
      <c r="AC60" s="18">
        <v>662.15</v>
      </c>
      <c r="AD60" s="4">
        <f>AC60/AB60-1</f>
        <v>-0.45161290322580649</v>
      </c>
    </row>
    <row r="61" spans="1:30" ht="13.9" customHeight="1">
      <c r="A61" t="s">
        <v>1023</v>
      </c>
      <c r="B61" t="s">
        <v>1024</v>
      </c>
      <c r="C61" s="19">
        <v>16</v>
      </c>
      <c r="E61" t="s">
        <v>1024</v>
      </c>
      <c r="F61" s="19">
        <v>2</v>
      </c>
      <c r="G61" t="b">
        <f>IF(B61=E61,TRUE,FALSE)</f>
        <v>1</v>
      </c>
      <c r="J61">
        <f>F61-C61</f>
        <v>-14</v>
      </c>
      <c r="K61" s="4">
        <f>F61/C61-1</f>
        <v>-0.875</v>
      </c>
      <c r="L61" s="4"/>
      <c r="N61" s="5">
        <v>5.22</v>
      </c>
      <c r="O61" s="5">
        <v>0</v>
      </c>
      <c r="Q61" s="5">
        <v>0</v>
      </c>
      <c r="T61" s="133">
        <f>O61-N61</f>
        <v>-5.22</v>
      </c>
      <c r="U61" s="4">
        <f>IF(N61=0,0,O61/N61-1)</f>
        <v>-1</v>
      </c>
      <c r="AB61" s="18">
        <v>303.2</v>
      </c>
      <c r="AC61" s="18">
        <v>37.9</v>
      </c>
      <c r="AD61" s="4">
        <f>AC61/AB61-1</f>
        <v>-0.875</v>
      </c>
    </row>
    <row r="62" spans="1:30" ht="13.9" customHeight="1">
      <c r="A62" t="s">
        <v>1025</v>
      </c>
      <c r="B62" t="s">
        <v>1026</v>
      </c>
      <c r="C62" s="19">
        <v>1066</v>
      </c>
      <c r="E62" t="s">
        <v>1026</v>
      </c>
      <c r="F62" s="19">
        <v>1047</v>
      </c>
      <c r="G62" t="b">
        <f>IF(B62=E62,TRUE,FALSE)</f>
        <v>1</v>
      </c>
      <c r="J62">
        <f>F62-C62</f>
        <v>-19</v>
      </c>
      <c r="K62" s="4">
        <f>F62/C62-1</f>
        <v>-1.7823639774859235E-2</v>
      </c>
      <c r="L62" s="4"/>
      <c r="N62" s="5">
        <v>2050.1999999999998</v>
      </c>
      <c r="O62" s="5">
        <v>1605.12</v>
      </c>
      <c r="Q62" s="5">
        <v>9586.67</v>
      </c>
      <c r="T62" s="133">
        <f>O62-N62</f>
        <v>-445.07999999999993</v>
      </c>
      <c r="U62" s="4">
        <f>IF(N62=0,0,O62/N62-1)</f>
        <v>-0.21709101551068188</v>
      </c>
      <c r="AB62" s="18">
        <v>20200.7</v>
      </c>
      <c r="AC62" s="18">
        <v>19821.7</v>
      </c>
      <c r="AD62" s="4">
        <f>AC62/AB62-1</f>
        <v>-1.8761726078799223E-2</v>
      </c>
    </row>
    <row r="63" spans="1:30" ht="13.9" customHeight="1">
      <c r="A63" t="s">
        <v>1027</v>
      </c>
      <c r="B63" t="s">
        <v>1028</v>
      </c>
      <c r="C63" s="19">
        <v>1396</v>
      </c>
      <c r="E63" t="s">
        <v>1028</v>
      </c>
      <c r="F63" s="19">
        <v>1376</v>
      </c>
      <c r="G63" t="b">
        <f>IF(B63=E63,TRUE,FALSE)</f>
        <v>1</v>
      </c>
      <c r="J63">
        <f>F63-C63</f>
        <v>-20</v>
      </c>
      <c r="K63" s="4">
        <f>F63/C63-1</f>
        <v>-1.4326647564469885E-2</v>
      </c>
      <c r="L63" s="4"/>
      <c r="N63" s="5">
        <v>3013.87</v>
      </c>
      <c r="O63" s="5">
        <v>2266.08</v>
      </c>
      <c r="Q63" s="5">
        <v>13498.52</v>
      </c>
      <c r="T63" s="133">
        <f>O63-N63</f>
        <v>-747.79</v>
      </c>
      <c r="U63" s="4">
        <f>IF(N63=0,0,O63/N63-1)</f>
        <v>-0.24811620939191137</v>
      </c>
      <c r="AB63" s="18">
        <v>34843.449999999997</v>
      </c>
      <c r="AC63" s="18">
        <v>34375.68</v>
      </c>
      <c r="AD63" s="4">
        <f>AC63/AB63-1</f>
        <v>-1.3424904824292594E-2</v>
      </c>
    </row>
    <row r="64" spans="1:30" ht="13.9" customHeight="1">
      <c r="A64" t="s">
        <v>1029</v>
      </c>
      <c r="B64" t="s">
        <v>1030</v>
      </c>
      <c r="C64" s="19">
        <v>1279</v>
      </c>
      <c r="E64" t="s">
        <v>1030</v>
      </c>
      <c r="F64" s="19">
        <v>1256</v>
      </c>
      <c r="G64" t="b">
        <f>IF(B64=E64,TRUE,FALSE)</f>
        <v>1</v>
      </c>
      <c r="J64">
        <f>F64-C64</f>
        <v>-23</v>
      </c>
      <c r="K64" s="4">
        <f>F64/C64-1</f>
        <v>-1.798279906176703E-2</v>
      </c>
      <c r="L64" s="6"/>
      <c r="N64" s="5">
        <v>2929.7</v>
      </c>
      <c r="O64" s="5">
        <v>2761.68</v>
      </c>
      <c r="Q64" s="5">
        <v>14519.21</v>
      </c>
      <c r="T64" s="133">
        <f>O64-N64</f>
        <v>-168.01999999999998</v>
      </c>
      <c r="U64" s="4">
        <f>IF(N64=0,0,O64/N64-1)</f>
        <v>-5.7350581970850301E-2</v>
      </c>
      <c r="AB64" s="18">
        <v>28081.23</v>
      </c>
      <c r="AC64" s="18">
        <v>27619.439999999999</v>
      </c>
      <c r="AD64" s="4">
        <f>AC64/AB64-1</f>
        <v>-1.6444792482380621E-2</v>
      </c>
    </row>
    <row r="65" spans="1:30" ht="13.9" customHeight="1">
      <c r="A65" t="s">
        <v>1031</v>
      </c>
      <c r="B65" t="s">
        <v>1032</v>
      </c>
      <c r="C65" s="19">
        <v>1495</v>
      </c>
      <c r="E65" t="s">
        <v>1032</v>
      </c>
      <c r="F65" s="19">
        <v>1470</v>
      </c>
      <c r="G65" t="b">
        <f>IF(B65=E65,TRUE,FALSE)</f>
        <v>1</v>
      </c>
      <c r="J65">
        <f>F65-C65</f>
        <v>-25</v>
      </c>
      <c r="K65" s="4">
        <f>F65/C65-1</f>
        <v>-1.6722408026755842E-2</v>
      </c>
      <c r="L65" s="4"/>
      <c r="N65" s="5">
        <v>1739.25</v>
      </c>
      <c r="O65" s="5">
        <v>1151.5</v>
      </c>
      <c r="Q65" s="5">
        <v>5547.23</v>
      </c>
      <c r="T65" s="133">
        <f>O65-N65</f>
        <v>-587.75</v>
      </c>
      <c r="U65" s="4">
        <f>IF(N65=0,0,O65/N65-1)</f>
        <v>-0.33793301710507406</v>
      </c>
      <c r="AB65" s="18">
        <v>37210.11</v>
      </c>
      <c r="AC65" s="18">
        <v>36735.300000000003</v>
      </c>
      <c r="AD65" s="4">
        <f>AC65/AB65-1</f>
        <v>-1.2760241773001946E-2</v>
      </c>
    </row>
    <row r="66" spans="1:30" ht="13.9" customHeight="1">
      <c r="A66" t="s">
        <v>1033</v>
      </c>
      <c r="B66" t="s">
        <v>1034</v>
      </c>
      <c r="C66" s="19">
        <v>820</v>
      </c>
      <c r="E66" t="s">
        <v>1034</v>
      </c>
      <c r="F66" s="19">
        <v>790</v>
      </c>
      <c r="G66" t="b">
        <f>IF(B66=E66,TRUE,FALSE)</f>
        <v>1</v>
      </c>
      <c r="J66">
        <f>F66-C66</f>
        <v>-30</v>
      </c>
      <c r="K66" s="4">
        <f>F66/C66-1</f>
        <v>-3.6585365853658569E-2</v>
      </c>
      <c r="L66" s="4"/>
      <c r="N66" s="5">
        <v>803.5</v>
      </c>
      <c r="O66" s="5">
        <v>660.28</v>
      </c>
      <c r="Q66" s="5">
        <v>4709.22</v>
      </c>
      <c r="T66" s="133">
        <f>O66-N66</f>
        <v>-143.22000000000003</v>
      </c>
      <c r="U66" s="4">
        <f>IF(N66=0,0,O66/N66-1)</f>
        <v>-0.17824517734909773</v>
      </c>
      <c r="AB66" s="18">
        <v>18009.809999999998</v>
      </c>
      <c r="AC66" s="18">
        <v>17372.099999999999</v>
      </c>
      <c r="AD66" s="4">
        <f>AC66/AB66-1</f>
        <v>-3.5409035409035394E-2</v>
      </c>
    </row>
    <row r="67" spans="1:30" ht="13.9" customHeight="1">
      <c r="A67" s="28" t="s">
        <v>1035</v>
      </c>
      <c r="B67" t="s">
        <v>1036</v>
      </c>
      <c r="C67" s="19">
        <v>445</v>
      </c>
      <c r="E67" t="s">
        <v>1036</v>
      </c>
      <c r="F67" s="19">
        <v>411</v>
      </c>
      <c r="G67" t="b">
        <f>IF(B67=E67,TRUE,FALSE)</f>
        <v>1</v>
      </c>
      <c r="J67">
        <f>F67-C67</f>
        <v>-34</v>
      </c>
      <c r="K67" s="4">
        <f>F67/C67-1</f>
        <v>-7.6404494382022459E-2</v>
      </c>
      <c r="L67" s="4"/>
      <c r="N67" s="5">
        <v>1422.52</v>
      </c>
      <c r="O67" s="5">
        <v>969.8</v>
      </c>
      <c r="Q67" s="5">
        <v>5635.58</v>
      </c>
      <c r="T67" s="133">
        <f>O67-N67</f>
        <v>-452.72</v>
      </c>
      <c r="U67" s="4">
        <f>IF(N67=0,0,O67/N67-1)</f>
        <v>-0.31825211596322023</v>
      </c>
      <c r="AB67" s="18">
        <v>10675.55</v>
      </c>
      <c r="AC67" s="18">
        <v>9859.89</v>
      </c>
      <c r="AD67" s="4">
        <f>AC67/AB67-1</f>
        <v>-7.6404494382022459E-2</v>
      </c>
    </row>
    <row r="68" spans="1:30" ht="13.9" customHeight="1">
      <c r="A68" t="s">
        <v>1037</v>
      </c>
      <c r="B68" t="s">
        <v>1038</v>
      </c>
      <c r="C68" s="19">
        <v>533</v>
      </c>
      <c r="E68" t="s">
        <v>1038</v>
      </c>
      <c r="F68" s="19">
        <v>490</v>
      </c>
      <c r="G68" t="b">
        <f>IF(B68=E68,TRUE,FALSE)</f>
        <v>1</v>
      </c>
      <c r="J68">
        <f>F68-C68</f>
        <v>-43</v>
      </c>
      <c r="K68" s="4">
        <f>F68/C68-1</f>
        <v>-8.0675422138836828E-2</v>
      </c>
      <c r="L68" s="4"/>
      <c r="N68" s="5">
        <v>1162.8900000000001</v>
      </c>
      <c r="O68" s="5">
        <v>857.25</v>
      </c>
      <c r="Q68" s="5">
        <v>5582.08</v>
      </c>
      <c r="T68" s="133">
        <f>O68-N68</f>
        <v>-305.6400000000001</v>
      </c>
      <c r="U68" s="4">
        <f>IF(N68=0,0,O68/N68-1)</f>
        <v>-0.26282795449268637</v>
      </c>
      <c r="AB68" s="18">
        <v>15873.5</v>
      </c>
      <c r="AC68" s="18">
        <v>14645.55</v>
      </c>
      <c r="AD68" s="4">
        <f>AC68/AB68-1</f>
        <v>-7.735849056603783E-2</v>
      </c>
    </row>
    <row r="69" spans="1:30" ht="13.9" customHeight="1">
      <c r="A69" t="s">
        <v>1039</v>
      </c>
      <c r="B69" t="s">
        <v>1040</v>
      </c>
      <c r="C69" s="19">
        <v>343</v>
      </c>
      <c r="E69" t="s">
        <v>1040</v>
      </c>
      <c r="F69" s="19">
        <v>296</v>
      </c>
      <c r="G69" t="b">
        <f>IF(B69=E69,TRUE,FALSE)</f>
        <v>1</v>
      </c>
      <c r="J69">
        <f>F69-C69</f>
        <v>-47</v>
      </c>
      <c r="K69" s="4">
        <f>F69/C69-1</f>
        <v>-0.13702623906705536</v>
      </c>
      <c r="N69" s="5">
        <v>578.11</v>
      </c>
      <c r="O69" s="5">
        <v>466.75</v>
      </c>
      <c r="Q69" s="5">
        <v>2620.0100000000002</v>
      </c>
      <c r="T69" s="133">
        <f>O69-N69</f>
        <v>-111.36000000000001</v>
      </c>
      <c r="U69" s="4">
        <f>IF(N69=0,0,O69/N69-1)</f>
        <v>-0.19262770061061041</v>
      </c>
      <c r="AB69" s="18">
        <v>6856.53</v>
      </c>
      <c r="AC69" s="18">
        <v>5917</v>
      </c>
      <c r="AD69" s="4">
        <f>AC69/AB69-1</f>
        <v>-0.13702703845822883</v>
      </c>
    </row>
    <row r="70" spans="1:30" ht="13.9" customHeight="1">
      <c r="A70" t="s">
        <v>1041</v>
      </c>
      <c r="B70" t="s">
        <v>1042</v>
      </c>
      <c r="C70" s="19">
        <v>1202</v>
      </c>
      <c r="E70" t="s">
        <v>1042</v>
      </c>
      <c r="F70" s="19">
        <v>1153</v>
      </c>
      <c r="G70" t="b">
        <f>IF(B70=E70,TRUE,FALSE)</f>
        <v>1</v>
      </c>
      <c r="J70">
        <f>F70-C70</f>
        <v>-49</v>
      </c>
      <c r="K70" s="4">
        <f>F70/C70-1</f>
        <v>-4.0765391014975005E-2</v>
      </c>
      <c r="L70" s="4"/>
      <c r="N70" s="5">
        <v>2802.57</v>
      </c>
      <c r="O70" s="5">
        <v>2185.8200000000002</v>
      </c>
      <c r="Q70" s="5">
        <v>8392.27</v>
      </c>
      <c r="T70" s="133">
        <f>O70-N70</f>
        <v>-616.75</v>
      </c>
      <c r="U70" s="4">
        <f>IF(N70=0,0,O70/N70-1)</f>
        <v>-0.22006586811390971</v>
      </c>
      <c r="X70" t="s">
        <v>1043</v>
      </c>
      <c r="AB70" s="18">
        <v>20421.98</v>
      </c>
      <c r="AC70" s="18">
        <v>19589.47</v>
      </c>
      <c r="AD70" s="4">
        <f>AC70/AB70-1</f>
        <v>-4.0765391014975005E-2</v>
      </c>
    </row>
    <row r="71" spans="1:30" ht="14.25" customHeight="1">
      <c r="A71" t="s">
        <v>1044</v>
      </c>
      <c r="B71" t="s">
        <v>1045</v>
      </c>
      <c r="C71" s="19">
        <v>1560</v>
      </c>
      <c r="E71" t="s">
        <v>1045</v>
      </c>
      <c r="F71" s="19">
        <v>1507</v>
      </c>
      <c r="G71" t="b">
        <f>IF(B71=E71,TRUE,FALSE)</f>
        <v>1</v>
      </c>
      <c r="J71">
        <f>F71-C71</f>
        <v>-53</v>
      </c>
      <c r="K71" s="4">
        <f>F71/C71-1</f>
        <v>-3.3974358974358965E-2</v>
      </c>
      <c r="L71" s="6"/>
      <c r="N71" s="5">
        <v>3166.29</v>
      </c>
      <c r="O71" s="5">
        <v>3110.39</v>
      </c>
      <c r="Q71" s="5">
        <v>15393.43</v>
      </c>
      <c r="T71" s="133">
        <f>O71-N71</f>
        <v>-55.900000000000091</v>
      </c>
      <c r="U71" s="4">
        <f>IF(N71=0,0,O71/N71-1)</f>
        <v>-1.7654731562806947E-2</v>
      </c>
      <c r="AB71" s="18">
        <v>45108.44</v>
      </c>
      <c r="AC71" s="18">
        <v>43687.93</v>
      </c>
      <c r="AD71" s="4">
        <f>AC71/AB71-1</f>
        <v>-3.1491002570694149E-2</v>
      </c>
    </row>
    <row r="72" spans="1:30" ht="13.9" customHeight="1">
      <c r="A72" t="s">
        <v>1046</v>
      </c>
      <c r="B72" t="s">
        <v>1047</v>
      </c>
      <c r="C72" s="19">
        <v>1789</v>
      </c>
      <c r="E72" t="s">
        <v>1047</v>
      </c>
      <c r="F72" s="19">
        <v>1736</v>
      </c>
      <c r="G72" t="b">
        <f>IF(B72=E72,TRUE,FALSE)</f>
        <v>1</v>
      </c>
      <c r="J72">
        <f>F72-C72</f>
        <v>-53</v>
      </c>
      <c r="K72" s="4">
        <f>F72/C72-1</f>
        <v>-2.9625489100055913E-2</v>
      </c>
      <c r="L72" s="6"/>
      <c r="N72" s="5">
        <v>1620.4</v>
      </c>
      <c r="O72" s="5">
        <v>1407.47</v>
      </c>
      <c r="Q72" s="5">
        <v>8637.68</v>
      </c>
      <c r="T72" s="133">
        <f>O72-N72</f>
        <v>-212.93000000000006</v>
      </c>
      <c r="U72" s="4">
        <f>IF(N72=0,0,O72/N72-1)</f>
        <v>-0.13140582572204396</v>
      </c>
      <c r="AB72" s="18">
        <v>39274.14</v>
      </c>
      <c r="AC72" s="18">
        <v>38174.639999999999</v>
      </c>
      <c r="AD72" s="4">
        <f>AC72/AB72-1</f>
        <v>-2.7995520716685318E-2</v>
      </c>
    </row>
    <row r="73" spans="1:30" ht="13.9" customHeight="1">
      <c r="A73" t="s">
        <v>1048</v>
      </c>
      <c r="B73" t="s">
        <v>1049</v>
      </c>
      <c r="C73" s="19">
        <v>957</v>
      </c>
      <c r="E73" t="s">
        <v>1049</v>
      </c>
      <c r="F73" s="19">
        <v>891</v>
      </c>
      <c r="G73" t="b">
        <f>IF(B73=E73,TRUE,FALSE)</f>
        <v>1</v>
      </c>
      <c r="J73">
        <f>F73-C73</f>
        <v>-66</v>
      </c>
      <c r="K73" s="4">
        <f>F73/C73-1</f>
        <v>-6.8965517241379337E-2</v>
      </c>
      <c r="L73" s="4"/>
      <c r="N73" s="5">
        <v>409.12</v>
      </c>
      <c r="O73" s="5">
        <v>263.33999999999997</v>
      </c>
      <c r="Q73" s="5">
        <v>2527.46</v>
      </c>
      <c r="T73" s="133">
        <f>O73-N73</f>
        <v>-145.78000000000003</v>
      </c>
      <c r="U73" s="4">
        <f>IF(N73=0,0,O73/N73-1)</f>
        <v>-0.35632577238951901</v>
      </c>
      <c r="AB73" s="18">
        <v>31161.46</v>
      </c>
      <c r="AC73" s="18">
        <v>29083.55</v>
      </c>
      <c r="AD73" s="4">
        <f>AC73/AB73-1</f>
        <v>-6.6682048915551406E-2</v>
      </c>
    </row>
    <row r="74" spans="1:30">
      <c r="A74" t="s">
        <v>1050</v>
      </c>
      <c r="B74" t="s">
        <v>1051</v>
      </c>
      <c r="C74" s="19">
        <v>1507</v>
      </c>
      <c r="E74" t="s">
        <v>1051</v>
      </c>
      <c r="F74" s="19">
        <v>1434</v>
      </c>
      <c r="G74" t="b">
        <f>IF(B74=E74,TRUE,FALSE)</f>
        <v>1</v>
      </c>
      <c r="J74">
        <f>F74-C74</f>
        <v>-73</v>
      </c>
      <c r="K74" s="4">
        <f>F74/C74-1</f>
        <v>-4.8440610484406066E-2</v>
      </c>
      <c r="L74" s="4"/>
      <c r="N74" s="5">
        <v>2620.63</v>
      </c>
      <c r="O74" s="5">
        <v>2361.5700000000002</v>
      </c>
      <c r="Q74" s="5">
        <v>9487.7099999999991</v>
      </c>
      <c r="T74" s="133">
        <f>O74-N74</f>
        <v>-259.05999999999995</v>
      </c>
      <c r="U74" s="4">
        <f>IF(N74=0,0,O74/N74-1)</f>
        <v>-9.8854092336575494E-2</v>
      </c>
      <c r="AB74" s="18">
        <v>31213.95</v>
      </c>
      <c r="AC74" s="18">
        <v>31531.66</v>
      </c>
      <c r="AD74" s="4">
        <f>AC74/AB74-1</f>
        <v>1.0178461873617373E-2</v>
      </c>
    </row>
    <row r="75" spans="1:30">
      <c r="A75" t="s">
        <v>1052</v>
      </c>
      <c r="B75" t="s">
        <v>1053</v>
      </c>
      <c r="C75" s="19">
        <v>1406</v>
      </c>
      <c r="E75" t="s">
        <v>1053</v>
      </c>
      <c r="F75" s="19">
        <v>1331</v>
      </c>
      <c r="G75" t="b">
        <f>IF(B75=E75,TRUE,FALSE)</f>
        <v>1</v>
      </c>
      <c r="J75">
        <f>F75-C75</f>
        <v>-75</v>
      </c>
      <c r="K75" s="4">
        <f>F75/C75-1</f>
        <v>-5.3342816500711265E-2</v>
      </c>
      <c r="L75" s="4"/>
      <c r="N75" s="5">
        <v>1264.6500000000001</v>
      </c>
      <c r="O75" s="5">
        <v>1289.8599999999999</v>
      </c>
      <c r="Q75" s="5">
        <v>6721.23</v>
      </c>
      <c r="T75" s="133">
        <f>O75-N75</f>
        <v>25.209999999999809</v>
      </c>
      <c r="U75" s="4">
        <f>IF(N75=0,0,O75/N75-1)</f>
        <v>1.9934369193057133E-2</v>
      </c>
      <c r="X75" t="s">
        <v>1054</v>
      </c>
      <c r="AB75" s="18">
        <v>33673.699999999997</v>
      </c>
      <c r="AC75" s="18">
        <v>31877.45</v>
      </c>
      <c r="AD75" s="4">
        <f>AC75/AB75-1</f>
        <v>-5.3342816500711154E-2</v>
      </c>
    </row>
    <row r="76" spans="1:30">
      <c r="A76" t="s">
        <v>1055</v>
      </c>
      <c r="B76" t="s">
        <v>1056</v>
      </c>
      <c r="C76" s="19">
        <v>1653</v>
      </c>
      <c r="E76" t="s">
        <v>1056</v>
      </c>
      <c r="F76" s="19">
        <v>1572</v>
      </c>
      <c r="G76" t="b">
        <f>IF(B76=E76,TRUE,FALSE)</f>
        <v>1</v>
      </c>
      <c r="J76">
        <f>F76-C76</f>
        <v>-81</v>
      </c>
      <c r="K76" s="4">
        <f>F76/C76-1</f>
        <v>-4.9001814882032702E-2</v>
      </c>
      <c r="L76" s="4"/>
      <c r="N76" s="5">
        <v>3093.56</v>
      </c>
      <c r="O76" s="5">
        <v>2199.1999999999998</v>
      </c>
      <c r="Q76" s="5">
        <v>7915.74</v>
      </c>
      <c r="T76" s="133">
        <f>O76-N76</f>
        <v>-894.36000000000013</v>
      </c>
      <c r="U76" s="4">
        <f>IF(N76=0,0,O76/N76-1)</f>
        <v>-0.28910381566867949</v>
      </c>
      <c r="AB76" s="18">
        <v>33043.47</v>
      </c>
      <c r="AC76" s="18">
        <v>31424.28</v>
      </c>
      <c r="AD76" s="4">
        <f>AC76/AB76-1</f>
        <v>-4.9001814882032702E-2</v>
      </c>
    </row>
    <row r="77" spans="1:30">
      <c r="A77" t="s">
        <v>1057</v>
      </c>
      <c r="B77" t="s">
        <v>1058</v>
      </c>
      <c r="C77" s="19">
        <v>86</v>
      </c>
      <c r="E77" t="s">
        <v>1058</v>
      </c>
      <c r="F77" s="19">
        <v>3</v>
      </c>
      <c r="G77" t="b">
        <f>IF(B77=E77,TRUE,FALSE)</f>
        <v>1</v>
      </c>
      <c r="J77">
        <f>F77-C77</f>
        <v>-83</v>
      </c>
      <c r="K77" s="4">
        <f>F77/C77-1</f>
        <v>-0.96511627906976749</v>
      </c>
      <c r="L77" s="4"/>
      <c r="N77" s="5">
        <v>0</v>
      </c>
      <c r="O77" s="5">
        <v>0</v>
      </c>
      <c r="Q77" s="5">
        <v>0</v>
      </c>
      <c r="T77" s="133">
        <f>O77-N77</f>
        <v>0</v>
      </c>
      <c r="U77" s="4">
        <f>IF(N77=0,0,O77/N77-1)</f>
        <v>0</v>
      </c>
      <c r="X77" t="s">
        <v>1059</v>
      </c>
      <c r="AB77" s="18">
        <v>1614.15</v>
      </c>
      <c r="AC77" s="18">
        <v>56.97</v>
      </c>
      <c r="AD77" s="4">
        <f>AC77/AB77-1</f>
        <v>-0.96470588235294119</v>
      </c>
    </row>
    <row r="78" spans="1:30">
      <c r="A78" s="57" t="s">
        <v>1060</v>
      </c>
      <c r="B78" s="38" t="s">
        <v>1061</v>
      </c>
      <c r="C78" s="148">
        <v>741</v>
      </c>
      <c r="E78" s="38" t="s">
        <v>1061</v>
      </c>
      <c r="F78" s="148">
        <v>653</v>
      </c>
      <c r="G78" t="b">
        <f>IF(B78=E78,TRUE,FALSE)</f>
        <v>1</v>
      </c>
      <c r="J78">
        <f>F78-C78</f>
        <v>-88</v>
      </c>
      <c r="K78" s="4">
        <f>F78/C78-1</f>
        <v>-0.11875843454790824</v>
      </c>
      <c r="L78" s="4"/>
      <c r="N78" s="5">
        <v>2408.25</v>
      </c>
      <c r="O78" s="5">
        <v>2212.3200000000002</v>
      </c>
      <c r="Q78" s="5">
        <v>9186.85</v>
      </c>
      <c r="T78" s="133">
        <f>O78-N78</f>
        <v>-195.92999999999984</v>
      </c>
      <c r="U78" s="4">
        <f>IF(N78=0,0,O78/N78-1)</f>
        <v>-8.1357832450949741E-2</v>
      </c>
      <c r="AB78" s="18">
        <v>14071.59</v>
      </c>
      <c r="AC78" s="18">
        <v>12380.47</v>
      </c>
      <c r="AD78" s="4">
        <f>AC78/AB78-1</f>
        <v>-0.12017973803955351</v>
      </c>
    </row>
    <row r="79" spans="1:30">
      <c r="A79" t="s">
        <v>1062</v>
      </c>
      <c r="B79" t="s">
        <v>1063</v>
      </c>
      <c r="C79" s="19">
        <v>972</v>
      </c>
      <c r="E79" t="s">
        <v>1063</v>
      </c>
      <c r="F79" s="19">
        <v>880</v>
      </c>
      <c r="G79" t="b">
        <f>IF(B79=E79,TRUE,FALSE)</f>
        <v>1</v>
      </c>
      <c r="J79">
        <f>F79-C79</f>
        <v>-92</v>
      </c>
      <c r="K79" s="4">
        <f>F79/C79-1</f>
        <v>-9.4650205761316886E-2</v>
      </c>
      <c r="N79" s="5">
        <v>1021.75</v>
      </c>
      <c r="O79" s="5">
        <v>475.28</v>
      </c>
      <c r="Q79" s="5">
        <v>2186.36</v>
      </c>
      <c r="T79" s="133">
        <f>O79-N79</f>
        <v>-546.47</v>
      </c>
      <c r="U79" s="4">
        <f>IF(N79=0,0,O79/N79-1)</f>
        <v>-0.53483728896501104</v>
      </c>
      <c r="AB79" s="18">
        <v>18419.400000000001</v>
      </c>
      <c r="AC79" s="18">
        <v>16676</v>
      </c>
      <c r="AD79" s="4">
        <f>AC79/AB79-1</f>
        <v>-9.4650205761316997E-2</v>
      </c>
    </row>
    <row r="80" spans="1:30">
      <c r="A80" t="s">
        <v>1064</v>
      </c>
      <c r="B80" t="s">
        <v>1065</v>
      </c>
      <c r="C80" s="19">
        <v>1420</v>
      </c>
      <c r="E80" t="s">
        <v>1065</v>
      </c>
      <c r="F80" s="19">
        <v>1320</v>
      </c>
      <c r="G80" t="b">
        <f>IF(B80=E80,TRUE,FALSE)</f>
        <v>1</v>
      </c>
      <c r="J80">
        <f>F80-C80</f>
        <v>-100</v>
      </c>
      <c r="K80" s="4">
        <f>F80/C80-1</f>
        <v>-7.0422535211267623E-2</v>
      </c>
      <c r="L80" s="4"/>
      <c r="N80" s="5">
        <v>1895.27</v>
      </c>
      <c r="O80" s="5">
        <v>1272.57</v>
      </c>
      <c r="Q80" s="5">
        <v>6949.68</v>
      </c>
      <c r="T80" s="133">
        <f>O80-N80</f>
        <v>-622.70000000000005</v>
      </c>
      <c r="U80" s="4">
        <f>IF(N80=0,0,O80/N80-1)</f>
        <v>-0.32855477056039517</v>
      </c>
      <c r="AB80" s="18">
        <v>26965.8</v>
      </c>
      <c r="AC80" s="18">
        <v>25066.799999999999</v>
      </c>
      <c r="AD80" s="4">
        <f>AC80/AB80-1</f>
        <v>-7.0422535211267623E-2</v>
      </c>
    </row>
    <row r="81" spans="1:30">
      <c r="A81" t="s">
        <v>1066</v>
      </c>
      <c r="B81" t="s">
        <v>1067</v>
      </c>
      <c r="C81" s="19">
        <v>1166</v>
      </c>
      <c r="E81" t="s">
        <v>1067</v>
      </c>
      <c r="F81" s="19">
        <v>1064</v>
      </c>
      <c r="G81" t="b">
        <f>IF(B81=E81,TRUE,FALSE)</f>
        <v>1</v>
      </c>
      <c r="J81">
        <f>F81-C81</f>
        <v>-102</v>
      </c>
      <c r="K81" s="4">
        <f>F81/C81-1</f>
        <v>-8.7478559176672355E-2</v>
      </c>
      <c r="N81" s="5">
        <v>1742.08</v>
      </c>
      <c r="O81" s="5">
        <v>1543.2</v>
      </c>
      <c r="Q81" s="5">
        <v>5818.01</v>
      </c>
      <c r="T81" s="133">
        <f>O81-N81</f>
        <v>-198.87999999999988</v>
      </c>
      <c r="U81" s="4">
        <f>IF(N81=0,0,O81/N81-1)</f>
        <v>-0.11416238060249806</v>
      </c>
      <c r="X81" s="5"/>
      <c r="Y81" s="5"/>
      <c r="Z81" s="5"/>
      <c r="AA81" s="17"/>
      <c r="AB81" s="18">
        <v>23308.34</v>
      </c>
      <c r="AC81" s="18">
        <v>21229.38</v>
      </c>
      <c r="AD81" s="4">
        <f>AC81/AB81-1</f>
        <v>-8.9193825042881647E-2</v>
      </c>
    </row>
    <row r="82" spans="1:30">
      <c r="A82" t="s">
        <v>1068</v>
      </c>
      <c r="B82" t="s">
        <v>1069</v>
      </c>
      <c r="C82" s="19">
        <v>4145</v>
      </c>
      <c r="E82" t="s">
        <v>1069</v>
      </c>
      <c r="F82" s="19">
        <v>4042</v>
      </c>
      <c r="G82" t="b">
        <f>IF(B82=E82,TRUE,FALSE)</f>
        <v>1</v>
      </c>
      <c r="J82">
        <f>F82-C82</f>
        <v>-103</v>
      </c>
      <c r="K82" s="4">
        <f>F82/C82-1</f>
        <v>-2.484921592279854E-2</v>
      </c>
      <c r="L82" s="4"/>
      <c r="N82" s="5">
        <v>3456.37</v>
      </c>
      <c r="O82" s="5">
        <v>1937.6</v>
      </c>
      <c r="Q82" s="5">
        <v>12445.06</v>
      </c>
      <c r="T82" s="133">
        <f>O82-N82</f>
        <v>-1518.77</v>
      </c>
      <c r="U82" s="4">
        <f>IF(N82=0,0,O82/N82-1)</f>
        <v>-0.43941186852102065</v>
      </c>
      <c r="X82" t="s">
        <v>1070</v>
      </c>
      <c r="AB82" s="18">
        <v>84720.17</v>
      </c>
      <c r="AC82" s="18">
        <v>82930.399999999994</v>
      </c>
      <c r="AD82" s="4">
        <f>AC82/AB82-1</f>
        <v>-2.1125665824324957E-2</v>
      </c>
    </row>
    <row r="83" spans="1:30">
      <c r="A83" t="s">
        <v>1071</v>
      </c>
      <c r="B83" t="s">
        <v>1072</v>
      </c>
      <c r="C83" s="19">
        <v>1265</v>
      </c>
      <c r="E83" t="s">
        <v>1072</v>
      </c>
      <c r="F83" s="19">
        <v>1159</v>
      </c>
      <c r="G83" t="b">
        <f>IF(B83=E83,TRUE,FALSE)</f>
        <v>1</v>
      </c>
      <c r="J83">
        <f>F83-C83</f>
        <v>-106</v>
      </c>
      <c r="K83" s="4">
        <f>F83/C83-1</f>
        <v>-8.3794466403162016E-2</v>
      </c>
      <c r="L83" s="4"/>
      <c r="N83" s="5">
        <v>987.76</v>
      </c>
      <c r="O83" s="5">
        <v>743.61</v>
      </c>
      <c r="Q83" s="5">
        <v>2731.38</v>
      </c>
      <c r="T83" s="133">
        <f>O83-N83</f>
        <v>-244.14999999999998</v>
      </c>
      <c r="U83" s="4">
        <f>IF(N83=0,0,O83/N83-1)</f>
        <v>-0.24717542722928643</v>
      </c>
      <c r="AB83" s="18">
        <v>24003.360000000001</v>
      </c>
      <c r="AC83" s="18">
        <v>22009.41</v>
      </c>
      <c r="AD83" s="4">
        <f>AC83/AB83-1</f>
        <v>-8.3069620253164556E-2</v>
      </c>
    </row>
    <row r="84" spans="1:30">
      <c r="A84" t="s">
        <v>1073</v>
      </c>
      <c r="B84" t="s">
        <v>1074</v>
      </c>
      <c r="C84" s="19">
        <v>643</v>
      </c>
      <c r="E84" t="s">
        <v>1074</v>
      </c>
      <c r="F84" s="19">
        <v>532</v>
      </c>
      <c r="G84" t="b">
        <f>IF(B84=E84,TRUE,FALSE)</f>
        <v>1</v>
      </c>
      <c r="J84">
        <f>F84-C84</f>
        <v>-111</v>
      </c>
      <c r="K84" s="4">
        <f>F84/C84-1</f>
        <v>-0.17262830482115088</v>
      </c>
      <c r="L84" s="4"/>
      <c r="N84" s="5">
        <v>686.87</v>
      </c>
      <c r="O84" s="5">
        <v>369.63</v>
      </c>
      <c r="Q84" s="5">
        <v>2130.11</v>
      </c>
      <c r="T84" s="133">
        <f>O84-N84</f>
        <v>-317.24</v>
      </c>
      <c r="U84" s="4" t="e">
        <f>IF(#REF!=0,0,O84/#REF!-1)</f>
        <v>#REF!</v>
      </c>
      <c r="AB84" s="18">
        <v>15425.57</v>
      </c>
      <c r="AC84" s="18">
        <v>12762.68</v>
      </c>
      <c r="AD84" s="4">
        <f>AC84/AB84-1</f>
        <v>-0.17262830482115077</v>
      </c>
    </row>
    <row r="85" spans="1:30">
      <c r="A85" t="s">
        <v>1075</v>
      </c>
      <c r="B85" t="s">
        <v>1076</v>
      </c>
      <c r="C85" s="19">
        <v>123</v>
      </c>
      <c r="E85" t="s">
        <v>1076</v>
      </c>
      <c r="F85" s="19">
        <v>0</v>
      </c>
      <c r="G85" t="b">
        <f>IF(B85=E85,TRUE,FALSE)</f>
        <v>1</v>
      </c>
      <c r="J85">
        <f>F85-C85</f>
        <v>-123</v>
      </c>
      <c r="K85" s="4">
        <f>F85/C85-1</f>
        <v>-1</v>
      </c>
      <c r="N85" s="5">
        <v>58.99</v>
      </c>
      <c r="O85" s="5">
        <v>0</v>
      </c>
      <c r="Q85" s="5">
        <v>0</v>
      </c>
      <c r="T85" s="133">
        <f>O85-N85</f>
        <v>-58.99</v>
      </c>
      <c r="U85" s="4">
        <f>IF(N85=0,0,O85/N85-1)</f>
        <v>-1</v>
      </c>
      <c r="AB85" s="18">
        <v>3688.77</v>
      </c>
      <c r="AC85" s="18">
        <v>0</v>
      </c>
      <c r="AD85" s="4">
        <f>AC85/AB85-1</f>
        <v>-1</v>
      </c>
    </row>
    <row r="86" spans="1:30">
      <c r="A86" t="s">
        <v>1077</v>
      </c>
      <c r="B86" t="s">
        <v>1078</v>
      </c>
      <c r="C86" s="19">
        <v>1296</v>
      </c>
      <c r="E86" t="s">
        <v>1078</v>
      </c>
      <c r="F86" s="19">
        <v>1164</v>
      </c>
      <c r="G86" t="b">
        <f>IF(B86=E86,TRUE,FALSE)</f>
        <v>1</v>
      </c>
      <c r="J86">
        <f>F86-C86</f>
        <v>-132</v>
      </c>
      <c r="K86" s="4">
        <f>F86/C86-1</f>
        <v>-0.10185185185185186</v>
      </c>
      <c r="L86" s="4"/>
      <c r="N86" s="5">
        <v>2119.14</v>
      </c>
      <c r="O86" s="5">
        <v>1306.3</v>
      </c>
      <c r="Q86" s="5">
        <v>6515</v>
      </c>
      <c r="T86" s="133">
        <f>O86-N86</f>
        <v>-812.83999999999992</v>
      </c>
      <c r="U86" s="4">
        <f>IF(N86=0,0,O86/N86-1)</f>
        <v>-0.38357069377200181</v>
      </c>
      <c r="AB86" s="18">
        <v>29421.040000000001</v>
      </c>
      <c r="AC86" s="18">
        <v>27876.38</v>
      </c>
      <c r="AD86" s="4">
        <f>AC86/AB86-1</f>
        <v>-5.2501883006175198E-2</v>
      </c>
    </row>
    <row r="87" spans="1:30">
      <c r="A87" t="s">
        <v>1079</v>
      </c>
      <c r="B87" t="s">
        <v>1080</v>
      </c>
      <c r="C87" s="19">
        <v>1278</v>
      </c>
      <c r="E87" t="s">
        <v>1080</v>
      </c>
      <c r="F87" s="19">
        <v>1124</v>
      </c>
      <c r="G87" t="b">
        <f>IF(B87=E87,TRUE,FALSE)</f>
        <v>1</v>
      </c>
      <c r="J87">
        <f>F87-C87</f>
        <v>-154</v>
      </c>
      <c r="K87" s="4">
        <f>F87/C87-1</f>
        <v>-0.12050078247261342</v>
      </c>
      <c r="L87" s="4"/>
      <c r="N87" s="5">
        <v>1669.84</v>
      </c>
      <c r="O87" s="5">
        <v>1102.1300000000001</v>
      </c>
      <c r="Q87" s="5">
        <v>5368.29</v>
      </c>
      <c r="T87" s="133">
        <f>O87-N87</f>
        <v>-567.70999999999981</v>
      </c>
      <c r="U87" s="4">
        <f>IF(N87=0,0,O87/N87-1)</f>
        <v>-0.33997868059215242</v>
      </c>
      <c r="AB87" s="18">
        <v>25496.1</v>
      </c>
      <c r="AC87" s="18">
        <v>22423.8</v>
      </c>
      <c r="AD87" s="4">
        <f>AC87/AB87-1</f>
        <v>-0.12050078247261342</v>
      </c>
    </row>
    <row r="88" spans="1:30">
      <c r="A88" t="s">
        <v>1081</v>
      </c>
      <c r="B88" t="s">
        <v>1082</v>
      </c>
      <c r="C88" s="19">
        <v>168</v>
      </c>
      <c r="E88" t="s">
        <v>1082</v>
      </c>
      <c r="F88" s="19">
        <v>11</v>
      </c>
      <c r="G88" t="b">
        <f>IF(B88=E88,TRUE,FALSE)</f>
        <v>1</v>
      </c>
      <c r="J88">
        <f>F88-C88</f>
        <v>-157</v>
      </c>
      <c r="K88" s="4">
        <f>F88/C88-1</f>
        <v>-0.93452380952380953</v>
      </c>
      <c r="L88" s="4"/>
      <c r="N88" s="5">
        <v>0</v>
      </c>
      <c r="O88" s="5">
        <v>0</v>
      </c>
      <c r="Q88" s="5">
        <v>0</v>
      </c>
      <c r="T88" s="133">
        <f>O88-N88</f>
        <v>0</v>
      </c>
      <c r="U88" s="4">
        <f>IF(N88=0,0,O88/N88-1)</f>
        <v>0</v>
      </c>
      <c r="AB88" s="18">
        <v>4166.6499999999996</v>
      </c>
      <c r="AC88" s="18">
        <v>274.45</v>
      </c>
      <c r="AD88" s="4">
        <f>AC88/AB88-1</f>
        <v>-0.93413173652694614</v>
      </c>
    </row>
    <row r="89" spans="1:30">
      <c r="A89" t="s">
        <v>1083</v>
      </c>
      <c r="B89" t="s">
        <v>1084</v>
      </c>
      <c r="C89" s="19">
        <v>2970</v>
      </c>
      <c r="E89" t="s">
        <v>1084</v>
      </c>
      <c r="F89" s="19">
        <v>2807</v>
      </c>
      <c r="G89" t="b">
        <f>IF(B89=E89,TRUE,FALSE)</f>
        <v>1</v>
      </c>
      <c r="J89">
        <f>F89-C89</f>
        <v>-163</v>
      </c>
      <c r="K89" s="4">
        <f>F89/C89-1</f>
        <v>-5.4882154882154865E-2</v>
      </c>
      <c r="L89" s="6"/>
      <c r="N89" s="5">
        <v>4190.8100000000004</v>
      </c>
      <c r="O89" s="5">
        <v>3238.06</v>
      </c>
      <c r="Q89" s="5">
        <v>14818.63</v>
      </c>
      <c r="T89" s="133">
        <f>O89-N89</f>
        <v>-952.75000000000045</v>
      </c>
      <c r="U89" s="4">
        <f>IF(N89=0,0,O89/N89-1)</f>
        <v>-0.22734268554289039</v>
      </c>
      <c r="AB89" s="18">
        <v>74051.600000000006</v>
      </c>
      <c r="AC89" s="18">
        <v>69959.8</v>
      </c>
      <c r="AD89" s="4">
        <f>AC89/AB89-1</f>
        <v>-5.5256064690026974E-2</v>
      </c>
    </row>
    <row r="90" spans="1:30">
      <c r="A90" t="s">
        <v>1085</v>
      </c>
      <c r="B90" t="s">
        <v>1086</v>
      </c>
      <c r="C90" s="19">
        <v>1020</v>
      </c>
      <c r="E90" t="s">
        <v>1086</v>
      </c>
      <c r="F90" s="19">
        <v>857</v>
      </c>
      <c r="G90" t="b">
        <f>IF(B90=E90,TRUE,FALSE)</f>
        <v>1</v>
      </c>
      <c r="J90">
        <f>F90-C90</f>
        <v>-163</v>
      </c>
      <c r="K90" s="4">
        <f>F90/C90-1</f>
        <v>-0.15980392156862744</v>
      </c>
      <c r="N90" s="5">
        <v>1741.55</v>
      </c>
      <c r="O90" s="5">
        <v>1207.56</v>
      </c>
      <c r="Q90" s="5">
        <v>6661.88</v>
      </c>
      <c r="T90" s="133">
        <f>O90-N90</f>
        <v>-533.99</v>
      </c>
      <c r="U90" s="4">
        <f>IF(N90=0,0,O90/N90-1)</f>
        <v>-0.3066176681691597</v>
      </c>
      <c r="X90" s="5"/>
      <c r="Y90" s="5"/>
      <c r="Z90" s="5"/>
      <c r="AA90" s="17"/>
      <c r="AB90" s="18">
        <v>38806.46</v>
      </c>
      <c r="AC90" s="18">
        <v>33453.42</v>
      </c>
      <c r="AD90" s="4">
        <f>AC90/AB90-1</f>
        <v>-0.13794198182467565</v>
      </c>
    </row>
    <row r="91" spans="1:30">
      <c r="A91" t="s">
        <v>1087</v>
      </c>
      <c r="B91" t="s">
        <v>1088</v>
      </c>
      <c r="C91" s="19">
        <v>1459</v>
      </c>
      <c r="E91" t="s">
        <v>1088</v>
      </c>
      <c r="F91" s="19">
        <v>1292</v>
      </c>
      <c r="G91" t="b">
        <f>IF(B91=E91,TRUE,FALSE)</f>
        <v>1</v>
      </c>
      <c r="J91">
        <f>F91-C91</f>
        <v>-167</v>
      </c>
      <c r="K91" s="4">
        <f>F91/C91-1</f>
        <v>-0.11446196024674438</v>
      </c>
      <c r="L91" s="4"/>
      <c r="N91" s="5">
        <v>917.41</v>
      </c>
      <c r="O91" s="5">
        <v>539.38</v>
      </c>
      <c r="Q91" s="5">
        <v>2635.39</v>
      </c>
      <c r="T91" s="133">
        <f>O91-N91</f>
        <v>-378.03</v>
      </c>
      <c r="U91" s="4">
        <f>IF(N91=0,0,O91/N91-1)</f>
        <v>-0.41206221863725045</v>
      </c>
      <c r="AB91" s="18">
        <v>26784.87</v>
      </c>
      <c r="AC91" s="18">
        <v>23876.16</v>
      </c>
      <c r="AD91" s="4">
        <f>AC91/AB91-1</f>
        <v>-0.10859526292268729</v>
      </c>
    </row>
    <row r="92" spans="1:30">
      <c r="A92" t="s">
        <v>1089</v>
      </c>
      <c r="B92" t="s">
        <v>1090</v>
      </c>
      <c r="C92" s="19">
        <v>1335</v>
      </c>
      <c r="E92" t="s">
        <v>1090</v>
      </c>
      <c r="F92" s="19">
        <v>1158</v>
      </c>
      <c r="G92" t="b">
        <f>IF(B92=E92,TRUE,FALSE)</f>
        <v>1</v>
      </c>
      <c r="J92">
        <f>F92-C92</f>
        <v>-177</v>
      </c>
      <c r="K92" s="4">
        <f>F92/C92-1</f>
        <v>-0.13258426966292136</v>
      </c>
      <c r="L92" s="4"/>
      <c r="N92" s="5">
        <v>2648.02</v>
      </c>
      <c r="O92" s="5">
        <v>3288.55</v>
      </c>
      <c r="Q92" s="5">
        <v>20378.21</v>
      </c>
      <c r="T92" s="133">
        <f>O92-N92</f>
        <v>640.5300000000002</v>
      </c>
      <c r="U92" s="4">
        <f>IF(N92=0,0,O92/N92-1)</f>
        <v>0.2418901669926965</v>
      </c>
      <c r="AB92" s="18">
        <v>50154.39</v>
      </c>
      <c r="AC92" s="18">
        <v>44528.38</v>
      </c>
      <c r="AD92" s="4">
        <f>AC92/AB92-1</f>
        <v>-0.1121738296488104</v>
      </c>
    </row>
    <row r="93" spans="1:30">
      <c r="A93" t="s">
        <v>1091</v>
      </c>
      <c r="B93" t="s">
        <v>1092</v>
      </c>
      <c r="C93" s="19">
        <v>891</v>
      </c>
      <c r="E93" t="s">
        <v>1092</v>
      </c>
      <c r="F93" s="19">
        <v>707</v>
      </c>
      <c r="G93" t="b">
        <f>IF(B93=E93,TRUE,FALSE)</f>
        <v>1</v>
      </c>
      <c r="J93">
        <f>F93-C93</f>
        <v>-184</v>
      </c>
      <c r="K93" s="4">
        <f>F93/C93-1</f>
        <v>-0.20650953984287312</v>
      </c>
      <c r="L93" s="4"/>
      <c r="N93" s="5">
        <v>1224.3</v>
      </c>
      <c r="O93" s="5">
        <v>599.02</v>
      </c>
      <c r="Q93" s="5">
        <v>3950.55</v>
      </c>
      <c r="T93" s="133">
        <f>O93-N93</f>
        <v>-625.28</v>
      </c>
      <c r="U93" s="4">
        <f>IF(N93=0,0,O93/N93-1)</f>
        <v>-0.51072449563015598</v>
      </c>
      <c r="AB93" s="18">
        <v>21931.91</v>
      </c>
      <c r="AC93" s="18">
        <v>18865.25</v>
      </c>
      <c r="AD93" s="4">
        <f>AC93/AB93-1</f>
        <v>-0.13982639906875416</v>
      </c>
    </row>
    <row r="94" spans="1:30">
      <c r="A94" t="s">
        <v>1093</v>
      </c>
      <c r="B94" t="s">
        <v>1094</v>
      </c>
      <c r="C94" s="19">
        <v>3766</v>
      </c>
      <c r="E94" t="s">
        <v>1094</v>
      </c>
      <c r="F94" s="19">
        <v>3574</v>
      </c>
      <c r="G94" t="b">
        <f>IF(B94=E94,TRUE,FALSE)</f>
        <v>1</v>
      </c>
      <c r="J94">
        <f>F94-C94</f>
        <v>-192</v>
      </c>
      <c r="K94" s="4">
        <f>F94/C94-1</f>
        <v>-5.0982474774296294E-2</v>
      </c>
      <c r="L94" s="4"/>
      <c r="N94" s="5">
        <v>3191.18</v>
      </c>
      <c r="O94" s="5">
        <v>2356.17</v>
      </c>
      <c r="Q94" s="5">
        <v>12409.92</v>
      </c>
      <c r="T94" s="133">
        <f>O94-N94</f>
        <v>-835.00999999999976</v>
      </c>
      <c r="U94" s="4">
        <f>IF(N94=0,0,O94/N94-1)</f>
        <v>-0.26166183042009528</v>
      </c>
      <c r="AB94" s="18">
        <v>74924.22</v>
      </c>
      <c r="AC94" s="18">
        <v>71141.7</v>
      </c>
      <c r="AD94" s="4">
        <f>AC94/AB94-1</f>
        <v>-5.0484609649590007E-2</v>
      </c>
    </row>
    <row r="95" spans="1:30">
      <c r="A95" t="s">
        <v>1095</v>
      </c>
      <c r="B95" t="s">
        <v>1096</v>
      </c>
      <c r="C95" s="19">
        <v>203</v>
      </c>
      <c r="F95" s="19">
        <v>0</v>
      </c>
      <c r="G95" t="b">
        <f>IF(B95=E95,TRUE,FALSE)</f>
        <v>0</v>
      </c>
      <c r="J95">
        <f>F95-C95</f>
        <v>-203</v>
      </c>
      <c r="K95" s="4">
        <f>F95/C95-1</f>
        <v>-1</v>
      </c>
      <c r="L95" s="4"/>
      <c r="N95" s="5">
        <v>0</v>
      </c>
      <c r="O95" s="5">
        <v>0</v>
      </c>
      <c r="Q95" s="5">
        <v>0</v>
      </c>
      <c r="T95" s="133">
        <f>O95-N95</f>
        <v>0</v>
      </c>
      <c r="U95" s="4">
        <f>IF(N95=0,0,O95/N95-1)</f>
        <v>0</v>
      </c>
      <c r="AB95" s="18">
        <v>3040.1499999999996</v>
      </c>
      <c r="AC95" s="18">
        <v>0</v>
      </c>
      <c r="AD95" s="4">
        <f>AC95/AB95-1</f>
        <v>-1</v>
      </c>
    </row>
    <row r="96" spans="1:30">
      <c r="A96" t="s">
        <v>1097</v>
      </c>
      <c r="B96" t="s">
        <v>1098</v>
      </c>
      <c r="C96" s="19">
        <v>1188</v>
      </c>
      <c r="E96" t="s">
        <v>1098</v>
      </c>
      <c r="F96" s="19">
        <v>981</v>
      </c>
      <c r="G96" t="b">
        <f>IF(B96=E96,TRUE,FALSE)</f>
        <v>1</v>
      </c>
      <c r="J96">
        <f>F96-C96</f>
        <v>-207</v>
      </c>
      <c r="K96" s="4">
        <f>F96/C96-1</f>
        <v>-0.1742424242424242</v>
      </c>
      <c r="L96" s="4"/>
      <c r="N96" s="5">
        <v>2153.59</v>
      </c>
      <c r="O96" s="5">
        <v>1149.3399999999999</v>
      </c>
      <c r="Q96" s="5">
        <v>7236.24</v>
      </c>
      <c r="T96" s="133">
        <f>O96-N96</f>
        <v>-1004.2500000000002</v>
      </c>
      <c r="U96" s="4">
        <f>IF(N96=0,0,O96/N96-1)</f>
        <v>-0.46631438667527247</v>
      </c>
      <c r="AB96" s="18">
        <v>27165.480000000003</v>
      </c>
      <c r="AC96" s="18">
        <v>22830.19</v>
      </c>
      <c r="AD96" s="4">
        <f>AC96/AB96-1</f>
        <v>-0.15958819796300316</v>
      </c>
    </row>
    <row r="97" spans="1:30">
      <c r="A97" t="s">
        <v>1099</v>
      </c>
      <c r="B97" t="s">
        <v>1100</v>
      </c>
      <c r="C97" s="19">
        <v>1370</v>
      </c>
      <c r="E97" t="s">
        <v>1100</v>
      </c>
      <c r="F97" s="19">
        <v>1135</v>
      </c>
      <c r="G97" t="b">
        <f>IF(B97=E97,TRUE,FALSE)</f>
        <v>1</v>
      </c>
      <c r="J97">
        <f>F97-C97</f>
        <v>-235</v>
      </c>
      <c r="K97" s="4">
        <f>F97/C97-1</f>
        <v>-0.17153284671532842</v>
      </c>
      <c r="L97" s="4"/>
      <c r="N97" s="5">
        <v>1472.18</v>
      </c>
      <c r="O97" s="5">
        <v>693.93</v>
      </c>
      <c r="Q97" s="5">
        <v>10655.02</v>
      </c>
      <c r="T97" s="133">
        <f>O97-N97</f>
        <v>-778.25000000000011</v>
      </c>
      <c r="U97" s="4">
        <f>IF(N97=0,0,O97/N97-1)</f>
        <v>-0.52863780244263614</v>
      </c>
      <c r="X97" s="5"/>
      <c r="Y97" s="5"/>
      <c r="Z97" s="5"/>
      <c r="AA97" s="17"/>
      <c r="AB97" s="18">
        <v>49020.04</v>
      </c>
      <c r="AC97" s="18">
        <v>41587.599999999999</v>
      </c>
      <c r="AD97" s="4">
        <f>AC97/AB97-1</f>
        <v>-0.1516204393142071</v>
      </c>
    </row>
    <row r="98" spans="1:30" ht="15" customHeight="1">
      <c r="A98" t="s">
        <v>1101</v>
      </c>
      <c r="B98" t="s">
        <v>1102</v>
      </c>
      <c r="C98" s="19">
        <v>656</v>
      </c>
      <c r="E98" t="s">
        <v>1102</v>
      </c>
      <c r="F98" s="19">
        <v>393</v>
      </c>
      <c r="G98" t="b">
        <f>IF(B98=E98,TRUE,FALSE)</f>
        <v>1</v>
      </c>
      <c r="J98">
        <f>F98-C98</f>
        <v>-263</v>
      </c>
      <c r="K98" s="4">
        <f>F98/C98-1</f>
        <v>-0.40091463414634143</v>
      </c>
      <c r="L98" s="4"/>
      <c r="N98" s="5">
        <v>1342.01</v>
      </c>
      <c r="O98" s="5">
        <v>734.85</v>
      </c>
      <c r="Q98" s="5">
        <v>3576.93</v>
      </c>
      <c r="T98" s="133">
        <f>O98-N98</f>
        <v>-607.16</v>
      </c>
      <c r="U98" s="4">
        <f>IF(N98=0,0,O98/N98-1)</f>
        <v>-0.45242583885365983</v>
      </c>
      <c r="AB98" s="18">
        <v>11119.2</v>
      </c>
      <c r="AC98" s="18">
        <v>6661.35</v>
      </c>
      <c r="AD98" s="4">
        <f>AC98/AB98-1</f>
        <v>-0.40091463414634143</v>
      </c>
    </row>
    <row r="99" spans="1:30" ht="15" customHeight="1">
      <c r="A99" t="s">
        <v>1103</v>
      </c>
      <c r="B99" t="s">
        <v>1104</v>
      </c>
      <c r="C99" s="19">
        <v>2864</v>
      </c>
      <c r="E99" t="s">
        <v>1104</v>
      </c>
      <c r="F99" s="19">
        <v>2586</v>
      </c>
      <c r="G99" t="b">
        <f>IF(B99=E99,TRUE,FALSE)</f>
        <v>1</v>
      </c>
      <c r="J99">
        <f>F99-C99</f>
        <v>-278</v>
      </c>
      <c r="K99" s="4">
        <f>F99/C99-1</f>
        <v>-9.7067039106145225E-2</v>
      </c>
      <c r="L99" s="6"/>
      <c r="N99" s="5">
        <v>4396.04</v>
      </c>
      <c r="O99" s="5">
        <v>3909.96</v>
      </c>
      <c r="Q99" s="5">
        <v>20233.650000000001</v>
      </c>
      <c r="T99" s="133">
        <f>O99-N99</f>
        <v>-486.07999999999993</v>
      </c>
      <c r="U99" s="4">
        <f>IF(N99=0,0,O99/N99-1)</f>
        <v>-0.11057224229078899</v>
      </c>
      <c r="AB99" s="18">
        <v>77299.360000000001</v>
      </c>
      <c r="AC99" s="18">
        <v>69796.14</v>
      </c>
      <c r="AD99" s="4">
        <f>AC99/AB99-1</f>
        <v>-9.7067039106145225E-2</v>
      </c>
    </row>
    <row r="100" spans="1:30" ht="15" customHeight="1">
      <c r="A100" s="28" t="s">
        <v>1105</v>
      </c>
      <c r="B100" s="28" t="s">
        <v>1106</v>
      </c>
      <c r="C100" s="19">
        <v>1295</v>
      </c>
      <c r="E100" s="28" t="s">
        <v>1106</v>
      </c>
      <c r="F100" s="19">
        <v>1014</v>
      </c>
      <c r="G100" t="b">
        <f>IF(B100=E100,TRUE,FALSE)</f>
        <v>1</v>
      </c>
      <c r="J100">
        <f>F100-C100</f>
        <v>-281</v>
      </c>
      <c r="K100" s="4">
        <f>F100/C100-1</f>
        <v>-0.21698841698841698</v>
      </c>
      <c r="L100" s="4"/>
      <c r="N100" s="5">
        <v>2120.12</v>
      </c>
      <c r="O100" s="5">
        <v>1723.28</v>
      </c>
      <c r="Q100" s="5">
        <v>7992.39</v>
      </c>
      <c r="T100" s="133">
        <f>O100-N100</f>
        <v>-396.83999999999992</v>
      </c>
      <c r="U100" s="4">
        <f>IF(N100=0,0,O100/N100-1)</f>
        <v>-0.18717808425938154</v>
      </c>
      <c r="AB100" s="18">
        <v>28754.37</v>
      </c>
      <c r="AC100" s="18">
        <v>24170.58</v>
      </c>
      <c r="AD100" s="4">
        <f>AC100/AB100-1</f>
        <v>-0.15941194329766217</v>
      </c>
    </row>
    <row r="101" spans="1:30" ht="15" customHeight="1">
      <c r="A101" t="s">
        <v>1107</v>
      </c>
      <c r="B101" t="s">
        <v>1108</v>
      </c>
      <c r="C101" s="19">
        <v>4583</v>
      </c>
      <c r="E101" t="s">
        <v>1108</v>
      </c>
      <c r="F101" s="19">
        <v>4295</v>
      </c>
      <c r="G101" t="b">
        <f>IF(B101=E101,TRUE,FALSE)</f>
        <v>1</v>
      </c>
      <c r="J101">
        <f>F101-C101</f>
        <v>-288</v>
      </c>
      <c r="K101" s="4">
        <f>F101/C101-1</f>
        <v>-6.2840933886100792E-2</v>
      </c>
      <c r="N101" s="5">
        <v>6209.37</v>
      </c>
      <c r="O101" s="5">
        <v>5739.52</v>
      </c>
      <c r="Q101" s="5">
        <v>25120</v>
      </c>
      <c r="T101" s="133">
        <f>O101-N101</f>
        <v>-469.84999999999945</v>
      </c>
      <c r="U101" s="4">
        <f>IF(N101=0,0,O101/N101-1)</f>
        <v>-7.5667901896649625E-2</v>
      </c>
      <c r="X101" s="5"/>
      <c r="Y101" s="5"/>
      <c r="Z101" s="5"/>
      <c r="AA101" s="17"/>
      <c r="AB101" s="18">
        <v>64074.2</v>
      </c>
      <c r="AC101" s="18">
        <v>60985.06</v>
      </c>
      <c r="AD101" s="4">
        <f>AC101/AB101-1</f>
        <v>-4.8211916808949651E-2</v>
      </c>
    </row>
    <row r="102" spans="1:30" ht="15" customHeight="1">
      <c r="A102" t="s">
        <v>1109</v>
      </c>
      <c r="B102" t="s">
        <v>1110</v>
      </c>
      <c r="C102" s="19">
        <v>2547</v>
      </c>
      <c r="E102" t="s">
        <v>1110</v>
      </c>
      <c r="F102" s="19">
        <v>2252</v>
      </c>
      <c r="G102" t="b">
        <f>IF(B102=E102,TRUE,FALSE)</f>
        <v>1</v>
      </c>
      <c r="J102">
        <f>F102-C102</f>
        <v>-295</v>
      </c>
      <c r="K102" s="4">
        <f>F102/C102-1</f>
        <v>-0.11582253631723594</v>
      </c>
      <c r="L102" s="4"/>
      <c r="N102" s="5">
        <v>1650.5</v>
      </c>
      <c r="O102" s="5">
        <v>1200.2</v>
      </c>
      <c r="Q102" s="5">
        <v>5309.62</v>
      </c>
      <c r="T102" s="133">
        <f>O102-N102</f>
        <v>-450.29999999999995</v>
      </c>
      <c r="U102" s="4">
        <f>IF(N102=0,0,O102/N102-1)</f>
        <v>-0.27282641623750381</v>
      </c>
      <c r="AB102" s="18">
        <v>50792.7</v>
      </c>
      <c r="AC102" s="18">
        <v>44887.5</v>
      </c>
      <c r="AD102" s="4">
        <f>AC102/AB102-1</f>
        <v>-0.11626080125687344</v>
      </c>
    </row>
    <row r="103" spans="1:30" ht="15" customHeight="1">
      <c r="A103" t="s">
        <v>1111</v>
      </c>
      <c r="B103" t="s">
        <v>1112</v>
      </c>
      <c r="C103" s="19">
        <v>1502</v>
      </c>
      <c r="E103" t="s">
        <v>1112</v>
      </c>
      <c r="F103" s="19">
        <v>1198</v>
      </c>
      <c r="G103" t="b">
        <f>IF(B103=E103,TRUE,FALSE)</f>
        <v>1</v>
      </c>
      <c r="J103">
        <f>F103-C103</f>
        <v>-304</v>
      </c>
      <c r="K103" s="4">
        <f>F103/C103-1</f>
        <v>-0.20239680426098539</v>
      </c>
      <c r="L103" s="4"/>
      <c r="N103" s="5">
        <v>2820.11</v>
      </c>
      <c r="O103" s="5">
        <v>1938.7199999999998</v>
      </c>
      <c r="Q103" s="5">
        <v>16225.29</v>
      </c>
      <c r="T103" s="133">
        <f>O103-N103</f>
        <v>-881.39000000000033</v>
      </c>
      <c r="U103" s="4">
        <f>IF(N103=0,0,O103/N103-1)</f>
        <v>-0.31253745421277901</v>
      </c>
      <c r="AB103" s="18">
        <v>40591.99</v>
      </c>
      <c r="AC103" s="18">
        <v>34728.019999999997</v>
      </c>
      <c r="AD103" s="4">
        <f>AC103/AB103-1</f>
        <v>-0.1444612594750837</v>
      </c>
    </row>
    <row r="104" spans="1:30" ht="15" customHeight="1">
      <c r="A104" t="s">
        <v>1113</v>
      </c>
      <c r="B104" t="s">
        <v>1114</v>
      </c>
      <c r="C104" s="19">
        <v>1660</v>
      </c>
      <c r="E104" t="s">
        <v>1114</v>
      </c>
      <c r="F104" s="19">
        <v>1333</v>
      </c>
      <c r="G104" t="b">
        <f>IF(B104=E104,TRUE,FALSE)</f>
        <v>1</v>
      </c>
      <c r="J104">
        <f>F104-C104</f>
        <v>-327</v>
      </c>
      <c r="K104" s="4">
        <f>F104/C104-1</f>
        <v>-0.19698795180722894</v>
      </c>
      <c r="L104" s="4"/>
      <c r="N104" s="5">
        <v>2773.08</v>
      </c>
      <c r="O104" s="5">
        <v>2341.9499999999998</v>
      </c>
      <c r="Q104" s="5">
        <v>9061.24</v>
      </c>
      <c r="T104" s="133">
        <f>O104-N104</f>
        <v>-431.13000000000011</v>
      </c>
      <c r="U104" s="4">
        <f>IF(N104=0,0,O104/N104-1)</f>
        <v>-0.15546973040806622</v>
      </c>
      <c r="AB104" s="18">
        <v>33183.399999999994</v>
      </c>
      <c r="AC104" s="18">
        <v>26646.67</v>
      </c>
      <c r="AD104" s="4">
        <f>AC104/AB104-1</f>
        <v>-0.19698795180722883</v>
      </c>
    </row>
    <row r="105" spans="1:30" ht="15" customHeight="1">
      <c r="A105" t="s">
        <v>1115</v>
      </c>
      <c r="B105" t="s">
        <v>1116</v>
      </c>
      <c r="C105" s="19">
        <v>1385</v>
      </c>
      <c r="E105" t="s">
        <v>1116</v>
      </c>
      <c r="F105" s="19">
        <v>1052</v>
      </c>
      <c r="G105" t="b">
        <f>IF(B105=E105,TRUE,FALSE)</f>
        <v>1</v>
      </c>
      <c r="J105">
        <f>F105-C105</f>
        <v>-333</v>
      </c>
      <c r="K105" s="4">
        <f>F105/C105-1</f>
        <v>-0.24043321299638987</v>
      </c>
      <c r="L105" s="4"/>
      <c r="N105" s="5">
        <v>951.46</v>
      </c>
      <c r="O105" s="5">
        <v>1156.6099999999999</v>
      </c>
      <c r="Q105" s="5">
        <v>3633.92</v>
      </c>
      <c r="T105" s="133">
        <f>O105-N105</f>
        <v>205.14999999999986</v>
      </c>
      <c r="U105" s="4">
        <f>IF(N105=0,0,O105/N105-1)</f>
        <v>0.21561600067265041</v>
      </c>
      <c r="AB105" s="18">
        <v>27638</v>
      </c>
      <c r="AC105" s="18">
        <v>21029.48</v>
      </c>
      <c r="AD105" s="4">
        <f>AC105/AB105-1</f>
        <v>-0.23910992112309137</v>
      </c>
    </row>
    <row r="106" spans="1:30" ht="15" customHeight="1">
      <c r="A106" s="57" t="s">
        <v>1117</v>
      </c>
      <c r="B106" s="38" t="s">
        <v>1118</v>
      </c>
      <c r="C106">
        <v>2301</v>
      </c>
      <c r="E106" s="38" t="s">
        <v>1118</v>
      </c>
      <c r="F106">
        <v>1960</v>
      </c>
      <c r="G106" t="b">
        <f>IF(B106=E106,TRUE,FALSE)</f>
        <v>1</v>
      </c>
      <c r="J106">
        <f>F106-C106</f>
        <v>-341</v>
      </c>
      <c r="K106" s="4">
        <f>F106/C106-1</f>
        <v>-0.1481964363320295</v>
      </c>
      <c r="L106" s="4"/>
      <c r="N106" s="5">
        <v>4031.3</v>
      </c>
      <c r="O106" s="5">
        <v>4447.5</v>
      </c>
      <c r="Q106" s="5">
        <v>18927.62</v>
      </c>
      <c r="T106" s="133">
        <f>O106-N106</f>
        <v>416.19999999999982</v>
      </c>
      <c r="U106" s="4">
        <f>IF(N107=0,0,O106/N107-1)</f>
        <v>-0.2611132062619721</v>
      </c>
      <c r="AB106" s="18">
        <v>44173.01</v>
      </c>
      <c r="AC106" s="18">
        <v>43378.42</v>
      </c>
      <c r="AD106" s="4">
        <f>AC106/AB106-1</f>
        <v>-1.7988133477886192E-2</v>
      </c>
    </row>
    <row r="107" spans="1:30" ht="15" customHeight="1">
      <c r="A107" t="s">
        <v>1119</v>
      </c>
      <c r="B107" t="s">
        <v>1120</v>
      </c>
      <c r="C107" s="19">
        <v>3067</v>
      </c>
      <c r="E107" t="s">
        <v>1120</v>
      </c>
      <c r="F107" s="19">
        <v>2650</v>
      </c>
      <c r="G107" t="b">
        <f>IF(B107=E107,TRUE,FALSE)</f>
        <v>1</v>
      </c>
      <c r="J107">
        <f>F107-C107</f>
        <v>-417</v>
      </c>
      <c r="K107" s="4">
        <f>F107/C107-1</f>
        <v>-0.13596348223019239</v>
      </c>
      <c r="L107" s="4"/>
      <c r="N107" s="5">
        <v>6019.19</v>
      </c>
      <c r="O107" s="5">
        <v>1381.1</v>
      </c>
      <c r="Q107" s="5">
        <v>8113.95</v>
      </c>
      <c r="T107" s="133">
        <f>O107-N107</f>
        <v>-4638.09</v>
      </c>
      <c r="U107" s="4">
        <f>IF(N107=0,0,O107/N107-1)</f>
        <v>-0.77055052257861933</v>
      </c>
      <c r="AB107" s="18">
        <v>61186.65</v>
      </c>
      <c r="AC107" s="18">
        <v>52847.55</v>
      </c>
      <c r="AD107" s="4">
        <f>AC107/AB107-1</f>
        <v>-0.1362895337463319</v>
      </c>
    </row>
    <row r="108" spans="1:30" ht="15" customHeight="1">
      <c r="A108" t="s">
        <v>1121</v>
      </c>
      <c r="B108" t="s">
        <v>1122</v>
      </c>
      <c r="C108" s="19">
        <v>3105</v>
      </c>
      <c r="E108" t="s">
        <v>1122</v>
      </c>
      <c r="F108" s="19">
        <v>2686</v>
      </c>
      <c r="G108" t="b">
        <f>IF(B108=E108,TRUE,FALSE)</f>
        <v>1</v>
      </c>
      <c r="J108">
        <f>F108-C108</f>
        <v>-419</v>
      </c>
      <c r="K108" s="4">
        <f>F108/C108-1</f>
        <v>-0.13494363929146536</v>
      </c>
      <c r="L108" s="4"/>
      <c r="N108" s="5">
        <v>6616.91</v>
      </c>
      <c r="O108" s="5">
        <v>4673.9399999999996</v>
      </c>
      <c r="Q108" s="5">
        <v>33011.9</v>
      </c>
      <c r="T108" s="133">
        <f>O108-N108</f>
        <v>-1942.9700000000003</v>
      </c>
      <c r="U108" s="4">
        <f>IF(N108=0,0,O108/N108-1)</f>
        <v>-0.29363706019879376</v>
      </c>
      <c r="AB108" s="18">
        <v>107720.93</v>
      </c>
      <c r="AC108" s="18">
        <v>104727.14</v>
      </c>
      <c r="AD108" s="4">
        <f>AC108/AB108-1</f>
        <v>-2.7792092028912085E-2</v>
      </c>
    </row>
    <row r="109" spans="1:30" ht="15" customHeight="1">
      <c r="A109" t="s">
        <v>1123</v>
      </c>
      <c r="B109" t="s">
        <v>1124</v>
      </c>
      <c r="C109" s="19">
        <v>1057</v>
      </c>
      <c r="E109" t="s">
        <v>1124</v>
      </c>
      <c r="F109" s="19">
        <v>617</v>
      </c>
      <c r="G109" t="b">
        <f>IF(B109=E109,TRUE,FALSE)</f>
        <v>1</v>
      </c>
      <c r="J109">
        <f>F109-C109</f>
        <v>-440</v>
      </c>
      <c r="K109" s="4">
        <f>F109/C109-1</f>
        <v>-0.41627246925260175</v>
      </c>
      <c r="L109" s="4"/>
      <c r="N109" s="5">
        <v>1485.41</v>
      </c>
      <c r="O109" s="5">
        <v>419.61</v>
      </c>
      <c r="Q109" s="5">
        <v>2442.9699999999998</v>
      </c>
      <c r="T109" s="133">
        <f>O109-N109</f>
        <v>-1065.8000000000002</v>
      </c>
      <c r="U109" s="4">
        <f>IF(N109=0,0,O109/N109-1)</f>
        <v>-0.71751233666125858</v>
      </c>
      <c r="AB109" s="18">
        <v>20847.43</v>
      </c>
      <c r="AC109" s="18">
        <v>13031.83</v>
      </c>
      <c r="AD109" s="4">
        <f>AC109/AB109-1</f>
        <v>-0.37489513095858817</v>
      </c>
    </row>
    <row r="110" spans="1:30" ht="15" customHeight="1">
      <c r="A110" t="s">
        <v>1125</v>
      </c>
      <c r="B110" t="s">
        <v>1126</v>
      </c>
      <c r="C110" s="19">
        <v>4357</v>
      </c>
      <c r="E110" t="s">
        <v>1126</v>
      </c>
      <c r="F110" s="19">
        <v>3906</v>
      </c>
      <c r="G110" t="b">
        <f>IF(B110=E110,TRUE,FALSE)</f>
        <v>1</v>
      </c>
      <c r="J110">
        <f>F110-C110</f>
        <v>-451</v>
      </c>
      <c r="K110" s="4">
        <f>F110/C110-1</f>
        <v>-0.10351159054395231</v>
      </c>
      <c r="L110" s="4"/>
      <c r="N110" s="5">
        <v>6943.65</v>
      </c>
      <c r="O110" s="5">
        <v>4363.76</v>
      </c>
      <c r="Q110" s="5">
        <v>22130.77</v>
      </c>
      <c r="T110" s="133">
        <f>O110-N110</f>
        <v>-2579.8899999999994</v>
      </c>
      <c r="U110" s="4">
        <f>IF(N110=0,0,O110/N110-1)</f>
        <v>-0.37154666493846888</v>
      </c>
      <c r="AB110" s="18">
        <v>108831.45</v>
      </c>
      <c r="AC110" s="18">
        <v>97610.94</v>
      </c>
      <c r="AD110" s="4">
        <f>AC110/AB110-1</f>
        <v>-0.10309988518943736</v>
      </c>
    </row>
    <row r="111" spans="1:30" ht="15" customHeight="1">
      <c r="A111" t="s">
        <v>1127</v>
      </c>
      <c r="B111" t="s">
        <v>1128</v>
      </c>
      <c r="C111" s="19">
        <v>5100</v>
      </c>
      <c r="E111" t="s">
        <v>1128</v>
      </c>
      <c r="F111" s="19">
        <v>4639</v>
      </c>
      <c r="G111" t="b">
        <f>IF(B111=E111,TRUE,FALSE)</f>
        <v>1</v>
      </c>
      <c r="J111">
        <f>F111-C111</f>
        <v>-461</v>
      </c>
      <c r="K111" s="4">
        <f>F111/C111-1</f>
        <v>-9.0392156862745043E-2</v>
      </c>
      <c r="L111" s="4"/>
      <c r="N111" s="5">
        <v>8735.76</v>
      </c>
      <c r="O111" s="5">
        <v>4844.63</v>
      </c>
      <c r="Q111" s="5">
        <v>22624.86</v>
      </c>
      <c r="T111" s="133">
        <f>O111-N111</f>
        <v>-3891.13</v>
      </c>
      <c r="U111" s="4">
        <f>IF(N111=0,0,O111/N111-1)</f>
        <v>-0.44542546956418216</v>
      </c>
      <c r="Y111" t="s">
        <v>1129</v>
      </c>
      <c r="AB111" s="18">
        <v>96805.23</v>
      </c>
      <c r="AC111" s="18">
        <v>88090.75</v>
      </c>
      <c r="AD111" s="4">
        <f>AC111/AB111-1</f>
        <v>-9.002075610997462E-2</v>
      </c>
    </row>
    <row r="112" spans="1:30" ht="15" customHeight="1">
      <c r="A112" t="s">
        <v>1130</v>
      </c>
      <c r="B112" t="s">
        <v>1131</v>
      </c>
      <c r="C112" s="19">
        <v>2397</v>
      </c>
      <c r="E112" t="s">
        <v>1131</v>
      </c>
      <c r="F112" s="19">
        <v>1464</v>
      </c>
      <c r="G112" t="b">
        <f>IF(B112=E112,TRUE,FALSE)</f>
        <v>1</v>
      </c>
      <c r="J112">
        <f>F112-C112</f>
        <v>-933</v>
      </c>
      <c r="K112" s="4">
        <f>F112/C112-1</f>
        <v>-0.38923654568210264</v>
      </c>
      <c r="L112" s="4"/>
      <c r="N112" s="5">
        <v>3460.11</v>
      </c>
      <c r="O112" s="5">
        <v>2462.2800000000002</v>
      </c>
      <c r="Q112" s="5">
        <v>8402.73</v>
      </c>
      <c r="T112" s="133">
        <f>O112-N112</f>
        <v>-997.82999999999993</v>
      </c>
      <c r="U112" s="4">
        <f>IF(N112=0,0,O112/N112-1)</f>
        <v>-0.28838100522815746</v>
      </c>
      <c r="AB112" s="18">
        <v>39023.040000000001</v>
      </c>
      <c r="AC112" s="18">
        <v>24873.360000000001</v>
      </c>
      <c r="AD112" s="4">
        <f>AC112/AB112-1</f>
        <v>-0.36259809589411796</v>
      </c>
    </row>
    <row r="113" spans="1:30" ht="15" customHeight="1">
      <c r="A113" t="s">
        <v>1132</v>
      </c>
      <c r="B113" t="s">
        <v>1133</v>
      </c>
      <c r="C113" s="19">
        <v>6521</v>
      </c>
      <c r="E113" t="s">
        <v>1133</v>
      </c>
      <c r="F113" s="19">
        <v>5576</v>
      </c>
      <c r="G113" t="b">
        <f>IF(B113=E113,TRUE,FALSE)</f>
        <v>1</v>
      </c>
      <c r="J113">
        <f>F113-C113</f>
        <v>-945</v>
      </c>
      <c r="K113" s="4">
        <f>F113/C113-1</f>
        <v>-0.14491642386137094</v>
      </c>
      <c r="L113" s="4"/>
      <c r="N113" s="5">
        <v>6684.46</v>
      </c>
      <c r="O113" s="5">
        <v>3980.86</v>
      </c>
      <c r="Q113" s="5">
        <v>25630.13</v>
      </c>
      <c r="T113" s="133">
        <f>O113-N113</f>
        <v>-2703.6</v>
      </c>
      <c r="U113" s="4">
        <f>IF(N113=0,0,O113/N113-1)</f>
        <v>-0.40446049493900782</v>
      </c>
      <c r="AB113" s="18">
        <v>206015.39</v>
      </c>
      <c r="AC113" s="18">
        <v>187257.26</v>
      </c>
      <c r="AD113" s="4">
        <f>AC113/AB113-1</f>
        <v>-9.1052081109086136E-2</v>
      </c>
    </row>
    <row r="114" spans="1:30" ht="15" customHeight="1">
      <c r="A114" t="s">
        <v>1134</v>
      </c>
      <c r="B114" t="s">
        <v>1135</v>
      </c>
      <c r="C114" s="19">
        <v>7211</v>
      </c>
      <c r="E114" t="s">
        <v>1135</v>
      </c>
      <c r="F114" s="19">
        <v>6229</v>
      </c>
      <c r="G114" t="b">
        <f>IF(B114=E114,TRUE,FALSE)</f>
        <v>1</v>
      </c>
      <c r="J114">
        <f>F114-C114</f>
        <v>-982</v>
      </c>
      <c r="K114" s="4">
        <f>F114/C114-1</f>
        <v>-0.13618083483566767</v>
      </c>
      <c r="L114" s="4"/>
      <c r="N114" s="5">
        <v>8733.7199999999993</v>
      </c>
      <c r="O114" s="5">
        <v>6570.57</v>
      </c>
      <c r="Q114" s="5">
        <v>42903.99</v>
      </c>
      <c r="T114" s="133">
        <f>O114-N114</f>
        <v>-2163.1499999999996</v>
      </c>
      <c r="U114" s="4">
        <f>IF(N114=0,0,O114/N114-1)</f>
        <v>-0.24767796540305842</v>
      </c>
      <c r="X114" t="s">
        <v>1136</v>
      </c>
      <c r="AB114" s="18">
        <v>181193.88</v>
      </c>
      <c r="AC114" s="18">
        <v>167689.12</v>
      </c>
      <c r="AD114" s="4">
        <f>AC114/AB114-1</f>
        <v>-7.4532097883217685E-2</v>
      </c>
    </row>
    <row r="115" spans="1:30" ht="15" customHeight="1">
      <c r="A115" t="s">
        <v>1137</v>
      </c>
      <c r="B115" t="s">
        <v>1138</v>
      </c>
      <c r="C115" s="19">
        <v>3800</v>
      </c>
      <c r="E115" t="s">
        <v>1138</v>
      </c>
      <c r="F115" s="19">
        <v>2712</v>
      </c>
      <c r="G115" t="b">
        <f>IF(B115=E115,TRUE,FALSE)</f>
        <v>1</v>
      </c>
      <c r="J115">
        <f>F115-C115</f>
        <v>-1088</v>
      </c>
      <c r="K115" s="4">
        <f>F115/C115-1</f>
        <v>-0.28631578947368419</v>
      </c>
      <c r="L115" s="4"/>
      <c r="N115" s="5">
        <v>3006.53</v>
      </c>
      <c r="O115" s="5">
        <v>1262.6099999999999</v>
      </c>
      <c r="Q115" s="5">
        <v>5854.07</v>
      </c>
      <c r="T115" s="133">
        <f>O115-N115</f>
        <v>-1743.9200000000003</v>
      </c>
      <c r="U115" s="4">
        <f>IF(N115=0,0,O115/N115-1)</f>
        <v>-0.58004410400029283</v>
      </c>
      <c r="AB115" s="18">
        <v>65112.08</v>
      </c>
      <c r="AC115" s="18">
        <v>54028.66</v>
      </c>
      <c r="AD115" s="4">
        <f>AC115/AB115-1</f>
        <v>-0.17022064108534085</v>
      </c>
    </row>
    <row r="116" spans="1:30" ht="15" customHeight="1">
      <c r="A116" s="58"/>
      <c r="B116" s="38"/>
      <c r="E116" s="38"/>
      <c r="K116" s="4"/>
      <c r="L116" s="4"/>
      <c r="U116" s="4"/>
      <c r="AB116" s="18"/>
      <c r="AC116" s="18"/>
    </row>
    <row r="117" spans="1:30" ht="13.5" customHeight="1">
      <c r="C117" s="3" t="s">
        <v>578</v>
      </c>
      <c r="D117" s="3"/>
      <c r="E117" s="3"/>
      <c r="F117" s="3" t="s">
        <v>578</v>
      </c>
      <c r="G117" s="3"/>
      <c r="H117" s="3"/>
      <c r="I117" s="3"/>
      <c r="J117" s="3" t="s">
        <v>579</v>
      </c>
      <c r="K117" s="32"/>
      <c r="L117" s="32"/>
      <c r="M117" s="3"/>
      <c r="N117" s="34" t="s">
        <v>580</v>
      </c>
      <c r="O117" s="34" t="s">
        <v>580</v>
      </c>
      <c r="P117" s="3"/>
      <c r="Q117" s="34" t="s">
        <v>581</v>
      </c>
      <c r="R117" s="3"/>
      <c r="S117" s="3"/>
      <c r="T117" s="134" t="s">
        <v>582</v>
      </c>
      <c r="U117" s="32"/>
      <c r="V117" s="3"/>
      <c r="W117" s="3"/>
      <c r="X117" s="3"/>
      <c r="Y117" s="3"/>
      <c r="Z117" s="3"/>
      <c r="AA117" s="35"/>
      <c r="AB117" s="36" t="s">
        <v>3</v>
      </c>
      <c r="AC117" s="36" t="s">
        <v>3</v>
      </c>
    </row>
    <row r="118" spans="1:30">
      <c r="C118" s="19">
        <f>SUM(C3:C115)</f>
        <v>168751</v>
      </c>
      <c r="F118" s="19">
        <f>SUM(F3:F115)</f>
        <v>167429</v>
      </c>
      <c r="J118">
        <f>SUM(J3:J114)</f>
        <v>-234</v>
      </c>
      <c r="K118" s="4"/>
      <c r="L118" s="4"/>
      <c r="N118" s="5">
        <f>SUM(N3:N114)</f>
        <v>223064.82999999987</v>
      </c>
      <c r="O118" s="5">
        <f>SUM(O3:O114)</f>
        <v>181371.78999999998</v>
      </c>
      <c r="Q118" s="5">
        <f>SUM(Q3:Q115)</f>
        <v>969742.2200000002</v>
      </c>
      <c r="T118" s="133">
        <f>O118-N118</f>
        <v>-41693.039999999892</v>
      </c>
      <c r="U118" s="4">
        <f>IF(N118=0,0,O118/N118-1)</f>
        <v>-0.18690996693651762</v>
      </c>
      <c r="X118" s="5"/>
      <c r="Y118" s="5"/>
      <c r="Z118" s="5"/>
      <c r="AA118" s="17"/>
      <c r="AB118" s="18">
        <f>SUM(AB3:AB114)</f>
        <v>3609434.8200000012</v>
      </c>
      <c r="AC118" s="18">
        <f>SUM(AC3:AC115)</f>
        <v>3639874.1099999994</v>
      </c>
      <c r="AD118" s="4">
        <f>AC118/AB118-1</f>
        <v>8.4332565950029359E-3</v>
      </c>
    </row>
    <row r="119" spans="1:30">
      <c r="K119" s="4"/>
      <c r="L119" s="4"/>
      <c r="U119" s="4"/>
      <c r="X119" s="5"/>
      <c r="Y119" s="5"/>
      <c r="Z119" s="5"/>
      <c r="AA119" s="17"/>
    </row>
    <row r="120" spans="1:30">
      <c r="C120" s="4"/>
      <c r="F120" s="19">
        <f>F118-C118</f>
        <v>-1322</v>
      </c>
      <c r="K120" s="4"/>
      <c r="L120" s="4"/>
      <c r="N120" s="4"/>
      <c r="O120" s="32" t="s">
        <v>583</v>
      </c>
      <c r="Q120" s="27">
        <f>O118/Q118</f>
        <v>0.18703093075601054</v>
      </c>
      <c r="U120" s="4"/>
      <c r="AB120" s="3" t="s">
        <v>584</v>
      </c>
      <c r="AC120" s="3" t="s">
        <v>584</v>
      </c>
    </row>
    <row r="121" spans="1:30">
      <c r="F121" s="4">
        <f>F118/C118-1</f>
        <v>-7.8340276502064654E-3</v>
      </c>
      <c r="K121" s="4"/>
      <c r="L121" s="4"/>
      <c r="Q121" s="13"/>
      <c r="U121" s="4"/>
      <c r="AB121" s="33">
        <f>N118/AB118</f>
        <v>6.1800487091217174E-2</v>
      </c>
      <c r="AC121" s="33">
        <f>O118/AC118</f>
        <v>4.9829138184122532E-2</v>
      </c>
    </row>
    <row r="122" spans="1:30">
      <c r="K122" s="4"/>
      <c r="L122" s="4"/>
      <c r="U122" s="4"/>
    </row>
    <row r="123" spans="1:30">
      <c r="K123" s="4"/>
      <c r="L123" s="4"/>
      <c r="U123" s="4"/>
    </row>
    <row r="124" spans="1:30">
      <c r="K124" s="4"/>
      <c r="L124" s="4"/>
      <c r="U124" s="4"/>
    </row>
    <row r="125" spans="1:30">
      <c r="K125" s="4"/>
      <c r="L125" s="4"/>
      <c r="U125" s="4"/>
    </row>
    <row r="126" spans="1:30">
      <c r="U126" s="4"/>
    </row>
    <row r="127" spans="1:30">
      <c r="K127" s="4"/>
      <c r="L127" s="4"/>
      <c r="U127" s="4"/>
    </row>
    <row r="128" spans="1:30">
      <c r="K128" s="4"/>
      <c r="L128" s="4"/>
      <c r="U128" s="4"/>
    </row>
    <row r="129" spans="11:21">
      <c r="K129" s="4"/>
      <c r="L129" s="4"/>
      <c r="U129" s="4"/>
    </row>
    <row r="130" spans="11:21">
      <c r="K130" s="4"/>
      <c r="L130" s="4"/>
      <c r="U130" s="4"/>
    </row>
    <row r="131" spans="11:21">
      <c r="K131" s="4"/>
      <c r="L131" s="4"/>
      <c r="U131" s="4"/>
    </row>
    <row r="132" spans="11:21">
      <c r="K132" s="4"/>
      <c r="L132" s="4"/>
      <c r="U132" s="4"/>
    </row>
    <row r="133" spans="11:21">
      <c r="K133" s="4"/>
      <c r="L133" s="4"/>
      <c r="U133" s="4"/>
    </row>
    <row r="134" spans="11:21">
      <c r="K134" s="4"/>
      <c r="L134" s="4"/>
      <c r="U134" s="4"/>
    </row>
    <row r="135" spans="11:21">
      <c r="K135" s="4"/>
      <c r="L135" s="4"/>
      <c r="U135" s="4"/>
    </row>
    <row r="136" spans="11:21">
      <c r="K136" s="4"/>
      <c r="L136" s="4"/>
      <c r="U136" s="4"/>
    </row>
    <row r="137" spans="11:21">
      <c r="K137" s="4"/>
      <c r="L137" s="4"/>
      <c r="U137" s="4"/>
    </row>
    <row r="138" spans="11:21">
      <c r="K138" s="4"/>
      <c r="L138" s="4"/>
      <c r="U138" s="4"/>
    </row>
    <row r="139" spans="11:21">
      <c r="K139" s="4"/>
      <c r="L139" s="4"/>
      <c r="U139" s="4"/>
    </row>
    <row r="140" spans="11:21">
      <c r="K140" s="4"/>
      <c r="L140" s="4"/>
      <c r="U140" s="4"/>
    </row>
    <row r="141" spans="11:21">
      <c r="K141" s="4"/>
      <c r="L141" s="4"/>
      <c r="U141" s="4"/>
    </row>
    <row r="142" spans="11:21">
      <c r="K142" s="4"/>
      <c r="L142" s="4"/>
      <c r="U142" s="4"/>
    </row>
    <row r="143" spans="11:21">
      <c r="K143" s="4"/>
      <c r="L143" s="4"/>
      <c r="U143" s="4"/>
    </row>
    <row r="144" spans="11:21">
      <c r="K144" s="4"/>
      <c r="L144" s="4"/>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6"/>
      <c r="L167" s="6"/>
      <c r="N167" s="11"/>
      <c r="O167" s="11"/>
      <c r="T167" s="138"/>
      <c r="U167" s="6"/>
    </row>
    <row r="168" spans="11:21" ht="15" customHeight="1">
      <c r="K168" s="6"/>
      <c r="L168" s="6"/>
      <c r="N168" s="11"/>
      <c r="O168" s="11"/>
      <c r="T168" s="138"/>
      <c r="U168" s="6"/>
    </row>
    <row r="169" spans="11:21" ht="15" customHeight="1">
      <c r="K169" s="6"/>
      <c r="L169" s="6"/>
      <c r="N169" s="11"/>
      <c r="O169" s="11"/>
      <c r="T169" s="138"/>
      <c r="U169" s="6"/>
    </row>
    <row r="170" spans="11:21" ht="15" customHeight="1">
      <c r="K170" s="6"/>
      <c r="L170" s="6"/>
      <c r="N170" s="11"/>
      <c r="O170" s="11"/>
      <c r="T170" s="138"/>
      <c r="U170" s="6"/>
    </row>
    <row r="171" spans="11:21" ht="15" customHeight="1">
      <c r="K171" s="6"/>
      <c r="N171" s="11"/>
      <c r="O171" s="11"/>
      <c r="T171" s="138"/>
      <c r="U171" s="6"/>
    </row>
    <row r="172" spans="11:21" ht="15" customHeight="1">
      <c r="K172" s="6"/>
      <c r="L172" s="6"/>
      <c r="N172" s="11"/>
      <c r="O172" s="11"/>
      <c r="T172" s="138"/>
      <c r="U172" s="6"/>
    </row>
    <row r="173" spans="11:21" ht="15" customHeight="1">
      <c r="K173" s="6"/>
      <c r="L173" s="6"/>
      <c r="N173" s="11"/>
      <c r="O173" s="11"/>
      <c r="T173" s="138"/>
      <c r="U173" s="6"/>
    </row>
    <row r="174" spans="11:21" ht="15" customHeight="1">
      <c r="K174" s="6"/>
      <c r="L174" s="6"/>
      <c r="N174" s="11"/>
      <c r="O174" s="11"/>
      <c r="T174" s="138"/>
      <c r="U174" s="6"/>
    </row>
    <row r="175" spans="11:21" ht="15" customHeight="1">
      <c r="K175" s="6"/>
      <c r="L175" s="6"/>
      <c r="N175" s="11"/>
      <c r="O175" s="11"/>
      <c r="T175" s="138"/>
      <c r="U175" s="6"/>
    </row>
    <row r="176" spans="11:21">
      <c r="N176" s="11"/>
      <c r="O176" s="11"/>
      <c r="T176" s="138"/>
    </row>
    <row r="177" spans="3:20" ht="15" customHeight="1">
      <c r="C177" s="8"/>
      <c r="F177" s="8"/>
      <c r="J177" s="8"/>
      <c r="N177" s="11"/>
      <c r="O177" s="11"/>
      <c r="T177" s="138"/>
    </row>
    <row r="178" spans="3:20">
      <c r="N178" s="11"/>
      <c r="O178" s="11"/>
      <c r="T178" s="138"/>
    </row>
    <row r="179" spans="3:20" ht="15" customHeight="1">
      <c r="N179" s="11"/>
      <c r="O179" s="11"/>
      <c r="T179" s="138"/>
    </row>
    <row r="180" spans="3:20" ht="15" customHeight="1">
      <c r="C180" s="9"/>
      <c r="F180" s="9"/>
    </row>
    <row r="182" spans="3:20" ht="15" customHeight="1">
      <c r="C182" s="8"/>
      <c r="F182" s="8"/>
    </row>
    <row r="185" spans="3:20" ht="15" customHeight="1">
      <c r="C185" s="9"/>
      <c r="F185" s="9"/>
    </row>
  </sheetData>
  <autoFilter ref="A2:AD108" xr:uid="{A0872D2E-CA91-4628-AF55-6EA17D54F5B9}">
    <sortState xmlns:xlrd2="http://schemas.microsoft.com/office/spreadsheetml/2017/richdata2" ref="A3:AD115">
      <sortCondition descending="1" ref="J2:J108"/>
    </sortState>
  </autoFilter>
  <sortState xmlns:xlrd2="http://schemas.microsoft.com/office/spreadsheetml/2017/richdata2" ref="J3:K99">
    <sortCondition ref="J99"/>
  </sortState>
  <mergeCells count="7">
    <mergeCell ref="AB1:AC1"/>
    <mergeCell ref="X1:AA1"/>
    <mergeCell ref="B1:C1"/>
    <mergeCell ref="E1:F1"/>
    <mergeCell ref="J1:K1"/>
    <mergeCell ref="N1:O1"/>
    <mergeCell ref="T1:U1"/>
  </mergeCells>
  <phoneticPr fontId="3" type="noConversion"/>
  <conditionalFormatting sqref="D85 H85:I85 L85:M85 P85 R85:S85">
    <cfRule type="cellIs" dxfId="14" priority="17" operator="greaterThan">
      <formula>500</formula>
    </cfRule>
    <cfRule type="cellIs" dxfId="13" priority="18" operator="lessThan">
      <formula>-100</formula>
    </cfRule>
  </conditionalFormatting>
  <conditionalFormatting sqref="J2:J117 J119:J125 J127:J176">
    <cfRule type="cellIs" dxfId="12" priority="7" operator="greaterThan">
      <formula>500</formula>
    </cfRule>
  </conditionalFormatting>
  <conditionalFormatting sqref="J3:J117 J119:J125 J127:J175">
    <cfRule type="cellIs" dxfId="11" priority="11" operator="lessThan">
      <formula>-100</formula>
    </cfRule>
  </conditionalFormatting>
  <conditionalFormatting sqref="J178:J1048576">
    <cfRule type="cellIs" dxfId="10" priority="30" operator="greaterThan">
      <formula>500</formula>
    </cfRule>
  </conditionalFormatting>
  <conditionalFormatting sqref="K2">
    <cfRule type="cellIs" dxfId="9" priority="31" operator="lessThan">
      <formula>-20%</formula>
    </cfRule>
  </conditionalFormatting>
  <conditionalFormatting sqref="K3:K125 K127:K1048576">
    <cfRule type="cellIs" dxfId="8" priority="14" operator="lessThan">
      <formula>-0.2</formula>
    </cfRule>
  </conditionalFormatting>
  <conditionalFormatting sqref="K3:L3 L4:L73 K4:K125 L75:L84 L86:L125 L127:L171 K127:K175">
    <cfRule type="cellIs" dxfId="7" priority="35" operator="greaterThan">
      <formula>0.2</formula>
    </cfRule>
  </conditionalFormatting>
  <conditionalFormatting sqref="U3:U175">
    <cfRule type="cellIs" dxfId="6" priority="33" operator="greaterThan">
      <formula>0.5</formula>
    </cfRule>
  </conditionalFormatting>
  <conditionalFormatting sqref="AD3:AD115">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18">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C54"/>
  <sheetViews>
    <sheetView topLeftCell="Q22" zoomScale="85" zoomScaleNormal="85" workbookViewId="0">
      <selection activeCell="Z1" sqref="Z1:AC41"/>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14" width="15" customWidth="1"/>
    <col min="15" max="25" width="15.28515625" customWidth="1"/>
    <col min="26" max="26" width="15.85546875" customWidth="1"/>
    <col min="27" max="28" width="16.42578125" customWidth="1"/>
    <col min="29" max="29" width="14.28515625" customWidth="1"/>
  </cols>
  <sheetData>
    <row r="1" spans="1:29" ht="15.75" thickBot="1">
      <c r="A1" s="37" t="s">
        <v>1139</v>
      </c>
      <c r="B1" s="59" t="s">
        <v>1140</v>
      </c>
      <c r="C1" s="59" t="s">
        <v>1141</v>
      </c>
      <c r="D1" s="59" t="s">
        <v>1142</v>
      </c>
      <c r="E1" s="59" t="s">
        <v>1143</v>
      </c>
      <c r="F1" s="59" t="s">
        <v>1144</v>
      </c>
      <c r="G1" s="59" t="s">
        <v>1145</v>
      </c>
      <c r="H1" s="59" t="s">
        <v>1146</v>
      </c>
      <c r="I1" s="59" t="s">
        <v>1147</v>
      </c>
      <c r="J1" s="59" t="s">
        <v>1148</v>
      </c>
      <c r="K1" s="59" t="s">
        <v>1149</v>
      </c>
      <c r="L1" s="59" t="s">
        <v>1150</v>
      </c>
      <c r="M1" s="59" t="s">
        <v>1151</v>
      </c>
      <c r="N1" s="59" t="s">
        <v>1152</v>
      </c>
      <c r="O1" s="59" t="s">
        <v>1153</v>
      </c>
      <c r="P1" s="59" t="s">
        <v>1154</v>
      </c>
      <c r="Q1" s="59" t="s">
        <v>1155</v>
      </c>
      <c r="R1" s="59" t="s">
        <v>1156</v>
      </c>
      <c r="S1" s="59" t="s">
        <v>1157</v>
      </c>
      <c r="T1" s="59" t="s">
        <v>1158</v>
      </c>
      <c r="U1" s="59" t="s">
        <v>1159</v>
      </c>
      <c r="V1" s="59" t="s">
        <v>1160</v>
      </c>
      <c r="W1" s="59" t="s">
        <v>1161</v>
      </c>
      <c r="X1" s="59" t="s">
        <v>1162</v>
      </c>
      <c r="Y1" s="60" t="s">
        <v>1163</v>
      </c>
      <c r="Z1" s="60" t="s">
        <v>1164</v>
      </c>
      <c r="AA1" s="60" t="s">
        <v>1165</v>
      </c>
      <c r="AB1" s="60" t="s">
        <v>1166</v>
      </c>
      <c r="AC1" s="60" t="s">
        <v>1167</v>
      </c>
    </row>
    <row r="2" spans="1:29">
      <c r="A2" s="61" t="s">
        <v>1168</v>
      </c>
      <c r="B2" s="62">
        <v>4932070</v>
      </c>
      <c r="C2" s="62">
        <v>4882291</v>
      </c>
      <c r="D2" s="62">
        <v>5747107</v>
      </c>
      <c r="E2" s="62">
        <v>5558578</v>
      </c>
      <c r="F2" s="62">
        <v>5608447</v>
      </c>
      <c r="G2" s="62">
        <v>5365821</v>
      </c>
      <c r="H2" s="62">
        <v>6175048</v>
      </c>
      <c r="I2" s="62">
        <v>6208913</v>
      </c>
      <c r="J2" s="62">
        <v>6107157</v>
      </c>
      <c r="K2" s="62">
        <v>6062880</v>
      </c>
      <c r="L2" s="62">
        <v>6409021</v>
      </c>
      <c r="M2" s="62">
        <v>5849059</v>
      </c>
      <c r="N2" s="97">
        <v>7678962</v>
      </c>
      <c r="O2" s="62">
        <v>8708296</v>
      </c>
      <c r="P2" s="62">
        <v>10429669.960000001</v>
      </c>
      <c r="Q2" s="62">
        <v>12527965</v>
      </c>
      <c r="R2" s="62">
        <v>12400737</v>
      </c>
      <c r="S2" s="62">
        <v>12318165</v>
      </c>
      <c r="T2" s="62">
        <v>13296822</v>
      </c>
      <c r="U2" s="62">
        <v>12427810.4</v>
      </c>
      <c r="V2" s="62">
        <v>12425462.310000001</v>
      </c>
      <c r="W2" s="62">
        <v>13116754.92</v>
      </c>
      <c r="X2" s="62">
        <v>13168808.529999999</v>
      </c>
      <c r="Y2" s="62">
        <v>13467008.08</v>
      </c>
      <c r="Z2" s="62">
        <v>16902826.940000001</v>
      </c>
      <c r="AA2" s="62">
        <v>17685415.640000001</v>
      </c>
      <c r="AB2" s="62">
        <v>17844095.539999999</v>
      </c>
      <c r="AC2" s="126">
        <v>19936197.390000001</v>
      </c>
    </row>
    <row r="3" spans="1:29">
      <c r="A3" s="64" t="s">
        <v>1169</v>
      </c>
      <c r="B3" s="65">
        <v>2297147</v>
      </c>
      <c r="C3" s="65">
        <v>2150420</v>
      </c>
      <c r="D3" s="65">
        <v>2629984</v>
      </c>
      <c r="E3" s="65">
        <v>2521569</v>
      </c>
      <c r="F3" s="65">
        <v>2259914</v>
      </c>
      <c r="G3" s="65">
        <v>2519256</v>
      </c>
      <c r="H3" s="65">
        <v>2827089</v>
      </c>
      <c r="I3" s="65">
        <v>2875100</v>
      </c>
      <c r="J3" s="65">
        <v>3207713</v>
      </c>
      <c r="K3" s="65">
        <v>2859584</v>
      </c>
      <c r="L3" s="65">
        <v>3081446</v>
      </c>
      <c r="M3" s="65">
        <v>3056146</v>
      </c>
      <c r="N3" s="98">
        <v>3844080</v>
      </c>
      <c r="O3" s="65">
        <v>3634529</v>
      </c>
      <c r="P3" s="65">
        <v>3706201</v>
      </c>
      <c r="Q3" s="65">
        <v>3814600</v>
      </c>
      <c r="R3" s="65">
        <v>3900991</v>
      </c>
      <c r="S3" s="65">
        <v>3690019</v>
      </c>
      <c r="T3" s="65">
        <v>3951398</v>
      </c>
      <c r="U3" s="65">
        <v>3583522.44</v>
      </c>
      <c r="V3" s="65">
        <v>3864300.73</v>
      </c>
      <c r="W3" s="65">
        <v>4230378.59</v>
      </c>
      <c r="X3" s="65">
        <v>4478555.7300000004</v>
      </c>
      <c r="Y3" s="65">
        <v>4536415</v>
      </c>
      <c r="Z3" s="65">
        <v>5536315.4100000001</v>
      </c>
      <c r="AA3" s="65">
        <v>5487073.7100000009</v>
      </c>
      <c r="AB3" s="65">
        <v>5227360</v>
      </c>
      <c r="AC3" s="130">
        <v>5178806.76</v>
      </c>
    </row>
    <row r="4" spans="1:29">
      <c r="A4" s="66" t="s">
        <v>1170</v>
      </c>
      <c r="B4" s="67">
        <v>1279804</v>
      </c>
      <c r="C4" s="67">
        <v>1268372</v>
      </c>
      <c r="D4" s="67">
        <v>1573830</v>
      </c>
      <c r="E4" s="67">
        <v>1506528</v>
      </c>
      <c r="F4" s="67">
        <v>1655029</v>
      </c>
      <c r="G4" s="67">
        <v>1700272</v>
      </c>
      <c r="H4" s="67">
        <v>2169477</v>
      </c>
      <c r="I4" s="67">
        <v>2248226</v>
      </c>
      <c r="J4" s="67">
        <v>2556442</v>
      </c>
      <c r="K4" s="67">
        <v>2514905</v>
      </c>
      <c r="L4" s="67">
        <v>2557339</v>
      </c>
      <c r="M4" s="67">
        <v>2415591</v>
      </c>
      <c r="N4" s="99">
        <v>2984457</v>
      </c>
      <c r="O4" s="67">
        <v>2977315</v>
      </c>
      <c r="P4" s="67">
        <v>3001644</v>
      </c>
      <c r="Q4" s="67">
        <v>3078498</v>
      </c>
      <c r="R4" s="67">
        <v>3417854</v>
      </c>
      <c r="S4" s="67">
        <v>2883462</v>
      </c>
      <c r="T4" s="67">
        <v>2983823.16</v>
      </c>
      <c r="U4" s="67">
        <v>2907226.21</v>
      </c>
      <c r="V4" s="67">
        <v>3099136.78</v>
      </c>
      <c r="W4" s="67">
        <v>3166072.06</v>
      </c>
      <c r="X4" s="67">
        <v>3138932.53</v>
      </c>
      <c r="Y4" s="67">
        <v>2941749.11</v>
      </c>
      <c r="Z4" s="67">
        <v>3609131</v>
      </c>
      <c r="AA4" s="67">
        <v>3670417.9999999991</v>
      </c>
      <c r="AB4" s="67">
        <v>3674547</v>
      </c>
      <c r="AC4" s="131">
        <v>3639874.11</v>
      </c>
    </row>
    <row r="5" spans="1:29" ht="15.75" thickBot="1">
      <c r="A5" s="68" t="s">
        <v>1171</v>
      </c>
      <c r="B5" s="69">
        <v>8509021</v>
      </c>
      <c r="C5" s="69">
        <v>8301083</v>
      </c>
      <c r="D5" s="69">
        <v>9950921</v>
      </c>
      <c r="E5" s="69">
        <v>9586675</v>
      </c>
      <c r="F5" s="69">
        <v>9523390</v>
      </c>
      <c r="G5" s="69">
        <v>9585349</v>
      </c>
      <c r="H5" s="69">
        <v>11171614</v>
      </c>
      <c r="I5" s="69">
        <v>11332239</v>
      </c>
      <c r="J5" s="69">
        <v>11871312</v>
      </c>
      <c r="K5" s="69">
        <v>11437369</v>
      </c>
      <c r="L5" s="69">
        <v>12047806</v>
      </c>
      <c r="M5" s="69">
        <v>11320796</v>
      </c>
      <c r="N5" s="100">
        <v>14507499</v>
      </c>
      <c r="O5" s="69">
        <v>15320140</v>
      </c>
      <c r="P5" s="69">
        <v>17137514.960000001</v>
      </c>
      <c r="Q5" s="69">
        <v>19421063</v>
      </c>
      <c r="R5" s="69">
        <v>19719582</v>
      </c>
      <c r="S5" s="69">
        <v>18891646</v>
      </c>
      <c r="T5" s="69">
        <v>20232043.16</v>
      </c>
      <c r="U5" s="69">
        <v>18918559.050000001</v>
      </c>
      <c r="V5" s="69">
        <v>19388899.82</v>
      </c>
      <c r="W5" s="69">
        <v>20513205.57</v>
      </c>
      <c r="X5" s="69">
        <v>20786296.789999999</v>
      </c>
      <c r="Y5" s="69">
        <f>SUM(Y2:Y4)</f>
        <v>20945172.189999998</v>
      </c>
      <c r="Z5" s="69">
        <f>SUM(Z2:Z4)</f>
        <v>26048273.350000001</v>
      </c>
      <c r="AA5" s="69">
        <f>SUM(AA2:AA4)</f>
        <v>26842907.350000001</v>
      </c>
      <c r="AB5" s="69">
        <f>SUM(AB2:AB4)</f>
        <v>26746002.539999999</v>
      </c>
      <c r="AC5" s="132">
        <f>SUM(AC2:AC4)</f>
        <v>28754878.259999998</v>
      </c>
    </row>
    <row r="6" spans="1:29">
      <c r="A6" s="70"/>
      <c r="B6" s="70"/>
      <c r="C6" s="70"/>
      <c r="D6" s="70"/>
      <c r="E6" s="70"/>
      <c r="F6" s="70"/>
      <c r="G6" s="70"/>
      <c r="H6" s="70"/>
      <c r="I6" s="70"/>
      <c r="J6" s="70"/>
      <c r="K6" s="70"/>
      <c r="L6" s="70"/>
      <c r="M6" s="70"/>
      <c r="N6" s="70"/>
      <c r="O6" s="70"/>
      <c r="P6" s="70"/>
      <c r="Q6" s="70"/>
      <c r="R6" s="70"/>
      <c r="S6" s="70"/>
      <c r="T6" s="70"/>
      <c r="U6" s="63"/>
      <c r="V6" s="63"/>
      <c r="W6" s="63"/>
      <c r="X6" s="63"/>
      <c r="Y6" s="63"/>
      <c r="Z6" s="63"/>
      <c r="AA6" s="63"/>
      <c r="AB6" s="63"/>
      <c r="AC6" s="63"/>
    </row>
    <row r="7" spans="1:29" ht="15.75" thickBo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row>
    <row r="8" spans="1:29" ht="15.75" thickBot="1">
      <c r="A8" s="37" t="s">
        <v>1172</v>
      </c>
      <c r="B8" s="59" t="s">
        <v>1140</v>
      </c>
      <c r="C8" s="59" t="s">
        <v>1141</v>
      </c>
      <c r="D8" s="59" t="s">
        <v>1142</v>
      </c>
      <c r="E8" s="59" t="s">
        <v>1143</v>
      </c>
      <c r="F8" s="59" t="s">
        <v>1144</v>
      </c>
      <c r="G8" s="59" t="s">
        <v>1145</v>
      </c>
      <c r="H8" s="59" t="s">
        <v>1146</v>
      </c>
      <c r="I8" s="59" t="s">
        <v>1147</v>
      </c>
      <c r="J8" s="59" t="s">
        <v>1148</v>
      </c>
      <c r="K8" s="59" t="s">
        <v>1149</v>
      </c>
      <c r="L8" s="59" t="s">
        <v>1150</v>
      </c>
      <c r="M8" s="59" t="s">
        <v>1151</v>
      </c>
      <c r="N8" s="59" t="s">
        <v>1152</v>
      </c>
      <c r="O8" s="59" t="s">
        <v>1153</v>
      </c>
      <c r="P8" s="59" t="s">
        <v>1154</v>
      </c>
      <c r="Q8" s="59" t="s">
        <v>1155</v>
      </c>
      <c r="R8" s="59" t="s">
        <v>1156</v>
      </c>
      <c r="S8" s="59" t="s">
        <v>1157</v>
      </c>
      <c r="T8" s="59" t="s">
        <v>1158</v>
      </c>
      <c r="U8" s="59" t="s">
        <v>1159</v>
      </c>
      <c r="V8" s="59" t="s">
        <v>1160</v>
      </c>
      <c r="W8" s="59" t="s">
        <v>1161</v>
      </c>
      <c r="X8" s="59" t="s">
        <v>1162</v>
      </c>
      <c r="Y8" s="60" t="s">
        <v>1163</v>
      </c>
      <c r="Z8" s="60" t="s">
        <v>1164</v>
      </c>
      <c r="AA8" s="60" t="s">
        <v>1165</v>
      </c>
      <c r="AB8" s="60" t="s">
        <v>1166</v>
      </c>
      <c r="AC8" s="60" t="s">
        <v>1167</v>
      </c>
    </row>
    <row r="9" spans="1:29">
      <c r="A9" s="61" t="s">
        <v>1168</v>
      </c>
      <c r="B9" s="71"/>
      <c r="C9" s="71"/>
      <c r="D9" s="71"/>
      <c r="E9" s="71"/>
      <c r="F9" s="71"/>
      <c r="G9" s="71"/>
      <c r="H9" s="71"/>
      <c r="I9" s="62">
        <v>1904424</v>
      </c>
      <c r="J9" s="62">
        <v>1695098</v>
      </c>
      <c r="K9" s="62">
        <v>1666813</v>
      </c>
      <c r="L9" s="62">
        <v>1750099</v>
      </c>
      <c r="M9" s="62">
        <v>1643527</v>
      </c>
      <c r="N9" s="97">
        <v>2406151</v>
      </c>
      <c r="O9" s="62">
        <v>2919412.87</v>
      </c>
      <c r="P9" s="62">
        <v>3048758.81</v>
      </c>
      <c r="Q9" s="62">
        <v>3106780.26</v>
      </c>
      <c r="R9" s="62">
        <v>2784737.18</v>
      </c>
      <c r="S9" s="62">
        <v>3492681.52</v>
      </c>
      <c r="T9" s="62">
        <v>4066064.7</v>
      </c>
      <c r="U9" s="62">
        <v>3748577.68</v>
      </c>
      <c r="V9" s="62">
        <v>3443396.96</v>
      </c>
      <c r="W9" s="62">
        <v>3525797.52</v>
      </c>
      <c r="X9" s="62">
        <v>3658847.17</v>
      </c>
      <c r="Y9" s="62">
        <v>3834500.07</v>
      </c>
      <c r="Z9" s="62">
        <v>5020104.29</v>
      </c>
      <c r="AA9" s="62">
        <v>5590028.4100000001</v>
      </c>
      <c r="AB9" s="62">
        <v>5666226.75</v>
      </c>
      <c r="AC9" s="125">
        <v>5447442.3499999996</v>
      </c>
    </row>
    <row r="10" spans="1:29">
      <c r="A10" s="64" t="s">
        <v>1169</v>
      </c>
      <c r="B10" s="72"/>
      <c r="C10" s="72"/>
      <c r="D10" s="72"/>
      <c r="E10" s="72"/>
      <c r="F10" s="72"/>
      <c r="G10" s="72"/>
      <c r="H10" s="72"/>
      <c r="I10" s="65">
        <v>706024</v>
      </c>
      <c r="J10" s="65">
        <v>780336</v>
      </c>
      <c r="K10" s="65">
        <v>681505.29</v>
      </c>
      <c r="L10" s="65">
        <v>757472</v>
      </c>
      <c r="M10" s="65">
        <v>689408</v>
      </c>
      <c r="N10" s="98">
        <v>1042938</v>
      </c>
      <c r="O10" s="65">
        <v>993958</v>
      </c>
      <c r="P10" s="65">
        <v>1014061</v>
      </c>
      <c r="Q10" s="65">
        <v>988563</v>
      </c>
      <c r="R10" s="65">
        <v>976671</v>
      </c>
      <c r="S10" s="65">
        <v>810220</v>
      </c>
      <c r="T10" s="65">
        <v>880304</v>
      </c>
      <c r="U10" s="65">
        <v>819190</v>
      </c>
      <c r="V10" s="65">
        <v>844494</v>
      </c>
      <c r="W10" s="65">
        <v>986509</v>
      </c>
      <c r="X10" s="65">
        <v>1077277</v>
      </c>
      <c r="Y10" s="65">
        <v>1149351</v>
      </c>
      <c r="Z10" s="65">
        <v>1516609</v>
      </c>
      <c r="AA10" s="65">
        <v>1641173.6800000006</v>
      </c>
      <c r="AB10" s="65">
        <v>1512470</v>
      </c>
      <c r="AC10" s="127">
        <v>1319420</v>
      </c>
    </row>
    <row r="11" spans="1:29">
      <c r="A11" s="66" t="s">
        <v>1170</v>
      </c>
      <c r="B11" s="73"/>
      <c r="C11" s="73"/>
      <c r="D11" s="73"/>
      <c r="E11" s="73"/>
      <c r="F11" s="73"/>
      <c r="G11" s="73"/>
      <c r="H11" s="73"/>
      <c r="I11" s="67">
        <v>601219</v>
      </c>
      <c r="J11" s="67">
        <v>693403</v>
      </c>
      <c r="K11" s="67">
        <v>656364.23</v>
      </c>
      <c r="L11" s="67">
        <v>695530</v>
      </c>
      <c r="M11" s="67">
        <v>708403</v>
      </c>
      <c r="N11" s="99">
        <v>973949</v>
      </c>
      <c r="O11" s="67">
        <v>951983</v>
      </c>
      <c r="P11" s="67">
        <v>931209</v>
      </c>
      <c r="Q11" s="67">
        <v>895312</v>
      </c>
      <c r="R11" s="67">
        <v>1019778</v>
      </c>
      <c r="S11" s="67">
        <v>790104</v>
      </c>
      <c r="T11" s="67">
        <v>808969</v>
      </c>
      <c r="U11" s="67">
        <v>809964</v>
      </c>
      <c r="V11" s="67">
        <v>874705</v>
      </c>
      <c r="W11" s="67">
        <v>857979</v>
      </c>
      <c r="X11" s="67">
        <v>789235</v>
      </c>
      <c r="Y11" s="67">
        <v>795115</v>
      </c>
      <c r="Z11" s="67">
        <v>1098357</v>
      </c>
      <c r="AA11" s="67">
        <v>1160975.4900000002</v>
      </c>
      <c r="AB11" s="67">
        <v>1171911</v>
      </c>
      <c r="AC11" s="128">
        <v>969742</v>
      </c>
    </row>
    <row r="12" spans="1:29" ht="15.75" thickBot="1">
      <c r="A12" s="68" t="s">
        <v>1171</v>
      </c>
      <c r="B12" s="74"/>
      <c r="C12" s="74"/>
      <c r="D12" s="74"/>
      <c r="E12" s="74"/>
      <c r="F12" s="74"/>
      <c r="G12" s="74"/>
      <c r="H12" s="74"/>
      <c r="I12" s="69">
        <v>3211667</v>
      </c>
      <c r="J12" s="69">
        <v>3168837</v>
      </c>
      <c r="K12" s="69">
        <v>3004682.52</v>
      </c>
      <c r="L12" s="69">
        <v>3203101</v>
      </c>
      <c r="M12" s="69">
        <v>3041338</v>
      </c>
      <c r="N12" s="100">
        <v>4423038</v>
      </c>
      <c r="O12" s="69">
        <v>4865353.87</v>
      </c>
      <c r="P12" s="69">
        <v>4994028.8099999996</v>
      </c>
      <c r="Q12" s="69">
        <v>4990655.26</v>
      </c>
      <c r="R12" s="69">
        <v>4781186.18</v>
      </c>
      <c r="S12" s="69">
        <v>5093005.5199999996</v>
      </c>
      <c r="T12" s="69">
        <v>5755337.7000000002</v>
      </c>
      <c r="U12" s="69">
        <v>5377731.6799999997</v>
      </c>
      <c r="V12" s="69">
        <v>5162595.96</v>
      </c>
      <c r="W12" s="69">
        <v>5370285.5199999996</v>
      </c>
      <c r="X12" s="69">
        <v>5525359.1699999999</v>
      </c>
      <c r="Y12" s="69">
        <v>5778966.0700000003</v>
      </c>
      <c r="Z12" s="69">
        <f>SUM(Z9:Z11)</f>
        <v>7635070.29</v>
      </c>
      <c r="AA12" s="69">
        <f>SUM(AA9:AA11)</f>
        <v>8392177.5800000019</v>
      </c>
      <c r="AB12" s="69">
        <f>SUM(AB9:AB11)</f>
        <v>8350607.75</v>
      </c>
      <c r="AC12" s="129">
        <f>SUM(AC9:AC11)</f>
        <v>7736604.3499999996</v>
      </c>
    </row>
    <row r="13" spans="1:29">
      <c r="A13" s="70"/>
      <c r="B13" s="70"/>
      <c r="C13" s="70"/>
      <c r="D13" s="70"/>
      <c r="E13" s="70"/>
      <c r="F13" s="70"/>
      <c r="G13" s="70"/>
      <c r="H13" s="70"/>
      <c r="I13" s="70"/>
      <c r="J13" s="70"/>
      <c r="K13" s="70"/>
      <c r="L13" s="70"/>
      <c r="M13" s="70"/>
      <c r="N13" s="63"/>
      <c r="O13" s="63"/>
      <c r="P13" s="63"/>
      <c r="Q13" s="63"/>
      <c r="R13" s="63"/>
      <c r="S13" s="63"/>
      <c r="T13" s="63"/>
      <c r="U13" s="63"/>
      <c r="V13" s="63"/>
      <c r="W13" s="63"/>
      <c r="X13" s="63"/>
      <c r="Y13" s="63"/>
      <c r="Z13" s="63"/>
      <c r="AA13" s="28"/>
      <c r="AB13" s="28"/>
      <c r="AC13" s="28"/>
    </row>
    <row r="14" spans="1:29" ht="15.75" thickBot="1">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spans="1:29" ht="15.75" thickBot="1">
      <c r="A15" s="37" t="s">
        <v>1173</v>
      </c>
      <c r="B15" s="59" t="s">
        <v>1140</v>
      </c>
      <c r="C15" s="59" t="s">
        <v>1141</v>
      </c>
      <c r="D15" s="59" t="s">
        <v>1142</v>
      </c>
      <c r="E15" s="59" t="s">
        <v>1143</v>
      </c>
      <c r="F15" s="59" t="s">
        <v>1144</v>
      </c>
      <c r="G15" s="59" t="s">
        <v>1145</v>
      </c>
      <c r="H15" s="59" t="s">
        <v>1146</v>
      </c>
      <c r="I15" s="59" t="s">
        <v>1147</v>
      </c>
      <c r="J15" s="59" t="s">
        <v>1148</v>
      </c>
      <c r="K15" s="59" t="s">
        <v>1149</v>
      </c>
      <c r="L15" s="59" t="s">
        <v>1150</v>
      </c>
      <c r="M15" s="59" t="s">
        <v>1151</v>
      </c>
      <c r="N15" s="59" t="s">
        <v>1152</v>
      </c>
      <c r="O15" s="59" t="s">
        <v>1153</v>
      </c>
      <c r="P15" s="59" t="s">
        <v>1154</v>
      </c>
      <c r="Q15" s="59" t="s">
        <v>1155</v>
      </c>
      <c r="R15" s="59" t="s">
        <v>1156</v>
      </c>
      <c r="S15" s="59" t="s">
        <v>1157</v>
      </c>
      <c r="T15" s="59" t="s">
        <v>1158</v>
      </c>
      <c r="U15" s="59" t="s">
        <v>1159</v>
      </c>
      <c r="V15" s="59" t="s">
        <v>1160</v>
      </c>
      <c r="W15" s="59" t="s">
        <v>1161</v>
      </c>
      <c r="X15" s="59" t="s">
        <v>1162</v>
      </c>
      <c r="Y15" s="60" t="s">
        <v>1163</v>
      </c>
      <c r="Z15" s="60" t="s">
        <v>1164</v>
      </c>
      <c r="AA15" s="60" t="s">
        <v>1165</v>
      </c>
      <c r="AB15" s="60" t="s">
        <v>1166</v>
      </c>
      <c r="AC15" s="60" t="s">
        <v>1167</v>
      </c>
    </row>
    <row r="16" spans="1:29">
      <c r="A16" s="61" t="s">
        <v>1168</v>
      </c>
      <c r="B16" s="71"/>
      <c r="C16" s="62">
        <v>281621</v>
      </c>
      <c r="D16" s="62">
        <v>273878</v>
      </c>
      <c r="E16" s="62">
        <v>277809</v>
      </c>
      <c r="F16" s="62">
        <v>254443</v>
      </c>
      <c r="G16" s="62">
        <v>260570</v>
      </c>
      <c r="H16" s="62">
        <v>336892</v>
      </c>
      <c r="I16" s="62">
        <v>353937</v>
      </c>
      <c r="J16" s="62">
        <v>290810</v>
      </c>
      <c r="K16" s="62">
        <v>287548</v>
      </c>
      <c r="L16" s="62">
        <v>293581</v>
      </c>
      <c r="M16" s="62">
        <v>260800</v>
      </c>
      <c r="N16" s="97">
        <v>391789.03</v>
      </c>
      <c r="O16" s="62">
        <v>456957.97</v>
      </c>
      <c r="P16" s="62">
        <v>433741.56</v>
      </c>
      <c r="Q16" s="62">
        <v>417240.93</v>
      </c>
      <c r="R16" s="62">
        <v>378268.57</v>
      </c>
      <c r="S16" s="62">
        <v>447394</v>
      </c>
      <c r="T16" s="62">
        <v>520052.15</v>
      </c>
      <c r="U16" s="62">
        <v>506057.84</v>
      </c>
      <c r="V16" s="62">
        <v>490372.32</v>
      </c>
      <c r="W16" s="62">
        <v>483724.33</v>
      </c>
      <c r="X16" s="62">
        <v>522704.26</v>
      </c>
      <c r="Y16" s="62">
        <v>560029.31999999995</v>
      </c>
      <c r="Z16" s="62">
        <v>771258.65</v>
      </c>
      <c r="AA16" s="62">
        <v>816469.8</v>
      </c>
      <c r="AB16" s="62">
        <v>775860.44</v>
      </c>
      <c r="AC16" s="125">
        <v>712776.75</v>
      </c>
    </row>
    <row r="17" spans="1:29">
      <c r="A17" s="64" t="s">
        <v>1169</v>
      </c>
      <c r="B17" s="72"/>
      <c r="C17" s="65">
        <v>157254</v>
      </c>
      <c r="D17" s="65">
        <v>174005</v>
      </c>
      <c r="E17" s="65">
        <v>171273</v>
      </c>
      <c r="F17" s="65">
        <v>118695</v>
      </c>
      <c r="G17" s="65">
        <v>125637</v>
      </c>
      <c r="H17" s="65">
        <v>173332</v>
      </c>
      <c r="I17" s="65">
        <v>150428</v>
      </c>
      <c r="J17" s="65">
        <v>151620</v>
      </c>
      <c r="K17" s="65">
        <v>124967</v>
      </c>
      <c r="L17" s="65">
        <v>130035</v>
      </c>
      <c r="M17" s="65">
        <v>120095.34</v>
      </c>
      <c r="N17" s="98">
        <v>195481</v>
      </c>
      <c r="O17" s="65">
        <v>192130</v>
      </c>
      <c r="P17" s="65">
        <v>176189</v>
      </c>
      <c r="Q17" s="65">
        <v>173609</v>
      </c>
      <c r="R17" s="65">
        <v>163129</v>
      </c>
      <c r="S17" s="65">
        <v>151125</v>
      </c>
      <c r="T17" s="65">
        <v>162391</v>
      </c>
      <c r="U17" s="65">
        <v>165932.48000000001</v>
      </c>
      <c r="V17" s="65">
        <v>174978.27</v>
      </c>
      <c r="W17" s="65">
        <v>190435</v>
      </c>
      <c r="X17" s="65">
        <v>218696</v>
      </c>
      <c r="Y17" s="65">
        <v>248084</v>
      </c>
      <c r="Z17" s="65">
        <v>331372</v>
      </c>
      <c r="AA17" s="65">
        <v>332112</v>
      </c>
      <c r="AB17" s="65">
        <v>291118</v>
      </c>
      <c r="AC17" s="127">
        <v>253586</v>
      </c>
    </row>
    <row r="18" spans="1:29">
      <c r="A18" s="66" t="s">
        <v>1170</v>
      </c>
      <c r="B18" s="73"/>
      <c r="C18" s="67">
        <v>105644</v>
      </c>
      <c r="D18" s="67">
        <v>123530</v>
      </c>
      <c r="E18" s="67">
        <v>111756</v>
      </c>
      <c r="F18" s="67">
        <v>101708</v>
      </c>
      <c r="G18" s="67">
        <v>115414</v>
      </c>
      <c r="H18" s="67">
        <v>149559</v>
      </c>
      <c r="I18" s="67">
        <v>140607</v>
      </c>
      <c r="J18" s="67">
        <v>149786</v>
      </c>
      <c r="K18" s="67">
        <v>131233</v>
      </c>
      <c r="L18" s="67">
        <v>134895</v>
      </c>
      <c r="M18" s="67">
        <v>135219</v>
      </c>
      <c r="N18" s="99">
        <v>200784</v>
      </c>
      <c r="O18" s="67">
        <v>185443</v>
      </c>
      <c r="P18" s="67">
        <v>173278</v>
      </c>
      <c r="Q18" s="67">
        <v>161823</v>
      </c>
      <c r="R18" s="67">
        <v>174040</v>
      </c>
      <c r="S18" s="67">
        <v>147768</v>
      </c>
      <c r="T18" s="67">
        <v>154351</v>
      </c>
      <c r="U18" s="67">
        <v>166396.01999999999</v>
      </c>
      <c r="V18" s="67">
        <v>184384.8</v>
      </c>
      <c r="W18" s="67">
        <v>169616</v>
      </c>
      <c r="X18" s="67">
        <v>160236</v>
      </c>
      <c r="Y18" s="67">
        <v>168096</v>
      </c>
      <c r="Z18" s="67">
        <v>231151</v>
      </c>
      <c r="AA18" s="67">
        <v>232388</v>
      </c>
      <c r="AB18" s="67">
        <v>226071</v>
      </c>
      <c r="AC18" s="128">
        <v>182617</v>
      </c>
    </row>
    <row r="19" spans="1:29" ht="15.75" thickBot="1">
      <c r="A19" s="68" t="s">
        <v>1171</v>
      </c>
      <c r="B19" s="74"/>
      <c r="C19" s="69">
        <v>544519</v>
      </c>
      <c r="D19" s="69">
        <v>571413</v>
      </c>
      <c r="E19" s="69">
        <v>560838</v>
      </c>
      <c r="F19" s="69">
        <v>474846</v>
      </c>
      <c r="G19" s="69">
        <v>501621</v>
      </c>
      <c r="H19" s="69">
        <v>659783</v>
      </c>
      <c r="I19" s="69">
        <v>644972</v>
      </c>
      <c r="J19" s="69">
        <v>592216</v>
      </c>
      <c r="K19" s="69">
        <v>543748</v>
      </c>
      <c r="L19" s="69">
        <v>558511</v>
      </c>
      <c r="M19" s="69">
        <v>516114.34</v>
      </c>
      <c r="N19" s="100">
        <v>788054.03</v>
      </c>
      <c r="O19" s="69">
        <v>834530.97</v>
      </c>
      <c r="P19" s="69">
        <v>783208.56</v>
      </c>
      <c r="Q19" s="69">
        <v>752672.93</v>
      </c>
      <c r="R19" s="69">
        <v>715437.57</v>
      </c>
      <c r="S19" s="69">
        <v>746287</v>
      </c>
      <c r="T19" s="69">
        <v>836794.15</v>
      </c>
      <c r="U19" s="69">
        <v>838386.34</v>
      </c>
      <c r="V19" s="69">
        <v>849735.39</v>
      </c>
      <c r="W19" s="69">
        <v>843775.33</v>
      </c>
      <c r="X19" s="69">
        <v>901636.26</v>
      </c>
      <c r="Y19" s="69">
        <v>976209.32</v>
      </c>
      <c r="Z19" s="69">
        <f>SUM(Z16:Z18)</f>
        <v>1333781.6499999999</v>
      </c>
      <c r="AA19" s="69">
        <f>SUM(AA16:AA18)</f>
        <v>1380969.8</v>
      </c>
      <c r="AB19" s="69">
        <f>SUM(AB16:AB18)</f>
        <v>1293049.44</v>
      </c>
      <c r="AC19" s="129">
        <f>SUM(AC16:AC18)</f>
        <v>1148979.75</v>
      </c>
    </row>
    <row r="20" spans="1:29">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row>
    <row r="21" spans="1:29" ht="15.75" thickBo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row>
    <row r="22" spans="1:29" ht="15.75" thickBot="1">
      <c r="A22" s="37" t="s">
        <v>584</v>
      </c>
      <c r="B22" s="59" t="s">
        <v>1140</v>
      </c>
      <c r="C22" s="59" t="s">
        <v>1141</v>
      </c>
      <c r="D22" s="59" t="s">
        <v>1142</v>
      </c>
      <c r="E22" s="59" t="s">
        <v>1143</v>
      </c>
      <c r="F22" s="59" t="s">
        <v>1144</v>
      </c>
      <c r="G22" s="59" t="s">
        <v>1145</v>
      </c>
      <c r="H22" s="59" t="s">
        <v>1146</v>
      </c>
      <c r="I22" s="59" t="s">
        <v>1147</v>
      </c>
      <c r="J22" s="59" t="s">
        <v>1148</v>
      </c>
      <c r="K22" s="59" t="s">
        <v>1149</v>
      </c>
      <c r="L22" s="59" t="s">
        <v>1150</v>
      </c>
      <c r="M22" s="59" t="s">
        <v>1151</v>
      </c>
      <c r="N22" s="59" t="s">
        <v>1152</v>
      </c>
      <c r="O22" s="59" t="s">
        <v>1153</v>
      </c>
      <c r="P22" s="59" t="s">
        <v>1154</v>
      </c>
      <c r="Q22" s="59" t="s">
        <v>1155</v>
      </c>
      <c r="R22" s="59" t="s">
        <v>1156</v>
      </c>
      <c r="S22" s="59" t="s">
        <v>1157</v>
      </c>
      <c r="T22" s="59" t="s">
        <v>1158</v>
      </c>
      <c r="U22" s="59" t="s">
        <v>1159</v>
      </c>
      <c r="V22" s="59" t="s">
        <v>1160</v>
      </c>
      <c r="W22" s="59" t="s">
        <v>1161</v>
      </c>
      <c r="X22" s="59" t="s">
        <v>1162</v>
      </c>
      <c r="Y22" s="60" t="s">
        <v>1163</v>
      </c>
      <c r="Z22" s="60" t="s">
        <v>1164</v>
      </c>
      <c r="AA22" s="60" t="s">
        <v>1165</v>
      </c>
      <c r="AB22" s="60" t="s">
        <v>1166</v>
      </c>
      <c r="AC22" s="60" t="s">
        <v>1167</v>
      </c>
    </row>
    <row r="23" spans="1:29">
      <c r="A23" s="61" t="s">
        <v>1168</v>
      </c>
      <c r="B23" s="76">
        <v>0</v>
      </c>
      <c r="C23" s="76">
        <v>5.7700000000000001E-2</v>
      </c>
      <c r="D23" s="76">
        <v>4.7699999999999999E-2</v>
      </c>
      <c r="E23" s="76">
        <v>0.05</v>
      </c>
      <c r="F23" s="76">
        <v>4.5400000000000003E-2</v>
      </c>
      <c r="G23" s="76">
        <v>4.8599999999999997E-2</v>
      </c>
      <c r="H23" s="76">
        <v>5.4600000000000003E-2</v>
      </c>
      <c r="I23" s="76">
        <v>5.7000000000000002E-2</v>
      </c>
      <c r="J23" s="76">
        <v>4.7600000000000003E-2</v>
      </c>
      <c r="K23" s="76">
        <v>4.7399999999999998E-2</v>
      </c>
      <c r="L23" s="76">
        <v>4.58E-2</v>
      </c>
      <c r="M23" s="76">
        <v>4.4600000000000001E-2</v>
      </c>
      <c r="N23" s="101">
        <v>5.0999999999999997E-2</v>
      </c>
      <c r="O23" s="76">
        <v>5.2499999999999998E-2</v>
      </c>
      <c r="P23" s="76">
        <v>4.1599999999999998E-2</v>
      </c>
      <c r="Q23" s="76">
        <v>3.3300000000000003E-2</v>
      </c>
      <c r="R23" s="76">
        <v>3.0499999999999999E-2</v>
      </c>
      <c r="S23" s="76">
        <v>3.6299999999999999E-2</v>
      </c>
      <c r="T23" s="76">
        <v>3.9100000000000003E-2</v>
      </c>
      <c r="U23" s="76">
        <v>4.07E-2</v>
      </c>
      <c r="V23" s="76">
        <v>3.95E-2</v>
      </c>
      <c r="W23" s="76">
        <v>3.6900000000000002E-2</v>
      </c>
      <c r="X23" s="76">
        <v>3.9699999999999999E-2</v>
      </c>
      <c r="Y23" s="76">
        <v>3.9699999999999999E-2</v>
      </c>
      <c r="Z23" s="76">
        <f t="shared" ref="Z23:AA26" si="0">Z16/Z2</f>
        <v>4.5628973942509046E-2</v>
      </c>
      <c r="AA23" s="76">
        <f t="shared" si="0"/>
        <v>4.6166277152873296E-2</v>
      </c>
      <c r="AB23" s="76">
        <f>AB16/AB2</f>
        <v>4.3479953257412336E-2</v>
      </c>
      <c r="AC23" s="102">
        <f>AC16/AC2</f>
        <v>3.575289389728499E-2</v>
      </c>
    </row>
    <row r="24" spans="1:29">
      <c r="A24" s="64" t="s">
        <v>1169</v>
      </c>
      <c r="B24" s="78">
        <v>0</v>
      </c>
      <c r="C24" s="78">
        <v>7.3099999999999998E-2</v>
      </c>
      <c r="D24" s="78">
        <v>6.6199999999999995E-2</v>
      </c>
      <c r="E24" s="78">
        <v>6.7900000000000002E-2</v>
      </c>
      <c r="F24" s="78">
        <v>5.2499999999999998E-2</v>
      </c>
      <c r="G24" s="78">
        <v>4.99E-2</v>
      </c>
      <c r="H24" s="78">
        <v>6.13E-2</v>
      </c>
      <c r="I24" s="78">
        <v>5.2299999999999999E-2</v>
      </c>
      <c r="J24" s="78">
        <v>4.7300000000000002E-2</v>
      </c>
      <c r="K24" s="78">
        <v>4.3700000000000003E-2</v>
      </c>
      <c r="L24" s="78">
        <v>4.2200000000000001E-2</v>
      </c>
      <c r="M24" s="78">
        <v>3.9300000000000002E-2</v>
      </c>
      <c r="N24" s="103">
        <v>5.0900000000000001E-2</v>
      </c>
      <c r="O24" s="78">
        <v>5.2900000000000003E-2</v>
      </c>
      <c r="P24" s="78">
        <v>4.7500000000000001E-2</v>
      </c>
      <c r="Q24" s="78">
        <v>4.5499999999999999E-2</v>
      </c>
      <c r="R24" s="78">
        <v>4.1799999999999997E-2</v>
      </c>
      <c r="S24" s="78">
        <v>4.1000000000000002E-2</v>
      </c>
      <c r="T24" s="78">
        <v>4.1099999999999998E-2</v>
      </c>
      <c r="U24" s="78">
        <v>4.6300000000000001E-2</v>
      </c>
      <c r="V24" s="78">
        <v>4.53E-2</v>
      </c>
      <c r="W24" s="78">
        <v>4.4999999999999998E-2</v>
      </c>
      <c r="X24" s="78">
        <v>4.8800000000000003E-2</v>
      </c>
      <c r="Y24" s="78">
        <v>4.8800000000000003E-2</v>
      </c>
      <c r="Z24" s="78">
        <f t="shared" si="0"/>
        <v>5.9854248802634603E-2</v>
      </c>
      <c r="AA24" s="78">
        <f t="shared" si="0"/>
        <v>6.05262508857385E-2</v>
      </c>
      <c r="AB24" s="78">
        <f t="shared" ref="AB24" si="1">AB17/AB3</f>
        <v>5.5691209329374672E-2</v>
      </c>
      <c r="AC24" s="104">
        <f>AC17/AC3</f>
        <v>4.8966105852538126E-2</v>
      </c>
    </row>
    <row r="25" spans="1:29">
      <c r="A25" s="66" t="s">
        <v>1170</v>
      </c>
      <c r="B25" s="80">
        <v>0</v>
      </c>
      <c r="C25" s="80">
        <v>8.3299999999999999E-2</v>
      </c>
      <c r="D25" s="80">
        <v>7.85E-2</v>
      </c>
      <c r="E25" s="80">
        <v>7.4200000000000002E-2</v>
      </c>
      <c r="F25" s="80">
        <v>6.1499999999999999E-2</v>
      </c>
      <c r="G25" s="80">
        <v>6.7900000000000002E-2</v>
      </c>
      <c r="H25" s="80">
        <v>6.8900000000000003E-2</v>
      </c>
      <c r="I25" s="80">
        <v>6.25E-2</v>
      </c>
      <c r="J25" s="80">
        <v>5.8599999999999999E-2</v>
      </c>
      <c r="K25" s="80">
        <v>5.2200000000000003E-2</v>
      </c>
      <c r="L25" s="80">
        <v>5.2699999999999997E-2</v>
      </c>
      <c r="M25" s="80">
        <v>5.6000000000000001E-2</v>
      </c>
      <c r="N25" s="105">
        <v>6.7299999999999999E-2</v>
      </c>
      <c r="O25" s="80">
        <v>6.2300000000000001E-2</v>
      </c>
      <c r="P25" s="80">
        <v>5.7700000000000001E-2</v>
      </c>
      <c r="Q25" s="80">
        <v>5.2600000000000001E-2</v>
      </c>
      <c r="R25" s="80">
        <v>5.0900000000000001E-2</v>
      </c>
      <c r="S25" s="80">
        <v>5.1200000000000002E-2</v>
      </c>
      <c r="T25" s="80">
        <v>5.1700000000000003E-2</v>
      </c>
      <c r="U25" s="80">
        <v>5.7200000000000001E-2</v>
      </c>
      <c r="V25" s="80">
        <v>5.9499999999999997E-2</v>
      </c>
      <c r="W25" s="80">
        <v>5.3600000000000002E-2</v>
      </c>
      <c r="X25" s="80">
        <v>5.0999999999999997E-2</v>
      </c>
      <c r="Y25" s="80">
        <v>5.0999999999999997E-2</v>
      </c>
      <c r="Z25" s="80">
        <f t="shared" si="0"/>
        <v>6.4046165129500704E-2</v>
      </c>
      <c r="AA25" s="80">
        <f t="shared" si="0"/>
        <v>6.3313769712332504E-2</v>
      </c>
      <c r="AB25" s="80">
        <f t="shared" ref="AB25" si="2">AB18/AB4</f>
        <v>6.1523502080664635E-2</v>
      </c>
      <c r="AC25" s="106">
        <f t="shared" ref="AC25" si="3">AC18/AC4</f>
        <v>5.0171240675134232E-2</v>
      </c>
    </row>
    <row r="26" spans="1:29" ht="15.75" thickBot="1">
      <c r="A26" s="68" t="s">
        <v>1171</v>
      </c>
      <c r="B26" s="82">
        <v>0</v>
      </c>
      <c r="C26" s="82">
        <v>6.5600000000000006E-2</v>
      </c>
      <c r="D26" s="82">
        <v>5.74E-2</v>
      </c>
      <c r="E26" s="82">
        <v>5.8500000000000003E-2</v>
      </c>
      <c r="F26" s="82">
        <v>4.99E-2</v>
      </c>
      <c r="G26" s="82">
        <v>5.2299999999999999E-2</v>
      </c>
      <c r="H26" s="82">
        <v>5.91E-2</v>
      </c>
      <c r="I26" s="82">
        <v>5.6899999999999999E-2</v>
      </c>
      <c r="J26" s="82">
        <v>4.99E-2</v>
      </c>
      <c r="K26" s="82">
        <v>4.7500000000000001E-2</v>
      </c>
      <c r="L26" s="82">
        <v>4.6399999999999997E-2</v>
      </c>
      <c r="M26" s="82">
        <v>4.5600000000000002E-2</v>
      </c>
      <c r="N26" s="107">
        <v>5.4300000000000001E-2</v>
      </c>
      <c r="O26" s="82">
        <v>5.45E-2</v>
      </c>
      <c r="P26" s="82">
        <v>4.5699999999999998E-2</v>
      </c>
      <c r="Q26" s="82">
        <v>3.8800000000000001E-2</v>
      </c>
      <c r="R26" s="82">
        <v>3.6299999999999999E-2</v>
      </c>
      <c r="S26" s="82">
        <v>3.95E-2</v>
      </c>
      <c r="T26" s="82">
        <v>4.1399999999999999E-2</v>
      </c>
      <c r="U26" s="82">
        <v>4.4299999999999999E-2</v>
      </c>
      <c r="V26" s="82">
        <v>4.3799999999999999E-2</v>
      </c>
      <c r="W26" s="82">
        <v>4.1099999999999998E-2</v>
      </c>
      <c r="X26" s="82">
        <v>4.3400000000000001E-2</v>
      </c>
      <c r="Y26" s="82">
        <v>4.3400000000000001E-2</v>
      </c>
      <c r="Z26" s="82">
        <f t="shared" si="0"/>
        <v>5.1204225020158575E-2</v>
      </c>
      <c r="AA26" s="82">
        <f t="shared" si="0"/>
        <v>5.144635720690665E-2</v>
      </c>
      <c r="AB26" s="82">
        <f t="shared" ref="AB26" si="4">AB19/AB5</f>
        <v>4.8345521468719642E-2</v>
      </c>
      <c r="AC26" s="108">
        <f t="shared" ref="AC26" si="5">AC19/AC5</f>
        <v>3.9957733070924158E-2</v>
      </c>
    </row>
    <row r="27" spans="1:29">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row>
    <row r="28" spans="1:29" ht="15.75" thickBo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row>
    <row r="29" spans="1:29" ht="15.75" thickBot="1">
      <c r="A29" s="37" t="s">
        <v>1174</v>
      </c>
      <c r="B29" s="59" t="s">
        <v>1140</v>
      </c>
      <c r="C29" s="59" t="s">
        <v>1141</v>
      </c>
      <c r="D29" s="59" t="s">
        <v>1142</v>
      </c>
      <c r="E29" s="59" t="s">
        <v>1143</v>
      </c>
      <c r="F29" s="59" t="s">
        <v>1144</v>
      </c>
      <c r="G29" s="59" t="s">
        <v>1145</v>
      </c>
      <c r="H29" s="59" t="s">
        <v>1146</v>
      </c>
      <c r="I29" s="59" t="s">
        <v>1147</v>
      </c>
      <c r="J29" s="59" t="s">
        <v>1148</v>
      </c>
      <c r="K29" s="59" t="s">
        <v>1149</v>
      </c>
      <c r="L29" s="59" t="s">
        <v>1150</v>
      </c>
      <c r="M29" s="59" t="s">
        <v>1151</v>
      </c>
      <c r="N29" s="59" t="s">
        <v>1152</v>
      </c>
      <c r="O29" s="59" t="s">
        <v>1153</v>
      </c>
      <c r="P29" s="59" t="s">
        <v>1154</v>
      </c>
      <c r="Q29" s="59" t="s">
        <v>1155</v>
      </c>
      <c r="R29" s="59" t="s">
        <v>1156</v>
      </c>
      <c r="S29" s="59" t="s">
        <v>1157</v>
      </c>
      <c r="T29" s="59" t="s">
        <v>1158</v>
      </c>
      <c r="U29" s="59" t="s">
        <v>1159</v>
      </c>
      <c r="V29" s="59" t="s">
        <v>1160</v>
      </c>
      <c r="W29" s="59" t="s">
        <v>1161</v>
      </c>
      <c r="X29" s="59" t="s">
        <v>1162</v>
      </c>
      <c r="Y29" s="60" t="s">
        <v>1163</v>
      </c>
      <c r="Z29" s="60" t="s">
        <v>1164</v>
      </c>
      <c r="AA29" s="60" t="s">
        <v>1165</v>
      </c>
      <c r="AB29" s="60" t="s">
        <v>1166</v>
      </c>
      <c r="AC29" s="60" t="s">
        <v>1167</v>
      </c>
    </row>
    <row r="30" spans="1:29">
      <c r="A30" s="61" t="s">
        <v>1168</v>
      </c>
      <c r="B30" s="75"/>
      <c r="C30" s="75"/>
      <c r="D30" s="71" t="e">
        <v>#DIV/0!</v>
      </c>
      <c r="E30" s="71" t="e">
        <v>#DIV/0!</v>
      </c>
      <c r="F30" s="71" t="e">
        <v>#DIV/0!</v>
      </c>
      <c r="G30" s="71" t="e">
        <v>#DIV/0!</v>
      </c>
      <c r="H30" s="71" t="e">
        <v>#DIV/0!</v>
      </c>
      <c r="I30" s="76">
        <v>0.18579999999999999</v>
      </c>
      <c r="J30" s="76">
        <v>0.1716</v>
      </c>
      <c r="K30" s="76">
        <v>0.17249999999999999</v>
      </c>
      <c r="L30" s="76">
        <v>0.1678</v>
      </c>
      <c r="M30" s="76">
        <v>0.15870000000000001</v>
      </c>
      <c r="N30" s="101">
        <v>0.1628</v>
      </c>
      <c r="O30" s="76">
        <v>0.1565</v>
      </c>
      <c r="P30" s="76">
        <v>0.14230000000000001</v>
      </c>
      <c r="Q30" s="76">
        <v>0.1343</v>
      </c>
      <c r="R30" s="76">
        <v>0.1358</v>
      </c>
      <c r="S30" s="76">
        <v>0.12809999999999999</v>
      </c>
      <c r="T30" s="76">
        <v>0.12790000000000001</v>
      </c>
      <c r="U30" s="76">
        <v>0.13500000000000001</v>
      </c>
      <c r="V30" s="76">
        <v>0.1424</v>
      </c>
      <c r="W30" s="76">
        <v>0.13719999999999999</v>
      </c>
      <c r="X30" s="76">
        <v>0.1429</v>
      </c>
      <c r="Y30" s="76">
        <v>0.1429</v>
      </c>
      <c r="Z30" s="76">
        <f t="shared" ref="Z30:AA33" si="6">Z16/Z9</f>
        <v>0.15363398954406982</v>
      </c>
      <c r="AA30" s="76">
        <f t="shared" si="6"/>
        <v>0.14605825590070659</v>
      </c>
      <c r="AB30" s="76">
        <f>AB16/AB9</f>
        <v>0.13692717821432049</v>
      </c>
      <c r="AC30" s="102">
        <f>AC16/AC9</f>
        <v>0.13084613001916395</v>
      </c>
    </row>
    <row r="31" spans="1:29">
      <c r="A31" s="64" t="s">
        <v>1169</v>
      </c>
      <c r="B31" s="77"/>
      <c r="C31" s="77"/>
      <c r="D31" s="72" t="e">
        <v>#DIV/0!</v>
      </c>
      <c r="E31" s="72" t="e">
        <v>#DIV/0!</v>
      </c>
      <c r="F31" s="72" t="e">
        <v>#DIV/0!</v>
      </c>
      <c r="G31" s="72" t="e">
        <v>#DIV/0!</v>
      </c>
      <c r="H31" s="72" t="e">
        <v>#DIV/0!</v>
      </c>
      <c r="I31" s="78">
        <v>0.21310000000000001</v>
      </c>
      <c r="J31" s="78">
        <v>0.1943</v>
      </c>
      <c r="K31" s="78">
        <v>0.18340000000000001</v>
      </c>
      <c r="L31" s="78">
        <v>0.17169999999999999</v>
      </c>
      <c r="M31" s="78">
        <v>0.17419999999999999</v>
      </c>
      <c r="N31" s="103">
        <v>0.18740000000000001</v>
      </c>
      <c r="O31" s="78">
        <v>0.1933</v>
      </c>
      <c r="P31" s="78">
        <v>0.17369999999999999</v>
      </c>
      <c r="Q31" s="78">
        <v>0.17560000000000001</v>
      </c>
      <c r="R31" s="78">
        <v>0.16700000000000001</v>
      </c>
      <c r="S31" s="78">
        <v>0.1865</v>
      </c>
      <c r="T31" s="78">
        <v>0.1845</v>
      </c>
      <c r="U31" s="78">
        <v>0.2026</v>
      </c>
      <c r="V31" s="78">
        <v>0.2072</v>
      </c>
      <c r="W31" s="78">
        <v>0.193</v>
      </c>
      <c r="X31" s="78">
        <v>0.20300000000000001</v>
      </c>
      <c r="Y31" s="78">
        <v>0.20300000000000001</v>
      </c>
      <c r="Z31" s="78">
        <f t="shared" si="6"/>
        <v>0.21849534059207087</v>
      </c>
      <c r="AA31" s="78">
        <f t="shared" si="6"/>
        <v>0.20236249462640654</v>
      </c>
      <c r="AB31" s="78">
        <f t="shared" ref="AB31" si="7">AB17/AB10</f>
        <v>0.19247852849973884</v>
      </c>
      <c r="AC31" s="104">
        <f t="shared" ref="AC31" si="8">AC17/AC10</f>
        <v>0.19219505540313167</v>
      </c>
    </row>
    <row r="32" spans="1:29">
      <c r="A32" s="66" t="s">
        <v>1170</v>
      </c>
      <c r="B32" s="79"/>
      <c r="C32" s="79"/>
      <c r="D32" s="73" t="e">
        <v>#DIV/0!</v>
      </c>
      <c r="E32" s="73" t="e">
        <v>#DIV/0!</v>
      </c>
      <c r="F32" s="73" t="e">
        <v>#DIV/0!</v>
      </c>
      <c r="G32" s="73" t="e">
        <v>#DIV/0!</v>
      </c>
      <c r="H32" s="73" t="e">
        <v>#DIV/0!</v>
      </c>
      <c r="I32" s="80">
        <v>0.2339</v>
      </c>
      <c r="J32" s="80">
        <v>0.216</v>
      </c>
      <c r="K32" s="80">
        <v>0.19989999999999999</v>
      </c>
      <c r="L32" s="80">
        <v>0.19389999999999999</v>
      </c>
      <c r="M32" s="80">
        <v>0.19089999999999999</v>
      </c>
      <c r="N32" s="105">
        <v>0.20619999999999999</v>
      </c>
      <c r="O32" s="80">
        <v>0.1948</v>
      </c>
      <c r="P32" s="80">
        <v>0.18609999999999999</v>
      </c>
      <c r="Q32" s="80">
        <v>0.1807</v>
      </c>
      <c r="R32" s="80">
        <v>0.17069999999999999</v>
      </c>
      <c r="S32" s="80">
        <v>0.187</v>
      </c>
      <c r="T32" s="80">
        <v>0.1908</v>
      </c>
      <c r="U32" s="80">
        <v>0.2054</v>
      </c>
      <c r="V32" s="80">
        <v>0.21079999999999999</v>
      </c>
      <c r="W32" s="80">
        <v>0.19769999999999999</v>
      </c>
      <c r="X32" s="80">
        <v>0.20300000000000001</v>
      </c>
      <c r="Y32" s="80">
        <v>0.20300000000000001</v>
      </c>
      <c r="Z32" s="80">
        <f t="shared" si="6"/>
        <v>0.21045161090610795</v>
      </c>
      <c r="AA32" s="80">
        <f t="shared" si="6"/>
        <v>0.20016615510117269</v>
      </c>
      <c r="AB32" s="80">
        <f t="shared" ref="AB32" si="9">AB18/AB11</f>
        <v>0.19290799386642843</v>
      </c>
      <c r="AC32" s="106">
        <f t="shared" ref="AC32" si="10">AC18/AC11</f>
        <v>0.18831503637049854</v>
      </c>
    </row>
    <row r="33" spans="1:29" ht="15.75" thickBot="1">
      <c r="A33" s="68" t="s">
        <v>1171</v>
      </c>
      <c r="B33" s="81"/>
      <c r="C33" s="81"/>
      <c r="D33" s="74" t="e">
        <v>#DIV/0!</v>
      </c>
      <c r="E33" s="74" t="e">
        <v>#DIV/0!</v>
      </c>
      <c r="F33" s="74" t="e">
        <v>#DIV/0!</v>
      </c>
      <c r="G33" s="74" t="e">
        <v>#DIV/0!</v>
      </c>
      <c r="H33" s="74" t="e">
        <v>#DIV/0!</v>
      </c>
      <c r="I33" s="82">
        <v>0.20080000000000001</v>
      </c>
      <c r="J33" s="82">
        <v>0.18690000000000001</v>
      </c>
      <c r="K33" s="82">
        <v>0.18099999999999999</v>
      </c>
      <c r="L33" s="82">
        <v>0.1744</v>
      </c>
      <c r="M33" s="82">
        <v>0.16969999999999999</v>
      </c>
      <c r="N33" s="107">
        <v>0.1782</v>
      </c>
      <c r="O33" s="82">
        <v>0.17150000000000001</v>
      </c>
      <c r="P33" s="82">
        <v>0.15679999999999999</v>
      </c>
      <c r="Q33" s="82">
        <v>0.15079999999999999</v>
      </c>
      <c r="R33" s="82">
        <v>0.14960000000000001</v>
      </c>
      <c r="S33" s="82">
        <v>0.14649999999999999</v>
      </c>
      <c r="T33" s="82">
        <v>0.1454</v>
      </c>
      <c r="U33" s="82">
        <v>0.15590000000000001</v>
      </c>
      <c r="V33" s="82">
        <v>0.1646</v>
      </c>
      <c r="W33" s="82">
        <v>0.15709999999999999</v>
      </c>
      <c r="X33" s="82">
        <v>0.16320000000000001</v>
      </c>
      <c r="Y33" s="82">
        <v>0.16320000000000001</v>
      </c>
      <c r="Z33" s="82">
        <f t="shared" si="6"/>
        <v>0.17469146967080507</v>
      </c>
      <c r="AA33" s="82">
        <f t="shared" si="6"/>
        <v>0.16455440639043289</v>
      </c>
      <c r="AB33" s="82">
        <f t="shared" ref="AB33" si="11">AB19/AB12</f>
        <v>0.15484495005767693</v>
      </c>
      <c r="AC33" s="108">
        <f t="shared" ref="AC33" si="12">AC19/AC12</f>
        <v>0.14851215055349187</v>
      </c>
    </row>
    <row r="34" spans="1:29">
      <c r="A34" s="70"/>
      <c r="B34" s="70"/>
      <c r="C34" s="70"/>
      <c r="D34" s="70"/>
      <c r="E34" s="70"/>
      <c r="F34" s="70"/>
      <c r="G34" s="70"/>
      <c r="H34" s="70"/>
      <c r="I34" s="70"/>
      <c r="J34" s="70"/>
      <c r="K34" s="70"/>
      <c r="L34" s="70"/>
      <c r="M34" s="70"/>
      <c r="N34" s="63"/>
      <c r="O34" s="63"/>
      <c r="P34" s="63"/>
      <c r="Q34" s="63"/>
      <c r="R34" s="63"/>
      <c r="S34" s="63"/>
      <c r="T34" s="63"/>
      <c r="U34" s="63"/>
      <c r="V34" s="63"/>
      <c r="W34" s="63"/>
      <c r="X34" s="63"/>
      <c r="Y34" s="63"/>
      <c r="Z34" s="63"/>
      <c r="AA34" s="63"/>
      <c r="AB34" s="63"/>
      <c r="AC34" s="63"/>
    </row>
    <row r="35" spans="1:29" ht="15.75" thickBo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row>
    <row r="36" spans="1:29" ht="15.75" thickBot="1">
      <c r="A36" s="83" t="s">
        <v>578</v>
      </c>
      <c r="B36" s="84" t="s">
        <v>1140</v>
      </c>
      <c r="C36" s="84" t="s">
        <v>1141</v>
      </c>
      <c r="D36" s="84" t="s">
        <v>1142</v>
      </c>
      <c r="E36" s="84" t="s">
        <v>1143</v>
      </c>
      <c r="F36" s="84" t="s">
        <v>1144</v>
      </c>
      <c r="G36" s="84" t="s">
        <v>1145</v>
      </c>
      <c r="H36" s="84" t="s">
        <v>1146</v>
      </c>
      <c r="I36" s="84" t="s">
        <v>1147</v>
      </c>
      <c r="J36" s="84" t="s">
        <v>1148</v>
      </c>
      <c r="K36" s="84" t="s">
        <v>1149</v>
      </c>
      <c r="L36" s="84" t="s">
        <v>1150</v>
      </c>
      <c r="M36" s="84" t="s">
        <v>1151</v>
      </c>
      <c r="N36" s="84" t="s">
        <v>1152</v>
      </c>
      <c r="O36" s="84" t="s">
        <v>1153</v>
      </c>
      <c r="P36" s="84" t="s">
        <v>1154</v>
      </c>
      <c r="Q36" s="84" t="s">
        <v>1155</v>
      </c>
      <c r="R36" s="84" t="s">
        <v>1156</v>
      </c>
      <c r="S36" s="84" t="s">
        <v>1157</v>
      </c>
      <c r="T36" s="84" t="s">
        <v>1158</v>
      </c>
      <c r="U36" s="84" t="s">
        <v>1159</v>
      </c>
      <c r="V36" s="84" t="s">
        <v>1160</v>
      </c>
      <c r="W36" s="84" t="s">
        <v>1161</v>
      </c>
      <c r="X36" s="84" t="s">
        <v>1162</v>
      </c>
      <c r="Y36" s="85" t="s">
        <v>1163</v>
      </c>
      <c r="Z36" s="60" t="s">
        <v>1164</v>
      </c>
      <c r="AA36" s="60" t="s">
        <v>1165</v>
      </c>
      <c r="AB36" s="60" t="s">
        <v>1166</v>
      </c>
      <c r="AC36" s="60" t="s">
        <v>1167</v>
      </c>
    </row>
    <row r="37" spans="1:29">
      <c r="A37" s="86" t="s">
        <v>1168</v>
      </c>
      <c r="B37" s="87">
        <v>206450</v>
      </c>
      <c r="C37" s="87">
        <v>201966</v>
      </c>
      <c r="D37" s="87">
        <v>232244</v>
      </c>
      <c r="E37" s="87">
        <v>230500</v>
      </c>
      <c r="F37" s="87">
        <v>228949</v>
      </c>
      <c r="G37" s="87">
        <v>216548</v>
      </c>
      <c r="H37" s="87">
        <v>229222</v>
      </c>
      <c r="I37" s="87">
        <v>226692</v>
      </c>
      <c r="J37" s="87">
        <v>230639</v>
      </c>
      <c r="K37" s="87">
        <v>252280</v>
      </c>
      <c r="L37" s="87">
        <v>264001</v>
      </c>
      <c r="M37" s="109">
        <v>231198</v>
      </c>
      <c r="N37" s="118">
        <v>301961</v>
      </c>
      <c r="O37" s="119">
        <v>331009</v>
      </c>
      <c r="P37" s="119">
        <v>369644</v>
      </c>
      <c r="Q37" s="119">
        <v>419338</v>
      </c>
      <c r="R37" s="119">
        <v>403325</v>
      </c>
      <c r="S37" s="119">
        <v>407084</v>
      </c>
      <c r="T37" s="119">
        <v>446387</v>
      </c>
      <c r="U37" s="119">
        <v>410269</v>
      </c>
      <c r="V37" s="119">
        <v>413757</v>
      </c>
      <c r="W37" s="119">
        <v>445439</v>
      </c>
      <c r="X37" s="119">
        <v>453965</v>
      </c>
      <c r="Y37" s="119">
        <v>462128</v>
      </c>
      <c r="Z37" s="119">
        <v>572775</v>
      </c>
      <c r="AA37" s="119">
        <v>615883</v>
      </c>
      <c r="AB37" s="119">
        <v>604860</v>
      </c>
      <c r="AC37" s="114">
        <v>683843</v>
      </c>
    </row>
    <row r="38" spans="1:29">
      <c r="A38" s="88" t="s">
        <v>1169</v>
      </c>
      <c r="B38" s="89">
        <v>103070</v>
      </c>
      <c r="C38" s="89">
        <v>98910</v>
      </c>
      <c r="D38" s="89">
        <v>116062</v>
      </c>
      <c r="E38" s="89">
        <v>116489</v>
      </c>
      <c r="F38" s="89">
        <v>102286</v>
      </c>
      <c r="G38" s="89">
        <v>110085</v>
      </c>
      <c r="H38" s="89">
        <v>115702</v>
      </c>
      <c r="I38" s="89">
        <v>120670</v>
      </c>
      <c r="J38" s="89">
        <v>142446</v>
      </c>
      <c r="K38" s="89">
        <v>136602</v>
      </c>
      <c r="L38" s="89">
        <v>152488</v>
      </c>
      <c r="M38" s="110">
        <v>144866</v>
      </c>
      <c r="N38" s="120">
        <v>190333</v>
      </c>
      <c r="O38" s="89">
        <v>179484</v>
      </c>
      <c r="P38" s="89">
        <v>182162</v>
      </c>
      <c r="Q38" s="89">
        <v>182919</v>
      </c>
      <c r="R38" s="89">
        <v>183923</v>
      </c>
      <c r="S38" s="89">
        <v>173556</v>
      </c>
      <c r="T38" s="89">
        <v>186892</v>
      </c>
      <c r="U38" s="89">
        <v>171949</v>
      </c>
      <c r="V38" s="89">
        <v>182461</v>
      </c>
      <c r="W38" s="89">
        <v>199796</v>
      </c>
      <c r="X38" s="89">
        <v>214586</v>
      </c>
      <c r="Y38" s="89">
        <v>215754</v>
      </c>
      <c r="Z38" s="89">
        <v>251772</v>
      </c>
      <c r="AA38" s="89">
        <v>247829</v>
      </c>
      <c r="AB38" s="89">
        <v>229484</v>
      </c>
      <c r="AC38" s="115">
        <v>226754</v>
      </c>
    </row>
    <row r="39" spans="1:29">
      <c r="A39" s="90" t="s">
        <v>1170</v>
      </c>
      <c r="B39" s="91">
        <v>65792</v>
      </c>
      <c r="C39" s="91">
        <v>66921</v>
      </c>
      <c r="D39" s="91">
        <v>80622</v>
      </c>
      <c r="E39" s="91">
        <v>81286</v>
      </c>
      <c r="F39" s="91">
        <v>88250</v>
      </c>
      <c r="G39" s="91">
        <v>90033</v>
      </c>
      <c r="H39" s="91">
        <v>103104</v>
      </c>
      <c r="I39" s="91">
        <v>103860</v>
      </c>
      <c r="J39" s="91">
        <v>124892</v>
      </c>
      <c r="K39" s="91">
        <v>133302</v>
      </c>
      <c r="L39" s="91">
        <v>140626</v>
      </c>
      <c r="M39" s="111">
        <v>128870</v>
      </c>
      <c r="N39" s="121">
        <v>159471</v>
      </c>
      <c r="O39" s="91">
        <v>157686</v>
      </c>
      <c r="P39" s="91">
        <v>154308</v>
      </c>
      <c r="Q39" s="91">
        <v>154291</v>
      </c>
      <c r="R39" s="91">
        <v>162133</v>
      </c>
      <c r="S39" s="91">
        <v>136127</v>
      </c>
      <c r="T39" s="91">
        <v>146540</v>
      </c>
      <c r="U39" s="91">
        <v>144576</v>
      </c>
      <c r="V39" s="91">
        <v>153627</v>
      </c>
      <c r="W39" s="91">
        <v>158313</v>
      </c>
      <c r="X39" s="91">
        <v>155184</v>
      </c>
      <c r="Y39" s="91">
        <v>141383</v>
      </c>
      <c r="Z39" s="91">
        <v>167484</v>
      </c>
      <c r="AA39" s="91">
        <v>171660</v>
      </c>
      <c r="AB39" s="91">
        <v>168751</v>
      </c>
      <c r="AC39" s="116">
        <v>167429</v>
      </c>
    </row>
    <row r="40" spans="1:29">
      <c r="A40" s="92" t="s">
        <v>1171</v>
      </c>
      <c r="B40" s="93">
        <v>375312</v>
      </c>
      <c r="C40" s="93">
        <v>367797</v>
      </c>
      <c r="D40" s="93">
        <v>428928</v>
      </c>
      <c r="E40" s="93">
        <v>428275</v>
      </c>
      <c r="F40" s="93">
        <v>419485</v>
      </c>
      <c r="G40" s="93">
        <v>416666</v>
      </c>
      <c r="H40" s="93">
        <v>448028</v>
      </c>
      <c r="I40" s="93">
        <v>451222</v>
      </c>
      <c r="J40" s="93">
        <v>497977</v>
      </c>
      <c r="K40" s="93">
        <v>522184</v>
      </c>
      <c r="L40" s="93">
        <v>557115</v>
      </c>
      <c r="M40" s="112">
        <v>504934</v>
      </c>
      <c r="N40" s="122">
        <v>651765</v>
      </c>
      <c r="O40" s="93">
        <v>668179</v>
      </c>
      <c r="P40" s="93">
        <v>706114</v>
      </c>
      <c r="Q40" s="93">
        <v>756548</v>
      </c>
      <c r="R40" s="93">
        <v>749381</v>
      </c>
      <c r="S40" s="93">
        <v>716767</v>
      </c>
      <c r="T40" s="93">
        <v>779819</v>
      </c>
      <c r="U40" s="93">
        <v>726794</v>
      </c>
      <c r="V40" s="93">
        <v>749845</v>
      </c>
      <c r="W40" s="93">
        <v>803548</v>
      </c>
      <c r="X40" s="93">
        <v>823735</v>
      </c>
      <c r="Y40" s="93">
        <f>SUM(Y37:Y39)</f>
        <v>819265</v>
      </c>
      <c r="Z40" s="93">
        <f>SUM(Z37:Z39)</f>
        <v>992031</v>
      </c>
      <c r="AA40" s="93">
        <f>SUM(AA37:AA39)</f>
        <v>1035372</v>
      </c>
      <c r="AB40" s="93">
        <f>SUM(AB37:AB39)</f>
        <v>1003095</v>
      </c>
      <c r="AC40" s="93">
        <f>SUM(AC37:AC39)</f>
        <v>1078026</v>
      </c>
    </row>
    <row r="41" spans="1:29" ht="15.75" thickBot="1">
      <c r="A41" s="94" t="s">
        <v>1175</v>
      </c>
      <c r="B41" s="95"/>
      <c r="C41" s="96">
        <v>-0.02</v>
      </c>
      <c r="D41" s="96">
        <v>0.17</v>
      </c>
      <c r="E41" s="96">
        <v>0</v>
      </c>
      <c r="F41" s="96">
        <v>-0.02</v>
      </c>
      <c r="G41" s="96">
        <v>-0.01</v>
      </c>
      <c r="H41" s="96">
        <v>0.08</v>
      </c>
      <c r="I41" s="96">
        <v>0.01</v>
      </c>
      <c r="J41" s="96">
        <v>0.1</v>
      </c>
      <c r="K41" s="96">
        <v>0.05</v>
      </c>
      <c r="L41" s="96">
        <v>7.0000000000000007E-2</v>
      </c>
      <c r="M41" s="113">
        <v>-0.09</v>
      </c>
      <c r="N41" s="123">
        <v>0.28999999999999998</v>
      </c>
      <c r="O41" s="124">
        <v>0.03</v>
      </c>
      <c r="P41" s="124">
        <v>0.06</v>
      </c>
      <c r="Q41" s="124">
        <v>7.0000000000000007E-2</v>
      </c>
      <c r="R41" s="124">
        <v>-0.01</v>
      </c>
      <c r="S41" s="124">
        <v>-0.04</v>
      </c>
      <c r="T41" s="124">
        <v>0.09</v>
      </c>
      <c r="U41" s="124">
        <v>-7.0000000000000007E-2</v>
      </c>
      <c r="V41" s="124">
        <v>0.03</v>
      </c>
      <c r="W41" s="124">
        <v>7.0000000000000007E-2</v>
      </c>
      <c r="X41" s="124">
        <v>0.03</v>
      </c>
      <c r="Y41" s="124">
        <v>0</v>
      </c>
      <c r="Z41" s="124">
        <f>(Z40-Y40)/Y40</f>
        <v>0.21087926373029484</v>
      </c>
      <c r="AA41" s="124">
        <f>(AA40-Z40)/Z40</f>
        <v>4.3689158907332534E-2</v>
      </c>
      <c r="AB41" s="124">
        <f>(AB40-AA40)/AA40</f>
        <v>-3.1174302569511248E-2</v>
      </c>
      <c r="AC41" s="117">
        <f>(AC40-AB40)/AB40</f>
        <v>7.4699804106291026E-2</v>
      </c>
    </row>
    <row r="42" spans="1:29">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row>
    <row r="43" spans="1:29">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row>
    <row r="44" spans="1:29">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spans="1:29">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row>
    <row r="46" spans="1:29">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row>
    <row r="47" spans="1:29">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row>
    <row r="48" spans="1:29">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row>
    <row r="49" spans="1:2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row>
    <row r="50" spans="1:29">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9">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9">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9">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9">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sheetData>
  <phoneticPr fontId="1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J488"/>
  <sheetViews>
    <sheetView topLeftCell="A431" zoomScale="87" zoomScaleNormal="87" workbookViewId="0">
      <selection activeCell="M459" sqref="M459"/>
    </sheetView>
  </sheetViews>
  <sheetFormatPr defaultRowHeight="15"/>
  <cols>
    <col min="1" max="1" width="21.5703125" customWidth="1"/>
    <col min="2" max="10" width="23.85546875" customWidth="1"/>
    <col min="11" max="11" width="22" customWidth="1"/>
    <col min="12" max="14" width="26.5703125" customWidth="1"/>
    <col min="15" max="23" width="23.85546875" customWidth="1"/>
    <col min="24" max="24" width="24.85546875" customWidth="1"/>
    <col min="25" max="25" width="25.85546875" customWidth="1"/>
    <col min="26" max="26" width="29.7109375" customWidth="1"/>
    <col min="27" max="27" width="28.85546875" customWidth="1"/>
    <col min="29" max="29" width="0" hidden="1" customWidth="1"/>
    <col min="30" max="30" width="14.5703125" hidden="1" customWidth="1"/>
    <col min="31" max="31" width="32.28515625" hidden="1" customWidth="1"/>
    <col min="32" max="32" width="26.140625" hidden="1" customWidth="1"/>
    <col min="33" max="33" width="31.5703125" hidden="1" customWidth="1"/>
    <col min="34" max="34" width="25.7109375" hidden="1" customWidth="1"/>
    <col min="35" max="35" width="30" customWidth="1"/>
    <col min="36" max="36" width="17.28515625" customWidth="1"/>
  </cols>
  <sheetData>
    <row r="1" spans="1:36" hidden="1">
      <c r="A1" s="39" t="s">
        <v>5</v>
      </c>
      <c r="B1" s="39" t="s">
        <v>1176</v>
      </c>
      <c r="C1" s="39" t="s">
        <v>1177</v>
      </c>
      <c r="D1" s="39" t="s">
        <v>1178</v>
      </c>
      <c r="E1" s="39" t="s">
        <v>1179</v>
      </c>
      <c r="F1" s="39" t="s">
        <v>1180</v>
      </c>
      <c r="G1" s="39" t="s">
        <v>1181</v>
      </c>
      <c r="H1" s="39" t="s">
        <v>1182</v>
      </c>
      <c r="I1" s="39" t="s">
        <v>1183</v>
      </c>
      <c r="J1" s="39" t="s">
        <v>1184</v>
      </c>
      <c r="K1" s="39" t="s">
        <v>1185</v>
      </c>
      <c r="L1" s="39" t="s">
        <v>1186</v>
      </c>
      <c r="M1" s="39" t="s">
        <v>1187</v>
      </c>
      <c r="N1" s="39" t="s">
        <v>1188</v>
      </c>
      <c r="O1" s="39" t="s">
        <v>1189</v>
      </c>
      <c r="P1" s="39" t="s">
        <v>1190</v>
      </c>
      <c r="Q1" s="39" t="s">
        <v>1191</v>
      </c>
      <c r="R1" s="39" t="s">
        <v>1192</v>
      </c>
      <c r="S1" s="39" t="s">
        <v>1193</v>
      </c>
      <c r="T1" s="39" t="s">
        <v>1194</v>
      </c>
      <c r="U1" s="39" t="s">
        <v>1195</v>
      </c>
      <c r="V1" s="39" t="s">
        <v>1196</v>
      </c>
      <c r="W1" s="39" t="s">
        <v>1197</v>
      </c>
      <c r="X1" s="39" t="s">
        <v>1198</v>
      </c>
      <c r="Y1" s="39" t="s">
        <v>1199</v>
      </c>
      <c r="Z1" s="39" t="s">
        <v>1200</v>
      </c>
      <c r="AA1" s="39" t="s">
        <v>1201</v>
      </c>
      <c r="AD1" s="151" t="s">
        <v>1202</v>
      </c>
      <c r="AE1" s="39" t="s">
        <v>1203</v>
      </c>
      <c r="AF1" s="39" t="s">
        <v>1204</v>
      </c>
      <c r="AG1" s="39" t="s">
        <v>1205</v>
      </c>
      <c r="AH1" s="39" t="s">
        <v>1206</v>
      </c>
      <c r="AI1" s="39" t="s">
        <v>1207</v>
      </c>
      <c r="AJ1" s="39" t="s">
        <v>1208</v>
      </c>
    </row>
    <row r="2" spans="1:36" hidden="1">
      <c r="A2" s="40" t="s">
        <v>103</v>
      </c>
      <c r="B2" s="40">
        <v>3591</v>
      </c>
      <c r="C2" s="40">
        <v>5033</v>
      </c>
      <c r="D2" s="40">
        <v>3472</v>
      </c>
      <c r="E2" s="40">
        <v>6534</v>
      </c>
      <c r="F2" s="40">
        <v>5480</v>
      </c>
      <c r="G2" s="40">
        <v>4553</v>
      </c>
      <c r="H2" s="40">
        <v>15646</v>
      </c>
      <c r="I2" s="40">
        <v>5423</v>
      </c>
      <c r="J2" s="40">
        <v>4135</v>
      </c>
      <c r="K2">
        <v>3762</v>
      </c>
      <c r="L2">
        <v>3361</v>
      </c>
      <c r="M2">
        <v>2925</v>
      </c>
      <c r="N2">
        <v>5767</v>
      </c>
      <c r="O2">
        <v>830</v>
      </c>
      <c r="P2">
        <v>949</v>
      </c>
      <c r="Q2">
        <v>615</v>
      </c>
      <c r="R2">
        <v>1182</v>
      </c>
      <c r="S2">
        <v>1059</v>
      </c>
      <c r="T2">
        <v>868</v>
      </c>
      <c r="U2">
        <v>1282</v>
      </c>
      <c r="V2">
        <v>1003</v>
      </c>
      <c r="W2">
        <v>775</v>
      </c>
      <c r="X2">
        <v>791</v>
      </c>
      <c r="Y2">
        <v>762</v>
      </c>
      <c r="Z2">
        <v>607</v>
      </c>
      <c r="AA2">
        <v>836</v>
      </c>
      <c r="AD2" t="s">
        <v>16</v>
      </c>
      <c r="AE2" s="29">
        <v>67399</v>
      </c>
      <c r="AF2">
        <v>297250</v>
      </c>
      <c r="AG2">
        <v>63452</v>
      </c>
      <c r="AH2">
        <v>220366</v>
      </c>
    </row>
    <row r="3" spans="1:36" hidden="1">
      <c r="A3" s="40" t="s">
        <v>22</v>
      </c>
      <c r="B3" s="40">
        <v>1487</v>
      </c>
      <c r="C3" s="40">
        <v>1490</v>
      </c>
      <c r="D3" s="40">
        <v>1213</v>
      </c>
      <c r="E3" s="40">
        <v>1477</v>
      </c>
      <c r="F3" s="40">
        <v>1181</v>
      </c>
      <c r="G3" s="40">
        <v>1914</v>
      </c>
      <c r="H3" s="40">
        <v>1610</v>
      </c>
      <c r="I3" s="40">
        <v>1971</v>
      </c>
      <c r="J3" s="40">
        <v>3959</v>
      </c>
      <c r="K3">
        <v>1873</v>
      </c>
      <c r="L3">
        <v>556</v>
      </c>
      <c r="M3">
        <v>3789</v>
      </c>
      <c r="N3">
        <v>7411</v>
      </c>
      <c r="O3">
        <v>368</v>
      </c>
      <c r="P3">
        <v>393</v>
      </c>
      <c r="Q3">
        <v>316</v>
      </c>
      <c r="R3">
        <v>369</v>
      </c>
      <c r="S3">
        <v>352</v>
      </c>
      <c r="T3">
        <v>508</v>
      </c>
      <c r="U3">
        <v>475</v>
      </c>
      <c r="V3">
        <v>519</v>
      </c>
      <c r="W3">
        <v>1081</v>
      </c>
      <c r="X3">
        <v>483</v>
      </c>
      <c r="Y3">
        <v>156</v>
      </c>
      <c r="Z3">
        <v>1067</v>
      </c>
      <c r="AA3">
        <v>1424</v>
      </c>
      <c r="AD3" t="s">
        <v>129</v>
      </c>
      <c r="AE3" s="29">
        <v>4822</v>
      </c>
      <c r="AF3">
        <v>29959</v>
      </c>
      <c r="AG3">
        <v>4146</v>
      </c>
      <c r="AH3">
        <v>24385</v>
      </c>
    </row>
    <row r="4" spans="1:36" hidden="1">
      <c r="A4" s="40" t="s">
        <v>45</v>
      </c>
      <c r="B4" s="40">
        <v>16658</v>
      </c>
      <c r="C4" s="40">
        <v>30899</v>
      </c>
      <c r="D4" s="40">
        <v>78885</v>
      </c>
      <c r="E4" s="40">
        <v>85527</v>
      </c>
      <c r="F4" s="40">
        <v>47308</v>
      </c>
      <c r="G4" s="40">
        <v>81411</v>
      </c>
      <c r="H4" s="40">
        <v>35571</v>
      </c>
      <c r="I4" s="40">
        <v>48721</v>
      </c>
      <c r="J4" s="40">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73</v>
      </c>
      <c r="AE4" s="29">
        <v>10249</v>
      </c>
      <c r="AF4">
        <v>30497</v>
      </c>
      <c r="AG4">
        <v>11317</v>
      </c>
      <c r="AH4">
        <v>40299</v>
      </c>
    </row>
    <row r="5" spans="1:36" hidden="1">
      <c r="A5" s="40" t="s">
        <v>712</v>
      </c>
      <c r="B5" s="40">
        <v>1398</v>
      </c>
      <c r="C5" s="40">
        <v>1450</v>
      </c>
      <c r="D5" s="40">
        <v>1595</v>
      </c>
      <c r="E5" s="40">
        <v>1135</v>
      </c>
      <c r="F5" s="40">
        <v>997</v>
      </c>
      <c r="G5" s="40">
        <v>1326</v>
      </c>
      <c r="H5" s="40">
        <v>1041</v>
      </c>
      <c r="I5" s="40">
        <v>798</v>
      </c>
      <c r="J5" s="40">
        <v>627</v>
      </c>
      <c r="K5">
        <v>744</v>
      </c>
      <c r="L5">
        <v>533</v>
      </c>
      <c r="M5">
        <v>695</v>
      </c>
      <c r="N5">
        <v>1260</v>
      </c>
      <c r="O5">
        <v>273</v>
      </c>
      <c r="P5">
        <v>281</v>
      </c>
      <c r="Q5">
        <v>271</v>
      </c>
      <c r="R5">
        <v>250</v>
      </c>
      <c r="S5">
        <v>231</v>
      </c>
      <c r="T5">
        <v>274</v>
      </c>
      <c r="U5">
        <v>238</v>
      </c>
      <c r="V5">
        <v>252</v>
      </c>
      <c r="W5">
        <v>168</v>
      </c>
      <c r="X5">
        <v>283</v>
      </c>
      <c r="Y5">
        <v>170</v>
      </c>
      <c r="Z5">
        <v>162</v>
      </c>
      <c r="AA5">
        <v>272</v>
      </c>
      <c r="AD5" t="s">
        <v>31</v>
      </c>
      <c r="AE5" s="29">
        <v>26241</v>
      </c>
      <c r="AF5">
        <v>119613</v>
      </c>
      <c r="AG5">
        <v>21449</v>
      </c>
      <c r="AH5">
        <v>89404</v>
      </c>
    </row>
    <row r="6" spans="1:36" hidden="1">
      <c r="A6" s="40" t="s">
        <v>507</v>
      </c>
      <c r="B6" s="40">
        <v>3844</v>
      </c>
      <c r="C6" s="40">
        <v>4014</v>
      </c>
      <c r="D6" s="40">
        <v>4538</v>
      </c>
      <c r="E6" s="40">
        <v>5254</v>
      </c>
      <c r="F6" s="40">
        <v>4263</v>
      </c>
      <c r="G6" s="40">
        <v>2871</v>
      </c>
      <c r="H6" s="40">
        <v>5344</v>
      </c>
      <c r="I6" s="40">
        <v>3059</v>
      </c>
      <c r="J6" s="40">
        <v>3399</v>
      </c>
      <c r="K6">
        <v>3929</v>
      </c>
      <c r="L6">
        <v>4007</v>
      </c>
      <c r="M6">
        <v>4426</v>
      </c>
      <c r="N6">
        <v>4126</v>
      </c>
      <c r="O6">
        <v>967</v>
      </c>
      <c r="P6">
        <v>1074</v>
      </c>
      <c r="Q6">
        <v>966</v>
      </c>
      <c r="R6">
        <v>1242</v>
      </c>
      <c r="S6">
        <v>1147</v>
      </c>
      <c r="T6">
        <v>881</v>
      </c>
      <c r="U6">
        <v>878</v>
      </c>
      <c r="V6">
        <v>833</v>
      </c>
      <c r="W6">
        <v>864</v>
      </c>
      <c r="X6">
        <v>995</v>
      </c>
      <c r="Y6">
        <v>1181</v>
      </c>
      <c r="Z6">
        <v>1259</v>
      </c>
      <c r="AA6">
        <v>1148</v>
      </c>
      <c r="AD6" t="s">
        <v>28</v>
      </c>
      <c r="AE6" s="29">
        <v>20605</v>
      </c>
      <c r="AF6">
        <v>87723</v>
      </c>
      <c r="AG6">
        <v>17467</v>
      </c>
      <c r="AH6">
        <v>88572</v>
      </c>
    </row>
    <row r="7" spans="1:36" hidden="1">
      <c r="A7" s="40" t="s">
        <v>527</v>
      </c>
      <c r="B7" s="40">
        <v>5966</v>
      </c>
      <c r="C7" s="40">
        <v>5536</v>
      </c>
      <c r="D7" s="40">
        <v>4172</v>
      </c>
      <c r="E7" s="40">
        <v>4356</v>
      </c>
      <c r="F7" s="40">
        <v>3592</v>
      </c>
      <c r="G7" s="40">
        <v>3729</v>
      </c>
      <c r="H7" s="40">
        <v>4120</v>
      </c>
      <c r="I7" s="40">
        <v>3692</v>
      </c>
      <c r="J7" s="40">
        <v>4656</v>
      </c>
      <c r="K7">
        <v>4414</v>
      </c>
      <c r="L7">
        <v>4545</v>
      </c>
      <c r="M7">
        <v>4562</v>
      </c>
      <c r="N7">
        <v>4126</v>
      </c>
      <c r="O7">
        <v>1085</v>
      </c>
      <c r="P7">
        <v>973</v>
      </c>
      <c r="Q7">
        <v>761</v>
      </c>
      <c r="R7">
        <v>844</v>
      </c>
      <c r="S7">
        <v>776</v>
      </c>
      <c r="T7">
        <v>736</v>
      </c>
      <c r="U7">
        <v>760</v>
      </c>
      <c r="V7">
        <v>886</v>
      </c>
      <c r="W7">
        <v>993</v>
      </c>
      <c r="X7">
        <v>938</v>
      </c>
      <c r="Y7">
        <v>1001</v>
      </c>
      <c r="Z7">
        <v>987</v>
      </c>
      <c r="AA7">
        <v>926</v>
      </c>
      <c r="AD7" t="s">
        <v>519</v>
      </c>
      <c r="AE7" s="29">
        <v>6929</v>
      </c>
      <c r="AF7">
        <v>20535</v>
      </c>
      <c r="AG7">
        <v>6853</v>
      </c>
      <c r="AH7">
        <v>20846</v>
      </c>
    </row>
    <row r="8" spans="1:36" hidden="1">
      <c r="A8" s="40" t="s">
        <v>495</v>
      </c>
      <c r="B8" s="40">
        <v>1688</v>
      </c>
      <c r="C8" s="40">
        <v>1592</v>
      </c>
      <c r="D8" s="40">
        <v>1521</v>
      </c>
      <c r="E8" s="40">
        <v>1648</v>
      </c>
      <c r="F8" s="40">
        <v>1746</v>
      </c>
      <c r="G8" s="40">
        <v>1535</v>
      </c>
      <c r="H8" s="40">
        <v>1551</v>
      </c>
      <c r="I8" s="40">
        <v>1971</v>
      </c>
      <c r="J8" s="40">
        <v>2343</v>
      </c>
      <c r="K8">
        <v>2362</v>
      </c>
      <c r="L8">
        <v>1558</v>
      </c>
      <c r="M8">
        <v>1189</v>
      </c>
      <c r="N8">
        <v>4102</v>
      </c>
      <c r="O8">
        <v>348</v>
      </c>
      <c r="P8">
        <v>338</v>
      </c>
      <c r="Q8">
        <v>372</v>
      </c>
      <c r="R8">
        <v>366</v>
      </c>
      <c r="S8">
        <v>403</v>
      </c>
      <c r="T8">
        <v>328</v>
      </c>
      <c r="U8">
        <v>379</v>
      </c>
      <c r="V8">
        <v>466</v>
      </c>
      <c r="W8">
        <v>504</v>
      </c>
      <c r="X8">
        <v>536</v>
      </c>
      <c r="Y8">
        <v>430</v>
      </c>
      <c r="Z8">
        <v>296</v>
      </c>
      <c r="AA8">
        <v>553</v>
      </c>
      <c r="AD8" t="s">
        <v>37</v>
      </c>
      <c r="AE8" s="29">
        <v>2129</v>
      </c>
      <c r="AF8">
        <v>8488</v>
      </c>
      <c r="AG8">
        <v>2143</v>
      </c>
      <c r="AH8">
        <v>9087</v>
      </c>
    </row>
    <row r="9" spans="1:36" hidden="1">
      <c r="A9" s="40" t="s">
        <v>471</v>
      </c>
      <c r="B9" s="40">
        <v>2241</v>
      </c>
      <c r="C9" s="40">
        <v>2869</v>
      </c>
      <c r="D9" s="40">
        <v>2475</v>
      </c>
      <c r="E9" s="40">
        <v>2346</v>
      </c>
      <c r="F9" s="40">
        <v>2356</v>
      </c>
      <c r="G9" s="40">
        <v>2232</v>
      </c>
      <c r="H9" s="40">
        <v>2382</v>
      </c>
      <c r="I9" s="40">
        <v>2655</v>
      </c>
      <c r="J9" s="40">
        <v>2719</v>
      </c>
      <c r="K9">
        <v>3108</v>
      </c>
      <c r="L9">
        <v>2807</v>
      </c>
      <c r="M9">
        <v>2079</v>
      </c>
      <c r="N9">
        <v>4200</v>
      </c>
      <c r="O9">
        <v>822</v>
      </c>
      <c r="P9">
        <v>840</v>
      </c>
      <c r="Q9">
        <v>824</v>
      </c>
      <c r="R9">
        <v>668</v>
      </c>
      <c r="S9">
        <v>697</v>
      </c>
      <c r="T9">
        <v>695</v>
      </c>
      <c r="U9">
        <v>718</v>
      </c>
      <c r="V9">
        <v>757</v>
      </c>
      <c r="W9">
        <v>905</v>
      </c>
      <c r="X9">
        <v>998</v>
      </c>
      <c r="Y9">
        <v>1037</v>
      </c>
      <c r="Z9">
        <v>703</v>
      </c>
      <c r="AA9">
        <v>1185</v>
      </c>
      <c r="AD9" t="s">
        <v>283</v>
      </c>
      <c r="AE9" s="29">
        <v>11862</v>
      </c>
      <c r="AF9">
        <v>26335</v>
      </c>
      <c r="AG9">
        <v>11360</v>
      </c>
      <c r="AH9">
        <v>25016</v>
      </c>
    </row>
    <row r="10" spans="1:36" hidden="1">
      <c r="A10" s="40" t="s">
        <v>485</v>
      </c>
      <c r="B10" s="40">
        <v>4923</v>
      </c>
      <c r="C10" s="40">
        <v>5641</v>
      </c>
      <c r="D10" s="40">
        <v>4456</v>
      </c>
      <c r="E10" s="40">
        <v>4936</v>
      </c>
      <c r="F10" s="40">
        <v>5716</v>
      </c>
      <c r="G10" s="40">
        <v>6278</v>
      </c>
      <c r="H10" s="40">
        <v>5569</v>
      </c>
      <c r="I10" s="40">
        <v>5685</v>
      </c>
      <c r="J10" s="40">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527</v>
      </c>
      <c r="AE10" s="29">
        <v>4129</v>
      </c>
      <c r="AF10">
        <v>18813</v>
      </c>
      <c r="AG10">
        <v>5345</v>
      </c>
      <c r="AH10">
        <v>22943</v>
      </c>
    </row>
    <row r="11" spans="1:36" hidden="1">
      <c r="A11" s="40" t="s">
        <v>265</v>
      </c>
      <c r="B11" s="40">
        <v>861</v>
      </c>
      <c r="C11" s="40">
        <v>747</v>
      </c>
      <c r="D11" s="40">
        <v>763</v>
      </c>
      <c r="E11" s="40">
        <v>879</v>
      </c>
      <c r="F11" s="40">
        <v>857</v>
      </c>
      <c r="G11" s="40">
        <v>797</v>
      </c>
      <c r="H11" s="40">
        <v>772</v>
      </c>
      <c r="I11" s="40">
        <v>826</v>
      </c>
      <c r="J11" s="40">
        <v>821</v>
      </c>
      <c r="K11">
        <v>798</v>
      </c>
      <c r="L11">
        <v>649</v>
      </c>
      <c r="M11">
        <v>650</v>
      </c>
      <c r="N11">
        <v>1190</v>
      </c>
      <c r="O11">
        <v>171</v>
      </c>
      <c r="P11">
        <v>137</v>
      </c>
      <c r="Q11">
        <v>126</v>
      </c>
      <c r="R11">
        <v>178</v>
      </c>
      <c r="S11">
        <v>171</v>
      </c>
      <c r="T11">
        <v>179</v>
      </c>
      <c r="U11">
        <v>173</v>
      </c>
      <c r="V11">
        <v>174</v>
      </c>
      <c r="W11">
        <v>205</v>
      </c>
      <c r="X11">
        <v>189</v>
      </c>
      <c r="Y11">
        <v>180</v>
      </c>
      <c r="Z11">
        <v>152</v>
      </c>
      <c r="AA11">
        <v>228</v>
      </c>
      <c r="AD11" t="s">
        <v>45</v>
      </c>
      <c r="AE11" s="29">
        <v>25786</v>
      </c>
      <c r="AF11">
        <v>115850</v>
      </c>
      <c r="AG11">
        <v>23841</v>
      </c>
      <c r="AH11">
        <v>98104</v>
      </c>
    </row>
    <row r="12" spans="1:36" hidden="1">
      <c r="A12" s="40" t="s">
        <v>872</v>
      </c>
      <c r="B12" s="40">
        <v>4756</v>
      </c>
      <c r="C12" s="40">
        <v>4401</v>
      </c>
      <c r="D12" s="40">
        <v>3375</v>
      </c>
      <c r="E12" s="40">
        <v>2711</v>
      </c>
      <c r="F12" s="40">
        <v>2154</v>
      </c>
      <c r="G12" s="40">
        <v>2492</v>
      </c>
      <c r="H12" s="40">
        <v>2441</v>
      </c>
      <c r="I12" s="40">
        <v>2387</v>
      </c>
      <c r="J12" s="40">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111</v>
      </c>
      <c r="AE12" s="29">
        <v>4818</v>
      </c>
      <c r="AF12">
        <v>12139</v>
      </c>
      <c r="AG12">
        <v>3375</v>
      </c>
      <c r="AH12">
        <v>8797</v>
      </c>
    </row>
    <row r="13" spans="1:36" hidden="1">
      <c r="A13" s="40" t="s">
        <v>722</v>
      </c>
      <c r="B13" s="40">
        <v>532</v>
      </c>
      <c r="C13" s="40">
        <v>765</v>
      </c>
      <c r="D13" s="40">
        <v>1661</v>
      </c>
      <c r="E13" s="40">
        <v>674</v>
      </c>
      <c r="F13" s="40">
        <v>684</v>
      </c>
      <c r="G13" s="40">
        <v>1793</v>
      </c>
      <c r="H13" s="40">
        <v>963</v>
      </c>
      <c r="I13" s="40">
        <v>922</v>
      </c>
      <c r="J13" s="40">
        <v>637</v>
      </c>
      <c r="K13">
        <v>525</v>
      </c>
      <c r="L13">
        <v>470</v>
      </c>
      <c r="M13">
        <v>483</v>
      </c>
      <c r="N13">
        <v>494</v>
      </c>
      <c r="O13">
        <v>129</v>
      </c>
      <c r="P13">
        <v>168</v>
      </c>
      <c r="Q13">
        <v>265</v>
      </c>
      <c r="R13">
        <v>169</v>
      </c>
      <c r="S13">
        <v>145</v>
      </c>
      <c r="T13">
        <v>303</v>
      </c>
      <c r="U13">
        <v>216</v>
      </c>
      <c r="V13">
        <v>240</v>
      </c>
      <c r="W13">
        <v>174</v>
      </c>
      <c r="X13">
        <v>192</v>
      </c>
      <c r="Y13">
        <v>153</v>
      </c>
      <c r="Z13">
        <v>152</v>
      </c>
      <c r="AA13">
        <v>143</v>
      </c>
      <c r="AD13" t="s">
        <v>471</v>
      </c>
      <c r="AE13" s="29">
        <v>3732</v>
      </c>
      <c r="AF13">
        <v>12113</v>
      </c>
      <c r="AG13">
        <v>3441</v>
      </c>
      <c r="AH13">
        <v>11479</v>
      </c>
    </row>
    <row r="14" spans="1:36" hidden="1">
      <c r="A14" s="40" t="s">
        <v>425</v>
      </c>
      <c r="B14" s="40">
        <v>1912</v>
      </c>
      <c r="C14" s="40">
        <v>1956</v>
      </c>
      <c r="D14" s="40">
        <v>1740</v>
      </c>
      <c r="E14" s="40">
        <v>1413</v>
      </c>
      <c r="F14" s="40">
        <v>1833</v>
      </c>
      <c r="G14" s="40">
        <v>2677</v>
      </c>
      <c r="H14" s="40">
        <v>2190</v>
      </c>
      <c r="I14" s="40">
        <v>2027</v>
      </c>
      <c r="J14" s="40">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535</v>
      </c>
      <c r="AE14" s="29">
        <v>11641</v>
      </c>
      <c r="AF14">
        <v>28899</v>
      </c>
      <c r="AG14">
        <v>10424</v>
      </c>
      <c r="AH14">
        <v>27780</v>
      </c>
    </row>
    <row r="15" spans="1:36" hidden="1">
      <c r="A15" s="40" t="s">
        <v>273</v>
      </c>
      <c r="B15" s="40">
        <v>1255</v>
      </c>
      <c r="C15" s="40">
        <v>1309</v>
      </c>
      <c r="D15" s="40">
        <v>1188</v>
      </c>
      <c r="E15" s="40">
        <v>1177</v>
      </c>
      <c r="F15" s="40">
        <v>969</v>
      </c>
      <c r="G15" s="40">
        <v>930</v>
      </c>
      <c r="H15" s="40">
        <v>983</v>
      </c>
      <c r="I15" s="40">
        <v>1126</v>
      </c>
      <c r="J15" s="40">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537</v>
      </c>
      <c r="AE15" s="29">
        <v>7271</v>
      </c>
      <c r="AF15">
        <v>24464</v>
      </c>
      <c r="AG15">
        <v>10543</v>
      </c>
      <c r="AH15">
        <v>40468</v>
      </c>
    </row>
    <row r="16" spans="1:36" hidden="1">
      <c r="A16" s="40" t="s">
        <v>97</v>
      </c>
      <c r="B16" s="40">
        <v>2626</v>
      </c>
      <c r="C16" s="40">
        <v>3952</v>
      </c>
      <c r="D16" s="40">
        <v>4615</v>
      </c>
      <c r="E16" s="40">
        <v>2880</v>
      </c>
      <c r="F16" s="40">
        <v>2635</v>
      </c>
      <c r="G16" s="40">
        <v>2191</v>
      </c>
      <c r="H16" s="40">
        <v>2469</v>
      </c>
      <c r="I16" s="40">
        <v>2406</v>
      </c>
      <c r="J16" s="40">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56</v>
      </c>
      <c r="AE16" s="29">
        <v>4069</v>
      </c>
      <c r="AF16">
        <v>14752</v>
      </c>
      <c r="AG16">
        <v>3844</v>
      </c>
      <c r="AH16">
        <v>14485</v>
      </c>
    </row>
    <row r="17" spans="1:34" hidden="1">
      <c r="A17" s="40" t="s">
        <v>511</v>
      </c>
      <c r="B17" s="40">
        <v>2251</v>
      </c>
      <c r="C17" s="40">
        <v>1981</v>
      </c>
      <c r="D17" s="40">
        <v>2209</v>
      </c>
      <c r="E17" s="40">
        <v>1972</v>
      </c>
      <c r="F17" s="40">
        <v>2037</v>
      </c>
      <c r="G17" s="40">
        <v>1574</v>
      </c>
      <c r="H17" s="40">
        <v>1888</v>
      </c>
      <c r="I17" s="40">
        <v>1598</v>
      </c>
      <c r="J17" s="40">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395</v>
      </c>
      <c r="AE17" s="29">
        <v>3689</v>
      </c>
      <c r="AF17">
        <v>14117</v>
      </c>
      <c r="AG17">
        <v>3473</v>
      </c>
      <c r="AH17">
        <v>14892</v>
      </c>
    </row>
    <row r="18" spans="1:34" hidden="1">
      <c r="A18" s="40" t="s">
        <v>427</v>
      </c>
      <c r="B18" s="40">
        <v>2912</v>
      </c>
      <c r="C18" s="40">
        <v>3613</v>
      </c>
      <c r="D18" s="40">
        <v>3895</v>
      </c>
      <c r="E18" s="40">
        <v>3361</v>
      </c>
      <c r="F18" s="40">
        <v>2176</v>
      </c>
      <c r="G18" s="40">
        <v>2473</v>
      </c>
      <c r="H18" s="40">
        <v>1708</v>
      </c>
      <c r="I18" s="40">
        <v>1921</v>
      </c>
      <c r="J18" s="40">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263</v>
      </c>
      <c r="AE18" s="29">
        <v>1500</v>
      </c>
      <c r="AF18">
        <v>6351</v>
      </c>
      <c r="AH18">
        <v>0</v>
      </c>
    </row>
    <row r="19" spans="1:34" hidden="1">
      <c r="A19" s="40" t="s">
        <v>387</v>
      </c>
      <c r="B19" s="40">
        <v>0</v>
      </c>
      <c r="C19" s="40">
        <v>1748</v>
      </c>
      <c r="D19" s="40">
        <v>1392</v>
      </c>
      <c r="E19" s="40">
        <v>1702</v>
      </c>
      <c r="F19" s="40">
        <v>1694</v>
      </c>
      <c r="G19" s="40">
        <v>1549</v>
      </c>
      <c r="H19" s="40">
        <v>1385</v>
      </c>
      <c r="I19" s="40">
        <v>893</v>
      </c>
      <c r="J19" s="40">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447</v>
      </c>
      <c r="AE19" s="29">
        <v>2196</v>
      </c>
      <c r="AF19">
        <v>5001</v>
      </c>
      <c r="AG19">
        <v>2246</v>
      </c>
      <c r="AH19">
        <v>4686</v>
      </c>
    </row>
    <row r="20" spans="1:34" hidden="1">
      <c r="A20" s="40" t="s">
        <v>163</v>
      </c>
      <c r="B20" s="40">
        <v>1166</v>
      </c>
      <c r="C20" s="40">
        <v>1365</v>
      </c>
      <c r="D20" s="40">
        <v>1305</v>
      </c>
      <c r="E20" s="40">
        <v>1369</v>
      </c>
      <c r="F20" s="40">
        <v>1204</v>
      </c>
      <c r="G20" s="40">
        <v>1479</v>
      </c>
      <c r="H20" s="40">
        <v>2276</v>
      </c>
      <c r="I20" s="40">
        <v>2413</v>
      </c>
      <c r="J20" s="40">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393</v>
      </c>
      <c r="AE20" s="29">
        <v>1326</v>
      </c>
      <c r="AF20">
        <v>7012</v>
      </c>
      <c r="AH20">
        <v>0</v>
      </c>
    </row>
    <row r="21" spans="1:34" hidden="1">
      <c r="A21" s="40" t="s">
        <v>141</v>
      </c>
      <c r="B21" s="40">
        <v>0</v>
      </c>
      <c r="C21" s="40">
        <v>2043</v>
      </c>
      <c r="D21" s="40">
        <v>2010</v>
      </c>
      <c r="E21" s="40">
        <v>1973</v>
      </c>
      <c r="F21" s="40">
        <v>1304</v>
      </c>
      <c r="G21" s="40">
        <v>1219</v>
      </c>
      <c r="H21" s="40">
        <v>1175</v>
      </c>
      <c r="I21" s="40">
        <v>1201</v>
      </c>
      <c r="J21" s="40">
        <v>1105</v>
      </c>
      <c r="K21">
        <v>1069</v>
      </c>
      <c r="L21">
        <v>983</v>
      </c>
      <c r="M21">
        <v>992</v>
      </c>
      <c r="N21">
        <v>1228</v>
      </c>
      <c r="O21">
        <v>0</v>
      </c>
      <c r="P21">
        <v>795</v>
      </c>
      <c r="Q21">
        <v>769</v>
      </c>
      <c r="R21">
        <v>713</v>
      </c>
      <c r="S21">
        <v>483</v>
      </c>
      <c r="T21">
        <v>508</v>
      </c>
      <c r="U21">
        <v>479</v>
      </c>
      <c r="V21">
        <v>509</v>
      </c>
      <c r="W21">
        <v>484</v>
      </c>
      <c r="X21">
        <v>452</v>
      </c>
      <c r="Y21">
        <v>435</v>
      </c>
      <c r="Z21">
        <v>440</v>
      </c>
      <c r="AA21">
        <v>520</v>
      </c>
      <c r="AD21" t="s">
        <v>223</v>
      </c>
      <c r="AE21" s="29">
        <v>1109</v>
      </c>
      <c r="AF21">
        <v>3594</v>
      </c>
      <c r="AG21">
        <v>916</v>
      </c>
      <c r="AH21">
        <v>4179</v>
      </c>
    </row>
    <row r="22" spans="1:34" hidden="1">
      <c r="A22" s="40" t="s">
        <v>865</v>
      </c>
      <c r="B22" s="40">
        <v>805</v>
      </c>
      <c r="C22" s="40">
        <v>2222</v>
      </c>
      <c r="D22" s="40">
        <v>770</v>
      </c>
      <c r="E22" s="40">
        <v>1022</v>
      </c>
      <c r="F22" s="40">
        <v>847</v>
      </c>
      <c r="G22" s="40">
        <v>1065</v>
      </c>
      <c r="H22" s="40">
        <v>741</v>
      </c>
      <c r="I22" s="40">
        <v>957</v>
      </c>
      <c r="J22" s="40">
        <v>661</v>
      </c>
      <c r="K22">
        <v>1346</v>
      </c>
      <c r="L22">
        <v>643</v>
      </c>
      <c r="M22">
        <v>930</v>
      </c>
      <c r="N22">
        <v>1036</v>
      </c>
      <c r="O22">
        <v>135</v>
      </c>
      <c r="P22">
        <v>356</v>
      </c>
      <c r="Q22">
        <v>156</v>
      </c>
      <c r="R22">
        <v>237</v>
      </c>
      <c r="S22">
        <v>210</v>
      </c>
      <c r="T22">
        <v>292</v>
      </c>
      <c r="U22">
        <v>163</v>
      </c>
      <c r="V22">
        <v>266</v>
      </c>
      <c r="W22">
        <v>193</v>
      </c>
      <c r="X22">
        <v>328</v>
      </c>
      <c r="Y22">
        <v>224</v>
      </c>
      <c r="Z22">
        <v>274</v>
      </c>
      <c r="AA22">
        <v>298</v>
      </c>
      <c r="AD22" t="s">
        <v>50</v>
      </c>
      <c r="AE22" s="29">
        <v>4052</v>
      </c>
      <c r="AF22">
        <v>25148</v>
      </c>
      <c r="AG22">
        <v>2601</v>
      </c>
      <c r="AH22">
        <v>23557</v>
      </c>
    </row>
    <row r="23" spans="1:34" hidden="1">
      <c r="A23" s="40" t="s">
        <v>129</v>
      </c>
      <c r="B23" s="40">
        <v>2837</v>
      </c>
      <c r="C23" s="40">
        <v>3008</v>
      </c>
      <c r="D23" s="40">
        <v>3196</v>
      </c>
      <c r="E23" s="40">
        <v>8455</v>
      </c>
      <c r="F23" s="40">
        <v>7979</v>
      </c>
      <c r="G23" s="40">
        <v>10916</v>
      </c>
      <c r="H23" s="40">
        <v>6931</v>
      </c>
      <c r="I23" s="40">
        <v>7015</v>
      </c>
      <c r="J23" s="40">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443</v>
      </c>
      <c r="AE23" s="29">
        <v>1476</v>
      </c>
      <c r="AF23">
        <v>6959</v>
      </c>
      <c r="AH23">
        <v>0</v>
      </c>
    </row>
    <row r="24" spans="1:34" hidden="1">
      <c r="A24" s="40" t="s">
        <v>321</v>
      </c>
      <c r="B24" s="40">
        <v>1158</v>
      </c>
      <c r="C24" s="40">
        <v>1375</v>
      </c>
      <c r="D24" s="40">
        <v>622</v>
      </c>
      <c r="E24" s="40">
        <v>552</v>
      </c>
      <c r="F24" s="40">
        <v>735</v>
      </c>
      <c r="G24" s="40">
        <v>710</v>
      </c>
      <c r="H24" s="40">
        <v>805</v>
      </c>
      <c r="I24" s="40">
        <v>937</v>
      </c>
      <c r="J24" s="40">
        <v>1084</v>
      </c>
      <c r="K24">
        <v>746</v>
      </c>
      <c r="L24">
        <v>566</v>
      </c>
      <c r="M24">
        <v>528</v>
      </c>
      <c r="N24">
        <v>887</v>
      </c>
      <c r="O24">
        <v>54</v>
      </c>
      <c r="P24">
        <v>110</v>
      </c>
      <c r="Q24">
        <v>113</v>
      </c>
      <c r="R24">
        <v>81</v>
      </c>
      <c r="S24">
        <v>103</v>
      </c>
      <c r="T24">
        <v>126</v>
      </c>
      <c r="U24">
        <v>153</v>
      </c>
      <c r="V24">
        <v>216</v>
      </c>
      <c r="W24">
        <v>230</v>
      </c>
      <c r="X24">
        <v>141</v>
      </c>
      <c r="Y24">
        <v>111</v>
      </c>
      <c r="Z24">
        <v>89</v>
      </c>
      <c r="AA24">
        <v>182</v>
      </c>
      <c r="AD24" t="s">
        <v>22</v>
      </c>
      <c r="AE24" s="29">
        <v>14987</v>
      </c>
      <c r="AF24">
        <v>52476</v>
      </c>
      <c r="AG24">
        <v>15202</v>
      </c>
      <c r="AH24">
        <v>62646</v>
      </c>
    </row>
    <row r="25" spans="1:34" hidden="1">
      <c r="A25" s="40" t="s">
        <v>455</v>
      </c>
      <c r="B25" s="40">
        <v>1208</v>
      </c>
      <c r="C25" s="40">
        <v>1250</v>
      </c>
      <c r="D25" s="40">
        <v>871</v>
      </c>
      <c r="E25" s="40">
        <v>821</v>
      </c>
      <c r="F25" s="40">
        <v>689</v>
      </c>
      <c r="G25" s="40">
        <v>638</v>
      </c>
      <c r="H25" s="40">
        <v>695</v>
      </c>
      <c r="I25" s="40">
        <v>1739</v>
      </c>
      <c r="J25" s="40">
        <v>849</v>
      </c>
      <c r="K25">
        <v>938</v>
      </c>
      <c r="L25">
        <v>850</v>
      </c>
      <c r="M25">
        <v>913</v>
      </c>
      <c r="N25">
        <v>1214</v>
      </c>
      <c r="O25">
        <v>325</v>
      </c>
      <c r="P25">
        <v>361</v>
      </c>
      <c r="Q25">
        <v>290</v>
      </c>
      <c r="R25">
        <v>277</v>
      </c>
      <c r="S25">
        <v>274</v>
      </c>
      <c r="T25">
        <v>252</v>
      </c>
      <c r="U25">
        <v>291</v>
      </c>
      <c r="V25">
        <v>611</v>
      </c>
      <c r="W25">
        <v>332</v>
      </c>
      <c r="X25">
        <v>382</v>
      </c>
      <c r="Y25">
        <v>427</v>
      </c>
      <c r="Z25">
        <v>361</v>
      </c>
      <c r="AA25">
        <v>487</v>
      </c>
      <c r="AD25" t="s">
        <v>411</v>
      </c>
      <c r="AE25" s="29">
        <v>652</v>
      </c>
      <c r="AF25">
        <v>3797</v>
      </c>
      <c r="AG25">
        <v>750</v>
      </c>
      <c r="AH25">
        <v>3773</v>
      </c>
    </row>
    <row r="26" spans="1:34" hidden="1">
      <c r="A26" s="40" t="s">
        <v>401</v>
      </c>
      <c r="B26" s="40">
        <v>1350</v>
      </c>
      <c r="C26" s="40">
        <v>1572</v>
      </c>
      <c r="D26" s="40">
        <v>1531</v>
      </c>
      <c r="E26" s="40">
        <v>1099</v>
      </c>
      <c r="F26" s="40">
        <v>993</v>
      </c>
      <c r="G26" s="40">
        <v>953</v>
      </c>
      <c r="H26" s="40">
        <v>1321</v>
      </c>
      <c r="I26" s="40">
        <v>1159</v>
      </c>
      <c r="J26" s="40">
        <v>1280</v>
      </c>
      <c r="K26">
        <v>1374</v>
      </c>
      <c r="L26">
        <v>952</v>
      </c>
      <c r="M26">
        <v>1057</v>
      </c>
      <c r="N26">
        <v>1414</v>
      </c>
      <c r="O26">
        <v>184</v>
      </c>
      <c r="P26">
        <v>212</v>
      </c>
      <c r="Q26">
        <v>218</v>
      </c>
      <c r="R26">
        <v>166</v>
      </c>
      <c r="S26">
        <v>146</v>
      </c>
      <c r="T26">
        <v>129</v>
      </c>
      <c r="U26">
        <v>156</v>
      </c>
      <c r="V26">
        <v>159</v>
      </c>
      <c r="W26">
        <v>162</v>
      </c>
      <c r="X26">
        <v>200</v>
      </c>
      <c r="Y26">
        <v>166</v>
      </c>
      <c r="Z26">
        <v>220</v>
      </c>
      <c r="AA26">
        <v>235</v>
      </c>
      <c r="AD26" s="38" t="s">
        <v>355</v>
      </c>
      <c r="AE26" s="29">
        <v>1671</v>
      </c>
      <c r="AF26">
        <v>3766</v>
      </c>
      <c r="AG26">
        <v>1289</v>
      </c>
      <c r="AH26">
        <v>3350</v>
      </c>
    </row>
    <row r="27" spans="1:34" hidden="1">
      <c r="A27" s="40" t="s">
        <v>153</v>
      </c>
      <c r="B27" s="40">
        <v>665</v>
      </c>
      <c r="C27" s="40">
        <v>685</v>
      </c>
      <c r="D27" s="40">
        <v>512</v>
      </c>
      <c r="E27" s="40">
        <v>531</v>
      </c>
      <c r="F27" s="40">
        <v>543</v>
      </c>
      <c r="G27" s="40">
        <v>726</v>
      </c>
      <c r="H27" s="40">
        <v>571</v>
      </c>
      <c r="I27" s="40">
        <v>593</v>
      </c>
      <c r="J27" s="40">
        <v>602</v>
      </c>
      <c r="K27">
        <v>563</v>
      </c>
      <c r="L27">
        <v>564</v>
      </c>
      <c r="M27">
        <v>541</v>
      </c>
      <c r="N27">
        <v>685</v>
      </c>
      <c r="O27">
        <v>149</v>
      </c>
      <c r="P27">
        <v>135</v>
      </c>
      <c r="Q27">
        <v>100</v>
      </c>
      <c r="R27">
        <v>154</v>
      </c>
      <c r="S27">
        <v>168</v>
      </c>
      <c r="T27">
        <v>212</v>
      </c>
      <c r="U27">
        <v>154</v>
      </c>
      <c r="V27">
        <v>188</v>
      </c>
      <c r="W27">
        <v>209</v>
      </c>
      <c r="X27">
        <v>206</v>
      </c>
      <c r="Y27">
        <v>211</v>
      </c>
      <c r="Z27">
        <v>178</v>
      </c>
      <c r="AA27">
        <v>237</v>
      </c>
      <c r="AD27" t="s">
        <v>465</v>
      </c>
      <c r="AE27" s="29">
        <v>2656</v>
      </c>
      <c r="AF27">
        <v>14102</v>
      </c>
      <c r="AG27">
        <v>1956</v>
      </c>
      <c r="AH27">
        <v>10593</v>
      </c>
    </row>
    <row r="28" spans="1:34" hidden="1">
      <c r="A28" s="40" t="s">
        <v>143</v>
      </c>
      <c r="B28" s="40">
        <v>1234</v>
      </c>
      <c r="C28" s="40">
        <v>1378</v>
      </c>
      <c r="D28" s="40">
        <v>1315</v>
      </c>
      <c r="E28" s="40">
        <v>1069</v>
      </c>
      <c r="F28" s="40">
        <v>963</v>
      </c>
      <c r="G28" s="40">
        <v>1037</v>
      </c>
      <c r="H28" s="40">
        <v>872</v>
      </c>
      <c r="I28" s="40">
        <v>952</v>
      </c>
      <c r="J28" s="40">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199</v>
      </c>
      <c r="AE28" s="29">
        <v>596</v>
      </c>
      <c r="AF28">
        <v>3841</v>
      </c>
      <c r="AH28">
        <v>0</v>
      </c>
    </row>
    <row r="29" spans="1:34" hidden="1">
      <c r="A29" s="40" t="s">
        <v>56</v>
      </c>
      <c r="B29" s="40">
        <v>2643</v>
      </c>
      <c r="C29" s="40">
        <v>2194</v>
      </c>
      <c r="D29" s="40">
        <v>2460</v>
      </c>
      <c r="E29" s="40">
        <v>3131</v>
      </c>
      <c r="F29" s="40">
        <v>5169</v>
      </c>
      <c r="G29" s="40">
        <v>5311</v>
      </c>
      <c r="H29" s="40">
        <v>4351</v>
      </c>
      <c r="I29" s="40">
        <v>3748</v>
      </c>
      <c r="J29" s="40">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221</v>
      </c>
      <c r="AE29" s="29">
        <v>1681</v>
      </c>
      <c r="AF29">
        <v>7809</v>
      </c>
      <c r="AG29">
        <v>1626</v>
      </c>
      <c r="AH29">
        <v>6360</v>
      </c>
    </row>
    <row r="30" spans="1:34" hidden="1">
      <c r="A30" s="40" t="s">
        <v>161</v>
      </c>
      <c r="B30" s="40">
        <v>1291</v>
      </c>
      <c r="C30" s="40">
        <v>1246</v>
      </c>
      <c r="D30" s="40">
        <v>1323</v>
      </c>
      <c r="E30" s="40">
        <v>1384</v>
      </c>
      <c r="F30" s="40">
        <v>2896</v>
      </c>
      <c r="G30" s="40">
        <v>3091</v>
      </c>
      <c r="H30" s="40">
        <v>1801</v>
      </c>
      <c r="I30" s="40">
        <v>1312</v>
      </c>
      <c r="J30" s="40">
        <v>1316</v>
      </c>
      <c r="K30">
        <v>1231</v>
      </c>
      <c r="L30">
        <v>1033</v>
      </c>
      <c r="M30">
        <v>878</v>
      </c>
      <c r="N30">
        <v>1263</v>
      </c>
      <c r="O30">
        <v>128</v>
      </c>
      <c r="P30">
        <v>337</v>
      </c>
      <c r="Q30">
        <v>295</v>
      </c>
      <c r="R30">
        <v>320</v>
      </c>
      <c r="S30">
        <v>520</v>
      </c>
      <c r="T30">
        <v>495</v>
      </c>
      <c r="U30">
        <v>369</v>
      </c>
      <c r="V30">
        <v>309</v>
      </c>
      <c r="W30">
        <v>344</v>
      </c>
      <c r="X30">
        <v>306</v>
      </c>
      <c r="Y30">
        <v>274</v>
      </c>
      <c r="Z30">
        <v>224</v>
      </c>
      <c r="AA30">
        <v>343</v>
      </c>
      <c r="AD30" s="38" t="s">
        <v>131</v>
      </c>
      <c r="AE30" s="29">
        <v>1969</v>
      </c>
      <c r="AF30">
        <v>3186</v>
      </c>
      <c r="AG30">
        <v>1236</v>
      </c>
      <c r="AH30">
        <v>3337</v>
      </c>
    </row>
    <row r="31" spans="1:34" hidden="1">
      <c r="A31" s="40" t="s">
        <v>489</v>
      </c>
      <c r="B31" s="40">
        <v>1802</v>
      </c>
      <c r="C31" s="40">
        <v>2266</v>
      </c>
      <c r="D31" s="40">
        <v>2188</v>
      </c>
      <c r="E31" s="40">
        <v>2260</v>
      </c>
      <c r="F31" s="40">
        <v>1855</v>
      </c>
      <c r="G31" s="40">
        <v>1756</v>
      </c>
      <c r="H31" s="40">
        <v>1896</v>
      </c>
      <c r="I31" s="40">
        <v>1935</v>
      </c>
      <c r="J31" s="40">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8" t="s">
        <v>259</v>
      </c>
      <c r="AE31" s="29">
        <v>1923</v>
      </c>
      <c r="AF31">
        <v>7678</v>
      </c>
      <c r="AG31">
        <v>1586</v>
      </c>
      <c r="AH31">
        <v>6667</v>
      </c>
    </row>
    <row r="32" spans="1:34" hidden="1">
      <c r="A32" s="40" t="s">
        <v>371</v>
      </c>
      <c r="B32" s="40">
        <v>1697</v>
      </c>
      <c r="C32" s="40">
        <v>1662</v>
      </c>
      <c r="D32" s="40">
        <v>1362</v>
      </c>
      <c r="E32" s="40">
        <v>1046</v>
      </c>
      <c r="F32" s="40">
        <v>973</v>
      </c>
      <c r="G32" s="40">
        <v>1027</v>
      </c>
      <c r="H32" s="40">
        <v>1129</v>
      </c>
      <c r="I32" s="40">
        <v>893</v>
      </c>
      <c r="J32" s="40">
        <v>844</v>
      </c>
      <c r="K32">
        <v>759</v>
      </c>
      <c r="L32">
        <v>683</v>
      </c>
      <c r="M32">
        <v>552</v>
      </c>
      <c r="N32">
        <v>750</v>
      </c>
      <c r="O32">
        <v>377</v>
      </c>
      <c r="P32">
        <v>343</v>
      </c>
      <c r="Q32">
        <v>338</v>
      </c>
      <c r="R32">
        <v>274</v>
      </c>
      <c r="S32">
        <v>237</v>
      </c>
      <c r="T32">
        <v>236</v>
      </c>
      <c r="U32">
        <v>268</v>
      </c>
      <c r="V32">
        <v>203</v>
      </c>
      <c r="W32">
        <v>211</v>
      </c>
      <c r="X32">
        <v>204</v>
      </c>
      <c r="Y32">
        <v>192</v>
      </c>
      <c r="Z32">
        <v>164</v>
      </c>
      <c r="AA32">
        <v>204</v>
      </c>
      <c r="AD32" t="s">
        <v>473</v>
      </c>
      <c r="AE32" s="29">
        <v>1541</v>
      </c>
      <c r="AF32">
        <v>5675</v>
      </c>
      <c r="AG32">
        <v>1822</v>
      </c>
      <c r="AH32">
        <v>6730</v>
      </c>
    </row>
    <row r="33" spans="1:34" hidden="1">
      <c r="A33" s="40" t="s">
        <v>375</v>
      </c>
      <c r="B33" s="40">
        <v>2049</v>
      </c>
      <c r="C33" s="40">
        <v>2090</v>
      </c>
      <c r="D33" s="40">
        <v>1579</v>
      </c>
      <c r="E33" s="40">
        <v>1696</v>
      </c>
      <c r="F33" s="40">
        <v>1568</v>
      </c>
      <c r="G33" s="40">
        <v>1921</v>
      </c>
      <c r="H33" s="40">
        <v>1701</v>
      </c>
      <c r="I33" s="40">
        <v>1734</v>
      </c>
      <c r="J33" s="40">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201</v>
      </c>
      <c r="AE33" s="29">
        <v>2159</v>
      </c>
      <c r="AF33">
        <v>7520</v>
      </c>
      <c r="AG33">
        <v>2259</v>
      </c>
      <c r="AH33">
        <v>7860</v>
      </c>
    </row>
    <row r="34" spans="1:34" hidden="1">
      <c r="A34" s="40" t="s">
        <v>181</v>
      </c>
      <c r="B34" s="40">
        <v>0</v>
      </c>
      <c r="C34" s="40">
        <v>0</v>
      </c>
      <c r="D34" s="40">
        <v>0</v>
      </c>
      <c r="E34" s="40">
        <v>0</v>
      </c>
      <c r="F34" s="40">
        <v>0</v>
      </c>
      <c r="G34" s="40">
        <v>0</v>
      </c>
      <c r="H34" s="40">
        <v>0</v>
      </c>
      <c r="I34" s="40">
        <v>0</v>
      </c>
      <c r="J34" s="40">
        <v>825</v>
      </c>
      <c r="K34">
        <v>820</v>
      </c>
      <c r="L34">
        <v>1364</v>
      </c>
      <c r="M34">
        <v>677</v>
      </c>
      <c r="N34">
        <v>514</v>
      </c>
      <c r="O34">
        <v>0</v>
      </c>
      <c r="P34">
        <v>0</v>
      </c>
      <c r="Q34">
        <v>0</v>
      </c>
      <c r="R34">
        <v>0</v>
      </c>
      <c r="S34">
        <v>0</v>
      </c>
      <c r="T34">
        <v>0</v>
      </c>
      <c r="U34">
        <v>0</v>
      </c>
      <c r="V34">
        <v>0</v>
      </c>
      <c r="W34">
        <v>34</v>
      </c>
      <c r="X34">
        <v>202</v>
      </c>
      <c r="Y34">
        <v>493</v>
      </c>
      <c r="Z34">
        <v>45</v>
      </c>
      <c r="AA34">
        <v>141</v>
      </c>
      <c r="AD34" t="s">
        <v>367</v>
      </c>
      <c r="AE34" s="29">
        <v>1658</v>
      </c>
      <c r="AF34">
        <v>6313</v>
      </c>
      <c r="AG34">
        <v>1995</v>
      </c>
      <c r="AH34">
        <v>7785</v>
      </c>
    </row>
    <row r="35" spans="1:34" hidden="1">
      <c r="A35" s="40" t="s">
        <v>405</v>
      </c>
      <c r="B35" s="40">
        <v>1612</v>
      </c>
      <c r="C35" s="40">
        <v>1612</v>
      </c>
      <c r="D35" s="40">
        <v>1268</v>
      </c>
      <c r="E35" s="40">
        <v>1177</v>
      </c>
      <c r="F35" s="40">
        <v>1265</v>
      </c>
      <c r="G35" s="40">
        <v>1237</v>
      </c>
      <c r="H35" s="40">
        <v>1282</v>
      </c>
      <c r="I35" s="40">
        <v>1568</v>
      </c>
      <c r="J35" s="40">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467</v>
      </c>
      <c r="AE35" s="29">
        <v>1546</v>
      </c>
      <c r="AF35">
        <v>6817</v>
      </c>
      <c r="AH35">
        <v>0</v>
      </c>
    </row>
    <row r="36" spans="1:34" hidden="1">
      <c r="A36" s="40" t="s">
        <v>411</v>
      </c>
      <c r="B36" s="40">
        <v>1438</v>
      </c>
      <c r="C36" s="40">
        <v>1596</v>
      </c>
      <c r="D36" s="40">
        <v>1534</v>
      </c>
      <c r="E36" s="40">
        <v>1000</v>
      </c>
      <c r="F36" s="40">
        <v>813</v>
      </c>
      <c r="G36" s="40">
        <v>737</v>
      </c>
      <c r="H36" s="40">
        <v>772</v>
      </c>
      <c r="I36" s="40">
        <v>1128</v>
      </c>
      <c r="J36" s="40">
        <v>987</v>
      </c>
      <c r="K36">
        <v>807</v>
      </c>
      <c r="L36">
        <v>912</v>
      </c>
      <c r="M36">
        <v>972</v>
      </c>
      <c r="N36">
        <v>1050</v>
      </c>
      <c r="O36">
        <v>272</v>
      </c>
      <c r="P36">
        <v>327</v>
      </c>
      <c r="Q36">
        <v>237</v>
      </c>
      <c r="R36">
        <v>138</v>
      </c>
      <c r="S36">
        <v>119</v>
      </c>
      <c r="T36">
        <v>95</v>
      </c>
      <c r="U36">
        <v>111</v>
      </c>
      <c r="V36">
        <v>219</v>
      </c>
      <c r="W36">
        <v>156</v>
      </c>
      <c r="X36">
        <v>143</v>
      </c>
      <c r="Y36">
        <v>143</v>
      </c>
      <c r="Z36">
        <v>173</v>
      </c>
      <c r="AA36">
        <v>179</v>
      </c>
      <c r="AD36" t="s">
        <v>503</v>
      </c>
      <c r="AE36" s="29">
        <v>2684</v>
      </c>
      <c r="AF36">
        <v>10777</v>
      </c>
      <c r="AG36">
        <v>2343</v>
      </c>
      <c r="AH36">
        <v>9865</v>
      </c>
    </row>
    <row r="37" spans="1:34" hidden="1">
      <c r="A37" s="40" t="s">
        <v>877</v>
      </c>
      <c r="B37" s="40">
        <v>1173</v>
      </c>
      <c r="C37" s="40">
        <v>1416</v>
      </c>
      <c r="D37" s="40">
        <v>1415</v>
      </c>
      <c r="E37" s="40">
        <v>1937</v>
      </c>
      <c r="F37" s="40">
        <v>1513</v>
      </c>
      <c r="G37" s="40">
        <v>1190</v>
      </c>
      <c r="H37" s="40">
        <v>1096</v>
      </c>
      <c r="I37" s="40">
        <v>1043</v>
      </c>
      <c r="J37" s="40">
        <v>1008</v>
      </c>
      <c r="K37">
        <v>997</v>
      </c>
      <c r="L37">
        <v>831</v>
      </c>
      <c r="M37">
        <v>782</v>
      </c>
      <c r="N37">
        <v>1235</v>
      </c>
      <c r="O37">
        <v>508</v>
      </c>
      <c r="P37">
        <v>615</v>
      </c>
      <c r="Q37">
        <v>723</v>
      </c>
      <c r="R37">
        <v>929</v>
      </c>
      <c r="S37">
        <v>694</v>
      </c>
      <c r="T37">
        <v>571</v>
      </c>
      <c r="U37">
        <v>578</v>
      </c>
      <c r="V37">
        <v>556</v>
      </c>
      <c r="W37">
        <v>571</v>
      </c>
      <c r="X37">
        <v>519</v>
      </c>
      <c r="Y37">
        <v>487</v>
      </c>
      <c r="Z37">
        <v>443</v>
      </c>
      <c r="AA37">
        <v>672</v>
      </c>
      <c r="AD37" t="s">
        <v>483</v>
      </c>
      <c r="AE37" s="29">
        <v>4901</v>
      </c>
      <c r="AF37">
        <v>19375</v>
      </c>
      <c r="AG37">
        <v>5061</v>
      </c>
      <c r="AH37">
        <v>23565</v>
      </c>
    </row>
    <row r="38" spans="1:34" hidden="1">
      <c r="A38" s="40" t="s">
        <v>648</v>
      </c>
      <c r="B38" s="40">
        <v>520</v>
      </c>
      <c r="C38" s="40">
        <v>584</v>
      </c>
      <c r="D38" s="40">
        <v>493</v>
      </c>
      <c r="E38" s="40">
        <v>425</v>
      </c>
      <c r="F38" s="40">
        <v>379</v>
      </c>
      <c r="G38" s="40">
        <v>478</v>
      </c>
      <c r="H38" s="40">
        <v>501</v>
      </c>
      <c r="I38" s="40">
        <v>487</v>
      </c>
      <c r="J38" s="40">
        <v>540</v>
      </c>
      <c r="K38">
        <v>402</v>
      </c>
      <c r="L38">
        <v>381</v>
      </c>
      <c r="M38">
        <v>402</v>
      </c>
      <c r="N38">
        <v>534</v>
      </c>
      <c r="O38">
        <v>111</v>
      </c>
      <c r="P38">
        <v>166</v>
      </c>
      <c r="Q38">
        <v>127</v>
      </c>
      <c r="R38">
        <v>138</v>
      </c>
      <c r="S38">
        <v>137</v>
      </c>
      <c r="T38">
        <v>168</v>
      </c>
      <c r="U38">
        <v>208</v>
      </c>
      <c r="V38">
        <v>200</v>
      </c>
      <c r="W38">
        <v>198</v>
      </c>
      <c r="X38">
        <v>206</v>
      </c>
      <c r="Y38">
        <v>186</v>
      </c>
      <c r="Z38">
        <v>158</v>
      </c>
      <c r="AA38">
        <v>265</v>
      </c>
      <c r="AD38" t="s">
        <v>233</v>
      </c>
      <c r="AE38" s="29">
        <v>1150</v>
      </c>
      <c r="AF38">
        <v>3529</v>
      </c>
      <c r="AH38">
        <v>0</v>
      </c>
    </row>
    <row r="39" spans="1:34" hidden="1">
      <c r="A39" s="40" t="s">
        <v>535</v>
      </c>
      <c r="B39" s="40">
        <v>3440</v>
      </c>
      <c r="C39" s="40">
        <v>3745</v>
      </c>
      <c r="D39" s="40">
        <v>3270</v>
      </c>
      <c r="E39" s="40">
        <v>2648</v>
      </c>
      <c r="F39" s="40">
        <v>2103</v>
      </c>
      <c r="G39" s="40">
        <v>2343</v>
      </c>
      <c r="H39" s="40">
        <v>3264</v>
      </c>
      <c r="I39" s="40">
        <v>2287</v>
      </c>
      <c r="J39" s="40">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525</v>
      </c>
      <c r="AE39" s="29">
        <v>3490</v>
      </c>
      <c r="AF39">
        <v>18684</v>
      </c>
      <c r="AG39">
        <v>4073</v>
      </c>
      <c r="AH39">
        <v>21724</v>
      </c>
    </row>
    <row r="40" spans="1:34" hidden="1">
      <c r="A40" s="40" t="s">
        <v>685</v>
      </c>
      <c r="B40" s="40">
        <v>520</v>
      </c>
      <c r="C40" s="40">
        <v>405</v>
      </c>
      <c r="D40" s="40">
        <v>397</v>
      </c>
      <c r="E40" s="40">
        <v>425</v>
      </c>
      <c r="F40" s="40">
        <v>312</v>
      </c>
      <c r="G40" s="40">
        <v>227</v>
      </c>
      <c r="H40" s="40">
        <v>265</v>
      </c>
      <c r="I40" s="40">
        <v>201</v>
      </c>
      <c r="J40" s="40">
        <v>246</v>
      </c>
      <c r="K40">
        <v>185</v>
      </c>
      <c r="L40">
        <v>164</v>
      </c>
      <c r="M40">
        <v>187</v>
      </c>
      <c r="N40">
        <v>236</v>
      </c>
      <c r="O40">
        <v>196</v>
      </c>
      <c r="P40">
        <v>143</v>
      </c>
      <c r="Q40">
        <v>172</v>
      </c>
      <c r="R40">
        <v>176</v>
      </c>
      <c r="S40">
        <v>158</v>
      </c>
      <c r="T40">
        <v>116</v>
      </c>
      <c r="U40">
        <v>173</v>
      </c>
      <c r="V40">
        <v>144</v>
      </c>
      <c r="W40">
        <v>126</v>
      </c>
      <c r="X40">
        <v>125</v>
      </c>
      <c r="Y40">
        <v>104</v>
      </c>
      <c r="Z40">
        <v>90</v>
      </c>
      <c r="AA40">
        <v>143</v>
      </c>
      <c r="AD40" t="s">
        <v>155</v>
      </c>
      <c r="AE40" s="29">
        <v>973</v>
      </c>
      <c r="AF40">
        <v>4096</v>
      </c>
      <c r="AH40">
        <v>0</v>
      </c>
    </row>
    <row r="41" spans="1:34" hidden="1">
      <c r="A41" s="40" t="s">
        <v>457</v>
      </c>
      <c r="B41" s="40">
        <v>4037</v>
      </c>
      <c r="C41" s="40">
        <v>3903</v>
      </c>
      <c r="D41" s="40">
        <v>3419</v>
      </c>
      <c r="E41" s="40">
        <v>3701</v>
      </c>
      <c r="F41" s="40">
        <v>2603</v>
      </c>
      <c r="G41" s="40">
        <v>2448</v>
      </c>
      <c r="H41" s="40">
        <v>2013</v>
      </c>
      <c r="I41" s="40">
        <v>1537</v>
      </c>
      <c r="J41" s="40">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197</v>
      </c>
      <c r="AE41" s="29">
        <v>1611</v>
      </c>
      <c r="AF41">
        <v>4335</v>
      </c>
      <c r="AG41">
        <v>1357</v>
      </c>
      <c r="AH41">
        <v>2617</v>
      </c>
    </row>
    <row r="42" spans="1:34" hidden="1">
      <c r="A42" s="40" t="s">
        <v>634</v>
      </c>
      <c r="B42" s="40">
        <v>2406</v>
      </c>
      <c r="C42" s="40">
        <v>2851</v>
      </c>
      <c r="D42" s="40">
        <v>2786</v>
      </c>
      <c r="E42" s="40">
        <v>2649</v>
      </c>
      <c r="F42" s="40">
        <v>2343</v>
      </c>
      <c r="G42" s="40">
        <v>2072</v>
      </c>
      <c r="H42" s="40">
        <v>1866</v>
      </c>
      <c r="I42" s="40">
        <v>1847</v>
      </c>
      <c r="J42" s="40">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147</v>
      </c>
      <c r="AE42" s="29">
        <v>2321</v>
      </c>
      <c r="AF42">
        <v>21220</v>
      </c>
      <c r="AG42">
        <v>2515</v>
      </c>
      <c r="AH42">
        <v>18482</v>
      </c>
    </row>
    <row r="43" spans="1:34" hidden="1">
      <c r="A43" s="40" t="s">
        <v>779</v>
      </c>
      <c r="B43" s="40">
        <v>639</v>
      </c>
      <c r="C43" s="40">
        <v>656</v>
      </c>
      <c r="D43" s="40">
        <v>555</v>
      </c>
      <c r="E43" s="40">
        <v>594</v>
      </c>
      <c r="F43" s="40">
        <v>550</v>
      </c>
      <c r="G43" s="40">
        <v>465</v>
      </c>
      <c r="H43" s="40">
        <v>502</v>
      </c>
      <c r="I43" s="40">
        <v>452</v>
      </c>
      <c r="J43" s="40">
        <v>383</v>
      </c>
      <c r="K43">
        <v>524</v>
      </c>
      <c r="L43">
        <v>338</v>
      </c>
      <c r="M43">
        <v>450</v>
      </c>
      <c r="N43">
        <v>692</v>
      </c>
      <c r="O43">
        <v>169</v>
      </c>
      <c r="P43">
        <v>177</v>
      </c>
      <c r="Q43">
        <v>168</v>
      </c>
      <c r="R43">
        <v>156</v>
      </c>
      <c r="S43">
        <v>200</v>
      </c>
      <c r="T43">
        <v>169</v>
      </c>
      <c r="U43">
        <v>159</v>
      </c>
      <c r="V43">
        <v>145</v>
      </c>
      <c r="W43">
        <v>136</v>
      </c>
      <c r="X43">
        <v>167</v>
      </c>
      <c r="Y43">
        <v>115</v>
      </c>
      <c r="Z43">
        <v>138</v>
      </c>
      <c r="AA43">
        <v>208</v>
      </c>
      <c r="AD43" t="s">
        <v>79</v>
      </c>
      <c r="AE43" s="29">
        <v>2223</v>
      </c>
      <c r="AF43">
        <v>12395</v>
      </c>
      <c r="AG43">
        <v>2088</v>
      </c>
      <c r="AH43">
        <v>12498</v>
      </c>
    </row>
    <row r="44" spans="1:34" hidden="1">
      <c r="A44" s="40" t="s">
        <v>765</v>
      </c>
      <c r="B44" s="40">
        <v>775</v>
      </c>
      <c r="C44" s="40">
        <v>731</v>
      </c>
      <c r="D44" s="40">
        <v>667</v>
      </c>
      <c r="E44" s="40">
        <v>630</v>
      </c>
      <c r="F44" s="40">
        <v>391</v>
      </c>
      <c r="G44" s="40">
        <v>443</v>
      </c>
      <c r="H44" s="40">
        <v>465</v>
      </c>
      <c r="I44" s="40">
        <v>548</v>
      </c>
      <c r="J44" s="40">
        <v>560</v>
      </c>
      <c r="K44">
        <v>541</v>
      </c>
      <c r="L44">
        <v>589</v>
      </c>
      <c r="M44">
        <v>603</v>
      </c>
      <c r="N44">
        <v>566</v>
      </c>
      <c r="O44">
        <v>225</v>
      </c>
      <c r="P44">
        <v>224</v>
      </c>
      <c r="Q44">
        <v>209</v>
      </c>
      <c r="R44">
        <v>214</v>
      </c>
      <c r="S44">
        <v>176</v>
      </c>
      <c r="T44">
        <v>185</v>
      </c>
      <c r="U44">
        <v>200</v>
      </c>
      <c r="V44">
        <v>235</v>
      </c>
      <c r="W44">
        <v>241</v>
      </c>
      <c r="X44">
        <v>223</v>
      </c>
      <c r="Y44">
        <v>285</v>
      </c>
      <c r="Z44">
        <v>224</v>
      </c>
      <c r="AA44">
        <v>287</v>
      </c>
      <c r="AD44" t="s">
        <v>391</v>
      </c>
      <c r="AE44" s="29">
        <v>741</v>
      </c>
      <c r="AF44">
        <v>2337</v>
      </c>
      <c r="AG44">
        <v>580</v>
      </c>
      <c r="AH44">
        <v>1736</v>
      </c>
    </row>
    <row r="45" spans="1:34" hidden="1">
      <c r="A45" s="40" t="s">
        <v>881</v>
      </c>
      <c r="B45" s="40">
        <v>4597</v>
      </c>
      <c r="C45" s="40">
        <v>4821</v>
      </c>
      <c r="D45" s="40">
        <v>4592</v>
      </c>
      <c r="E45" s="40">
        <v>4863</v>
      </c>
      <c r="F45" s="40">
        <v>4459</v>
      </c>
      <c r="G45" s="40">
        <v>3738</v>
      </c>
      <c r="H45" s="40">
        <v>3250</v>
      </c>
      <c r="I45" s="40">
        <v>2725</v>
      </c>
      <c r="J45" s="40">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39</v>
      </c>
      <c r="AE45" s="29">
        <v>1931</v>
      </c>
      <c r="AF45">
        <v>6561</v>
      </c>
      <c r="AG45">
        <v>890</v>
      </c>
      <c r="AH45">
        <v>2945</v>
      </c>
    </row>
    <row r="46" spans="1:34" hidden="1">
      <c r="A46" s="40" t="s">
        <v>652</v>
      </c>
      <c r="B46" s="40">
        <v>1517</v>
      </c>
      <c r="C46" s="40">
        <v>1163</v>
      </c>
      <c r="D46" s="40">
        <v>772</v>
      </c>
      <c r="E46" s="40">
        <v>568</v>
      </c>
      <c r="F46" s="40">
        <v>433</v>
      </c>
      <c r="G46" s="40">
        <v>366</v>
      </c>
      <c r="H46" s="40">
        <v>467</v>
      </c>
      <c r="I46" s="40">
        <v>512</v>
      </c>
      <c r="J46" s="40">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531</v>
      </c>
      <c r="AE46" s="29">
        <v>1390</v>
      </c>
      <c r="AF46">
        <v>8504</v>
      </c>
      <c r="AH46">
        <v>0</v>
      </c>
    </row>
    <row r="47" spans="1:34" hidden="1">
      <c r="A47" s="40" t="s">
        <v>475</v>
      </c>
      <c r="B47" s="40">
        <v>2202</v>
      </c>
      <c r="C47" s="40">
        <v>2261</v>
      </c>
      <c r="D47" s="40">
        <v>2587</v>
      </c>
      <c r="E47" s="40">
        <v>1966</v>
      </c>
      <c r="F47" s="40">
        <v>1833</v>
      </c>
      <c r="G47" s="40">
        <v>1661</v>
      </c>
      <c r="H47" s="40">
        <v>1989</v>
      </c>
      <c r="I47" s="40">
        <v>2059</v>
      </c>
      <c r="J47" s="40">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8" t="s">
        <v>65</v>
      </c>
      <c r="AE47" s="29">
        <v>940</v>
      </c>
      <c r="AF47">
        <v>3810</v>
      </c>
      <c r="AG47">
        <v>1019</v>
      </c>
      <c r="AH47">
        <v>5786</v>
      </c>
    </row>
    <row r="48" spans="1:34" hidden="1">
      <c r="A48" s="40" t="s">
        <v>373</v>
      </c>
      <c r="B48" s="40">
        <v>1165</v>
      </c>
      <c r="C48" s="40">
        <v>1108</v>
      </c>
      <c r="D48" s="40">
        <v>2964</v>
      </c>
      <c r="E48" s="40">
        <v>8</v>
      </c>
      <c r="F48" s="40">
        <v>0</v>
      </c>
      <c r="G48" s="40">
        <v>626</v>
      </c>
      <c r="H48" s="40">
        <v>1040</v>
      </c>
      <c r="I48" s="40">
        <v>1161</v>
      </c>
      <c r="J48" s="40">
        <v>1011</v>
      </c>
      <c r="K48">
        <v>943</v>
      </c>
      <c r="L48">
        <v>618</v>
      </c>
      <c r="M48">
        <v>631</v>
      </c>
      <c r="N48">
        <v>782</v>
      </c>
      <c r="O48">
        <v>202</v>
      </c>
      <c r="P48">
        <v>180</v>
      </c>
      <c r="Q48">
        <v>610</v>
      </c>
      <c r="R48">
        <v>1</v>
      </c>
      <c r="S48">
        <v>0</v>
      </c>
      <c r="T48">
        <v>85</v>
      </c>
      <c r="U48">
        <v>240</v>
      </c>
      <c r="V48">
        <v>226</v>
      </c>
      <c r="W48">
        <v>214</v>
      </c>
      <c r="X48">
        <v>176</v>
      </c>
      <c r="Y48">
        <v>105</v>
      </c>
      <c r="Z48">
        <v>149</v>
      </c>
      <c r="AA48">
        <v>156</v>
      </c>
      <c r="AD48" t="s">
        <v>149</v>
      </c>
      <c r="AE48" s="29">
        <v>3488</v>
      </c>
      <c r="AF48">
        <v>16265</v>
      </c>
      <c r="AH48">
        <v>0</v>
      </c>
    </row>
    <row r="49" spans="1:34" hidden="1">
      <c r="A49" s="40" t="s">
        <v>675</v>
      </c>
      <c r="B49" s="40">
        <v>789</v>
      </c>
      <c r="C49" s="40">
        <v>638</v>
      </c>
      <c r="D49" s="40">
        <v>560</v>
      </c>
      <c r="E49" s="40">
        <v>595</v>
      </c>
      <c r="F49" s="40">
        <v>668</v>
      </c>
      <c r="G49" s="40">
        <v>611</v>
      </c>
      <c r="H49" s="40">
        <v>761</v>
      </c>
      <c r="I49" s="40">
        <v>780</v>
      </c>
      <c r="J49" s="40">
        <v>653</v>
      </c>
      <c r="K49">
        <v>783</v>
      </c>
      <c r="L49">
        <v>937</v>
      </c>
      <c r="M49">
        <v>780</v>
      </c>
      <c r="N49">
        <v>968</v>
      </c>
      <c r="O49">
        <v>275</v>
      </c>
      <c r="P49">
        <v>276</v>
      </c>
      <c r="Q49">
        <v>276</v>
      </c>
      <c r="R49">
        <v>278</v>
      </c>
      <c r="S49">
        <v>308</v>
      </c>
      <c r="T49">
        <v>290</v>
      </c>
      <c r="U49">
        <v>378</v>
      </c>
      <c r="V49">
        <v>367</v>
      </c>
      <c r="W49">
        <v>315</v>
      </c>
      <c r="X49">
        <v>403</v>
      </c>
      <c r="Y49">
        <v>498</v>
      </c>
      <c r="Z49">
        <v>410</v>
      </c>
      <c r="AA49">
        <v>531</v>
      </c>
      <c r="AD49" t="s">
        <v>493</v>
      </c>
      <c r="AE49" s="29">
        <v>5377</v>
      </c>
      <c r="AF49">
        <v>25769</v>
      </c>
      <c r="AG49">
        <v>5780</v>
      </c>
      <c r="AH49">
        <v>29652</v>
      </c>
    </row>
    <row r="50" spans="1:34" hidden="1">
      <c r="A50" s="40" t="s">
        <v>761</v>
      </c>
      <c r="B50" s="40">
        <v>598</v>
      </c>
      <c r="C50" s="40">
        <v>376</v>
      </c>
      <c r="D50" s="40">
        <v>314</v>
      </c>
      <c r="E50" s="40">
        <v>285</v>
      </c>
      <c r="F50" s="40">
        <v>298</v>
      </c>
      <c r="G50" s="40">
        <v>282</v>
      </c>
      <c r="H50" s="40">
        <v>327</v>
      </c>
      <c r="I50" s="40">
        <v>376</v>
      </c>
      <c r="J50" s="40">
        <v>344</v>
      </c>
      <c r="K50">
        <v>251</v>
      </c>
      <c r="L50">
        <v>288</v>
      </c>
      <c r="M50">
        <v>269</v>
      </c>
      <c r="N50">
        <v>411</v>
      </c>
      <c r="O50">
        <v>210</v>
      </c>
      <c r="P50">
        <v>147</v>
      </c>
      <c r="Q50">
        <v>148</v>
      </c>
      <c r="R50">
        <v>123</v>
      </c>
      <c r="S50">
        <v>135</v>
      </c>
      <c r="T50">
        <v>114</v>
      </c>
      <c r="U50">
        <v>137</v>
      </c>
      <c r="V50">
        <v>182</v>
      </c>
      <c r="W50">
        <v>167</v>
      </c>
      <c r="X50">
        <v>139</v>
      </c>
      <c r="Y50">
        <v>132</v>
      </c>
      <c r="Z50">
        <v>114</v>
      </c>
      <c r="AA50">
        <v>159</v>
      </c>
      <c r="AD50" t="s">
        <v>169</v>
      </c>
      <c r="AE50" s="29">
        <v>633</v>
      </c>
      <c r="AF50">
        <v>2757</v>
      </c>
      <c r="AH50">
        <v>0</v>
      </c>
    </row>
    <row r="51" spans="1:34" hidden="1">
      <c r="A51" s="40" t="s">
        <v>395</v>
      </c>
      <c r="B51" s="40">
        <v>3107</v>
      </c>
      <c r="C51" s="40">
        <v>2997</v>
      </c>
      <c r="D51" s="40">
        <v>6966</v>
      </c>
      <c r="E51" s="40">
        <v>2340</v>
      </c>
      <c r="F51" s="40">
        <v>1935</v>
      </c>
      <c r="G51" s="40">
        <v>2093</v>
      </c>
      <c r="H51" s="40">
        <v>1135</v>
      </c>
      <c r="I51" s="40">
        <v>2075</v>
      </c>
      <c r="J51" s="40">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185</v>
      </c>
      <c r="AE51" s="29">
        <v>1412</v>
      </c>
      <c r="AF51">
        <v>5438</v>
      </c>
      <c r="AG51">
        <v>1615</v>
      </c>
      <c r="AH51">
        <v>5779</v>
      </c>
    </row>
    <row r="52" spans="1:34" hidden="1">
      <c r="A52" s="40" t="s">
        <v>281</v>
      </c>
      <c r="B52" s="40">
        <v>1714</v>
      </c>
      <c r="C52" s="40">
        <v>1951</v>
      </c>
      <c r="D52" s="40">
        <v>1431</v>
      </c>
      <c r="E52" s="40">
        <v>1568</v>
      </c>
      <c r="F52" s="40">
        <v>1278</v>
      </c>
      <c r="G52" s="40">
        <v>880</v>
      </c>
      <c r="H52" s="40">
        <v>971</v>
      </c>
      <c r="I52" s="40">
        <v>712</v>
      </c>
      <c r="J52" s="40">
        <v>1022</v>
      </c>
      <c r="K52">
        <v>904</v>
      </c>
      <c r="L52">
        <v>845</v>
      </c>
      <c r="M52">
        <v>764</v>
      </c>
      <c r="N52">
        <v>962</v>
      </c>
      <c r="O52">
        <v>290</v>
      </c>
      <c r="P52">
        <v>329</v>
      </c>
      <c r="Q52">
        <v>287</v>
      </c>
      <c r="R52">
        <v>267</v>
      </c>
      <c r="S52">
        <v>216</v>
      </c>
      <c r="T52">
        <v>192</v>
      </c>
      <c r="U52">
        <v>240</v>
      </c>
      <c r="V52">
        <v>217</v>
      </c>
      <c r="W52">
        <v>204</v>
      </c>
      <c r="X52">
        <v>234</v>
      </c>
      <c r="Y52">
        <v>239</v>
      </c>
      <c r="Z52">
        <v>213</v>
      </c>
      <c r="AA52">
        <v>274</v>
      </c>
      <c r="AD52" t="s">
        <v>459</v>
      </c>
      <c r="AE52" s="29">
        <v>829</v>
      </c>
      <c r="AF52">
        <v>3547</v>
      </c>
      <c r="AH52">
        <v>0</v>
      </c>
    </row>
    <row r="53" spans="1:34" hidden="1">
      <c r="A53" s="40" t="s">
        <v>185</v>
      </c>
      <c r="B53" s="40">
        <v>0</v>
      </c>
      <c r="C53" s="40">
        <v>0</v>
      </c>
      <c r="D53" s="40">
        <v>0</v>
      </c>
      <c r="E53" s="40">
        <v>0</v>
      </c>
      <c r="F53" s="40">
        <v>1346</v>
      </c>
      <c r="G53" s="40">
        <v>1294</v>
      </c>
      <c r="H53" s="40">
        <v>1208</v>
      </c>
      <c r="I53" s="40">
        <v>1210</v>
      </c>
      <c r="J53" s="40">
        <v>1161</v>
      </c>
      <c r="K53">
        <v>1136</v>
      </c>
      <c r="L53">
        <v>1060</v>
      </c>
      <c r="M53">
        <v>912</v>
      </c>
      <c r="N53">
        <v>1478</v>
      </c>
      <c r="O53">
        <v>0</v>
      </c>
      <c r="P53">
        <v>0</v>
      </c>
      <c r="Q53">
        <v>0</v>
      </c>
      <c r="R53">
        <v>0</v>
      </c>
      <c r="S53">
        <v>389</v>
      </c>
      <c r="T53">
        <v>384</v>
      </c>
      <c r="U53">
        <v>323</v>
      </c>
      <c r="V53">
        <v>350</v>
      </c>
      <c r="W53">
        <v>336</v>
      </c>
      <c r="X53">
        <v>331</v>
      </c>
      <c r="Y53">
        <v>309</v>
      </c>
      <c r="Z53">
        <v>267</v>
      </c>
      <c r="AA53">
        <v>409</v>
      </c>
      <c r="AD53" t="s">
        <v>333</v>
      </c>
      <c r="AE53" s="29">
        <v>3176</v>
      </c>
      <c r="AF53">
        <v>14241</v>
      </c>
      <c r="AG53">
        <v>2909</v>
      </c>
      <c r="AH53">
        <v>12706</v>
      </c>
    </row>
    <row r="54" spans="1:34" hidden="1">
      <c r="A54" s="40" t="s">
        <v>323</v>
      </c>
      <c r="B54" s="40">
        <v>1713</v>
      </c>
      <c r="C54" s="40">
        <v>2945</v>
      </c>
      <c r="D54" s="40">
        <v>4035</v>
      </c>
      <c r="E54" s="40">
        <v>1162</v>
      </c>
      <c r="F54" s="40">
        <v>888</v>
      </c>
      <c r="G54" s="40">
        <v>964</v>
      </c>
      <c r="H54" s="40">
        <v>928</v>
      </c>
      <c r="I54" s="40">
        <v>975</v>
      </c>
      <c r="J54" s="40">
        <v>957</v>
      </c>
      <c r="K54">
        <v>893</v>
      </c>
      <c r="L54">
        <v>838</v>
      </c>
      <c r="M54">
        <v>850</v>
      </c>
      <c r="N54">
        <v>1169</v>
      </c>
      <c r="O54">
        <v>321</v>
      </c>
      <c r="P54">
        <v>480</v>
      </c>
      <c r="Q54">
        <v>520</v>
      </c>
      <c r="R54">
        <v>342</v>
      </c>
      <c r="S54">
        <v>289</v>
      </c>
      <c r="T54">
        <v>244</v>
      </c>
      <c r="U54">
        <v>235</v>
      </c>
      <c r="V54">
        <v>308</v>
      </c>
      <c r="W54">
        <v>285</v>
      </c>
      <c r="X54">
        <v>268</v>
      </c>
      <c r="Y54">
        <v>233</v>
      </c>
      <c r="Z54">
        <v>263</v>
      </c>
      <c r="AA54">
        <v>365</v>
      </c>
      <c r="AD54" t="s">
        <v>419</v>
      </c>
      <c r="AE54" s="29">
        <v>775</v>
      </c>
      <c r="AF54">
        <v>3944</v>
      </c>
      <c r="AH54">
        <v>0</v>
      </c>
    </row>
    <row r="55" spans="1:34" hidden="1">
      <c r="A55" s="40" t="s">
        <v>1209</v>
      </c>
      <c r="B55" s="40">
        <v>0</v>
      </c>
      <c r="C55" s="40">
        <v>0</v>
      </c>
      <c r="D55" s="40">
        <v>0</v>
      </c>
      <c r="E55" s="40">
        <v>0</v>
      </c>
      <c r="F55" s="40">
        <v>0</v>
      </c>
      <c r="G55" s="40">
        <v>0</v>
      </c>
      <c r="H55" s="40">
        <v>0</v>
      </c>
      <c r="I55" s="40">
        <v>0</v>
      </c>
      <c r="J55" s="40">
        <v>0</v>
      </c>
      <c r="K55">
        <v>692</v>
      </c>
      <c r="L55">
        <v>130</v>
      </c>
      <c r="M55">
        <v>487</v>
      </c>
      <c r="N55">
        <v>78</v>
      </c>
      <c r="O55">
        <v>0</v>
      </c>
      <c r="P55">
        <v>0</v>
      </c>
      <c r="Q55">
        <v>0</v>
      </c>
      <c r="R55">
        <v>0</v>
      </c>
      <c r="S55">
        <v>0</v>
      </c>
      <c r="T55">
        <v>0</v>
      </c>
      <c r="U55">
        <v>0</v>
      </c>
      <c r="V55">
        <v>0</v>
      </c>
      <c r="W55">
        <v>0</v>
      </c>
      <c r="X55">
        <v>2</v>
      </c>
      <c r="Y55">
        <v>27</v>
      </c>
      <c r="Z55">
        <v>45</v>
      </c>
      <c r="AA55">
        <v>1</v>
      </c>
      <c r="AD55" t="s">
        <v>479</v>
      </c>
      <c r="AE55" s="29">
        <v>652</v>
      </c>
      <c r="AF55">
        <v>4042</v>
      </c>
      <c r="AG55">
        <v>684</v>
      </c>
      <c r="AH55">
        <v>4399</v>
      </c>
    </row>
    <row r="56" spans="1:34" hidden="1">
      <c r="A56" s="40" t="s">
        <v>731</v>
      </c>
      <c r="B56" s="40">
        <v>705</v>
      </c>
      <c r="C56" s="40">
        <v>778</v>
      </c>
      <c r="D56" s="40">
        <v>1098</v>
      </c>
      <c r="E56" s="40">
        <v>862</v>
      </c>
      <c r="F56" s="40">
        <v>999</v>
      </c>
      <c r="G56" s="40">
        <v>968</v>
      </c>
      <c r="H56" s="40">
        <v>794</v>
      </c>
      <c r="I56" s="40">
        <v>740</v>
      </c>
      <c r="J56" s="40">
        <v>644</v>
      </c>
      <c r="K56">
        <v>526</v>
      </c>
      <c r="L56">
        <v>629</v>
      </c>
      <c r="M56">
        <v>505</v>
      </c>
      <c r="N56">
        <v>505</v>
      </c>
      <c r="O56">
        <v>218</v>
      </c>
      <c r="P56">
        <v>267</v>
      </c>
      <c r="Q56">
        <v>238</v>
      </c>
      <c r="R56">
        <v>239</v>
      </c>
      <c r="S56">
        <v>315</v>
      </c>
      <c r="T56">
        <v>281</v>
      </c>
      <c r="U56">
        <v>270</v>
      </c>
      <c r="V56">
        <v>279</v>
      </c>
      <c r="W56">
        <v>243</v>
      </c>
      <c r="X56">
        <v>213</v>
      </c>
      <c r="Y56">
        <v>273</v>
      </c>
      <c r="Z56">
        <v>212</v>
      </c>
      <c r="AA56">
        <v>257</v>
      </c>
      <c r="AD56" t="s">
        <v>533</v>
      </c>
      <c r="AE56" s="29">
        <v>7423</v>
      </c>
      <c r="AF56">
        <v>30685</v>
      </c>
      <c r="AG56">
        <v>9541</v>
      </c>
      <c r="AH56">
        <v>38305</v>
      </c>
    </row>
    <row r="57" spans="1:34" hidden="1">
      <c r="A57" s="40" t="s">
        <v>739</v>
      </c>
      <c r="B57" s="40">
        <v>1649</v>
      </c>
      <c r="C57" s="40">
        <v>812</v>
      </c>
      <c r="D57" s="40">
        <v>0</v>
      </c>
      <c r="E57" s="40">
        <v>2488</v>
      </c>
      <c r="F57" s="40">
        <v>1265</v>
      </c>
      <c r="G57" s="40">
        <v>1119</v>
      </c>
      <c r="H57" s="40">
        <v>1033</v>
      </c>
      <c r="I57" s="40">
        <v>1417</v>
      </c>
      <c r="J57" s="40">
        <v>1890</v>
      </c>
      <c r="K57">
        <v>1181</v>
      </c>
      <c r="L57">
        <v>1588</v>
      </c>
      <c r="M57">
        <v>1385</v>
      </c>
      <c r="N57">
        <v>2365</v>
      </c>
      <c r="O57">
        <v>272</v>
      </c>
      <c r="P57">
        <v>58</v>
      </c>
      <c r="Q57">
        <v>0</v>
      </c>
      <c r="R57">
        <v>136</v>
      </c>
      <c r="S57">
        <v>69</v>
      </c>
      <c r="T57">
        <v>121</v>
      </c>
      <c r="U57">
        <v>601</v>
      </c>
      <c r="V57">
        <v>357</v>
      </c>
      <c r="W57">
        <v>927</v>
      </c>
      <c r="X57">
        <v>405</v>
      </c>
      <c r="Y57">
        <v>941</v>
      </c>
      <c r="Z57">
        <v>778</v>
      </c>
      <c r="AA57">
        <v>1179</v>
      </c>
      <c r="AD57" t="s">
        <v>107</v>
      </c>
      <c r="AE57" s="29">
        <v>1327</v>
      </c>
      <c r="AF57">
        <v>11643</v>
      </c>
      <c r="AG57">
        <v>1380</v>
      </c>
      <c r="AH57">
        <v>10923</v>
      </c>
    </row>
    <row r="58" spans="1:34" hidden="1">
      <c r="A58" s="40" t="s">
        <v>889</v>
      </c>
      <c r="B58" s="40">
        <v>600</v>
      </c>
      <c r="C58" s="40">
        <v>710</v>
      </c>
      <c r="D58" s="40">
        <v>611</v>
      </c>
      <c r="E58" s="40">
        <v>504</v>
      </c>
      <c r="F58" s="40">
        <v>427</v>
      </c>
      <c r="G58" s="40">
        <v>647</v>
      </c>
      <c r="H58" s="40">
        <v>517</v>
      </c>
      <c r="I58" s="40">
        <v>693</v>
      </c>
      <c r="J58" s="40">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429</v>
      </c>
      <c r="AE58" s="29">
        <v>932</v>
      </c>
      <c r="AF58">
        <v>4545</v>
      </c>
      <c r="AH58">
        <v>0</v>
      </c>
    </row>
    <row r="59" spans="1:34" hidden="1">
      <c r="A59" s="40" t="s">
        <v>73</v>
      </c>
      <c r="B59" s="40">
        <v>6904</v>
      </c>
      <c r="C59" s="40">
        <v>6392</v>
      </c>
      <c r="D59" s="40">
        <v>5424</v>
      </c>
      <c r="E59" s="40">
        <v>5782</v>
      </c>
      <c r="F59" s="40">
        <v>5396</v>
      </c>
      <c r="G59" s="40">
        <v>5490</v>
      </c>
      <c r="H59" s="40">
        <v>4963</v>
      </c>
      <c r="I59" s="40">
        <v>6007</v>
      </c>
      <c r="J59" s="40">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291</v>
      </c>
      <c r="AE59" s="29">
        <v>1214</v>
      </c>
      <c r="AF59">
        <v>4168</v>
      </c>
      <c r="AH59">
        <v>0</v>
      </c>
    </row>
    <row r="60" spans="1:34" hidden="1">
      <c r="A60" s="40" t="s">
        <v>841</v>
      </c>
      <c r="B60" s="40">
        <v>1711</v>
      </c>
      <c r="C60" s="40">
        <v>1416</v>
      </c>
      <c r="D60" s="40">
        <v>900</v>
      </c>
      <c r="E60" s="40">
        <v>932</v>
      </c>
      <c r="F60" s="40">
        <v>700</v>
      </c>
      <c r="G60" s="40">
        <v>565</v>
      </c>
      <c r="H60" s="40">
        <v>1216</v>
      </c>
      <c r="I60" s="40">
        <v>1004</v>
      </c>
      <c r="J60" s="40">
        <v>972</v>
      </c>
      <c r="K60">
        <v>613</v>
      </c>
      <c r="L60">
        <v>602</v>
      </c>
      <c r="M60">
        <v>649</v>
      </c>
      <c r="N60">
        <v>1002</v>
      </c>
      <c r="O60">
        <v>621</v>
      </c>
      <c r="P60">
        <v>579</v>
      </c>
      <c r="Q60">
        <v>398</v>
      </c>
      <c r="R60">
        <v>453</v>
      </c>
      <c r="S60">
        <v>393</v>
      </c>
      <c r="T60">
        <v>319</v>
      </c>
      <c r="U60">
        <v>885</v>
      </c>
      <c r="V60">
        <v>469</v>
      </c>
      <c r="W60">
        <v>437</v>
      </c>
      <c r="X60">
        <v>346</v>
      </c>
      <c r="Y60">
        <v>294</v>
      </c>
      <c r="Z60">
        <v>315</v>
      </c>
      <c r="AA60">
        <v>432</v>
      </c>
      <c r="AD60" t="s">
        <v>381</v>
      </c>
      <c r="AE60" s="29">
        <v>1982</v>
      </c>
      <c r="AF60">
        <v>4535</v>
      </c>
      <c r="AG60">
        <v>1664</v>
      </c>
      <c r="AH60">
        <v>3195</v>
      </c>
    </row>
    <row r="61" spans="1:34" hidden="1">
      <c r="A61" s="40" t="s">
        <v>804</v>
      </c>
      <c r="B61" s="40">
        <v>2915</v>
      </c>
      <c r="C61" s="40">
        <v>1681</v>
      </c>
      <c r="D61" s="40">
        <v>1501</v>
      </c>
      <c r="E61" s="40">
        <v>1123</v>
      </c>
      <c r="F61" s="40">
        <v>1016</v>
      </c>
      <c r="G61" s="40">
        <v>1109</v>
      </c>
      <c r="H61" s="40">
        <v>1044</v>
      </c>
      <c r="I61" s="40">
        <v>1063</v>
      </c>
      <c r="J61" s="40">
        <v>1121</v>
      </c>
      <c r="K61">
        <v>969</v>
      </c>
      <c r="L61">
        <v>941</v>
      </c>
      <c r="M61">
        <v>776</v>
      </c>
      <c r="N61">
        <v>1013</v>
      </c>
      <c r="O61">
        <v>711</v>
      </c>
      <c r="P61">
        <v>395</v>
      </c>
      <c r="Q61">
        <v>379</v>
      </c>
      <c r="R61">
        <v>335</v>
      </c>
      <c r="S61">
        <v>335</v>
      </c>
      <c r="T61">
        <v>385</v>
      </c>
      <c r="U61">
        <v>318</v>
      </c>
      <c r="V61">
        <v>379</v>
      </c>
      <c r="W61">
        <v>354</v>
      </c>
      <c r="X61">
        <v>342</v>
      </c>
      <c r="Y61">
        <v>353</v>
      </c>
      <c r="Z61">
        <v>276</v>
      </c>
      <c r="AA61">
        <v>385</v>
      </c>
      <c r="AD61" s="28" t="s">
        <v>521</v>
      </c>
      <c r="AE61" s="29">
        <v>1254</v>
      </c>
      <c r="AF61">
        <v>8932</v>
      </c>
      <c r="AG61">
        <v>767</v>
      </c>
      <c r="AH61">
        <v>5607</v>
      </c>
    </row>
    <row r="62" spans="1:34" hidden="1">
      <c r="A62" s="40" t="s">
        <v>151</v>
      </c>
      <c r="B62" s="40">
        <v>2151</v>
      </c>
      <c r="C62" s="40">
        <v>2594</v>
      </c>
      <c r="D62" s="40">
        <v>6699</v>
      </c>
      <c r="E62" s="40">
        <v>2080</v>
      </c>
      <c r="F62" s="40">
        <v>2415</v>
      </c>
      <c r="G62" s="40">
        <v>2029</v>
      </c>
      <c r="H62" s="40">
        <v>2033</v>
      </c>
      <c r="I62" s="40">
        <v>2191</v>
      </c>
      <c r="J62" s="40">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401</v>
      </c>
      <c r="AE62" s="29">
        <v>971</v>
      </c>
      <c r="AF62">
        <v>5979</v>
      </c>
      <c r="AG62">
        <v>844</v>
      </c>
      <c r="AH62">
        <v>5430</v>
      </c>
    </row>
    <row r="63" spans="1:34" hidden="1">
      <c r="A63" s="40" t="s">
        <v>343</v>
      </c>
      <c r="B63" s="40">
        <v>1075</v>
      </c>
      <c r="C63" s="40">
        <v>1310</v>
      </c>
      <c r="D63" s="40">
        <v>1452</v>
      </c>
      <c r="E63" s="40">
        <v>1196</v>
      </c>
      <c r="F63" s="40">
        <v>1309</v>
      </c>
      <c r="G63" s="40">
        <v>912</v>
      </c>
      <c r="H63" s="40">
        <v>937</v>
      </c>
      <c r="I63" s="40">
        <v>918</v>
      </c>
      <c r="J63" s="40">
        <v>765</v>
      </c>
      <c r="K63">
        <v>547</v>
      </c>
      <c r="L63">
        <v>687</v>
      </c>
      <c r="M63">
        <v>727</v>
      </c>
      <c r="N63">
        <v>1318</v>
      </c>
      <c r="O63">
        <v>183</v>
      </c>
      <c r="P63">
        <v>235</v>
      </c>
      <c r="Q63">
        <v>261</v>
      </c>
      <c r="R63">
        <v>189</v>
      </c>
      <c r="S63">
        <v>244</v>
      </c>
      <c r="T63">
        <v>198</v>
      </c>
      <c r="U63">
        <v>167</v>
      </c>
      <c r="V63">
        <v>205</v>
      </c>
      <c r="W63">
        <v>149</v>
      </c>
      <c r="X63">
        <v>119</v>
      </c>
      <c r="Y63">
        <v>124</v>
      </c>
      <c r="Z63">
        <v>169</v>
      </c>
      <c r="AA63">
        <v>206</v>
      </c>
      <c r="AD63" t="s">
        <v>97</v>
      </c>
      <c r="AE63" s="29">
        <v>3925</v>
      </c>
      <c r="AF63">
        <v>15541</v>
      </c>
      <c r="AG63">
        <v>3954</v>
      </c>
      <c r="AH63">
        <v>14023</v>
      </c>
    </row>
    <row r="64" spans="1:34" hidden="1">
      <c r="A64" s="40" t="s">
        <v>183</v>
      </c>
      <c r="B64" s="40">
        <v>1071</v>
      </c>
      <c r="C64" s="40">
        <v>1232</v>
      </c>
      <c r="D64" s="40">
        <v>1079</v>
      </c>
      <c r="E64" s="40">
        <v>1252</v>
      </c>
      <c r="F64" s="40">
        <v>968</v>
      </c>
      <c r="G64" s="40">
        <v>924</v>
      </c>
      <c r="H64" s="40">
        <v>867</v>
      </c>
      <c r="I64" s="40">
        <v>710</v>
      </c>
      <c r="J64" s="40">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229</v>
      </c>
      <c r="AE64" s="29">
        <v>470</v>
      </c>
      <c r="AF64">
        <v>1786</v>
      </c>
      <c r="AH64">
        <v>0</v>
      </c>
    </row>
    <row r="65" spans="1:34" hidden="1">
      <c r="A65" s="40" t="s">
        <v>209</v>
      </c>
      <c r="B65" s="40">
        <v>4762</v>
      </c>
      <c r="C65" s="40">
        <v>5839</v>
      </c>
      <c r="D65" s="40">
        <v>5526</v>
      </c>
      <c r="E65" s="40">
        <v>12099</v>
      </c>
      <c r="F65" s="40">
        <v>5977</v>
      </c>
      <c r="G65" s="40">
        <v>9576</v>
      </c>
      <c r="H65" s="40">
        <v>13936</v>
      </c>
      <c r="I65" s="40">
        <v>8649</v>
      </c>
      <c r="J65" s="40">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495</v>
      </c>
      <c r="AE65" s="29">
        <v>2026</v>
      </c>
      <c r="AF65">
        <v>10626</v>
      </c>
      <c r="AG65">
        <v>1840</v>
      </c>
      <c r="AH65">
        <v>7932</v>
      </c>
    </row>
    <row r="66" spans="1:34" hidden="1">
      <c r="A66" s="40" t="s">
        <v>497</v>
      </c>
      <c r="B66" s="40">
        <v>0</v>
      </c>
      <c r="C66" s="40">
        <v>0</v>
      </c>
      <c r="D66" s="40">
        <v>441</v>
      </c>
      <c r="E66" s="40">
        <v>1139</v>
      </c>
      <c r="F66" s="40">
        <v>932</v>
      </c>
      <c r="G66" s="40">
        <v>832</v>
      </c>
      <c r="H66" s="40">
        <v>1086</v>
      </c>
      <c r="I66" s="40">
        <v>954</v>
      </c>
      <c r="J66" s="40">
        <v>834</v>
      </c>
      <c r="K66">
        <v>1064</v>
      </c>
      <c r="L66">
        <v>1104</v>
      </c>
      <c r="M66">
        <v>1099</v>
      </c>
      <c r="N66">
        <v>1295</v>
      </c>
      <c r="O66">
        <v>0</v>
      </c>
      <c r="P66">
        <v>0</v>
      </c>
      <c r="Q66">
        <v>115</v>
      </c>
      <c r="R66">
        <v>298</v>
      </c>
      <c r="S66">
        <v>212</v>
      </c>
      <c r="T66">
        <v>205</v>
      </c>
      <c r="U66">
        <v>240</v>
      </c>
      <c r="V66">
        <v>221</v>
      </c>
      <c r="W66">
        <v>219</v>
      </c>
      <c r="X66">
        <v>292</v>
      </c>
      <c r="Y66">
        <v>273</v>
      </c>
      <c r="Z66">
        <v>242</v>
      </c>
      <c r="AA66">
        <v>338</v>
      </c>
      <c r="AD66" t="s">
        <v>487</v>
      </c>
      <c r="AE66" s="29">
        <v>2247</v>
      </c>
      <c r="AF66">
        <v>9320</v>
      </c>
      <c r="AG66">
        <v>2293</v>
      </c>
      <c r="AH66">
        <v>8955</v>
      </c>
    </row>
    <row r="67" spans="1:34" hidden="1">
      <c r="A67" s="40" t="s">
        <v>1210</v>
      </c>
      <c r="B67" s="40">
        <v>1074</v>
      </c>
      <c r="C67" s="40">
        <v>995</v>
      </c>
      <c r="D67" s="40">
        <v>1182</v>
      </c>
      <c r="E67" s="40">
        <v>780</v>
      </c>
      <c r="F67" s="40">
        <v>771</v>
      </c>
      <c r="G67" s="40">
        <v>652</v>
      </c>
      <c r="H67" s="40">
        <v>675</v>
      </c>
      <c r="I67" s="40">
        <v>672</v>
      </c>
      <c r="J67" s="40">
        <v>676</v>
      </c>
      <c r="K67">
        <v>0</v>
      </c>
      <c r="L67">
        <v>0</v>
      </c>
      <c r="M67">
        <v>0</v>
      </c>
      <c r="N67">
        <v>0</v>
      </c>
      <c r="O67">
        <v>182</v>
      </c>
      <c r="P67">
        <v>154</v>
      </c>
      <c r="Q67">
        <v>206</v>
      </c>
      <c r="R67">
        <v>133</v>
      </c>
      <c r="S67">
        <v>166</v>
      </c>
      <c r="T67">
        <v>137</v>
      </c>
      <c r="U67">
        <v>137</v>
      </c>
      <c r="V67">
        <v>137</v>
      </c>
      <c r="W67">
        <v>143</v>
      </c>
      <c r="X67">
        <v>1</v>
      </c>
      <c r="Y67">
        <v>0</v>
      </c>
      <c r="Z67">
        <v>0</v>
      </c>
      <c r="AA67">
        <v>0</v>
      </c>
      <c r="AD67" t="s">
        <v>353</v>
      </c>
      <c r="AE67" s="29">
        <v>2514</v>
      </c>
      <c r="AF67">
        <v>14408</v>
      </c>
      <c r="AG67">
        <v>2314</v>
      </c>
      <c r="AH67">
        <v>9966</v>
      </c>
    </row>
    <row r="68" spans="1:34" hidden="1">
      <c r="A68" s="40" t="s">
        <v>187</v>
      </c>
      <c r="B68" s="40">
        <v>2356</v>
      </c>
      <c r="C68" s="40">
        <v>4166</v>
      </c>
      <c r="D68" s="40">
        <v>4947</v>
      </c>
      <c r="E68" s="40">
        <v>1743</v>
      </c>
      <c r="F68" s="40">
        <v>2316</v>
      </c>
      <c r="G68" s="40">
        <v>535</v>
      </c>
      <c r="H68" s="40">
        <v>1144</v>
      </c>
      <c r="I68" s="40">
        <v>1118</v>
      </c>
      <c r="J68" s="40">
        <v>892</v>
      </c>
      <c r="K68">
        <v>691</v>
      </c>
      <c r="L68">
        <v>583</v>
      </c>
      <c r="M68">
        <v>612</v>
      </c>
      <c r="N68">
        <v>1172</v>
      </c>
      <c r="O68">
        <v>405</v>
      </c>
      <c r="P68">
        <v>438</v>
      </c>
      <c r="Q68">
        <v>614</v>
      </c>
      <c r="R68">
        <v>437</v>
      </c>
      <c r="S68">
        <v>515</v>
      </c>
      <c r="T68">
        <v>70</v>
      </c>
      <c r="U68">
        <v>306</v>
      </c>
      <c r="V68">
        <v>283</v>
      </c>
      <c r="W68">
        <v>319</v>
      </c>
      <c r="X68">
        <v>248</v>
      </c>
      <c r="Y68">
        <v>190</v>
      </c>
      <c r="Z68">
        <v>193</v>
      </c>
      <c r="AA68">
        <v>367</v>
      </c>
      <c r="AD68" t="s">
        <v>251</v>
      </c>
      <c r="AE68" s="29">
        <v>666</v>
      </c>
      <c r="AF68">
        <v>3291</v>
      </c>
      <c r="AH68">
        <v>0</v>
      </c>
    </row>
    <row r="69" spans="1:34" hidden="1">
      <c r="A69" s="40" t="s">
        <v>637</v>
      </c>
      <c r="B69" s="40">
        <v>842</v>
      </c>
      <c r="C69" s="40">
        <v>638</v>
      </c>
      <c r="D69" s="40">
        <v>426</v>
      </c>
      <c r="E69" s="40">
        <v>403</v>
      </c>
      <c r="F69" s="40">
        <v>359</v>
      </c>
      <c r="G69" s="40">
        <v>317</v>
      </c>
      <c r="H69" s="40">
        <v>310</v>
      </c>
      <c r="I69" s="40">
        <v>362</v>
      </c>
      <c r="J69" s="40">
        <v>322</v>
      </c>
      <c r="K69">
        <v>435</v>
      </c>
      <c r="L69">
        <v>490</v>
      </c>
      <c r="M69">
        <v>312</v>
      </c>
      <c r="N69">
        <v>424</v>
      </c>
      <c r="O69">
        <v>359</v>
      </c>
      <c r="P69">
        <v>265</v>
      </c>
      <c r="Q69">
        <v>199</v>
      </c>
      <c r="R69">
        <v>236</v>
      </c>
      <c r="S69">
        <v>248</v>
      </c>
      <c r="T69">
        <v>210</v>
      </c>
      <c r="U69">
        <v>199</v>
      </c>
      <c r="V69">
        <v>217</v>
      </c>
      <c r="W69">
        <v>221</v>
      </c>
      <c r="X69">
        <v>270</v>
      </c>
      <c r="Y69">
        <v>297</v>
      </c>
      <c r="Z69">
        <v>204</v>
      </c>
      <c r="AA69">
        <v>289</v>
      </c>
      <c r="AD69" t="s">
        <v>461</v>
      </c>
      <c r="AE69" s="29">
        <v>2677</v>
      </c>
      <c r="AF69">
        <v>7629</v>
      </c>
      <c r="AG69">
        <v>3124</v>
      </c>
      <c r="AH69">
        <v>9860</v>
      </c>
    </row>
    <row r="70" spans="1:34" hidden="1">
      <c r="A70" s="40" t="s">
        <v>658</v>
      </c>
      <c r="B70" s="40">
        <v>806</v>
      </c>
      <c r="C70" s="40">
        <v>802</v>
      </c>
      <c r="D70" s="40">
        <v>1030</v>
      </c>
      <c r="E70" s="40">
        <v>913</v>
      </c>
      <c r="F70" s="40">
        <v>725</v>
      </c>
      <c r="G70" s="40">
        <v>689</v>
      </c>
      <c r="H70" s="40">
        <v>571</v>
      </c>
      <c r="I70" s="40">
        <v>568</v>
      </c>
      <c r="J70" s="40">
        <v>586</v>
      </c>
      <c r="K70">
        <v>672</v>
      </c>
      <c r="L70">
        <v>591</v>
      </c>
      <c r="M70">
        <v>557</v>
      </c>
      <c r="N70">
        <v>651</v>
      </c>
      <c r="O70">
        <v>256</v>
      </c>
      <c r="P70">
        <v>313</v>
      </c>
      <c r="Q70">
        <v>304</v>
      </c>
      <c r="R70">
        <v>283</v>
      </c>
      <c r="S70">
        <v>282</v>
      </c>
      <c r="T70">
        <v>268</v>
      </c>
      <c r="U70">
        <v>256</v>
      </c>
      <c r="V70">
        <v>260</v>
      </c>
      <c r="W70">
        <v>290</v>
      </c>
      <c r="X70">
        <v>304</v>
      </c>
      <c r="Y70">
        <v>256</v>
      </c>
      <c r="Z70">
        <v>241</v>
      </c>
      <c r="AA70">
        <v>279</v>
      </c>
      <c r="AD70" t="s">
        <v>337</v>
      </c>
      <c r="AE70" s="29">
        <v>1267</v>
      </c>
      <c r="AF70">
        <v>6553</v>
      </c>
      <c r="AG70">
        <v>1252</v>
      </c>
      <c r="AH70">
        <v>6536</v>
      </c>
    </row>
    <row r="71" spans="1:34" hidden="1">
      <c r="A71" s="40" t="s">
        <v>706</v>
      </c>
      <c r="B71" s="40">
        <v>308</v>
      </c>
      <c r="C71" s="40">
        <v>509</v>
      </c>
      <c r="D71" s="40">
        <v>351</v>
      </c>
      <c r="E71" s="40">
        <v>429</v>
      </c>
      <c r="F71" s="40">
        <v>224</v>
      </c>
      <c r="G71" s="40">
        <v>241</v>
      </c>
      <c r="H71" s="40">
        <v>274</v>
      </c>
      <c r="I71" s="40">
        <v>272</v>
      </c>
      <c r="J71" s="40">
        <v>311</v>
      </c>
      <c r="K71">
        <v>348</v>
      </c>
      <c r="L71">
        <v>386</v>
      </c>
      <c r="M71">
        <v>287</v>
      </c>
      <c r="N71">
        <v>355</v>
      </c>
      <c r="O71">
        <v>122</v>
      </c>
      <c r="P71">
        <v>139</v>
      </c>
      <c r="Q71">
        <v>99</v>
      </c>
      <c r="R71">
        <v>142</v>
      </c>
      <c r="S71">
        <v>80</v>
      </c>
      <c r="T71">
        <v>87</v>
      </c>
      <c r="U71">
        <v>97</v>
      </c>
      <c r="V71">
        <v>105</v>
      </c>
      <c r="W71">
        <v>116</v>
      </c>
      <c r="X71">
        <v>109</v>
      </c>
      <c r="Y71">
        <v>171</v>
      </c>
      <c r="Z71">
        <v>103</v>
      </c>
      <c r="AA71">
        <v>169</v>
      </c>
      <c r="AD71" t="s">
        <v>315</v>
      </c>
      <c r="AE71" s="29">
        <v>1937</v>
      </c>
      <c r="AF71">
        <v>8681</v>
      </c>
      <c r="AG71">
        <v>1898</v>
      </c>
      <c r="AH71">
        <v>8948</v>
      </c>
    </row>
    <row r="72" spans="1:34" hidden="1">
      <c r="A72" s="40" t="s">
        <v>604</v>
      </c>
      <c r="B72" s="40">
        <v>2377</v>
      </c>
      <c r="C72" s="40">
        <v>2225</v>
      </c>
      <c r="D72" s="40">
        <v>1589</v>
      </c>
      <c r="E72" s="40">
        <v>1287</v>
      </c>
      <c r="F72" s="40">
        <v>883</v>
      </c>
      <c r="G72" s="40">
        <v>1077</v>
      </c>
      <c r="H72" s="40">
        <v>1580</v>
      </c>
      <c r="I72" s="40">
        <v>1922</v>
      </c>
      <c r="J72" s="40">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377</v>
      </c>
      <c r="AE72" s="29">
        <v>898</v>
      </c>
      <c r="AF72">
        <v>2535</v>
      </c>
      <c r="AH72">
        <v>0</v>
      </c>
    </row>
    <row r="73" spans="1:34" hidden="1">
      <c r="A73" s="40" t="s">
        <v>307</v>
      </c>
      <c r="B73" s="40">
        <v>2161</v>
      </c>
      <c r="C73" s="40">
        <v>2173</v>
      </c>
      <c r="D73" s="40">
        <v>1377</v>
      </c>
      <c r="E73" s="40">
        <v>1420</v>
      </c>
      <c r="F73" s="40">
        <v>169</v>
      </c>
      <c r="G73" s="40">
        <v>1268</v>
      </c>
      <c r="H73" s="40">
        <v>1048</v>
      </c>
      <c r="I73" s="40">
        <v>1075</v>
      </c>
      <c r="J73" s="40">
        <v>1192</v>
      </c>
      <c r="K73">
        <v>1118</v>
      </c>
      <c r="L73">
        <v>1058</v>
      </c>
      <c r="M73">
        <v>944</v>
      </c>
      <c r="N73">
        <v>1539</v>
      </c>
      <c r="O73">
        <v>410</v>
      </c>
      <c r="P73">
        <v>407</v>
      </c>
      <c r="Q73">
        <v>425</v>
      </c>
      <c r="R73">
        <v>428</v>
      </c>
      <c r="S73">
        <v>7</v>
      </c>
      <c r="T73">
        <v>353</v>
      </c>
      <c r="U73">
        <v>315</v>
      </c>
      <c r="V73">
        <v>306</v>
      </c>
      <c r="W73">
        <v>361</v>
      </c>
      <c r="X73">
        <v>360</v>
      </c>
      <c r="Y73">
        <v>356</v>
      </c>
      <c r="Z73">
        <v>293</v>
      </c>
      <c r="AA73">
        <v>451</v>
      </c>
      <c r="AD73" t="s">
        <v>313</v>
      </c>
      <c r="AE73" s="29">
        <v>866</v>
      </c>
      <c r="AF73">
        <v>4550</v>
      </c>
      <c r="AH73">
        <v>0</v>
      </c>
    </row>
    <row r="74" spans="1:34" hidden="1">
      <c r="A74" s="40" t="s">
        <v>34</v>
      </c>
      <c r="B74" s="40">
        <v>2210</v>
      </c>
      <c r="C74" s="40">
        <v>3028</v>
      </c>
      <c r="D74" s="40">
        <v>3623</v>
      </c>
      <c r="E74" s="40">
        <v>3181</v>
      </c>
      <c r="F74" s="40">
        <v>2203</v>
      </c>
      <c r="G74" s="40">
        <v>2217</v>
      </c>
      <c r="H74" s="40">
        <v>2451</v>
      </c>
      <c r="I74" s="40">
        <v>2601</v>
      </c>
      <c r="J74" s="40">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8" t="s">
        <v>139</v>
      </c>
      <c r="AE74" s="29">
        <v>1675</v>
      </c>
      <c r="AF74">
        <v>10426</v>
      </c>
      <c r="AG74">
        <v>2155</v>
      </c>
      <c r="AH74">
        <v>11551</v>
      </c>
    </row>
    <row r="75" spans="1:34" hidden="1">
      <c r="A75" s="40" t="s">
        <v>363</v>
      </c>
      <c r="B75" s="40">
        <v>7420</v>
      </c>
      <c r="C75" s="40">
        <v>9064</v>
      </c>
      <c r="D75" s="40">
        <v>7113</v>
      </c>
      <c r="E75" s="40">
        <v>7511</v>
      </c>
      <c r="F75" s="40">
        <v>10781</v>
      </c>
      <c r="G75" s="40">
        <v>6137</v>
      </c>
      <c r="H75" s="40">
        <v>4806</v>
      </c>
      <c r="I75" s="40">
        <v>4603</v>
      </c>
      <c r="J75" s="40">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327</v>
      </c>
      <c r="AE75" s="29">
        <v>821</v>
      </c>
      <c r="AF75">
        <v>3505</v>
      </c>
      <c r="AH75">
        <v>0</v>
      </c>
    </row>
    <row r="76" spans="1:34" hidden="1">
      <c r="A76" s="40" t="s">
        <v>28</v>
      </c>
      <c r="B76" s="40">
        <v>14958</v>
      </c>
      <c r="C76" s="40">
        <v>14790</v>
      </c>
      <c r="D76" s="40">
        <v>32925</v>
      </c>
      <c r="E76" s="40">
        <v>57954</v>
      </c>
      <c r="F76" s="40">
        <v>81282</v>
      </c>
      <c r="G76" s="40">
        <v>59715</v>
      </c>
      <c r="H76" s="40">
        <v>27814</v>
      </c>
      <c r="I76" s="40">
        <v>24145</v>
      </c>
      <c r="J76" s="40">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369</v>
      </c>
      <c r="AE76" s="29">
        <v>472</v>
      </c>
      <c r="AF76">
        <v>1955</v>
      </c>
      <c r="AH76">
        <v>0</v>
      </c>
    </row>
    <row r="77" spans="1:34" hidden="1">
      <c r="A77" s="40" t="s">
        <v>447</v>
      </c>
      <c r="B77" s="40">
        <v>784</v>
      </c>
      <c r="C77" s="40">
        <v>894</v>
      </c>
      <c r="D77" s="40">
        <v>1045</v>
      </c>
      <c r="E77" s="40">
        <v>822</v>
      </c>
      <c r="F77" s="40">
        <v>652</v>
      </c>
      <c r="G77" s="40">
        <v>715</v>
      </c>
      <c r="H77" s="40">
        <v>843</v>
      </c>
      <c r="I77" s="40">
        <v>803</v>
      </c>
      <c r="J77" s="40">
        <v>1022</v>
      </c>
      <c r="K77">
        <v>907</v>
      </c>
      <c r="L77">
        <v>734</v>
      </c>
      <c r="M77">
        <v>775</v>
      </c>
      <c r="N77">
        <v>1187</v>
      </c>
      <c r="O77">
        <v>377</v>
      </c>
      <c r="P77">
        <v>441</v>
      </c>
      <c r="Q77">
        <v>437</v>
      </c>
      <c r="R77">
        <v>408</v>
      </c>
      <c r="S77">
        <v>361</v>
      </c>
      <c r="T77">
        <v>403</v>
      </c>
      <c r="U77">
        <v>438</v>
      </c>
      <c r="V77">
        <v>424</v>
      </c>
      <c r="W77">
        <v>514</v>
      </c>
      <c r="X77">
        <v>494</v>
      </c>
      <c r="Y77">
        <v>463</v>
      </c>
      <c r="Z77">
        <v>385</v>
      </c>
      <c r="AA77">
        <v>536</v>
      </c>
      <c r="AD77" t="s">
        <v>421</v>
      </c>
      <c r="AE77" s="29">
        <v>525</v>
      </c>
      <c r="AF77">
        <v>1914</v>
      </c>
      <c r="AH77">
        <v>0</v>
      </c>
    </row>
    <row r="78" spans="1:34" hidden="1">
      <c r="A78" s="40" t="s">
        <v>191</v>
      </c>
      <c r="B78" s="40">
        <v>800</v>
      </c>
      <c r="C78" s="40">
        <v>768</v>
      </c>
      <c r="D78" s="40">
        <v>939</v>
      </c>
      <c r="E78" s="40">
        <v>644</v>
      </c>
      <c r="F78" s="40">
        <v>589</v>
      </c>
      <c r="G78" s="40">
        <v>693</v>
      </c>
      <c r="H78" s="40">
        <v>820</v>
      </c>
      <c r="I78" s="40">
        <v>492</v>
      </c>
      <c r="J78" s="40">
        <v>431</v>
      </c>
      <c r="K78">
        <v>442</v>
      </c>
      <c r="L78">
        <v>378</v>
      </c>
      <c r="M78">
        <v>412</v>
      </c>
      <c r="N78">
        <v>671</v>
      </c>
      <c r="O78">
        <v>139</v>
      </c>
      <c r="P78">
        <v>143</v>
      </c>
      <c r="Q78">
        <v>124</v>
      </c>
      <c r="R78">
        <v>105</v>
      </c>
      <c r="S78">
        <v>94</v>
      </c>
      <c r="T78">
        <v>132</v>
      </c>
      <c r="U78">
        <v>131</v>
      </c>
      <c r="V78">
        <v>96</v>
      </c>
      <c r="W78">
        <v>102</v>
      </c>
      <c r="X78">
        <v>80</v>
      </c>
      <c r="Y78">
        <v>95</v>
      </c>
      <c r="Z78">
        <v>87</v>
      </c>
      <c r="AA78">
        <v>136</v>
      </c>
      <c r="AD78" t="s">
        <v>441</v>
      </c>
      <c r="AE78" s="29">
        <v>901</v>
      </c>
      <c r="AF78">
        <v>2044</v>
      </c>
      <c r="AH78">
        <v>0</v>
      </c>
    </row>
    <row r="79" spans="1:34" hidden="1">
      <c r="A79" s="40" t="s">
        <v>359</v>
      </c>
      <c r="B79" s="40">
        <v>2815</v>
      </c>
      <c r="C79" s="40">
        <v>1982</v>
      </c>
      <c r="D79" s="40">
        <v>1912</v>
      </c>
      <c r="E79" s="40">
        <v>1912</v>
      </c>
      <c r="F79" s="40">
        <v>1533</v>
      </c>
      <c r="G79" s="40">
        <v>1405</v>
      </c>
      <c r="H79" s="40">
        <v>1810</v>
      </c>
      <c r="I79" s="40">
        <v>1581</v>
      </c>
      <c r="J79" s="40">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427</v>
      </c>
      <c r="AE79" s="29">
        <v>2428</v>
      </c>
      <c r="AF79">
        <v>7026</v>
      </c>
      <c r="AG79">
        <v>2713</v>
      </c>
      <c r="AH79">
        <v>9376</v>
      </c>
    </row>
    <row r="80" spans="1:34" hidden="1">
      <c r="A80" s="40" t="s">
        <v>197</v>
      </c>
      <c r="B80" s="40">
        <v>1231</v>
      </c>
      <c r="C80" s="40">
        <v>1312</v>
      </c>
      <c r="D80" s="40">
        <v>956</v>
      </c>
      <c r="E80" s="40">
        <v>752</v>
      </c>
      <c r="F80" s="40">
        <v>805</v>
      </c>
      <c r="G80" s="40">
        <v>765</v>
      </c>
      <c r="H80" s="40">
        <v>897</v>
      </c>
      <c r="I80" s="40">
        <v>836</v>
      </c>
      <c r="J80" s="40">
        <v>715</v>
      </c>
      <c r="K80">
        <v>852</v>
      </c>
      <c r="L80">
        <v>672</v>
      </c>
      <c r="M80">
        <v>597</v>
      </c>
      <c r="N80">
        <v>2995</v>
      </c>
      <c r="O80">
        <v>428</v>
      </c>
      <c r="P80">
        <v>480</v>
      </c>
      <c r="Q80">
        <v>449</v>
      </c>
      <c r="R80">
        <v>362</v>
      </c>
      <c r="S80">
        <v>375</v>
      </c>
      <c r="T80">
        <v>330</v>
      </c>
      <c r="U80">
        <v>344</v>
      </c>
      <c r="V80">
        <v>339</v>
      </c>
      <c r="W80">
        <v>370</v>
      </c>
      <c r="X80">
        <v>417</v>
      </c>
      <c r="Y80">
        <v>373</v>
      </c>
      <c r="Z80">
        <v>329</v>
      </c>
      <c r="AA80">
        <v>565</v>
      </c>
      <c r="AD80" t="s">
        <v>433</v>
      </c>
      <c r="AE80" s="29">
        <v>1476</v>
      </c>
      <c r="AF80">
        <v>4569</v>
      </c>
      <c r="AH80">
        <v>0</v>
      </c>
    </row>
    <row r="81" spans="1:34" hidden="1">
      <c r="A81" s="40" t="s">
        <v>283</v>
      </c>
      <c r="B81" s="40">
        <v>4947</v>
      </c>
      <c r="C81" s="40">
        <v>5221</v>
      </c>
      <c r="D81" s="40">
        <v>5089</v>
      </c>
      <c r="E81" s="40">
        <v>5351</v>
      </c>
      <c r="F81" s="40">
        <v>4403</v>
      </c>
      <c r="G81" s="40">
        <v>4309</v>
      </c>
      <c r="H81" s="40">
        <v>4807</v>
      </c>
      <c r="I81" s="40">
        <v>4661</v>
      </c>
      <c r="J81" s="40">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167</v>
      </c>
      <c r="AE81" s="29">
        <v>978</v>
      </c>
      <c r="AF81">
        <v>5143</v>
      </c>
      <c r="AH81">
        <v>0</v>
      </c>
    </row>
    <row r="82" spans="1:34" hidden="1">
      <c r="A82" s="40" t="s">
        <v>792</v>
      </c>
      <c r="B82" s="40">
        <v>624</v>
      </c>
      <c r="C82" s="40">
        <v>693</v>
      </c>
      <c r="D82" s="40">
        <v>602</v>
      </c>
      <c r="E82" s="40">
        <v>594</v>
      </c>
      <c r="F82" s="40">
        <v>501</v>
      </c>
      <c r="G82" s="40">
        <v>410</v>
      </c>
      <c r="H82" s="40">
        <v>476</v>
      </c>
      <c r="I82" s="40">
        <v>463</v>
      </c>
      <c r="J82" s="40">
        <v>458</v>
      </c>
      <c r="K82">
        <v>468</v>
      </c>
      <c r="L82">
        <v>509</v>
      </c>
      <c r="M82">
        <v>414</v>
      </c>
      <c r="N82">
        <v>890</v>
      </c>
      <c r="O82">
        <v>212</v>
      </c>
      <c r="P82">
        <v>226</v>
      </c>
      <c r="Q82">
        <v>221</v>
      </c>
      <c r="R82">
        <v>210</v>
      </c>
      <c r="S82">
        <v>210</v>
      </c>
      <c r="T82">
        <v>186</v>
      </c>
      <c r="U82">
        <v>209</v>
      </c>
      <c r="V82">
        <v>192</v>
      </c>
      <c r="W82">
        <v>206</v>
      </c>
      <c r="X82">
        <v>225</v>
      </c>
      <c r="Y82">
        <v>243</v>
      </c>
      <c r="Z82">
        <v>179</v>
      </c>
      <c r="AA82">
        <v>263</v>
      </c>
      <c r="AD82" t="s">
        <v>343</v>
      </c>
      <c r="AE82" s="29">
        <v>952</v>
      </c>
      <c r="AF82">
        <v>5221</v>
      </c>
      <c r="AG82">
        <v>883</v>
      </c>
      <c r="AH82">
        <v>5063</v>
      </c>
    </row>
    <row r="83" spans="1:34" hidden="1">
      <c r="A83" s="40" t="s">
        <v>800</v>
      </c>
      <c r="B83" s="40">
        <v>1634</v>
      </c>
      <c r="C83" s="40">
        <v>510</v>
      </c>
      <c r="D83" s="40">
        <v>569</v>
      </c>
      <c r="E83" s="40">
        <v>304</v>
      </c>
      <c r="F83" s="40">
        <v>647</v>
      </c>
      <c r="G83" s="40">
        <v>771</v>
      </c>
      <c r="H83" s="40">
        <v>706</v>
      </c>
      <c r="I83" s="40">
        <v>1038</v>
      </c>
      <c r="J83" s="40">
        <v>1047</v>
      </c>
      <c r="K83">
        <v>834</v>
      </c>
      <c r="L83">
        <v>695</v>
      </c>
      <c r="M83">
        <v>550</v>
      </c>
      <c r="N83">
        <v>835</v>
      </c>
      <c r="O83">
        <v>215</v>
      </c>
      <c r="P83">
        <v>40</v>
      </c>
      <c r="Q83">
        <v>102</v>
      </c>
      <c r="R83">
        <v>103</v>
      </c>
      <c r="S83">
        <v>169</v>
      </c>
      <c r="T83">
        <v>176</v>
      </c>
      <c r="U83">
        <v>175</v>
      </c>
      <c r="V83">
        <v>205</v>
      </c>
      <c r="W83">
        <v>181</v>
      </c>
      <c r="X83">
        <v>174</v>
      </c>
      <c r="Y83">
        <v>180</v>
      </c>
      <c r="Z83">
        <v>131</v>
      </c>
      <c r="AA83">
        <v>173</v>
      </c>
      <c r="AD83" t="s">
        <v>439</v>
      </c>
      <c r="AE83" s="29">
        <v>1631</v>
      </c>
      <c r="AF83">
        <v>7645</v>
      </c>
      <c r="AG83">
        <v>1902</v>
      </c>
      <c r="AH83">
        <v>9147</v>
      </c>
    </row>
    <row r="84" spans="1:34" hidden="1">
      <c r="A84" s="40" t="s">
        <v>93</v>
      </c>
      <c r="B84" s="40">
        <v>0</v>
      </c>
      <c r="C84" s="40">
        <v>829</v>
      </c>
      <c r="D84" s="40">
        <v>3224</v>
      </c>
      <c r="E84" s="40">
        <v>3573</v>
      </c>
      <c r="F84" s="40">
        <v>56</v>
      </c>
      <c r="G84" s="40">
        <v>1278</v>
      </c>
      <c r="H84" s="40">
        <v>2263</v>
      </c>
      <c r="I84" s="40">
        <v>1919</v>
      </c>
      <c r="J84" s="40">
        <v>1664</v>
      </c>
      <c r="K84">
        <v>1472</v>
      </c>
      <c r="L84">
        <v>1940</v>
      </c>
      <c r="M84">
        <v>1434</v>
      </c>
      <c r="N84">
        <v>1612</v>
      </c>
      <c r="O84">
        <v>0</v>
      </c>
      <c r="P84">
        <v>203</v>
      </c>
      <c r="Q84">
        <v>360</v>
      </c>
      <c r="R84">
        <v>442</v>
      </c>
      <c r="S84">
        <v>1</v>
      </c>
      <c r="T84">
        <v>89</v>
      </c>
      <c r="U84">
        <v>156</v>
      </c>
      <c r="V84">
        <v>208</v>
      </c>
      <c r="W84">
        <v>185</v>
      </c>
      <c r="X84">
        <v>214</v>
      </c>
      <c r="Y84">
        <v>389</v>
      </c>
      <c r="Z84">
        <v>184</v>
      </c>
      <c r="AA84">
        <v>282</v>
      </c>
      <c r="AD84" t="s">
        <v>279</v>
      </c>
      <c r="AE84" s="29">
        <v>602</v>
      </c>
      <c r="AF84">
        <v>3783</v>
      </c>
      <c r="AH84">
        <v>0</v>
      </c>
    </row>
    <row r="85" spans="1:34" hidden="1">
      <c r="A85" s="40" t="s">
        <v>757</v>
      </c>
      <c r="B85" s="40">
        <v>235</v>
      </c>
      <c r="C85" s="40">
        <v>211</v>
      </c>
      <c r="D85" s="40">
        <v>226</v>
      </c>
      <c r="E85" s="40">
        <v>165</v>
      </c>
      <c r="F85" s="40">
        <v>188</v>
      </c>
      <c r="G85" s="40">
        <v>143</v>
      </c>
      <c r="H85" s="40">
        <v>158</v>
      </c>
      <c r="I85" s="40">
        <v>155</v>
      </c>
      <c r="J85" s="40">
        <v>164</v>
      </c>
      <c r="K85">
        <v>173</v>
      </c>
      <c r="L85">
        <v>138</v>
      </c>
      <c r="M85">
        <v>151</v>
      </c>
      <c r="N85">
        <v>259</v>
      </c>
      <c r="O85">
        <v>53</v>
      </c>
      <c r="P85">
        <v>61</v>
      </c>
      <c r="Q85">
        <v>70</v>
      </c>
      <c r="R85">
        <v>53</v>
      </c>
      <c r="S85">
        <v>64</v>
      </c>
      <c r="T85">
        <v>43</v>
      </c>
      <c r="U85">
        <v>71</v>
      </c>
      <c r="V85">
        <v>63</v>
      </c>
      <c r="W85">
        <v>76</v>
      </c>
      <c r="X85">
        <v>66</v>
      </c>
      <c r="Y85">
        <v>69</v>
      </c>
      <c r="Z85">
        <v>69</v>
      </c>
      <c r="AA85">
        <v>102</v>
      </c>
      <c r="AD85" t="s">
        <v>403</v>
      </c>
      <c r="AE85" s="29">
        <v>1231</v>
      </c>
      <c r="AF85">
        <v>4891</v>
      </c>
      <c r="AG85">
        <v>1385</v>
      </c>
      <c r="AH85">
        <v>5413</v>
      </c>
    </row>
    <row r="86" spans="1:34" hidden="1">
      <c r="A86" s="40" t="s">
        <v>219</v>
      </c>
      <c r="B86" s="40">
        <v>2417</v>
      </c>
      <c r="C86" s="40">
        <v>2300</v>
      </c>
      <c r="D86" s="40">
        <v>1974</v>
      </c>
      <c r="E86" s="40">
        <v>1692</v>
      </c>
      <c r="F86" s="40">
        <v>1407</v>
      </c>
      <c r="G86" s="40">
        <v>1118</v>
      </c>
      <c r="H86" s="40">
        <v>888</v>
      </c>
      <c r="I86" s="40">
        <v>1165</v>
      </c>
      <c r="J86" s="40">
        <v>847</v>
      </c>
      <c r="K86">
        <v>433</v>
      </c>
      <c r="L86">
        <v>400</v>
      </c>
      <c r="M86">
        <v>0</v>
      </c>
      <c r="N86">
        <v>0</v>
      </c>
      <c r="O86">
        <v>333</v>
      </c>
      <c r="P86">
        <v>385</v>
      </c>
      <c r="Q86">
        <v>273</v>
      </c>
      <c r="R86">
        <v>289</v>
      </c>
      <c r="S86">
        <v>249</v>
      </c>
      <c r="T86">
        <v>197</v>
      </c>
      <c r="U86">
        <v>150</v>
      </c>
      <c r="V86">
        <v>197</v>
      </c>
      <c r="W86">
        <v>143</v>
      </c>
      <c r="X86">
        <v>122</v>
      </c>
      <c r="Y86">
        <v>101</v>
      </c>
      <c r="Z86">
        <v>2</v>
      </c>
      <c r="AA86">
        <v>0</v>
      </c>
      <c r="AD86" t="s">
        <v>179</v>
      </c>
      <c r="AE86" s="29">
        <v>1672</v>
      </c>
      <c r="AF86">
        <v>9371</v>
      </c>
      <c r="AG86">
        <v>1619</v>
      </c>
      <c r="AH86">
        <v>9686</v>
      </c>
    </row>
    <row r="87" spans="1:34" hidden="1">
      <c r="A87" s="40" t="s">
        <v>714</v>
      </c>
      <c r="B87" s="40">
        <v>98</v>
      </c>
      <c r="C87" s="40">
        <v>97</v>
      </c>
      <c r="D87" s="40">
        <v>88</v>
      </c>
      <c r="E87" s="40">
        <v>73</v>
      </c>
      <c r="F87" s="40">
        <v>70</v>
      </c>
      <c r="G87" s="40">
        <v>64</v>
      </c>
      <c r="H87" s="40">
        <v>70</v>
      </c>
      <c r="I87" s="40">
        <v>73</v>
      </c>
      <c r="J87" s="40">
        <v>61</v>
      </c>
      <c r="K87">
        <v>57</v>
      </c>
      <c r="L87">
        <v>60</v>
      </c>
      <c r="M87">
        <v>85</v>
      </c>
      <c r="N87">
        <v>84</v>
      </c>
      <c r="O87">
        <v>56</v>
      </c>
      <c r="P87">
        <v>38</v>
      </c>
      <c r="Q87">
        <v>27</v>
      </c>
      <c r="R87">
        <v>25</v>
      </c>
      <c r="S87">
        <v>39</v>
      </c>
      <c r="T87">
        <v>26</v>
      </c>
      <c r="U87">
        <v>34</v>
      </c>
      <c r="V87">
        <v>27</v>
      </c>
      <c r="W87">
        <v>31</v>
      </c>
      <c r="X87">
        <v>28</v>
      </c>
      <c r="Y87">
        <v>21</v>
      </c>
      <c r="Z87">
        <v>40</v>
      </c>
      <c r="AA87">
        <v>21</v>
      </c>
      <c r="AD87" t="s">
        <v>253</v>
      </c>
      <c r="AE87" s="29">
        <v>662</v>
      </c>
      <c r="AF87">
        <v>2203</v>
      </c>
      <c r="AG87">
        <v>660</v>
      </c>
      <c r="AH87">
        <v>2078</v>
      </c>
    </row>
    <row r="88" spans="1:34" hidden="1">
      <c r="A88" s="40" t="s">
        <v>1094</v>
      </c>
      <c r="B88" s="40">
        <v>5274</v>
      </c>
      <c r="C88" s="40">
        <v>957</v>
      </c>
      <c r="D88" s="40">
        <v>2180</v>
      </c>
      <c r="E88" s="40">
        <v>3131</v>
      </c>
      <c r="F88" s="40">
        <v>2602</v>
      </c>
      <c r="G88" s="40">
        <v>2583</v>
      </c>
      <c r="H88" s="40">
        <v>2693</v>
      </c>
      <c r="I88" s="40">
        <v>3088</v>
      </c>
      <c r="J88" s="40">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235</v>
      </c>
      <c r="AE88" s="29">
        <v>423</v>
      </c>
      <c r="AF88">
        <v>2735</v>
      </c>
      <c r="AG88">
        <v>560</v>
      </c>
      <c r="AH88">
        <v>3270</v>
      </c>
    </row>
    <row r="89" spans="1:34" hidden="1">
      <c r="A89" s="40" t="s">
        <v>1211</v>
      </c>
      <c r="B89" s="40">
        <v>1401</v>
      </c>
      <c r="C89" s="40">
        <v>1191</v>
      </c>
      <c r="D89" s="40">
        <v>565</v>
      </c>
      <c r="E89" s="40">
        <v>259</v>
      </c>
      <c r="F89" s="40">
        <v>29</v>
      </c>
      <c r="G89" s="40">
        <v>0</v>
      </c>
      <c r="H89" s="40">
        <v>0</v>
      </c>
      <c r="I89" s="40">
        <v>0</v>
      </c>
      <c r="J89" s="40">
        <v>0</v>
      </c>
      <c r="K89">
        <v>104</v>
      </c>
      <c r="L89">
        <v>0</v>
      </c>
      <c r="M89">
        <v>602</v>
      </c>
      <c r="N89">
        <v>994</v>
      </c>
      <c r="O89">
        <v>366</v>
      </c>
      <c r="P89">
        <v>306</v>
      </c>
      <c r="Q89">
        <v>143</v>
      </c>
      <c r="R89">
        <v>88</v>
      </c>
      <c r="S89">
        <v>3</v>
      </c>
      <c r="T89">
        <v>0</v>
      </c>
      <c r="U89">
        <v>0</v>
      </c>
      <c r="V89">
        <v>0</v>
      </c>
      <c r="W89">
        <v>0</v>
      </c>
      <c r="X89">
        <v>18</v>
      </c>
      <c r="Y89">
        <v>0</v>
      </c>
      <c r="Z89">
        <v>102</v>
      </c>
      <c r="AA89">
        <v>116</v>
      </c>
      <c r="AD89" t="s">
        <v>207</v>
      </c>
      <c r="AE89" s="29">
        <v>431</v>
      </c>
      <c r="AF89">
        <v>2578</v>
      </c>
      <c r="AH89">
        <v>0</v>
      </c>
    </row>
    <row r="90" spans="1:34" hidden="1">
      <c r="A90" s="40" t="s">
        <v>1082</v>
      </c>
      <c r="B90" s="40">
        <v>539</v>
      </c>
      <c r="C90" s="40">
        <v>362</v>
      </c>
      <c r="D90" s="40">
        <v>249</v>
      </c>
      <c r="E90" s="40">
        <v>229</v>
      </c>
      <c r="F90" s="40">
        <v>207</v>
      </c>
      <c r="G90" s="40">
        <v>220</v>
      </c>
      <c r="H90" s="40">
        <v>297</v>
      </c>
      <c r="I90" s="40">
        <v>137</v>
      </c>
      <c r="J90" s="40">
        <v>96</v>
      </c>
      <c r="K90">
        <v>140</v>
      </c>
      <c r="L90">
        <v>0</v>
      </c>
      <c r="M90">
        <v>134</v>
      </c>
      <c r="N90">
        <v>222</v>
      </c>
      <c r="O90">
        <v>72</v>
      </c>
      <c r="P90">
        <v>117</v>
      </c>
      <c r="Q90">
        <v>63</v>
      </c>
      <c r="R90">
        <v>80</v>
      </c>
      <c r="S90">
        <v>84</v>
      </c>
      <c r="T90">
        <v>75</v>
      </c>
      <c r="U90">
        <v>144</v>
      </c>
      <c r="V90">
        <v>60</v>
      </c>
      <c r="W90">
        <v>46</v>
      </c>
      <c r="X90">
        <v>75</v>
      </c>
      <c r="Y90">
        <v>0</v>
      </c>
      <c r="Z90">
        <v>40</v>
      </c>
      <c r="AA90">
        <v>56</v>
      </c>
      <c r="AD90" t="s">
        <v>299</v>
      </c>
      <c r="AE90" s="29">
        <v>208</v>
      </c>
      <c r="AF90">
        <v>1108</v>
      </c>
      <c r="AH90">
        <v>0</v>
      </c>
    </row>
    <row r="91" spans="1:34" hidden="1">
      <c r="A91" s="40" t="s">
        <v>483</v>
      </c>
      <c r="B91" s="40">
        <v>2661</v>
      </c>
      <c r="C91" s="40">
        <v>3561</v>
      </c>
      <c r="D91" s="40">
        <v>3146</v>
      </c>
      <c r="E91" s="40">
        <v>3133</v>
      </c>
      <c r="F91" s="40">
        <v>2990</v>
      </c>
      <c r="G91" s="40">
        <v>5395</v>
      </c>
      <c r="H91" s="40">
        <v>3136</v>
      </c>
      <c r="I91" s="40">
        <v>2754</v>
      </c>
      <c r="J91" s="40">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295</v>
      </c>
      <c r="AE91" s="29">
        <v>427</v>
      </c>
      <c r="AF91">
        <v>2097</v>
      </c>
      <c r="AH91">
        <v>0</v>
      </c>
    </row>
    <row r="92" spans="1:34" hidden="1">
      <c r="A92" s="40" t="s">
        <v>381</v>
      </c>
      <c r="B92" s="40">
        <v>1256</v>
      </c>
      <c r="C92" s="40">
        <v>916</v>
      </c>
      <c r="D92" s="40">
        <v>731</v>
      </c>
      <c r="E92" s="40">
        <v>867</v>
      </c>
      <c r="F92" s="40">
        <v>838</v>
      </c>
      <c r="G92" s="40">
        <v>745</v>
      </c>
      <c r="H92" s="40">
        <v>692</v>
      </c>
      <c r="I92" s="40">
        <v>721</v>
      </c>
      <c r="J92" s="40">
        <v>652</v>
      </c>
      <c r="K92">
        <v>690</v>
      </c>
      <c r="L92">
        <v>597</v>
      </c>
      <c r="M92">
        <v>459</v>
      </c>
      <c r="N92">
        <v>2757</v>
      </c>
      <c r="O92">
        <v>210</v>
      </c>
      <c r="P92">
        <v>211</v>
      </c>
      <c r="Q92">
        <v>211</v>
      </c>
      <c r="R92">
        <v>334</v>
      </c>
      <c r="S92">
        <v>290</v>
      </c>
      <c r="T92">
        <v>296</v>
      </c>
      <c r="U92">
        <v>258</v>
      </c>
      <c r="V92">
        <v>260</v>
      </c>
      <c r="W92">
        <v>254</v>
      </c>
      <c r="X92">
        <v>376</v>
      </c>
      <c r="Y92">
        <v>333</v>
      </c>
      <c r="Z92">
        <v>293</v>
      </c>
      <c r="AA92">
        <v>669</v>
      </c>
      <c r="AD92" t="s">
        <v>485</v>
      </c>
      <c r="AE92" s="29">
        <v>6857</v>
      </c>
      <c r="AF92">
        <v>24329</v>
      </c>
      <c r="AG92">
        <v>6633</v>
      </c>
      <c r="AH92">
        <v>23253</v>
      </c>
    </row>
    <row r="93" spans="1:34" hidden="1">
      <c r="A93" s="40" t="s">
        <v>253</v>
      </c>
      <c r="B93" s="40">
        <v>0</v>
      </c>
      <c r="C93" s="40">
        <v>400</v>
      </c>
      <c r="D93" s="40">
        <v>321</v>
      </c>
      <c r="E93" s="40">
        <v>270</v>
      </c>
      <c r="F93" s="40">
        <v>345</v>
      </c>
      <c r="G93" s="40">
        <v>165</v>
      </c>
      <c r="H93" s="40">
        <v>426</v>
      </c>
      <c r="I93" s="40">
        <v>412</v>
      </c>
      <c r="J93" s="40">
        <v>372</v>
      </c>
      <c r="K93">
        <v>346</v>
      </c>
      <c r="L93">
        <v>504</v>
      </c>
      <c r="M93">
        <v>410</v>
      </c>
      <c r="N93">
        <v>650</v>
      </c>
      <c r="O93">
        <v>0</v>
      </c>
      <c r="P93">
        <v>73</v>
      </c>
      <c r="Q93">
        <v>49</v>
      </c>
      <c r="R93">
        <v>76</v>
      </c>
      <c r="S93">
        <v>101</v>
      </c>
      <c r="T93">
        <v>32</v>
      </c>
      <c r="U93">
        <v>102</v>
      </c>
      <c r="V93">
        <v>89</v>
      </c>
      <c r="W93">
        <v>105</v>
      </c>
      <c r="X93">
        <v>83</v>
      </c>
      <c r="Y93">
        <v>121</v>
      </c>
      <c r="Z93">
        <v>85</v>
      </c>
      <c r="AA93">
        <v>160</v>
      </c>
      <c r="AD93" t="s">
        <v>497</v>
      </c>
      <c r="AE93" s="29">
        <v>1277</v>
      </c>
      <c r="AF93">
        <v>5528</v>
      </c>
      <c r="AG93">
        <v>1354</v>
      </c>
      <c r="AH93">
        <v>5274</v>
      </c>
    </row>
    <row r="94" spans="1:34" hidden="1">
      <c r="A94" s="40" t="s">
        <v>1001</v>
      </c>
      <c r="B94" s="40">
        <v>1047</v>
      </c>
      <c r="C94" s="40">
        <v>1003</v>
      </c>
      <c r="D94" s="40">
        <v>1070</v>
      </c>
      <c r="E94" s="40">
        <v>936</v>
      </c>
      <c r="F94" s="40">
        <v>532</v>
      </c>
      <c r="G94" s="40">
        <v>490</v>
      </c>
      <c r="H94" s="40">
        <v>575</v>
      </c>
      <c r="I94" s="40">
        <v>466</v>
      </c>
      <c r="J94" s="40">
        <v>438</v>
      </c>
      <c r="K94">
        <v>373</v>
      </c>
      <c r="L94">
        <v>350</v>
      </c>
      <c r="M94">
        <v>403</v>
      </c>
      <c r="N94">
        <v>547</v>
      </c>
      <c r="O94">
        <v>200</v>
      </c>
      <c r="P94">
        <v>193</v>
      </c>
      <c r="Q94">
        <v>158</v>
      </c>
      <c r="R94">
        <v>172</v>
      </c>
      <c r="S94">
        <v>135</v>
      </c>
      <c r="T94">
        <v>145</v>
      </c>
      <c r="U94">
        <v>167</v>
      </c>
      <c r="V94">
        <v>149</v>
      </c>
      <c r="W94">
        <v>118</v>
      </c>
      <c r="X94">
        <v>137</v>
      </c>
      <c r="Y94">
        <v>141</v>
      </c>
      <c r="Z94">
        <v>138</v>
      </c>
      <c r="AA94">
        <v>119</v>
      </c>
      <c r="AD94" t="s">
        <v>281</v>
      </c>
      <c r="AE94" s="29">
        <v>1046</v>
      </c>
      <c r="AF94">
        <v>4252</v>
      </c>
      <c r="AG94">
        <v>963</v>
      </c>
      <c r="AH94">
        <v>3558</v>
      </c>
    </row>
    <row r="95" spans="1:34" hidden="1">
      <c r="A95" s="40" t="s">
        <v>1034</v>
      </c>
      <c r="B95" s="40">
        <v>569</v>
      </c>
      <c r="C95" s="40">
        <v>464</v>
      </c>
      <c r="D95" s="40">
        <v>413</v>
      </c>
      <c r="E95" s="40">
        <v>490</v>
      </c>
      <c r="F95" s="40">
        <v>388</v>
      </c>
      <c r="G95" s="40">
        <v>490</v>
      </c>
      <c r="H95" s="40">
        <v>570</v>
      </c>
      <c r="I95" s="40">
        <v>520</v>
      </c>
      <c r="J95" s="40">
        <v>455</v>
      </c>
      <c r="K95">
        <v>471</v>
      </c>
      <c r="L95">
        <v>330</v>
      </c>
      <c r="M95">
        <v>395</v>
      </c>
      <c r="N95">
        <v>623</v>
      </c>
      <c r="O95">
        <v>153</v>
      </c>
      <c r="P95">
        <v>131</v>
      </c>
      <c r="Q95">
        <v>113</v>
      </c>
      <c r="R95">
        <v>125</v>
      </c>
      <c r="S95">
        <v>141</v>
      </c>
      <c r="T95">
        <v>188</v>
      </c>
      <c r="U95">
        <v>215</v>
      </c>
      <c r="V95">
        <v>209</v>
      </c>
      <c r="W95">
        <v>181</v>
      </c>
      <c r="X95">
        <v>203</v>
      </c>
      <c r="Y95">
        <v>135</v>
      </c>
      <c r="Z95">
        <v>170</v>
      </c>
      <c r="AA95">
        <v>233</v>
      </c>
      <c r="AD95" t="s">
        <v>357</v>
      </c>
      <c r="AE95" s="29">
        <v>577</v>
      </c>
      <c r="AF95">
        <v>2249</v>
      </c>
      <c r="AH95">
        <v>0</v>
      </c>
    </row>
    <row r="96" spans="1:34" hidden="1">
      <c r="A96" s="40" t="s">
        <v>1069</v>
      </c>
      <c r="B96" s="40">
        <v>4013</v>
      </c>
      <c r="C96" s="40">
        <v>2760</v>
      </c>
      <c r="D96" s="40">
        <v>1710</v>
      </c>
      <c r="E96" s="40">
        <v>2229</v>
      </c>
      <c r="F96" s="40">
        <v>2199</v>
      </c>
      <c r="G96" s="40">
        <v>2033</v>
      </c>
      <c r="H96" s="40">
        <v>2284</v>
      </c>
      <c r="I96" s="40">
        <v>2387</v>
      </c>
      <c r="J96" s="40">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365</v>
      </c>
      <c r="AE96" s="29">
        <v>576</v>
      </c>
      <c r="AF96">
        <v>1593</v>
      </c>
      <c r="AH96">
        <v>0</v>
      </c>
    </row>
    <row r="97" spans="1:34" hidden="1">
      <c r="A97" s="40" t="s">
        <v>1135</v>
      </c>
      <c r="B97" s="40">
        <v>4430</v>
      </c>
      <c r="C97" s="40">
        <v>4077</v>
      </c>
      <c r="D97" s="40">
        <v>4073</v>
      </c>
      <c r="E97" s="40">
        <v>5819</v>
      </c>
      <c r="F97" s="40">
        <v>4803</v>
      </c>
      <c r="G97" s="40">
        <v>3465</v>
      </c>
      <c r="H97" s="40">
        <v>2984</v>
      </c>
      <c r="I97" s="40">
        <v>3286</v>
      </c>
      <c r="J97" s="40">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269</v>
      </c>
      <c r="AE97" s="29">
        <v>752</v>
      </c>
      <c r="AF97">
        <v>2822</v>
      </c>
      <c r="AH97">
        <v>0</v>
      </c>
    </row>
    <row r="98" spans="1:34" hidden="1">
      <c r="A98" s="40" t="s">
        <v>879</v>
      </c>
      <c r="B98" s="40">
        <v>877</v>
      </c>
      <c r="C98" s="40">
        <v>834</v>
      </c>
      <c r="D98" s="40">
        <v>498</v>
      </c>
      <c r="E98" s="40">
        <v>593</v>
      </c>
      <c r="F98" s="40">
        <v>469</v>
      </c>
      <c r="G98" s="40">
        <v>364</v>
      </c>
      <c r="H98" s="40">
        <v>309</v>
      </c>
      <c r="I98" s="40">
        <v>310</v>
      </c>
      <c r="J98" s="40">
        <v>325</v>
      </c>
      <c r="K98">
        <v>292</v>
      </c>
      <c r="L98">
        <v>306</v>
      </c>
      <c r="M98">
        <v>409</v>
      </c>
      <c r="N98">
        <v>568</v>
      </c>
      <c r="O98">
        <v>335</v>
      </c>
      <c r="P98">
        <v>274</v>
      </c>
      <c r="Q98">
        <v>156</v>
      </c>
      <c r="R98">
        <v>169</v>
      </c>
      <c r="S98">
        <v>168</v>
      </c>
      <c r="T98">
        <v>105</v>
      </c>
      <c r="U98">
        <v>180</v>
      </c>
      <c r="V98">
        <v>157</v>
      </c>
      <c r="W98">
        <v>145</v>
      </c>
      <c r="X98">
        <v>211</v>
      </c>
      <c r="Y98">
        <v>159</v>
      </c>
      <c r="Z98">
        <v>204</v>
      </c>
      <c r="AA98">
        <v>269</v>
      </c>
      <c r="AD98" t="s">
        <v>277</v>
      </c>
      <c r="AE98" s="29">
        <v>613</v>
      </c>
      <c r="AF98">
        <v>10530</v>
      </c>
      <c r="AG98">
        <v>503</v>
      </c>
      <c r="AH98">
        <v>7597</v>
      </c>
    </row>
    <row r="99" spans="1:34" hidden="1">
      <c r="A99" s="40" t="s">
        <v>19</v>
      </c>
      <c r="B99" s="40">
        <v>8670</v>
      </c>
      <c r="C99" s="40">
        <v>10909</v>
      </c>
      <c r="D99" s="40">
        <v>20029</v>
      </c>
      <c r="E99" s="40">
        <v>36832</v>
      </c>
      <c r="F99" s="40">
        <v>48074</v>
      </c>
      <c r="G99" s="40">
        <v>8569</v>
      </c>
      <c r="H99" s="40">
        <v>38597</v>
      </c>
      <c r="I99" s="40">
        <v>35871</v>
      </c>
      <c r="J99" s="40">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231</v>
      </c>
      <c r="AE99" s="29">
        <v>1880</v>
      </c>
      <c r="AF99">
        <v>18081</v>
      </c>
      <c r="AG99">
        <v>1564</v>
      </c>
      <c r="AH99">
        <v>15682</v>
      </c>
    </row>
    <row r="100" spans="1:34" hidden="1">
      <c r="A100" s="40" t="s">
        <v>481</v>
      </c>
      <c r="B100" s="40">
        <v>760</v>
      </c>
      <c r="C100" s="40">
        <v>617</v>
      </c>
      <c r="D100" s="40">
        <v>797</v>
      </c>
      <c r="E100" s="40">
        <v>929</v>
      </c>
      <c r="F100" s="40">
        <v>661</v>
      </c>
      <c r="G100" s="40">
        <v>307</v>
      </c>
      <c r="H100" s="40">
        <v>441</v>
      </c>
      <c r="I100" s="40">
        <v>360</v>
      </c>
      <c r="J100" s="40">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225</v>
      </c>
      <c r="AE100" s="29">
        <v>513</v>
      </c>
      <c r="AF100">
        <v>2211</v>
      </c>
      <c r="AH100">
        <v>0</v>
      </c>
    </row>
    <row r="101" spans="1:34" hidden="1">
      <c r="A101" s="40" t="s">
        <v>347</v>
      </c>
      <c r="B101" s="40">
        <v>632</v>
      </c>
      <c r="C101" s="40">
        <v>1062</v>
      </c>
      <c r="D101" s="40">
        <v>1126</v>
      </c>
      <c r="E101" s="40">
        <v>1227</v>
      </c>
      <c r="F101" s="40">
        <v>713</v>
      </c>
      <c r="G101" s="40">
        <v>320</v>
      </c>
      <c r="H101" s="40">
        <v>544</v>
      </c>
      <c r="I101" s="40">
        <v>581</v>
      </c>
      <c r="J101" s="40">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361</v>
      </c>
      <c r="AE101" s="29">
        <v>196</v>
      </c>
      <c r="AF101">
        <v>1176</v>
      </c>
      <c r="AH101">
        <v>0</v>
      </c>
    </row>
    <row r="102" spans="1:34" hidden="1">
      <c r="A102" s="40" t="s">
        <v>227</v>
      </c>
      <c r="B102" s="40">
        <v>417</v>
      </c>
      <c r="C102" s="40">
        <v>369</v>
      </c>
      <c r="D102" s="40">
        <v>427</v>
      </c>
      <c r="E102" s="40">
        <v>482</v>
      </c>
      <c r="F102" s="40">
        <v>418</v>
      </c>
      <c r="G102" s="40">
        <v>408</v>
      </c>
      <c r="H102" s="40">
        <v>412</v>
      </c>
      <c r="I102" s="40">
        <v>489</v>
      </c>
      <c r="J102" s="40">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423</v>
      </c>
      <c r="AE102" s="29">
        <v>707</v>
      </c>
      <c r="AF102">
        <v>3766</v>
      </c>
      <c r="AH102">
        <v>0</v>
      </c>
    </row>
    <row r="103" spans="1:34" hidden="1">
      <c r="A103" s="40" t="s">
        <v>275</v>
      </c>
      <c r="B103" s="40">
        <v>1416</v>
      </c>
      <c r="C103" s="40">
        <v>1319</v>
      </c>
      <c r="D103" s="40">
        <v>1252</v>
      </c>
      <c r="E103" s="40">
        <v>1470</v>
      </c>
      <c r="F103" s="40">
        <v>1502</v>
      </c>
      <c r="G103" s="40">
        <v>1536</v>
      </c>
      <c r="H103" s="40">
        <v>1132</v>
      </c>
      <c r="I103" s="40">
        <v>1296</v>
      </c>
      <c r="J103" s="40">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93</v>
      </c>
      <c r="AE103" s="29">
        <v>1594</v>
      </c>
      <c r="AF103">
        <v>8161</v>
      </c>
      <c r="AG103">
        <v>1148</v>
      </c>
      <c r="AH103">
        <v>7643</v>
      </c>
    </row>
    <row r="104" spans="1:34" hidden="1">
      <c r="A104" s="40" t="s">
        <v>437</v>
      </c>
      <c r="B104" s="40">
        <v>2658</v>
      </c>
      <c r="C104" s="40">
        <v>1941</v>
      </c>
      <c r="D104" s="40">
        <v>1600</v>
      </c>
      <c r="E104" s="40">
        <v>2850</v>
      </c>
      <c r="F104" s="40">
        <v>2049</v>
      </c>
      <c r="G104" s="40">
        <v>1591</v>
      </c>
      <c r="H104" s="40">
        <v>1100</v>
      </c>
      <c r="I104" s="40">
        <v>1282</v>
      </c>
      <c r="J104" s="40">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517</v>
      </c>
      <c r="AE104" s="29">
        <v>2511</v>
      </c>
      <c r="AF104">
        <v>12700</v>
      </c>
      <c r="AG104">
        <v>2624</v>
      </c>
      <c r="AH104">
        <v>11543</v>
      </c>
    </row>
    <row r="105" spans="1:34" hidden="1">
      <c r="A105" s="40" t="s">
        <v>487</v>
      </c>
      <c r="B105" s="40">
        <v>1711</v>
      </c>
      <c r="C105" s="40">
        <v>1517</v>
      </c>
      <c r="D105" s="40">
        <v>1607</v>
      </c>
      <c r="E105" s="40">
        <v>1913</v>
      </c>
      <c r="F105" s="40">
        <v>1166</v>
      </c>
      <c r="G105" s="40">
        <v>1267</v>
      </c>
      <c r="H105" s="40">
        <v>1273</v>
      </c>
      <c r="I105" s="40">
        <v>1016</v>
      </c>
      <c r="J105" s="40">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387</v>
      </c>
      <c r="AE105" s="29">
        <v>1114</v>
      </c>
      <c r="AF105">
        <v>6172</v>
      </c>
      <c r="AG105">
        <v>1024</v>
      </c>
      <c r="AH105">
        <v>5169</v>
      </c>
    </row>
    <row r="106" spans="1:34" hidden="1">
      <c r="A106" s="40" t="s">
        <v>948</v>
      </c>
      <c r="B106" s="40">
        <v>1350</v>
      </c>
      <c r="C106" s="40">
        <v>1288</v>
      </c>
      <c r="D106" s="40">
        <v>1007</v>
      </c>
      <c r="E106" s="40">
        <v>920</v>
      </c>
      <c r="F106" s="40">
        <v>747</v>
      </c>
      <c r="G106" s="40">
        <v>676</v>
      </c>
      <c r="H106" s="40">
        <v>705</v>
      </c>
      <c r="I106" s="40">
        <v>751</v>
      </c>
      <c r="J106" s="40">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203</v>
      </c>
      <c r="AE106" s="29">
        <v>950</v>
      </c>
      <c r="AF106">
        <v>2213</v>
      </c>
      <c r="AH106">
        <v>0</v>
      </c>
    </row>
    <row r="107" spans="1:34" hidden="1">
      <c r="A107" s="40" t="s">
        <v>1096</v>
      </c>
      <c r="B107" s="40">
        <v>0</v>
      </c>
      <c r="C107" s="40">
        <v>0</v>
      </c>
      <c r="D107" s="40">
        <v>0</v>
      </c>
      <c r="E107" s="40">
        <v>0</v>
      </c>
      <c r="F107" s="40">
        <v>0</v>
      </c>
      <c r="G107" s="40">
        <v>0</v>
      </c>
      <c r="H107" s="40">
        <v>208</v>
      </c>
      <c r="I107" s="40">
        <v>163</v>
      </c>
      <c r="J107" s="40">
        <v>136</v>
      </c>
      <c r="K107">
        <v>90</v>
      </c>
      <c r="L107">
        <v>112</v>
      </c>
      <c r="M107">
        <v>98</v>
      </c>
      <c r="N107">
        <v>107</v>
      </c>
      <c r="O107">
        <v>0</v>
      </c>
      <c r="P107">
        <v>0</v>
      </c>
      <c r="Q107">
        <v>0</v>
      </c>
      <c r="R107">
        <v>0</v>
      </c>
      <c r="S107">
        <v>0</v>
      </c>
      <c r="T107">
        <v>0</v>
      </c>
      <c r="U107">
        <v>53</v>
      </c>
      <c r="V107">
        <v>0</v>
      </c>
      <c r="W107">
        <v>89</v>
      </c>
      <c r="X107">
        <v>76</v>
      </c>
      <c r="Y107">
        <v>65</v>
      </c>
      <c r="Z107">
        <v>59</v>
      </c>
      <c r="AA107">
        <v>71</v>
      </c>
      <c r="AD107" t="s">
        <v>165</v>
      </c>
      <c r="AE107" s="29">
        <v>756</v>
      </c>
      <c r="AF107">
        <v>2872</v>
      </c>
      <c r="AH107">
        <v>0</v>
      </c>
    </row>
    <row r="108" spans="1:34" hidden="1">
      <c r="A108" s="40" t="s">
        <v>978</v>
      </c>
      <c r="B108" s="40">
        <v>974</v>
      </c>
      <c r="C108" s="40">
        <v>1095</v>
      </c>
      <c r="D108" s="40">
        <v>2094</v>
      </c>
      <c r="E108" s="40">
        <v>1713</v>
      </c>
      <c r="F108" s="40">
        <v>1063</v>
      </c>
      <c r="G108" s="40">
        <v>7926</v>
      </c>
      <c r="H108" s="40">
        <v>1635</v>
      </c>
      <c r="I108" s="40">
        <v>895</v>
      </c>
      <c r="J108" s="40">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311</v>
      </c>
      <c r="AE108" s="29">
        <v>535</v>
      </c>
      <c r="AF108">
        <v>2720</v>
      </c>
      <c r="AH108">
        <v>0</v>
      </c>
    </row>
    <row r="109" spans="1:34" hidden="1">
      <c r="A109" s="40" t="s">
        <v>1120</v>
      </c>
      <c r="B109" s="40">
        <v>3177</v>
      </c>
      <c r="C109" s="40">
        <v>2464</v>
      </c>
      <c r="D109" s="40">
        <v>2763</v>
      </c>
      <c r="E109" s="40">
        <v>1976</v>
      </c>
      <c r="F109" s="40">
        <v>1821</v>
      </c>
      <c r="G109" s="40">
        <v>2050</v>
      </c>
      <c r="H109" s="40">
        <v>1848</v>
      </c>
      <c r="I109" s="40">
        <v>3303</v>
      </c>
      <c r="J109" s="40">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141</v>
      </c>
      <c r="AE109" s="29">
        <v>1992</v>
      </c>
      <c r="AF109">
        <v>4809</v>
      </c>
      <c r="AG109">
        <v>1876</v>
      </c>
      <c r="AH109">
        <v>4381</v>
      </c>
    </row>
    <row r="110" spans="1:34" hidden="1">
      <c r="A110" s="40" t="s">
        <v>201</v>
      </c>
      <c r="B110" s="40">
        <v>1558</v>
      </c>
      <c r="C110" s="40">
        <v>1634</v>
      </c>
      <c r="D110" s="40">
        <v>1646</v>
      </c>
      <c r="E110" s="40">
        <v>1521</v>
      </c>
      <c r="F110" s="40">
        <v>1323</v>
      </c>
      <c r="G110" s="40">
        <v>1390</v>
      </c>
      <c r="H110" s="40">
        <v>1297</v>
      </c>
      <c r="I110" s="40">
        <v>1409</v>
      </c>
      <c r="J110" s="40">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8" t="s">
        <v>62</v>
      </c>
      <c r="AE110" s="29">
        <v>910</v>
      </c>
      <c r="AF110">
        <v>4186</v>
      </c>
      <c r="AG110">
        <v>683</v>
      </c>
      <c r="AH110">
        <v>5958</v>
      </c>
    </row>
    <row r="111" spans="1:34" hidden="1">
      <c r="A111" s="40" t="s">
        <v>491</v>
      </c>
      <c r="B111" s="40">
        <v>1299</v>
      </c>
      <c r="C111" s="40">
        <v>1499</v>
      </c>
      <c r="D111" s="40">
        <v>1816</v>
      </c>
      <c r="E111" s="40">
        <v>1430</v>
      </c>
      <c r="F111" s="40">
        <v>1165</v>
      </c>
      <c r="G111" s="40">
        <v>1127</v>
      </c>
      <c r="H111" s="40">
        <v>1156</v>
      </c>
      <c r="I111" s="40">
        <v>1195</v>
      </c>
      <c r="J111" s="40">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267</v>
      </c>
      <c r="AE111" s="29">
        <v>991</v>
      </c>
      <c r="AF111">
        <v>4900</v>
      </c>
      <c r="AH111">
        <v>0</v>
      </c>
    </row>
    <row r="112" spans="1:34" hidden="1">
      <c r="A112" s="40" t="s">
        <v>1072</v>
      </c>
      <c r="B112" s="40">
        <v>1354</v>
      </c>
      <c r="C112" s="40">
        <v>1035</v>
      </c>
      <c r="D112" s="40">
        <v>988</v>
      </c>
      <c r="E112" s="40">
        <v>832</v>
      </c>
      <c r="F112" s="40">
        <v>578</v>
      </c>
      <c r="G112" s="40">
        <v>641</v>
      </c>
      <c r="H112" s="40">
        <v>495</v>
      </c>
      <c r="I112" s="40">
        <v>449</v>
      </c>
      <c r="J112" s="40">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265</v>
      </c>
      <c r="AE112" s="29">
        <v>1070</v>
      </c>
      <c r="AF112">
        <v>4644</v>
      </c>
      <c r="AG112">
        <v>1149</v>
      </c>
      <c r="AH112">
        <v>4926</v>
      </c>
    </row>
    <row r="113" spans="1:34" hidden="1">
      <c r="A113" s="40" t="s">
        <v>1212</v>
      </c>
      <c r="B113" s="40">
        <v>2000</v>
      </c>
      <c r="C113" s="40">
        <v>2085</v>
      </c>
      <c r="D113" s="40">
        <v>1899</v>
      </c>
      <c r="E113" s="40">
        <v>1650</v>
      </c>
      <c r="F113" s="40">
        <v>382</v>
      </c>
      <c r="G113" s="40">
        <v>0</v>
      </c>
      <c r="H113" s="40">
        <v>22</v>
      </c>
      <c r="I113" s="40">
        <v>12</v>
      </c>
      <c r="J113" s="40">
        <v>0</v>
      </c>
      <c r="K113">
        <v>6</v>
      </c>
      <c r="L113">
        <v>0</v>
      </c>
      <c r="M113">
        <v>0</v>
      </c>
      <c r="N113">
        <v>0</v>
      </c>
      <c r="O113">
        <v>746</v>
      </c>
      <c r="P113">
        <v>797</v>
      </c>
      <c r="Q113">
        <v>748</v>
      </c>
      <c r="R113">
        <v>696</v>
      </c>
      <c r="S113">
        <v>44</v>
      </c>
      <c r="T113">
        <v>0</v>
      </c>
      <c r="U113">
        <v>6</v>
      </c>
      <c r="V113">
        <v>2</v>
      </c>
      <c r="W113">
        <v>0</v>
      </c>
      <c r="X113">
        <v>1</v>
      </c>
      <c r="Y113">
        <v>0</v>
      </c>
      <c r="Z113">
        <v>0</v>
      </c>
      <c r="AA113">
        <v>0</v>
      </c>
      <c r="AD113" t="s">
        <v>287</v>
      </c>
      <c r="AE113" s="29">
        <v>269</v>
      </c>
      <c r="AF113">
        <v>1012</v>
      </c>
      <c r="AH113">
        <v>0</v>
      </c>
    </row>
    <row r="114" spans="1:34" hidden="1">
      <c r="A114" s="40" t="s">
        <v>1016</v>
      </c>
      <c r="B114" s="40">
        <v>485</v>
      </c>
      <c r="C114" s="40">
        <v>784</v>
      </c>
      <c r="D114" s="40">
        <v>1103</v>
      </c>
      <c r="E114" s="40">
        <v>586</v>
      </c>
      <c r="F114" s="40">
        <v>489</v>
      </c>
      <c r="G114" s="40">
        <v>498</v>
      </c>
      <c r="H114" s="40">
        <v>519</v>
      </c>
      <c r="I114" s="40">
        <v>491</v>
      </c>
      <c r="J114" s="40">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227</v>
      </c>
      <c r="AE114" s="29">
        <v>366</v>
      </c>
      <c r="AF114">
        <v>2376</v>
      </c>
      <c r="AG114">
        <v>335</v>
      </c>
      <c r="AH114">
        <v>2573</v>
      </c>
    </row>
    <row r="115" spans="1:34" hidden="1">
      <c r="A115" s="40" t="s">
        <v>1012</v>
      </c>
      <c r="B115" s="40">
        <v>1192</v>
      </c>
      <c r="C115" s="40">
        <v>1048</v>
      </c>
      <c r="D115" s="40">
        <v>821</v>
      </c>
      <c r="E115" s="40">
        <v>1049</v>
      </c>
      <c r="F115" s="40">
        <v>657</v>
      </c>
      <c r="G115" s="40">
        <v>569</v>
      </c>
      <c r="H115" s="40">
        <v>676</v>
      </c>
      <c r="I115" s="40">
        <v>751</v>
      </c>
      <c r="J115" s="40">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455</v>
      </c>
      <c r="AE115" s="29">
        <v>2113</v>
      </c>
      <c r="AF115">
        <v>5392</v>
      </c>
      <c r="AG115">
        <v>1765</v>
      </c>
      <c r="AH115">
        <v>4661</v>
      </c>
    </row>
    <row r="116" spans="1:34" hidden="1">
      <c r="A116" s="40" t="s">
        <v>957</v>
      </c>
      <c r="B116" s="40">
        <v>1214</v>
      </c>
      <c r="C116" s="40">
        <v>674</v>
      </c>
      <c r="D116" s="40">
        <v>89</v>
      </c>
      <c r="E116" s="40">
        <v>820</v>
      </c>
      <c r="F116" s="40">
        <v>684</v>
      </c>
      <c r="G116" s="40">
        <v>594</v>
      </c>
      <c r="H116" s="40">
        <v>649</v>
      </c>
      <c r="I116" s="40">
        <v>840</v>
      </c>
      <c r="J116" s="40">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477</v>
      </c>
      <c r="AE116" s="29">
        <v>1161</v>
      </c>
      <c r="AF116">
        <v>5011</v>
      </c>
      <c r="AG116">
        <v>1486</v>
      </c>
      <c r="AH116">
        <v>6808</v>
      </c>
    </row>
    <row r="117" spans="1:34" hidden="1">
      <c r="A117" s="40" t="s">
        <v>720</v>
      </c>
      <c r="B117" s="40">
        <v>128</v>
      </c>
      <c r="C117" s="40">
        <v>112</v>
      </c>
      <c r="D117" s="40">
        <v>69</v>
      </c>
      <c r="E117" s="40">
        <v>74</v>
      </c>
      <c r="F117" s="40">
        <v>64</v>
      </c>
      <c r="G117" s="40">
        <v>77</v>
      </c>
      <c r="H117" s="40">
        <v>86</v>
      </c>
      <c r="I117" s="40">
        <v>74</v>
      </c>
      <c r="J117" s="40">
        <v>72</v>
      </c>
      <c r="K117">
        <v>67</v>
      </c>
      <c r="L117">
        <v>63</v>
      </c>
      <c r="M117">
        <v>67</v>
      </c>
      <c r="N117">
        <v>263</v>
      </c>
      <c r="O117">
        <v>33</v>
      </c>
      <c r="P117">
        <v>29</v>
      </c>
      <c r="Q117">
        <v>23</v>
      </c>
      <c r="R117">
        <v>29</v>
      </c>
      <c r="S117">
        <v>18</v>
      </c>
      <c r="T117">
        <v>31</v>
      </c>
      <c r="U117">
        <v>36</v>
      </c>
      <c r="V117">
        <v>23</v>
      </c>
      <c r="W117">
        <v>33</v>
      </c>
      <c r="X117">
        <v>40</v>
      </c>
      <c r="Y117">
        <v>26</v>
      </c>
      <c r="Z117">
        <v>28</v>
      </c>
      <c r="AA117">
        <v>88</v>
      </c>
      <c r="AD117" t="s">
        <v>345</v>
      </c>
      <c r="AE117" s="29">
        <v>690</v>
      </c>
      <c r="AF117">
        <v>1755</v>
      </c>
      <c r="AH117">
        <v>0</v>
      </c>
    </row>
    <row r="118" spans="1:34" hidden="1">
      <c r="A118" s="40" t="s">
        <v>681</v>
      </c>
      <c r="B118" s="40">
        <v>198</v>
      </c>
      <c r="C118" s="40">
        <v>302</v>
      </c>
      <c r="D118" s="40">
        <v>84</v>
      </c>
      <c r="E118" s="40">
        <v>72</v>
      </c>
      <c r="F118" s="40">
        <v>53</v>
      </c>
      <c r="G118" s="40">
        <v>62</v>
      </c>
      <c r="H118" s="40">
        <v>107</v>
      </c>
      <c r="I118" s="40">
        <v>137</v>
      </c>
      <c r="J118" s="40">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189</v>
      </c>
      <c r="AE118" s="29">
        <v>1115</v>
      </c>
      <c r="AF118">
        <v>4213</v>
      </c>
      <c r="AG118">
        <v>995</v>
      </c>
      <c r="AH118">
        <v>3952</v>
      </c>
    </row>
    <row r="119" spans="1:34" hidden="1">
      <c r="A119" s="40" t="s">
        <v>701</v>
      </c>
      <c r="B119" s="40">
        <v>28</v>
      </c>
      <c r="C119" s="40">
        <v>33</v>
      </c>
      <c r="D119" s="40">
        <v>39</v>
      </c>
      <c r="E119" s="40">
        <v>35</v>
      </c>
      <c r="F119" s="40">
        <v>36</v>
      </c>
      <c r="G119" s="40">
        <v>26</v>
      </c>
      <c r="H119" s="40">
        <v>51</v>
      </c>
      <c r="I119" s="40">
        <v>43</v>
      </c>
      <c r="J119" s="40">
        <v>53</v>
      </c>
      <c r="K119">
        <v>67</v>
      </c>
      <c r="L119">
        <v>59</v>
      </c>
      <c r="M119">
        <v>63</v>
      </c>
      <c r="N119">
        <v>73</v>
      </c>
      <c r="O119">
        <v>20</v>
      </c>
      <c r="P119">
        <v>13</v>
      </c>
      <c r="Q119">
        <v>18</v>
      </c>
      <c r="R119">
        <v>17</v>
      </c>
      <c r="S119">
        <v>21</v>
      </c>
      <c r="T119">
        <v>21</v>
      </c>
      <c r="U119">
        <v>23</v>
      </c>
      <c r="V119">
        <v>20</v>
      </c>
      <c r="W119">
        <v>30</v>
      </c>
      <c r="X119">
        <v>29</v>
      </c>
      <c r="Y119">
        <v>33</v>
      </c>
      <c r="Z119">
        <v>23</v>
      </c>
      <c r="AA119">
        <v>29</v>
      </c>
      <c r="AD119" t="s">
        <v>341</v>
      </c>
      <c r="AE119" s="29">
        <v>1273</v>
      </c>
      <c r="AF119">
        <v>4614</v>
      </c>
      <c r="AG119">
        <v>1509</v>
      </c>
      <c r="AH119">
        <v>5326</v>
      </c>
    </row>
    <row r="120" spans="1:34" hidden="1">
      <c r="A120" s="40" t="s">
        <v>724</v>
      </c>
      <c r="B120" s="40">
        <v>1002</v>
      </c>
      <c r="C120" s="40">
        <v>1034</v>
      </c>
      <c r="D120" s="40">
        <v>660</v>
      </c>
      <c r="E120" s="40">
        <v>563</v>
      </c>
      <c r="F120" s="40">
        <v>480</v>
      </c>
      <c r="G120" s="40">
        <v>479</v>
      </c>
      <c r="H120" s="40">
        <v>567</v>
      </c>
      <c r="I120" s="40">
        <v>408</v>
      </c>
      <c r="J120" s="40">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273</v>
      </c>
      <c r="AE120" s="29">
        <v>1003</v>
      </c>
      <c r="AF120">
        <v>5089</v>
      </c>
      <c r="AG120">
        <v>1135</v>
      </c>
      <c r="AH120">
        <v>6127</v>
      </c>
    </row>
    <row r="121" spans="1:34" hidden="1">
      <c r="A121" s="40" t="s">
        <v>341</v>
      </c>
      <c r="B121" s="40">
        <v>556</v>
      </c>
      <c r="C121" s="40">
        <v>644</v>
      </c>
      <c r="D121" s="40">
        <v>668</v>
      </c>
      <c r="E121" s="40">
        <v>708</v>
      </c>
      <c r="F121" s="40">
        <v>563</v>
      </c>
      <c r="G121" s="40">
        <v>598</v>
      </c>
      <c r="H121" s="40">
        <v>612</v>
      </c>
      <c r="I121" s="40">
        <v>598</v>
      </c>
      <c r="J121" s="40">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317</v>
      </c>
      <c r="AE121" s="29">
        <v>425</v>
      </c>
      <c r="AF121">
        <v>1216</v>
      </c>
      <c r="AH121">
        <v>0</v>
      </c>
    </row>
    <row r="122" spans="1:34" hidden="1">
      <c r="A122" s="40" t="s">
        <v>125</v>
      </c>
      <c r="B122" s="40">
        <v>1013</v>
      </c>
      <c r="C122" s="40">
        <v>1382</v>
      </c>
      <c r="D122" s="40">
        <v>1449</v>
      </c>
      <c r="E122" s="40">
        <v>2537</v>
      </c>
      <c r="F122" s="40">
        <v>1852</v>
      </c>
      <c r="G122" s="40">
        <v>1365</v>
      </c>
      <c r="H122" s="40">
        <v>998</v>
      </c>
      <c r="I122" s="40">
        <v>1016</v>
      </c>
      <c r="J122" s="40">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255</v>
      </c>
      <c r="AE122" s="29">
        <v>457</v>
      </c>
      <c r="AF122">
        <v>2842</v>
      </c>
      <c r="AH122">
        <v>0</v>
      </c>
    </row>
    <row r="123" spans="1:34" hidden="1">
      <c r="A123" s="40" t="s">
        <v>417</v>
      </c>
      <c r="B123" s="40">
        <v>426</v>
      </c>
      <c r="C123" s="40">
        <v>462</v>
      </c>
      <c r="D123" s="40">
        <v>516</v>
      </c>
      <c r="E123" s="40">
        <v>557</v>
      </c>
      <c r="F123" s="40">
        <v>514</v>
      </c>
      <c r="G123" s="40">
        <v>606</v>
      </c>
      <c r="H123" s="40">
        <v>431</v>
      </c>
      <c r="I123" s="40">
        <v>496</v>
      </c>
      <c r="J123" s="40">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349</v>
      </c>
      <c r="AE123" s="29">
        <v>396</v>
      </c>
      <c r="AF123">
        <v>1089</v>
      </c>
      <c r="AH123">
        <v>0</v>
      </c>
    </row>
    <row r="124" spans="1:34" hidden="1">
      <c r="A124" s="40" t="s">
        <v>123</v>
      </c>
      <c r="B124" s="40">
        <v>2274</v>
      </c>
      <c r="C124" s="40">
        <v>2856</v>
      </c>
      <c r="D124" s="40">
        <v>3377</v>
      </c>
      <c r="E124" s="40">
        <v>5031</v>
      </c>
      <c r="F124" s="40">
        <v>5590</v>
      </c>
      <c r="G124" s="40">
        <v>4851</v>
      </c>
      <c r="H124" s="40">
        <v>4649</v>
      </c>
      <c r="I124" s="40">
        <v>6101</v>
      </c>
      <c r="J124" s="40">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261</v>
      </c>
      <c r="AE124" s="29">
        <v>374</v>
      </c>
      <c r="AF124">
        <v>1383</v>
      </c>
      <c r="AH124">
        <v>0</v>
      </c>
    </row>
    <row r="125" spans="1:34" hidden="1">
      <c r="A125" s="40" t="s">
        <v>301</v>
      </c>
      <c r="B125" s="40">
        <v>879</v>
      </c>
      <c r="C125" s="40">
        <v>1082</v>
      </c>
      <c r="D125" s="40">
        <v>983</v>
      </c>
      <c r="E125" s="40">
        <v>1031</v>
      </c>
      <c r="F125" s="40">
        <v>927</v>
      </c>
      <c r="G125" s="40">
        <v>974</v>
      </c>
      <c r="H125" s="40">
        <v>1011</v>
      </c>
      <c r="I125" s="40">
        <v>1156</v>
      </c>
      <c r="J125" s="40">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489</v>
      </c>
      <c r="AE125" s="29">
        <v>2024</v>
      </c>
      <c r="AF125">
        <v>10130</v>
      </c>
      <c r="AG125">
        <v>2145</v>
      </c>
      <c r="AH125">
        <v>9967</v>
      </c>
    </row>
    <row r="126" spans="1:34" hidden="1">
      <c r="A126" s="40" t="s">
        <v>1110</v>
      </c>
      <c r="B126" s="40">
        <v>1634</v>
      </c>
      <c r="C126" s="40">
        <v>1088</v>
      </c>
      <c r="D126" s="40">
        <v>1379</v>
      </c>
      <c r="E126" s="40">
        <v>1401</v>
      </c>
      <c r="F126" s="40">
        <v>1057</v>
      </c>
      <c r="G126" s="40">
        <v>1155</v>
      </c>
      <c r="H126" s="40">
        <v>1143</v>
      </c>
      <c r="I126" s="40">
        <v>1093</v>
      </c>
      <c r="J126" s="40">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303</v>
      </c>
      <c r="AE126" s="29">
        <v>444</v>
      </c>
      <c r="AF126">
        <v>1903</v>
      </c>
      <c r="AH126">
        <v>0</v>
      </c>
    </row>
    <row r="127" spans="1:34" hidden="1">
      <c r="A127" s="40" t="s">
        <v>1213</v>
      </c>
      <c r="B127" s="40">
        <v>550</v>
      </c>
      <c r="C127" s="40">
        <v>528</v>
      </c>
      <c r="D127" s="40">
        <v>327</v>
      </c>
      <c r="E127" s="40">
        <v>306</v>
      </c>
      <c r="F127" s="40">
        <v>296</v>
      </c>
      <c r="G127" s="40">
        <v>241</v>
      </c>
      <c r="H127" s="40">
        <v>257</v>
      </c>
      <c r="I127" s="40">
        <v>382</v>
      </c>
      <c r="J127" s="40">
        <v>0</v>
      </c>
      <c r="K127">
        <v>2</v>
      </c>
      <c r="L127">
        <v>0</v>
      </c>
      <c r="M127">
        <v>0</v>
      </c>
      <c r="N127">
        <v>0</v>
      </c>
      <c r="O127">
        <v>164</v>
      </c>
      <c r="P127">
        <v>142</v>
      </c>
      <c r="Q127">
        <v>146</v>
      </c>
      <c r="R127">
        <v>116</v>
      </c>
      <c r="S127">
        <v>130</v>
      </c>
      <c r="T127">
        <v>118</v>
      </c>
      <c r="U127">
        <v>138</v>
      </c>
      <c r="V127">
        <v>136</v>
      </c>
      <c r="W127">
        <v>0</v>
      </c>
      <c r="X127">
        <v>2</v>
      </c>
      <c r="Y127">
        <v>0</v>
      </c>
      <c r="Z127">
        <v>0</v>
      </c>
      <c r="AA127">
        <v>0</v>
      </c>
      <c r="AD127" t="s">
        <v>385</v>
      </c>
      <c r="AE127" s="29">
        <v>384</v>
      </c>
      <c r="AF127">
        <v>1342</v>
      </c>
      <c r="AH127">
        <v>0</v>
      </c>
    </row>
    <row r="128" spans="1:34" hidden="1">
      <c r="A128" s="40" t="s">
        <v>309</v>
      </c>
      <c r="B128" s="40">
        <v>0</v>
      </c>
      <c r="C128" s="40">
        <v>687</v>
      </c>
      <c r="D128" s="40">
        <v>1065</v>
      </c>
      <c r="E128" s="40">
        <v>1231</v>
      </c>
      <c r="F128" s="40">
        <v>754</v>
      </c>
      <c r="G128" s="40">
        <v>682</v>
      </c>
      <c r="H128" s="40">
        <v>1047</v>
      </c>
      <c r="I128" s="40">
        <v>797</v>
      </c>
      <c r="J128" s="40">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123</v>
      </c>
      <c r="AE128" s="29">
        <v>4667</v>
      </c>
      <c r="AF128">
        <v>17712</v>
      </c>
      <c r="AG128">
        <v>4531</v>
      </c>
      <c r="AH128">
        <v>24486</v>
      </c>
    </row>
    <row r="129" spans="1:34" hidden="1">
      <c r="A129" s="40" t="s">
        <v>693</v>
      </c>
      <c r="B129" s="40">
        <v>109</v>
      </c>
      <c r="C129" s="40">
        <v>64</v>
      </c>
      <c r="D129" s="40">
        <v>94</v>
      </c>
      <c r="E129" s="40">
        <v>63</v>
      </c>
      <c r="F129" s="40">
        <v>86</v>
      </c>
      <c r="G129" s="40">
        <v>93</v>
      </c>
      <c r="H129" s="40">
        <v>96</v>
      </c>
      <c r="I129" s="40">
        <v>208</v>
      </c>
      <c r="J129" s="40">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173</v>
      </c>
      <c r="AE129" s="29">
        <v>2577</v>
      </c>
      <c r="AF129">
        <v>9416</v>
      </c>
      <c r="AG129">
        <v>2224</v>
      </c>
      <c r="AH129">
        <v>8107</v>
      </c>
    </row>
    <row r="130" spans="1:34" hidden="1">
      <c r="A130" s="40" t="s">
        <v>1133</v>
      </c>
      <c r="B130" s="40">
        <v>4323</v>
      </c>
      <c r="C130" s="40">
        <v>3717</v>
      </c>
      <c r="D130" s="40">
        <v>6969</v>
      </c>
      <c r="E130" s="40">
        <v>12230</v>
      </c>
      <c r="F130" s="40">
        <v>8131</v>
      </c>
      <c r="G130" s="40">
        <v>5322</v>
      </c>
      <c r="H130" s="40">
        <v>3436</v>
      </c>
      <c r="I130" s="40">
        <v>3161</v>
      </c>
      <c r="J130" s="40">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143</v>
      </c>
      <c r="AE130" s="29">
        <v>2165</v>
      </c>
      <c r="AF130">
        <v>5383</v>
      </c>
      <c r="AG130">
        <v>2320</v>
      </c>
      <c r="AH130">
        <v>5350</v>
      </c>
    </row>
    <row r="131" spans="1:34" hidden="1">
      <c r="A131" s="40" t="s">
        <v>995</v>
      </c>
      <c r="B131" s="40">
        <v>1450</v>
      </c>
      <c r="C131" s="40">
        <v>1559</v>
      </c>
      <c r="D131" s="40">
        <v>1228</v>
      </c>
      <c r="E131" s="40">
        <v>1388</v>
      </c>
      <c r="F131" s="40">
        <v>1438</v>
      </c>
      <c r="G131" s="40">
        <v>1443</v>
      </c>
      <c r="H131" s="40">
        <v>1497</v>
      </c>
      <c r="I131" s="40">
        <v>1915</v>
      </c>
      <c r="J131" s="40">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163</v>
      </c>
      <c r="AE131" s="29">
        <v>1108</v>
      </c>
      <c r="AF131">
        <v>5115</v>
      </c>
      <c r="AG131">
        <v>971</v>
      </c>
      <c r="AH131">
        <v>4608</v>
      </c>
    </row>
    <row r="132" spans="1:34" hidden="1">
      <c r="A132" s="40" t="s">
        <v>1053</v>
      </c>
      <c r="B132" s="40">
        <v>1100</v>
      </c>
      <c r="C132" s="40">
        <v>860</v>
      </c>
      <c r="D132" s="40">
        <v>863</v>
      </c>
      <c r="E132" s="40">
        <v>884</v>
      </c>
      <c r="F132" s="40">
        <v>902</v>
      </c>
      <c r="G132" s="40">
        <v>813</v>
      </c>
      <c r="H132" s="40">
        <v>690</v>
      </c>
      <c r="I132" s="40">
        <v>871</v>
      </c>
      <c r="J132" s="40">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475</v>
      </c>
      <c r="AE132" s="29">
        <v>2302</v>
      </c>
      <c r="AF132">
        <v>10218</v>
      </c>
      <c r="AG132">
        <v>2189</v>
      </c>
      <c r="AH132">
        <v>9526</v>
      </c>
    </row>
    <row r="133" spans="1:34" hidden="1">
      <c r="A133" s="40" t="s">
        <v>1090</v>
      </c>
      <c r="B133" s="40">
        <v>310</v>
      </c>
      <c r="C133" s="40">
        <v>322</v>
      </c>
      <c r="D133" s="40">
        <v>924</v>
      </c>
      <c r="E133" s="40">
        <v>1220</v>
      </c>
      <c r="F133" s="40">
        <v>1061</v>
      </c>
      <c r="G133" s="40">
        <v>741</v>
      </c>
      <c r="H133" s="40">
        <v>669</v>
      </c>
      <c r="I133" s="40">
        <v>633</v>
      </c>
      <c r="J133" s="40">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301</v>
      </c>
      <c r="AE133" s="29">
        <v>2047</v>
      </c>
      <c r="AF133">
        <v>7282</v>
      </c>
      <c r="AG133">
        <v>1788</v>
      </c>
      <c r="AH133">
        <v>6367</v>
      </c>
    </row>
    <row r="134" spans="1:34" hidden="1">
      <c r="A134" s="40" t="s">
        <v>999</v>
      </c>
      <c r="B134" s="40">
        <v>21</v>
      </c>
      <c r="C134" s="40">
        <v>23</v>
      </c>
      <c r="D134" s="40">
        <v>38</v>
      </c>
      <c r="E134" s="40">
        <v>47</v>
      </c>
      <c r="F134" s="40">
        <v>34</v>
      </c>
      <c r="G134" s="40">
        <v>33</v>
      </c>
      <c r="H134" s="40">
        <v>22</v>
      </c>
      <c r="I134" s="40">
        <v>28</v>
      </c>
      <c r="J134" s="40">
        <v>39</v>
      </c>
      <c r="K134">
        <v>30</v>
      </c>
      <c r="L134">
        <v>28</v>
      </c>
      <c r="M134">
        <v>24</v>
      </c>
      <c r="N134">
        <v>56</v>
      </c>
      <c r="O134">
        <v>3</v>
      </c>
      <c r="P134">
        <v>4</v>
      </c>
      <c r="Q134">
        <v>4</v>
      </c>
      <c r="R134">
        <v>3</v>
      </c>
      <c r="S134">
        <v>5</v>
      </c>
      <c r="T134">
        <v>1</v>
      </c>
      <c r="U134">
        <v>1</v>
      </c>
      <c r="V134">
        <v>2</v>
      </c>
      <c r="W134">
        <v>4</v>
      </c>
      <c r="X134">
        <v>1</v>
      </c>
      <c r="Y134">
        <v>6</v>
      </c>
      <c r="Z134">
        <v>3</v>
      </c>
      <c r="AA134">
        <v>6</v>
      </c>
      <c r="AD134" t="s">
        <v>217</v>
      </c>
      <c r="AE134" s="29">
        <v>760</v>
      </c>
      <c r="AF134">
        <v>2586</v>
      </c>
      <c r="AG134">
        <v>654</v>
      </c>
      <c r="AH134">
        <v>2486</v>
      </c>
    </row>
    <row r="135" spans="1:34" hidden="1">
      <c r="A135" s="40" t="s">
        <v>987</v>
      </c>
      <c r="B135" s="40">
        <v>66</v>
      </c>
      <c r="C135" s="40">
        <v>134</v>
      </c>
      <c r="D135" s="40">
        <v>267</v>
      </c>
      <c r="E135" s="40">
        <v>141</v>
      </c>
      <c r="F135" s="40">
        <v>86</v>
      </c>
      <c r="G135" s="40">
        <v>77</v>
      </c>
      <c r="H135" s="40">
        <v>87</v>
      </c>
      <c r="I135" s="40">
        <v>169</v>
      </c>
      <c r="J135" s="40">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359</v>
      </c>
      <c r="AE135" s="29">
        <v>1249</v>
      </c>
      <c r="AF135">
        <v>5495</v>
      </c>
      <c r="AG135">
        <v>1127</v>
      </c>
      <c r="AH135">
        <v>5014</v>
      </c>
    </row>
    <row r="136" spans="1:34" hidden="1">
      <c r="A136" s="40" t="s">
        <v>537</v>
      </c>
      <c r="B136" s="40">
        <v>5320</v>
      </c>
      <c r="C136" s="40">
        <v>3011</v>
      </c>
      <c r="D136" s="40">
        <v>1145</v>
      </c>
      <c r="E136" s="40">
        <v>3689</v>
      </c>
      <c r="F136" s="40">
        <v>2504</v>
      </c>
      <c r="G136" s="40">
        <v>2187</v>
      </c>
      <c r="H136" s="40">
        <v>2306</v>
      </c>
      <c r="I136" s="40">
        <v>2366</v>
      </c>
      <c r="J136" s="40">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29">
        <v>0</v>
      </c>
      <c r="AF136">
        <v>0</v>
      </c>
    </row>
    <row r="137" spans="1:34" hidden="1">
      <c r="A137" s="40" t="s">
        <v>439</v>
      </c>
      <c r="B137" s="40">
        <v>1619</v>
      </c>
      <c r="C137" s="40">
        <v>1633</v>
      </c>
      <c r="D137" s="40">
        <v>717</v>
      </c>
      <c r="E137" s="40">
        <v>826</v>
      </c>
      <c r="F137" s="40">
        <v>650</v>
      </c>
      <c r="G137" s="40">
        <v>725</v>
      </c>
      <c r="H137" s="40">
        <v>777</v>
      </c>
      <c r="I137" s="40">
        <v>962</v>
      </c>
      <c r="J137" s="40">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29">
        <v>0</v>
      </c>
      <c r="AF137">
        <v>0</v>
      </c>
    </row>
    <row r="138" spans="1:34" hidden="1">
      <c r="A138" s="40" t="s">
        <v>503</v>
      </c>
      <c r="B138" s="40">
        <v>2361</v>
      </c>
      <c r="C138" s="40">
        <v>2605</v>
      </c>
      <c r="D138" s="40">
        <v>2688</v>
      </c>
      <c r="E138" s="40">
        <v>3554</v>
      </c>
      <c r="F138" s="40">
        <v>3657</v>
      </c>
      <c r="G138" s="40">
        <v>3360</v>
      </c>
      <c r="H138" s="40">
        <v>3137</v>
      </c>
      <c r="I138" s="40">
        <v>3454</v>
      </c>
      <c r="J138" s="40">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29">
        <v>0</v>
      </c>
      <c r="AF138">
        <v>0</v>
      </c>
    </row>
    <row r="139" spans="1:34" hidden="1">
      <c r="A139" s="40" t="s">
        <v>315</v>
      </c>
      <c r="B139" s="40">
        <v>1476</v>
      </c>
      <c r="C139" s="40">
        <v>1945</v>
      </c>
      <c r="D139" s="40">
        <v>2127</v>
      </c>
      <c r="E139" s="40">
        <v>2420</v>
      </c>
      <c r="F139" s="40">
        <v>2366</v>
      </c>
      <c r="G139" s="40">
        <v>2349</v>
      </c>
      <c r="H139" s="40">
        <v>2432</v>
      </c>
      <c r="I139" s="40">
        <v>2364</v>
      </c>
      <c r="J139" s="40">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29">
        <v>0</v>
      </c>
      <c r="AF139">
        <v>0</v>
      </c>
    </row>
    <row r="140" spans="1:34" hidden="1">
      <c r="A140" s="40" t="s">
        <v>533</v>
      </c>
      <c r="B140" s="40">
        <v>5127</v>
      </c>
      <c r="C140" s="40">
        <v>2691</v>
      </c>
      <c r="D140" s="40">
        <v>3374</v>
      </c>
      <c r="E140" s="40">
        <v>5722</v>
      </c>
      <c r="F140" s="40">
        <v>4410</v>
      </c>
      <c r="G140" s="40">
        <v>4656</v>
      </c>
      <c r="H140" s="40">
        <v>5272</v>
      </c>
      <c r="I140" s="40">
        <v>3944</v>
      </c>
      <c r="J140" s="40">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29">
        <v>0</v>
      </c>
      <c r="AF140">
        <v>0</v>
      </c>
    </row>
    <row r="141" spans="1:34" hidden="1">
      <c r="A141" s="40" t="s">
        <v>445</v>
      </c>
      <c r="B141" s="40">
        <v>5383</v>
      </c>
      <c r="C141" s="40">
        <v>4790</v>
      </c>
      <c r="D141" s="40">
        <v>3916</v>
      </c>
      <c r="E141" s="40">
        <v>3315</v>
      </c>
      <c r="F141" s="40">
        <v>2791</v>
      </c>
      <c r="G141" s="40">
        <v>2696</v>
      </c>
      <c r="H141" s="40">
        <v>2057</v>
      </c>
      <c r="I141" s="40">
        <v>3008</v>
      </c>
      <c r="J141" s="40">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29">
        <v>0</v>
      </c>
      <c r="AF141">
        <v>0</v>
      </c>
    </row>
    <row r="142" spans="1:34" hidden="1">
      <c r="A142" s="40" t="s">
        <v>137</v>
      </c>
      <c r="B142" s="40">
        <v>0</v>
      </c>
      <c r="C142" s="40">
        <v>2098</v>
      </c>
      <c r="D142" s="40">
        <v>2243</v>
      </c>
      <c r="E142" s="40">
        <v>2036</v>
      </c>
      <c r="F142" s="40">
        <v>1818</v>
      </c>
      <c r="G142" s="40">
        <v>2072</v>
      </c>
      <c r="H142" s="40">
        <v>1235</v>
      </c>
      <c r="I142" s="40">
        <v>1323</v>
      </c>
      <c r="J142" s="40">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191</v>
      </c>
      <c r="AE142" s="29">
        <v>477</v>
      </c>
      <c r="AF142">
        <v>2478</v>
      </c>
      <c r="AG142">
        <v>475</v>
      </c>
      <c r="AH142">
        <v>2376</v>
      </c>
    </row>
    <row r="143" spans="1:34" hidden="1">
      <c r="A143" s="40" t="s">
        <v>75</v>
      </c>
      <c r="B143" s="40">
        <v>762</v>
      </c>
      <c r="C143" s="40">
        <v>1141</v>
      </c>
      <c r="D143" s="40">
        <v>996</v>
      </c>
      <c r="E143" s="40">
        <v>2175</v>
      </c>
      <c r="F143" s="40">
        <v>1366</v>
      </c>
      <c r="G143" s="40">
        <v>2724</v>
      </c>
      <c r="H143" s="40">
        <v>1011</v>
      </c>
      <c r="I143" s="40">
        <v>1058</v>
      </c>
      <c r="J143" s="40">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8" t="s">
        <v>159</v>
      </c>
      <c r="AE143" s="29">
        <v>732</v>
      </c>
      <c r="AF143">
        <v>3414</v>
      </c>
      <c r="AG143">
        <v>738</v>
      </c>
      <c r="AH143">
        <v>3203</v>
      </c>
    </row>
    <row r="144" spans="1:34" hidden="1">
      <c r="A144" s="40" t="s">
        <v>513</v>
      </c>
      <c r="B144" s="40">
        <v>1491</v>
      </c>
      <c r="C144" s="40">
        <v>1436</v>
      </c>
      <c r="D144" s="40">
        <v>1225</v>
      </c>
      <c r="E144" s="40">
        <v>1684</v>
      </c>
      <c r="F144" s="40">
        <v>1462</v>
      </c>
      <c r="G144" s="40">
        <v>1782</v>
      </c>
      <c r="H144" s="40">
        <v>1906</v>
      </c>
      <c r="I144" s="40">
        <v>1800</v>
      </c>
      <c r="J144" s="40">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321</v>
      </c>
      <c r="AE144" s="29">
        <v>807</v>
      </c>
      <c r="AF144">
        <v>3474</v>
      </c>
      <c r="AG144">
        <v>685</v>
      </c>
      <c r="AH144">
        <v>3403</v>
      </c>
    </row>
    <row r="145" spans="1:34" hidden="1">
      <c r="A145" s="40" t="s">
        <v>944</v>
      </c>
      <c r="B145" s="40">
        <v>1434</v>
      </c>
      <c r="C145" s="40">
        <v>1037</v>
      </c>
      <c r="D145" s="40">
        <v>643</v>
      </c>
      <c r="E145" s="40">
        <v>560</v>
      </c>
      <c r="F145" s="40">
        <v>454</v>
      </c>
      <c r="G145" s="40">
        <v>513</v>
      </c>
      <c r="H145" s="40">
        <v>583</v>
      </c>
      <c r="I145" s="40">
        <v>404</v>
      </c>
      <c r="J145" s="40">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183</v>
      </c>
      <c r="AE145" s="29">
        <v>1176</v>
      </c>
      <c r="AF145">
        <v>4928</v>
      </c>
      <c r="AG145">
        <v>1070</v>
      </c>
      <c r="AH145">
        <v>3829</v>
      </c>
    </row>
    <row r="146" spans="1:34" hidden="1">
      <c r="A146" s="40" t="s">
        <v>1214</v>
      </c>
      <c r="B146" s="40">
        <v>602</v>
      </c>
      <c r="C146" s="40">
        <v>454</v>
      </c>
      <c r="D146" s="40">
        <v>98</v>
      </c>
      <c r="E146" s="40">
        <v>417</v>
      </c>
      <c r="F146" s="40">
        <v>336</v>
      </c>
      <c r="G146" s="40">
        <v>285</v>
      </c>
      <c r="H146" s="40">
        <v>926</v>
      </c>
      <c r="I146" s="40">
        <v>289</v>
      </c>
      <c r="J146" s="40">
        <v>0</v>
      </c>
      <c r="K146">
        <v>4</v>
      </c>
      <c r="L146">
        <v>2</v>
      </c>
      <c r="M146">
        <v>0</v>
      </c>
      <c r="N146">
        <v>0</v>
      </c>
      <c r="O146">
        <v>175</v>
      </c>
      <c r="P146">
        <v>91</v>
      </c>
      <c r="Q146">
        <v>0</v>
      </c>
      <c r="R146">
        <v>160</v>
      </c>
      <c r="S146">
        <v>111</v>
      </c>
      <c r="T146">
        <v>111</v>
      </c>
      <c r="U146">
        <v>399</v>
      </c>
      <c r="V146">
        <v>61</v>
      </c>
      <c r="W146">
        <v>1</v>
      </c>
      <c r="X146">
        <v>2</v>
      </c>
      <c r="Y146">
        <v>1</v>
      </c>
      <c r="Z146">
        <v>0</v>
      </c>
      <c r="AA146">
        <v>0</v>
      </c>
      <c r="AD146" t="s">
        <v>347</v>
      </c>
      <c r="AE146" s="29">
        <v>485</v>
      </c>
      <c r="AF146">
        <v>1503</v>
      </c>
      <c r="AG146">
        <v>600</v>
      </c>
      <c r="AH146">
        <v>2244</v>
      </c>
    </row>
    <row r="147" spans="1:34" hidden="1">
      <c r="A147" s="40" t="s">
        <v>1215</v>
      </c>
      <c r="B147" s="40">
        <v>511</v>
      </c>
      <c r="C147" s="40">
        <v>0</v>
      </c>
      <c r="D147" s="40">
        <v>0</v>
      </c>
      <c r="E147" s="40">
        <v>0</v>
      </c>
      <c r="F147" s="40">
        <v>0</v>
      </c>
      <c r="G147" s="40">
        <v>0</v>
      </c>
      <c r="H147" s="40">
        <v>0</v>
      </c>
      <c r="I147" s="40">
        <v>0</v>
      </c>
      <c r="J147" s="40">
        <v>107</v>
      </c>
      <c r="K147">
        <v>0</v>
      </c>
      <c r="L147">
        <v>127</v>
      </c>
      <c r="M147">
        <v>22</v>
      </c>
      <c r="N147">
        <v>51</v>
      </c>
      <c r="O147">
        <v>153</v>
      </c>
      <c r="P147">
        <v>0</v>
      </c>
      <c r="Q147">
        <v>0</v>
      </c>
      <c r="R147">
        <v>0</v>
      </c>
      <c r="S147">
        <v>0</v>
      </c>
      <c r="T147">
        <v>0</v>
      </c>
      <c r="U147">
        <v>0</v>
      </c>
      <c r="V147">
        <v>0</v>
      </c>
      <c r="W147">
        <v>21</v>
      </c>
      <c r="X147">
        <v>1</v>
      </c>
      <c r="Y147">
        <v>25</v>
      </c>
      <c r="Z147">
        <v>1</v>
      </c>
      <c r="AA147">
        <v>9</v>
      </c>
      <c r="AD147" t="s">
        <v>213</v>
      </c>
      <c r="AE147" s="29">
        <v>1603</v>
      </c>
      <c r="AF147">
        <v>5425</v>
      </c>
      <c r="AG147">
        <v>1488</v>
      </c>
      <c r="AH147">
        <v>5220</v>
      </c>
    </row>
    <row r="148" spans="1:34" hidden="1">
      <c r="A148" s="40" t="s">
        <v>1020</v>
      </c>
      <c r="B148" s="40">
        <v>446</v>
      </c>
      <c r="C148" s="40">
        <v>408</v>
      </c>
      <c r="D148" s="40">
        <v>328</v>
      </c>
      <c r="E148" s="40">
        <v>346</v>
      </c>
      <c r="F148" s="40">
        <v>332</v>
      </c>
      <c r="G148" s="40">
        <v>369</v>
      </c>
      <c r="H148" s="40">
        <v>428</v>
      </c>
      <c r="I148" s="40">
        <v>522</v>
      </c>
      <c r="J148" s="40">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77</v>
      </c>
      <c r="AE148" s="29">
        <v>5633</v>
      </c>
      <c r="AF148">
        <v>24131</v>
      </c>
      <c r="AG148">
        <v>5006</v>
      </c>
      <c r="AH148">
        <v>20579</v>
      </c>
    </row>
    <row r="149" spans="1:34" hidden="1">
      <c r="A149" s="40" t="s">
        <v>989</v>
      </c>
      <c r="B149" s="40">
        <v>198</v>
      </c>
      <c r="C149" s="40">
        <v>149</v>
      </c>
      <c r="D149" s="40">
        <v>200</v>
      </c>
      <c r="E149" s="40">
        <v>244</v>
      </c>
      <c r="F149" s="40">
        <v>134</v>
      </c>
      <c r="G149" s="40">
        <v>153</v>
      </c>
      <c r="H149" s="40">
        <v>155</v>
      </c>
      <c r="I149" s="40">
        <v>204</v>
      </c>
      <c r="J149" s="40">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103</v>
      </c>
      <c r="AE149" s="29">
        <v>3162</v>
      </c>
      <c r="AF149">
        <v>14680</v>
      </c>
      <c r="AG149">
        <v>3141</v>
      </c>
      <c r="AH149">
        <v>14722</v>
      </c>
    </row>
    <row r="150" spans="1:34" hidden="1">
      <c r="A150" s="40" t="s">
        <v>829</v>
      </c>
      <c r="B150" s="40">
        <v>336</v>
      </c>
      <c r="C150" s="40">
        <v>468</v>
      </c>
      <c r="D150" s="40">
        <v>470</v>
      </c>
      <c r="E150" s="40">
        <v>532</v>
      </c>
      <c r="F150" s="40">
        <v>375</v>
      </c>
      <c r="G150" s="40">
        <v>397</v>
      </c>
      <c r="H150" s="40">
        <v>488</v>
      </c>
      <c r="I150" s="40">
        <v>590</v>
      </c>
      <c r="J150" s="40">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469</v>
      </c>
      <c r="AE150" s="29">
        <v>401</v>
      </c>
      <c r="AF150">
        <v>2749</v>
      </c>
      <c r="AH150">
        <v>0</v>
      </c>
    </row>
    <row r="151" spans="1:34" hidden="1">
      <c r="A151" s="40" t="s">
        <v>1216</v>
      </c>
      <c r="B151" s="40">
        <v>0</v>
      </c>
      <c r="C151" s="40">
        <v>298</v>
      </c>
      <c r="D151" s="40">
        <v>1106</v>
      </c>
      <c r="E151" s="40">
        <v>743</v>
      </c>
      <c r="F151" s="40">
        <v>683</v>
      </c>
      <c r="G151" s="40">
        <v>854</v>
      </c>
      <c r="H151" s="40">
        <v>562</v>
      </c>
      <c r="I151" s="40">
        <v>553</v>
      </c>
      <c r="J151" s="40">
        <v>893</v>
      </c>
      <c r="K151">
        <v>3</v>
      </c>
      <c r="L151">
        <v>0</v>
      </c>
      <c r="M151">
        <v>0</v>
      </c>
      <c r="N151">
        <v>0</v>
      </c>
      <c r="O151">
        <v>0</v>
      </c>
      <c r="P151">
        <v>24</v>
      </c>
      <c r="Q151">
        <v>100</v>
      </c>
      <c r="R151">
        <v>73</v>
      </c>
      <c r="S151">
        <v>72</v>
      </c>
      <c r="T151">
        <v>110</v>
      </c>
      <c r="U151">
        <v>69</v>
      </c>
      <c r="V151">
        <v>65</v>
      </c>
      <c r="W151">
        <v>103</v>
      </c>
      <c r="X151">
        <v>2</v>
      </c>
      <c r="Y151">
        <v>0</v>
      </c>
      <c r="Z151">
        <v>0</v>
      </c>
      <c r="AA151">
        <v>0</v>
      </c>
      <c r="AD151" t="s">
        <v>105</v>
      </c>
      <c r="AE151" s="29">
        <v>1430</v>
      </c>
      <c r="AF151">
        <v>3218</v>
      </c>
      <c r="AG151">
        <v>1479</v>
      </c>
      <c r="AH151">
        <v>2963</v>
      </c>
    </row>
    <row r="152" spans="1:34" hidden="1">
      <c r="A152" s="40" t="s">
        <v>983</v>
      </c>
      <c r="B152" s="40">
        <v>637</v>
      </c>
      <c r="C152" s="40">
        <v>380</v>
      </c>
      <c r="D152" s="40">
        <v>776</v>
      </c>
      <c r="E152" s="40">
        <v>625</v>
      </c>
      <c r="F152" s="40">
        <v>736</v>
      </c>
      <c r="G152" s="40">
        <v>1280</v>
      </c>
      <c r="H152" s="40">
        <v>1008</v>
      </c>
      <c r="I152" s="40">
        <v>646</v>
      </c>
      <c r="J152" s="40">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351</v>
      </c>
      <c r="AE152" s="29">
        <v>751</v>
      </c>
      <c r="AF152">
        <v>2346</v>
      </c>
      <c r="AH152">
        <v>0</v>
      </c>
    </row>
    <row r="153" spans="1:34" hidden="1">
      <c r="A153" s="40" t="s">
        <v>775</v>
      </c>
      <c r="B153" s="40">
        <v>260</v>
      </c>
      <c r="C153" s="40">
        <v>216</v>
      </c>
      <c r="D153" s="40">
        <v>283</v>
      </c>
      <c r="E153" s="40">
        <v>204</v>
      </c>
      <c r="F153" s="40">
        <v>165</v>
      </c>
      <c r="G153" s="40">
        <v>228</v>
      </c>
      <c r="H153" s="40">
        <v>208</v>
      </c>
      <c r="I153" s="40">
        <v>201</v>
      </c>
      <c r="J153" s="40">
        <v>173</v>
      </c>
      <c r="K153">
        <v>160</v>
      </c>
      <c r="L153">
        <v>141</v>
      </c>
      <c r="M153">
        <v>148</v>
      </c>
      <c r="N153">
        <v>0</v>
      </c>
      <c r="O153">
        <v>88</v>
      </c>
      <c r="P153">
        <v>71</v>
      </c>
      <c r="Q153">
        <v>60</v>
      </c>
      <c r="R153">
        <v>72</v>
      </c>
      <c r="S153">
        <v>73</v>
      </c>
      <c r="T153">
        <v>84</v>
      </c>
      <c r="U153">
        <v>68</v>
      </c>
      <c r="V153">
        <v>81</v>
      </c>
      <c r="W153">
        <v>89</v>
      </c>
      <c r="X153">
        <v>56</v>
      </c>
      <c r="Y153">
        <v>72</v>
      </c>
      <c r="Z153">
        <v>63</v>
      </c>
      <c r="AA153">
        <v>0</v>
      </c>
      <c r="AD153" t="s">
        <v>257</v>
      </c>
      <c r="AE153" s="29">
        <v>696</v>
      </c>
      <c r="AF153">
        <v>1647</v>
      </c>
      <c r="AH153">
        <v>0</v>
      </c>
    </row>
    <row r="154" spans="1:34" hidden="1">
      <c r="A154" s="40" t="s">
        <v>788</v>
      </c>
      <c r="B154" s="40">
        <v>404</v>
      </c>
      <c r="C154" s="40">
        <v>496</v>
      </c>
      <c r="D154" s="40">
        <v>401</v>
      </c>
      <c r="E154" s="40">
        <v>381</v>
      </c>
      <c r="F154" s="40">
        <v>413</v>
      </c>
      <c r="G154" s="40">
        <v>334</v>
      </c>
      <c r="H154" s="40">
        <v>330</v>
      </c>
      <c r="I154" s="40">
        <v>340</v>
      </c>
      <c r="J154" s="40">
        <v>279</v>
      </c>
      <c r="K154">
        <v>18</v>
      </c>
      <c r="L154">
        <v>0</v>
      </c>
      <c r="M154">
        <v>3</v>
      </c>
      <c r="N154">
        <v>0</v>
      </c>
      <c r="O154">
        <v>111</v>
      </c>
      <c r="P154">
        <v>203</v>
      </c>
      <c r="Q154">
        <v>114</v>
      </c>
      <c r="R154">
        <v>201</v>
      </c>
      <c r="S154">
        <v>108</v>
      </c>
      <c r="T154">
        <v>98</v>
      </c>
      <c r="U154">
        <v>89</v>
      </c>
      <c r="V154">
        <v>101</v>
      </c>
      <c r="W154">
        <v>118</v>
      </c>
      <c r="X154">
        <v>6</v>
      </c>
      <c r="Y154">
        <v>0</v>
      </c>
      <c r="Z154">
        <v>0</v>
      </c>
      <c r="AA154">
        <v>0</v>
      </c>
      <c r="AD154" t="s">
        <v>249</v>
      </c>
      <c r="AE154" s="29">
        <v>1272</v>
      </c>
      <c r="AF154">
        <v>3593</v>
      </c>
      <c r="AG154">
        <v>1083</v>
      </c>
      <c r="AH154">
        <v>3121</v>
      </c>
    </row>
    <row r="155" spans="1:34" hidden="1">
      <c r="A155" s="40" t="s">
        <v>822</v>
      </c>
      <c r="B155" s="40">
        <v>1239</v>
      </c>
      <c r="C155" s="40">
        <v>1315</v>
      </c>
      <c r="D155" s="40">
        <v>1112</v>
      </c>
      <c r="E155" s="40">
        <v>1316</v>
      </c>
      <c r="F155" s="40">
        <v>1188</v>
      </c>
      <c r="G155" s="40">
        <v>1019</v>
      </c>
      <c r="H155" s="40">
        <v>1042</v>
      </c>
      <c r="I155" s="40">
        <v>1211</v>
      </c>
      <c r="J155" s="40">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8" t="s">
        <v>239</v>
      </c>
      <c r="AE155" s="29">
        <v>924</v>
      </c>
      <c r="AF155">
        <v>5069</v>
      </c>
      <c r="AG155">
        <v>968</v>
      </c>
      <c r="AH155">
        <v>5496</v>
      </c>
    </row>
    <row r="156" spans="1:34" hidden="1">
      <c r="A156" s="40" t="s">
        <v>993</v>
      </c>
      <c r="B156" s="40">
        <v>0</v>
      </c>
      <c r="C156" s="40">
        <v>334</v>
      </c>
      <c r="D156" s="40">
        <v>746</v>
      </c>
      <c r="E156" s="40">
        <v>755</v>
      </c>
      <c r="F156" s="40">
        <v>764</v>
      </c>
      <c r="G156" s="40">
        <v>776</v>
      </c>
      <c r="H156" s="40">
        <v>736</v>
      </c>
      <c r="I156" s="40">
        <v>863</v>
      </c>
      <c r="J156" s="40">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219</v>
      </c>
      <c r="AE156" s="29">
        <v>3</v>
      </c>
      <c r="AF156">
        <v>134</v>
      </c>
      <c r="AG156">
        <v>11</v>
      </c>
      <c r="AH156">
        <v>171</v>
      </c>
    </row>
    <row r="157" spans="1:34" hidden="1">
      <c r="A157" s="40" t="s">
        <v>954</v>
      </c>
      <c r="B157" s="40">
        <v>715</v>
      </c>
      <c r="C157" s="40">
        <v>979</v>
      </c>
      <c r="D157" s="40">
        <v>854</v>
      </c>
      <c r="E157" s="40">
        <v>785</v>
      </c>
      <c r="F157" s="40">
        <v>626</v>
      </c>
      <c r="G157" s="40">
        <v>719</v>
      </c>
      <c r="H157" s="40">
        <v>373</v>
      </c>
      <c r="I157" s="40">
        <v>642</v>
      </c>
      <c r="J157" s="40">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285</v>
      </c>
      <c r="AE157" s="29">
        <v>654</v>
      </c>
      <c r="AF157">
        <v>2670</v>
      </c>
      <c r="AG157">
        <v>562</v>
      </c>
      <c r="AH157">
        <v>2401</v>
      </c>
    </row>
    <row r="158" spans="1:34" hidden="1">
      <c r="A158" s="40" t="s">
        <v>1024</v>
      </c>
      <c r="B158" s="40">
        <v>1369</v>
      </c>
      <c r="C158" s="40">
        <v>297</v>
      </c>
      <c r="D158" s="40">
        <v>0</v>
      </c>
      <c r="E158" s="40">
        <v>848</v>
      </c>
      <c r="F158" s="40">
        <v>772</v>
      </c>
      <c r="G158" s="40">
        <v>797</v>
      </c>
      <c r="H158" s="40">
        <v>491</v>
      </c>
      <c r="I158" s="40">
        <v>684</v>
      </c>
      <c r="J158" s="40">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383</v>
      </c>
      <c r="AE158" s="29">
        <v>272</v>
      </c>
      <c r="AF158">
        <v>858</v>
      </c>
      <c r="AH158">
        <v>0</v>
      </c>
    </row>
    <row r="159" spans="1:34" hidden="1">
      <c r="A159" s="40" t="s">
        <v>1042</v>
      </c>
      <c r="B159" s="40">
        <v>819</v>
      </c>
      <c r="C159" s="40">
        <v>1055</v>
      </c>
      <c r="D159" s="40">
        <v>723</v>
      </c>
      <c r="E159" s="40">
        <v>644</v>
      </c>
      <c r="F159" s="40">
        <v>477</v>
      </c>
      <c r="G159" s="40">
        <v>469</v>
      </c>
      <c r="H159" s="40">
        <v>483</v>
      </c>
      <c r="I159" s="40">
        <v>630</v>
      </c>
      <c r="J159" s="40">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245</v>
      </c>
      <c r="AE159" s="29">
        <v>8</v>
      </c>
      <c r="AF159">
        <v>68</v>
      </c>
      <c r="AH159">
        <v>0</v>
      </c>
    </row>
    <row r="160" spans="1:34" hidden="1">
      <c r="A160" s="40" t="s">
        <v>1032</v>
      </c>
      <c r="B160" s="40">
        <v>2153</v>
      </c>
      <c r="C160" s="40">
        <v>2493</v>
      </c>
      <c r="D160" s="40">
        <v>2220</v>
      </c>
      <c r="E160" s="40">
        <v>2376</v>
      </c>
      <c r="F160" s="40">
        <v>1752</v>
      </c>
      <c r="G160" s="40">
        <v>1787</v>
      </c>
      <c r="H160" s="40">
        <v>1888</v>
      </c>
      <c r="I160" s="40">
        <v>2022</v>
      </c>
      <c r="J160" s="40">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331</v>
      </c>
      <c r="AE160" s="29">
        <v>460</v>
      </c>
      <c r="AF160">
        <v>2947</v>
      </c>
      <c r="AH160">
        <v>0</v>
      </c>
    </row>
    <row r="161" spans="1:34" hidden="1">
      <c r="A161" s="40" t="s">
        <v>1040</v>
      </c>
      <c r="B161" s="40">
        <v>0</v>
      </c>
      <c r="C161" s="40">
        <v>0</v>
      </c>
      <c r="D161" s="40">
        <v>0</v>
      </c>
      <c r="E161" s="40">
        <v>36</v>
      </c>
      <c r="F161" s="40">
        <v>172</v>
      </c>
      <c r="G161" s="40">
        <v>179</v>
      </c>
      <c r="H161" s="40">
        <v>394</v>
      </c>
      <c r="I161" s="40">
        <v>608</v>
      </c>
      <c r="J161" s="40">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491</v>
      </c>
      <c r="AE161" s="29">
        <v>1605</v>
      </c>
      <c r="AF161">
        <v>4839</v>
      </c>
      <c r="AG161">
        <v>1480</v>
      </c>
      <c r="AH161">
        <v>4715</v>
      </c>
    </row>
    <row r="162" spans="1:34" hidden="1">
      <c r="A162" s="40" t="s">
        <v>808</v>
      </c>
      <c r="B162" s="40">
        <v>558</v>
      </c>
      <c r="C162" s="40">
        <v>624</v>
      </c>
      <c r="D162" s="40">
        <v>980</v>
      </c>
      <c r="E162" s="40">
        <v>460</v>
      </c>
      <c r="F162" s="40">
        <v>324</v>
      </c>
      <c r="G162" s="40">
        <v>407</v>
      </c>
      <c r="H162" s="40">
        <v>537</v>
      </c>
      <c r="I162" s="40">
        <v>403</v>
      </c>
      <c r="J162" s="40">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153</v>
      </c>
      <c r="AE162" s="29">
        <v>906</v>
      </c>
      <c r="AF162">
        <v>2927</v>
      </c>
      <c r="AG162">
        <v>951</v>
      </c>
      <c r="AH162">
        <v>3156</v>
      </c>
    </row>
    <row r="163" spans="1:34" hidden="1">
      <c r="A163" s="40" t="s">
        <v>671</v>
      </c>
      <c r="B163" s="40">
        <v>424</v>
      </c>
      <c r="C163" s="40">
        <v>475</v>
      </c>
      <c r="D163" s="40">
        <v>420</v>
      </c>
      <c r="E163" s="40">
        <v>447</v>
      </c>
      <c r="F163" s="40">
        <v>461</v>
      </c>
      <c r="G163" s="40">
        <v>434</v>
      </c>
      <c r="H163" s="40">
        <v>476</v>
      </c>
      <c r="I163" s="40">
        <v>441</v>
      </c>
      <c r="J163" s="40">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237</v>
      </c>
      <c r="AE163" s="29">
        <v>2</v>
      </c>
      <c r="AF163">
        <v>10</v>
      </c>
      <c r="AH163">
        <v>0</v>
      </c>
    </row>
    <row r="164" spans="1:34" hidden="1">
      <c r="A164" s="40" t="s">
        <v>1065</v>
      </c>
      <c r="B164" s="40">
        <v>3418</v>
      </c>
      <c r="C164" s="40">
        <v>372</v>
      </c>
      <c r="D164" s="40">
        <v>1874</v>
      </c>
      <c r="E164" s="40">
        <v>2165</v>
      </c>
      <c r="F164" s="40">
        <v>1222</v>
      </c>
      <c r="G164" s="40">
        <v>918</v>
      </c>
      <c r="H164" s="40">
        <v>2617</v>
      </c>
      <c r="I164" s="40">
        <v>1522</v>
      </c>
      <c r="J164" s="40">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177</v>
      </c>
      <c r="AE164" s="29">
        <v>910</v>
      </c>
      <c r="AF164">
        <v>2491</v>
      </c>
      <c r="AG164">
        <v>794</v>
      </c>
      <c r="AH164">
        <v>2329</v>
      </c>
    </row>
    <row r="165" spans="1:34" hidden="1">
      <c r="A165" s="40" t="s">
        <v>962</v>
      </c>
      <c r="B165" s="40">
        <v>985</v>
      </c>
      <c r="C165" s="40">
        <v>847</v>
      </c>
      <c r="D165" s="40">
        <v>817</v>
      </c>
      <c r="E165" s="40">
        <v>688</v>
      </c>
      <c r="F165" s="40">
        <v>499</v>
      </c>
      <c r="G165" s="40">
        <v>442</v>
      </c>
      <c r="H165" s="40">
        <v>445</v>
      </c>
      <c r="I165" s="40">
        <v>515</v>
      </c>
      <c r="J165" s="40">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275</v>
      </c>
      <c r="AE165" s="29">
        <v>2224</v>
      </c>
      <c r="AF165">
        <v>6292</v>
      </c>
      <c r="AG165">
        <v>2171</v>
      </c>
      <c r="AH165">
        <v>6267</v>
      </c>
    </row>
    <row r="166" spans="1:34" hidden="1">
      <c r="A166" s="40" t="s">
        <v>827</v>
      </c>
      <c r="B166" s="40">
        <v>2497</v>
      </c>
      <c r="C166" s="40">
        <v>1850</v>
      </c>
      <c r="D166" s="40">
        <v>1991</v>
      </c>
      <c r="E166" s="40">
        <v>2772</v>
      </c>
      <c r="F166" s="40">
        <v>2176</v>
      </c>
      <c r="G166" s="40">
        <v>1501</v>
      </c>
      <c r="H166" s="40">
        <v>1366</v>
      </c>
      <c r="I166" s="40">
        <v>1596</v>
      </c>
      <c r="J166" s="40">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309</v>
      </c>
      <c r="AE166" s="29">
        <v>739</v>
      </c>
      <c r="AF166">
        <v>3285</v>
      </c>
      <c r="AG166">
        <v>766</v>
      </c>
      <c r="AH166">
        <v>3874</v>
      </c>
    </row>
    <row r="167" spans="1:34" hidden="1">
      <c r="A167" s="40" t="s">
        <v>477</v>
      </c>
      <c r="B167" s="40">
        <v>1688</v>
      </c>
      <c r="C167" s="40">
        <v>1053</v>
      </c>
      <c r="D167" s="40">
        <v>946</v>
      </c>
      <c r="E167" s="40">
        <v>928</v>
      </c>
      <c r="F167" s="40">
        <v>934</v>
      </c>
      <c r="G167" s="40">
        <v>895</v>
      </c>
      <c r="H167" s="40">
        <v>975</v>
      </c>
      <c r="I167" s="40">
        <v>944</v>
      </c>
      <c r="J167" s="40">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215</v>
      </c>
      <c r="AE167" s="29">
        <v>189</v>
      </c>
      <c r="AF167">
        <v>685</v>
      </c>
      <c r="AH167">
        <v>0</v>
      </c>
    </row>
    <row r="168" spans="1:34" hidden="1">
      <c r="A168" s="40" t="s">
        <v>590</v>
      </c>
      <c r="B168" s="40">
        <v>7650</v>
      </c>
      <c r="C168" s="40">
        <v>13806</v>
      </c>
      <c r="D168" s="40">
        <v>6603</v>
      </c>
      <c r="E168" s="40">
        <v>5324</v>
      </c>
      <c r="F168" s="40">
        <v>5917</v>
      </c>
      <c r="G168" s="40">
        <v>5980</v>
      </c>
      <c r="H168" s="40">
        <v>3818</v>
      </c>
      <c r="I168" s="40">
        <v>7142</v>
      </c>
      <c r="J168" s="40">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243</v>
      </c>
      <c r="AE168" s="29">
        <v>131</v>
      </c>
      <c r="AF168">
        <v>710</v>
      </c>
      <c r="AH168">
        <v>0</v>
      </c>
    </row>
    <row r="169" spans="1:34" hidden="1">
      <c r="A169" s="40" t="s">
        <v>683</v>
      </c>
      <c r="B169" s="40">
        <v>670</v>
      </c>
      <c r="C169" s="40">
        <v>116</v>
      </c>
      <c r="D169" s="40">
        <v>398</v>
      </c>
      <c r="E169" s="40">
        <v>445</v>
      </c>
      <c r="F169" s="40">
        <v>359</v>
      </c>
      <c r="G169" s="40">
        <v>355</v>
      </c>
      <c r="H169" s="40">
        <v>239</v>
      </c>
      <c r="I169" s="40">
        <v>322</v>
      </c>
      <c r="J169" s="40">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339</v>
      </c>
      <c r="AE169" s="30">
        <v>241</v>
      </c>
      <c r="AF169">
        <v>1588</v>
      </c>
      <c r="AG169">
        <v>264</v>
      </c>
      <c r="AH169">
        <v>1608</v>
      </c>
    </row>
    <row r="170" spans="1:34" hidden="1">
      <c r="A170" s="40" t="s">
        <v>39</v>
      </c>
      <c r="B170" s="40">
        <v>416</v>
      </c>
      <c r="C170" s="40">
        <v>1739</v>
      </c>
      <c r="D170" s="40">
        <v>1284</v>
      </c>
      <c r="E170" s="40">
        <v>1175</v>
      </c>
      <c r="F170" s="40">
        <v>1221</v>
      </c>
      <c r="G170" s="40">
        <v>1495</v>
      </c>
      <c r="H170" s="40">
        <v>657</v>
      </c>
      <c r="I170" s="40">
        <v>1287</v>
      </c>
      <c r="J170" s="40">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34</v>
      </c>
      <c r="AE170" s="29">
        <v>2823</v>
      </c>
      <c r="AF170">
        <v>12738</v>
      </c>
      <c r="AG170">
        <v>2583</v>
      </c>
      <c r="AH170">
        <v>13375</v>
      </c>
    </row>
    <row r="171" spans="1:34" hidden="1">
      <c r="A171" s="40" t="s">
        <v>901</v>
      </c>
      <c r="B171" s="40">
        <v>0</v>
      </c>
      <c r="C171" s="40">
        <v>0</v>
      </c>
      <c r="D171" s="40">
        <v>0</v>
      </c>
      <c r="E171" s="40">
        <v>0</v>
      </c>
      <c r="F171" s="40">
        <v>0</v>
      </c>
      <c r="G171" s="40">
        <v>144</v>
      </c>
      <c r="H171" s="40">
        <v>2461</v>
      </c>
      <c r="I171" s="40">
        <v>2491</v>
      </c>
      <c r="J171" s="40">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297</v>
      </c>
      <c r="AE171" s="29">
        <v>1428</v>
      </c>
      <c r="AF171">
        <v>3763</v>
      </c>
      <c r="AG171">
        <v>1354</v>
      </c>
      <c r="AH171">
        <v>3424</v>
      </c>
    </row>
    <row r="172" spans="1:34" hidden="1">
      <c r="A172" s="40" t="s">
        <v>525</v>
      </c>
      <c r="B172" s="40">
        <v>4005</v>
      </c>
      <c r="C172" s="40">
        <v>3935</v>
      </c>
      <c r="D172" s="40">
        <v>4402</v>
      </c>
      <c r="E172" s="40">
        <v>4192</v>
      </c>
      <c r="F172" s="40">
        <v>3156</v>
      </c>
      <c r="G172" s="40">
        <v>3022</v>
      </c>
      <c r="H172" s="40">
        <v>3527</v>
      </c>
      <c r="I172" s="40">
        <v>3401</v>
      </c>
      <c r="J172" s="40">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397</v>
      </c>
      <c r="AE172" s="29">
        <v>623</v>
      </c>
      <c r="AF172">
        <v>2903</v>
      </c>
      <c r="AG172">
        <v>624</v>
      </c>
      <c r="AH172">
        <v>2785</v>
      </c>
    </row>
    <row r="173" spans="1:34" hidden="1">
      <c r="A173" s="40" t="s">
        <v>918</v>
      </c>
      <c r="B173" s="40">
        <v>1177</v>
      </c>
      <c r="C173" s="40">
        <v>669</v>
      </c>
      <c r="D173" s="40">
        <v>478</v>
      </c>
      <c r="E173" s="40">
        <v>414</v>
      </c>
      <c r="F173" s="40">
        <v>676</v>
      </c>
      <c r="G173" s="40">
        <v>792</v>
      </c>
      <c r="H173" s="40">
        <v>567</v>
      </c>
      <c r="I173" s="40">
        <v>1795</v>
      </c>
      <c r="J173" s="40">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481</v>
      </c>
      <c r="AE173" s="29">
        <v>787</v>
      </c>
      <c r="AF173">
        <v>2041</v>
      </c>
      <c r="AG173">
        <v>864</v>
      </c>
      <c r="AH173">
        <v>2251</v>
      </c>
    </row>
    <row r="174" spans="1:34" hidden="1">
      <c r="A174" s="40" t="s">
        <v>1076</v>
      </c>
      <c r="B174" s="40">
        <v>420</v>
      </c>
      <c r="C174" s="40">
        <v>905</v>
      </c>
      <c r="D174" s="40">
        <v>0</v>
      </c>
      <c r="E174" s="40">
        <v>0</v>
      </c>
      <c r="F174" s="40">
        <v>243</v>
      </c>
      <c r="G174" s="40">
        <v>230</v>
      </c>
      <c r="H174" s="40">
        <v>245</v>
      </c>
      <c r="I174" s="40">
        <v>313</v>
      </c>
      <c r="J174" s="40">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335</v>
      </c>
      <c r="AE174" s="29">
        <v>626</v>
      </c>
      <c r="AF174">
        <v>2805</v>
      </c>
      <c r="AG174">
        <v>606</v>
      </c>
      <c r="AH174">
        <v>2642</v>
      </c>
    </row>
    <row r="175" spans="1:34" hidden="1">
      <c r="A175" s="40" t="s">
        <v>337</v>
      </c>
      <c r="B175" s="40">
        <v>1339</v>
      </c>
      <c r="C175" s="40">
        <v>1142</v>
      </c>
      <c r="D175" s="40">
        <v>1084</v>
      </c>
      <c r="E175" s="40">
        <v>933</v>
      </c>
      <c r="F175" s="40">
        <v>792</v>
      </c>
      <c r="G175" s="40">
        <v>1046</v>
      </c>
      <c r="H175" s="40">
        <v>1128</v>
      </c>
      <c r="I175" s="40">
        <v>1509</v>
      </c>
      <c r="J175" s="40">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373</v>
      </c>
      <c r="AE175" s="29">
        <v>685</v>
      </c>
      <c r="AF175">
        <v>3289</v>
      </c>
      <c r="AG175">
        <v>567</v>
      </c>
      <c r="AH175">
        <v>2661</v>
      </c>
    </row>
    <row r="176" spans="1:34" hidden="1">
      <c r="A176" s="40" t="s">
        <v>749</v>
      </c>
      <c r="B176" s="40">
        <v>265</v>
      </c>
      <c r="C176" s="40">
        <v>246</v>
      </c>
      <c r="D176" s="40">
        <v>232</v>
      </c>
      <c r="E176" s="40">
        <v>236</v>
      </c>
      <c r="F176" s="40">
        <v>206</v>
      </c>
      <c r="G176" s="40">
        <v>182</v>
      </c>
      <c r="H176" s="40">
        <v>226</v>
      </c>
      <c r="I176" s="40">
        <v>213</v>
      </c>
      <c r="J176" s="40">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187</v>
      </c>
      <c r="AE176" s="29">
        <v>1328</v>
      </c>
      <c r="AF176">
        <v>4299</v>
      </c>
      <c r="AG176">
        <v>1212</v>
      </c>
      <c r="AH176">
        <v>3861</v>
      </c>
    </row>
    <row r="177" spans="1:34" hidden="1">
      <c r="A177" s="40" t="s">
        <v>759</v>
      </c>
      <c r="B177" s="40">
        <v>2923</v>
      </c>
      <c r="C177" s="40">
        <v>1362</v>
      </c>
      <c r="D177" s="40">
        <v>2460</v>
      </c>
      <c r="E177" s="40">
        <v>3056</v>
      </c>
      <c r="F177" s="40">
        <v>2721</v>
      </c>
      <c r="G177" s="40">
        <v>1512</v>
      </c>
      <c r="H177" s="40">
        <v>1170</v>
      </c>
      <c r="I177" s="40">
        <v>1378</v>
      </c>
      <c r="J177" s="40">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8" t="s">
        <v>451</v>
      </c>
      <c r="AE177" s="29">
        <v>668</v>
      </c>
      <c r="AF177">
        <v>7767</v>
      </c>
      <c r="AG177">
        <v>1143</v>
      </c>
      <c r="AH177">
        <v>10440</v>
      </c>
    </row>
    <row r="178" spans="1:34" hidden="1">
      <c r="A178" s="40" t="s">
        <v>493</v>
      </c>
      <c r="B178" s="40">
        <v>6001</v>
      </c>
      <c r="C178" s="40">
        <v>12082</v>
      </c>
      <c r="D178" s="40">
        <v>8755</v>
      </c>
      <c r="E178" s="40">
        <v>13184</v>
      </c>
      <c r="F178" s="40">
        <v>12988</v>
      </c>
      <c r="G178" s="40">
        <v>6562</v>
      </c>
      <c r="H178" s="40">
        <v>7094</v>
      </c>
      <c r="I178" s="40">
        <v>7373</v>
      </c>
      <c r="J178" s="40">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323</v>
      </c>
      <c r="AE178" s="29">
        <v>1208</v>
      </c>
      <c r="AF178">
        <v>4295</v>
      </c>
      <c r="AG178">
        <v>1090</v>
      </c>
      <c r="AH178">
        <v>3763</v>
      </c>
    </row>
    <row r="179" spans="1:34" hidden="1">
      <c r="A179" s="40" t="s">
        <v>499</v>
      </c>
      <c r="B179" s="40">
        <v>4791</v>
      </c>
      <c r="C179" s="40">
        <v>7626</v>
      </c>
      <c r="D179" s="40">
        <v>2539</v>
      </c>
      <c r="E179" s="40">
        <v>3770</v>
      </c>
      <c r="F179" s="40">
        <v>2839</v>
      </c>
      <c r="G179" s="40">
        <v>2086</v>
      </c>
      <c r="H179" s="40">
        <v>1005</v>
      </c>
      <c r="I179" s="40">
        <v>1990</v>
      </c>
      <c r="J179" s="40">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205</v>
      </c>
      <c r="AE179" s="29">
        <v>1509</v>
      </c>
      <c r="AF179">
        <v>9133</v>
      </c>
      <c r="AG179">
        <v>1433</v>
      </c>
      <c r="AH179">
        <v>8539</v>
      </c>
    </row>
    <row r="180" spans="1:34" hidden="1">
      <c r="A180" s="40" t="s">
        <v>940</v>
      </c>
      <c r="B180" s="40">
        <v>0</v>
      </c>
      <c r="C180" s="40">
        <v>0</v>
      </c>
      <c r="D180" s="40">
        <v>0</v>
      </c>
      <c r="E180" s="40">
        <v>0</v>
      </c>
      <c r="F180" s="40">
        <v>0</v>
      </c>
      <c r="G180" s="40">
        <v>15</v>
      </c>
      <c r="H180" s="40">
        <v>156</v>
      </c>
      <c r="I180" s="40">
        <v>386</v>
      </c>
      <c r="J180" s="40">
        <v>397</v>
      </c>
      <c r="K180">
        <v>168</v>
      </c>
      <c r="L180">
        <v>292</v>
      </c>
      <c r="M180">
        <v>335</v>
      </c>
      <c r="N180">
        <v>522</v>
      </c>
      <c r="O180">
        <v>0</v>
      </c>
      <c r="P180">
        <v>0</v>
      </c>
      <c r="Q180">
        <v>0</v>
      </c>
      <c r="R180">
        <v>0</v>
      </c>
      <c r="S180">
        <v>0</v>
      </c>
      <c r="T180">
        <v>0</v>
      </c>
      <c r="U180">
        <v>14</v>
      </c>
      <c r="V180">
        <v>3</v>
      </c>
      <c r="W180">
        <v>44</v>
      </c>
      <c r="X180">
        <v>18</v>
      </c>
      <c r="Y180">
        <v>37</v>
      </c>
      <c r="Z180">
        <v>29</v>
      </c>
      <c r="AA180">
        <v>77</v>
      </c>
      <c r="AD180" t="s">
        <v>399</v>
      </c>
      <c r="AE180" s="29">
        <v>3022</v>
      </c>
      <c r="AF180">
        <v>9157</v>
      </c>
      <c r="AG180">
        <v>3472</v>
      </c>
      <c r="AH180">
        <v>9708</v>
      </c>
    </row>
    <row r="181" spans="1:34" hidden="1">
      <c r="A181" s="40" t="s">
        <v>656</v>
      </c>
      <c r="B181" s="40">
        <v>2331</v>
      </c>
      <c r="C181" s="40">
        <v>2258</v>
      </c>
      <c r="D181" s="40">
        <v>2009</v>
      </c>
      <c r="E181" s="40">
        <v>1233</v>
      </c>
      <c r="F181" s="40">
        <v>987</v>
      </c>
      <c r="G181" s="40">
        <v>1447</v>
      </c>
      <c r="H181" s="40">
        <v>3227</v>
      </c>
      <c r="I181" s="40">
        <v>1849</v>
      </c>
      <c r="J181" s="40">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319</v>
      </c>
      <c r="AE181" s="29">
        <v>1145</v>
      </c>
      <c r="AF181">
        <v>4679</v>
      </c>
      <c r="AG181">
        <v>696</v>
      </c>
      <c r="AH181">
        <v>3009</v>
      </c>
    </row>
    <row r="182" spans="1:34" hidden="1">
      <c r="A182" s="40" t="s">
        <v>135</v>
      </c>
      <c r="B182" s="40">
        <v>6166</v>
      </c>
      <c r="C182" s="40">
        <v>18443</v>
      </c>
      <c r="D182" s="40">
        <v>18111</v>
      </c>
      <c r="E182" s="40">
        <v>43927</v>
      </c>
      <c r="F182" s="40">
        <v>45214</v>
      </c>
      <c r="G182" s="40">
        <v>42221</v>
      </c>
      <c r="H182" s="40">
        <v>32418</v>
      </c>
      <c r="I182" s="40">
        <v>43067</v>
      </c>
      <c r="J182" s="40">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293</v>
      </c>
      <c r="AE182" s="29">
        <v>1394</v>
      </c>
      <c r="AF182">
        <v>5524</v>
      </c>
      <c r="AG182">
        <v>1299</v>
      </c>
      <c r="AH182">
        <v>5554</v>
      </c>
    </row>
    <row r="183" spans="1:34" hidden="1">
      <c r="A183" s="40" t="s">
        <v>664</v>
      </c>
      <c r="B183" s="40">
        <v>2775</v>
      </c>
      <c r="C183" s="40">
        <v>5453</v>
      </c>
      <c r="D183" s="40">
        <v>3575</v>
      </c>
      <c r="E183" s="40">
        <v>939</v>
      </c>
      <c r="F183" s="40">
        <v>1665</v>
      </c>
      <c r="G183" s="40">
        <v>1015</v>
      </c>
      <c r="H183" s="40">
        <v>1447</v>
      </c>
      <c r="I183" s="40">
        <v>1250</v>
      </c>
      <c r="J183" s="40">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19</v>
      </c>
      <c r="AE183" s="29">
        <v>33472</v>
      </c>
      <c r="AF183">
        <v>138011</v>
      </c>
      <c r="AG183">
        <v>30123</v>
      </c>
      <c r="AH183">
        <v>128160</v>
      </c>
    </row>
    <row r="184" spans="1:34" hidden="1">
      <c r="A184" s="40" t="s">
        <v>1102</v>
      </c>
      <c r="B184" s="40">
        <v>772</v>
      </c>
      <c r="C184" s="40">
        <v>752</v>
      </c>
      <c r="D184" s="40">
        <v>882</v>
      </c>
      <c r="E184" s="40">
        <v>751</v>
      </c>
      <c r="F184" s="40">
        <v>516</v>
      </c>
      <c r="G184" s="40">
        <v>729</v>
      </c>
      <c r="H184" s="40">
        <v>560</v>
      </c>
      <c r="I184" s="40">
        <v>630</v>
      </c>
      <c r="J184" s="40">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437</v>
      </c>
      <c r="AE184" s="29">
        <v>1079</v>
      </c>
      <c r="AF184">
        <v>6617</v>
      </c>
      <c r="AG184">
        <v>1129</v>
      </c>
      <c r="AH184">
        <v>6537</v>
      </c>
    </row>
    <row r="185" spans="1:34" hidden="1">
      <c r="A185" s="40" t="s">
        <v>931</v>
      </c>
      <c r="B185" s="40">
        <v>3362</v>
      </c>
      <c r="C185" s="40">
        <v>5362</v>
      </c>
      <c r="D185" s="40">
        <v>4587</v>
      </c>
      <c r="E185" s="40">
        <v>3398</v>
      </c>
      <c r="F185" s="40">
        <v>2881</v>
      </c>
      <c r="G185" s="40">
        <v>3856</v>
      </c>
      <c r="H185" s="40">
        <v>4317</v>
      </c>
      <c r="I185" s="40">
        <v>3115</v>
      </c>
      <c r="J185" s="40">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8" t="s">
        <v>289</v>
      </c>
      <c r="AE185" s="30">
        <v>1417</v>
      </c>
      <c r="AF185">
        <v>8552</v>
      </c>
      <c r="AG185">
        <v>1530</v>
      </c>
      <c r="AH185">
        <v>8951</v>
      </c>
    </row>
    <row r="186" spans="1:34" hidden="1">
      <c r="A186" s="40" t="s">
        <v>950</v>
      </c>
      <c r="B186" s="40">
        <v>490</v>
      </c>
      <c r="C186" s="40">
        <v>818</v>
      </c>
      <c r="D186" s="40">
        <v>604</v>
      </c>
      <c r="E186" s="40">
        <v>782</v>
      </c>
      <c r="F186" s="40">
        <v>746</v>
      </c>
      <c r="G186" s="40">
        <v>684</v>
      </c>
      <c r="H186" s="40">
        <v>1002</v>
      </c>
      <c r="I186" s="40">
        <v>1213</v>
      </c>
      <c r="J186" s="40">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371</v>
      </c>
      <c r="AE186" s="29">
        <v>834</v>
      </c>
      <c r="AF186">
        <v>3151</v>
      </c>
      <c r="AG186">
        <v>740</v>
      </c>
      <c r="AH186">
        <v>2672</v>
      </c>
    </row>
    <row r="187" spans="1:34" hidden="1">
      <c r="A187" s="40" t="s">
        <v>867</v>
      </c>
      <c r="B187" s="40">
        <v>0</v>
      </c>
      <c r="C187" s="40">
        <v>0</v>
      </c>
      <c r="D187" s="40">
        <v>0</v>
      </c>
      <c r="E187" s="40">
        <v>0</v>
      </c>
      <c r="F187" s="40">
        <v>0</v>
      </c>
      <c r="G187" s="40">
        <v>0</v>
      </c>
      <c r="H187" s="40">
        <v>0</v>
      </c>
      <c r="I187" s="40">
        <v>1279</v>
      </c>
      <c r="J187" s="40">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307</v>
      </c>
      <c r="AE187" s="29">
        <v>1625</v>
      </c>
      <c r="AF187">
        <v>5322</v>
      </c>
      <c r="AG187">
        <v>1697</v>
      </c>
      <c r="AH187">
        <v>6038</v>
      </c>
    </row>
    <row r="188" spans="1:34" hidden="1">
      <c r="A188" s="40" t="s">
        <v>816</v>
      </c>
      <c r="B188" s="40">
        <v>803</v>
      </c>
      <c r="C188" s="40">
        <v>744</v>
      </c>
      <c r="D188" s="40">
        <v>538</v>
      </c>
      <c r="E188" s="40">
        <v>968</v>
      </c>
      <c r="F188" s="40">
        <v>1086</v>
      </c>
      <c r="G188" s="40">
        <v>1251</v>
      </c>
      <c r="H188" s="40">
        <v>1003</v>
      </c>
      <c r="I188" s="40">
        <v>1410</v>
      </c>
      <c r="J188" s="40">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195</v>
      </c>
      <c r="AE188" s="29">
        <v>1102</v>
      </c>
      <c r="AF188">
        <v>5414</v>
      </c>
      <c r="AG188">
        <v>1212</v>
      </c>
      <c r="AH188">
        <v>6482</v>
      </c>
    </row>
    <row r="189" spans="1:34" hidden="1">
      <c r="A189" s="40" t="s">
        <v>913</v>
      </c>
      <c r="B189" s="40">
        <v>8044</v>
      </c>
      <c r="C189" s="40">
        <v>7125</v>
      </c>
      <c r="D189" s="40">
        <v>5755</v>
      </c>
      <c r="E189" s="40">
        <v>6160</v>
      </c>
      <c r="F189" s="40">
        <v>5552</v>
      </c>
      <c r="G189" s="40">
        <v>5251</v>
      </c>
      <c r="H189" s="40">
        <v>4817</v>
      </c>
      <c r="I189" s="40">
        <v>5169</v>
      </c>
      <c r="J189" s="40">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449</v>
      </c>
      <c r="AE189" s="29">
        <v>2369</v>
      </c>
      <c r="AF189">
        <v>7209</v>
      </c>
      <c r="AG189">
        <v>1913</v>
      </c>
      <c r="AH189">
        <v>5327</v>
      </c>
    </row>
    <row r="190" spans="1:34" hidden="1">
      <c r="A190" s="40" t="s">
        <v>1138</v>
      </c>
      <c r="B190" s="40">
        <v>1959</v>
      </c>
      <c r="C190" s="40">
        <v>1940</v>
      </c>
      <c r="D190" s="40">
        <v>1506</v>
      </c>
      <c r="E190" s="40">
        <v>1606</v>
      </c>
      <c r="F190" s="40">
        <v>1689</v>
      </c>
      <c r="G190" s="40">
        <v>1668</v>
      </c>
      <c r="H190" s="40">
        <v>1723</v>
      </c>
      <c r="I190" s="40">
        <v>3158</v>
      </c>
      <c r="J190" s="40">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409</v>
      </c>
      <c r="AE190" s="29">
        <v>399</v>
      </c>
      <c r="AF190">
        <v>1384</v>
      </c>
      <c r="AG190">
        <v>351</v>
      </c>
      <c r="AH190">
        <v>1247</v>
      </c>
    </row>
    <row r="191" spans="1:34" hidden="1">
      <c r="A191" s="40" t="s">
        <v>909</v>
      </c>
      <c r="B191" s="40">
        <v>0</v>
      </c>
      <c r="C191" s="40">
        <v>0</v>
      </c>
      <c r="D191" s="40">
        <v>0</v>
      </c>
      <c r="E191" s="40">
        <v>0</v>
      </c>
      <c r="F191" s="40">
        <v>0</v>
      </c>
      <c r="G191" s="40">
        <v>0</v>
      </c>
      <c r="H191" s="40">
        <v>0</v>
      </c>
      <c r="I191" s="40">
        <v>0</v>
      </c>
      <c r="J191" s="40">
        <v>638</v>
      </c>
      <c r="K191">
        <v>1403</v>
      </c>
      <c r="L191">
        <v>422</v>
      </c>
      <c r="M191">
        <v>727</v>
      </c>
      <c r="N191">
        <v>698</v>
      </c>
      <c r="O191">
        <v>0</v>
      </c>
      <c r="P191">
        <v>0</v>
      </c>
      <c r="Q191">
        <v>0</v>
      </c>
      <c r="R191">
        <v>0</v>
      </c>
      <c r="S191">
        <v>0</v>
      </c>
      <c r="T191">
        <v>0</v>
      </c>
      <c r="U191">
        <v>0</v>
      </c>
      <c r="V191">
        <v>0</v>
      </c>
      <c r="W191">
        <v>237</v>
      </c>
      <c r="X191">
        <v>204</v>
      </c>
      <c r="Y191">
        <v>165</v>
      </c>
      <c r="Z191">
        <v>174</v>
      </c>
      <c r="AA191">
        <v>189</v>
      </c>
      <c r="AD191" s="38" t="s">
        <v>145</v>
      </c>
      <c r="AE191" s="29">
        <v>2274</v>
      </c>
      <c r="AF191">
        <v>14366</v>
      </c>
      <c r="AG191">
        <v>1868</v>
      </c>
      <c r="AH191">
        <v>10981</v>
      </c>
    </row>
    <row r="192" spans="1:34" hidden="1">
      <c r="A192" s="40" t="s">
        <v>1022</v>
      </c>
      <c r="B192" s="40">
        <v>34</v>
      </c>
      <c r="C192" s="40">
        <v>25</v>
      </c>
      <c r="D192" s="40">
        <v>24</v>
      </c>
      <c r="E192" s="40">
        <v>24</v>
      </c>
      <c r="F192" s="40">
        <v>23</v>
      </c>
      <c r="G192" s="40">
        <v>17</v>
      </c>
      <c r="H192" s="40">
        <v>19</v>
      </c>
      <c r="I192" s="40">
        <v>20</v>
      </c>
      <c r="J192" s="40">
        <v>20</v>
      </c>
      <c r="K192">
        <v>22</v>
      </c>
      <c r="L192">
        <v>24</v>
      </c>
      <c r="M192">
        <v>19</v>
      </c>
      <c r="N192">
        <v>16</v>
      </c>
      <c r="O192">
        <v>2</v>
      </c>
      <c r="P192">
        <v>1</v>
      </c>
      <c r="Q192">
        <v>8</v>
      </c>
      <c r="R192">
        <v>4</v>
      </c>
      <c r="S192">
        <v>3</v>
      </c>
      <c r="T192">
        <v>4</v>
      </c>
      <c r="U192">
        <v>6</v>
      </c>
      <c r="V192">
        <v>9</v>
      </c>
      <c r="W192">
        <v>3</v>
      </c>
      <c r="X192">
        <v>4</v>
      </c>
      <c r="Y192">
        <v>8</v>
      </c>
      <c r="Z192">
        <v>8</v>
      </c>
      <c r="AA192">
        <v>4</v>
      </c>
      <c r="AD192" t="s">
        <v>71</v>
      </c>
      <c r="AE192" s="29">
        <v>15</v>
      </c>
      <c r="AF192">
        <v>246</v>
      </c>
      <c r="AG192">
        <v>15</v>
      </c>
      <c r="AH192">
        <v>139</v>
      </c>
    </row>
    <row r="193" spans="1:34" hidden="1">
      <c r="A193" s="40" t="s">
        <v>763</v>
      </c>
      <c r="B193" s="40">
        <v>243</v>
      </c>
      <c r="C193" s="40">
        <v>0</v>
      </c>
      <c r="D193" s="40">
        <v>379</v>
      </c>
      <c r="E193" s="40">
        <v>196</v>
      </c>
      <c r="F193" s="40">
        <v>201</v>
      </c>
      <c r="G193" s="40">
        <v>212</v>
      </c>
      <c r="H193" s="40">
        <v>110</v>
      </c>
      <c r="I193" s="40">
        <v>239</v>
      </c>
      <c r="J193" s="40">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161</v>
      </c>
      <c r="AE193" s="29">
        <v>1363</v>
      </c>
      <c r="AF193">
        <v>4949</v>
      </c>
      <c r="AG193">
        <v>1260</v>
      </c>
      <c r="AH193">
        <v>4741</v>
      </c>
    </row>
    <row r="194" spans="1:34" hidden="1">
      <c r="A194" s="40" t="s">
        <v>221</v>
      </c>
      <c r="B194" s="40">
        <v>2807</v>
      </c>
      <c r="C194" s="40">
        <v>3308</v>
      </c>
      <c r="D194" s="40">
        <v>2318</v>
      </c>
      <c r="E194" s="40">
        <v>1462</v>
      </c>
      <c r="F194" s="40">
        <v>1432</v>
      </c>
      <c r="G194" s="40">
        <v>1427</v>
      </c>
      <c r="H194" s="40">
        <v>1178</v>
      </c>
      <c r="I194" s="40">
        <v>1374</v>
      </c>
      <c r="J194" s="40">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513</v>
      </c>
      <c r="AE194" s="29">
        <v>3262</v>
      </c>
      <c r="AF194">
        <v>9770</v>
      </c>
      <c r="AG194">
        <v>3190</v>
      </c>
      <c r="AH194">
        <v>9222</v>
      </c>
    </row>
    <row r="195" spans="1:34" hidden="1">
      <c r="A195" s="40" t="s">
        <v>691</v>
      </c>
      <c r="B195" s="40">
        <v>1489</v>
      </c>
      <c r="C195" s="40">
        <v>1414</v>
      </c>
      <c r="D195" s="40">
        <v>1815</v>
      </c>
      <c r="E195" s="40">
        <v>1285</v>
      </c>
      <c r="F195" s="40">
        <v>1025</v>
      </c>
      <c r="G195" s="40">
        <v>1202</v>
      </c>
      <c r="H195" s="40">
        <v>1602</v>
      </c>
      <c r="I195" s="40">
        <v>1525</v>
      </c>
      <c r="J195" s="40">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329</v>
      </c>
      <c r="AE195" s="29">
        <v>1048</v>
      </c>
      <c r="AF195">
        <v>4779</v>
      </c>
      <c r="AG195">
        <v>1064</v>
      </c>
      <c r="AH195">
        <v>4496</v>
      </c>
    </row>
    <row r="196" spans="1:34" hidden="1">
      <c r="A196" s="40" t="s">
        <v>875</v>
      </c>
      <c r="B196" s="40">
        <v>944</v>
      </c>
      <c r="C196" s="40">
        <v>1028</v>
      </c>
      <c r="D196" s="40">
        <v>907</v>
      </c>
      <c r="E196" s="40">
        <v>912</v>
      </c>
      <c r="F196" s="40">
        <v>577</v>
      </c>
      <c r="G196" s="40">
        <v>850</v>
      </c>
      <c r="H196" s="40">
        <v>494</v>
      </c>
      <c r="I196" s="40">
        <v>552</v>
      </c>
      <c r="J196" s="40">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501</v>
      </c>
      <c r="AE196" s="29">
        <v>1647</v>
      </c>
      <c r="AF196">
        <v>5378</v>
      </c>
      <c r="AG196">
        <v>1530</v>
      </c>
      <c r="AH196">
        <v>5058</v>
      </c>
    </row>
    <row r="197" spans="1:34" hidden="1">
      <c r="A197" s="40" t="s">
        <v>718</v>
      </c>
      <c r="B197" s="40">
        <v>1615</v>
      </c>
      <c r="C197" s="40">
        <v>1381</v>
      </c>
      <c r="D197" s="40">
        <v>982</v>
      </c>
      <c r="E197" s="40">
        <v>920</v>
      </c>
      <c r="F197" s="40">
        <v>824</v>
      </c>
      <c r="G197" s="40">
        <v>771</v>
      </c>
      <c r="H197" s="40">
        <v>667</v>
      </c>
      <c r="I197" s="40">
        <v>757</v>
      </c>
      <c r="J197" s="40">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417</v>
      </c>
      <c r="AE197" s="29">
        <v>704</v>
      </c>
      <c r="AF197">
        <v>2761</v>
      </c>
      <c r="AG197">
        <v>830</v>
      </c>
      <c r="AH197">
        <v>3002</v>
      </c>
    </row>
    <row r="198" spans="1:34" hidden="1">
      <c r="A198" s="40" t="s">
        <v>594</v>
      </c>
      <c r="B198" s="40">
        <v>2755</v>
      </c>
      <c r="C198" s="40">
        <v>2732</v>
      </c>
      <c r="D198" s="40">
        <v>3730</v>
      </c>
      <c r="E198" s="40">
        <v>2782</v>
      </c>
      <c r="F198" s="40">
        <v>2268</v>
      </c>
      <c r="G198" s="40">
        <v>2521</v>
      </c>
      <c r="H198" s="40">
        <v>2102</v>
      </c>
      <c r="I198" s="40">
        <v>2669</v>
      </c>
      <c r="J198" s="40">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8" t="s">
        <v>211</v>
      </c>
      <c r="AE198" s="29">
        <v>1322</v>
      </c>
      <c r="AF198">
        <v>6586</v>
      </c>
      <c r="AG198">
        <v>1285</v>
      </c>
      <c r="AH198">
        <v>6266</v>
      </c>
    </row>
    <row r="199" spans="1:34" hidden="1">
      <c r="A199" s="40" t="s">
        <v>650</v>
      </c>
      <c r="B199" s="40">
        <v>1109</v>
      </c>
      <c r="C199" s="40">
        <v>944</v>
      </c>
      <c r="D199" s="40">
        <v>927</v>
      </c>
      <c r="E199" s="40">
        <v>989</v>
      </c>
      <c r="F199" s="40">
        <v>1019</v>
      </c>
      <c r="G199" s="40">
        <v>945</v>
      </c>
      <c r="H199" s="40">
        <v>963</v>
      </c>
      <c r="I199" s="40">
        <v>934</v>
      </c>
      <c r="J199" s="40">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125</v>
      </c>
      <c r="AE199" s="29">
        <v>1858</v>
      </c>
      <c r="AF199">
        <v>4998</v>
      </c>
      <c r="AG199">
        <v>1799</v>
      </c>
      <c r="AH199">
        <v>4894</v>
      </c>
    </row>
    <row r="200" spans="1:34" hidden="1">
      <c r="A200" s="40" t="s">
        <v>608</v>
      </c>
      <c r="B200" s="40">
        <v>788</v>
      </c>
      <c r="C200" s="40">
        <v>1486</v>
      </c>
      <c r="D200" s="40">
        <v>760</v>
      </c>
      <c r="E200" s="40">
        <v>625</v>
      </c>
      <c r="F200" s="40">
        <v>615</v>
      </c>
      <c r="G200" s="40">
        <v>631</v>
      </c>
      <c r="H200" s="40">
        <v>485</v>
      </c>
      <c r="I200" s="40">
        <v>978</v>
      </c>
      <c r="J200" s="40">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99</v>
      </c>
      <c r="AE200" s="29">
        <v>1829</v>
      </c>
      <c r="AF200">
        <v>9027</v>
      </c>
      <c r="AG200">
        <v>1855</v>
      </c>
      <c r="AH200">
        <v>7726</v>
      </c>
    </row>
    <row r="201" spans="1:34" hidden="1">
      <c r="A201" s="40" t="s">
        <v>329</v>
      </c>
      <c r="B201" s="40">
        <v>1756</v>
      </c>
      <c r="C201" s="40">
        <v>2130</v>
      </c>
      <c r="D201" s="40">
        <v>4704</v>
      </c>
      <c r="E201" s="40">
        <v>2398</v>
      </c>
      <c r="F201" s="40">
        <v>2991</v>
      </c>
      <c r="G201" s="40">
        <v>1792</v>
      </c>
      <c r="H201" s="40">
        <v>1099</v>
      </c>
      <c r="I201" s="40">
        <v>4398</v>
      </c>
      <c r="J201" s="40">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75</v>
      </c>
      <c r="AE201" s="29">
        <v>1488</v>
      </c>
      <c r="AF201">
        <v>6357</v>
      </c>
      <c r="AG201">
        <v>1363</v>
      </c>
      <c r="AH201">
        <v>5727</v>
      </c>
    </row>
    <row r="202" spans="1:34" hidden="1">
      <c r="A202" s="40" t="s">
        <v>1028</v>
      </c>
      <c r="B202" s="40">
        <v>1769</v>
      </c>
      <c r="C202" s="40">
        <v>891</v>
      </c>
      <c r="D202" s="40">
        <v>46</v>
      </c>
      <c r="E202" s="40">
        <v>1060</v>
      </c>
      <c r="F202" s="40">
        <v>1496</v>
      </c>
      <c r="G202" s="40">
        <v>1484</v>
      </c>
      <c r="H202" s="40">
        <v>1170</v>
      </c>
      <c r="I202" s="40">
        <v>1548</v>
      </c>
      <c r="J202" s="40">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499</v>
      </c>
      <c r="AE202" s="29">
        <v>4708</v>
      </c>
      <c r="AF202">
        <v>13533</v>
      </c>
      <c r="AG202">
        <v>4276</v>
      </c>
      <c r="AH202">
        <v>10352</v>
      </c>
    </row>
    <row r="203" spans="1:34" hidden="1">
      <c r="A203" s="40" t="s">
        <v>946</v>
      </c>
      <c r="B203" s="40">
        <v>1169</v>
      </c>
      <c r="C203" s="40">
        <v>1287</v>
      </c>
      <c r="D203" s="40">
        <v>1659</v>
      </c>
      <c r="E203" s="40">
        <v>1409</v>
      </c>
      <c r="F203" s="40">
        <v>1673</v>
      </c>
      <c r="G203" s="40">
        <v>1641</v>
      </c>
      <c r="H203" s="40">
        <v>1234</v>
      </c>
      <c r="I203" s="40">
        <v>1346</v>
      </c>
      <c r="J203" s="40">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405</v>
      </c>
      <c r="AE203" s="29">
        <v>1863</v>
      </c>
      <c r="AF203">
        <v>7779</v>
      </c>
      <c r="AG203">
        <v>1886</v>
      </c>
      <c r="AH203">
        <v>7731</v>
      </c>
    </row>
    <row r="204" spans="1:34" hidden="1">
      <c r="A204" s="40" t="s">
        <v>1063</v>
      </c>
      <c r="B204" s="40">
        <v>2223</v>
      </c>
      <c r="C204" s="40">
        <v>2498</v>
      </c>
      <c r="D204" s="40">
        <v>2104</v>
      </c>
      <c r="E204" s="40">
        <v>2020</v>
      </c>
      <c r="F204" s="40">
        <v>1803</v>
      </c>
      <c r="G204" s="40">
        <v>1278</v>
      </c>
      <c r="H204" s="40">
        <v>1057</v>
      </c>
      <c r="I204" s="40">
        <v>1016</v>
      </c>
      <c r="J204" s="40">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389</v>
      </c>
      <c r="AE204" s="29">
        <v>872</v>
      </c>
      <c r="AF204">
        <v>2950</v>
      </c>
      <c r="AH204">
        <v>0</v>
      </c>
    </row>
    <row r="205" spans="1:34" hidden="1">
      <c r="A205" s="40" t="s">
        <v>985</v>
      </c>
      <c r="B205" s="40">
        <v>1237</v>
      </c>
      <c r="C205" s="40">
        <v>833</v>
      </c>
      <c r="D205" s="40">
        <v>804</v>
      </c>
      <c r="E205" s="40">
        <v>2592</v>
      </c>
      <c r="F205" s="40">
        <v>984</v>
      </c>
      <c r="G205" s="40">
        <v>1591</v>
      </c>
      <c r="H205" s="40">
        <v>966</v>
      </c>
      <c r="I205" s="40">
        <v>1220</v>
      </c>
      <c r="J205" s="40">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137</v>
      </c>
      <c r="AE205" s="29">
        <v>881</v>
      </c>
      <c r="AF205">
        <v>4215</v>
      </c>
      <c r="AG205">
        <v>883</v>
      </c>
      <c r="AH205">
        <v>4039</v>
      </c>
    </row>
    <row r="206" spans="1:34" hidden="1">
      <c r="A206" s="40" t="s">
        <v>1056</v>
      </c>
      <c r="B206" s="40">
        <v>1768</v>
      </c>
      <c r="C206" s="40">
        <v>1586</v>
      </c>
      <c r="D206" s="40">
        <v>1711</v>
      </c>
      <c r="E206" s="40">
        <v>2105</v>
      </c>
      <c r="F206" s="40">
        <v>1778</v>
      </c>
      <c r="G206" s="40">
        <v>3232</v>
      </c>
      <c r="H206" s="40">
        <v>1148</v>
      </c>
      <c r="I206" s="40">
        <v>1287</v>
      </c>
      <c r="J206" s="40">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91</v>
      </c>
      <c r="AE206" s="29">
        <v>1829</v>
      </c>
      <c r="AF206">
        <v>5765</v>
      </c>
      <c r="AG206">
        <v>1757</v>
      </c>
      <c r="AH206">
        <v>5305</v>
      </c>
    </row>
    <row r="207" spans="1:34" hidden="1">
      <c r="A207" s="40" t="s">
        <v>1126</v>
      </c>
      <c r="B207" s="40">
        <v>1118</v>
      </c>
      <c r="C207" s="40">
        <v>1244</v>
      </c>
      <c r="D207" s="40">
        <v>1200</v>
      </c>
      <c r="E207" s="40">
        <v>1279</v>
      </c>
      <c r="F207" s="40">
        <v>1042</v>
      </c>
      <c r="G207" s="40">
        <v>1108</v>
      </c>
      <c r="H207" s="40">
        <v>981</v>
      </c>
      <c r="I207" s="40">
        <v>1299</v>
      </c>
      <c r="J207" s="40">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1217</v>
      </c>
      <c r="AE207" s="29">
        <v>0</v>
      </c>
      <c r="AF207">
        <v>0</v>
      </c>
      <c r="AH207">
        <v>0</v>
      </c>
    </row>
    <row r="208" spans="1:34" hidden="1">
      <c r="A208" s="40" t="s">
        <v>1124</v>
      </c>
      <c r="B208" s="40">
        <v>1120</v>
      </c>
      <c r="C208" s="40">
        <v>1188</v>
      </c>
      <c r="D208" s="40">
        <v>573</v>
      </c>
      <c r="E208" s="40">
        <v>556</v>
      </c>
      <c r="F208" s="40">
        <v>816</v>
      </c>
      <c r="G208" s="40">
        <v>832</v>
      </c>
      <c r="H208" s="40">
        <v>1186</v>
      </c>
      <c r="I208" s="40">
        <v>1343</v>
      </c>
      <c r="J208" s="40">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127</v>
      </c>
      <c r="AE208" s="29">
        <v>3661</v>
      </c>
      <c r="AF208">
        <v>22624</v>
      </c>
      <c r="AG208">
        <v>4033</v>
      </c>
      <c r="AH208">
        <v>23512</v>
      </c>
    </row>
    <row r="209" spans="1:34" hidden="1">
      <c r="A209" s="40" t="s">
        <v>1114</v>
      </c>
      <c r="B209" s="40">
        <v>0</v>
      </c>
      <c r="C209" s="40">
        <v>0</v>
      </c>
      <c r="D209" s="40">
        <v>0</v>
      </c>
      <c r="E209" s="40">
        <v>1898</v>
      </c>
      <c r="F209" s="40">
        <v>1728</v>
      </c>
      <c r="G209" s="40">
        <v>1394</v>
      </c>
      <c r="H209" s="40">
        <v>1405</v>
      </c>
      <c r="I209" s="40">
        <v>934</v>
      </c>
      <c r="J209" s="40">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435</v>
      </c>
      <c r="AE209" s="29">
        <v>941</v>
      </c>
      <c r="AF209">
        <v>5236</v>
      </c>
      <c r="AG209">
        <v>989</v>
      </c>
      <c r="AH209">
        <v>5612</v>
      </c>
    </row>
    <row r="210" spans="1:34" hidden="1">
      <c r="A210" s="40" t="s">
        <v>1218</v>
      </c>
      <c r="B210" s="40">
        <v>0</v>
      </c>
      <c r="C210" s="40">
        <v>5</v>
      </c>
      <c r="D210" s="40">
        <v>0</v>
      </c>
      <c r="E210" s="40">
        <v>0</v>
      </c>
      <c r="F210" s="40">
        <v>0</v>
      </c>
      <c r="G210" s="40">
        <v>0</v>
      </c>
      <c r="H210" s="40">
        <v>0</v>
      </c>
      <c r="I210" s="40">
        <v>0</v>
      </c>
      <c r="J210" s="40">
        <v>0</v>
      </c>
      <c r="K210">
        <v>154</v>
      </c>
      <c r="L210">
        <v>0</v>
      </c>
      <c r="M210">
        <v>0</v>
      </c>
      <c r="N210">
        <v>0</v>
      </c>
      <c r="O210">
        <v>0</v>
      </c>
      <c r="P210">
        <v>2</v>
      </c>
      <c r="Q210">
        <v>0</v>
      </c>
      <c r="R210">
        <v>0</v>
      </c>
      <c r="S210">
        <v>0</v>
      </c>
      <c r="T210">
        <v>0</v>
      </c>
      <c r="U210">
        <v>0</v>
      </c>
      <c r="V210">
        <v>0</v>
      </c>
      <c r="W210">
        <v>0</v>
      </c>
      <c r="X210">
        <v>15</v>
      </c>
      <c r="Y210">
        <v>0</v>
      </c>
      <c r="Z210">
        <v>0</v>
      </c>
      <c r="AA210">
        <v>0</v>
      </c>
      <c r="AD210" t="s">
        <v>241</v>
      </c>
      <c r="AE210" s="29">
        <v>1614</v>
      </c>
      <c r="AF210">
        <v>9176</v>
      </c>
      <c r="AG210">
        <v>1395</v>
      </c>
      <c r="AH210">
        <v>8238</v>
      </c>
    </row>
    <row r="211" spans="1:34" hidden="1">
      <c r="A211" s="40" t="s">
        <v>1080</v>
      </c>
      <c r="B211" s="40">
        <v>1237</v>
      </c>
      <c r="C211" s="40">
        <v>2363</v>
      </c>
      <c r="D211" s="40">
        <v>1303</v>
      </c>
      <c r="E211" s="40">
        <v>1272</v>
      </c>
      <c r="F211" s="40">
        <v>966</v>
      </c>
      <c r="G211" s="40">
        <v>979</v>
      </c>
      <c r="H211" s="40">
        <v>1008</v>
      </c>
      <c r="I211" s="40">
        <v>952</v>
      </c>
      <c r="J211" s="40">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53</v>
      </c>
      <c r="AE211" s="29">
        <v>627</v>
      </c>
      <c r="AF211">
        <v>2213</v>
      </c>
      <c r="AG211">
        <v>57</v>
      </c>
      <c r="AH211">
        <v>143</v>
      </c>
    </row>
    <row r="212" spans="1:34" hidden="1">
      <c r="A212" s="40" t="s">
        <v>928</v>
      </c>
      <c r="B212" s="40">
        <v>635</v>
      </c>
      <c r="C212" s="40">
        <v>544</v>
      </c>
      <c r="D212" s="40">
        <v>394</v>
      </c>
      <c r="E212" s="40">
        <v>374</v>
      </c>
      <c r="F212" s="40">
        <v>247</v>
      </c>
      <c r="G212" s="40">
        <v>361</v>
      </c>
      <c r="H212" s="40">
        <v>1056</v>
      </c>
      <c r="I212" s="40">
        <v>749</v>
      </c>
      <c r="J212" s="40">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425</v>
      </c>
      <c r="AE212" s="29">
        <v>1753</v>
      </c>
      <c r="AF212">
        <v>6030</v>
      </c>
      <c r="AG212">
        <v>1659</v>
      </c>
      <c r="AH212">
        <v>4782</v>
      </c>
    </row>
    <row r="213" spans="1:34" hidden="1">
      <c r="A213" s="40" t="s">
        <v>105</v>
      </c>
      <c r="B213" s="40">
        <v>0</v>
      </c>
      <c r="C213" s="40">
        <v>639</v>
      </c>
      <c r="D213" s="40">
        <v>547</v>
      </c>
      <c r="E213" s="40">
        <v>724</v>
      </c>
      <c r="F213" s="40">
        <v>597</v>
      </c>
      <c r="G213" s="40">
        <v>623</v>
      </c>
      <c r="H213" s="40">
        <v>573</v>
      </c>
      <c r="I213" s="40">
        <v>591</v>
      </c>
      <c r="J213" s="40">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375</v>
      </c>
      <c r="AE213" s="29">
        <v>1376</v>
      </c>
      <c r="AF213">
        <v>6277</v>
      </c>
      <c r="AG213">
        <v>1364</v>
      </c>
      <c r="AH213">
        <v>5971</v>
      </c>
    </row>
    <row r="214" spans="1:34" hidden="1">
      <c r="A214" s="40" t="s">
        <v>249</v>
      </c>
      <c r="B214" s="40">
        <v>597</v>
      </c>
      <c r="C214" s="40">
        <v>557</v>
      </c>
      <c r="D214" s="40">
        <v>571</v>
      </c>
      <c r="E214" s="40">
        <v>571</v>
      </c>
      <c r="F214" s="40">
        <v>514</v>
      </c>
      <c r="G214" s="40">
        <v>590</v>
      </c>
      <c r="H214" s="40">
        <v>601</v>
      </c>
      <c r="I214" s="40">
        <v>587</v>
      </c>
      <c r="J214" s="40">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181</v>
      </c>
      <c r="AE214" s="29">
        <v>351</v>
      </c>
      <c r="AF214">
        <v>1660</v>
      </c>
      <c r="AG214">
        <v>871</v>
      </c>
      <c r="AH214">
        <v>2942</v>
      </c>
    </row>
    <row r="215" spans="1:34" hidden="1">
      <c r="A215" s="40" t="s">
        <v>111</v>
      </c>
      <c r="B215" s="40">
        <v>1712</v>
      </c>
      <c r="C215" s="40">
        <v>1625</v>
      </c>
      <c r="D215" s="40">
        <v>1508</v>
      </c>
      <c r="E215" s="40">
        <v>2088</v>
      </c>
      <c r="F215" s="40">
        <v>2519</v>
      </c>
      <c r="G215" s="40">
        <v>1783</v>
      </c>
      <c r="H215" s="40">
        <v>1946</v>
      </c>
      <c r="I215" s="40">
        <v>1727</v>
      </c>
      <c r="J215" s="40">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83</v>
      </c>
      <c r="AE215" s="29">
        <v>4617</v>
      </c>
      <c r="AF215">
        <v>30049</v>
      </c>
      <c r="AG215">
        <v>3650</v>
      </c>
      <c r="AH215">
        <v>25130</v>
      </c>
    </row>
    <row r="216" spans="1:34" hidden="1">
      <c r="A216" s="40" t="s">
        <v>413</v>
      </c>
      <c r="B216" s="40">
        <v>779</v>
      </c>
      <c r="C216" s="40">
        <v>580</v>
      </c>
      <c r="D216" s="40">
        <v>444</v>
      </c>
      <c r="E216" s="40">
        <v>479</v>
      </c>
      <c r="F216" s="40">
        <v>360</v>
      </c>
      <c r="G216" s="40">
        <v>449</v>
      </c>
      <c r="H216" s="40">
        <v>378</v>
      </c>
      <c r="I216" s="40">
        <v>741</v>
      </c>
      <c r="J216" s="40">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151</v>
      </c>
      <c r="AE216" s="29">
        <v>3350</v>
      </c>
      <c r="AF216">
        <v>13606</v>
      </c>
      <c r="AG216">
        <v>2931</v>
      </c>
      <c r="AH216">
        <v>11927</v>
      </c>
    </row>
    <row r="217" spans="1:34" hidden="1">
      <c r="A217" s="40" t="s">
        <v>519</v>
      </c>
      <c r="B217" s="40">
        <v>2633</v>
      </c>
      <c r="C217" s="40">
        <v>3011</v>
      </c>
      <c r="D217" s="40">
        <v>2255</v>
      </c>
      <c r="E217" s="40">
        <v>2706</v>
      </c>
      <c r="F217" s="40">
        <v>2629</v>
      </c>
      <c r="G217" s="40">
        <v>2994</v>
      </c>
      <c r="H217" s="40">
        <v>2355</v>
      </c>
      <c r="I217" s="40">
        <v>2124</v>
      </c>
      <c r="J217" s="40">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509</v>
      </c>
      <c r="AE217" s="29">
        <v>1866</v>
      </c>
      <c r="AF217">
        <v>6089</v>
      </c>
      <c r="AG217">
        <v>1815</v>
      </c>
      <c r="AH217">
        <v>6215</v>
      </c>
    </row>
    <row r="218" spans="1:34" hidden="1">
      <c r="A218" s="40" t="s">
        <v>16</v>
      </c>
      <c r="B218" s="40">
        <v>4738</v>
      </c>
      <c r="C218" s="40">
        <v>4476</v>
      </c>
      <c r="D218" s="40">
        <v>4408</v>
      </c>
      <c r="E218" s="40">
        <v>4991</v>
      </c>
      <c r="F218" s="40">
        <v>0</v>
      </c>
      <c r="G218" s="40">
        <v>18476</v>
      </c>
      <c r="H218" s="40">
        <v>4034</v>
      </c>
      <c r="I218" s="40">
        <v>12946</v>
      </c>
      <c r="J218" s="40">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87</v>
      </c>
      <c r="AE218" s="29">
        <v>1077</v>
      </c>
      <c r="AF218">
        <v>6667</v>
      </c>
      <c r="AG218">
        <v>881</v>
      </c>
      <c r="AH218">
        <v>8278</v>
      </c>
    </row>
    <row r="219" spans="1:34" hidden="1">
      <c r="A219" s="40" t="s">
        <v>753</v>
      </c>
      <c r="B219" s="40">
        <v>1830</v>
      </c>
      <c r="C219" s="40">
        <v>2841</v>
      </c>
      <c r="D219" s="40">
        <v>3914</v>
      </c>
      <c r="E219" s="40">
        <v>5183</v>
      </c>
      <c r="F219" s="40">
        <v>1988</v>
      </c>
      <c r="G219" s="40">
        <v>1740</v>
      </c>
      <c r="H219" s="40">
        <v>1307</v>
      </c>
      <c r="I219" s="40">
        <v>1032</v>
      </c>
      <c r="J219" s="40">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515</v>
      </c>
      <c r="AE219" s="29">
        <v>746</v>
      </c>
      <c r="AF219">
        <v>3743</v>
      </c>
      <c r="AH219">
        <v>0</v>
      </c>
    </row>
    <row r="220" spans="1:34" hidden="1">
      <c r="A220" s="40" t="s">
        <v>1122</v>
      </c>
      <c r="B220" s="40">
        <v>859</v>
      </c>
      <c r="C220" s="40">
        <v>993</v>
      </c>
      <c r="D220" s="40">
        <v>921</v>
      </c>
      <c r="E220" s="40">
        <v>1014</v>
      </c>
      <c r="F220" s="40">
        <v>985</v>
      </c>
      <c r="G220" s="40">
        <v>907</v>
      </c>
      <c r="H220" s="40">
        <v>1104</v>
      </c>
      <c r="I220" s="40">
        <v>1503</v>
      </c>
      <c r="J220" s="40">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59</v>
      </c>
      <c r="AE220" s="29">
        <v>1508</v>
      </c>
      <c r="AF220">
        <v>5344</v>
      </c>
      <c r="AG220">
        <v>1937</v>
      </c>
      <c r="AH220">
        <v>7566</v>
      </c>
    </row>
    <row r="221" spans="1:34" hidden="1">
      <c r="A221" s="40" t="s">
        <v>839</v>
      </c>
      <c r="B221" s="40">
        <v>0</v>
      </c>
      <c r="C221" s="40">
        <v>262</v>
      </c>
      <c r="D221" s="40">
        <v>1302</v>
      </c>
      <c r="E221" s="40">
        <v>1630</v>
      </c>
      <c r="F221" s="40">
        <v>1087</v>
      </c>
      <c r="G221" s="40">
        <v>967</v>
      </c>
      <c r="H221" s="40">
        <v>1199</v>
      </c>
      <c r="I221" s="40">
        <v>1971</v>
      </c>
      <c r="J221" s="40">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413</v>
      </c>
      <c r="AE221" s="29">
        <v>1031</v>
      </c>
      <c r="AF221">
        <v>2567</v>
      </c>
      <c r="AG221">
        <v>796</v>
      </c>
      <c r="AH221">
        <v>1997</v>
      </c>
    </row>
    <row r="222" spans="1:34" hidden="1">
      <c r="A222" s="40" t="s">
        <v>796</v>
      </c>
      <c r="B222" s="40">
        <v>2136</v>
      </c>
      <c r="C222" s="40">
        <v>2353</v>
      </c>
      <c r="D222" s="40">
        <v>1497</v>
      </c>
      <c r="E222" s="40">
        <v>1319</v>
      </c>
      <c r="F222" s="40">
        <v>1243</v>
      </c>
      <c r="G222" s="40">
        <v>1281</v>
      </c>
      <c r="H222" s="40">
        <v>1054</v>
      </c>
      <c r="I222" s="40">
        <v>1336</v>
      </c>
      <c r="J222" s="40">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507</v>
      </c>
      <c r="AE222" s="29">
        <v>4286</v>
      </c>
      <c r="AF222">
        <v>16357</v>
      </c>
      <c r="AG222">
        <v>4089</v>
      </c>
      <c r="AH222">
        <v>14561</v>
      </c>
    </row>
    <row r="223" spans="1:34" hidden="1">
      <c r="A223" s="40" t="s">
        <v>618</v>
      </c>
      <c r="B223" s="40">
        <v>1728</v>
      </c>
      <c r="C223" s="40">
        <v>813</v>
      </c>
      <c r="D223" s="40">
        <v>816</v>
      </c>
      <c r="E223" s="40">
        <v>1103</v>
      </c>
      <c r="F223" s="40">
        <v>891</v>
      </c>
      <c r="G223" s="40">
        <v>694</v>
      </c>
      <c r="H223" s="40">
        <v>648</v>
      </c>
      <c r="I223" s="40">
        <v>694</v>
      </c>
      <c r="J223" s="40">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445</v>
      </c>
      <c r="AE223" s="29">
        <v>5987</v>
      </c>
      <c r="AF223">
        <v>17769</v>
      </c>
      <c r="AG223">
        <v>4693</v>
      </c>
      <c r="AH223">
        <v>11762</v>
      </c>
    </row>
    <row r="224" spans="1:34" hidden="1">
      <c r="A224" s="40" t="s">
        <v>1219</v>
      </c>
      <c r="B224" s="40">
        <v>0</v>
      </c>
      <c r="C224" s="40">
        <v>0</v>
      </c>
      <c r="D224" s="40">
        <v>0</v>
      </c>
      <c r="E224" s="40">
        <v>0</v>
      </c>
      <c r="F224" s="40">
        <v>0</v>
      </c>
      <c r="G224" s="40">
        <v>0</v>
      </c>
      <c r="H224" s="40">
        <v>0</v>
      </c>
      <c r="I224" s="40">
        <v>0</v>
      </c>
      <c r="J224" s="40">
        <v>320</v>
      </c>
      <c r="K224">
        <v>1016</v>
      </c>
      <c r="L224">
        <v>435</v>
      </c>
      <c r="M224">
        <v>670</v>
      </c>
      <c r="N224">
        <v>683</v>
      </c>
      <c r="O224">
        <v>0</v>
      </c>
      <c r="P224">
        <v>0</v>
      </c>
      <c r="Q224">
        <v>0</v>
      </c>
      <c r="R224">
        <v>0</v>
      </c>
      <c r="S224">
        <v>0</v>
      </c>
      <c r="T224">
        <v>0</v>
      </c>
      <c r="U224">
        <v>0</v>
      </c>
      <c r="V224">
        <v>0</v>
      </c>
      <c r="W224">
        <v>91</v>
      </c>
      <c r="X224">
        <v>283</v>
      </c>
      <c r="Y224">
        <v>119</v>
      </c>
      <c r="Z224">
        <v>141</v>
      </c>
      <c r="AA224">
        <v>167</v>
      </c>
      <c r="AD224" t="s">
        <v>209</v>
      </c>
      <c r="AE224" s="29">
        <v>2067</v>
      </c>
      <c r="AF224">
        <v>8979</v>
      </c>
      <c r="AG224">
        <v>1894</v>
      </c>
      <c r="AH224">
        <v>6815</v>
      </c>
    </row>
    <row r="225" spans="1:34" hidden="1">
      <c r="A225" s="40" t="s">
        <v>600</v>
      </c>
      <c r="B225" s="40">
        <v>6790</v>
      </c>
      <c r="C225" s="40">
        <v>6625</v>
      </c>
      <c r="D225" s="40">
        <v>4246</v>
      </c>
      <c r="E225" s="40">
        <v>3787</v>
      </c>
      <c r="F225" s="40">
        <v>4239</v>
      </c>
      <c r="G225" s="40">
        <v>3515</v>
      </c>
      <c r="H225" s="40">
        <v>3929</v>
      </c>
      <c r="I225" s="40">
        <v>3313</v>
      </c>
      <c r="J225" s="40">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363</v>
      </c>
      <c r="AE225" s="29">
        <v>3090</v>
      </c>
      <c r="AF225">
        <v>13684</v>
      </c>
      <c r="AG225">
        <v>2906</v>
      </c>
      <c r="AH225">
        <v>11295</v>
      </c>
    </row>
    <row r="226" spans="1:34" hidden="1">
      <c r="A226" s="40" t="s">
        <v>1010</v>
      </c>
      <c r="B226" s="40">
        <v>1353</v>
      </c>
      <c r="C226" s="40">
        <v>1212</v>
      </c>
      <c r="D226" s="40">
        <v>1254</v>
      </c>
      <c r="E226" s="40">
        <v>1058</v>
      </c>
      <c r="F226" s="40">
        <v>1069</v>
      </c>
      <c r="G226" s="40">
        <v>992</v>
      </c>
      <c r="H226" s="40">
        <v>1002</v>
      </c>
      <c r="I226" s="40">
        <v>1015</v>
      </c>
      <c r="J226" s="40">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511</v>
      </c>
      <c r="AE226" s="29">
        <v>1664</v>
      </c>
      <c r="AF226">
        <v>9255</v>
      </c>
      <c r="AG226">
        <v>1604</v>
      </c>
      <c r="AH226">
        <v>7391</v>
      </c>
    </row>
    <row r="227" spans="1:34" hidden="1">
      <c r="A227" s="40" t="s">
        <v>703</v>
      </c>
      <c r="B227" s="40">
        <v>2428</v>
      </c>
      <c r="C227" s="40">
        <v>2992</v>
      </c>
      <c r="D227" s="40">
        <v>3055</v>
      </c>
      <c r="E227" s="40">
        <v>2948</v>
      </c>
      <c r="F227" s="40">
        <v>2517</v>
      </c>
      <c r="G227" s="40">
        <v>2548</v>
      </c>
      <c r="H227" s="40">
        <v>2539</v>
      </c>
      <c r="I227" s="40">
        <v>2879</v>
      </c>
      <c r="J227" s="40">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95</v>
      </c>
      <c r="AE227" s="29">
        <v>124</v>
      </c>
      <c r="AF227">
        <v>519</v>
      </c>
      <c r="AG227">
        <v>412</v>
      </c>
      <c r="AH227">
        <v>1805</v>
      </c>
    </row>
    <row r="228" spans="1:34" hidden="1">
      <c r="A228" s="40" t="s">
        <v>1220</v>
      </c>
      <c r="B228" s="40">
        <v>2330</v>
      </c>
      <c r="C228" s="40">
        <v>1555</v>
      </c>
      <c r="D228" s="40">
        <v>2367</v>
      </c>
      <c r="E228" s="40">
        <v>1074</v>
      </c>
      <c r="F228" s="40">
        <v>585</v>
      </c>
      <c r="G228" s="40">
        <v>770</v>
      </c>
      <c r="H228" s="40">
        <v>721</v>
      </c>
      <c r="I228" s="40">
        <v>685</v>
      </c>
      <c r="J228" s="40">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247</v>
      </c>
      <c r="AE228" s="29">
        <v>64</v>
      </c>
      <c r="AF228">
        <v>405</v>
      </c>
      <c r="AH228">
        <v>0</v>
      </c>
    </row>
    <row r="229" spans="1:34" hidden="1">
      <c r="A229" s="40" t="s">
        <v>972</v>
      </c>
      <c r="B229" s="40">
        <v>641</v>
      </c>
      <c r="C229" s="40">
        <v>615</v>
      </c>
      <c r="D229" s="40">
        <v>441</v>
      </c>
      <c r="E229" s="40">
        <v>252</v>
      </c>
      <c r="F229" s="40">
        <v>319</v>
      </c>
      <c r="G229" s="40">
        <v>283</v>
      </c>
      <c r="H229" s="40">
        <v>127</v>
      </c>
      <c r="I229" s="40">
        <v>344</v>
      </c>
      <c r="J229" s="40">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457</v>
      </c>
      <c r="AE229" s="29">
        <v>1664</v>
      </c>
      <c r="AF229">
        <v>6998</v>
      </c>
      <c r="AG229">
        <v>1595</v>
      </c>
      <c r="AH229">
        <v>6871</v>
      </c>
    </row>
    <row r="230" spans="1:34" hidden="1">
      <c r="A230" s="40" t="s">
        <v>1086</v>
      </c>
      <c r="B230" s="40">
        <v>1539</v>
      </c>
      <c r="C230" s="40">
        <v>925</v>
      </c>
      <c r="D230" s="40">
        <v>921</v>
      </c>
      <c r="E230" s="40">
        <v>740</v>
      </c>
      <c r="F230" s="40">
        <v>659</v>
      </c>
      <c r="G230" s="40">
        <v>582</v>
      </c>
      <c r="H230" s="40">
        <v>467</v>
      </c>
      <c r="I230" s="40">
        <v>616</v>
      </c>
      <c r="J230" s="40">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453</v>
      </c>
      <c r="AE230" s="29">
        <v>1145</v>
      </c>
      <c r="AF230">
        <v>5474</v>
      </c>
      <c r="AG230">
        <v>928</v>
      </c>
      <c r="AH230">
        <v>4468</v>
      </c>
    </row>
    <row r="231" spans="1:34" hidden="1">
      <c r="A231" s="40" t="s">
        <v>1047</v>
      </c>
      <c r="B231" s="40">
        <v>2507</v>
      </c>
      <c r="C231" s="40">
        <v>2195</v>
      </c>
      <c r="D231" s="40">
        <v>5543</v>
      </c>
      <c r="E231" s="40">
        <v>2949</v>
      </c>
      <c r="F231" s="40">
        <v>4757</v>
      </c>
      <c r="G231" s="40">
        <v>2710</v>
      </c>
      <c r="H231" s="40">
        <v>2773</v>
      </c>
      <c r="I231" s="40">
        <v>2627</v>
      </c>
      <c r="J231" s="40">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113</v>
      </c>
      <c r="AE231" s="29">
        <v>1134</v>
      </c>
      <c r="AF231">
        <v>6878</v>
      </c>
      <c r="AG231">
        <v>1112</v>
      </c>
      <c r="AH231">
        <v>6349</v>
      </c>
    </row>
    <row r="232" spans="1:34" hidden="1">
      <c r="A232" s="40" t="s">
        <v>1078</v>
      </c>
      <c r="B232" s="40">
        <v>1053</v>
      </c>
      <c r="C232" s="40">
        <v>1148</v>
      </c>
      <c r="D232" s="40">
        <v>826</v>
      </c>
      <c r="E232" s="40">
        <v>993</v>
      </c>
      <c r="F232" s="40">
        <v>685</v>
      </c>
      <c r="G232" s="40">
        <v>806</v>
      </c>
      <c r="H232" s="40">
        <v>602</v>
      </c>
      <c r="I232" s="40">
        <v>1053</v>
      </c>
      <c r="J232" s="40">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101</v>
      </c>
      <c r="AE232" s="29">
        <v>38</v>
      </c>
      <c r="AF232">
        <v>780</v>
      </c>
      <c r="AG232">
        <v>951</v>
      </c>
      <c r="AH232">
        <v>3312</v>
      </c>
    </row>
    <row r="233" spans="1:34" hidden="1">
      <c r="A233" s="40" t="s">
        <v>1128</v>
      </c>
      <c r="B233" s="40">
        <v>5762</v>
      </c>
      <c r="C233" s="40">
        <v>4959</v>
      </c>
      <c r="D233" s="40">
        <v>5692</v>
      </c>
      <c r="E233" s="40">
        <v>5409</v>
      </c>
      <c r="F233" s="40">
        <v>4892</v>
      </c>
      <c r="G233" s="40">
        <v>4067</v>
      </c>
      <c r="H233" s="40">
        <v>2818</v>
      </c>
      <c r="I233" s="40">
        <v>2952</v>
      </c>
      <c r="J233" s="40">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523</v>
      </c>
      <c r="AE233" s="29">
        <v>4242</v>
      </c>
      <c r="AF233">
        <v>16553</v>
      </c>
      <c r="AG233">
        <v>4087</v>
      </c>
      <c r="AH233">
        <v>16799</v>
      </c>
    </row>
    <row r="234" spans="1:34" hidden="1">
      <c r="A234" s="40" t="s">
        <v>924</v>
      </c>
      <c r="B234" s="40">
        <v>651</v>
      </c>
      <c r="C234" s="40">
        <v>722</v>
      </c>
      <c r="D234" s="40">
        <v>660</v>
      </c>
      <c r="E234" s="40">
        <v>708</v>
      </c>
      <c r="F234" s="40">
        <v>570</v>
      </c>
      <c r="G234" s="40">
        <v>553</v>
      </c>
      <c r="H234" s="40">
        <v>472</v>
      </c>
      <c r="I234" s="40">
        <v>615</v>
      </c>
      <c r="J234" s="40">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121</v>
      </c>
      <c r="AE234" s="29">
        <v>6399</v>
      </c>
      <c r="AF234">
        <v>28292</v>
      </c>
      <c r="AG234">
        <v>5244</v>
      </c>
      <c r="AH234">
        <v>21070</v>
      </c>
    </row>
    <row r="235" spans="1:34" hidden="1">
      <c r="A235" s="40" t="s">
        <v>1030</v>
      </c>
      <c r="B235" s="40">
        <v>981</v>
      </c>
      <c r="C235" s="40">
        <v>927</v>
      </c>
      <c r="D235" s="40">
        <v>872</v>
      </c>
      <c r="E235" s="40">
        <v>773</v>
      </c>
      <c r="F235" s="40">
        <v>884</v>
      </c>
      <c r="G235" s="40">
        <v>1202</v>
      </c>
      <c r="H235" s="40">
        <v>852</v>
      </c>
      <c r="I235" s="40">
        <v>1061</v>
      </c>
      <c r="J235" s="40">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135</v>
      </c>
      <c r="AE235" s="29">
        <v>18410</v>
      </c>
      <c r="AF235">
        <v>95635</v>
      </c>
      <c r="AG235">
        <v>15225</v>
      </c>
      <c r="AH235">
        <v>72670</v>
      </c>
    </row>
    <row r="236" spans="1:34" hidden="1">
      <c r="A236" s="40" t="s">
        <v>922</v>
      </c>
      <c r="B236" s="40">
        <v>1446</v>
      </c>
      <c r="C236" s="40">
        <v>1145</v>
      </c>
      <c r="D236" s="40">
        <v>785</v>
      </c>
      <c r="E236" s="40">
        <v>592</v>
      </c>
      <c r="F236" s="40">
        <v>634</v>
      </c>
      <c r="G236" s="40">
        <v>737</v>
      </c>
      <c r="H236" s="40">
        <v>690</v>
      </c>
      <c r="I236" s="40">
        <v>906</v>
      </c>
      <c r="J236" s="40">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895</v>
      </c>
      <c r="AE236" s="19">
        <v>7632</v>
      </c>
      <c r="AF236">
        <v>7844</v>
      </c>
      <c r="AG236">
        <v>5313</v>
      </c>
      <c r="AH236">
        <v>25511</v>
      </c>
    </row>
    <row r="237" spans="1:34" hidden="1">
      <c r="A237" s="40" t="s">
        <v>1026</v>
      </c>
      <c r="B237" s="40">
        <v>408</v>
      </c>
      <c r="C237" s="40">
        <v>0</v>
      </c>
      <c r="D237" s="40">
        <v>1257</v>
      </c>
      <c r="E237" s="40">
        <v>888</v>
      </c>
      <c r="F237" s="40">
        <v>826</v>
      </c>
      <c r="G237" s="40">
        <v>882</v>
      </c>
      <c r="H237" s="40">
        <v>725</v>
      </c>
      <c r="I237" s="40">
        <v>862</v>
      </c>
      <c r="J237" s="40">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600</v>
      </c>
      <c r="AE237" s="19">
        <v>3762</v>
      </c>
      <c r="AF237">
        <v>12737</v>
      </c>
      <c r="AG237">
        <v>3578</v>
      </c>
      <c r="AH237">
        <v>11786</v>
      </c>
    </row>
    <row r="238" spans="1:34" hidden="1">
      <c r="A238" s="40" t="s">
        <v>1098</v>
      </c>
      <c r="B238" s="40">
        <v>1417</v>
      </c>
      <c r="C238" s="40">
        <v>1243</v>
      </c>
      <c r="D238" s="40">
        <v>1246</v>
      </c>
      <c r="E238" s="40">
        <v>1187</v>
      </c>
      <c r="F238" s="40">
        <v>654</v>
      </c>
      <c r="G238" s="40">
        <v>666</v>
      </c>
      <c r="H238" s="40">
        <v>596</v>
      </c>
      <c r="I238" s="40">
        <v>553</v>
      </c>
      <c r="J238" s="40">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634</v>
      </c>
      <c r="AE238" s="19">
        <v>3048</v>
      </c>
      <c r="AF238">
        <v>13735</v>
      </c>
      <c r="AG238">
        <v>3102</v>
      </c>
      <c r="AH238">
        <v>13480</v>
      </c>
    </row>
    <row r="239" spans="1:34" hidden="1">
      <c r="A239" s="40" t="s">
        <v>1036</v>
      </c>
      <c r="B239" s="40">
        <v>0</v>
      </c>
      <c r="C239" s="40">
        <v>0</v>
      </c>
      <c r="D239" s="40">
        <v>0</v>
      </c>
      <c r="E239" s="40">
        <v>0</v>
      </c>
      <c r="F239" s="40">
        <v>0</v>
      </c>
      <c r="G239" s="40">
        <v>0</v>
      </c>
      <c r="H239" s="40">
        <v>0</v>
      </c>
      <c r="I239" s="40">
        <v>0</v>
      </c>
      <c r="J239" s="40">
        <v>96</v>
      </c>
      <c r="K239">
        <v>306</v>
      </c>
      <c r="L239">
        <v>290</v>
      </c>
      <c r="M239">
        <v>605</v>
      </c>
      <c r="N239">
        <v>930</v>
      </c>
      <c r="O239">
        <v>0</v>
      </c>
      <c r="P239">
        <v>0</v>
      </c>
      <c r="Q239">
        <v>0</v>
      </c>
      <c r="R239">
        <v>0</v>
      </c>
      <c r="S239">
        <v>0</v>
      </c>
      <c r="T239">
        <v>0</v>
      </c>
      <c r="U239">
        <v>0</v>
      </c>
      <c r="V239">
        <v>0</v>
      </c>
      <c r="W239">
        <v>33</v>
      </c>
      <c r="X239">
        <v>76</v>
      </c>
      <c r="Y239">
        <v>76</v>
      </c>
      <c r="Z239">
        <v>191</v>
      </c>
      <c r="AA239">
        <v>280</v>
      </c>
      <c r="AD239" t="s">
        <v>872</v>
      </c>
      <c r="AE239" s="19">
        <v>3637</v>
      </c>
      <c r="AF239">
        <v>12674</v>
      </c>
      <c r="AG239">
        <v>3318</v>
      </c>
      <c r="AH239">
        <v>12658</v>
      </c>
    </row>
    <row r="240" spans="1:34" hidden="1">
      <c r="A240" s="40" t="s">
        <v>1008</v>
      </c>
      <c r="B240" s="40">
        <v>1361</v>
      </c>
      <c r="C240" s="40">
        <v>1065</v>
      </c>
      <c r="D240" s="40">
        <v>1044</v>
      </c>
      <c r="E240" s="40">
        <v>1095</v>
      </c>
      <c r="F240" s="40">
        <v>1296</v>
      </c>
      <c r="G240" s="40">
        <v>920</v>
      </c>
      <c r="H240" s="40">
        <v>616</v>
      </c>
      <c r="I240" s="40">
        <v>591</v>
      </c>
      <c r="J240" s="40">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4" t="s">
        <v>891</v>
      </c>
      <c r="AE240" s="19">
        <v>4317</v>
      </c>
      <c r="AF240">
        <v>25101</v>
      </c>
      <c r="AG240">
        <v>3155</v>
      </c>
      <c r="AH240">
        <v>15732</v>
      </c>
    </row>
    <row r="241" spans="1:34" hidden="1">
      <c r="A241" s="40" t="s">
        <v>639</v>
      </c>
      <c r="B241" s="40">
        <v>557</v>
      </c>
      <c r="C241" s="40">
        <v>580</v>
      </c>
      <c r="D241" s="40">
        <v>483</v>
      </c>
      <c r="E241" s="40">
        <v>472</v>
      </c>
      <c r="F241" s="40">
        <v>709</v>
      </c>
      <c r="G241" s="40">
        <v>656</v>
      </c>
      <c r="H241" s="40">
        <v>715</v>
      </c>
      <c r="I241" s="40">
        <v>797</v>
      </c>
      <c r="J241" s="40">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703</v>
      </c>
      <c r="AE241" s="19">
        <v>5550</v>
      </c>
      <c r="AF241">
        <v>12512</v>
      </c>
      <c r="AG241">
        <v>5622</v>
      </c>
      <c r="AH241">
        <v>13227</v>
      </c>
    </row>
    <row r="242" spans="1:34" hidden="1">
      <c r="A242" s="40" t="s">
        <v>173</v>
      </c>
      <c r="B242" s="40">
        <v>1577</v>
      </c>
      <c r="C242" s="40">
        <v>1264</v>
      </c>
      <c r="D242" s="40">
        <v>1436</v>
      </c>
      <c r="E242" s="40">
        <v>1633</v>
      </c>
      <c r="F242" s="40">
        <v>1407</v>
      </c>
      <c r="G242" s="40">
        <v>2169</v>
      </c>
      <c r="H242" s="40">
        <v>1557</v>
      </c>
      <c r="I242" s="40">
        <v>1783</v>
      </c>
      <c r="J242" s="40">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598</v>
      </c>
      <c r="AE242" s="19">
        <v>972</v>
      </c>
      <c r="AF242">
        <v>5298</v>
      </c>
      <c r="AG242">
        <v>1185</v>
      </c>
      <c r="AH242">
        <v>5678</v>
      </c>
    </row>
    <row r="243" spans="1:34" hidden="1">
      <c r="A243" s="40" t="s">
        <v>461</v>
      </c>
      <c r="B243" s="40">
        <v>3284</v>
      </c>
      <c r="C243" s="40">
        <v>4751</v>
      </c>
      <c r="D243" s="40">
        <v>2584</v>
      </c>
      <c r="E243" s="40">
        <v>1839</v>
      </c>
      <c r="F243" s="40">
        <v>1830</v>
      </c>
      <c r="G243" s="40">
        <v>1937</v>
      </c>
      <c r="H243" s="40">
        <v>1357</v>
      </c>
      <c r="I243" s="40">
        <v>1615</v>
      </c>
      <c r="J243" s="40">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816</v>
      </c>
      <c r="AE243" s="19">
        <v>1894</v>
      </c>
      <c r="AF243">
        <v>4996</v>
      </c>
      <c r="AG243">
        <v>1618</v>
      </c>
      <c r="AH243">
        <v>4244</v>
      </c>
    </row>
    <row r="244" spans="1:34" hidden="1">
      <c r="A244" s="40" t="s">
        <v>189</v>
      </c>
      <c r="B244" s="40">
        <v>1110</v>
      </c>
      <c r="C244" s="40">
        <v>1155</v>
      </c>
      <c r="D244" s="40">
        <v>999</v>
      </c>
      <c r="E244" s="40">
        <v>915</v>
      </c>
      <c r="F244" s="40">
        <v>1005</v>
      </c>
      <c r="G244" s="40">
        <v>1661</v>
      </c>
      <c r="H244" s="40">
        <v>989</v>
      </c>
      <c r="I244" s="40">
        <v>1000</v>
      </c>
      <c r="J244" s="40">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708</v>
      </c>
      <c r="AE244" s="19">
        <v>2</v>
      </c>
      <c r="AF244">
        <v>13</v>
      </c>
      <c r="AG244">
        <v>1</v>
      </c>
      <c r="AH244">
        <v>14</v>
      </c>
    </row>
    <row r="245" spans="1:34" hidden="1">
      <c r="A245" s="40" t="s">
        <v>473</v>
      </c>
      <c r="B245" s="40">
        <v>1780</v>
      </c>
      <c r="C245" s="40">
        <v>1869</v>
      </c>
      <c r="D245" s="40">
        <v>1656</v>
      </c>
      <c r="E245" s="40">
        <v>1440</v>
      </c>
      <c r="F245" s="40">
        <v>1081</v>
      </c>
      <c r="G245" s="40">
        <v>1009</v>
      </c>
      <c r="H245" s="40">
        <v>981</v>
      </c>
      <c r="I245" s="40">
        <v>1397</v>
      </c>
      <c r="J245" s="40">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827</v>
      </c>
      <c r="AE245" s="19">
        <v>3398</v>
      </c>
      <c r="AF245">
        <v>8739</v>
      </c>
      <c r="AG245">
        <v>3242</v>
      </c>
      <c r="AH245">
        <v>7441</v>
      </c>
    </row>
    <row r="246" spans="1:34" hidden="1">
      <c r="A246" s="40" t="s">
        <v>517</v>
      </c>
      <c r="B246" s="40">
        <v>3612</v>
      </c>
      <c r="C246" s="40">
        <v>3948</v>
      </c>
      <c r="D246" s="40">
        <v>3511</v>
      </c>
      <c r="E246" s="40">
        <v>61</v>
      </c>
      <c r="F246" s="40">
        <v>10706</v>
      </c>
      <c r="G246" s="40">
        <v>6300</v>
      </c>
      <c r="H246" s="40">
        <v>2733</v>
      </c>
      <c r="I246" s="40">
        <v>2931</v>
      </c>
      <c r="J246" s="40">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594</v>
      </c>
      <c r="AE246" s="19">
        <v>5137</v>
      </c>
      <c r="AF246">
        <v>8651</v>
      </c>
      <c r="AG246">
        <v>4951</v>
      </c>
      <c r="AH246">
        <v>8352</v>
      </c>
    </row>
    <row r="247" spans="1:34" hidden="1">
      <c r="A247" s="40" t="s">
        <v>449</v>
      </c>
      <c r="B247" s="40">
        <v>2451</v>
      </c>
      <c r="C247" s="40">
        <v>3313</v>
      </c>
      <c r="D247" s="40">
        <v>1362</v>
      </c>
      <c r="E247" s="40">
        <v>1958</v>
      </c>
      <c r="F247" s="40">
        <v>1726</v>
      </c>
      <c r="G247" s="40">
        <v>1144</v>
      </c>
      <c r="H247" s="40">
        <v>1378</v>
      </c>
      <c r="I247" s="40">
        <v>1174</v>
      </c>
      <c r="J247" s="40">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808</v>
      </c>
      <c r="AE247" s="19">
        <v>711</v>
      </c>
      <c r="AF247">
        <v>1902</v>
      </c>
      <c r="AG247">
        <v>742</v>
      </c>
      <c r="AH247">
        <v>1678</v>
      </c>
    </row>
    <row r="248" spans="1:34" hidden="1">
      <c r="A248" s="40" t="s">
        <v>91</v>
      </c>
      <c r="B248" s="40">
        <v>1233</v>
      </c>
      <c r="C248" s="40">
        <v>1416</v>
      </c>
      <c r="D248" s="40">
        <v>1396</v>
      </c>
      <c r="E248" s="40">
        <v>1992</v>
      </c>
      <c r="F248" s="40">
        <v>1444</v>
      </c>
      <c r="G248" s="40">
        <v>1030</v>
      </c>
      <c r="H248" s="40">
        <v>1037</v>
      </c>
      <c r="I248" s="40">
        <v>1802</v>
      </c>
      <c r="J248" s="40">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806</v>
      </c>
      <c r="AE248" s="19">
        <v>2183</v>
      </c>
      <c r="AF248">
        <v>8750</v>
      </c>
      <c r="AG248">
        <v>2311</v>
      </c>
      <c r="AH248">
        <v>8895</v>
      </c>
    </row>
    <row r="249" spans="1:34" hidden="1">
      <c r="A249" s="40" t="s">
        <v>1112</v>
      </c>
      <c r="B249" s="40">
        <v>703</v>
      </c>
      <c r="C249" s="40">
        <v>542</v>
      </c>
      <c r="D249" s="40">
        <v>644</v>
      </c>
      <c r="E249" s="40">
        <v>682</v>
      </c>
      <c r="F249" s="40">
        <v>771</v>
      </c>
      <c r="G249" s="40">
        <v>775</v>
      </c>
      <c r="H249" s="40">
        <v>879</v>
      </c>
      <c r="I249" s="40">
        <v>731</v>
      </c>
      <c r="J249" s="40">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796</v>
      </c>
      <c r="AE249" s="19">
        <v>1995</v>
      </c>
      <c r="AF249">
        <v>6914</v>
      </c>
      <c r="AG249">
        <v>1664</v>
      </c>
      <c r="AH249">
        <v>5240</v>
      </c>
    </row>
    <row r="250" spans="1:34" hidden="1">
      <c r="A250" s="40" t="s">
        <v>853</v>
      </c>
      <c r="B250" s="40">
        <v>1663</v>
      </c>
      <c r="C250" s="40">
        <v>2104</v>
      </c>
      <c r="D250" s="40">
        <v>1680</v>
      </c>
      <c r="E250" s="40">
        <v>2200</v>
      </c>
      <c r="F250" s="40">
        <v>1696</v>
      </c>
      <c r="G250" s="40">
        <v>1276</v>
      </c>
      <c r="H250" s="40">
        <v>777</v>
      </c>
      <c r="I250" s="40">
        <v>609</v>
      </c>
      <c r="J250" s="40">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8" t="s">
        <v>861</v>
      </c>
      <c r="AE250" s="19">
        <v>1870</v>
      </c>
      <c r="AF250">
        <v>7749</v>
      </c>
      <c r="AG250">
        <v>1643</v>
      </c>
      <c r="AH250">
        <v>7204</v>
      </c>
    </row>
    <row r="251" spans="1:34" hidden="1">
      <c r="A251" s="40" t="s">
        <v>1049</v>
      </c>
      <c r="B251" s="40">
        <v>230</v>
      </c>
      <c r="C251" s="40">
        <v>222</v>
      </c>
      <c r="D251" s="40">
        <v>763</v>
      </c>
      <c r="E251" s="40">
        <v>688</v>
      </c>
      <c r="F251" s="40">
        <v>494</v>
      </c>
      <c r="G251" s="40">
        <v>492</v>
      </c>
      <c r="H251" s="40">
        <v>526</v>
      </c>
      <c r="I251" s="40">
        <v>726</v>
      </c>
      <c r="J251" s="40">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841</v>
      </c>
      <c r="AE251" s="19">
        <v>1727</v>
      </c>
      <c r="AF251">
        <v>4094</v>
      </c>
      <c r="AG251">
        <v>1618</v>
      </c>
      <c r="AH251">
        <v>3721</v>
      </c>
    </row>
    <row r="252" spans="1:34" hidden="1">
      <c r="A252" s="40" t="s">
        <v>1221</v>
      </c>
      <c r="B252" s="40">
        <v>128</v>
      </c>
      <c r="C252" s="40">
        <v>78</v>
      </c>
      <c r="D252" s="40">
        <v>65</v>
      </c>
      <c r="E252" s="40">
        <v>130</v>
      </c>
      <c r="F252" s="40">
        <v>99</v>
      </c>
      <c r="G252" s="40">
        <v>115</v>
      </c>
      <c r="H252" s="40">
        <v>164</v>
      </c>
      <c r="I252" s="40">
        <v>153</v>
      </c>
      <c r="J252" s="40">
        <v>63</v>
      </c>
      <c r="K252">
        <v>69</v>
      </c>
      <c r="L252">
        <v>130</v>
      </c>
      <c r="M252">
        <v>60</v>
      </c>
      <c r="N252">
        <v>102</v>
      </c>
      <c r="O252">
        <v>0</v>
      </c>
      <c r="P252">
        <v>0</v>
      </c>
      <c r="Q252">
        <v>0</v>
      </c>
      <c r="R252">
        <v>0</v>
      </c>
      <c r="S252">
        <v>0</v>
      </c>
      <c r="T252">
        <v>0</v>
      </c>
      <c r="U252">
        <v>0</v>
      </c>
      <c r="V252">
        <v>0</v>
      </c>
      <c r="W252">
        <v>0</v>
      </c>
      <c r="X252">
        <v>0</v>
      </c>
      <c r="Y252">
        <v>0</v>
      </c>
      <c r="Z252">
        <v>0</v>
      </c>
      <c r="AA252">
        <v>0</v>
      </c>
      <c r="AD252" t="s">
        <v>897</v>
      </c>
      <c r="AE252" s="19">
        <v>40373</v>
      </c>
      <c r="AF252">
        <v>136848</v>
      </c>
      <c r="AG252">
        <v>34307</v>
      </c>
      <c r="AH252">
        <v>108902</v>
      </c>
    </row>
    <row r="253" spans="1:34" hidden="1">
      <c r="A253" s="40" t="s">
        <v>1222</v>
      </c>
      <c r="B253" s="40">
        <v>66</v>
      </c>
      <c r="C253" s="40">
        <v>96</v>
      </c>
      <c r="D253" s="40">
        <v>90</v>
      </c>
      <c r="E253" s="40">
        <v>104</v>
      </c>
      <c r="F253" s="40">
        <v>99</v>
      </c>
      <c r="G253" s="40">
        <v>183</v>
      </c>
      <c r="H253" s="40">
        <v>113</v>
      </c>
      <c r="I253" s="40">
        <v>91</v>
      </c>
      <c r="J253" s="40">
        <v>51</v>
      </c>
      <c r="K253">
        <v>76</v>
      </c>
      <c r="L253">
        <v>76</v>
      </c>
      <c r="M253">
        <v>60</v>
      </c>
      <c r="N253">
        <v>68</v>
      </c>
      <c r="O253">
        <v>0</v>
      </c>
      <c r="P253">
        <v>0</v>
      </c>
      <c r="Q253">
        <v>0</v>
      </c>
      <c r="R253">
        <v>0</v>
      </c>
      <c r="S253">
        <v>0</v>
      </c>
      <c r="T253">
        <v>0</v>
      </c>
      <c r="U253">
        <v>0</v>
      </c>
      <c r="V253">
        <v>0</v>
      </c>
      <c r="W253">
        <v>0</v>
      </c>
      <c r="X253">
        <v>0</v>
      </c>
      <c r="Y253">
        <v>0</v>
      </c>
      <c r="Z253">
        <v>0</v>
      </c>
      <c r="AA253">
        <v>0</v>
      </c>
      <c r="AD253" t="s">
        <v>839</v>
      </c>
      <c r="AE253" s="19">
        <v>1614</v>
      </c>
      <c r="AF253">
        <v>5004</v>
      </c>
      <c r="AG253">
        <v>1873</v>
      </c>
      <c r="AH253">
        <v>5650</v>
      </c>
    </row>
    <row r="254" spans="1:34" hidden="1">
      <c r="A254" s="40" t="s">
        <v>1223</v>
      </c>
      <c r="B254" s="40">
        <v>249</v>
      </c>
      <c r="C254" s="40">
        <v>289</v>
      </c>
      <c r="D254" s="40">
        <v>262</v>
      </c>
      <c r="E254" s="40">
        <v>251</v>
      </c>
      <c r="F254" s="40">
        <v>279</v>
      </c>
      <c r="G254" s="40">
        <v>166</v>
      </c>
      <c r="H254" s="40">
        <v>128</v>
      </c>
      <c r="I254" s="40">
        <v>144</v>
      </c>
      <c r="J254" s="40">
        <v>118</v>
      </c>
      <c r="K254">
        <v>52</v>
      </c>
      <c r="L254">
        <v>82</v>
      </c>
      <c r="M254">
        <v>55</v>
      </c>
      <c r="N254">
        <v>59</v>
      </c>
      <c r="O254">
        <v>0</v>
      </c>
      <c r="P254">
        <v>0</v>
      </c>
      <c r="Q254">
        <v>0</v>
      </c>
      <c r="R254">
        <v>0</v>
      </c>
      <c r="S254">
        <v>0</v>
      </c>
      <c r="T254">
        <v>0</v>
      </c>
      <c r="U254">
        <v>0</v>
      </c>
      <c r="V254">
        <v>0</v>
      </c>
      <c r="W254">
        <v>0</v>
      </c>
      <c r="X254">
        <v>0</v>
      </c>
      <c r="Y254">
        <v>0</v>
      </c>
      <c r="Z254">
        <v>0</v>
      </c>
      <c r="AA254">
        <v>0</v>
      </c>
      <c r="AD254" t="s">
        <v>622</v>
      </c>
      <c r="AE254" s="19">
        <v>2721</v>
      </c>
      <c r="AF254">
        <v>7438</v>
      </c>
      <c r="AG254">
        <v>2794</v>
      </c>
      <c r="AH254">
        <v>7397</v>
      </c>
    </row>
    <row r="255" spans="1:34" hidden="1">
      <c r="A255" s="40" t="s">
        <v>781</v>
      </c>
      <c r="B255" s="40">
        <v>757</v>
      </c>
      <c r="C255" s="40">
        <v>792</v>
      </c>
      <c r="D255" s="40">
        <v>718</v>
      </c>
      <c r="E255" s="40">
        <v>777</v>
      </c>
      <c r="F255" s="40">
        <v>818</v>
      </c>
      <c r="G255" s="40">
        <v>763</v>
      </c>
      <c r="H255" s="40">
        <v>939</v>
      </c>
      <c r="I255" s="40">
        <v>613</v>
      </c>
      <c r="J255" s="40">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831</v>
      </c>
      <c r="AE255" s="19">
        <v>1207</v>
      </c>
      <c r="AF255">
        <v>3445</v>
      </c>
      <c r="AG255">
        <v>867</v>
      </c>
      <c r="AH255">
        <v>2558</v>
      </c>
    </row>
    <row r="256" spans="1:34" hidden="1">
      <c r="A256" s="40" t="s">
        <v>893</v>
      </c>
      <c r="B256" s="40">
        <v>0</v>
      </c>
      <c r="C256" s="40">
        <v>0</v>
      </c>
      <c r="D256" s="40">
        <v>0</v>
      </c>
      <c r="E256" s="40">
        <v>0</v>
      </c>
      <c r="F256" s="40">
        <v>0</v>
      </c>
      <c r="G256" s="40">
        <v>0</v>
      </c>
      <c r="H256" s="40">
        <v>0</v>
      </c>
      <c r="I256" s="40">
        <v>0</v>
      </c>
      <c r="J256" s="40">
        <v>18</v>
      </c>
      <c r="K256">
        <v>450</v>
      </c>
      <c r="L256">
        <v>539</v>
      </c>
      <c r="M256">
        <v>0</v>
      </c>
      <c r="N256">
        <v>630</v>
      </c>
      <c r="O256">
        <v>0</v>
      </c>
      <c r="P256">
        <v>0</v>
      </c>
      <c r="Q256">
        <v>0</v>
      </c>
      <c r="R256">
        <v>0</v>
      </c>
      <c r="S256">
        <v>0</v>
      </c>
      <c r="T256">
        <v>0</v>
      </c>
      <c r="U256">
        <v>0</v>
      </c>
      <c r="V256">
        <v>0</v>
      </c>
      <c r="W256">
        <v>0</v>
      </c>
      <c r="X256">
        <v>127</v>
      </c>
      <c r="Y256">
        <v>159</v>
      </c>
      <c r="Z256">
        <v>0</v>
      </c>
      <c r="AA256">
        <v>241</v>
      </c>
      <c r="AD256" s="38" t="s">
        <v>820</v>
      </c>
      <c r="AE256" s="19">
        <v>611</v>
      </c>
      <c r="AF256">
        <v>3692</v>
      </c>
      <c r="AG256">
        <v>699</v>
      </c>
      <c r="AH256">
        <v>3735</v>
      </c>
    </row>
    <row r="257" spans="1:34" hidden="1">
      <c r="A257" s="40" t="s">
        <v>1224</v>
      </c>
      <c r="B257" s="40">
        <v>415</v>
      </c>
      <c r="C257" s="40">
        <v>390</v>
      </c>
      <c r="D257" s="40">
        <v>389</v>
      </c>
      <c r="E257" s="40">
        <v>386</v>
      </c>
      <c r="F257" s="40">
        <v>247</v>
      </c>
      <c r="G257" s="40">
        <v>283</v>
      </c>
      <c r="H257" s="40">
        <v>275</v>
      </c>
      <c r="I257" s="40">
        <v>240</v>
      </c>
      <c r="J257" s="40">
        <v>132</v>
      </c>
      <c r="K257">
        <v>129</v>
      </c>
      <c r="L257">
        <v>130</v>
      </c>
      <c r="M257">
        <v>96</v>
      </c>
      <c r="N257">
        <v>181</v>
      </c>
      <c r="O257">
        <v>0</v>
      </c>
      <c r="P257">
        <v>0</v>
      </c>
      <c r="Q257">
        <v>0</v>
      </c>
      <c r="R257">
        <v>0</v>
      </c>
      <c r="S257">
        <v>0</v>
      </c>
      <c r="T257">
        <v>0</v>
      </c>
      <c r="U257">
        <v>0</v>
      </c>
      <c r="V257">
        <v>0</v>
      </c>
      <c r="W257">
        <v>0</v>
      </c>
      <c r="X257">
        <v>0</v>
      </c>
      <c r="Y257">
        <v>0</v>
      </c>
      <c r="Z257">
        <v>0</v>
      </c>
      <c r="AA257">
        <v>0</v>
      </c>
      <c r="AD257" t="s">
        <v>662</v>
      </c>
      <c r="AE257" s="19">
        <v>2751</v>
      </c>
      <c r="AF257">
        <v>6496</v>
      </c>
      <c r="AG257">
        <v>2353</v>
      </c>
      <c r="AH257">
        <v>5603</v>
      </c>
    </row>
    <row r="258" spans="1:34" hidden="1">
      <c r="A258" s="40" t="s">
        <v>695</v>
      </c>
      <c r="B258" s="40">
        <v>2526</v>
      </c>
      <c r="C258" s="40">
        <v>2812</v>
      </c>
      <c r="D258" s="40">
        <v>1885</v>
      </c>
      <c r="E258" s="40">
        <v>1859</v>
      </c>
      <c r="F258" s="40">
        <v>1363</v>
      </c>
      <c r="G258" s="40">
        <v>1537</v>
      </c>
      <c r="H258" s="40">
        <v>1028</v>
      </c>
      <c r="I258" s="40">
        <v>990</v>
      </c>
      <c r="J258" s="40">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9"/>
    </row>
    <row r="259" spans="1:34" hidden="1">
      <c r="A259" s="40" t="s">
        <v>662</v>
      </c>
      <c r="B259" s="40">
        <v>6506</v>
      </c>
      <c r="C259" s="40">
        <v>1653</v>
      </c>
      <c r="D259" s="40">
        <v>1706</v>
      </c>
      <c r="E259" s="40">
        <v>3416</v>
      </c>
      <c r="F259" s="40">
        <v>2077</v>
      </c>
      <c r="G259" s="40">
        <v>1490</v>
      </c>
      <c r="H259" s="40">
        <v>1556</v>
      </c>
      <c r="I259" s="40">
        <v>1335</v>
      </c>
      <c r="J259" s="40">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847</v>
      </c>
      <c r="AE259" s="19">
        <v>1005</v>
      </c>
      <c r="AF259">
        <v>2708</v>
      </c>
      <c r="AG259">
        <v>899</v>
      </c>
      <c r="AH259">
        <v>2439</v>
      </c>
    </row>
    <row r="260" spans="1:34" hidden="1">
      <c r="A260" s="40" t="s">
        <v>1225</v>
      </c>
      <c r="B260" s="40">
        <v>174</v>
      </c>
      <c r="C260" s="40">
        <v>135</v>
      </c>
      <c r="D260" s="40">
        <v>92</v>
      </c>
      <c r="E260" s="40">
        <v>87</v>
      </c>
      <c r="F260" s="40">
        <v>54</v>
      </c>
      <c r="G260" s="40">
        <v>58</v>
      </c>
      <c r="H260" s="40">
        <v>62</v>
      </c>
      <c r="I260" s="40">
        <v>54</v>
      </c>
      <c r="J260" s="40">
        <v>44</v>
      </c>
      <c r="K260">
        <v>42</v>
      </c>
      <c r="L260">
        <v>58</v>
      </c>
      <c r="M260">
        <v>59</v>
      </c>
      <c r="N260">
        <v>44</v>
      </c>
      <c r="O260">
        <v>0</v>
      </c>
      <c r="P260">
        <v>0</v>
      </c>
      <c r="Q260">
        <v>0</v>
      </c>
      <c r="R260">
        <v>0</v>
      </c>
      <c r="S260">
        <v>0</v>
      </c>
      <c r="T260">
        <v>0</v>
      </c>
      <c r="U260">
        <v>0</v>
      </c>
      <c r="V260">
        <v>0</v>
      </c>
      <c r="W260">
        <v>0</v>
      </c>
      <c r="X260">
        <v>0</v>
      </c>
      <c r="Y260">
        <v>0</v>
      </c>
      <c r="Z260">
        <v>0</v>
      </c>
      <c r="AA260">
        <v>0</v>
      </c>
      <c r="AD260" t="s">
        <v>712</v>
      </c>
      <c r="AE260" s="19">
        <v>1039</v>
      </c>
      <c r="AF260">
        <v>4619</v>
      </c>
      <c r="AG260">
        <v>1048</v>
      </c>
      <c r="AH260">
        <v>4768</v>
      </c>
    </row>
    <row r="261" spans="1:34" hidden="1">
      <c r="A261" s="40" t="s">
        <v>1226</v>
      </c>
      <c r="B261" s="40">
        <v>469</v>
      </c>
      <c r="C261" s="40">
        <v>547</v>
      </c>
      <c r="D261" s="40">
        <v>493</v>
      </c>
      <c r="E261" s="40">
        <v>532</v>
      </c>
      <c r="F261" s="40">
        <v>375</v>
      </c>
      <c r="G261" s="40">
        <v>375</v>
      </c>
      <c r="H261" s="40">
        <v>334</v>
      </c>
      <c r="I261" s="40">
        <v>408</v>
      </c>
      <c r="J261" s="40">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853</v>
      </c>
      <c r="AE261" s="19">
        <v>1195</v>
      </c>
      <c r="AF261">
        <v>4657</v>
      </c>
      <c r="AG261">
        <v>1234</v>
      </c>
      <c r="AH261">
        <v>5817</v>
      </c>
    </row>
    <row r="262" spans="1:34" hidden="1">
      <c r="A262" s="40" t="s">
        <v>745</v>
      </c>
      <c r="B262" s="40">
        <v>1174</v>
      </c>
      <c r="C262" s="40">
        <v>1444</v>
      </c>
      <c r="D262" s="40">
        <v>894</v>
      </c>
      <c r="E262" s="40">
        <v>634</v>
      </c>
      <c r="F262" s="40">
        <v>688</v>
      </c>
      <c r="G262" s="40">
        <v>950</v>
      </c>
      <c r="H262" s="40">
        <v>795</v>
      </c>
      <c r="I262" s="40">
        <v>1036</v>
      </c>
      <c r="J262" s="40">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673</v>
      </c>
      <c r="AE262" s="19">
        <v>2263</v>
      </c>
      <c r="AF262">
        <v>9919</v>
      </c>
      <c r="AG262">
        <v>1449</v>
      </c>
      <c r="AH262">
        <v>6933</v>
      </c>
    </row>
    <row r="263" spans="1:34" hidden="1">
      <c r="A263" s="40" t="s">
        <v>622</v>
      </c>
      <c r="B263" s="40">
        <v>2377</v>
      </c>
      <c r="C263" s="40">
        <v>2724</v>
      </c>
      <c r="D263" s="40">
        <v>2647</v>
      </c>
      <c r="E263" s="40">
        <v>2129</v>
      </c>
      <c r="F263" s="40">
        <v>1557</v>
      </c>
      <c r="G263" s="40">
        <v>2007</v>
      </c>
      <c r="H263" s="40">
        <v>1624</v>
      </c>
      <c r="I263" s="40">
        <v>1818</v>
      </c>
      <c r="J263" s="40">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877</v>
      </c>
      <c r="AE263" s="19">
        <v>2201</v>
      </c>
      <c r="AF263">
        <v>4203</v>
      </c>
      <c r="AG263">
        <v>2213</v>
      </c>
      <c r="AH263">
        <v>4449</v>
      </c>
    </row>
    <row r="264" spans="1:34" hidden="1">
      <c r="A264" s="40" t="s">
        <v>1104</v>
      </c>
      <c r="B264" s="40">
        <v>5506</v>
      </c>
      <c r="C264" s="40">
        <v>6106</v>
      </c>
      <c r="D264" s="40">
        <v>7999</v>
      </c>
      <c r="E264" s="40">
        <v>9107</v>
      </c>
      <c r="F264" s="40">
        <v>5073</v>
      </c>
      <c r="G264" s="40">
        <v>15811</v>
      </c>
      <c r="H264" s="40">
        <v>7910</v>
      </c>
      <c r="I264" s="40">
        <v>2182</v>
      </c>
      <c r="J264" s="40">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812</v>
      </c>
      <c r="AE264" s="19">
        <v>1667</v>
      </c>
      <c r="AF264">
        <v>5879</v>
      </c>
      <c r="AG264">
        <v>1562</v>
      </c>
      <c r="AH264">
        <v>5830</v>
      </c>
    </row>
    <row r="265" spans="1:34" hidden="1">
      <c r="A265" s="40" t="s">
        <v>1058</v>
      </c>
      <c r="B265" s="40">
        <v>542</v>
      </c>
      <c r="C265" s="40">
        <v>447</v>
      </c>
      <c r="D265" s="40">
        <v>282</v>
      </c>
      <c r="E265" s="40">
        <v>395</v>
      </c>
      <c r="F265" s="40">
        <v>247</v>
      </c>
      <c r="G265" s="40">
        <v>312</v>
      </c>
      <c r="H265" s="40">
        <v>1053</v>
      </c>
      <c r="I265" s="40">
        <v>318</v>
      </c>
      <c r="J265" s="40">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739</v>
      </c>
      <c r="AE265" s="19">
        <v>4039</v>
      </c>
      <c r="AF265">
        <v>7601</v>
      </c>
      <c r="AG265">
        <v>3609</v>
      </c>
      <c r="AH265">
        <v>6505</v>
      </c>
    </row>
    <row r="266" spans="1:34" hidden="1">
      <c r="A266" s="40" t="s">
        <v>897</v>
      </c>
      <c r="B266" s="40">
        <v>10487</v>
      </c>
      <c r="C266" s="40">
        <v>11096</v>
      </c>
      <c r="D266" s="40">
        <v>9969</v>
      </c>
      <c r="E266" s="40">
        <v>12032</v>
      </c>
      <c r="F266" s="40">
        <v>10029</v>
      </c>
      <c r="G266" s="40">
        <v>8746</v>
      </c>
      <c r="H266" s="40">
        <v>7125</v>
      </c>
      <c r="I266" s="40">
        <v>8281</v>
      </c>
      <c r="J266" s="40">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614</v>
      </c>
      <c r="AE266" s="19">
        <v>1372</v>
      </c>
      <c r="AF266">
        <v>4022</v>
      </c>
      <c r="AG266">
        <v>1251</v>
      </c>
      <c r="AH266">
        <v>3319</v>
      </c>
    </row>
    <row r="267" spans="1:34" hidden="1">
      <c r="A267" s="40" t="s">
        <v>177</v>
      </c>
      <c r="B267" s="40">
        <v>386</v>
      </c>
      <c r="C267" s="40">
        <v>647</v>
      </c>
      <c r="D267" s="40">
        <v>473</v>
      </c>
      <c r="E267" s="40">
        <v>454</v>
      </c>
      <c r="F267" s="40">
        <v>433</v>
      </c>
      <c r="G267" s="40">
        <v>448</v>
      </c>
      <c r="H267" s="40">
        <v>460</v>
      </c>
      <c r="I267" s="40">
        <v>491</v>
      </c>
      <c r="J267" s="40">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646</v>
      </c>
      <c r="AE267" s="19">
        <v>1220</v>
      </c>
      <c r="AF267">
        <v>3596</v>
      </c>
      <c r="AG267">
        <v>1315</v>
      </c>
      <c r="AH267">
        <v>3520</v>
      </c>
    </row>
    <row r="268" spans="1:34" hidden="1">
      <c r="A268" s="40" t="s">
        <v>1227</v>
      </c>
      <c r="B268" s="40">
        <v>445</v>
      </c>
      <c r="C268" s="40">
        <v>551</v>
      </c>
      <c r="D268" s="40">
        <v>534</v>
      </c>
      <c r="E268" s="40">
        <v>388</v>
      </c>
      <c r="F268" s="40">
        <v>262</v>
      </c>
      <c r="G268" s="40">
        <v>245</v>
      </c>
      <c r="H268" s="40">
        <v>228</v>
      </c>
      <c r="I268" s="40">
        <v>232</v>
      </c>
      <c r="J268" s="40">
        <v>134</v>
      </c>
      <c r="K268">
        <v>38</v>
      </c>
      <c r="L268">
        <v>0</v>
      </c>
      <c r="M268">
        <v>0</v>
      </c>
      <c r="N268">
        <v>0</v>
      </c>
      <c r="O268">
        <v>167</v>
      </c>
      <c r="P268">
        <v>239</v>
      </c>
      <c r="Q268">
        <v>240</v>
      </c>
      <c r="R268">
        <v>162</v>
      </c>
      <c r="S268">
        <v>123</v>
      </c>
      <c r="T268">
        <v>90</v>
      </c>
      <c r="U268">
        <v>96</v>
      </c>
      <c r="V268">
        <v>94</v>
      </c>
      <c r="W268">
        <v>50</v>
      </c>
      <c r="X268">
        <v>1</v>
      </c>
      <c r="Y268">
        <v>0</v>
      </c>
      <c r="Z268">
        <v>0</v>
      </c>
      <c r="AA268">
        <v>0</v>
      </c>
      <c r="AD268" t="s">
        <v>775</v>
      </c>
      <c r="AE268" s="19">
        <v>3</v>
      </c>
      <c r="AF268">
        <v>17</v>
      </c>
      <c r="AH268">
        <v>0</v>
      </c>
    </row>
    <row r="269" spans="1:34" hidden="1">
      <c r="A269" s="40" t="s">
        <v>1005</v>
      </c>
      <c r="B269" s="40">
        <v>567</v>
      </c>
      <c r="C269" s="40">
        <v>717</v>
      </c>
      <c r="D269" s="40">
        <v>613</v>
      </c>
      <c r="E269" s="40">
        <v>721</v>
      </c>
      <c r="F269" s="40">
        <v>711</v>
      </c>
      <c r="G269" s="40">
        <v>650</v>
      </c>
      <c r="H269" s="40">
        <v>795</v>
      </c>
      <c r="I269" s="40">
        <v>643</v>
      </c>
      <c r="J269" s="40">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9"/>
      <c r="AH269">
        <v>0</v>
      </c>
    </row>
    <row r="270" spans="1:34" hidden="1">
      <c r="A270" s="40" t="s">
        <v>1100</v>
      </c>
      <c r="B270" s="40">
        <v>776</v>
      </c>
      <c r="C270" s="40">
        <v>961</v>
      </c>
      <c r="D270" s="40">
        <v>1120</v>
      </c>
      <c r="E270" s="40">
        <v>2090</v>
      </c>
      <c r="F270" s="40">
        <v>1559</v>
      </c>
      <c r="G270" s="40">
        <v>1571</v>
      </c>
      <c r="H270" s="40">
        <v>1068</v>
      </c>
      <c r="I270" s="40">
        <v>1080</v>
      </c>
      <c r="J270" s="40">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8" t="s">
        <v>669</v>
      </c>
      <c r="AE270" s="19">
        <v>934</v>
      </c>
      <c r="AF270">
        <v>3630</v>
      </c>
      <c r="AG270">
        <v>1029</v>
      </c>
      <c r="AH270">
        <v>3531</v>
      </c>
    </row>
    <row r="271" spans="1:34" hidden="1">
      <c r="A271" s="40" t="s">
        <v>968</v>
      </c>
      <c r="B271" s="40">
        <v>1071</v>
      </c>
      <c r="C271" s="40">
        <v>848</v>
      </c>
      <c r="D271" s="40">
        <v>759</v>
      </c>
      <c r="E271" s="40">
        <v>3829</v>
      </c>
      <c r="F271" s="40">
        <v>15</v>
      </c>
      <c r="G271" s="40">
        <v>466</v>
      </c>
      <c r="H271" s="40">
        <v>114</v>
      </c>
      <c r="I271" s="40">
        <v>1150</v>
      </c>
      <c r="J271" s="40">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829</v>
      </c>
      <c r="AE271" s="19">
        <v>1303</v>
      </c>
      <c r="AF271">
        <v>3252</v>
      </c>
      <c r="AG271">
        <v>1070</v>
      </c>
      <c r="AH271">
        <v>2853</v>
      </c>
    </row>
    <row r="272" spans="1:34" hidden="1">
      <c r="A272" s="40" t="s">
        <v>1228</v>
      </c>
      <c r="B272" s="40">
        <v>0</v>
      </c>
      <c r="C272" s="40">
        <v>0</v>
      </c>
      <c r="D272" s="40">
        <v>0</v>
      </c>
      <c r="E272" s="40">
        <v>7</v>
      </c>
      <c r="F272" s="40">
        <v>127</v>
      </c>
      <c r="G272" s="40">
        <v>250</v>
      </c>
      <c r="H272" s="40">
        <v>317</v>
      </c>
      <c r="I272" s="40">
        <v>232</v>
      </c>
      <c r="J272" s="40">
        <v>152</v>
      </c>
      <c r="K272">
        <v>247</v>
      </c>
      <c r="L272">
        <v>175</v>
      </c>
      <c r="M272">
        <v>191</v>
      </c>
      <c r="N272">
        <v>365</v>
      </c>
      <c r="O272">
        <v>0</v>
      </c>
      <c r="P272">
        <v>0</v>
      </c>
      <c r="Q272">
        <v>0</v>
      </c>
      <c r="R272">
        <v>0</v>
      </c>
      <c r="S272">
        <v>22</v>
      </c>
      <c r="T272">
        <v>60</v>
      </c>
      <c r="U272">
        <v>93</v>
      </c>
      <c r="V272">
        <v>62</v>
      </c>
      <c r="W272">
        <v>43</v>
      </c>
      <c r="X272">
        <v>86</v>
      </c>
      <c r="Y272">
        <v>81</v>
      </c>
      <c r="Z272">
        <v>36</v>
      </c>
      <c r="AA272">
        <v>127</v>
      </c>
      <c r="AE272" s="19"/>
      <c r="AH272">
        <v>0</v>
      </c>
    </row>
    <row r="273" spans="1:34" hidden="1">
      <c r="A273" s="40" t="s">
        <v>1229</v>
      </c>
      <c r="B273" s="40">
        <v>0</v>
      </c>
      <c r="C273" s="40">
        <v>0</v>
      </c>
      <c r="D273" s="40">
        <v>0</v>
      </c>
      <c r="E273" s="40">
        <v>7</v>
      </c>
      <c r="F273" s="40">
        <v>78</v>
      </c>
      <c r="G273" s="40">
        <v>758</v>
      </c>
      <c r="H273" s="40">
        <v>617</v>
      </c>
      <c r="I273" s="40">
        <v>591</v>
      </c>
      <c r="J273" s="40">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779</v>
      </c>
      <c r="AE273" s="19">
        <v>706</v>
      </c>
      <c r="AF273">
        <v>2196</v>
      </c>
      <c r="AG273">
        <v>732</v>
      </c>
      <c r="AH273">
        <v>2397</v>
      </c>
    </row>
    <row r="274" spans="1:34" hidden="1">
      <c r="A274" s="40" t="s">
        <v>980</v>
      </c>
      <c r="B274" s="40">
        <v>1376</v>
      </c>
      <c r="C274" s="40">
        <v>1490</v>
      </c>
      <c r="D274" s="40">
        <v>1633</v>
      </c>
      <c r="E274" s="40">
        <v>2115</v>
      </c>
      <c r="F274" s="40">
        <v>2313</v>
      </c>
      <c r="G274" s="40">
        <v>2024</v>
      </c>
      <c r="H274" s="40">
        <v>1534</v>
      </c>
      <c r="I274" s="40">
        <v>1289</v>
      </c>
      <c r="J274" s="40">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648</v>
      </c>
      <c r="AE274" s="19">
        <v>995</v>
      </c>
      <c r="AF274">
        <v>2538</v>
      </c>
      <c r="AG274">
        <v>871</v>
      </c>
      <c r="AH274">
        <v>2270</v>
      </c>
    </row>
    <row r="275" spans="1:34" hidden="1">
      <c r="A275" s="40" t="s">
        <v>1067</v>
      </c>
      <c r="B275" s="40">
        <v>1494</v>
      </c>
      <c r="C275" s="40">
        <v>1532</v>
      </c>
      <c r="D275" s="40">
        <v>901</v>
      </c>
      <c r="E275" s="40">
        <v>903</v>
      </c>
      <c r="F275" s="40">
        <v>880</v>
      </c>
      <c r="G275" s="40">
        <v>537</v>
      </c>
      <c r="H275" s="40">
        <v>563</v>
      </c>
      <c r="I275" s="40">
        <v>485</v>
      </c>
      <c r="J275" s="40">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893</v>
      </c>
      <c r="AE275" s="19">
        <v>942</v>
      </c>
      <c r="AF275">
        <v>2473</v>
      </c>
      <c r="AG275">
        <v>937</v>
      </c>
      <c r="AH275">
        <v>2832</v>
      </c>
    </row>
    <row r="276" spans="1:34" hidden="1">
      <c r="A276" s="40" t="s">
        <v>1038</v>
      </c>
      <c r="B276" s="40">
        <v>1023</v>
      </c>
      <c r="C276" s="40">
        <v>1283</v>
      </c>
      <c r="D276" s="40">
        <v>920</v>
      </c>
      <c r="E276" s="40">
        <v>1123</v>
      </c>
      <c r="F276" s="40">
        <v>615</v>
      </c>
      <c r="G276" s="40">
        <v>941</v>
      </c>
      <c r="H276" s="40">
        <v>626</v>
      </c>
      <c r="I276" s="40">
        <v>624</v>
      </c>
      <c r="J276" s="40">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761</v>
      </c>
      <c r="AE276" s="19">
        <v>697</v>
      </c>
      <c r="AF276">
        <v>1674</v>
      </c>
      <c r="AG276">
        <v>655</v>
      </c>
      <c r="AH276">
        <v>1477</v>
      </c>
    </row>
    <row r="277" spans="1:34" hidden="1">
      <c r="A277" s="40" t="s">
        <v>1014</v>
      </c>
      <c r="B277" s="40">
        <v>377</v>
      </c>
      <c r="C277" s="40">
        <v>285</v>
      </c>
      <c r="D277" s="40">
        <v>264</v>
      </c>
      <c r="E277" s="40">
        <v>244</v>
      </c>
      <c r="F277" s="40">
        <v>128</v>
      </c>
      <c r="G277" s="40">
        <v>161</v>
      </c>
      <c r="H277" s="40">
        <v>152</v>
      </c>
      <c r="I277" s="40">
        <v>126</v>
      </c>
      <c r="J277" s="40">
        <v>96</v>
      </c>
      <c r="K277">
        <v>64</v>
      </c>
      <c r="L277">
        <v>65</v>
      </c>
      <c r="M277">
        <v>50</v>
      </c>
      <c r="N277">
        <v>0</v>
      </c>
      <c r="O277">
        <v>125</v>
      </c>
      <c r="P277">
        <v>93</v>
      </c>
      <c r="Q277">
        <v>57</v>
      </c>
      <c r="R277">
        <v>87</v>
      </c>
      <c r="S277">
        <v>53</v>
      </c>
      <c r="T277">
        <v>79</v>
      </c>
      <c r="U277">
        <v>81</v>
      </c>
      <c r="V277">
        <v>52</v>
      </c>
      <c r="W277">
        <v>43</v>
      </c>
      <c r="X277">
        <v>47</v>
      </c>
      <c r="Y277">
        <v>42</v>
      </c>
      <c r="Z277">
        <v>35</v>
      </c>
      <c r="AA277">
        <v>1</v>
      </c>
      <c r="AE277" s="19"/>
      <c r="AH277">
        <v>0</v>
      </c>
    </row>
    <row r="278" spans="1:34" hidden="1">
      <c r="A278" s="40" t="s">
        <v>1084</v>
      </c>
      <c r="B278" s="40">
        <v>3171</v>
      </c>
      <c r="C278" s="40">
        <v>4127</v>
      </c>
      <c r="D278" s="40">
        <v>3524</v>
      </c>
      <c r="E278" s="40">
        <v>3184</v>
      </c>
      <c r="F278" s="40">
        <v>2090</v>
      </c>
      <c r="G278" s="40">
        <v>2207</v>
      </c>
      <c r="H278" s="40">
        <v>2204</v>
      </c>
      <c r="I278" s="40">
        <v>1840</v>
      </c>
      <c r="J278" s="40">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790</v>
      </c>
      <c r="AE278" s="19">
        <v>1841</v>
      </c>
      <c r="AF278">
        <v>5613</v>
      </c>
      <c r="AG278">
        <v>1598</v>
      </c>
      <c r="AH278">
        <v>4088</v>
      </c>
    </row>
    <row r="279" spans="1:34" hidden="1">
      <c r="A279" s="40" t="s">
        <v>936</v>
      </c>
      <c r="B279" s="40">
        <v>2072</v>
      </c>
      <c r="C279" s="40">
        <v>1791</v>
      </c>
      <c r="D279" s="40">
        <v>1421</v>
      </c>
      <c r="E279" s="40">
        <v>1912</v>
      </c>
      <c r="F279" s="40">
        <v>1584</v>
      </c>
      <c r="G279" s="40">
        <v>1583</v>
      </c>
      <c r="H279" s="40">
        <v>1623</v>
      </c>
      <c r="I279" s="40">
        <v>1306</v>
      </c>
      <c r="J279" s="40">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9"/>
      <c r="AH279">
        <v>0</v>
      </c>
    </row>
    <row r="280" spans="1:34" hidden="1">
      <c r="A280" s="40" t="s">
        <v>1230</v>
      </c>
      <c r="B280" s="40">
        <v>187</v>
      </c>
      <c r="C280" s="40">
        <v>195</v>
      </c>
      <c r="D280" s="40">
        <v>162</v>
      </c>
      <c r="E280" s="40">
        <v>91</v>
      </c>
      <c r="F280" s="40">
        <v>296</v>
      </c>
      <c r="G280" s="40">
        <v>376</v>
      </c>
      <c r="H280" s="40">
        <v>287</v>
      </c>
      <c r="I280" s="40">
        <v>274</v>
      </c>
      <c r="J280" s="40">
        <v>175</v>
      </c>
      <c r="K280">
        <v>139</v>
      </c>
      <c r="L280">
        <v>142</v>
      </c>
      <c r="M280">
        <v>137</v>
      </c>
      <c r="N280">
        <v>269</v>
      </c>
      <c r="O280">
        <v>0</v>
      </c>
      <c r="P280">
        <v>0</v>
      </c>
      <c r="Q280">
        <v>0</v>
      </c>
      <c r="R280">
        <v>0</v>
      </c>
      <c r="S280">
        <v>0</v>
      </c>
      <c r="T280">
        <v>0</v>
      </c>
      <c r="U280">
        <v>0</v>
      </c>
      <c r="V280">
        <v>0</v>
      </c>
      <c r="W280">
        <v>0</v>
      </c>
      <c r="X280">
        <v>0</v>
      </c>
      <c r="Y280">
        <v>0</v>
      </c>
      <c r="Z280">
        <v>0</v>
      </c>
      <c r="AA280">
        <v>0</v>
      </c>
      <c r="AD280" t="s">
        <v>618</v>
      </c>
      <c r="AE280" s="19">
        <v>337</v>
      </c>
      <c r="AF280">
        <v>1555</v>
      </c>
      <c r="AG280">
        <v>605</v>
      </c>
      <c r="AH280">
        <v>2345</v>
      </c>
    </row>
    <row r="281" spans="1:34" hidden="1">
      <c r="A281" s="40" t="s">
        <v>293</v>
      </c>
      <c r="B281" s="40">
        <v>3502</v>
      </c>
      <c r="C281" s="40">
        <v>2908</v>
      </c>
      <c r="D281" s="40">
        <v>1916</v>
      </c>
      <c r="E281" s="40">
        <v>1345</v>
      </c>
      <c r="F281" s="40">
        <v>1184</v>
      </c>
      <c r="G281" s="40">
        <v>1013</v>
      </c>
      <c r="H281" s="40">
        <v>922</v>
      </c>
      <c r="I281" s="40">
        <v>1373</v>
      </c>
      <c r="J281" s="40">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683</v>
      </c>
      <c r="AE281" s="19">
        <v>456</v>
      </c>
      <c r="AF281">
        <v>1042</v>
      </c>
      <c r="AG281">
        <v>409</v>
      </c>
      <c r="AH281">
        <v>1124</v>
      </c>
    </row>
    <row r="282" spans="1:34" hidden="1">
      <c r="A282" s="40" t="s">
        <v>297</v>
      </c>
      <c r="B282" s="40">
        <v>955</v>
      </c>
      <c r="C282" s="40">
        <v>925</v>
      </c>
      <c r="D282" s="40">
        <v>790</v>
      </c>
      <c r="E282" s="40">
        <v>789</v>
      </c>
      <c r="F282" s="40">
        <v>679</v>
      </c>
      <c r="G282" s="40">
        <v>900</v>
      </c>
      <c r="H282" s="40">
        <v>740</v>
      </c>
      <c r="I282" s="40">
        <v>672</v>
      </c>
      <c r="J282" s="40">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718</v>
      </c>
      <c r="AE282" s="19">
        <v>1330</v>
      </c>
      <c r="AF282">
        <v>3293</v>
      </c>
      <c r="AG282">
        <v>1483</v>
      </c>
      <c r="AH282">
        <v>4447</v>
      </c>
    </row>
    <row r="283" spans="1:34" hidden="1">
      <c r="A283" s="40" t="s">
        <v>101</v>
      </c>
      <c r="B283" s="40">
        <v>926</v>
      </c>
      <c r="C283" s="40">
        <v>1037</v>
      </c>
      <c r="D283" s="40">
        <v>1105</v>
      </c>
      <c r="E283" s="40">
        <v>1299</v>
      </c>
      <c r="F283" s="40">
        <v>1069</v>
      </c>
      <c r="G283" s="40">
        <v>1267</v>
      </c>
      <c r="H283" s="40">
        <v>832</v>
      </c>
      <c r="I283" s="40">
        <v>1225</v>
      </c>
      <c r="J283" s="40">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800</v>
      </c>
      <c r="AE283" s="19">
        <v>736</v>
      </c>
      <c r="AF283">
        <v>3441</v>
      </c>
      <c r="AG283">
        <v>727</v>
      </c>
      <c r="AH283">
        <v>3537</v>
      </c>
    </row>
    <row r="284" spans="1:34" hidden="1">
      <c r="A284" s="40" t="s">
        <v>509</v>
      </c>
      <c r="B284" s="40">
        <v>3641</v>
      </c>
      <c r="C284" s="40">
        <v>2735</v>
      </c>
      <c r="D284" s="40">
        <v>3567</v>
      </c>
      <c r="E284" s="40">
        <v>2779</v>
      </c>
      <c r="F284" s="40">
        <v>2881</v>
      </c>
      <c r="G284" s="40">
        <v>2559</v>
      </c>
      <c r="H284" s="40">
        <v>2501</v>
      </c>
      <c r="I284" s="40">
        <v>2075</v>
      </c>
      <c r="J284" s="40">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9"/>
      <c r="AH284">
        <v>0</v>
      </c>
    </row>
    <row r="285" spans="1:34" hidden="1">
      <c r="A285" s="40" t="s">
        <v>213</v>
      </c>
      <c r="B285" s="40">
        <v>1513</v>
      </c>
      <c r="C285" s="40">
        <v>1383</v>
      </c>
      <c r="D285" s="40">
        <v>1814</v>
      </c>
      <c r="E285" s="40">
        <v>2238</v>
      </c>
      <c r="F285" s="40">
        <v>1732</v>
      </c>
      <c r="G285" s="40">
        <v>1325</v>
      </c>
      <c r="H285" s="40">
        <v>1186</v>
      </c>
      <c r="I285" s="40">
        <v>5017</v>
      </c>
      <c r="J285" s="40">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8" t="s">
        <v>642</v>
      </c>
      <c r="AE285" s="19">
        <v>1391</v>
      </c>
      <c r="AF285">
        <v>4065</v>
      </c>
      <c r="AG285">
        <v>1341</v>
      </c>
      <c r="AH285">
        <v>3689</v>
      </c>
    </row>
    <row r="286" spans="1:34" hidden="1">
      <c r="A286" s="40" t="s">
        <v>399</v>
      </c>
      <c r="B286" s="40">
        <v>3781</v>
      </c>
      <c r="C286" s="40">
        <v>2038</v>
      </c>
      <c r="D286" s="40">
        <v>5905</v>
      </c>
      <c r="E286" s="40">
        <v>1004</v>
      </c>
      <c r="F286" s="40">
        <v>817</v>
      </c>
      <c r="G286" s="40">
        <v>984</v>
      </c>
      <c r="H286" s="40">
        <v>795</v>
      </c>
      <c r="I286" s="40">
        <v>1122</v>
      </c>
      <c r="J286" s="40">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863</v>
      </c>
      <c r="AE286" s="19">
        <v>1388</v>
      </c>
      <c r="AF286">
        <v>3467</v>
      </c>
      <c r="AG286">
        <v>1360</v>
      </c>
      <c r="AH286">
        <v>3409</v>
      </c>
    </row>
    <row r="287" spans="1:34" hidden="1">
      <c r="A287" s="40" t="s">
        <v>435</v>
      </c>
      <c r="B287" s="40">
        <v>2591</v>
      </c>
      <c r="C287" s="40">
        <v>5074</v>
      </c>
      <c r="D287" s="40">
        <v>3286</v>
      </c>
      <c r="E287" s="40">
        <v>4622</v>
      </c>
      <c r="F287" s="40">
        <v>4504</v>
      </c>
      <c r="G287" s="40">
        <v>2900</v>
      </c>
      <c r="H287" s="40">
        <v>1937</v>
      </c>
      <c r="I287" s="40">
        <v>2049</v>
      </c>
      <c r="J287" s="40">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8" t="s">
        <v>716</v>
      </c>
      <c r="AE287" s="19">
        <v>2475</v>
      </c>
      <c r="AF287">
        <v>7874</v>
      </c>
      <c r="AG287">
        <v>3017</v>
      </c>
      <c r="AH287">
        <v>9520</v>
      </c>
    </row>
    <row r="288" spans="1:34" hidden="1">
      <c r="A288" s="40" t="s">
        <v>235</v>
      </c>
      <c r="B288" s="40">
        <v>0</v>
      </c>
      <c r="C288" s="40">
        <v>0</v>
      </c>
      <c r="D288" s="40">
        <v>0</v>
      </c>
      <c r="E288" s="40">
        <v>0</v>
      </c>
      <c r="F288" s="40">
        <v>0</v>
      </c>
      <c r="G288" s="40">
        <v>0</v>
      </c>
      <c r="H288" s="40">
        <v>44</v>
      </c>
      <c r="I288" s="40">
        <v>357</v>
      </c>
      <c r="J288" s="40">
        <v>1127</v>
      </c>
      <c r="K288">
        <v>1177</v>
      </c>
      <c r="L288">
        <v>707</v>
      </c>
      <c r="M288">
        <v>531</v>
      </c>
      <c r="N288">
        <v>704</v>
      </c>
      <c r="O288">
        <v>0</v>
      </c>
      <c r="P288">
        <v>0</v>
      </c>
      <c r="Q288">
        <v>0</v>
      </c>
      <c r="R288">
        <v>0</v>
      </c>
      <c r="S288">
        <v>0</v>
      </c>
      <c r="T288">
        <v>0</v>
      </c>
      <c r="U288">
        <v>1</v>
      </c>
      <c r="V288">
        <v>40</v>
      </c>
      <c r="W288">
        <v>101</v>
      </c>
      <c r="X288">
        <v>130</v>
      </c>
      <c r="Y288">
        <v>104</v>
      </c>
      <c r="Z288">
        <v>63</v>
      </c>
      <c r="AA288">
        <v>101</v>
      </c>
      <c r="AE288" s="19"/>
      <c r="AH288">
        <v>0</v>
      </c>
    </row>
    <row r="289" spans="1:34" hidden="1">
      <c r="A289" s="40" t="s">
        <v>926</v>
      </c>
      <c r="B289" s="40">
        <v>0</v>
      </c>
      <c r="C289" s="40">
        <v>0</v>
      </c>
      <c r="D289" s="40">
        <v>0</v>
      </c>
      <c r="E289" s="40">
        <v>0</v>
      </c>
      <c r="F289" s="40">
        <v>0</v>
      </c>
      <c r="G289" s="40">
        <v>0</v>
      </c>
      <c r="H289" s="40">
        <v>0</v>
      </c>
      <c r="I289" s="40">
        <v>0</v>
      </c>
      <c r="J289" s="40">
        <v>2</v>
      </c>
      <c r="K289">
        <v>203</v>
      </c>
      <c r="L289">
        <v>248</v>
      </c>
      <c r="M289">
        <v>614</v>
      </c>
      <c r="N289">
        <v>482</v>
      </c>
      <c r="O289">
        <v>0</v>
      </c>
      <c r="P289">
        <v>0</v>
      </c>
      <c r="Q289">
        <v>0</v>
      </c>
      <c r="R289">
        <v>0</v>
      </c>
      <c r="S289">
        <v>0</v>
      </c>
      <c r="T289">
        <v>0</v>
      </c>
      <c r="U289">
        <v>0</v>
      </c>
      <c r="V289">
        <v>0</v>
      </c>
      <c r="W289">
        <v>0</v>
      </c>
      <c r="X289">
        <v>89</v>
      </c>
      <c r="Y289">
        <v>52</v>
      </c>
      <c r="Z289">
        <v>106</v>
      </c>
      <c r="AA289">
        <v>93</v>
      </c>
      <c r="AD289" t="s">
        <v>606</v>
      </c>
      <c r="AE289" s="19">
        <v>2459</v>
      </c>
      <c r="AF289">
        <v>6009</v>
      </c>
      <c r="AG289">
        <v>935</v>
      </c>
      <c r="AH289">
        <v>3880</v>
      </c>
    </row>
    <row r="290" spans="1:34" hidden="1">
      <c r="A290" s="40" t="s">
        <v>1045</v>
      </c>
      <c r="B290" s="40">
        <v>1239</v>
      </c>
      <c r="C290" s="40">
        <v>1186</v>
      </c>
      <c r="D290" s="40">
        <v>1067</v>
      </c>
      <c r="E290" s="40">
        <v>1047</v>
      </c>
      <c r="F290" s="40">
        <v>773</v>
      </c>
      <c r="G290" s="40">
        <v>930</v>
      </c>
      <c r="H290" s="40">
        <v>776</v>
      </c>
      <c r="I290" s="40">
        <v>897</v>
      </c>
      <c r="J290" s="40">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650</v>
      </c>
      <c r="AE290" s="19">
        <v>1983</v>
      </c>
      <c r="AF290">
        <v>4570</v>
      </c>
      <c r="AG290">
        <v>2077</v>
      </c>
      <c r="AH290">
        <v>5047</v>
      </c>
    </row>
    <row r="291" spans="1:34" hidden="1">
      <c r="A291" s="40" t="s">
        <v>1003</v>
      </c>
      <c r="B291" s="40">
        <v>797</v>
      </c>
      <c r="C291" s="40">
        <v>765</v>
      </c>
      <c r="D291" s="40">
        <v>729</v>
      </c>
      <c r="E291" s="40">
        <v>1009</v>
      </c>
      <c r="F291" s="40">
        <v>1347</v>
      </c>
      <c r="G291" s="40">
        <v>818</v>
      </c>
      <c r="H291" s="40">
        <v>567</v>
      </c>
      <c r="I291" s="40">
        <v>633</v>
      </c>
      <c r="J291" s="40">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879</v>
      </c>
      <c r="AE291" s="19">
        <v>957</v>
      </c>
      <c r="AF291">
        <v>2138</v>
      </c>
      <c r="AG291">
        <v>828</v>
      </c>
      <c r="AH291">
        <v>1666</v>
      </c>
    </row>
    <row r="292" spans="1:34" hidden="1">
      <c r="A292" s="40" t="s">
        <v>1051</v>
      </c>
      <c r="B292" s="40">
        <v>0</v>
      </c>
      <c r="C292" s="40">
        <v>296</v>
      </c>
      <c r="D292" s="40">
        <v>624</v>
      </c>
      <c r="E292" s="40">
        <v>1056</v>
      </c>
      <c r="F292" s="40">
        <v>1062</v>
      </c>
      <c r="G292" s="40">
        <v>1368</v>
      </c>
      <c r="H292" s="40">
        <v>1293</v>
      </c>
      <c r="I292" s="40">
        <v>2189</v>
      </c>
      <c r="J292" s="40">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9"/>
      <c r="AH292">
        <v>0</v>
      </c>
    </row>
    <row r="293" spans="1:34" hidden="1">
      <c r="A293" s="40" t="s">
        <v>934</v>
      </c>
      <c r="B293" s="40">
        <v>636</v>
      </c>
      <c r="C293" s="40">
        <v>662</v>
      </c>
      <c r="D293" s="40">
        <v>750</v>
      </c>
      <c r="E293" s="40">
        <v>974</v>
      </c>
      <c r="F293" s="40">
        <v>821</v>
      </c>
      <c r="G293" s="40">
        <v>70</v>
      </c>
      <c r="H293" s="40">
        <v>0</v>
      </c>
      <c r="I293" s="40">
        <v>755</v>
      </c>
      <c r="J293" s="40">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9"/>
      <c r="AH293">
        <v>0</v>
      </c>
    </row>
    <row r="294" spans="1:34" hidden="1">
      <c r="A294" s="40" t="s">
        <v>1088</v>
      </c>
      <c r="B294" s="40">
        <v>0</v>
      </c>
      <c r="C294" s="40">
        <v>905</v>
      </c>
      <c r="D294" s="40">
        <v>885</v>
      </c>
      <c r="E294" s="40">
        <v>1682</v>
      </c>
      <c r="F294" s="40">
        <v>1578</v>
      </c>
      <c r="G294" s="40">
        <v>1430</v>
      </c>
      <c r="H294" s="40">
        <v>1500</v>
      </c>
      <c r="I294" s="40">
        <v>1252</v>
      </c>
      <c r="J294" s="40">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724</v>
      </c>
      <c r="AE294" s="19">
        <v>671</v>
      </c>
      <c r="AF294">
        <v>1371</v>
      </c>
      <c r="AG294">
        <v>636</v>
      </c>
      <c r="AH294">
        <v>1517</v>
      </c>
    </row>
    <row r="295" spans="1:34" hidden="1">
      <c r="A295" s="40" t="s">
        <v>1108</v>
      </c>
      <c r="B295" s="40">
        <v>606</v>
      </c>
      <c r="C295" s="40">
        <v>1263</v>
      </c>
      <c r="D295" s="40">
        <v>721</v>
      </c>
      <c r="E295" s="40">
        <v>712</v>
      </c>
      <c r="F295" s="40">
        <v>903</v>
      </c>
      <c r="G295" s="40">
        <v>1130</v>
      </c>
      <c r="H295" s="40">
        <v>605</v>
      </c>
      <c r="I295" s="40">
        <v>2738</v>
      </c>
      <c r="J295" s="40">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9"/>
      <c r="AH295">
        <v>0</v>
      </c>
    </row>
    <row r="296" spans="1:34" hidden="1">
      <c r="A296" s="40" t="s">
        <v>952</v>
      </c>
      <c r="B296" s="40">
        <v>0</v>
      </c>
      <c r="C296" s="40">
        <v>181</v>
      </c>
      <c r="D296" s="40">
        <v>325</v>
      </c>
      <c r="E296" s="40">
        <v>325</v>
      </c>
      <c r="F296" s="40">
        <v>316</v>
      </c>
      <c r="G296" s="40">
        <v>407</v>
      </c>
      <c r="H296" s="40">
        <v>711</v>
      </c>
      <c r="I296" s="40">
        <v>844</v>
      </c>
      <c r="J296" s="40">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664</v>
      </c>
      <c r="AE296" s="19">
        <v>1810</v>
      </c>
      <c r="AF296">
        <v>6177</v>
      </c>
      <c r="AG296">
        <v>1031</v>
      </c>
      <c r="AH296">
        <v>5005</v>
      </c>
    </row>
    <row r="297" spans="1:34" hidden="1">
      <c r="A297" s="40" t="s">
        <v>1018</v>
      </c>
      <c r="B297" s="40">
        <v>987</v>
      </c>
      <c r="C297" s="40">
        <v>1274</v>
      </c>
      <c r="D297" s="40">
        <v>947</v>
      </c>
      <c r="E297" s="40">
        <v>936</v>
      </c>
      <c r="F297" s="40">
        <v>1075</v>
      </c>
      <c r="G297" s="40">
        <v>1129</v>
      </c>
      <c r="H297" s="40">
        <v>872</v>
      </c>
      <c r="I297" s="40">
        <v>773</v>
      </c>
      <c r="J297" s="40">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714</v>
      </c>
      <c r="AE297" s="19">
        <v>130</v>
      </c>
      <c r="AF297">
        <v>303</v>
      </c>
      <c r="AG297">
        <v>136</v>
      </c>
      <c r="AH297">
        <v>282</v>
      </c>
    </row>
    <row r="298" spans="1:34" hidden="1">
      <c r="A298" s="40" t="s">
        <v>964</v>
      </c>
      <c r="B298" s="40">
        <v>2112</v>
      </c>
      <c r="C298" s="40">
        <v>2248</v>
      </c>
      <c r="D298" s="40">
        <v>1592</v>
      </c>
      <c r="E298" s="40">
        <v>1693</v>
      </c>
      <c r="F298" s="40">
        <v>1282</v>
      </c>
      <c r="G298" s="40">
        <v>1242</v>
      </c>
      <c r="H298" s="40">
        <v>1323</v>
      </c>
      <c r="I298" s="40">
        <v>1508</v>
      </c>
      <c r="J298" s="40">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695</v>
      </c>
      <c r="AE298" s="19">
        <v>1461</v>
      </c>
      <c r="AF298">
        <v>4166</v>
      </c>
      <c r="AG298">
        <v>1563</v>
      </c>
      <c r="AH298">
        <v>4498</v>
      </c>
    </row>
    <row r="299" spans="1:34" hidden="1">
      <c r="A299" s="40" t="s">
        <v>970</v>
      </c>
      <c r="B299" s="40">
        <v>182</v>
      </c>
      <c r="C299" s="40">
        <v>217</v>
      </c>
      <c r="D299" s="40">
        <v>215</v>
      </c>
      <c r="E299" s="40">
        <v>257</v>
      </c>
      <c r="F299" s="40">
        <v>519</v>
      </c>
      <c r="G299" s="40">
        <v>624</v>
      </c>
      <c r="H299" s="40">
        <v>229</v>
      </c>
      <c r="I299" s="40">
        <v>642</v>
      </c>
      <c r="J299" s="40">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9"/>
      <c r="AH299">
        <v>0</v>
      </c>
    </row>
    <row r="300" spans="1:34" hidden="1">
      <c r="A300" s="40" t="s">
        <v>855</v>
      </c>
      <c r="B300" s="40">
        <v>0</v>
      </c>
      <c r="C300" s="40">
        <v>0</v>
      </c>
      <c r="D300" s="40">
        <v>0</v>
      </c>
      <c r="E300" s="40">
        <v>0</v>
      </c>
      <c r="F300" s="40">
        <v>0</v>
      </c>
      <c r="G300" s="40">
        <v>0</v>
      </c>
      <c r="H300" s="40">
        <v>0</v>
      </c>
      <c r="I300" s="40">
        <v>0</v>
      </c>
      <c r="J300" s="40">
        <v>41</v>
      </c>
      <c r="K300">
        <v>448</v>
      </c>
      <c r="L300">
        <v>475</v>
      </c>
      <c r="M300">
        <v>503</v>
      </c>
      <c r="N300">
        <v>596</v>
      </c>
      <c r="O300">
        <v>0</v>
      </c>
      <c r="P300">
        <v>0</v>
      </c>
      <c r="Q300">
        <v>0</v>
      </c>
      <c r="R300">
        <v>0</v>
      </c>
      <c r="S300">
        <v>0</v>
      </c>
      <c r="T300">
        <v>0</v>
      </c>
      <c r="U300">
        <v>0</v>
      </c>
      <c r="V300">
        <v>0</v>
      </c>
      <c r="W300">
        <v>12</v>
      </c>
      <c r="X300">
        <v>152</v>
      </c>
      <c r="Y300">
        <v>148</v>
      </c>
      <c r="Z300">
        <v>180</v>
      </c>
      <c r="AA300">
        <v>205</v>
      </c>
      <c r="AD300" t="s">
        <v>749</v>
      </c>
      <c r="AE300" s="19">
        <v>767</v>
      </c>
      <c r="AF300">
        <v>1139</v>
      </c>
      <c r="AG300">
        <v>636</v>
      </c>
      <c r="AH300">
        <v>987</v>
      </c>
    </row>
    <row r="301" spans="1:34" hidden="1">
      <c r="A301" s="40" t="s">
        <v>733</v>
      </c>
      <c r="B301" s="40">
        <v>0</v>
      </c>
      <c r="C301" s="40">
        <v>0</v>
      </c>
      <c r="D301" s="40">
        <v>0</v>
      </c>
      <c r="E301" s="40">
        <v>0</v>
      </c>
      <c r="F301" s="40">
        <v>0</v>
      </c>
      <c r="G301" s="40">
        <v>0</v>
      </c>
      <c r="H301" s="40">
        <v>0</v>
      </c>
      <c r="I301" s="40">
        <v>0</v>
      </c>
      <c r="J301" s="40">
        <v>0</v>
      </c>
      <c r="K301">
        <v>136</v>
      </c>
      <c r="L301">
        <v>240</v>
      </c>
      <c r="M301">
        <v>635</v>
      </c>
      <c r="N301">
        <v>979</v>
      </c>
      <c r="O301">
        <v>0</v>
      </c>
      <c r="P301">
        <v>0</v>
      </c>
      <c r="Q301">
        <v>0</v>
      </c>
      <c r="R301">
        <v>0</v>
      </c>
      <c r="S301">
        <v>0</v>
      </c>
      <c r="T301">
        <v>0</v>
      </c>
      <c r="U301">
        <v>0</v>
      </c>
      <c r="V301">
        <v>0</v>
      </c>
      <c r="W301">
        <v>0</v>
      </c>
      <c r="X301">
        <v>39</v>
      </c>
      <c r="Y301">
        <v>90</v>
      </c>
      <c r="Z301">
        <v>230</v>
      </c>
      <c r="AA301">
        <v>343</v>
      </c>
      <c r="AD301" t="s">
        <v>671</v>
      </c>
      <c r="AE301" s="19">
        <v>1069</v>
      </c>
      <c r="AF301">
        <v>2732</v>
      </c>
      <c r="AG301">
        <v>1032</v>
      </c>
      <c r="AH301">
        <v>2212</v>
      </c>
    </row>
    <row r="302" spans="1:34" hidden="1">
      <c r="A302" s="40" t="s">
        <v>679</v>
      </c>
      <c r="B302" s="40">
        <v>2315</v>
      </c>
      <c r="C302" s="40">
        <v>2405</v>
      </c>
      <c r="D302" s="40">
        <v>2006</v>
      </c>
      <c r="E302" s="40">
        <v>1413</v>
      </c>
      <c r="F302" s="40">
        <v>1434</v>
      </c>
      <c r="G302" s="40">
        <v>1782</v>
      </c>
      <c r="H302" s="40">
        <v>1669</v>
      </c>
      <c r="I302" s="40">
        <v>2225</v>
      </c>
      <c r="J302" s="40">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639</v>
      </c>
      <c r="AE302" s="19">
        <v>1050</v>
      </c>
      <c r="AF302">
        <v>3373</v>
      </c>
      <c r="AG302">
        <v>894</v>
      </c>
      <c r="AH302">
        <v>2989</v>
      </c>
    </row>
    <row r="303" spans="1:34" hidden="1">
      <c r="A303" s="40" t="s">
        <v>667</v>
      </c>
      <c r="B303" s="40">
        <v>980</v>
      </c>
      <c r="C303" s="40">
        <v>895</v>
      </c>
      <c r="D303" s="40">
        <v>759</v>
      </c>
      <c r="E303" s="40">
        <v>550</v>
      </c>
      <c r="F303" s="40">
        <v>545</v>
      </c>
      <c r="G303" s="40">
        <v>532</v>
      </c>
      <c r="H303" s="40">
        <v>726</v>
      </c>
      <c r="I303" s="40">
        <v>642</v>
      </c>
      <c r="J303" s="40">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867</v>
      </c>
      <c r="AE303" s="19">
        <v>1599</v>
      </c>
      <c r="AF303">
        <v>4378</v>
      </c>
      <c r="AG303">
        <v>1603</v>
      </c>
      <c r="AH303">
        <v>4702</v>
      </c>
    </row>
    <row r="304" spans="1:34" hidden="1">
      <c r="A304" s="40" t="s">
        <v>767</v>
      </c>
      <c r="B304" s="40">
        <v>1043</v>
      </c>
      <c r="C304" s="40">
        <v>1155</v>
      </c>
      <c r="D304" s="40">
        <v>1282</v>
      </c>
      <c r="E304" s="40">
        <v>1441</v>
      </c>
      <c r="F304" s="40">
        <v>883</v>
      </c>
      <c r="G304" s="40">
        <v>944</v>
      </c>
      <c r="H304" s="40">
        <v>800</v>
      </c>
      <c r="I304" s="40">
        <v>923</v>
      </c>
      <c r="J304" s="40">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792</v>
      </c>
      <c r="AE304" s="19">
        <v>986</v>
      </c>
      <c r="AF304">
        <v>3049</v>
      </c>
      <c r="AG304">
        <v>1006</v>
      </c>
      <c r="AH304">
        <v>2782</v>
      </c>
    </row>
    <row r="305" spans="1:34" hidden="1">
      <c r="A305" s="40" t="s">
        <v>614</v>
      </c>
      <c r="B305" s="40">
        <v>565</v>
      </c>
      <c r="C305" s="40">
        <v>576</v>
      </c>
      <c r="D305" s="40">
        <v>298</v>
      </c>
      <c r="E305" s="40">
        <v>435</v>
      </c>
      <c r="F305" s="40">
        <v>442</v>
      </c>
      <c r="G305" s="40">
        <v>682</v>
      </c>
      <c r="H305" s="40">
        <v>1040</v>
      </c>
      <c r="I305" s="40">
        <v>1030</v>
      </c>
      <c r="J305" s="40">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687</v>
      </c>
      <c r="AE305" s="19">
        <v>1097</v>
      </c>
      <c r="AF305">
        <v>3777</v>
      </c>
      <c r="AG305">
        <v>1104</v>
      </c>
      <c r="AH305">
        <v>3937</v>
      </c>
    </row>
    <row r="306" spans="1:34" hidden="1">
      <c r="A306" s="40" t="s">
        <v>596</v>
      </c>
      <c r="B306" s="40">
        <v>1662</v>
      </c>
      <c r="C306" s="40">
        <v>809</v>
      </c>
      <c r="D306" s="40">
        <v>1176</v>
      </c>
      <c r="E306" s="40">
        <v>2081</v>
      </c>
      <c r="F306" s="40">
        <v>901</v>
      </c>
      <c r="G306" s="40">
        <v>640</v>
      </c>
      <c r="H306" s="40">
        <v>90</v>
      </c>
      <c r="I306" s="40">
        <v>938</v>
      </c>
      <c r="J306" s="40">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596</v>
      </c>
      <c r="AE306" s="19">
        <v>4451</v>
      </c>
      <c r="AF306">
        <v>16591</v>
      </c>
      <c r="AG306">
        <v>1697</v>
      </c>
      <c r="AH306">
        <v>7281</v>
      </c>
    </row>
    <row r="307" spans="1:34" hidden="1">
      <c r="A307" s="40" t="s">
        <v>708</v>
      </c>
      <c r="B307" s="40">
        <v>859</v>
      </c>
      <c r="C307" s="40">
        <v>860</v>
      </c>
      <c r="D307" s="40">
        <v>1049</v>
      </c>
      <c r="E307" s="40">
        <v>459</v>
      </c>
      <c r="F307" s="40">
        <v>532</v>
      </c>
      <c r="G307" s="40">
        <v>1242</v>
      </c>
      <c r="H307" s="40">
        <v>1354</v>
      </c>
      <c r="I307" s="40">
        <v>1758</v>
      </c>
      <c r="J307" s="40">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765</v>
      </c>
      <c r="AE307" s="19">
        <v>1048</v>
      </c>
      <c r="AF307">
        <v>2416</v>
      </c>
      <c r="AG307">
        <v>1064</v>
      </c>
      <c r="AH307">
        <v>2389</v>
      </c>
    </row>
    <row r="308" spans="1:34" hidden="1">
      <c r="A308" s="40" t="s">
        <v>245</v>
      </c>
      <c r="B308" s="40">
        <v>537</v>
      </c>
      <c r="C308" s="40">
        <v>546</v>
      </c>
      <c r="D308" s="40">
        <v>627</v>
      </c>
      <c r="E308" s="40">
        <v>794</v>
      </c>
      <c r="F308" s="40">
        <v>558</v>
      </c>
      <c r="G308" s="40">
        <v>390</v>
      </c>
      <c r="H308" s="40">
        <v>351</v>
      </c>
      <c r="I308" s="40">
        <v>339</v>
      </c>
      <c r="J308" s="40">
        <v>251</v>
      </c>
      <c r="K308">
        <v>0</v>
      </c>
      <c r="L308">
        <v>0</v>
      </c>
      <c r="M308">
        <v>0</v>
      </c>
      <c r="N308">
        <v>0</v>
      </c>
      <c r="O308">
        <v>145</v>
      </c>
      <c r="P308">
        <v>168</v>
      </c>
      <c r="Q308">
        <v>292</v>
      </c>
      <c r="R308">
        <v>397</v>
      </c>
      <c r="S308">
        <v>264</v>
      </c>
      <c r="T308">
        <v>166</v>
      </c>
      <c r="U308">
        <v>121</v>
      </c>
      <c r="V308">
        <v>130</v>
      </c>
      <c r="W308">
        <v>79</v>
      </c>
      <c r="X308">
        <v>2</v>
      </c>
      <c r="Y308">
        <v>1</v>
      </c>
      <c r="Z308">
        <v>0</v>
      </c>
      <c r="AA308">
        <v>0</v>
      </c>
      <c r="AD308" t="s">
        <v>701</v>
      </c>
      <c r="AE308" s="19">
        <v>140</v>
      </c>
      <c r="AF308">
        <v>309</v>
      </c>
      <c r="AG308">
        <v>135</v>
      </c>
      <c r="AH308">
        <v>238</v>
      </c>
    </row>
    <row r="309" spans="1:34" hidden="1">
      <c r="A309" s="40" t="s">
        <v>77</v>
      </c>
      <c r="B309" s="40">
        <v>4641</v>
      </c>
      <c r="C309" s="40">
        <v>5402</v>
      </c>
      <c r="D309" s="40">
        <v>12968</v>
      </c>
      <c r="E309" s="40">
        <v>405</v>
      </c>
      <c r="F309" s="40">
        <v>4626</v>
      </c>
      <c r="G309" s="40">
        <v>14443</v>
      </c>
      <c r="H309" s="40">
        <v>9978</v>
      </c>
      <c r="I309" s="40">
        <v>9294</v>
      </c>
      <c r="J309" s="40">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875</v>
      </c>
      <c r="AE309" s="19">
        <v>931</v>
      </c>
      <c r="AF309">
        <v>1974</v>
      </c>
      <c r="AG309">
        <v>1129</v>
      </c>
      <c r="AH309">
        <v>1665</v>
      </c>
    </row>
    <row r="310" spans="1:34" hidden="1">
      <c r="A310" s="40" t="s">
        <v>223</v>
      </c>
      <c r="B310" s="40">
        <v>142</v>
      </c>
      <c r="C310" s="40">
        <v>784</v>
      </c>
      <c r="D310" s="40">
        <v>1453</v>
      </c>
      <c r="E310" s="40">
        <v>1497</v>
      </c>
      <c r="F310" s="40">
        <v>688</v>
      </c>
      <c r="G310" s="40">
        <v>965</v>
      </c>
      <c r="H310" s="40">
        <v>693</v>
      </c>
      <c r="I310" s="40">
        <v>706</v>
      </c>
      <c r="J310" s="40">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9"/>
      <c r="AH310">
        <v>0</v>
      </c>
    </row>
    <row r="311" spans="1:34" hidden="1">
      <c r="A311" s="40" t="s">
        <v>127</v>
      </c>
      <c r="B311" s="40">
        <v>3132</v>
      </c>
      <c r="C311" s="40">
        <v>2039</v>
      </c>
      <c r="D311" s="40">
        <v>3023</v>
      </c>
      <c r="E311" s="40">
        <v>3663</v>
      </c>
      <c r="F311" s="40">
        <v>3838</v>
      </c>
      <c r="G311" s="40">
        <v>4391</v>
      </c>
      <c r="H311" s="40">
        <v>4888</v>
      </c>
      <c r="I311" s="40">
        <v>4759</v>
      </c>
      <c r="J311" s="40">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8" t="s">
        <v>857</v>
      </c>
      <c r="AE311" s="19">
        <v>1493</v>
      </c>
      <c r="AF311">
        <v>3832</v>
      </c>
      <c r="AG311">
        <v>874</v>
      </c>
      <c r="AH311">
        <v>2577</v>
      </c>
    </row>
    <row r="312" spans="1:34" hidden="1">
      <c r="A312" s="40" t="s">
        <v>403</v>
      </c>
      <c r="B312" s="40">
        <v>1659</v>
      </c>
      <c r="C312" s="40">
        <v>1434</v>
      </c>
      <c r="D312" s="40">
        <v>1562</v>
      </c>
      <c r="E312" s="40">
        <v>1244</v>
      </c>
      <c r="F312" s="40">
        <v>1149</v>
      </c>
      <c r="G312" s="40">
        <v>1155</v>
      </c>
      <c r="H312" s="40">
        <v>1334</v>
      </c>
      <c r="I312" s="40">
        <v>1368</v>
      </c>
      <c r="J312" s="40">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675</v>
      </c>
      <c r="AE312" s="19">
        <v>1954</v>
      </c>
      <c r="AF312">
        <v>3897</v>
      </c>
      <c r="AG312">
        <v>2114</v>
      </c>
      <c r="AH312">
        <v>4208</v>
      </c>
    </row>
    <row r="313" spans="1:34" hidden="1">
      <c r="A313" s="40" t="s">
        <v>367</v>
      </c>
      <c r="B313" s="40">
        <v>876</v>
      </c>
      <c r="C313" s="40">
        <v>860</v>
      </c>
      <c r="D313" s="40">
        <v>1105</v>
      </c>
      <c r="E313" s="40">
        <v>1072</v>
      </c>
      <c r="F313" s="40">
        <v>983</v>
      </c>
      <c r="G313" s="40">
        <v>1089</v>
      </c>
      <c r="H313" s="40">
        <v>848</v>
      </c>
      <c r="I313" s="40">
        <v>1287</v>
      </c>
      <c r="J313" s="40">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9"/>
      <c r="AH313">
        <v>0</v>
      </c>
    </row>
    <row r="314" spans="1:34" hidden="1">
      <c r="A314" s="40" t="s">
        <v>646</v>
      </c>
      <c r="B314" s="40">
        <v>997</v>
      </c>
      <c r="C314" s="40">
        <v>1850</v>
      </c>
      <c r="D314" s="40">
        <v>1025</v>
      </c>
      <c r="E314" s="40">
        <v>799</v>
      </c>
      <c r="F314" s="40">
        <v>710</v>
      </c>
      <c r="G314" s="40">
        <v>691</v>
      </c>
      <c r="H314" s="40">
        <v>660</v>
      </c>
      <c r="I314" s="40">
        <v>770</v>
      </c>
      <c r="J314" s="40">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637</v>
      </c>
      <c r="AE314" s="19">
        <v>1003</v>
      </c>
      <c r="AF314">
        <v>1589</v>
      </c>
      <c r="AG314">
        <v>890</v>
      </c>
      <c r="AH314">
        <v>1398</v>
      </c>
    </row>
    <row r="315" spans="1:34" hidden="1">
      <c r="A315" s="40" t="s">
        <v>771</v>
      </c>
      <c r="B315" s="40">
        <v>2355</v>
      </c>
      <c r="C315" s="40">
        <v>1934</v>
      </c>
      <c r="D315" s="40">
        <v>2039</v>
      </c>
      <c r="E315" s="40">
        <v>1536</v>
      </c>
      <c r="F315" s="40">
        <v>1410</v>
      </c>
      <c r="G315" s="40">
        <v>1279</v>
      </c>
      <c r="H315" s="40">
        <v>1075</v>
      </c>
      <c r="I315" s="40">
        <v>1303</v>
      </c>
      <c r="J315" s="40">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9"/>
      <c r="AH315">
        <v>0</v>
      </c>
    </row>
    <row r="316" spans="1:34" hidden="1">
      <c r="A316" s="40" t="s">
        <v>812</v>
      </c>
      <c r="B316" s="40">
        <v>2621</v>
      </c>
      <c r="C316" s="40">
        <v>2019</v>
      </c>
      <c r="D316" s="40">
        <v>2673</v>
      </c>
      <c r="E316" s="40">
        <v>2544</v>
      </c>
      <c r="F316" s="40">
        <v>1653</v>
      </c>
      <c r="G316" s="40">
        <v>1577</v>
      </c>
      <c r="H316" s="40">
        <v>1246</v>
      </c>
      <c r="I316" s="40">
        <v>1403</v>
      </c>
      <c r="J316" s="40">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706</v>
      </c>
      <c r="AE316" s="19">
        <v>567</v>
      </c>
      <c r="AF316">
        <v>1504</v>
      </c>
      <c r="AG316">
        <v>580</v>
      </c>
      <c r="AH316">
        <v>1328</v>
      </c>
    </row>
    <row r="317" spans="1:34" hidden="1">
      <c r="A317" s="40" t="s">
        <v>863</v>
      </c>
      <c r="B317" s="40">
        <v>0</v>
      </c>
      <c r="C317" s="40">
        <v>0</v>
      </c>
      <c r="D317" s="40">
        <v>11</v>
      </c>
      <c r="E317" s="40">
        <v>1977</v>
      </c>
      <c r="F317" s="40">
        <v>2804</v>
      </c>
      <c r="G317" s="40">
        <v>1930</v>
      </c>
      <c r="H317" s="40">
        <v>863</v>
      </c>
      <c r="I317" s="40">
        <v>540</v>
      </c>
      <c r="J317" s="40">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865</v>
      </c>
      <c r="AE317" s="19">
        <v>1221</v>
      </c>
      <c r="AF317">
        <v>4464</v>
      </c>
      <c r="AG317">
        <v>1315</v>
      </c>
      <c r="AH317">
        <v>4510</v>
      </c>
    </row>
    <row r="318" spans="1:34" hidden="1">
      <c r="A318" s="40" t="s">
        <v>247</v>
      </c>
      <c r="B318" s="40">
        <v>0</v>
      </c>
      <c r="C318" s="40">
        <v>1336</v>
      </c>
      <c r="D318" s="40">
        <v>1505</v>
      </c>
      <c r="E318" s="40">
        <v>392</v>
      </c>
      <c r="F318" s="40">
        <v>847</v>
      </c>
      <c r="G318" s="40">
        <v>516</v>
      </c>
      <c r="H318" s="40">
        <v>980</v>
      </c>
      <c r="I318" s="40">
        <v>968</v>
      </c>
      <c r="J318" s="40">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9"/>
      <c r="AH318">
        <v>0</v>
      </c>
    </row>
    <row r="319" spans="1:34" hidden="1">
      <c r="A319" s="40" t="s">
        <v>99</v>
      </c>
      <c r="B319" s="40">
        <v>1136</v>
      </c>
      <c r="C319" s="40">
        <v>1864</v>
      </c>
      <c r="D319" s="40">
        <v>4153</v>
      </c>
      <c r="E319" s="40">
        <v>4283</v>
      </c>
      <c r="F319" s="40">
        <v>4912</v>
      </c>
      <c r="G319" s="40">
        <v>2632</v>
      </c>
      <c r="H319" s="40">
        <v>1166</v>
      </c>
      <c r="I319" s="40">
        <v>4260</v>
      </c>
      <c r="J319" s="40">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849</v>
      </c>
      <c r="AE319" s="19">
        <v>1270</v>
      </c>
      <c r="AF319">
        <v>3786</v>
      </c>
      <c r="AG319">
        <v>1078</v>
      </c>
      <c r="AH319">
        <v>3372</v>
      </c>
    </row>
    <row r="320" spans="1:34" hidden="1">
      <c r="A320" s="40" t="s">
        <v>409</v>
      </c>
      <c r="B320" s="40">
        <v>0</v>
      </c>
      <c r="C320" s="40">
        <v>0</v>
      </c>
      <c r="D320" s="40">
        <v>0</v>
      </c>
      <c r="E320" s="40">
        <v>164</v>
      </c>
      <c r="F320" s="40">
        <v>53</v>
      </c>
      <c r="G320" s="40">
        <v>371</v>
      </c>
      <c r="H320" s="40">
        <v>517</v>
      </c>
      <c r="I320" s="40">
        <v>388</v>
      </c>
      <c r="J320" s="40">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883</v>
      </c>
      <c r="AE320" s="19">
        <v>3590</v>
      </c>
      <c r="AF320">
        <v>14550</v>
      </c>
      <c r="AG320">
        <v>3606</v>
      </c>
      <c r="AH320">
        <v>14106</v>
      </c>
    </row>
    <row r="321" spans="1:34" hidden="1">
      <c r="A321" s="40" t="s">
        <v>71</v>
      </c>
      <c r="B321" s="40">
        <v>0</v>
      </c>
      <c r="C321" s="40">
        <v>0</v>
      </c>
      <c r="D321" s="40">
        <v>0</v>
      </c>
      <c r="E321" s="40">
        <v>0</v>
      </c>
      <c r="F321" s="40">
        <v>0</v>
      </c>
      <c r="G321" s="40">
        <v>0</v>
      </c>
      <c r="H321" s="40">
        <v>1040</v>
      </c>
      <c r="I321" s="40">
        <v>0</v>
      </c>
      <c r="J321" s="40">
        <v>756</v>
      </c>
      <c r="K321">
        <v>1171</v>
      </c>
      <c r="L321">
        <v>1110</v>
      </c>
      <c r="M321">
        <v>1275</v>
      </c>
      <c r="N321">
        <v>0</v>
      </c>
      <c r="O321">
        <v>0</v>
      </c>
      <c r="P321">
        <v>0</v>
      </c>
      <c r="Q321">
        <v>0</v>
      </c>
      <c r="R321">
        <v>0</v>
      </c>
      <c r="S321">
        <v>0</v>
      </c>
      <c r="T321">
        <v>0</v>
      </c>
      <c r="U321">
        <v>374</v>
      </c>
      <c r="V321">
        <v>0</v>
      </c>
      <c r="W321">
        <v>222</v>
      </c>
      <c r="X321">
        <v>287</v>
      </c>
      <c r="Y321">
        <v>167</v>
      </c>
      <c r="Z321">
        <v>150</v>
      </c>
      <c r="AA321">
        <v>0</v>
      </c>
      <c r="AE321" s="19"/>
      <c r="AH321">
        <v>0</v>
      </c>
    </row>
    <row r="322" spans="1:34" hidden="1">
      <c r="A322" s="40" t="s">
        <v>319</v>
      </c>
      <c r="B322" s="40">
        <v>0</v>
      </c>
      <c r="C322" s="40">
        <v>435</v>
      </c>
      <c r="D322" s="40">
        <v>405</v>
      </c>
      <c r="E322" s="40">
        <v>972</v>
      </c>
      <c r="F322" s="40">
        <v>925</v>
      </c>
      <c r="G322" s="40">
        <v>761</v>
      </c>
      <c r="H322" s="40">
        <v>830</v>
      </c>
      <c r="I322" s="40">
        <v>1199</v>
      </c>
      <c r="J322" s="40">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767</v>
      </c>
      <c r="AE322" s="19">
        <v>1934</v>
      </c>
      <c r="AF322">
        <v>3707</v>
      </c>
      <c r="AG322">
        <v>1678</v>
      </c>
      <c r="AH322">
        <v>3103</v>
      </c>
    </row>
    <row r="323" spans="1:34" hidden="1">
      <c r="A323" s="40" t="s">
        <v>95</v>
      </c>
      <c r="B323" s="40">
        <v>0</v>
      </c>
      <c r="C323" s="40">
        <v>0</v>
      </c>
      <c r="D323" s="40">
        <v>356</v>
      </c>
      <c r="E323" s="40">
        <v>1037</v>
      </c>
      <c r="F323" s="40">
        <v>959</v>
      </c>
      <c r="G323" s="40">
        <v>880</v>
      </c>
      <c r="H323" s="40">
        <v>751</v>
      </c>
      <c r="I323" s="40">
        <v>1087</v>
      </c>
      <c r="J323" s="40">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8" t="s">
        <v>628</v>
      </c>
      <c r="AE323" s="19">
        <v>1019</v>
      </c>
      <c r="AF323">
        <v>4079</v>
      </c>
      <c r="AG323">
        <v>1135</v>
      </c>
      <c r="AH323">
        <v>4140</v>
      </c>
    </row>
    <row r="324" spans="1:34" hidden="1">
      <c r="A324" s="40" t="s">
        <v>523</v>
      </c>
      <c r="B324" s="40">
        <v>1577</v>
      </c>
      <c r="C324" s="40">
        <v>2979</v>
      </c>
      <c r="D324" s="40">
        <v>2259</v>
      </c>
      <c r="E324" s="40">
        <v>1840</v>
      </c>
      <c r="F324" s="40">
        <v>1839</v>
      </c>
      <c r="G324" s="40">
        <v>2765</v>
      </c>
      <c r="H324" s="40">
        <v>2954</v>
      </c>
      <c r="I324" s="40">
        <v>2655</v>
      </c>
      <c r="J324" s="40">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759</v>
      </c>
      <c r="AE324" s="19">
        <v>2100</v>
      </c>
      <c r="AF324">
        <v>5134</v>
      </c>
      <c r="AG324">
        <v>2163</v>
      </c>
      <c r="AH324">
        <v>4948</v>
      </c>
    </row>
    <row r="325" spans="1:34" hidden="1">
      <c r="A325" s="40" t="s">
        <v>53</v>
      </c>
      <c r="B325" s="40">
        <v>0</v>
      </c>
      <c r="C325" s="40">
        <v>0</v>
      </c>
      <c r="D325" s="40">
        <v>0</v>
      </c>
      <c r="E325" s="40">
        <v>104</v>
      </c>
      <c r="F325" s="40">
        <v>0</v>
      </c>
      <c r="G325" s="40">
        <v>815</v>
      </c>
      <c r="H325" s="40">
        <v>1012</v>
      </c>
      <c r="I325" s="40">
        <v>957</v>
      </c>
      <c r="J325" s="40">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679</v>
      </c>
      <c r="AE325" s="19">
        <v>2322</v>
      </c>
      <c r="AF325">
        <v>7537</v>
      </c>
      <c r="AG325">
        <v>2139</v>
      </c>
      <c r="AH325">
        <v>6324</v>
      </c>
    </row>
    <row r="326" spans="1:34" hidden="1">
      <c r="A326" s="40" t="s">
        <v>391</v>
      </c>
      <c r="B326" s="40">
        <v>0</v>
      </c>
      <c r="C326" s="40">
        <v>123</v>
      </c>
      <c r="D326" s="40">
        <v>330</v>
      </c>
      <c r="E326" s="40">
        <v>372</v>
      </c>
      <c r="F326" s="40">
        <v>240</v>
      </c>
      <c r="G326" s="40">
        <v>375</v>
      </c>
      <c r="H326" s="40">
        <v>438</v>
      </c>
      <c r="I326" s="40">
        <v>591</v>
      </c>
      <c r="J326" s="40">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685</v>
      </c>
      <c r="AE326" s="19">
        <v>485</v>
      </c>
      <c r="AF326">
        <v>854</v>
      </c>
      <c r="AG326">
        <v>464</v>
      </c>
      <c r="AH326">
        <v>810</v>
      </c>
    </row>
    <row r="327" spans="1:34" hidden="1">
      <c r="A327" s="40" t="s">
        <v>285</v>
      </c>
      <c r="B327" s="40">
        <v>0</v>
      </c>
      <c r="C327" s="40">
        <v>0</v>
      </c>
      <c r="D327" s="40">
        <v>0</v>
      </c>
      <c r="E327" s="40">
        <v>0</v>
      </c>
      <c r="F327" s="40">
        <v>0</v>
      </c>
      <c r="G327" s="40">
        <v>0</v>
      </c>
      <c r="H327" s="40">
        <v>3</v>
      </c>
      <c r="I327" s="40">
        <v>285</v>
      </c>
      <c r="J327" s="40">
        <v>734</v>
      </c>
      <c r="K327">
        <v>788</v>
      </c>
      <c r="L327">
        <v>450</v>
      </c>
      <c r="M327">
        <v>417</v>
      </c>
      <c r="N327">
        <v>668</v>
      </c>
      <c r="O327">
        <v>0</v>
      </c>
      <c r="P327">
        <v>0</v>
      </c>
      <c r="Q327">
        <v>0</v>
      </c>
      <c r="R327">
        <v>0</v>
      </c>
      <c r="S327">
        <v>0</v>
      </c>
      <c r="T327">
        <v>0</v>
      </c>
      <c r="U327">
        <v>0</v>
      </c>
      <c r="V327">
        <v>56</v>
      </c>
      <c r="W327">
        <v>184</v>
      </c>
      <c r="X327">
        <v>193</v>
      </c>
      <c r="Y327">
        <v>82</v>
      </c>
      <c r="Z327">
        <v>146</v>
      </c>
      <c r="AA327">
        <v>155</v>
      </c>
      <c r="AD327" t="s">
        <v>656</v>
      </c>
      <c r="AE327" s="19">
        <v>1498</v>
      </c>
      <c r="AF327">
        <v>5370</v>
      </c>
      <c r="AG327">
        <v>1227</v>
      </c>
      <c r="AH327">
        <v>3936</v>
      </c>
    </row>
    <row r="328" spans="1:34" hidden="1">
      <c r="A328" s="40" t="s">
        <v>673</v>
      </c>
      <c r="B328" s="40">
        <v>0</v>
      </c>
      <c r="C328" s="40">
        <v>0</v>
      </c>
      <c r="D328" s="40">
        <v>822</v>
      </c>
      <c r="E328" s="40">
        <v>1928</v>
      </c>
      <c r="F328" s="40">
        <v>1563</v>
      </c>
      <c r="G328" s="40">
        <v>2064</v>
      </c>
      <c r="H328" s="40">
        <v>2099</v>
      </c>
      <c r="I328" s="40">
        <v>2454</v>
      </c>
      <c r="J328" s="40">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590</v>
      </c>
      <c r="AE328" s="19">
        <v>10278</v>
      </c>
      <c r="AF328">
        <v>19771</v>
      </c>
      <c r="AG328">
        <v>8072</v>
      </c>
      <c r="AH328">
        <v>16361</v>
      </c>
    </row>
    <row r="329" spans="1:34" hidden="1">
      <c r="A329" s="40" t="s">
        <v>883</v>
      </c>
      <c r="B329" s="40">
        <v>1295</v>
      </c>
      <c r="C329" s="40">
        <v>3249</v>
      </c>
      <c r="D329" s="40">
        <v>2721</v>
      </c>
      <c r="E329" s="40">
        <v>2361</v>
      </c>
      <c r="F329" s="40">
        <v>2349</v>
      </c>
      <c r="G329" s="40">
        <v>1891</v>
      </c>
      <c r="H329" s="40">
        <v>2300</v>
      </c>
      <c r="I329" s="40">
        <v>1954</v>
      </c>
      <c r="J329" s="40">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804</v>
      </c>
      <c r="AE329" s="19">
        <v>1468</v>
      </c>
      <c r="AF329">
        <v>3867</v>
      </c>
      <c r="AG329">
        <v>1315</v>
      </c>
      <c r="AH329">
        <v>3480</v>
      </c>
    </row>
    <row r="330" spans="1:34" hidden="1">
      <c r="A330" s="40" t="s">
        <v>644</v>
      </c>
      <c r="B330" s="40">
        <v>0</v>
      </c>
      <c r="C330" s="40">
        <v>0</v>
      </c>
      <c r="D330" s="40">
        <v>41</v>
      </c>
      <c r="E330" s="40">
        <v>419</v>
      </c>
      <c r="F330" s="40">
        <v>509</v>
      </c>
      <c r="G330" s="40">
        <v>582</v>
      </c>
      <c r="H330" s="40">
        <v>1850</v>
      </c>
      <c r="I330" s="40">
        <v>1334</v>
      </c>
      <c r="J330" s="40">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745</v>
      </c>
      <c r="AE330" s="19">
        <v>1079</v>
      </c>
      <c r="AF330">
        <v>2673</v>
      </c>
      <c r="AG330">
        <v>1148</v>
      </c>
      <c r="AH330">
        <v>2673</v>
      </c>
    </row>
    <row r="331" spans="1:34" hidden="1">
      <c r="A331" s="40" t="s">
        <v>790</v>
      </c>
      <c r="B331" s="40">
        <v>0</v>
      </c>
      <c r="C331" s="40">
        <v>0</v>
      </c>
      <c r="D331" s="40">
        <v>136</v>
      </c>
      <c r="E331" s="40">
        <v>1743</v>
      </c>
      <c r="F331" s="40">
        <v>962</v>
      </c>
      <c r="G331" s="40">
        <v>672</v>
      </c>
      <c r="H331" s="40">
        <v>854</v>
      </c>
      <c r="I331" s="40">
        <v>999</v>
      </c>
      <c r="J331" s="40">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9"/>
      <c r="AH331">
        <v>0</v>
      </c>
    </row>
    <row r="332" spans="1:34" hidden="1">
      <c r="A332" s="40" t="s">
        <v>687</v>
      </c>
      <c r="B332" s="40">
        <v>0</v>
      </c>
      <c r="C332" s="40">
        <v>0</v>
      </c>
      <c r="D332" s="40">
        <v>1136</v>
      </c>
      <c r="E332" s="40">
        <v>1169</v>
      </c>
      <c r="F332" s="40">
        <v>907</v>
      </c>
      <c r="G332" s="40">
        <v>861</v>
      </c>
      <c r="H332" s="40">
        <v>710</v>
      </c>
      <c r="I332" s="40">
        <v>602</v>
      </c>
      <c r="J332" s="40">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835</v>
      </c>
      <c r="AE332" s="19">
        <v>1132</v>
      </c>
      <c r="AF332">
        <v>2219</v>
      </c>
      <c r="AG332">
        <v>746</v>
      </c>
      <c r="AH332">
        <v>1647</v>
      </c>
    </row>
    <row r="333" spans="1:34" hidden="1">
      <c r="A333" s="40" t="s">
        <v>831</v>
      </c>
      <c r="B333" s="40">
        <v>2010</v>
      </c>
      <c r="C333" s="40">
        <v>3174</v>
      </c>
      <c r="D333" s="40">
        <v>823</v>
      </c>
      <c r="E333" s="40">
        <v>3749</v>
      </c>
      <c r="F333" s="40">
        <v>2541</v>
      </c>
      <c r="G333" s="40">
        <v>2523</v>
      </c>
      <c r="H333" s="40">
        <v>1288</v>
      </c>
      <c r="I333" s="40">
        <v>3176</v>
      </c>
      <c r="J333" s="40">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8" t="s">
        <v>855</v>
      </c>
      <c r="AE333" s="19">
        <v>1142</v>
      </c>
      <c r="AF333">
        <v>2951</v>
      </c>
      <c r="AG333">
        <v>1087</v>
      </c>
      <c r="AH333">
        <v>2839</v>
      </c>
    </row>
    <row r="334" spans="1:34" hidden="1">
      <c r="A334" s="40" t="s">
        <v>179</v>
      </c>
      <c r="B334" s="40">
        <v>0</v>
      </c>
      <c r="C334" s="40">
        <v>0</v>
      </c>
      <c r="D334" s="40">
        <v>0</v>
      </c>
      <c r="E334" s="40">
        <v>0</v>
      </c>
      <c r="F334" s="40">
        <v>0</v>
      </c>
      <c r="G334" s="40">
        <v>0</v>
      </c>
      <c r="H334" s="40">
        <v>326</v>
      </c>
      <c r="I334" s="40">
        <v>736</v>
      </c>
      <c r="J334" s="40">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667</v>
      </c>
      <c r="AE334" s="19">
        <v>1001</v>
      </c>
      <c r="AF334">
        <v>1621</v>
      </c>
      <c r="AG334">
        <v>860</v>
      </c>
      <c r="AH334">
        <v>1427</v>
      </c>
    </row>
    <row r="335" spans="1:34" hidden="1">
      <c r="A335" s="40" t="s">
        <v>195</v>
      </c>
      <c r="B335" s="40">
        <v>0</v>
      </c>
      <c r="C335" s="40">
        <v>0</v>
      </c>
      <c r="D335" s="40">
        <v>0</v>
      </c>
      <c r="E335" s="40">
        <v>0</v>
      </c>
      <c r="F335" s="40">
        <v>0</v>
      </c>
      <c r="G335" s="40">
        <v>495</v>
      </c>
      <c r="H335" s="40">
        <v>934</v>
      </c>
      <c r="I335" s="40">
        <v>2236</v>
      </c>
      <c r="J335" s="40">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8" t="s">
        <v>859</v>
      </c>
      <c r="AE335" s="19">
        <v>1255</v>
      </c>
      <c r="AF335">
        <v>2585</v>
      </c>
      <c r="AG335">
        <v>994</v>
      </c>
      <c r="AH335">
        <v>2553</v>
      </c>
    </row>
    <row r="336" spans="1:34" hidden="1">
      <c r="A336" s="40" t="s">
        <v>241</v>
      </c>
      <c r="B336" s="40">
        <v>0</v>
      </c>
      <c r="C336" s="40">
        <v>0</v>
      </c>
      <c r="D336" s="40">
        <v>0</v>
      </c>
      <c r="E336" s="40">
        <v>0</v>
      </c>
      <c r="F336" s="40">
        <v>0</v>
      </c>
      <c r="G336" s="40">
        <v>145</v>
      </c>
      <c r="H336" s="40">
        <v>2954</v>
      </c>
      <c r="I336" s="40">
        <v>3011</v>
      </c>
      <c r="J336" s="40">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681</v>
      </c>
      <c r="AE336" s="19">
        <v>442</v>
      </c>
      <c r="AF336">
        <v>907</v>
      </c>
      <c r="AG336">
        <v>361</v>
      </c>
      <c r="AH336">
        <v>768</v>
      </c>
    </row>
    <row r="337" spans="1:34" hidden="1">
      <c r="A337" s="40" t="s">
        <v>83</v>
      </c>
      <c r="B337" s="40">
        <v>0</v>
      </c>
      <c r="C337" s="40">
        <v>0</v>
      </c>
      <c r="D337" s="40">
        <v>0</v>
      </c>
      <c r="E337" s="40">
        <v>0</v>
      </c>
      <c r="F337" s="40">
        <v>8530</v>
      </c>
      <c r="G337" s="40">
        <v>9175</v>
      </c>
      <c r="H337" s="40">
        <v>7003</v>
      </c>
      <c r="I337" s="40">
        <v>6856</v>
      </c>
      <c r="J337" s="40">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757</v>
      </c>
      <c r="AE337" s="19">
        <v>352</v>
      </c>
      <c r="AF337">
        <v>894</v>
      </c>
      <c r="AG337">
        <v>317</v>
      </c>
      <c r="AH337">
        <v>856</v>
      </c>
    </row>
    <row r="338" spans="1:34" hidden="1">
      <c r="A338" s="40" t="s">
        <v>397</v>
      </c>
      <c r="B338" s="40">
        <v>0</v>
      </c>
      <c r="C338" s="40">
        <v>0</v>
      </c>
      <c r="D338" s="40">
        <v>0</v>
      </c>
      <c r="E338" s="40">
        <v>0</v>
      </c>
      <c r="F338" s="40">
        <v>0</v>
      </c>
      <c r="G338" s="40">
        <v>334</v>
      </c>
      <c r="H338" s="40">
        <v>456</v>
      </c>
      <c r="I338" s="40">
        <v>562</v>
      </c>
      <c r="J338" s="40">
        <v>607</v>
      </c>
      <c r="K338">
        <v>792</v>
      </c>
      <c r="L338">
        <v>430</v>
      </c>
      <c r="M338">
        <v>476</v>
      </c>
      <c r="N338">
        <v>784</v>
      </c>
      <c r="O338">
        <v>0</v>
      </c>
      <c r="P338">
        <v>0</v>
      </c>
      <c r="Q338">
        <v>0</v>
      </c>
      <c r="R338">
        <v>0</v>
      </c>
      <c r="S338">
        <v>0</v>
      </c>
      <c r="T338">
        <v>41</v>
      </c>
      <c r="U338">
        <v>75</v>
      </c>
      <c r="V338">
        <v>78</v>
      </c>
      <c r="W338">
        <v>88</v>
      </c>
      <c r="X338">
        <v>127</v>
      </c>
      <c r="Y338">
        <v>94</v>
      </c>
      <c r="Z338">
        <v>103</v>
      </c>
      <c r="AA338">
        <v>171</v>
      </c>
      <c r="AE338" s="19"/>
      <c r="AH338">
        <v>0</v>
      </c>
    </row>
    <row r="339" spans="1:34" hidden="1">
      <c r="A339" s="40" t="s">
        <v>217</v>
      </c>
      <c r="B339" s="40">
        <v>0</v>
      </c>
      <c r="C339" s="40">
        <v>0</v>
      </c>
      <c r="D339" s="40">
        <v>0</v>
      </c>
      <c r="E339" s="40">
        <v>0</v>
      </c>
      <c r="F339" s="40">
        <v>0</v>
      </c>
      <c r="G339" s="40">
        <v>212</v>
      </c>
      <c r="H339" s="40">
        <v>308</v>
      </c>
      <c r="I339" s="40">
        <v>326</v>
      </c>
      <c r="J339" s="40">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720</v>
      </c>
      <c r="AE339" s="19">
        <v>304</v>
      </c>
      <c r="AF339">
        <v>744</v>
      </c>
      <c r="AG339">
        <v>254</v>
      </c>
      <c r="AH339">
        <v>671</v>
      </c>
    </row>
    <row r="340" spans="1:34" hidden="1">
      <c r="A340" s="40" t="s">
        <v>1231</v>
      </c>
      <c r="B340" s="40">
        <v>0</v>
      </c>
      <c r="C340" s="40">
        <v>0</v>
      </c>
      <c r="D340" s="40">
        <v>0</v>
      </c>
      <c r="E340" s="40">
        <v>0</v>
      </c>
      <c r="F340" s="40">
        <v>0</v>
      </c>
      <c r="G340" s="40">
        <v>0</v>
      </c>
      <c r="H340" s="40">
        <v>3140</v>
      </c>
      <c r="I340" s="40">
        <v>1959</v>
      </c>
      <c r="J340" s="40">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753</v>
      </c>
      <c r="AE340" s="19">
        <v>1773</v>
      </c>
      <c r="AF340">
        <v>3891</v>
      </c>
      <c r="AG340">
        <v>1766</v>
      </c>
      <c r="AH340">
        <v>4227</v>
      </c>
    </row>
    <row r="341" spans="1:34" hidden="1">
      <c r="A341" s="40" t="s">
        <v>333</v>
      </c>
      <c r="B341" s="40">
        <v>0</v>
      </c>
      <c r="C341" s="40">
        <v>0</v>
      </c>
      <c r="D341" s="40">
        <v>0</v>
      </c>
      <c r="E341" s="40">
        <v>0</v>
      </c>
      <c r="F341" s="40">
        <v>10326</v>
      </c>
      <c r="G341" s="40">
        <v>8337</v>
      </c>
      <c r="H341" s="40">
        <v>7328</v>
      </c>
      <c r="I341" s="40">
        <v>8243</v>
      </c>
      <c r="J341" s="40">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604</v>
      </c>
      <c r="AE341" s="19">
        <v>4088</v>
      </c>
      <c r="AF341">
        <v>8958</v>
      </c>
      <c r="AG341">
        <v>4072</v>
      </c>
      <c r="AH341">
        <v>8698</v>
      </c>
    </row>
    <row r="342" spans="1:34" hidden="1">
      <c r="A342" s="40" t="s">
        <v>353</v>
      </c>
      <c r="B342" s="40">
        <v>0</v>
      </c>
      <c r="C342" s="40">
        <v>0</v>
      </c>
      <c r="D342" s="40">
        <v>0</v>
      </c>
      <c r="E342" s="40">
        <v>0</v>
      </c>
      <c r="F342" s="40">
        <v>0</v>
      </c>
      <c r="G342" s="40">
        <v>0</v>
      </c>
      <c r="H342" s="40">
        <v>172</v>
      </c>
      <c r="I342" s="40">
        <v>1743</v>
      </c>
      <c r="J342" s="40">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763</v>
      </c>
      <c r="AE342" s="19">
        <v>307</v>
      </c>
      <c r="AF342">
        <v>913</v>
      </c>
      <c r="AG342">
        <v>303</v>
      </c>
      <c r="AH342">
        <v>791</v>
      </c>
    </row>
    <row r="343" spans="1:34" hidden="1">
      <c r="A343" s="40" t="s">
        <v>87</v>
      </c>
      <c r="B343" s="40">
        <v>0</v>
      </c>
      <c r="C343" s="40">
        <v>0</v>
      </c>
      <c r="D343" s="40">
        <v>0</v>
      </c>
      <c r="E343" s="40">
        <v>0</v>
      </c>
      <c r="F343" s="40">
        <v>8752</v>
      </c>
      <c r="G343" s="40">
        <v>12087</v>
      </c>
      <c r="H343" s="40">
        <v>10201</v>
      </c>
      <c r="I343" s="40">
        <v>8685</v>
      </c>
      <c r="J343" s="40">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644</v>
      </c>
      <c r="AE343" s="19">
        <v>1359</v>
      </c>
      <c r="AF343">
        <v>3067</v>
      </c>
      <c r="AG343">
        <v>1324</v>
      </c>
      <c r="AH343">
        <v>2917</v>
      </c>
    </row>
    <row r="344" spans="1:34" hidden="1">
      <c r="A344" s="40" t="s">
        <v>479</v>
      </c>
      <c r="B344" s="40">
        <v>0</v>
      </c>
      <c r="C344" s="40">
        <v>0</v>
      </c>
      <c r="D344" s="40">
        <v>0</v>
      </c>
      <c r="E344" s="40">
        <v>0</v>
      </c>
      <c r="F344" s="40">
        <v>0</v>
      </c>
      <c r="G344" s="40">
        <v>436</v>
      </c>
      <c r="H344" s="40">
        <v>0</v>
      </c>
      <c r="I344" s="40">
        <v>0</v>
      </c>
      <c r="J344" s="40">
        <v>564</v>
      </c>
      <c r="K344">
        <v>852</v>
      </c>
      <c r="L344">
        <v>648</v>
      </c>
      <c r="M344">
        <v>473</v>
      </c>
      <c r="N344">
        <v>828</v>
      </c>
      <c r="O344">
        <v>0</v>
      </c>
      <c r="P344">
        <v>0</v>
      </c>
      <c r="Q344">
        <v>0</v>
      </c>
      <c r="R344">
        <v>0</v>
      </c>
      <c r="S344">
        <v>0</v>
      </c>
      <c r="T344">
        <v>94</v>
      </c>
      <c r="U344">
        <v>0</v>
      </c>
      <c r="V344">
        <v>0</v>
      </c>
      <c r="W344">
        <v>68</v>
      </c>
      <c r="X344">
        <v>121</v>
      </c>
      <c r="Y344">
        <v>117</v>
      </c>
      <c r="Z344">
        <v>70</v>
      </c>
      <c r="AA344">
        <v>153</v>
      </c>
      <c r="AD344" t="s">
        <v>881</v>
      </c>
      <c r="AE344" s="19">
        <v>4341</v>
      </c>
      <c r="AF344">
        <v>9371</v>
      </c>
      <c r="AG344">
        <v>4145</v>
      </c>
      <c r="AH344">
        <v>9738</v>
      </c>
    </row>
    <row r="345" spans="1:34" hidden="1">
      <c r="A345" s="40" t="s">
        <v>806</v>
      </c>
      <c r="B345" s="40">
        <v>0</v>
      </c>
      <c r="C345" s="40">
        <v>0</v>
      </c>
      <c r="D345" s="40">
        <v>0</v>
      </c>
      <c r="E345" s="40">
        <v>0</v>
      </c>
      <c r="F345" s="40">
        <v>0</v>
      </c>
      <c r="G345" s="40">
        <v>390</v>
      </c>
      <c r="H345" s="40">
        <v>691</v>
      </c>
      <c r="I345" s="40">
        <v>1148</v>
      </c>
      <c r="J345" s="40">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771</v>
      </c>
      <c r="AE345" s="19">
        <v>1730</v>
      </c>
      <c r="AF345">
        <v>5884</v>
      </c>
      <c r="AG345">
        <v>1880</v>
      </c>
      <c r="AH345">
        <v>5451</v>
      </c>
    </row>
    <row r="346" spans="1:34" hidden="1">
      <c r="A346" s="40" t="s">
        <v>849</v>
      </c>
      <c r="B346" s="40">
        <v>0</v>
      </c>
      <c r="C346" s="40">
        <v>0</v>
      </c>
      <c r="D346" s="40">
        <v>0</v>
      </c>
      <c r="E346" s="40">
        <v>0</v>
      </c>
      <c r="F346" s="40">
        <v>0</v>
      </c>
      <c r="G346" s="40">
        <v>739</v>
      </c>
      <c r="H346" s="40">
        <v>1555</v>
      </c>
      <c r="I346" s="40">
        <v>751</v>
      </c>
      <c r="J346" s="40">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773</v>
      </c>
      <c r="AE346" s="19">
        <v>2197</v>
      </c>
      <c r="AF346">
        <v>7621</v>
      </c>
      <c r="AG346">
        <v>2076</v>
      </c>
      <c r="AH346">
        <v>7276</v>
      </c>
    </row>
    <row r="347" spans="1:34" hidden="1">
      <c r="A347" s="40" t="s">
        <v>598</v>
      </c>
      <c r="B347" s="40">
        <v>0</v>
      </c>
      <c r="C347" s="40">
        <v>0</v>
      </c>
      <c r="D347" s="40">
        <v>0</v>
      </c>
      <c r="E347" s="40">
        <v>0</v>
      </c>
      <c r="F347" s="40">
        <v>98</v>
      </c>
      <c r="G347" s="40">
        <v>561</v>
      </c>
      <c r="H347" s="40">
        <v>584</v>
      </c>
      <c r="I347" s="40">
        <v>524</v>
      </c>
      <c r="J347" s="40">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722</v>
      </c>
      <c r="AE347" s="19">
        <v>680</v>
      </c>
      <c r="AF347">
        <v>1839</v>
      </c>
      <c r="AG347">
        <v>673</v>
      </c>
      <c r="AH347">
        <v>1900</v>
      </c>
    </row>
    <row r="348" spans="1:34" hidden="1">
      <c r="A348" s="40" t="s">
        <v>773</v>
      </c>
      <c r="B348" s="40">
        <v>0</v>
      </c>
      <c r="C348" s="40">
        <v>0</v>
      </c>
      <c r="D348" s="40">
        <v>0</v>
      </c>
      <c r="E348" s="40">
        <v>0</v>
      </c>
      <c r="F348" s="40">
        <v>0</v>
      </c>
      <c r="G348" s="40">
        <v>0</v>
      </c>
      <c r="H348" s="40">
        <v>393</v>
      </c>
      <c r="I348" s="40">
        <v>2532</v>
      </c>
      <c r="J348" s="40">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654</v>
      </c>
      <c r="AE348" s="19">
        <v>556</v>
      </c>
      <c r="AF348">
        <v>3328</v>
      </c>
      <c r="AG348">
        <v>492</v>
      </c>
      <c r="AH348">
        <v>2903</v>
      </c>
    </row>
    <row r="349" spans="1:34" hidden="1">
      <c r="A349" s="40" t="s">
        <v>289</v>
      </c>
      <c r="B349" s="40">
        <v>0</v>
      </c>
      <c r="C349" s="40">
        <v>0</v>
      </c>
      <c r="D349" s="40">
        <v>0</v>
      </c>
      <c r="E349" s="40">
        <v>0</v>
      </c>
      <c r="F349" s="40">
        <v>0</v>
      </c>
      <c r="G349" s="40">
        <v>0</v>
      </c>
      <c r="H349" s="40">
        <v>0</v>
      </c>
      <c r="I349" s="40">
        <v>0</v>
      </c>
      <c r="J349" s="40">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731</v>
      </c>
      <c r="AE349" s="19">
        <v>709</v>
      </c>
      <c r="AF349">
        <v>1617</v>
      </c>
      <c r="AG349">
        <v>780</v>
      </c>
      <c r="AH349">
        <v>1828</v>
      </c>
    </row>
    <row r="350" spans="1:34" hidden="1">
      <c r="A350" s="40" t="s">
        <v>654</v>
      </c>
      <c r="B350" s="40">
        <v>0</v>
      </c>
      <c r="C350" s="40">
        <v>0</v>
      </c>
      <c r="D350" s="40">
        <v>0</v>
      </c>
      <c r="E350" s="40">
        <v>0</v>
      </c>
      <c r="F350" s="40">
        <v>0</v>
      </c>
      <c r="G350" s="40">
        <v>12</v>
      </c>
      <c r="H350" s="40">
        <v>279</v>
      </c>
      <c r="I350" s="40">
        <v>1318</v>
      </c>
      <c r="J350" s="40">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691</v>
      </c>
      <c r="AE350" s="19">
        <v>1391</v>
      </c>
      <c r="AF350">
        <v>6386</v>
      </c>
      <c r="AG350">
        <v>1391</v>
      </c>
      <c r="AH350">
        <v>6380</v>
      </c>
    </row>
    <row r="351" spans="1:34" hidden="1">
      <c r="A351" s="40" t="s">
        <v>833</v>
      </c>
      <c r="B351" s="40">
        <v>0</v>
      </c>
      <c r="C351" s="40">
        <v>0</v>
      </c>
      <c r="D351" s="40">
        <v>0</v>
      </c>
      <c r="E351" s="40">
        <v>0</v>
      </c>
      <c r="F351" s="40">
        <v>0</v>
      </c>
      <c r="G351" s="40">
        <v>0</v>
      </c>
      <c r="H351" s="40">
        <v>160</v>
      </c>
      <c r="I351" s="40">
        <v>1483</v>
      </c>
      <c r="J351" s="40">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781</v>
      </c>
      <c r="AE351" s="19">
        <v>1104</v>
      </c>
      <c r="AF351">
        <v>3041</v>
      </c>
      <c r="AG351">
        <v>1124</v>
      </c>
      <c r="AH351">
        <v>3196</v>
      </c>
    </row>
    <row r="352" spans="1:34" hidden="1">
      <c r="A352" s="40" t="s">
        <v>851</v>
      </c>
      <c r="B352" s="40">
        <v>0</v>
      </c>
      <c r="C352" s="40">
        <v>0</v>
      </c>
      <c r="D352" s="40">
        <v>0</v>
      </c>
      <c r="E352" s="40">
        <v>0</v>
      </c>
      <c r="F352" s="40">
        <v>0</v>
      </c>
      <c r="G352" s="40">
        <v>301</v>
      </c>
      <c r="H352" s="40">
        <v>600</v>
      </c>
      <c r="I352" s="40">
        <v>576</v>
      </c>
      <c r="J352" s="40">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8" t="s">
        <v>630</v>
      </c>
      <c r="AE352" s="19">
        <v>1012</v>
      </c>
      <c r="AF352">
        <v>4711</v>
      </c>
      <c r="AG352">
        <v>900</v>
      </c>
      <c r="AH352">
        <v>3957</v>
      </c>
    </row>
    <row r="353" spans="1:34" hidden="1">
      <c r="A353" s="40" t="s">
        <v>1232</v>
      </c>
      <c r="B353" s="40">
        <v>0</v>
      </c>
      <c r="C353" s="40">
        <v>0</v>
      </c>
      <c r="D353" s="40">
        <v>0</v>
      </c>
      <c r="E353" s="40">
        <v>0</v>
      </c>
      <c r="F353" s="40">
        <v>0</v>
      </c>
      <c r="G353" s="40">
        <v>138</v>
      </c>
      <c r="H353" s="40">
        <v>416</v>
      </c>
      <c r="I353" s="40">
        <v>484</v>
      </c>
      <c r="J353" s="40">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693</v>
      </c>
      <c r="AE353" s="19">
        <v>563</v>
      </c>
      <c r="AF353">
        <v>1126</v>
      </c>
      <c r="AG353">
        <v>553</v>
      </c>
      <c r="AH353">
        <v>1189</v>
      </c>
    </row>
    <row r="354" spans="1:34" hidden="1">
      <c r="A354" s="40" t="s">
        <v>1233</v>
      </c>
      <c r="B354" s="40">
        <v>0</v>
      </c>
      <c r="C354" s="40">
        <v>0</v>
      </c>
      <c r="D354" s="40">
        <v>0</v>
      </c>
      <c r="E354" s="40">
        <v>0</v>
      </c>
      <c r="F354" s="40">
        <v>0</v>
      </c>
      <c r="G354" s="40">
        <v>0</v>
      </c>
      <c r="H354" s="40">
        <v>0</v>
      </c>
      <c r="I354" s="40">
        <v>408</v>
      </c>
      <c r="J354" s="40">
        <v>599</v>
      </c>
      <c r="K354">
        <v>871</v>
      </c>
      <c r="L354">
        <v>557</v>
      </c>
      <c r="M354">
        <v>780</v>
      </c>
      <c r="N354">
        <v>550</v>
      </c>
      <c r="O354">
        <v>0</v>
      </c>
      <c r="P354">
        <v>0</v>
      </c>
      <c r="Q354">
        <v>0</v>
      </c>
      <c r="R354">
        <v>0</v>
      </c>
      <c r="S354">
        <v>0</v>
      </c>
      <c r="T354">
        <v>0</v>
      </c>
      <c r="U354">
        <v>0</v>
      </c>
      <c r="V354">
        <v>122</v>
      </c>
      <c r="W354">
        <v>234</v>
      </c>
      <c r="X354">
        <v>328</v>
      </c>
      <c r="Y354">
        <v>236</v>
      </c>
      <c r="Z354">
        <v>330</v>
      </c>
      <c r="AA354">
        <v>182</v>
      </c>
      <c r="AD354" s="38" t="s">
        <v>626</v>
      </c>
      <c r="AE354" s="19">
        <v>994</v>
      </c>
      <c r="AF354">
        <v>5341</v>
      </c>
      <c r="AG354">
        <v>781</v>
      </c>
      <c r="AH354">
        <v>4714</v>
      </c>
    </row>
    <row r="355" spans="1:34" hidden="1">
      <c r="A355" s="40" t="s">
        <v>1092</v>
      </c>
      <c r="B355" s="40">
        <v>0</v>
      </c>
      <c r="C355" s="40">
        <v>0</v>
      </c>
      <c r="D355" s="40">
        <v>0</v>
      </c>
      <c r="E355" s="40">
        <v>0</v>
      </c>
      <c r="F355" s="40">
        <v>0</v>
      </c>
      <c r="G355" s="40">
        <v>0</v>
      </c>
      <c r="H355" s="40">
        <v>6</v>
      </c>
      <c r="I355" s="40">
        <v>957</v>
      </c>
      <c r="J355" s="40">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822</v>
      </c>
      <c r="AE355" s="19">
        <v>2392</v>
      </c>
      <c r="AF355">
        <v>4813</v>
      </c>
      <c r="AG355">
        <v>2708</v>
      </c>
      <c r="AH355">
        <v>4674</v>
      </c>
    </row>
    <row r="356" spans="1:34" hidden="1">
      <c r="A356" s="40" t="s">
        <v>1074</v>
      </c>
      <c r="B356" s="40">
        <v>0</v>
      </c>
      <c r="C356" s="40">
        <v>0</v>
      </c>
      <c r="D356" s="40">
        <v>0</v>
      </c>
      <c r="E356" s="40">
        <v>0</v>
      </c>
      <c r="F356" s="40">
        <v>0</v>
      </c>
      <c r="G356" s="40">
        <v>773</v>
      </c>
      <c r="H356" s="40">
        <v>647</v>
      </c>
      <c r="I356" s="40">
        <v>608</v>
      </c>
      <c r="J356" s="40">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4" t="s">
        <v>851</v>
      </c>
      <c r="AE356" s="19">
        <v>968</v>
      </c>
      <c r="AF356">
        <v>2161</v>
      </c>
      <c r="AG356">
        <v>1003</v>
      </c>
      <c r="AH356">
        <v>2293</v>
      </c>
    </row>
    <row r="357" spans="1:34" hidden="1">
      <c r="A357" s="40" t="s">
        <v>1131</v>
      </c>
      <c r="B357" s="40">
        <v>0</v>
      </c>
      <c r="C357" s="40">
        <v>0</v>
      </c>
      <c r="D357" s="40">
        <v>0</v>
      </c>
      <c r="E357" s="40">
        <v>0</v>
      </c>
      <c r="F357" s="40">
        <v>0</v>
      </c>
      <c r="G357" s="40">
        <v>7</v>
      </c>
      <c r="H357" s="40">
        <v>2458</v>
      </c>
      <c r="I357" s="40">
        <v>1177</v>
      </c>
      <c r="J357" s="40">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608</v>
      </c>
      <c r="AE357" s="19">
        <v>1050</v>
      </c>
      <c r="AF357">
        <v>3313</v>
      </c>
      <c r="AG357">
        <v>647</v>
      </c>
      <c r="AH357">
        <v>2596</v>
      </c>
    </row>
    <row r="358" spans="1:34" hidden="1">
      <c r="A358" s="40" t="s">
        <v>905</v>
      </c>
      <c r="B358" s="40">
        <v>0</v>
      </c>
      <c r="C358" s="40">
        <v>0</v>
      </c>
      <c r="D358" s="40">
        <v>0</v>
      </c>
      <c r="E358" s="40">
        <v>0</v>
      </c>
      <c r="F358" s="40">
        <v>0</v>
      </c>
      <c r="G358" s="40">
        <v>1446</v>
      </c>
      <c r="H358" s="40">
        <v>2491</v>
      </c>
      <c r="I358" s="40">
        <v>3474</v>
      </c>
      <c r="J358" s="40">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658</v>
      </c>
      <c r="AE358" s="19">
        <v>1164</v>
      </c>
      <c r="AF358">
        <v>2760</v>
      </c>
      <c r="AG358">
        <v>1126</v>
      </c>
      <c r="AH358">
        <v>2712</v>
      </c>
    </row>
    <row r="359" spans="1:34" hidden="1">
      <c r="A359" s="40" t="s">
        <v>960</v>
      </c>
      <c r="B359" s="40">
        <v>0</v>
      </c>
      <c r="C359" s="40">
        <v>0</v>
      </c>
      <c r="D359" s="40">
        <v>0</v>
      </c>
      <c r="E359" s="40">
        <v>0</v>
      </c>
      <c r="F359" s="40">
        <v>0</v>
      </c>
      <c r="G359" s="40">
        <v>1785</v>
      </c>
      <c r="H359" s="40">
        <v>1444</v>
      </c>
      <c r="I359" s="40">
        <v>1189</v>
      </c>
      <c r="J359" s="40">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8" t="s">
        <v>743</v>
      </c>
      <c r="AE359" s="19">
        <v>1206</v>
      </c>
      <c r="AF359">
        <v>5369</v>
      </c>
      <c r="AG359">
        <v>679</v>
      </c>
      <c r="AH359">
        <v>3541</v>
      </c>
    </row>
    <row r="360" spans="1:34" hidden="1">
      <c r="A360" s="40" t="s">
        <v>31</v>
      </c>
      <c r="B360" s="40">
        <v>0</v>
      </c>
      <c r="C360" s="40">
        <v>0</v>
      </c>
      <c r="D360" s="40">
        <v>0</v>
      </c>
      <c r="E360" s="40">
        <v>0</v>
      </c>
      <c r="F360" s="40">
        <v>0</v>
      </c>
      <c r="G360" s="40">
        <v>0</v>
      </c>
      <c r="H360" s="40">
        <v>0</v>
      </c>
      <c r="I360" s="40">
        <v>762</v>
      </c>
      <c r="J360" s="40">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4" t="s">
        <v>833</v>
      </c>
      <c r="AE360" s="19">
        <v>2452</v>
      </c>
      <c r="AF360">
        <v>11987</v>
      </c>
      <c r="AG360">
        <v>2540</v>
      </c>
      <c r="AH360">
        <v>11724</v>
      </c>
    </row>
    <row r="361" spans="1:34" hidden="1">
      <c r="A361" s="40" t="s">
        <v>231</v>
      </c>
      <c r="B361" s="40">
        <v>0</v>
      </c>
      <c r="C361" s="40">
        <v>0</v>
      </c>
      <c r="D361" s="40">
        <v>0</v>
      </c>
      <c r="E361" s="40">
        <v>0</v>
      </c>
      <c r="F361" s="40">
        <v>0</v>
      </c>
      <c r="G361" s="40">
        <v>7630</v>
      </c>
      <c r="H361" s="40">
        <v>2562</v>
      </c>
      <c r="I361" s="40">
        <v>2152</v>
      </c>
      <c r="J361" s="40">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8" t="s">
        <v>733</v>
      </c>
      <c r="AE361" s="19">
        <v>1081</v>
      </c>
      <c r="AF361">
        <v>2997</v>
      </c>
      <c r="AG361">
        <v>1041</v>
      </c>
      <c r="AH361">
        <v>2820</v>
      </c>
    </row>
    <row r="362" spans="1:34" hidden="1">
      <c r="A362" s="40" t="s">
        <v>1234</v>
      </c>
      <c r="B362" s="40">
        <v>0</v>
      </c>
      <c r="C362" s="40">
        <v>0</v>
      </c>
      <c r="D362" s="40">
        <v>0</v>
      </c>
      <c r="E362" s="40">
        <v>0</v>
      </c>
      <c r="F362" s="40">
        <v>0</v>
      </c>
      <c r="G362" s="40">
        <v>260</v>
      </c>
      <c r="H362" s="40">
        <v>228</v>
      </c>
      <c r="I362" s="40">
        <v>499</v>
      </c>
      <c r="J362" s="40">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889</v>
      </c>
      <c r="AE362" s="19">
        <v>2435</v>
      </c>
      <c r="AF362">
        <v>9302</v>
      </c>
      <c r="AG362">
        <v>3143</v>
      </c>
      <c r="AH362">
        <v>11288</v>
      </c>
    </row>
    <row r="363" spans="1:34" hidden="1">
      <c r="A363" s="40" t="s">
        <v>1235</v>
      </c>
      <c r="B363" s="40">
        <v>0</v>
      </c>
      <c r="C363" s="40">
        <v>0</v>
      </c>
      <c r="D363" s="40">
        <v>0</v>
      </c>
      <c r="E363" s="40">
        <v>74</v>
      </c>
      <c r="F363" s="40">
        <v>732</v>
      </c>
      <c r="G363" s="40">
        <v>2355</v>
      </c>
      <c r="H363" s="40">
        <v>1554</v>
      </c>
      <c r="I363" s="40">
        <v>1083</v>
      </c>
      <c r="J363" s="40">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8" t="s">
        <v>814</v>
      </c>
      <c r="AE363" s="19">
        <v>932</v>
      </c>
      <c r="AF363">
        <v>2798</v>
      </c>
      <c r="AG363">
        <v>849</v>
      </c>
      <c r="AH363">
        <v>3058</v>
      </c>
    </row>
    <row r="364" spans="1:34" hidden="1">
      <c r="A364" s="40" t="s">
        <v>1236</v>
      </c>
      <c r="B364" s="40">
        <v>0</v>
      </c>
      <c r="C364" s="40">
        <v>0</v>
      </c>
      <c r="D364" s="40">
        <v>0</v>
      </c>
      <c r="E364" s="40">
        <v>66</v>
      </c>
      <c r="F364" s="40">
        <v>40</v>
      </c>
      <c r="G364" s="40">
        <v>147</v>
      </c>
      <c r="H364" s="40">
        <v>138</v>
      </c>
      <c r="I364" s="40">
        <v>116</v>
      </c>
      <c r="J364" s="40">
        <v>178</v>
      </c>
      <c r="K364">
        <v>141</v>
      </c>
      <c r="L364">
        <v>183</v>
      </c>
      <c r="M364">
        <v>0</v>
      </c>
      <c r="N364">
        <v>61</v>
      </c>
      <c r="O364">
        <v>0</v>
      </c>
      <c r="P364">
        <v>0</v>
      </c>
      <c r="Q364">
        <v>0</v>
      </c>
      <c r="R364">
        <v>18</v>
      </c>
      <c r="S364">
        <v>12</v>
      </c>
      <c r="T364">
        <v>25</v>
      </c>
      <c r="U364">
        <v>31</v>
      </c>
      <c r="V364">
        <v>27</v>
      </c>
      <c r="W364">
        <v>45</v>
      </c>
      <c r="X364">
        <v>28</v>
      </c>
      <c r="Y364">
        <v>68</v>
      </c>
      <c r="Z364">
        <v>0</v>
      </c>
      <c r="AA364">
        <v>26</v>
      </c>
      <c r="AD364" s="38" t="s">
        <v>887</v>
      </c>
      <c r="AE364" s="19">
        <v>2202</v>
      </c>
      <c r="AF364">
        <v>6672</v>
      </c>
      <c r="AG364">
        <v>1648</v>
      </c>
      <c r="AH364">
        <v>5181</v>
      </c>
    </row>
    <row r="365" spans="1:34" hidden="1">
      <c r="A365" s="40" t="s">
        <v>335</v>
      </c>
      <c r="B365" s="40">
        <v>0</v>
      </c>
      <c r="C365" s="40">
        <v>0</v>
      </c>
      <c r="D365" s="40">
        <v>0</v>
      </c>
      <c r="E365" s="40">
        <v>216</v>
      </c>
      <c r="F365" s="40">
        <v>572</v>
      </c>
      <c r="G365" s="40">
        <v>531</v>
      </c>
      <c r="H365" s="40">
        <v>442</v>
      </c>
      <c r="I365" s="40">
        <v>923</v>
      </c>
      <c r="J365" s="40">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652</v>
      </c>
      <c r="AE365" s="19">
        <v>1002</v>
      </c>
      <c r="AF365">
        <v>3000</v>
      </c>
      <c r="AG365">
        <v>1090</v>
      </c>
      <c r="AH365">
        <v>3750</v>
      </c>
    </row>
    <row r="366" spans="1:34" hidden="1">
      <c r="A366" s="40" t="s">
        <v>1237</v>
      </c>
      <c r="B366" s="40">
        <v>0</v>
      </c>
      <c r="C366" s="40">
        <v>0</v>
      </c>
      <c r="D366" s="40">
        <v>0</v>
      </c>
      <c r="E366" s="40">
        <v>0</v>
      </c>
      <c r="F366" s="40">
        <v>0</v>
      </c>
      <c r="G366" s="40">
        <v>0</v>
      </c>
      <c r="H366" s="40">
        <v>0</v>
      </c>
      <c r="I366" s="40">
        <v>0</v>
      </c>
      <c r="J366" s="40">
        <v>187</v>
      </c>
      <c r="K366">
        <v>988</v>
      </c>
      <c r="L366">
        <v>532</v>
      </c>
      <c r="M366">
        <v>680</v>
      </c>
      <c r="N366">
        <v>0</v>
      </c>
      <c r="O366">
        <v>0</v>
      </c>
      <c r="P366">
        <v>0</v>
      </c>
      <c r="Q366">
        <v>0</v>
      </c>
      <c r="R366">
        <v>0</v>
      </c>
      <c r="S366">
        <v>0</v>
      </c>
      <c r="T366">
        <v>0</v>
      </c>
      <c r="U366">
        <v>0</v>
      </c>
      <c r="V366">
        <v>0</v>
      </c>
      <c r="W366">
        <v>38</v>
      </c>
      <c r="X366">
        <v>121</v>
      </c>
      <c r="Y366">
        <v>86</v>
      </c>
      <c r="Z366">
        <v>89</v>
      </c>
      <c r="AA366">
        <v>0</v>
      </c>
      <c r="AD366" s="28" t="s">
        <v>699</v>
      </c>
      <c r="AE366" s="19">
        <v>871</v>
      </c>
      <c r="AF366">
        <v>3124</v>
      </c>
      <c r="AG366">
        <v>1337</v>
      </c>
      <c r="AH366">
        <v>4374</v>
      </c>
    </row>
    <row r="367" spans="1:34" hidden="1">
      <c r="A367" s="40" t="s">
        <v>339</v>
      </c>
      <c r="B367" s="40">
        <v>0</v>
      </c>
      <c r="C367" s="40">
        <v>0</v>
      </c>
      <c r="D367" s="40">
        <v>0</v>
      </c>
      <c r="E367" s="40">
        <v>0</v>
      </c>
      <c r="F367" s="40">
        <v>0</v>
      </c>
      <c r="G367" s="40">
        <v>0</v>
      </c>
      <c r="H367" s="40">
        <v>0</v>
      </c>
      <c r="I367" s="40">
        <v>15</v>
      </c>
      <c r="J367" s="40">
        <v>282</v>
      </c>
      <c r="K367">
        <v>279</v>
      </c>
      <c r="L367">
        <v>175</v>
      </c>
      <c r="M367">
        <v>310</v>
      </c>
      <c r="N367">
        <v>457</v>
      </c>
      <c r="O367">
        <v>0</v>
      </c>
      <c r="P367">
        <v>0</v>
      </c>
      <c r="Q367">
        <v>0</v>
      </c>
      <c r="R367">
        <v>0</v>
      </c>
      <c r="S367">
        <v>0</v>
      </c>
      <c r="T367">
        <v>0</v>
      </c>
      <c r="U367">
        <v>0</v>
      </c>
      <c r="V367">
        <v>0</v>
      </c>
      <c r="W367">
        <v>50</v>
      </c>
      <c r="X367">
        <v>47</v>
      </c>
      <c r="Y367">
        <v>22</v>
      </c>
      <c r="Z367">
        <v>38</v>
      </c>
      <c r="AA367">
        <v>72</v>
      </c>
      <c r="AE367" s="19"/>
    </row>
    <row r="368" spans="1:34" hidden="1">
      <c r="A368" s="40" t="s">
        <v>139</v>
      </c>
      <c r="B368" s="40">
        <v>0</v>
      </c>
      <c r="C368" s="40">
        <v>0</v>
      </c>
      <c r="D368" s="40">
        <v>0</v>
      </c>
      <c r="E368" s="40">
        <v>0</v>
      </c>
      <c r="F368" s="40">
        <v>0</v>
      </c>
      <c r="G368" s="40">
        <v>0</v>
      </c>
      <c r="H368" s="40">
        <v>0</v>
      </c>
      <c r="I368" s="40">
        <v>3</v>
      </c>
      <c r="J368" s="40">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9"/>
    </row>
    <row r="369" spans="1:34" hidden="1">
      <c r="A369" s="40" t="s">
        <v>37</v>
      </c>
      <c r="B369" s="40">
        <v>0</v>
      </c>
      <c r="C369" s="40">
        <v>0</v>
      </c>
      <c r="D369" s="40">
        <v>0</v>
      </c>
      <c r="E369" s="40">
        <v>0</v>
      </c>
      <c r="F369" s="40">
        <v>0</v>
      </c>
      <c r="G369" s="40">
        <v>0</v>
      </c>
      <c r="H369" s="40">
        <v>0</v>
      </c>
      <c r="I369" s="40">
        <v>0</v>
      </c>
      <c r="J369" s="40">
        <v>0</v>
      </c>
      <c r="K369">
        <v>89</v>
      </c>
      <c r="L369">
        <v>1099</v>
      </c>
      <c r="M369">
        <v>901</v>
      </c>
      <c r="N369">
        <v>1775</v>
      </c>
      <c r="O369">
        <v>0</v>
      </c>
      <c r="P369">
        <v>0</v>
      </c>
      <c r="Q369">
        <v>0</v>
      </c>
      <c r="R369">
        <v>0</v>
      </c>
      <c r="S369">
        <v>0</v>
      </c>
      <c r="T369">
        <v>0</v>
      </c>
      <c r="U369">
        <v>0</v>
      </c>
      <c r="V369">
        <v>0</v>
      </c>
      <c r="W369">
        <v>0</v>
      </c>
      <c r="X369">
        <v>24</v>
      </c>
      <c r="Y369">
        <v>339</v>
      </c>
      <c r="Z369">
        <v>137</v>
      </c>
      <c r="AA369">
        <v>370</v>
      </c>
      <c r="AE369" s="19"/>
    </row>
    <row r="370" spans="1:34" hidden="1">
      <c r="A370" s="40" t="s">
        <v>121</v>
      </c>
      <c r="B370" s="40">
        <v>0</v>
      </c>
      <c r="C370" s="40">
        <v>0</v>
      </c>
      <c r="D370" s="40">
        <v>0</v>
      </c>
      <c r="E370" s="40">
        <v>0</v>
      </c>
      <c r="F370" s="40">
        <v>0</v>
      </c>
      <c r="G370" s="40">
        <v>0</v>
      </c>
      <c r="H370" s="40">
        <v>0</v>
      </c>
      <c r="I370" s="40">
        <v>1854</v>
      </c>
      <c r="J370" s="40">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9"/>
    </row>
    <row r="371" spans="1:34" hidden="1">
      <c r="A371" s="40" t="s">
        <v>277</v>
      </c>
      <c r="B371" s="40">
        <v>0</v>
      </c>
      <c r="C371" s="40">
        <v>0</v>
      </c>
      <c r="D371" s="40">
        <v>0</v>
      </c>
      <c r="E371" s="40">
        <v>0</v>
      </c>
      <c r="F371" s="40">
        <v>0</v>
      </c>
      <c r="G371" s="40">
        <v>0</v>
      </c>
      <c r="H371" s="40">
        <v>18</v>
      </c>
      <c r="I371" s="40">
        <v>1584</v>
      </c>
      <c r="J371" s="40">
        <v>722</v>
      </c>
      <c r="K371">
        <v>2957</v>
      </c>
      <c r="L371">
        <v>3729</v>
      </c>
      <c r="M371">
        <v>1711</v>
      </c>
      <c r="N371">
        <v>4745</v>
      </c>
      <c r="O371">
        <v>0</v>
      </c>
      <c r="P371">
        <v>0</v>
      </c>
      <c r="Q371">
        <v>0</v>
      </c>
      <c r="R371">
        <v>0</v>
      </c>
      <c r="S371">
        <v>0</v>
      </c>
      <c r="T371">
        <v>0</v>
      </c>
      <c r="U371">
        <v>0</v>
      </c>
      <c r="V371">
        <v>24</v>
      </c>
      <c r="W371">
        <v>20</v>
      </c>
      <c r="X371">
        <v>87</v>
      </c>
      <c r="Y371">
        <v>66</v>
      </c>
      <c r="Z371">
        <v>67</v>
      </c>
      <c r="AA371">
        <v>201</v>
      </c>
      <c r="AE371" s="19"/>
    </row>
    <row r="372" spans="1:34" hidden="1">
      <c r="A372" s="40" t="s">
        <v>50</v>
      </c>
      <c r="B372" s="40">
        <v>0</v>
      </c>
      <c r="C372" s="40">
        <v>0</v>
      </c>
      <c r="D372" s="40">
        <v>0</v>
      </c>
      <c r="E372" s="40">
        <v>0</v>
      </c>
      <c r="F372" s="40">
        <v>0</v>
      </c>
      <c r="G372" s="40">
        <v>0</v>
      </c>
      <c r="H372" s="40">
        <v>0</v>
      </c>
      <c r="I372" s="40">
        <v>169</v>
      </c>
      <c r="J372" s="40">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9"/>
    </row>
    <row r="373" spans="1:34" hidden="1">
      <c r="A373" s="40" t="s">
        <v>501</v>
      </c>
      <c r="B373" s="40">
        <v>0</v>
      </c>
      <c r="C373" s="40">
        <v>0</v>
      </c>
      <c r="D373" s="40">
        <v>0</v>
      </c>
      <c r="E373" s="40">
        <v>0</v>
      </c>
      <c r="F373" s="40">
        <v>0</v>
      </c>
      <c r="G373" s="40">
        <v>0</v>
      </c>
      <c r="H373" s="40">
        <v>0</v>
      </c>
      <c r="I373" s="40">
        <v>0</v>
      </c>
      <c r="J373" s="40">
        <v>0</v>
      </c>
      <c r="K373">
        <v>1</v>
      </c>
      <c r="L373">
        <v>432</v>
      </c>
      <c r="M373">
        <v>794</v>
      </c>
      <c r="N373">
        <v>1176</v>
      </c>
      <c r="O373">
        <v>0</v>
      </c>
      <c r="P373">
        <v>0</v>
      </c>
      <c r="Q373">
        <v>0</v>
      </c>
      <c r="R373">
        <v>0</v>
      </c>
      <c r="S373">
        <v>0</v>
      </c>
      <c r="T373">
        <v>0</v>
      </c>
      <c r="U373">
        <v>0</v>
      </c>
      <c r="V373">
        <v>0</v>
      </c>
      <c r="W373">
        <v>0</v>
      </c>
      <c r="X373">
        <v>0</v>
      </c>
      <c r="Y373">
        <v>153</v>
      </c>
      <c r="Z373">
        <v>202</v>
      </c>
      <c r="AA373">
        <v>338</v>
      </c>
      <c r="AE373" s="19"/>
    </row>
    <row r="374" spans="1:34" hidden="1">
      <c r="A374" s="40" t="s">
        <v>113</v>
      </c>
      <c r="B374" s="40">
        <v>0</v>
      </c>
      <c r="C374" s="40">
        <v>0</v>
      </c>
      <c r="D374" s="40">
        <v>0</v>
      </c>
      <c r="E374" s="40">
        <v>0</v>
      </c>
      <c r="F374" s="40">
        <v>0</v>
      </c>
      <c r="G374" s="40">
        <v>0</v>
      </c>
      <c r="H374" s="40">
        <v>0</v>
      </c>
      <c r="I374" s="40">
        <v>699</v>
      </c>
      <c r="J374" s="40">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9"/>
    </row>
    <row r="375" spans="1:34" hidden="1">
      <c r="A375" s="40" t="s">
        <v>521</v>
      </c>
      <c r="B375" s="40">
        <v>0</v>
      </c>
      <c r="C375" s="40">
        <v>0</v>
      </c>
      <c r="D375" s="40">
        <v>0</v>
      </c>
      <c r="E375" s="40">
        <v>0</v>
      </c>
      <c r="F375" s="40">
        <v>0</v>
      </c>
      <c r="G375" s="40">
        <v>0</v>
      </c>
      <c r="H375" s="40">
        <v>0</v>
      </c>
      <c r="I375" s="40">
        <v>0</v>
      </c>
      <c r="J375" s="40">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788</v>
      </c>
      <c r="AE375" s="19">
        <v>0</v>
      </c>
      <c r="AF375">
        <v>204</v>
      </c>
      <c r="AG375">
        <v>0</v>
      </c>
      <c r="AH375">
        <v>319</v>
      </c>
    </row>
    <row r="376" spans="1:34" hidden="1">
      <c r="A376" s="40" t="s">
        <v>107</v>
      </c>
      <c r="B376" s="40">
        <v>0</v>
      </c>
      <c r="C376" s="40">
        <v>0</v>
      </c>
      <c r="D376" s="40">
        <v>0</v>
      </c>
      <c r="E376" s="40">
        <v>0</v>
      </c>
      <c r="F376" s="40">
        <v>0</v>
      </c>
      <c r="G376" s="40">
        <v>0</v>
      </c>
      <c r="H376" s="40">
        <v>0</v>
      </c>
      <c r="I376" s="40">
        <v>0</v>
      </c>
      <c r="J376" s="40">
        <v>0</v>
      </c>
      <c r="K376">
        <v>199</v>
      </c>
      <c r="L376">
        <v>944</v>
      </c>
      <c r="M376">
        <v>1775</v>
      </c>
      <c r="N376">
        <v>2660</v>
      </c>
      <c r="O376">
        <v>0</v>
      </c>
      <c r="P376">
        <v>0</v>
      </c>
      <c r="Q376">
        <v>0</v>
      </c>
      <c r="R376">
        <v>0</v>
      </c>
      <c r="S376">
        <v>0</v>
      </c>
      <c r="T376">
        <v>0</v>
      </c>
      <c r="U376">
        <v>0</v>
      </c>
      <c r="V376">
        <v>0</v>
      </c>
      <c r="W376">
        <v>0</v>
      </c>
      <c r="X376">
        <v>36</v>
      </c>
      <c r="Y376">
        <v>154</v>
      </c>
      <c r="Z376">
        <v>291</v>
      </c>
      <c r="AA376">
        <v>400</v>
      </c>
      <c r="AD376" t="s">
        <v>905</v>
      </c>
      <c r="AE376" s="19">
        <v>3508</v>
      </c>
      <c r="AF376">
        <v>15392</v>
      </c>
      <c r="AG376">
        <v>3259</v>
      </c>
      <c r="AH376">
        <v>13188</v>
      </c>
    </row>
    <row r="377" spans="1:34" hidden="1">
      <c r="A377" s="40" t="s">
        <v>205</v>
      </c>
      <c r="B377" s="40">
        <v>0</v>
      </c>
      <c r="C377" s="40">
        <v>0</v>
      </c>
      <c r="D377" s="40">
        <v>0</v>
      </c>
      <c r="E377" s="40">
        <v>0</v>
      </c>
      <c r="F377" s="40">
        <v>0</v>
      </c>
      <c r="G377" s="40">
        <v>0</v>
      </c>
      <c r="H377" s="40">
        <v>0</v>
      </c>
      <c r="I377" s="40">
        <v>0</v>
      </c>
      <c r="J377" s="40">
        <v>8</v>
      </c>
      <c r="K377">
        <v>1041</v>
      </c>
      <c r="L377">
        <v>1036</v>
      </c>
      <c r="M377">
        <v>1029</v>
      </c>
      <c r="N377">
        <v>2453</v>
      </c>
      <c r="O377">
        <v>0</v>
      </c>
      <c r="P377">
        <v>0</v>
      </c>
      <c r="Q377">
        <v>0</v>
      </c>
      <c r="R377">
        <v>0</v>
      </c>
      <c r="S377">
        <v>0</v>
      </c>
      <c r="T377">
        <v>0</v>
      </c>
      <c r="U377">
        <v>0</v>
      </c>
      <c r="V377">
        <v>0</v>
      </c>
      <c r="W377">
        <v>0</v>
      </c>
      <c r="X377">
        <v>171</v>
      </c>
      <c r="Y377">
        <v>171</v>
      </c>
      <c r="Z377">
        <v>133</v>
      </c>
      <c r="AA377">
        <v>422</v>
      </c>
      <c r="AD377" t="s">
        <v>1108</v>
      </c>
      <c r="AE377" s="19">
        <v>4183</v>
      </c>
      <c r="AF377">
        <v>8194</v>
      </c>
      <c r="AG377">
        <v>4580</v>
      </c>
      <c r="AH377">
        <v>8690</v>
      </c>
    </row>
    <row r="378" spans="1:34" hidden="1">
      <c r="A378" s="40" t="s">
        <v>453</v>
      </c>
      <c r="B378" s="40">
        <v>0</v>
      </c>
      <c r="C378" s="40">
        <v>0</v>
      </c>
      <c r="D378" s="40">
        <v>0</v>
      </c>
      <c r="E378" s="40">
        <v>0</v>
      </c>
      <c r="F378" s="40">
        <v>0</v>
      </c>
      <c r="G378" s="40">
        <v>0</v>
      </c>
      <c r="H378" s="40">
        <v>0</v>
      </c>
      <c r="I378" s="40">
        <v>0</v>
      </c>
      <c r="J378" s="40">
        <v>0</v>
      </c>
      <c r="K378">
        <v>365</v>
      </c>
      <c r="L378">
        <v>961</v>
      </c>
      <c r="M378">
        <v>851</v>
      </c>
      <c r="N378">
        <v>1606</v>
      </c>
      <c r="O378">
        <v>0</v>
      </c>
      <c r="P378">
        <v>0</v>
      </c>
      <c r="Q378">
        <v>0</v>
      </c>
      <c r="R378">
        <v>0</v>
      </c>
      <c r="S378">
        <v>0</v>
      </c>
      <c r="T378">
        <v>0</v>
      </c>
      <c r="U378">
        <v>0</v>
      </c>
      <c r="V378">
        <v>0</v>
      </c>
      <c r="W378">
        <v>0</v>
      </c>
      <c r="X378">
        <v>73</v>
      </c>
      <c r="Y378">
        <v>253</v>
      </c>
      <c r="Z378">
        <v>222</v>
      </c>
      <c r="AA378">
        <v>355</v>
      </c>
      <c r="AD378" t="s">
        <v>1104</v>
      </c>
      <c r="AE378" s="19">
        <v>2357</v>
      </c>
      <c r="AF378">
        <v>9489</v>
      </c>
      <c r="AG378">
        <v>2852</v>
      </c>
      <c r="AH378">
        <v>12715</v>
      </c>
    </row>
    <row r="379" spans="1:34" hidden="1">
      <c r="A379" s="40" t="s">
        <v>1238</v>
      </c>
      <c r="B379" s="40">
        <v>0</v>
      </c>
      <c r="C379" s="40">
        <v>0</v>
      </c>
      <c r="D379" s="40">
        <v>0</v>
      </c>
      <c r="E379" s="40">
        <v>0</v>
      </c>
      <c r="F379" s="40">
        <v>0</v>
      </c>
      <c r="G379" s="40">
        <v>1321</v>
      </c>
      <c r="H379" s="40">
        <v>2615</v>
      </c>
      <c r="I379" s="40">
        <v>2472</v>
      </c>
      <c r="J379" s="40">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946</v>
      </c>
      <c r="AE379" s="19">
        <v>1605</v>
      </c>
      <c r="AF379">
        <v>3876</v>
      </c>
      <c r="AG379">
        <v>1204</v>
      </c>
      <c r="AH379">
        <v>3437</v>
      </c>
    </row>
    <row r="380" spans="1:34" hidden="1">
      <c r="A380" s="40" t="s">
        <v>630</v>
      </c>
      <c r="B380" s="40">
        <v>0</v>
      </c>
      <c r="C380" s="40">
        <v>0</v>
      </c>
      <c r="D380" s="40">
        <v>0</v>
      </c>
      <c r="E380" s="40">
        <v>0</v>
      </c>
      <c r="F380" s="40">
        <v>0</v>
      </c>
      <c r="G380" s="40">
        <v>0</v>
      </c>
      <c r="H380" s="40">
        <v>0</v>
      </c>
      <c r="I380" s="40">
        <v>0</v>
      </c>
      <c r="J380" s="40">
        <v>168</v>
      </c>
      <c r="K380">
        <v>609</v>
      </c>
      <c r="L380">
        <v>662</v>
      </c>
      <c r="M380">
        <v>945</v>
      </c>
      <c r="N380">
        <v>1137</v>
      </c>
      <c r="O380">
        <v>0</v>
      </c>
      <c r="P380">
        <v>0</v>
      </c>
      <c r="Q380">
        <v>0</v>
      </c>
      <c r="R380">
        <v>0</v>
      </c>
      <c r="S380">
        <v>0</v>
      </c>
      <c r="T380">
        <v>0</v>
      </c>
      <c r="U380">
        <v>0</v>
      </c>
      <c r="V380">
        <v>0</v>
      </c>
      <c r="W380">
        <v>34</v>
      </c>
      <c r="X380">
        <v>143</v>
      </c>
      <c r="Y380">
        <v>141</v>
      </c>
      <c r="Z380">
        <v>221</v>
      </c>
      <c r="AA380">
        <v>241</v>
      </c>
      <c r="AD380" t="s">
        <v>1051</v>
      </c>
      <c r="AE380" s="19">
        <v>1961</v>
      </c>
      <c r="AF380">
        <v>6052</v>
      </c>
      <c r="AG380">
        <v>1504</v>
      </c>
      <c r="AH380">
        <v>4817</v>
      </c>
    </row>
    <row r="381" spans="1:34" hidden="1">
      <c r="A381" s="40" t="s">
        <v>891</v>
      </c>
      <c r="B381" s="40">
        <v>0</v>
      </c>
      <c r="C381" s="40">
        <v>0</v>
      </c>
      <c r="D381" s="40">
        <v>0</v>
      </c>
      <c r="E381" s="40">
        <v>0</v>
      </c>
      <c r="F381" s="40">
        <v>0</v>
      </c>
      <c r="G381" s="40">
        <v>0</v>
      </c>
      <c r="H381" s="40">
        <v>0</v>
      </c>
      <c r="I381" s="40">
        <v>0</v>
      </c>
      <c r="J381" s="40">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1120</v>
      </c>
      <c r="AE381" s="19">
        <v>2820</v>
      </c>
      <c r="AF381">
        <v>8999</v>
      </c>
      <c r="AG381">
        <v>3060</v>
      </c>
      <c r="AH381">
        <v>10194</v>
      </c>
    </row>
    <row r="382" spans="1:34" hidden="1">
      <c r="A382" s="40" t="s">
        <v>669</v>
      </c>
      <c r="B382" s="40">
        <v>0</v>
      </c>
      <c r="C382" s="40">
        <v>0</v>
      </c>
      <c r="D382" s="40">
        <v>0</v>
      </c>
      <c r="E382" s="40">
        <v>0</v>
      </c>
      <c r="F382" s="40">
        <v>0</v>
      </c>
      <c r="G382" s="40">
        <v>0</v>
      </c>
      <c r="H382" s="40">
        <v>0</v>
      </c>
      <c r="I382" s="40">
        <v>0</v>
      </c>
      <c r="J382" s="40">
        <v>0</v>
      </c>
      <c r="K382">
        <v>75</v>
      </c>
      <c r="L382">
        <v>647</v>
      </c>
      <c r="M382">
        <v>1370</v>
      </c>
      <c r="N382">
        <v>949</v>
      </c>
      <c r="O382">
        <v>0</v>
      </c>
      <c r="P382">
        <v>0</v>
      </c>
      <c r="Q382">
        <v>0</v>
      </c>
      <c r="R382">
        <v>0</v>
      </c>
      <c r="S382">
        <v>0</v>
      </c>
      <c r="T382">
        <v>0</v>
      </c>
      <c r="U382">
        <v>0</v>
      </c>
      <c r="V382">
        <v>0</v>
      </c>
      <c r="W382">
        <v>0</v>
      </c>
      <c r="X382">
        <v>21</v>
      </c>
      <c r="Y382">
        <v>197</v>
      </c>
      <c r="Z382">
        <v>381</v>
      </c>
      <c r="AA382">
        <v>235</v>
      </c>
      <c r="AD382" t="s">
        <v>931</v>
      </c>
      <c r="AE382" s="19">
        <v>4202</v>
      </c>
      <c r="AF382">
        <v>11724</v>
      </c>
      <c r="AG382">
        <v>3828</v>
      </c>
      <c r="AH382">
        <v>10399</v>
      </c>
    </row>
    <row r="383" spans="1:34" hidden="1">
      <c r="A383" s="40" t="s">
        <v>606</v>
      </c>
      <c r="B383" s="40">
        <v>0</v>
      </c>
      <c r="C383" s="40">
        <v>0</v>
      </c>
      <c r="D383" s="40">
        <v>0</v>
      </c>
      <c r="E383" s="40">
        <v>0</v>
      </c>
      <c r="F383" s="40">
        <v>0</v>
      </c>
      <c r="G383" s="40">
        <v>0</v>
      </c>
      <c r="H383" s="40">
        <v>0</v>
      </c>
      <c r="I383" s="40">
        <v>0</v>
      </c>
      <c r="J383" s="40">
        <v>19</v>
      </c>
      <c r="K383">
        <v>317</v>
      </c>
      <c r="L383">
        <v>353</v>
      </c>
      <c r="M383">
        <v>423</v>
      </c>
      <c r="N383">
        <v>836</v>
      </c>
      <c r="O383">
        <v>0</v>
      </c>
      <c r="P383">
        <v>0</v>
      </c>
      <c r="Q383">
        <v>0</v>
      </c>
      <c r="R383">
        <v>0</v>
      </c>
      <c r="S383">
        <v>0</v>
      </c>
      <c r="T383">
        <v>0</v>
      </c>
      <c r="U383">
        <v>0</v>
      </c>
      <c r="V383">
        <v>0</v>
      </c>
      <c r="W383">
        <v>4</v>
      </c>
      <c r="X383">
        <v>83</v>
      </c>
      <c r="Y383">
        <v>89</v>
      </c>
      <c r="Z383">
        <v>101</v>
      </c>
      <c r="AA383">
        <v>231</v>
      </c>
      <c r="AD383" t="s">
        <v>957</v>
      </c>
      <c r="AE383" s="19">
        <v>706</v>
      </c>
      <c r="AF383">
        <v>2687</v>
      </c>
      <c r="AG383">
        <v>665</v>
      </c>
      <c r="AH383">
        <v>2636</v>
      </c>
    </row>
    <row r="384" spans="1:34" hidden="1">
      <c r="A384" s="40" t="s">
        <v>1239</v>
      </c>
      <c r="B384" s="40">
        <v>0</v>
      </c>
      <c r="C384" s="40">
        <v>0</v>
      </c>
      <c r="D384" s="40">
        <v>0</v>
      </c>
      <c r="E384" s="40">
        <v>0</v>
      </c>
      <c r="F384" s="40">
        <v>0</v>
      </c>
      <c r="G384" s="40">
        <v>0</v>
      </c>
      <c r="H384" s="40">
        <v>0</v>
      </c>
      <c r="I384" s="40">
        <v>729</v>
      </c>
      <c r="J384" s="40">
        <v>77</v>
      </c>
      <c r="K384">
        <v>36</v>
      </c>
      <c r="L384">
        <v>48</v>
      </c>
      <c r="M384">
        <v>9</v>
      </c>
      <c r="N384">
        <v>13</v>
      </c>
      <c r="O384">
        <v>0</v>
      </c>
      <c r="P384">
        <v>0</v>
      </c>
      <c r="Q384">
        <v>0</v>
      </c>
      <c r="R384">
        <v>0</v>
      </c>
      <c r="S384">
        <v>0</v>
      </c>
      <c r="T384">
        <v>0</v>
      </c>
      <c r="U384">
        <v>0</v>
      </c>
      <c r="V384">
        <v>0</v>
      </c>
      <c r="W384">
        <v>0</v>
      </c>
      <c r="X384">
        <v>0</v>
      </c>
      <c r="Y384">
        <v>0</v>
      </c>
      <c r="Z384">
        <v>0</v>
      </c>
      <c r="AA384">
        <v>0</v>
      </c>
      <c r="AD384" t="s">
        <v>1028</v>
      </c>
      <c r="AE384" s="19">
        <v>1460</v>
      </c>
      <c r="AF384">
        <v>5677</v>
      </c>
      <c r="AG384">
        <v>1391</v>
      </c>
      <c r="AH384">
        <v>5239</v>
      </c>
    </row>
    <row r="385" spans="1:34" hidden="1">
      <c r="A385" s="40" t="s">
        <v>1240</v>
      </c>
      <c r="B385" s="40">
        <v>0</v>
      </c>
      <c r="C385" s="40">
        <v>0</v>
      </c>
      <c r="D385" s="40">
        <v>0</v>
      </c>
      <c r="E385" s="40">
        <v>0</v>
      </c>
      <c r="F385" s="40">
        <v>0</v>
      </c>
      <c r="G385" s="40">
        <v>0</v>
      </c>
      <c r="H385" s="40">
        <v>0</v>
      </c>
      <c r="I385" s="40">
        <v>1351</v>
      </c>
      <c r="J385" s="40">
        <v>465</v>
      </c>
      <c r="K385">
        <v>306</v>
      </c>
      <c r="L385">
        <v>240</v>
      </c>
      <c r="M385">
        <v>151</v>
      </c>
      <c r="N385">
        <v>102</v>
      </c>
      <c r="O385">
        <v>0</v>
      </c>
      <c r="P385">
        <v>0</v>
      </c>
      <c r="Q385">
        <v>0</v>
      </c>
      <c r="R385">
        <v>0</v>
      </c>
      <c r="S385">
        <v>0</v>
      </c>
      <c r="T385">
        <v>0</v>
      </c>
      <c r="U385">
        <v>0</v>
      </c>
      <c r="V385">
        <v>0</v>
      </c>
      <c r="W385">
        <v>0</v>
      </c>
      <c r="X385">
        <v>0</v>
      </c>
      <c r="Y385">
        <v>0</v>
      </c>
      <c r="Z385">
        <v>0</v>
      </c>
      <c r="AA385">
        <v>0</v>
      </c>
      <c r="AD385" t="s">
        <v>1008</v>
      </c>
      <c r="AE385" s="19">
        <v>871</v>
      </c>
      <c r="AF385">
        <v>2362</v>
      </c>
      <c r="AG385">
        <v>856</v>
      </c>
      <c r="AH385">
        <v>2160</v>
      </c>
    </row>
    <row r="386" spans="1:34" hidden="1">
      <c r="A386" s="40" t="s">
        <v>1106</v>
      </c>
      <c r="B386" s="40">
        <v>0</v>
      </c>
      <c r="C386" s="40">
        <v>0</v>
      </c>
      <c r="D386" s="40">
        <v>0</v>
      </c>
      <c r="E386" s="40">
        <v>0</v>
      </c>
      <c r="F386" s="40">
        <v>0</v>
      </c>
      <c r="G386" s="40">
        <v>0</v>
      </c>
      <c r="H386" s="40">
        <v>0</v>
      </c>
      <c r="I386" s="40">
        <v>0</v>
      </c>
      <c r="J386" s="40">
        <v>0</v>
      </c>
      <c r="K386">
        <v>574</v>
      </c>
      <c r="L386">
        <v>1481</v>
      </c>
      <c r="M386">
        <v>1922</v>
      </c>
      <c r="N386">
        <v>2377</v>
      </c>
      <c r="O386">
        <v>0</v>
      </c>
      <c r="P386">
        <v>0</v>
      </c>
      <c r="Q386">
        <v>0</v>
      </c>
      <c r="R386">
        <v>0</v>
      </c>
      <c r="S386">
        <v>0</v>
      </c>
      <c r="T386">
        <v>0</v>
      </c>
      <c r="U386">
        <v>0</v>
      </c>
      <c r="V386">
        <v>0</v>
      </c>
      <c r="W386">
        <v>0</v>
      </c>
      <c r="X386">
        <v>4</v>
      </c>
      <c r="Y386">
        <v>102</v>
      </c>
      <c r="Z386">
        <v>153</v>
      </c>
      <c r="AA386">
        <v>215</v>
      </c>
      <c r="AD386" t="s">
        <v>1128</v>
      </c>
      <c r="AE386" s="19">
        <v>4871</v>
      </c>
      <c r="AF386">
        <v>10959</v>
      </c>
      <c r="AG386">
        <v>5077</v>
      </c>
      <c r="AH386">
        <v>10868</v>
      </c>
    </row>
    <row r="387" spans="1:34" hidden="1">
      <c r="A387" s="40" t="s">
        <v>997</v>
      </c>
      <c r="B387" s="40">
        <v>0</v>
      </c>
      <c r="C387" s="40">
        <v>0</v>
      </c>
      <c r="D387" s="40">
        <v>0</v>
      </c>
      <c r="E387" s="40">
        <v>0</v>
      </c>
      <c r="F387" s="40">
        <v>0</v>
      </c>
      <c r="G387" s="40">
        <v>0</v>
      </c>
      <c r="H387" s="40">
        <v>0</v>
      </c>
      <c r="I387" s="40">
        <v>0</v>
      </c>
      <c r="J387" s="40">
        <v>0</v>
      </c>
      <c r="K387">
        <v>8</v>
      </c>
      <c r="L387">
        <v>98</v>
      </c>
      <c r="M387">
        <v>578</v>
      </c>
      <c r="N387">
        <v>559</v>
      </c>
      <c r="O387">
        <v>0</v>
      </c>
      <c r="P387">
        <v>0</v>
      </c>
      <c r="Q387">
        <v>0</v>
      </c>
      <c r="R387">
        <v>0</v>
      </c>
      <c r="S387">
        <v>0</v>
      </c>
      <c r="T387">
        <v>0</v>
      </c>
      <c r="U387">
        <v>0</v>
      </c>
      <c r="V387">
        <v>0</v>
      </c>
      <c r="W387">
        <v>0</v>
      </c>
      <c r="X387">
        <v>0</v>
      </c>
      <c r="Y387">
        <v>15</v>
      </c>
      <c r="Z387">
        <v>78</v>
      </c>
      <c r="AA387">
        <v>75</v>
      </c>
      <c r="AD387" t="s">
        <v>913</v>
      </c>
      <c r="AE387" s="19">
        <v>10863</v>
      </c>
      <c r="AF387">
        <v>29065</v>
      </c>
      <c r="AG387">
        <v>10681</v>
      </c>
      <c r="AH387">
        <v>28479</v>
      </c>
    </row>
    <row r="388" spans="1:34" hidden="1">
      <c r="A388" s="40" t="s">
        <v>938</v>
      </c>
      <c r="B388" s="40">
        <v>0</v>
      </c>
      <c r="C388" s="40">
        <v>0</v>
      </c>
      <c r="D388" s="40">
        <v>0</v>
      </c>
      <c r="E388" s="40">
        <v>0</v>
      </c>
      <c r="F388" s="40">
        <v>0</v>
      </c>
      <c r="G388" s="40">
        <v>0</v>
      </c>
      <c r="H388" s="40">
        <v>0</v>
      </c>
      <c r="I388" s="40">
        <v>0</v>
      </c>
      <c r="J388" s="40">
        <v>0</v>
      </c>
      <c r="K388">
        <v>30</v>
      </c>
      <c r="L388">
        <v>119</v>
      </c>
      <c r="M388">
        <v>327</v>
      </c>
      <c r="N388">
        <v>295</v>
      </c>
      <c r="O388">
        <v>0</v>
      </c>
      <c r="P388">
        <v>0</v>
      </c>
      <c r="Q388">
        <v>0</v>
      </c>
      <c r="R388">
        <v>0</v>
      </c>
      <c r="S388">
        <v>0</v>
      </c>
      <c r="T388">
        <v>0</v>
      </c>
      <c r="U388">
        <v>0</v>
      </c>
      <c r="V388">
        <v>0</v>
      </c>
      <c r="W388">
        <v>0</v>
      </c>
      <c r="X388">
        <v>0</v>
      </c>
      <c r="Y388">
        <v>15</v>
      </c>
      <c r="Z388">
        <v>43</v>
      </c>
      <c r="AA388">
        <v>53</v>
      </c>
      <c r="AD388" t="s">
        <v>985</v>
      </c>
      <c r="AE388" s="19">
        <v>2105</v>
      </c>
      <c r="AF388">
        <v>8662</v>
      </c>
      <c r="AG388">
        <v>1579</v>
      </c>
      <c r="AH388">
        <v>7006</v>
      </c>
    </row>
    <row r="389" spans="1:34" hidden="1">
      <c r="A389" s="40" t="s">
        <v>1241</v>
      </c>
      <c r="B389" s="40">
        <v>0</v>
      </c>
      <c r="C389" s="40">
        <v>0</v>
      </c>
      <c r="D389" s="40">
        <v>0</v>
      </c>
      <c r="E389" s="40">
        <v>0</v>
      </c>
      <c r="F389" s="40">
        <v>0</v>
      </c>
      <c r="G389" s="40">
        <v>0</v>
      </c>
      <c r="H389" s="40">
        <v>0</v>
      </c>
      <c r="I389" s="40">
        <v>1661</v>
      </c>
      <c r="J389" s="40">
        <v>427</v>
      </c>
      <c r="K389">
        <v>205</v>
      </c>
      <c r="L389">
        <v>301</v>
      </c>
      <c r="M389">
        <v>64</v>
      </c>
      <c r="N389">
        <v>36</v>
      </c>
      <c r="O389">
        <v>0</v>
      </c>
      <c r="P389">
        <v>0</v>
      </c>
      <c r="Q389">
        <v>0</v>
      </c>
      <c r="R389">
        <v>0</v>
      </c>
      <c r="S389">
        <v>0</v>
      </c>
      <c r="T389">
        <v>0</v>
      </c>
      <c r="U389">
        <v>0</v>
      </c>
      <c r="V389">
        <v>0</v>
      </c>
      <c r="W389">
        <v>0</v>
      </c>
      <c r="X389">
        <v>0</v>
      </c>
      <c r="Y389">
        <v>0</v>
      </c>
      <c r="Z389">
        <v>0</v>
      </c>
      <c r="AA389">
        <v>0</v>
      </c>
      <c r="AD389" t="s">
        <v>934</v>
      </c>
      <c r="AE389" s="19">
        <v>1161</v>
      </c>
      <c r="AF389">
        <v>2977</v>
      </c>
      <c r="AG389">
        <v>1190</v>
      </c>
      <c r="AH389">
        <v>3629</v>
      </c>
    </row>
    <row r="390" spans="1:34" hidden="1">
      <c r="A390" s="40" t="s">
        <v>1242</v>
      </c>
      <c r="B390" s="40">
        <v>0</v>
      </c>
      <c r="C390" s="40">
        <v>0</v>
      </c>
      <c r="D390" s="40">
        <v>0</v>
      </c>
      <c r="E390" s="40">
        <v>0</v>
      </c>
      <c r="F390" s="40">
        <v>0</v>
      </c>
      <c r="G390" s="40">
        <v>0</v>
      </c>
      <c r="H390" s="40">
        <v>0</v>
      </c>
      <c r="I390" s="40">
        <v>1163</v>
      </c>
      <c r="J390" s="40">
        <v>215</v>
      </c>
      <c r="K390">
        <v>165</v>
      </c>
      <c r="L390">
        <v>57</v>
      </c>
      <c r="M390">
        <v>28</v>
      </c>
      <c r="N390">
        <v>50</v>
      </c>
      <c r="O390">
        <v>0</v>
      </c>
      <c r="P390">
        <v>0</v>
      </c>
      <c r="Q390">
        <v>0</v>
      </c>
      <c r="R390">
        <v>0</v>
      </c>
      <c r="S390">
        <v>0</v>
      </c>
      <c r="T390">
        <v>0</v>
      </c>
      <c r="U390">
        <v>0</v>
      </c>
      <c r="V390">
        <v>0</v>
      </c>
      <c r="W390">
        <v>0</v>
      </c>
      <c r="X390">
        <v>0</v>
      </c>
      <c r="Y390">
        <v>0</v>
      </c>
      <c r="Z390">
        <v>0</v>
      </c>
      <c r="AA390">
        <v>0</v>
      </c>
      <c r="AD390" t="s">
        <v>1084</v>
      </c>
      <c r="AE390" s="19">
        <v>2704</v>
      </c>
      <c r="AF390">
        <v>8137</v>
      </c>
      <c r="AG390">
        <v>2967</v>
      </c>
      <c r="AH390">
        <v>8267</v>
      </c>
    </row>
    <row r="391" spans="1:34" hidden="1">
      <c r="A391" s="40" t="s">
        <v>642</v>
      </c>
      <c r="B391" s="40">
        <v>0</v>
      </c>
      <c r="C391" s="40">
        <v>0</v>
      </c>
      <c r="D391" s="40">
        <v>0</v>
      </c>
      <c r="E391" s="40">
        <v>0</v>
      </c>
      <c r="F391" s="40">
        <v>0</v>
      </c>
      <c r="G391" s="40">
        <v>0</v>
      </c>
      <c r="H391" s="40">
        <v>0</v>
      </c>
      <c r="I391" s="40">
        <v>0</v>
      </c>
      <c r="J391" s="40">
        <v>0</v>
      </c>
      <c r="K391">
        <v>866</v>
      </c>
      <c r="L391">
        <v>1026</v>
      </c>
      <c r="M391">
        <v>1378</v>
      </c>
      <c r="N391">
        <v>1195</v>
      </c>
      <c r="O391">
        <v>0</v>
      </c>
      <c r="P391">
        <v>0</v>
      </c>
      <c r="Q391">
        <v>0</v>
      </c>
      <c r="R391">
        <v>0</v>
      </c>
      <c r="S391">
        <v>0</v>
      </c>
      <c r="T391">
        <v>0</v>
      </c>
      <c r="U391">
        <v>0</v>
      </c>
      <c r="V391">
        <v>0</v>
      </c>
      <c r="W391">
        <v>0</v>
      </c>
      <c r="X391">
        <v>306</v>
      </c>
      <c r="Y391">
        <v>420</v>
      </c>
      <c r="Z391">
        <v>412</v>
      </c>
      <c r="AA391">
        <v>377</v>
      </c>
      <c r="AD391" t="s">
        <v>1072</v>
      </c>
      <c r="AE391" s="19">
        <v>1464</v>
      </c>
      <c r="AF391">
        <v>2994</v>
      </c>
      <c r="AG391">
        <v>1261</v>
      </c>
      <c r="AH391">
        <v>2301</v>
      </c>
    </row>
    <row r="392" spans="1:34" hidden="1">
      <c r="A392" s="40" t="s">
        <v>1243</v>
      </c>
      <c r="B392" s="40">
        <v>0</v>
      </c>
      <c r="C392" s="40">
        <v>0</v>
      </c>
      <c r="D392" s="40">
        <v>0</v>
      </c>
      <c r="E392" s="40">
        <v>0</v>
      </c>
      <c r="F392" s="40">
        <v>0</v>
      </c>
      <c r="G392" s="40">
        <v>0</v>
      </c>
      <c r="H392" s="40">
        <v>0</v>
      </c>
      <c r="I392" s="40">
        <v>327</v>
      </c>
      <c r="J392" s="40">
        <v>298</v>
      </c>
      <c r="K392">
        <v>313</v>
      </c>
      <c r="L392">
        <v>379</v>
      </c>
      <c r="M392">
        <v>113</v>
      </c>
      <c r="N392">
        <v>209</v>
      </c>
      <c r="O392">
        <v>0</v>
      </c>
      <c r="P392">
        <v>0</v>
      </c>
      <c r="Q392">
        <v>0</v>
      </c>
      <c r="R392">
        <v>0</v>
      </c>
      <c r="S392">
        <v>0</v>
      </c>
      <c r="T392">
        <v>0</v>
      </c>
      <c r="U392">
        <v>0</v>
      </c>
      <c r="V392">
        <v>0</v>
      </c>
      <c r="W392">
        <v>0</v>
      </c>
      <c r="X392">
        <v>0</v>
      </c>
      <c r="Y392">
        <v>0</v>
      </c>
      <c r="Z392">
        <v>0</v>
      </c>
      <c r="AA392">
        <v>0</v>
      </c>
      <c r="AD392" t="s">
        <v>928</v>
      </c>
      <c r="AE392" s="19">
        <v>432</v>
      </c>
      <c r="AF392">
        <v>1316</v>
      </c>
      <c r="AG392">
        <v>298</v>
      </c>
      <c r="AH392">
        <v>986</v>
      </c>
    </row>
    <row r="393" spans="1:34" hidden="1">
      <c r="A393" s="40" t="s">
        <v>1244</v>
      </c>
      <c r="B393" s="40">
        <v>0</v>
      </c>
      <c r="C393" s="40">
        <v>0</v>
      </c>
      <c r="D393" s="40">
        <v>0</v>
      </c>
      <c r="E393" s="40">
        <v>0</v>
      </c>
      <c r="F393" s="40">
        <v>0</v>
      </c>
      <c r="G393" s="40">
        <v>0</v>
      </c>
      <c r="H393" s="40">
        <v>0</v>
      </c>
      <c r="I393" s="40">
        <v>184</v>
      </c>
      <c r="J393" s="40">
        <v>103</v>
      </c>
      <c r="K393">
        <v>76</v>
      </c>
      <c r="L393">
        <v>90</v>
      </c>
      <c r="M393">
        <v>44</v>
      </c>
      <c r="N393">
        <v>69</v>
      </c>
      <c r="O393">
        <v>0</v>
      </c>
      <c r="P393">
        <v>0</v>
      </c>
      <c r="Q393">
        <v>0</v>
      </c>
      <c r="R393">
        <v>0</v>
      </c>
      <c r="S393">
        <v>0</v>
      </c>
      <c r="T393">
        <v>0</v>
      </c>
      <c r="U393">
        <v>0</v>
      </c>
      <c r="V393">
        <v>0</v>
      </c>
      <c r="W393">
        <v>0</v>
      </c>
      <c r="X393">
        <v>0</v>
      </c>
      <c r="Y393">
        <v>0</v>
      </c>
      <c r="Z393">
        <v>0</v>
      </c>
      <c r="AA393">
        <v>0</v>
      </c>
      <c r="AD393" t="s">
        <v>1045</v>
      </c>
      <c r="AE393" s="19">
        <v>1424</v>
      </c>
      <c r="AF393">
        <v>4497</v>
      </c>
      <c r="AG393">
        <v>1548</v>
      </c>
      <c r="AH393">
        <v>4885</v>
      </c>
    </row>
    <row r="394" spans="1:34" hidden="1">
      <c r="A394" s="40" t="s">
        <v>861</v>
      </c>
      <c r="B394" s="40">
        <v>0</v>
      </c>
      <c r="C394" s="40">
        <v>0</v>
      </c>
      <c r="D394" s="40">
        <v>0</v>
      </c>
      <c r="E394" s="40">
        <v>0</v>
      </c>
      <c r="F394" s="40">
        <v>0</v>
      </c>
      <c r="G394" s="40">
        <v>0</v>
      </c>
      <c r="H394" s="40">
        <v>0</v>
      </c>
      <c r="I394" s="40">
        <v>0</v>
      </c>
      <c r="J394" s="40">
        <v>0</v>
      </c>
      <c r="K394">
        <v>1005</v>
      </c>
      <c r="L394">
        <v>1751</v>
      </c>
      <c r="M394">
        <v>1776</v>
      </c>
      <c r="N394">
        <v>1642</v>
      </c>
      <c r="O394">
        <v>0</v>
      </c>
      <c r="P394">
        <v>0</v>
      </c>
      <c r="Q394">
        <v>0</v>
      </c>
      <c r="R394">
        <v>0</v>
      </c>
      <c r="S394">
        <v>0</v>
      </c>
      <c r="T394">
        <v>0</v>
      </c>
      <c r="U394">
        <v>0</v>
      </c>
      <c r="V394">
        <v>0</v>
      </c>
      <c r="W394">
        <v>0</v>
      </c>
      <c r="X394">
        <v>236</v>
      </c>
      <c r="Y394">
        <v>420</v>
      </c>
      <c r="Z394">
        <v>487</v>
      </c>
      <c r="AA394">
        <v>418</v>
      </c>
      <c r="AD394" t="s">
        <v>980</v>
      </c>
      <c r="AE394" s="19">
        <v>1014</v>
      </c>
      <c r="AF394">
        <v>3217</v>
      </c>
      <c r="AG394">
        <v>988</v>
      </c>
      <c r="AH394">
        <v>3110</v>
      </c>
    </row>
    <row r="395" spans="1:34" hidden="1">
      <c r="A395" s="40" t="s">
        <v>465</v>
      </c>
      <c r="B395" s="40">
        <v>0</v>
      </c>
      <c r="C395" s="40">
        <v>0</v>
      </c>
      <c r="D395" s="40">
        <v>0</v>
      </c>
      <c r="E395" s="40">
        <v>0</v>
      </c>
      <c r="F395" s="40">
        <v>0</v>
      </c>
      <c r="G395" s="40">
        <v>0</v>
      </c>
      <c r="H395" s="40">
        <v>0</v>
      </c>
      <c r="I395" s="40">
        <v>0</v>
      </c>
      <c r="J395" s="40">
        <v>0</v>
      </c>
      <c r="K395">
        <v>2</v>
      </c>
      <c r="L395">
        <v>1208</v>
      </c>
      <c r="M395">
        <v>2572</v>
      </c>
      <c r="N395">
        <v>2779</v>
      </c>
      <c r="O395">
        <v>0</v>
      </c>
      <c r="P395">
        <v>0</v>
      </c>
      <c r="Q395">
        <v>0</v>
      </c>
      <c r="R395">
        <v>0</v>
      </c>
      <c r="S395">
        <v>0</v>
      </c>
      <c r="T395">
        <v>0</v>
      </c>
      <c r="U395">
        <v>0</v>
      </c>
      <c r="V395">
        <v>0</v>
      </c>
      <c r="W395">
        <v>0</v>
      </c>
      <c r="X395">
        <v>0</v>
      </c>
      <c r="Y395">
        <v>488</v>
      </c>
      <c r="Z395">
        <v>684</v>
      </c>
      <c r="AA395">
        <v>463</v>
      </c>
      <c r="AD395" t="s">
        <v>1032</v>
      </c>
      <c r="AE395" s="19">
        <v>1525</v>
      </c>
      <c r="AF395">
        <v>6316</v>
      </c>
      <c r="AG395">
        <v>1476</v>
      </c>
      <c r="AH395">
        <v>5853</v>
      </c>
    </row>
    <row r="396" spans="1:34" hidden="1">
      <c r="A396" s="40" t="s">
        <v>1245</v>
      </c>
      <c r="B396" s="40">
        <v>0</v>
      </c>
      <c r="C396" s="40">
        <v>0</v>
      </c>
      <c r="D396" s="40">
        <v>0</v>
      </c>
      <c r="E396" s="40">
        <v>0</v>
      </c>
      <c r="F396" s="40">
        <v>0</v>
      </c>
      <c r="G396" s="40">
        <v>0</v>
      </c>
      <c r="H396" s="40">
        <v>0</v>
      </c>
      <c r="I396" s="40">
        <v>864</v>
      </c>
      <c r="J396" s="40">
        <v>253</v>
      </c>
      <c r="K396">
        <v>224</v>
      </c>
      <c r="L396">
        <v>389</v>
      </c>
      <c r="M396">
        <v>517</v>
      </c>
      <c r="N396">
        <v>415</v>
      </c>
      <c r="O396">
        <v>0</v>
      </c>
      <c r="P396">
        <v>0</v>
      </c>
      <c r="Q396">
        <v>0</v>
      </c>
      <c r="R396">
        <v>0</v>
      </c>
      <c r="S396">
        <v>0</v>
      </c>
      <c r="T396">
        <v>0</v>
      </c>
      <c r="U396">
        <v>0</v>
      </c>
      <c r="V396">
        <v>0</v>
      </c>
      <c r="W396">
        <v>0</v>
      </c>
      <c r="X396">
        <v>0</v>
      </c>
      <c r="Y396">
        <v>0</v>
      </c>
      <c r="Z396">
        <v>0</v>
      </c>
      <c r="AA396">
        <v>0</v>
      </c>
      <c r="AD396" t="s">
        <v>1003</v>
      </c>
      <c r="AE396" s="19">
        <v>816</v>
      </c>
      <c r="AF396">
        <v>2696</v>
      </c>
      <c r="AG396">
        <v>946</v>
      </c>
      <c r="AH396">
        <v>2666</v>
      </c>
    </row>
    <row r="397" spans="1:34" hidden="1">
      <c r="A397" s="40" t="s">
        <v>1246</v>
      </c>
      <c r="B397" s="40">
        <v>0</v>
      </c>
      <c r="C397" s="40">
        <v>0</v>
      </c>
      <c r="D397" s="40">
        <v>0</v>
      </c>
      <c r="E397" s="40">
        <v>0</v>
      </c>
      <c r="F397" s="40">
        <v>0</v>
      </c>
      <c r="G397" s="40">
        <v>0</v>
      </c>
      <c r="H397" s="40">
        <v>0</v>
      </c>
      <c r="I397" s="40">
        <v>1066</v>
      </c>
      <c r="J397" s="40">
        <v>373</v>
      </c>
      <c r="K397">
        <v>349</v>
      </c>
      <c r="L397">
        <v>534</v>
      </c>
      <c r="M397">
        <v>303</v>
      </c>
      <c r="N397">
        <v>554</v>
      </c>
      <c r="O397">
        <v>0</v>
      </c>
      <c r="P397">
        <v>0</v>
      </c>
      <c r="Q397">
        <v>0</v>
      </c>
      <c r="R397">
        <v>0</v>
      </c>
      <c r="S397">
        <v>0</v>
      </c>
      <c r="T397">
        <v>0</v>
      </c>
      <c r="U397">
        <v>0</v>
      </c>
      <c r="V397">
        <v>0</v>
      </c>
      <c r="W397">
        <v>0</v>
      </c>
      <c r="X397">
        <v>0</v>
      </c>
      <c r="Y397">
        <v>0</v>
      </c>
      <c r="Z397">
        <v>0</v>
      </c>
      <c r="AA397">
        <v>0</v>
      </c>
      <c r="AD397" t="s">
        <v>1065</v>
      </c>
      <c r="AE397" s="19">
        <v>1682</v>
      </c>
      <c r="AF397">
        <v>4809</v>
      </c>
      <c r="AG397">
        <v>1416</v>
      </c>
      <c r="AH397">
        <v>3743</v>
      </c>
    </row>
    <row r="398" spans="1:34" hidden="1">
      <c r="A398" s="40" t="s">
        <v>1247</v>
      </c>
      <c r="B398" s="40">
        <v>0</v>
      </c>
      <c r="C398" s="40">
        <v>0</v>
      </c>
      <c r="D398" s="40">
        <v>0</v>
      </c>
      <c r="E398" s="40">
        <v>0</v>
      </c>
      <c r="F398" s="40">
        <v>0</v>
      </c>
      <c r="G398" s="40">
        <v>0</v>
      </c>
      <c r="H398" s="40">
        <v>0</v>
      </c>
      <c r="I398" s="40">
        <v>113</v>
      </c>
      <c r="J398" s="40">
        <v>126</v>
      </c>
      <c r="K398">
        <v>150</v>
      </c>
      <c r="L398">
        <v>242</v>
      </c>
      <c r="M398">
        <v>129</v>
      </c>
      <c r="N398">
        <v>109</v>
      </c>
      <c r="O398">
        <v>0</v>
      </c>
      <c r="P398">
        <v>0</v>
      </c>
      <c r="Q398">
        <v>0</v>
      </c>
      <c r="R398">
        <v>0</v>
      </c>
      <c r="S398">
        <v>0</v>
      </c>
      <c r="T398">
        <v>0</v>
      </c>
      <c r="U398">
        <v>0</v>
      </c>
      <c r="V398">
        <v>0</v>
      </c>
      <c r="W398">
        <v>0</v>
      </c>
      <c r="X398">
        <v>0</v>
      </c>
      <c r="Y398">
        <v>0</v>
      </c>
      <c r="Z398">
        <v>0</v>
      </c>
      <c r="AA398">
        <v>0</v>
      </c>
      <c r="AD398" s="38" t="s">
        <v>991</v>
      </c>
      <c r="AE398" s="148">
        <v>261</v>
      </c>
      <c r="AF398">
        <v>1911</v>
      </c>
      <c r="AG398">
        <v>298</v>
      </c>
      <c r="AH398">
        <v>2394</v>
      </c>
    </row>
    <row r="399" spans="1:34" hidden="1">
      <c r="A399" s="40" t="s">
        <v>1248</v>
      </c>
      <c r="B399" s="40">
        <v>0</v>
      </c>
      <c r="C399" s="40">
        <v>0</v>
      </c>
      <c r="D399" s="40">
        <v>0</v>
      </c>
      <c r="E399" s="40">
        <v>0</v>
      </c>
      <c r="F399" s="40">
        <v>0</v>
      </c>
      <c r="G399" s="40">
        <v>0</v>
      </c>
      <c r="H399" s="40">
        <v>0</v>
      </c>
      <c r="I399" s="40">
        <v>132</v>
      </c>
      <c r="J399" s="40">
        <v>167</v>
      </c>
      <c r="K399">
        <v>161</v>
      </c>
      <c r="L399">
        <v>147</v>
      </c>
      <c r="M399">
        <v>86</v>
      </c>
      <c r="N399">
        <v>80</v>
      </c>
      <c r="O399">
        <v>0</v>
      </c>
      <c r="P399">
        <v>0</v>
      </c>
      <c r="Q399">
        <v>0</v>
      </c>
      <c r="R399">
        <v>0</v>
      </c>
      <c r="S399">
        <v>0</v>
      </c>
      <c r="T399">
        <v>0</v>
      </c>
      <c r="U399">
        <v>0</v>
      </c>
      <c r="V399">
        <v>0</v>
      </c>
      <c r="W399">
        <v>0</v>
      </c>
      <c r="X399">
        <v>0</v>
      </c>
      <c r="Y399">
        <v>0</v>
      </c>
      <c r="Z399">
        <v>0</v>
      </c>
      <c r="AA399">
        <v>0</v>
      </c>
      <c r="AD399" t="s">
        <v>1030</v>
      </c>
      <c r="AE399" s="19">
        <v>1366</v>
      </c>
      <c r="AF399">
        <v>3989</v>
      </c>
      <c r="AG399">
        <v>1278</v>
      </c>
      <c r="AH399">
        <v>4055</v>
      </c>
    </row>
    <row r="400" spans="1:34" hidden="1">
      <c r="A400" s="40" t="s">
        <v>1249</v>
      </c>
      <c r="B400" s="40">
        <v>0</v>
      </c>
      <c r="C400" s="40">
        <v>0</v>
      </c>
      <c r="D400" s="40">
        <v>0</v>
      </c>
      <c r="E400" s="40">
        <v>0</v>
      </c>
      <c r="F400" s="40">
        <v>0</v>
      </c>
      <c r="G400" s="40">
        <v>0</v>
      </c>
      <c r="H400" s="40">
        <v>0</v>
      </c>
      <c r="I400" s="40">
        <v>23</v>
      </c>
      <c r="J400" s="40">
        <v>36</v>
      </c>
      <c r="K400">
        <v>45</v>
      </c>
      <c r="L400">
        <v>61</v>
      </c>
      <c r="M400">
        <v>8</v>
      </c>
      <c r="N400">
        <v>13</v>
      </c>
      <c r="O400">
        <v>0</v>
      </c>
      <c r="P400">
        <v>0</v>
      </c>
      <c r="Q400">
        <v>0</v>
      </c>
      <c r="R400">
        <v>0</v>
      </c>
      <c r="S400">
        <v>0</v>
      </c>
      <c r="T400">
        <v>0</v>
      </c>
      <c r="U400">
        <v>0</v>
      </c>
      <c r="V400">
        <v>0</v>
      </c>
      <c r="W400">
        <v>0</v>
      </c>
      <c r="X400">
        <v>0</v>
      </c>
      <c r="Y400">
        <v>0</v>
      </c>
      <c r="Z400">
        <v>0</v>
      </c>
      <c r="AA400">
        <v>0</v>
      </c>
      <c r="AD400" s="38" t="s">
        <v>911</v>
      </c>
      <c r="AE400" s="148">
        <v>1601</v>
      </c>
      <c r="AF400">
        <v>6395</v>
      </c>
      <c r="AG400">
        <v>1173</v>
      </c>
      <c r="AH400">
        <v>10534</v>
      </c>
    </row>
    <row r="401" spans="1:34" hidden="1">
      <c r="A401" s="40" t="s">
        <v>1250</v>
      </c>
      <c r="B401" s="40">
        <v>0</v>
      </c>
      <c r="C401" s="40">
        <v>0</v>
      </c>
      <c r="D401" s="40">
        <v>0</v>
      </c>
      <c r="E401" s="40">
        <v>0</v>
      </c>
      <c r="F401" s="40">
        <v>0</v>
      </c>
      <c r="G401" s="40">
        <v>0</v>
      </c>
      <c r="H401" s="40">
        <v>0</v>
      </c>
      <c r="I401" s="40">
        <v>355</v>
      </c>
      <c r="J401" s="40">
        <v>161</v>
      </c>
      <c r="K401">
        <v>106</v>
      </c>
      <c r="L401">
        <v>130</v>
      </c>
      <c r="M401">
        <v>46</v>
      </c>
      <c r="N401">
        <v>19</v>
      </c>
      <c r="O401">
        <v>0</v>
      </c>
      <c r="P401">
        <v>0</v>
      </c>
      <c r="Q401">
        <v>0</v>
      </c>
      <c r="R401">
        <v>0</v>
      </c>
      <c r="S401">
        <v>0</v>
      </c>
      <c r="T401">
        <v>0</v>
      </c>
      <c r="U401">
        <v>0</v>
      </c>
      <c r="V401">
        <v>0</v>
      </c>
      <c r="W401">
        <v>0</v>
      </c>
      <c r="X401">
        <v>0</v>
      </c>
      <c r="Y401">
        <v>0</v>
      </c>
      <c r="Z401">
        <v>0</v>
      </c>
      <c r="AA401">
        <v>0</v>
      </c>
      <c r="AD401" t="s">
        <v>1135</v>
      </c>
      <c r="AE401" s="19">
        <v>7185</v>
      </c>
      <c r="AF401">
        <v>28733</v>
      </c>
      <c r="AG401">
        <v>7189</v>
      </c>
      <c r="AH401">
        <v>27435</v>
      </c>
    </row>
    <row r="402" spans="1:34" hidden="1">
      <c r="A402" s="40" t="s">
        <v>1251</v>
      </c>
      <c r="B402" s="40">
        <v>0</v>
      </c>
      <c r="C402" s="40">
        <v>0</v>
      </c>
      <c r="D402" s="40">
        <v>0</v>
      </c>
      <c r="E402" s="40">
        <v>0</v>
      </c>
      <c r="F402" s="40">
        <v>0</v>
      </c>
      <c r="G402" s="40">
        <v>0</v>
      </c>
      <c r="H402" s="40">
        <v>0</v>
      </c>
      <c r="I402" s="40">
        <v>23</v>
      </c>
      <c r="J402" s="40">
        <v>26</v>
      </c>
      <c r="K402">
        <v>35</v>
      </c>
      <c r="L402">
        <v>13</v>
      </c>
      <c r="M402">
        <v>19</v>
      </c>
      <c r="N402">
        <v>18</v>
      </c>
      <c r="O402">
        <v>0</v>
      </c>
      <c r="P402">
        <v>0</v>
      </c>
      <c r="Q402">
        <v>0</v>
      </c>
      <c r="R402">
        <v>0</v>
      </c>
      <c r="S402">
        <v>0</v>
      </c>
      <c r="T402">
        <v>0</v>
      </c>
      <c r="U402">
        <v>0</v>
      </c>
      <c r="V402">
        <v>0</v>
      </c>
      <c r="W402">
        <v>0</v>
      </c>
      <c r="X402">
        <v>0</v>
      </c>
      <c r="Y402">
        <v>0</v>
      </c>
      <c r="Z402">
        <v>0</v>
      </c>
      <c r="AA402">
        <v>0</v>
      </c>
      <c r="AD402" t="s">
        <v>1026</v>
      </c>
      <c r="AE402" s="19">
        <v>1016</v>
      </c>
      <c r="AF402">
        <v>3413</v>
      </c>
      <c r="AG402">
        <v>1066</v>
      </c>
      <c r="AH402">
        <v>3236</v>
      </c>
    </row>
    <row r="403" spans="1:34" hidden="1">
      <c r="A403" s="40" t="s">
        <v>1252</v>
      </c>
      <c r="B403" s="40">
        <v>0</v>
      </c>
      <c r="C403" s="40">
        <v>0</v>
      </c>
      <c r="D403" s="40">
        <v>0</v>
      </c>
      <c r="E403" s="40">
        <v>0</v>
      </c>
      <c r="F403" s="40">
        <v>0</v>
      </c>
      <c r="G403" s="40">
        <v>0</v>
      </c>
      <c r="H403" s="40">
        <v>0</v>
      </c>
      <c r="I403" s="40">
        <v>211</v>
      </c>
      <c r="J403" s="40">
        <v>98</v>
      </c>
      <c r="K403">
        <v>82</v>
      </c>
      <c r="L403">
        <v>85</v>
      </c>
      <c r="M403">
        <v>7</v>
      </c>
      <c r="N403">
        <v>10</v>
      </c>
      <c r="O403">
        <v>0</v>
      </c>
      <c r="P403">
        <v>0</v>
      </c>
      <c r="Q403">
        <v>0</v>
      </c>
      <c r="R403">
        <v>0</v>
      </c>
      <c r="S403">
        <v>0</v>
      </c>
      <c r="T403">
        <v>0</v>
      </c>
      <c r="U403">
        <v>0</v>
      </c>
      <c r="V403">
        <v>0</v>
      </c>
      <c r="W403">
        <v>0</v>
      </c>
      <c r="X403">
        <v>0</v>
      </c>
      <c r="Y403">
        <v>0</v>
      </c>
      <c r="Z403">
        <v>0</v>
      </c>
      <c r="AA403">
        <v>0</v>
      </c>
      <c r="AD403" t="s">
        <v>978</v>
      </c>
      <c r="AE403" s="19">
        <v>1074</v>
      </c>
      <c r="AF403">
        <v>3459</v>
      </c>
      <c r="AG403">
        <v>952</v>
      </c>
      <c r="AH403">
        <v>3082</v>
      </c>
    </row>
    <row r="404" spans="1:34" hidden="1">
      <c r="A404" s="40" t="s">
        <v>1253</v>
      </c>
      <c r="B404" s="40">
        <v>0</v>
      </c>
      <c r="C404" s="40">
        <v>0</v>
      </c>
      <c r="D404" s="40">
        <v>0</v>
      </c>
      <c r="E404" s="40">
        <v>0</v>
      </c>
      <c r="F404" s="40">
        <v>0</v>
      </c>
      <c r="G404" s="40">
        <v>0</v>
      </c>
      <c r="H404" s="40">
        <v>0</v>
      </c>
      <c r="I404" s="40">
        <v>367</v>
      </c>
      <c r="J404" s="40">
        <v>469</v>
      </c>
      <c r="K404">
        <v>215</v>
      </c>
      <c r="L404">
        <v>252</v>
      </c>
      <c r="M404">
        <v>135</v>
      </c>
      <c r="N404">
        <v>360</v>
      </c>
      <c r="O404">
        <v>0</v>
      </c>
      <c r="P404">
        <v>0</v>
      </c>
      <c r="Q404">
        <v>0</v>
      </c>
      <c r="R404">
        <v>0</v>
      </c>
      <c r="S404">
        <v>0</v>
      </c>
      <c r="T404">
        <v>0</v>
      </c>
      <c r="U404">
        <v>0</v>
      </c>
      <c r="V404">
        <v>0</v>
      </c>
      <c r="W404">
        <v>0</v>
      </c>
      <c r="X404">
        <v>0</v>
      </c>
      <c r="Y404">
        <v>0</v>
      </c>
      <c r="Z404">
        <v>0</v>
      </c>
      <c r="AA404">
        <v>0</v>
      </c>
      <c r="AE404" s="19"/>
    </row>
    <row r="405" spans="1:34" hidden="1">
      <c r="A405" s="40" t="s">
        <v>1254</v>
      </c>
      <c r="B405" s="40">
        <v>0</v>
      </c>
      <c r="C405" s="40">
        <v>0</v>
      </c>
      <c r="D405" s="40">
        <v>0</v>
      </c>
      <c r="E405" s="40">
        <v>0</v>
      </c>
      <c r="F405" s="40">
        <v>0</v>
      </c>
      <c r="G405" s="40">
        <v>0</v>
      </c>
      <c r="H405" s="40">
        <v>0</v>
      </c>
      <c r="I405" s="40">
        <v>68</v>
      </c>
      <c r="J405" s="40">
        <v>90</v>
      </c>
      <c r="K405">
        <v>50</v>
      </c>
      <c r="L405">
        <v>68</v>
      </c>
      <c r="M405">
        <v>13</v>
      </c>
      <c r="N405">
        <v>14</v>
      </c>
      <c r="O405">
        <v>0</v>
      </c>
      <c r="P405">
        <v>0</v>
      </c>
      <c r="Q405">
        <v>0</v>
      </c>
      <c r="R405">
        <v>0</v>
      </c>
      <c r="S405">
        <v>0</v>
      </c>
      <c r="T405">
        <v>0</v>
      </c>
      <c r="U405">
        <v>0</v>
      </c>
      <c r="V405">
        <v>0</v>
      </c>
      <c r="W405">
        <v>0</v>
      </c>
      <c r="X405">
        <v>0</v>
      </c>
      <c r="Y405">
        <v>0</v>
      </c>
      <c r="Z405">
        <v>0</v>
      </c>
      <c r="AA405">
        <v>0</v>
      </c>
      <c r="AD405" t="s">
        <v>909</v>
      </c>
      <c r="AE405" s="19">
        <v>539</v>
      </c>
      <c r="AF405">
        <v>1920</v>
      </c>
      <c r="AG405">
        <v>460</v>
      </c>
      <c r="AH405">
        <v>1426</v>
      </c>
    </row>
    <row r="406" spans="1:34" hidden="1">
      <c r="A406" s="40" t="s">
        <v>1255</v>
      </c>
      <c r="B406" s="40">
        <v>0</v>
      </c>
      <c r="C406" s="40">
        <v>0</v>
      </c>
      <c r="D406" s="40">
        <v>0</v>
      </c>
      <c r="E406" s="40">
        <v>0</v>
      </c>
      <c r="F406" s="40">
        <v>0</v>
      </c>
      <c r="G406" s="40">
        <v>0</v>
      </c>
      <c r="H406" s="40">
        <v>0</v>
      </c>
      <c r="I406" s="40">
        <v>0</v>
      </c>
      <c r="J406" s="40">
        <v>156</v>
      </c>
      <c r="K406">
        <v>354</v>
      </c>
      <c r="L406">
        <v>834</v>
      </c>
      <c r="M406">
        <v>732</v>
      </c>
      <c r="N406">
        <v>654</v>
      </c>
      <c r="O406">
        <v>0</v>
      </c>
      <c r="P406">
        <v>0</v>
      </c>
      <c r="Q406">
        <v>0</v>
      </c>
      <c r="R406">
        <v>0</v>
      </c>
      <c r="S406">
        <v>0</v>
      </c>
      <c r="T406">
        <v>0</v>
      </c>
      <c r="U406">
        <v>0</v>
      </c>
      <c r="V406">
        <v>0</v>
      </c>
      <c r="W406">
        <v>34</v>
      </c>
      <c r="X406">
        <v>126</v>
      </c>
      <c r="Y406">
        <v>251</v>
      </c>
      <c r="Z406">
        <v>239</v>
      </c>
      <c r="AA406">
        <v>237</v>
      </c>
      <c r="AD406" t="s">
        <v>950</v>
      </c>
      <c r="AE406" s="19">
        <v>1075</v>
      </c>
      <c r="AF406">
        <v>2871</v>
      </c>
      <c r="AG406">
        <v>1086</v>
      </c>
      <c r="AH406">
        <v>3252</v>
      </c>
    </row>
    <row r="407" spans="1:34" hidden="1">
      <c r="A407" s="40" t="s">
        <v>1256</v>
      </c>
      <c r="B407" s="40">
        <v>0</v>
      </c>
      <c r="C407" s="40">
        <v>0</v>
      </c>
      <c r="D407" s="40">
        <v>0</v>
      </c>
      <c r="E407" s="40">
        <v>0</v>
      </c>
      <c r="F407" s="40">
        <v>0</v>
      </c>
      <c r="G407" s="40">
        <v>0</v>
      </c>
      <c r="H407" s="40">
        <v>0</v>
      </c>
      <c r="I407" s="40">
        <v>0</v>
      </c>
      <c r="J407" s="40">
        <v>112</v>
      </c>
      <c r="K407">
        <v>104</v>
      </c>
      <c r="L407">
        <v>156</v>
      </c>
      <c r="M407">
        <v>112</v>
      </c>
      <c r="N407">
        <v>151</v>
      </c>
      <c r="O407">
        <v>0</v>
      </c>
      <c r="P407">
        <v>0</v>
      </c>
      <c r="Q407">
        <v>0</v>
      </c>
      <c r="R407">
        <v>0</v>
      </c>
      <c r="S407">
        <v>0</v>
      </c>
      <c r="T407">
        <v>0</v>
      </c>
      <c r="U407">
        <v>0</v>
      </c>
      <c r="V407">
        <v>0</v>
      </c>
      <c r="W407">
        <v>0</v>
      </c>
      <c r="X407">
        <v>0</v>
      </c>
      <c r="Y407">
        <v>0</v>
      </c>
      <c r="Z407">
        <v>0</v>
      </c>
      <c r="AA407">
        <v>0</v>
      </c>
      <c r="AD407" t="s">
        <v>1010</v>
      </c>
      <c r="AE407" s="19">
        <v>1470</v>
      </c>
      <c r="AF407">
        <v>2142</v>
      </c>
      <c r="AG407">
        <v>1327</v>
      </c>
      <c r="AH407">
        <v>1702</v>
      </c>
    </row>
    <row r="408" spans="1:34" hidden="1">
      <c r="A408" s="40" t="s">
        <v>1257</v>
      </c>
      <c r="B408" s="40">
        <v>0</v>
      </c>
      <c r="C408" s="40">
        <v>0</v>
      </c>
      <c r="D408" s="40">
        <v>0</v>
      </c>
      <c r="E408" s="40">
        <v>0</v>
      </c>
      <c r="F408" s="40">
        <v>0</v>
      </c>
      <c r="G408" s="40">
        <v>0</v>
      </c>
      <c r="H408" s="40">
        <v>0</v>
      </c>
      <c r="I408" s="40">
        <v>0</v>
      </c>
      <c r="J408" s="40">
        <v>104</v>
      </c>
      <c r="K408">
        <v>59</v>
      </c>
      <c r="L408">
        <v>26</v>
      </c>
      <c r="M408">
        <v>27</v>
      </c>
      <c r="N408">
        <v>23</v>
      </c>
      <c r="O408">
        <v>0</v>
      </c>
      <c r="P408">
        <v>0</v>
      </c>
      <c r="Q408">
        <v>0</v>
      </c>
      <c r="R408">
        <v>0</v>
      </c>
      <c r="S408">
        <v>0</v>
      </c>
      <c r="T408">
        <v>0</v>
      </c>
      <c r="U408">
        <v>0</v>
      </c>
      <c r="V408">
        <v>0</v>
      </c>
      <c r="W408">
        <v>0</v>
      </c>
      <c r="X408">
        <v>0</v>
      </c>
      <c r="Y408">
        <v>0</v>
      </c>
      <c r="Z408">
        <v>0</v>
      </c>
      <c r="AA408">
        <v>0</v>
      </c>
      <c r="AD408" t="s">
        <v>964</v>
      </c>
      <c r="AE408" s="19">
        <v>1676</v>
      </c>
      <c r="AF408">
        <v>4615</v>
      </c>
      <c r="AG408">
        <v>1635</v>
      </c>
      <c r="AH408">
        <v>4368</v>
      </c>
    </row>
    <row r="409" spans="1:34" hidden="1">
      <c r="A409" s="40" t="s">
        <v>1258</v>
      </c>
      <c r="B409" s="40">
        <v>0</v>
      </c>
      <c r="C409" s="40">
        <v>0</v>
      </c>
      <c r="D409" s="40">
        <v>0</v>
      </c>
      <c r="E409" s="40">
        <v>0</v>
      </c>
      <c r="F409" s="40">
        <v>0</v>
      </c>
      <c r="G409" s="40">
        <v>0</v>
      </c>
      <c r="H409" s="40">
        <v>0</v>
      </c>
      <c r="I409" s="40">
        <v>0</v>
      </c>
      <c r="J409" s="40">
        <v>59</v>
      </c>
      <c r="K409">
        <v>43</v>
      </c>
      <c r="L409">
        <v>94</v>
      </c>
      <c r="M409">
        <v>142</v>
      </c>
      <c r="N409">
        <v>122</v>
      </c>
      <c r="O409">
        <v>0</v>
      </c>
      <c r="P409">
        <v>0</v>
      </c>
      <c r="Q409">
        <v>0</v>
      </c>
      <c r="R409">
        <v>0</v>
      </c>
      <c r="S409">
        <v>0</v>
      </c>
      <c r="T409">
        <v>0</v>
      </c>
      <c r="U409">
        <v>0</v>
      </c>
      <c r="V409">
        <v>0</v>
      </c>
      <c r="W409">
        <v>0</v>
      </c>
      <c r="X409">
        <v>0</v>
      </c>
      <c r="Y409">
        <v>0</v>
      </c>
      <c r="Z409">
        <v>0</v>
      </c>
      <c r="AA409">
        <v>0</v>
      </c>
      <c r="AD409" t="s">
        <v>1058</v>
      </c>
      <c r="AE409" s="19">
        <v>556</v>
      </c>
      <c r="AF409">
        <v>1914</v>
      </c>
      <c r="AG409">
        <v>86</v>
      </c>
      <c r="AH409">
        <v>233</v>
      </c>
    </row>
    <row r="410" spans="1:34" hidden="1">
      <c r="A410" s="40" t="s">
        <v>1259</v>
      </c>
      <c r="B410" s="40">
        <v>0</v>
      </c>
      <c r="C410" s="40">
        <v>0</v>
      </c>
      <c r="D410" s="40">
        <v>0</v>
      </c>
      <c r="E410" s="40">
        <v>0</v>
      </c>
      <c r="F410" s="40">
        <v>0</v>
      </c>
      <c r="G410" s="40">
        <v>0</v>
      </c>
      <c r="H410" s="40">
        <v>0</v>
      </c>
      <c r="I410" s="40">
        <v>0</v>
      </c>
      <c r="J410" s="40">
        <v>99</v>
      </c>
      <c r="K410">
        <v>45</v>
      </c>
      <c r="L410">
        <v>20</v>
      </c>
      <c r="M410">
        <v>5</v>
      </c>
      <c r="N410">
        <v>7</v>
      </c>
      <c r="O410">
        <v>0</v>
      </c>
      <c r="P410">
        <v>0</v>
      </c>
      <c r="Q410">
        <v>0</v>
      </c>
      <c r="R410">
        <v>0</v>
      </c>
      <c r="S410">
        <v>0</v>
      </c>
      <c r="T410">
        <v>0</v>
      </c>
      <c r="U410">
        <v>0</v>
      </c>
      <c r="V410">
        <v>0</v>
      </c>
      <c r="W410">
        <v>0</v>
      </c>
      <c r="X410">
        <v>0</v>
      </c>
      <c r="Y410">
        <v>0</v>
      </c>
      <c r="Z410">
        <v>0</v>
      </c>
      <c r="AA410">
        <v>0</v>
      </c>
      <c r="AD410" t="s">
        <v>1005</v>
      </c>
      <c r="AE410" s="19">
        <v>1179</v>
      </c>
      <c r="AF410">
        <v>3377</v>
      </c>
      <c r="AG410">
        <v>1063</v>
      </c>
      <c r="AH410">
        <v>3009</v>
      </c>
    </row>
    <row r="411" spans="1:34" hidden="1">
      <c r="A411" s="40" t="s">
        <v>1260</v>
      </c>
      <c r="B411" s="40">
        <v>0</v>
      </c>
      <c r="C411" s="40">
        <v>0</v>
      </c>
      <c r="D411" s="40">
        <v>0</v>
      </c>
      <c r="E411" s="40">
        <v>0</v>
      </c>
      <c r="F411" s="40">
        <v>0</v>
      </c>
      <c r="G411" s="40">
        <v>0</v>
      </c>
      <c r="H411" s="40">
        <v>0</v>
      </c>
      <c r="I411" s="40">
        <v>0</v>
      </c>
      <c r="J411" s="40">
        <v>41</v>
      </c>
      <c r="K411">
        <v>37</v>
      </c>
      <c r="L411">
        <v>50</v>
      </c>
      <c r="M411">
        <v>32</v>
      </c>
      <c r="N411">
        <v>15</v>
      </c>
      <c r="O411">
        <v>0</v>
      </c>
      <c r="P411">
        <v>0</v>
      </c>
      <c r="Q411">
        <v>0</v>
      </c>
      <c r="R411">
        <v>0</v>
      </c>
      <c r="S411">
        <v>0</v>
      </c>
      <c r="T411">
        <v>0</v>
      </c>
      <c r="U411">
        <v>0</v>
      </c>
      <c r="V411">
        <v>0</v>
      </c>
      <c r="W411">
        <v>0</v>
      </c>
      <c r="X411">
        <v>0</v>
      </c>
      <c r="Y411">
        <v>0</v>
      </c>
      <c r="Z411">
        <v>0</v>
      </c>
      <c r="AA411">
        <v>0</v>
      </c>
      <c r="AD411" t="s">
        <v>1116</v>
      </c>
      <c r="AE411" s="19">
        <v>1553</v>
      </c>
      <c r="AF411">
        <v>1555</v>
      </c>
      <c r="AG411">
        <v>60</v>
      </c>
      <c r="AH411">
        <v>2978</v>
      </c>
    </row>
    <row r="412" spans="1:34" hidden="1">
      <c r="A412" s="40" t="s">
        <v>1261</v>
      </c>
      <c r="B412" s="40">
        <v>0</v>
      </c>
      <c r="C412" s="40">
        <v>0</v>
      </c>
      <c r="D412" s="40">
        <v>0</v>
      </c>
      <c r="E412" s="40">
        <v>0</v>
      </c>
      <c r="F412" s="40">
        <v>0</v>
      </c>
      <c r="G412" s="40">
        <v>0</v>
      </c>
      <c r="H412" s="40">
        <v>0</v>
      </c>
      <c r="I412" s="40">
        <v>0</v>
      </c>
      <c r="J412" s="40">
        <v>20</v>
      </c>
      <c r="K412">
        <v>30</v>
      </c>
      <c r="L412">
        <v>17</v>
      </c>
      <c r="M412">
        <v>14</v>
      </c>
      <c r="N412">
        <v>13</v>
      </c>
      <c r="O412">
        <v>0</v>
      </c>
      <c r="P412">
        <v>0</v>
      </c>
      <c r="Q412">
        <v>0</v>
      </c>
      <c r="R412">
        <v>0</v>
      </c>
      <c r="S412">
        <v>0</v>
      </c>
      <c r="T412">
        <v>0</v>
      </c>
      <c r="U412">
        <v>0</v>
      </c>
      <c r="V412">
        <v>0</v>
      </c>
      <c r="W412">
        <v>0</v>
      </c>
      <c r="X412">
        <v>0</v>
      </c>
      <c r="Y412">
        <v>0</v>
      </c>
      <c r="Z412">
        <v>0</v>
      </c>
      <c r="AA412">
        <v>0</v>
      </c>
      <c r="AD412" t="s">
        <v>1012</v>
      </c>
      <c r="AE412" s="19">
        <v>1400</v>
      </c>
      <c r="AF412">
        <v>2776</v>
      </c>
      <c r="AG412">
        <v>1368</v>
      </c>
      <c r="AH412">
        <v>2916</v>
      </c>
    </row>
    <row r="413" spans="1:34" hidden="1">
      <c r="A413" s="40" t="s">
        <v>1262</v>
      </c>
      <c r="B413" s="40">
        <v>0</v>
      </c>
      <c r="C413" s="40">
        <v>0</v>
      </c>
      <c r="D413" s="40">
        <v>0</v>
      </c>
      <c r="E413" s="40">
        <v>0</v>
      </c>
      <c r="F413" s="40">
        <v>0</v>
      </c>
      <c r="G413" s="40">
        <v>0</v>
      </c>
      <c r="H413" s="40">
        <v>0</v>
      </c>
      <c r="I413" s="40">
        <v>0</v>
      </c>
      <c r="J413" s="40">
        <v>109</v>
      </c>
      <c r="K413">
        <v>153</v>
      </c>
      <c r="L413">
        <v>130</v>
      </c>
      <c r="M413">
        <v>43</v>
      </c>
      <c r="N413">
        <v>42</v>
      </c>
      <c r="O413">
        <v>0</v>
      </c>
      <c r="P413">
        <v>0</v>
      </c>
      <c r="Q413">
        <v>0</v>
      </c>
      <c r="R413">
        <v>0</v>
      </c>
      <c r="S413">
        <v>0</v>
      </c>
      <c r="T413">
        <v>0</v>
      </c>
      <c r="U413">
        <v>0</v>
      </c>
      <c r="V413">
        <v>0</v>
      </c>
      <c r="W413">
        <v>0</v>
      </c>
      <c r="X413">
        <v>0</v>
      </c>
      <c r="Y413">
        <v>0</v>
      </c>
      <c r="Z413">
        <v>0</v>
      </c>
      <c r="AA413">
        <v>0</v>
      </c>
      <c r="AD413" t="s">
        <v>1053</v>
      </c>
      <c r="AE413" s="19">
        <v>1462</v>
      </c>
      <c r="AF413">
        <v>2606</v>
      </c>
      <c r="AG413">
        <v>1404</v>
      </c>
      <c r="AH413">
        <v>2549</v>
      </c>
    </row>
    <row r="414" spans="1:34" hidden="1">
      <c r="A414" s="40" t="s">
        <v>1263</v>
      </c>
      <c r="B414" s="40">
        <v>0</v>
      </c>
      <c r="C414" s="40">
        <v>0</v>
      </c>
      <c r="D414" s="40">
        <v>0</v>
      </c>
      <c r="E414" s="40">
        <v>0</v>
      </c>
      <c r="F414" s="40">
        <v>0</v>
      </c>
      <c r="G414" s="40">
        <v>0</v>
      </c>
      <c r="H414" s="40">
        <v>0</v>
      </c>
      <c r="I414" s="40">
        <v>0</v>
      </c>
      <c r="J414" s="40">
        <v>0</v>
      </c>
      <c r="K414">
        <v>18</v>
      </c>
      <c r="L414">
        <v>54</v>
      </c>
      <c r="M414">
        <v>9</v>
      </c>
      <c r="N414">
        <v>9</v>
      </c>
      <c r="O414">
        <v>0</v>
      </c>
      <c r="P414">
        <v>0</v>
      </c>
      <c r="Q414">
        <v>0</v>
      </c>
      <c r="R414">
        <v>0</v>
      </c>
      <c r="S414">
        <v>0</v>
      </c>
      <c r="T414">
        <v>0</v>
      </c>
      <c r="U414">
        <v>0</v>
      </c>
      <c r="V414">
        <v>0</v>
      </c>
      <c r="W414">
        <v>0</v>
      </c>
      <c r="X414">
        <v>0</v>
      </c>
      <c r="Y414">
        <v>0</v>
      </c>
      <c r="Z414">
        <v>0</v>
      </c>
      <c r="AA414">
        <v>0</v>
      </c>
      <c r="AD414" t="s">
        <v>1133</v>
      </c>
      <c r="AE414" s="19">
        <v>7031</v>
      </c>
      <c r="AF414">
        <v>26136</v>
      </c>
      <c r="AG414">
        <v>6489</v>
      </c>
      <c r="AH414">
        <v>24125</v>
      </c>
    </row>
    <row r="415" spans="1:34" hidden="1">
      <c r="A415" s="40" t="s">
        <v>1264</v>
      </c>
      <c r="B415" s="40">
        <v>0</v>
      </c>
      <c r="C415" s="40">
        <v>0</v>
      </c>
      <c r="D415" s="40">
        <v>0</v>
      </c>
      <c r="E415" s="40">
        <v>0</v>
      </c>
      <c r="F415" s="40">
        <v>0</v>
      </c>
      <c r="G415" s="40">
        <v>0</v>
      </c>
      <c r="H415" s="40">
        <v>0</v>
      </c>
      <c r="I415" s="40">
        <v>0</v>
      </c>
      <c r="J415" s="40">
        <v>0</v>
      </c>
      <c r="K415">
        <v>7</v>
      </c>
      <c r="L415">
        <v>23</v>
      </c>
      <c r="M415">
        <v>12</v>
      </c>
      <c r="N415">
        <v>22</v>
      </c>
      <c r="O415">
        <v>0</v>
      </c>
      <c r="P415">
        <v>0</v>
      </c>
      <c r="Q415">
        <v>0</v>
      </c>
      <c r="R415">
        <v>0</v>
      </c>
      <c r="S415">
        <v>0</v>
      </c>
      <c r="T415">
        <v>0</v>
      </c>
      <c r="U415">
        <v>0</v>
      </c>
      <c r="V415">
        <v>0</v>
      </c>
      <c r="W415">
        <v>0</v>
      </c>
      <c r="X415">
        <v>0</v>
      </c>
      <c r="Y415">
        <v>0</v>
      </c>
      <c r="Z415">
        <v>0</v>
      </c>
      <c r="AA415">
        <v>0</v>
      </c>
      <c r="AD415" t="s">
        <v>1114</v>
      </c>
      <c r="AE415" s="19">
        <v>1743</v>
      </c>
      <c r="AF415">
        <v>6270</v>
      </c>
      <c r="AG415">
        <v>1658</v>
      </c>
      <c r="AH415">
        <v>5768</v>
      </c>
    </row>
    <row r="416" spans="1:34" hidden="1">
      <c r="A416" s="40" t="s">
        <v>1265</v>
      </c>
      <c r="B416" s="40">
        <v>0</v>
      </c>
      <c r="C416" s="40">
        <v>0</v>
      </c>
      <c r="D416" s="40">
        <v>0</v>
      </c>
      <c r="E416" s="40">
        <v>0</v>
      </c>
      <c r="F416" s="40">
        <v>0</v>
      </c>
      <c r="G416" s="40">
        <v>0</v>
      </c>
      <c r="H416" s="40">
        <v>0</v>
      </c>
      <c r="I416" s="40">
        <v>0</v>
      </c>
      <c r="J416" s="40">
        <v>83</v>
      </c>
      <c r="K416">
        <v>80</v>
      </c>
      <c r="L416">
        <v>111</v>
      </c>
      <c r="M416">
        <v>53</v>
      </c>
      <c r="N416">
        <v>51</v>
      </c>
      <c r="O416">
        <v>0</v>
      </c>
      <c r="P416">
        <v>0</v>
      </c>
      <c r="Q416">
        <v>0</v>
      </c>
      <c r="R416">
        <v>0</v>
      </c>
      <c r="S416">
        <v>0</v>
      </c>
      <c r="T416">
        <v>0</v>
      </c>
      <c r="U416">
        <v>0</v>
      </c>
      <c r="V416">
        <v>0</v>
      </c>
      <c r="W416">
        <v>0</v>
      </c>
      <c r="X416">
        <v>0</v>
      </c>
      <c r="Y416">
        <v>0</v>
      </c>
      <c r="Z416">
        <v>0</v>
      </c>
      <c r="AA416">
        <v>0</v>
      </c>
      <c r="AD416" t="s">
        <v>1124</v>
      </c>
      <c r="AE416" s="19">
        <v>1235</v>
      </c>
      <c r="AF416">
        <v>3687</v>
      </c>
      <c r="AG416">
        <v>1056</v>
      </c>
      <c r="AH416">
        <v>3284</v>
      </c>
    </row>
    <row r="417" spans="1:34" hidden="1">
      <c r="A417" s="40" t="s">
        <v>1266</v>
      </c>
      <c r="B417" s="40">
        <v>0</v>
      </c>
      <c r="C417" s="40">
        <v>0</v>
      </c>
      <c r="D417" s="40">
        <v>0</v>
      </c>
      <c r="E417" s="40">
        <v>0</v>
      </c>
      <c r="F417" s="40">
        <v>0</v>
      </c>
      <c r="G417" s="40">
        <v>0</v>
      </c>
      <c r="H417" s="40">
        <v>0</v>
      </c>
      <c r="I417" s="40">
        <v>0</v>
      </c>
      <c r="J417" s="40">
        <v>226</v>
      </c>
      <c r="K417">
        <v>171</v>
      </c>
      <c r="L417">
        <v>164</v>
      </c>
      <c r="M417">
        <v>93</v>
      </c>
      <c r="N417">
        <v>79</v>
      </c>
      <c r="O417">
        <v>0</v>
      </c>
      <c r="P417">
        <v>0</v>
      </c>
      <c r="Q417">
        <v>0</v>
      </c>
      <c r="R417">
        <v>0</v>
      </c>
      <c r="S417">
        <v>0</v>
      </c>
      <c r="T417">
        <v>0</v>
      </c>
      <c r="U417">
        <v>0</v>
      </c>
      <c r="V417">
        <v>0</v>
      </c>
      <c r="W417">
        <v>0</v>
      </c>
      <c r="X417">
        <v>0</v>
      </c>
      <c r="Y417">
        <v>0</v>
      </c>
      <c r="Z417">
        <v>0</v>
      </c>
      <c r="AA417">
        <v>0</v>
      </c>
      <c r="AD417" t="s">
        <v>1014</v>
      </c>
      <c r="AE417" s="19">
        <v>1</v>
      </c>
      <c r="AF417">
        <v>0</v>
      </c>
    </row>
    <row r="418" spans="1:34" hidden="1">
      <c r="A418" s="40" t="s">
        <v>1267</v>
      </c>
      <c r="B418" s="40">
        <v>0</v>
      </c>
      <c r="C418" s="40">
        <v>0</v>
      </c>
      <c r="D418" s="40">
        <v>0</v>
      </c>
      <c r="E418" s="40">
        <v>0</v>
      </c>
      <c r="F418" s="40">
        <v>0</v>
      </c>
      <c r="G418" s="40">
        <v>0</v>
      </c>
      <c r="H418" s="40">
        <v>0</v>
      </c>
      <c r="I418" s="40">
        <v>0</v>
      </c>
      <c r="J418" s="40">
        <v>196</v>
      </c>
      <c r="K418">
        <v>206</v>
      </c>
      <c r="L418">
        <v>200</v>
      </c>
      <c r="M418">
        <v>150</v>
      </c>
      <c r="N418">
        <v>93</v>
      </c>
      <c r="O418">
        <v>0</v>
      </c>
      <c r="P418">
        <v>0</v>
      </c>
      <c r="Q418">
        <v>0</v>
      </c>
      <c r="R418">
        <v>0</v>
      </c>
      <c r="S418">
        <v>0</v>
      </c>
      <c r="T418">
        <v>0</v>
      </c>
      <c r="U418">
        <v>0</v>
      </c>
      <c r="V418">
        <v>0</v>
      </c>
      <c r="W418">
        <v>0</v>
      </c>
      <c r="X418">
        <v>0</v>
      </c>
      <c r="Y418">
        <v>0</v>
      </c>
      <c r="Z418">
        <v>0</v>
      </c>
      <c r="AA418">
        <v>0</v>
      </c>
      <c r="AD418" t="s">
        <v>1086</v>
      </c>
      <c r="AE418" s="19">
        <v>1060</v>
      </c>
      <c r="AF418">
        <v>2714</v>
      </c>
      <c r="AG418">
        <v>1016</v>
      </c>
      <c r="AH418">
        <v>2615</v>
      </c>
    </row>
    <row r="419" spans="1:34" hidden="1">
      <c r="A419" s="40" t="s">
        <v>1268</v>
      </c>
      <c r="B419" s="40">
        <v>0</v>
      </c>
      <c r="C419" s="40">
        <v>0</v>
      </c>
      <c r="D419" s="40">
        <v>0</v>
      </c>
      <c r="E419" s="40">
        <v>0</v>
      </c>
      <c r="F419" s="40">
        <v>0</v>
      </c>
      <c r="G419" s="40">
        <v>0</v>
      </c>
      <c r="H419" s="40">
        <v>0</v>
      </c>
      <c r="I419" s="40">
        <v>0</v>
      </c>
      <c r="J419" s="40">
        <v>160</v>
      </c>
      <c r="K419">
        <v>212</v>
      </c>
      <c r="L419">
        <v>442</v>
      </c>
      <c r="M419">
        <v>140</v>
      </c>
      <c r="N419">
        <v>289</v>
      </c>
      <c r="O419">
        <v>0</v>
      </c>
      <c r="P419">
        <v>0</v>
      </c>
      <c r="Q419">
        <v>0</v>
      </c>
      <c r="R419">
        <v>0</v>
      </c>
      <c r="S419">
        <v>0</v>
      </c>
      <c r="T419">
        <v>0</v>
      </c>
      <c r="U419">
        <v>0</v>
      </c>
      <c r="V419">
        <v>0</v>
      </c>
      <c r="W419">
        <v>0</v>
      </c>
      <c r="X419">
        <v>0</v>
      </c>
      <c r="Y419">
        <v>0</v>
      </c>
      <c r="Z419">
        <v>0</v>
      </c>
      <c r="AA419">
        <v>0</v>
      </c>
      <c r="AD419" t="s">
        <v>944</v>
      </c>
      <c r="AE419" s="19">
        <v>810</v>
      </c>
      <c r="AF419">
        <v>2057</v>
      </c>
      <c r="AG419">
        <v>781</v>
      </c>
      <c r="AH419">
        <v>2165</v>
      </c>
    </row>
    <row r="420" spans="1:34" hidden="1">
      <c r="A420" s="40" t="s">
        <v>1269</v>
      </c>
      <c r="B420" s="40">
        <v>0</v>
      </c>
      <c r="C420" s="40">
        <v>0</v>
      </c>
      <c r="D420" s="40">
        <v>0</v>
      </c>
      <c r="E420" s="40">
        <v>0</v>
      </c>
      <c r="F420" s="40">
        <v>0</v>
      </c>
      <c r="G420" s="40">
        <v>0</v>
      </c>
      <c r="H420" s="40">
        <v>0</v>
      </c>
      <c r="I420" s="40">
        <v>0</v>
      </c>
      <c r="J420" s="40">
        <v>56</v>
      </c>
      <c r="K420">
        <v>116</v>
      </c>
      <c r="L420">
        <v>143</v>
      </c>
      <c r="M420">
        <v>79</v>
      </c>
      <c r="N420">
        <v>74</v>
      </c>
      <c r="O420">
        <v>0</v>
      </c>
      <c r="P420">
        <v>0</v>
      </c>
      <c r="Q420">
        <v>0</v>
      </c>
      <c r="R420">
        <v>0</v>
      </c>
      <c r="S420">
        <v>0</v>
      </c>
      <c r="T420">
        <v>0</v>
      </c>
      <c r="U420">
        <v>0</v>
      </c>
      <c r="V420">
        <v>0</v>
      </c>
      <c r="W420">
        <v>0</v>
      </c>
      <c r="X420">
        <v>0</v>
      </c>
      <c r="Y420">
        <v>0</v>
      </c>
      <c r="Z420">
        <v>0</v>
      </c>
      <c r="AA420">
        <v>0</v>
      </c>
      <c r="AD420" t="s">
        <v>1042</v>
      </c>
      <c r="AE420" s="19">
        <v>1161</v>
      </c>
      <c r="AF420">
        <v>3943</v>
      </c>
      <c r="AG420">
        <v>1200</v>
      </c>
      <c r="AH420">
        <v>4438</v>
      </c>
    </row>
    <row r="421" spans="1:34" hidden="1">
      <c r="A421" s="40" t="s">
        <v>1270</v>
      </c>
      <c r="B421" s="40">
        <v>0</v>
      </c>
      <c r="C421" s="40">
        <v>0</v>
      </c>
      <c r="D421" s="40">
        <v>0</v>
      </c>
      <c r="E421" s="40">
        <v>0</v>
      </c>
      <c r="F421" s="40">
        <v>0</v>
      </c>
      <c r="G421" s="40">
        <v>0</v>
      </c>
      <c r="H421" s="40">
        <v>0</v>
      </c>
      <c r="I421" s="40">
        <v>0</v>
      </c>
      <c r="J421" s="40">
        <v>0</v>
      </c>
      <c r="K421">
        <v>126</v>
      </c>
      <c r="L421">
        <v>181</v>
      </c>
      <c r="M421">
        <v>145</v>
      </c>
      <c r="N421">
        <v>91</v>
      </c>
      <c r="O421">
        <v>0</v>
      </c>
      <c r="P421">
        <v>0</v>
      </c>
      <c r="Q421">
        <v>0</v>
      </c>
      <c r="R421">
        <v>0</v>
      </c>
      <c r="S421">
        <v>0</v>
      </c>
      <c r="T421">
        <v>0</v>
      </c>
      <c r="U421">
        <v>0</v>
      </c>
      <c r="V421">
        <v>0</v>
      </c>
      <c r="W421">
        <v>0</v>
      </c>
      <c r="X421">
        <v>0</v>
      </c>
      <c r="Y421">
        <v>0</v>
      </c>
      <c r="Z421">
        <v>0</v>
      </c>
      <c r="AA421">
        <v>0</v>
      </c>
      <c r="AD421" t="s">
        <v>948</v>
      </c>
      <c r="AE421" s="19">
        <v>1609</v>
      </c>
      <c r="AF421">
        <v>2968</v>
      </c>
      <c r="AG421">
        <v>1599</v>
      </c>
      <c r="AH421">
        <v>2916</v>
      </c>
    </row>
    <row r="422" spans="1:34" hidden="1">
      <c r="A422" s="40" t="s">
        <v>1271</v>
      </c>
      <c r="B422" s="40">
        <v>0</v>
      </c>
      <c r="C422" s="40">
        <v>0</v>
      </c>
      <c r="D422" s="40">
        <v>0</v>
      </c>
      <c r="E422" s="40">
        <v>0</v>
      </c>
      <c r="F422" s="40">
        <v>0</v>
      </c>
      <c r="G422" s="40">
        <v>0</v>
      </c>
      <c r="H422" s="40">
        <v>0</v>
      </c>
      <c r="I422" s="40">
        <v>0</v>
      </c>
      <c r="J422" s="40">
        <v>0</v>
      </c>
      <c r="K422">
        <v>890</v>
      </c>
      <c r="L422">
        <v>860</v>
      </c>
      <c r="M422">
        <v>532</v>
      </c>
      <c r="N422">
        <v>667</v>
      </c>
      <c r="O422">
        <v>0</v>
      </c>
      <c r="P422">
        <v>0</v>
      </c>
      <c r="Q422">
        <v>0</v>
      </c>
      <c r="R422">
        <v>0</v>
      </c>
      <c r="S422">
        <v>0</v>
      </c>
      <c r="T422">
        <v>0</v>
      </c>
      <c r="U422">
        <v>0</v>
      </c>
      <c r="V422">
        <v>0</v>
      </c>
      <c r="W422">
        <v>0</v>
      </c>
      <c r="X422">
        <v>0</v>
      </c>
      <c r="Y422">
        <v>0</v>
      </c>
      <c r="Z422">
        <v>0</v>
      </c>
      <c r="AA422">
        <v>0</v>
      </c>
      <c r="AD422" t="s">
        <v>1063</v>
      </c>
      <c r="AE422" s="19">
        <v>1107</v>
      </c>
      <c r="AF422">
        <v>3665</v>
      </c>
      <c r="AG422">
        <v>969</v>
      </c>
      <c r="AH422">
        <v>3460</v>
      </c>
    </row>
    <row r="423" spans="1:34" hidden="1">
      <c r="A423" s="40" t="s">
        <v>1272</v>
      </c>
      <c r="B423" s="40">
        <v>0</v>
      </c>
      <c r="C423" s="40">
        <v>0</v>
      </c>
      <c r="D423" s="40">
        <v>0</v>
      </c>
      <c r="E423" s="40">
        <v>0</v>
      </c>
      <c r="F423" s="40">
        <v>0</v>
      </c>
      <c r="G423" s="40">
        <v>0</v>
      </c>
      <c r="H423" s="40">
        <v>0</v>
      </c>
      <c r="I423" s="40">
        <v>0</v>
      </c>
      <c r="J423" s="40">
        <v>0</v>
      </c>
      <c r="K423">
        <v>260</v>
      </c>
      <c r="L423">
        <v>409</v>
      </c>
      <c r="M423">
        <v>186</v>
      </c>
      <c r="N423">
        <v>459</v>
      </c>
      <c r="O423">
        <v>0</v>
      </c>
      <c r="P423">
        <v>0</v>
      </c>
      <c r="Q423">
        <v>0</v>
      </c>
      <c r="R423">
        <v>0</v>
      </c>
      <c r="S423">
        <v>0</v>
      </c>
      <c r="T423">
        <v>0</v>
      </c>
      <c r="U423">
        <v>0</v>
      </c>
      <c r="V423">
        <v>0</v>
      </c>
      <c r="W423">
        <v>0</v>
      </c>
      <c r="X423">
        <v>0</v>
      </c>
      <c r="Y423">
        <v>0</v>
      </c>
      <c r="Z423">
        <v>0</v>
      </c>
      <c r="AA423">
        <v>0</v>
      </c>
      <c r="AD423" t="s">
        <v>1001</v>
      </c>
      <c r="AE423" s="19">
        <v>550</v>
      </c>
      <c r="AF423">
        <v>1773</v>
      </c>
      <c r="AG423">
        <v>494</v>
      </c>
      <c r="AH423">
        <v>1693</v>
      </c>
    </row>
    <row r="424" spans="1:34" hidden="1">
      <c r="B424" s="40"/>
      <c r="C424" s="40"/>
      <c r="D424" s="40"/>
      <c r="E424" s="40"/>
      <c r="F424" s="40"/>
      <c r="G424" s="40"/>
      <c r="H424" s="40"/>
      <c r="I424" s="40"/>
      <c r="AD424" t="s">
        <v>1092</v>
      </c>
      <c r="AE424" s="19">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922</v>
      </c>
      <c r="AE425" s="19">
        <v>1375</v>
      </c>
      <c r="AF425">
        <v>3541</v>
      </c>
      <c r="AG425">
        <v>1348</v>
      </c>
      <c r="AH425">
        <v>3357</v>
      </c>
    </row>
    <row r="426" spans="1:34" hidden="1">
      <c r="B426" s="40"/>
      <c r="C426" s="40"/>
      <c r="D426" s="40"/>
      <c r="E426" s="40"/>
      <c r="F426" s="40"/>
      <c r="G426" s="40"/>
      <c r="H426" s="40"/>
      <c r="I426" s="40"/>
      <c r="AD426" t="s">
        <v>954</v>
      </c>
      <c r="AE426" s="19">
        <v>770</v>
      </c>
      <c r="AF426">
        <v>2206</v>
      </c>
      <c r="AG426">
        <v>708</v>
      </c>
      <c r="AH426">
        <v>2045</v>
      </c>
    </row>
    <row r="427" spans="1:34" hidden="1">
      <c r="B427" s="40"/>
      <c r="C427" s="40"/>
      <c r="D427" s="40"/>
      <c r="E427" s="40"/>
      <c r="F427" s="40"/>
      <c r="G427" s="40"/>
      <c r="H427" s="40"/>
      <c r="I427" s="40"/>
      <c r="AD427" t="s">
        <v>1018</v>
      </c>
      <c r="AE427" s="19">
        <v>1104</v>
      </c>
      <c r="AF427">
        <v>3593</v>
      </c>
      <c r="AG427">
        <v>1145</v>
      </c>
      <c r="AH427">
        <v>3700</v>
      </c>
    </row>
    <row r="428" spans="1:34" hidden="1">
      <c r="B428" s="40"/>
      <c r="C428" s="40"/>
      <c r="D428" s="40"/>
      <c r="E428" s="40"/>
      <c r="F428" s="40"/>
      <c r="G428" s="40"/>
      <c r="H428" s="40"/>
      <c r="J428" s="40"/>
      <c r="AD428" t="s">
        <v>924</v>
      </c>
      <c r="AE428" s="19">
        <v>1299</v>
      </c>
      <c r="AF428">
        <v>2917</v>
      </c>
      <c r="AG428">
        <v>1294</v>
      </c>
      <c r="AH428">
        <v>2694</v>
      </c>
    </row>
    <row r="429" spans="1:34" hidden="1">
      <c r="B429" s="40"/>
      <c r="C429" s="40"/>
      <c r="D429" s="40"/>
      <c r="E429" s="40"/>
      <c r="F429" s="40"/>
      <c r="G429" s="40"/>
      <c r="H429" s="40"/>
      <c r="I429" s="40"/>
      <c r="AD429" t="s">
        <v>952</v>
      </c>
      <c r="AE429" s="19">
        <v>930</v>
      </c>
      <c r="AF429">
        <v>3702</v>
      </c>
      <c r="AG429">
        <v>856</v>
      </c>
      <c r="AH429">
        <v>3015</v>
      </c>
    </row>
    <row r="430" spans="1:34" hidden="1">
      <c r="B430" s="40"/>
      <c r="C430" s="40"/>
      <c r="D430" s="40"/>
      <c r="E430" s="40"/>
      <c r="F430" s="40"/>
      <c r="G430" s="40"/>
      <c r="H430" s="40"/>
      <c r="I430" s="40"/>
      <c r="AD430" t="s">
        <v>968</v>
      </c>
      <c r="AE430" s="19">
        <v>531</v>
      </c>
      <c r="AF430">
        <v>1889</v>
      </c>
      <c r="AG430">
        <v>382</v>
      </c>
      <c r="AH430">
        <v>1239</v>
      </c>
    </row>
    <row r="431" spans="1:34" ht="12.75" customHeight="1">
      <c r="AD431" s="38" t="s">
        <v>1061</v>
      </c>
      <c r="AE431" s="148">
        <v>1122</v>
      </c>
      <c r="AF431">
        <v>4381</v>
      </c>
      <c r="AG431">
        <v>741</v>
      </c>
      <c r="AH431">
        <v>3467</v>
      </c>
    </row>
    <row r="432" spans="1:34">
      <c r="A432" s="41" t="s">
        <v>1273</v>
      </c>
      <c r="B432" s="42" t="s">
        <v>1274</v>
      </c>
      <c r="C432" s="43" t="s">
        <v>1275</v>
      </c>
      <c r="D432" s="41" t="s">
        <v>1276</v>
      </c>
      <c r="E432" s="42" t="s">
        <v>1277</v>
      </c>
      <c r="F432" s="43" t="s">
        <v>1278</v>
      </c>
      <c r="G432" s="44" t="s">
        <v>1279</v>
      </c>
      <c r="H432" s="45" t="s">
        <v>1280</v>
      </c>
      <c r="I432" s="46" t="s">
        <v>1281</v>
      </c>
      <c r="J432" s="43" t="s">
        <v>1282</v>
      </c>
      <c r="K432" s="53" t="s">
        <v>1283</v>
      </c>
      <c r="L432" s="46" t="s">
        <v>1284</v>
      </c>
      <c r="M432" s="53" t="s">
        <v>1285</v>
      </c>
      <c r="N432" s="43" t="s">
        <v>1286</v>
      </c>
      <c r="O432" s="155" t="s">
        <v>10</v>
      </c>
      <c r="P432" s="43" t="s">
        <v>11</v>
      </c>
      <c r="AD432" s="28" t="s">
        <v>997</v>
      </c>
      <c r="AE432" s="19">
        <v>325</v>
      </c>
      <c r="AF432">
        <v>3278</v>
      </c>
      <c r="AG432">
        <v>355</v>
      </c>
      <c r="AH432">
        <v>2834</v>
      </c>
    </row>
    <row r="433" spans="1:34">
      <c r="A433" s="47">
        <f t="shared" ref="A433:L433" si="1">O425/B425</f>
        <v>0.23766867074810491</v>
      </c>
      <c r="B433" s="48">
        <f t="shared" si="1"/>
        <v>0.23512254466103483</v>
      </c>
      <c r="C433" s="49">
        <f t="shared" si="1"/>
        <v>0.22321587377192004</v>
      </c>
      <c r="D433" s="47">
        <f t="shared" si="1"/>
        <v>0.22286411108917126</v>
      </c>
      <c r="E433" s="48">
        <f t="shared" si="1"/>
        <v>0.23518985959503899</v>
      </c>
      <c r="F433" s="49">
        <f t="shared" si="1"/>
        <v>0.2284846065729291</v>
      </c>
      <c r="G433" s="50">
        <f t="shared" si="1"/>
        <v>0.25431799544130079</v>
      </c>
      <c r="H433" s="51">
        <f t="shared" si="1"/>
        <v>0.25263021906879796</v>
      </c>
      <c r="I433" s="52">
        <f t="shared" si="1"/>
        <v>0.27559785699320583</v>
      </c>
      <c r="J433" s="49">
        <f t="shared" si="1"/>
        <v>0.28248952000158589</v>
      </c>
      <c r="K433" s="54">
        <f t="shared" si="1"/>
        <v>0.28460757844528012</v>
      </c>
      <c r="L433" s="52">
        <f t="shared" si="1"/>
        <v>0.26761354721576774</v>
      </c>
      <c r="M433" s="54">
        <f>AA425/N425</f>
        <v>0.25655326446267845</v>
      </c>
      <c r="N433" s="49">
        <f>AE488/AF488</f>
        <v>0.26586442556975021</v>
      </c>
      <c r="O433" s="156">
        <f>AG488/AH488</f>
        <v>0.2691583864802044</v>
      </c>
      <c r="P433" s="49">
        <f>AI488/AJ488</f>
        <v>0.2696972893725334</v>
      </c>
      <c r="AD433" s="28" t="s">
        <v>1106</v>
      </c>
      <c r="AE433" s="19">
        <v>1173</v>
      </c>
      <c r="AF433">
        <v>13082</v>
      </c>
      <c r="AG433">
        <v>1294</v>
      </c>
      <c r="AH433">
        <v>13075</v>
      </c>
    </row>
    <row r="434" spans="1:34">
      <c r="A434" s="47"/>
      <c r="B434" s="48"/>
      <c r="C434" s="49"/>
      <c r="D434" s="47"/>
      <c r="E434" s="48"/>
      <c r="F434" s="49"/>
      <c r="G434" s="50"/>
      <c r="H434" s="51"/>
      <c r="I434" s="52"/>
      <c r="J434" s="49"/>
      <c r="K434" s="54"/>
      <c r="L434" s="52"/>
      <c r="M434" s="54"/>
      <c r="N434" s="49"/>
      <c r="O434" s="155"/>
      <c r="P434" s="49"/>
      <c r="AD434" t="s">
        <v>1287</v>
      </c>
      <c r="AE434" s="19">
        <v>0</v>
      </c>
    </row>
    <row r="435" spans="1:34">
      <c r="AE435" s="19">
        <v>0</v>
      </c>
    </row>
    <row r="436" spans="1:34">
      <c r="AE436" s="19">
        <v>0</v>
      </c>
    </row>
    <row r="437" spans="1:34">
      <c r="AD437" t="s">
        <v>1080</v>
      </c>
      <c r="AE437" s="19">
        <v>1253</v>
      </c>
      <c r="AF437">
        <v>3107</v>
      </c>
      <c r="AG437">
        <v>1273</v>
      </c>
      <c r="AH437">
        <v>3054</v>
      </c>
    </row>
    <row r="438" spans="1:34">
      <c r="AE438" s="19"/>
    </row>
    <row r="439" spans="1:34">
      <c r="AD439" t="s">
        <v>1038</v>
      </c>
      <c r="AE439" s="19">
        <v>566</v>
      </c>
      <c r="AF439">
        <v>2475</v>
      </c>
      <c r="AG439">
        <v>531</v>
      </c>
      <c r="AH439">
        <v>2223</v>
      </c>
    </row>
    <row r="440" spans="1:34">
      <c r="AD440" t="s">
        <v>1036</v>
      </c>
      <c r="AE440" s="19">
        <v>601</v>
      </c>
      <c r="AF440">
        <v>2371</v>
      </c>
      <c r="AG440">
        <v>444</v>
      </c>
      <c r="AH440">
        <v>1884</v>
      </c>
    </row>
    <row r="441" spans="1:34">
      <c r="AD441" t="s">
        <v>960</v>
      </c>
      <c r="AE441" s="19">
        <v>375</v>
      </c>
      <c r="AF441">
        <v>2654</v>
      </c>
      <c r="AG441">
        <v>317</v>
      </c>
      <c r="AH441">
        <v>2644</v>
      </c>
    </row>
    <row r="442" spans="1:34">
      <c r="AD442" t="s">
        <v>1022</v>
      </c>
      <c r="AE442" s="19">
        <v>17</v>
      </c>
      <c r="AF442">
        <v>75</v>
      </c>
      <c r="AG442">
        <v>31</v>
      </c>
      <c r="AH442">
        <v>81</v>
      </c>
    </row>
    <row r="443" spans="1:34">
      <c r="AD443" t="s">
        <v>942</v>
      </c>
      <c r="AE443" s="19">
        <v>0</v>
      </c>
      <c r="AF443">
        <v>656</v>
      </c>
      <c r="AG443">
        <v>162</v>
      </c>
      <c r="AH443">
        <v>702</v>
      </c>
    </row>
    <row r="444" spans="1:34">
      <c r="AD444" t="s">
        <v>962</v>
      </c>
      <c r="AE444" s="19">
        <v>966</v>
      </c>
      <c r="AF444">
        <v>1681</v>
      </c>
      <c r="AG444">
        <v>903</v>
      </c>
      <c r="AH444">
        <v>1681</v>
      </c>
    </row>
    <row r="445" spans="1:34">
      <c r="AD445" t="s">
        <v>999</v>
      </c>
      <c r="AE445" s="19">
        <v>22</v>
      </c>
      <c r="AF445">
        <v>170</v>
      </c>
      <c r="AG445">
        <v>8</v>
      </c>
      <c r="AH445">
        <v>146</v>
      </c>
    </row>
    <row r="446" spans="1:34">
      <c r="AD446" t="s">
        <v>1098</v>
      </c>
      <c r="AE446" s="19">
        <v>1292</v>
      </c>
      <c r="AF446">
        <v>3882</v>
      </c>
      <c r="AG446">
        <v>1188</v>
      </c>
      <c r="AH446">
        <v>3764</v>
      </c>
    </row>
    <row r="447" spans="1:34">
      <c r="AD447" t="s">
        <v>1049</v>
      </c>
      <c r="AE447" s="19">
        <v>840</v>
      </c>
      <c r="AF447">
        <v>4795</v>
      </c>
      <c r="AG447">
        <v>954</v>
      </c>
      <c r="AH447">
        <v>4619</v>
      </c>
    </row>
    <row r="448" spans="1:34">
      <c r="AD448" t="s">
        <v>1082</v>
      </c>
      <c r="AE448" s="19">
        <v>142</v>
      </c>
      <c r="AF448">
        <v>864</v>
      </c>
      <c r="AG448">
        <v>168</v>
      </c>
      <c r="AH448">
        <v>824</v>
      </c>
    </row>
    <row r="449" spans="30:34">
      <c r="AD449" s="38" t="s">
        <v>938</v>
      </c>
      <c r="AE449" s="148">
        <v>131</v>
      </c>
      <c r="AF449">
        <v>712</v>
      </c>
      <c r="AG449">
        <v>112</v>
      </c>
      <c r="AH449">
        <v>685</v>
      </c>
    </row>
    <row r="450" spans="30:34">
      <c r="AD450" t="s">
        <v>920</v>
      </c>
      <c r="AE450" s="19">
        <v>0</v>
      </c>
      <c r="AF450">
        <v>97</v>
      </c>
      <c r="AG450">
        <v>2</v>
      </c>
      <c r="AH450">
        <v>1506</v>
      </c>
    </row>
    <row r="451" spans="30:34">
      <c r="AD451" t="s">
        <v>1016</v>
      </c>
      <c r="AE451" s="19">
        <v>683</v>
      </c>
      <c r="AF451">
        <v>1859</v>
      </c>
      <c r="AG451">
        <v>789</v>
      </c>
      <c r="AH451">
        <v>2046</v>
      </c>
    </row>
    <row r="452" spans="30:34">
      <c r="AD452" t="s">
        <v>972</v>
      </c>
      <c r="AE452" s="19">
        <v>276</v>
      </c>
      <c r="AF452">
        <v>1244</v>
      </c>
      <c r="AG452">
        <v>293</v>
      </c>
      <c r="AH452">
        <v>1147</v>
      </c>
    </row>
    <row r="453" spans="30:34">
      <c r="AD453" t="s">
        <v>1040</v>
      </c>
      <c r="AE453" s="19">
        <v>295</v>
      </c>
      <c r="AF453">
        <v>1136</v>
      </c>
      <c r="AG453">
        <v>343</v>
      </c>
      <c r="AH453">
        <v>1641</v>
      </c>
    </row>
    <row r="454" spans="30:34">
      <c r="AD454" t="s">
        <v>1096</v>
      </c>
      <c r="AE454" s="19">
        <v>279</v>
      </c>
      <c r="AF454">
        <v>441</v>
      </c>
      <c r="AG454">
        <v>203</v>
      </c>
      <c r="AH454">
        <v>400</v>
      </c>
    </row>
    <row r="455" spans="30:34">
      <c r="AD455" t="s">
        <v>1047</v>
      </c>
      <c r="AE455" s="19">
        <v>1946</v>
      </c>
      <c r="AF455">
        <v>7171</v>
      </c>
      <c r="AG455">
        <v>1777</v>
      </c>
      <c r="AH455">
        <v>5772</v>
      </c>
    </row>
    <row r="456" spans="30:34">
      <c r="AD456" t="s">
        <v>936</v>
      </c>
      <c r="AE456" s="19">
        <v>1462</v>
      </c>
      <c r="AF456">
        <v>5018</v>
      </c>
      <c r="AG456">
        <v>1152</v>
      </c>
      <c r="AH456">
        <v>4407</v>
      </c>
    </row>
    <row r="457" spans="30:34">
      <c r="AD457" t="s">
        <v>918</v>
      </c>
      <c r="AE457" s="19">
        <v>2083</v>
      </c>
      <c r="AF457">
        <v>5548</v>
      </c>
      <c r="AG457">
        <v>2042</v>
      </c>
      <c r="AH457">
        <v>5663</v>
      </c>
    </row>
    <row r="458" spans="30:34">
      <c r="AD458" s="28" t="s">
        <v>926</v>
      </c>
      <c r="AE458" s="19">
        <v>336</v>
      </c>
      <c r="AF458">
        <v>1519</v>
      </c>
      <c r="AG458">
        <v>352</v>
      </c>
      <c r="AH458">
        <v>1583</v>
      </c>
    </row>
    <row r="459" spans="30:34">
      <c r="AD459" t="s">
        <v>1067</v>
      </c>
      <c r="AE459" s="19">
        <v>1332</v>
      </c>
      <c r="AF459">
        <v>3144</v>
      </c>
      <c r="AG459">
        <v>1166</v>
      </c>
      <c r="AH459">
        <v>2653</v>
      </c>
    </row>
    <row r="460" spans="30:34">
      <c r="AD460" t="s">
        <v>1102</v>
      </c>
      <c r="AE460" s="19">
        <v>796</v>
      </c>
      <c r="AF460">
        <v>2372</v>
      </c>
      <c r="AG460">
        <v>656</v>
      </c>
      <c r="AH460">
        <v>2225</v>
      </c>
    </row>
    <row r="461" spans="30:34">
      <c r="AD461" t="s">
        <v>1094</v>
      </c>
      <c r="AE461" s="19">
        <v>3891</v>
      </c>
      <c r="AF461">
        <v>11080</v>
      </c>
      <c r="AG461">
        <v>3754</v>
      </c>
      <c r="AH461">
        <v>10592</v>
      </c>
    </row>
    <row r="462" spans="30:34">
      <c r="AD462" t="s">
        <v>1078</v>
      </c>
      <c r="AE462" s="19">
        <v>1452</v>
      </c>
      <c r="AF462">
        <v>4180</v>
      </c>
      <c r="AG462">
        <v>1291</v>
      </c>
      <c r="AH462">
        <v>3452</v>
      </c>
    </row>
    <row r="463" spans="30:34">
      <c r="AD463" t="s">
        <v>1100</v>
      </c>
      <c r="AE463" s="19">
        <v>1547</v>
      </c>
      <c r="AF463">
        <v>8203</v>
      </c>
      <c r="AG463">
        <v>1368</v>
      </c>
      <c r="AH463">
        <v>9377</v>
      </c>
    </row>
    <row r="464" spans="30:34">
      <c r="AD464" t="s">
        <v>940</v>
      </c>
      <c r="AE464" s="19">
        <v>303</v>
      </c>
      <c r="AF464">
        <v>2468</v>
      </c>
      <c r="AG464">
        <v>327</v>
      </c>
      <c r="AH464">
        <v>2674</v>
      </c>
    </row>
    <row r="465" spans="30:34">
      <c r="AD465" t="s">
        <v>993</v>
      </c>
      <c r="AE465" s="19">
        <v>1797</v>
      </c>
      <c r="AF465">
        <v>3968</v>
      </c>
      <c r="AG465">
        <v>1837</v>
      </c>
      <c r="AH465">
        <v>3753</v>
      </c>
    </row>
    <row r="466" spans="30:34">
      <c r="AD466" t="s">
        <v>1076</v>
      </c>
      <c r="AE466" s="19">
        <v>313</v>
      </c>
      <c r="AF466">
        <v>1233</v>
      </c>
      <c r="AG466">
        <v>123</v>
      </c>
      <c r="AH466">
        <v>505</v>
      </c>
    </row>
    <row r="467" spans="30:34">
      <c r="AD467" t="s">
        <v>1020</v>
      </c>
      <c r="AE467" s="19">
        <v>742</v>
      </c>
      <c r="AF467">
        <v>2328</v>
      </c>
      <c r="AG467">
        <v>760</v>
      </c>
      <c r="AH467">
        <v>2605</v>
      </c>
    </row>
    <row r="468" spans="30:34">
      <c r="AD468" t="s">
        <v>989</v>
      </c>
      <c r="AE468" s="19">
        <v>356</v>
      </c>
      <c r="AF468">
        <v>678</v>
      </c>
      <c r="AG468">
        <v>312</v>
      </c>
      <c r="AH468">
        <v>640</v>
      </c>
    </row>
    <row r="469" spans="30:34">
      <c r="AD469" t="s">
        <v>1056</v>
      </c>
      <c r="AE469" s="19">
        <v>1874</v>
      </c>
      <c r="AF469">
        <v>7170</v>
      </c>
      <c r="AG469">
        <v>1651</v>
      </c>
      <c r="AH469">
        <v>6647</v>
      </c>
    </row>
    <row r="470" spans="30:34">
      <c r="AD470" t="s">
        <v>1024</v>
      </c>
      <c r="AE470" s="19">
        <v>434</v>
      </c>
      <c r="AF470">
        <v>1699</v>
      </c>
      <c r="AG470">
        <v>16</v>
      </c>
      <c r="AH470">
        <v>15</v>
      </c>
    </row>
    <row r="471" spans="30:34">
      <c r="AD471" t="s">
        <v>1034</v>
      </c>
      <c r="AE471" s="19">
        <v>922</v>
      </c>
      <c r="AF471">
        <v>2223</v>
      </c>
      <c r="AG471">
        <v>818</v>
      </c>
      <c r="AH471">
        <v>2568</v>
      </c>
    </row>
    <row r="472" spans="30:34">
      <c r="AD472" t="s">
        <v>1088</v>
      </c>
      <c r="AE472" s="19">
        <v>1303</v>
      </c>
      <c r="AF472">
        <v>8739</v>
      </c>
      <c r="AG472">
        <v>1458</v>
      </c>
      <c r="AH472">
        <v>8971</v>
      </c>
    </row>
    <row r="473" spans="30:34">
      <c r="AD473" t="s">
        <v>1131</v>
      </c>
      <c r="AE473" s="19">
        <v>1967</v>
      </c>
      <c r="AF473">
        <v>6950</v>
      </c>
      <c r="AG473">
        <v>2394</v>
      </c>
      <c r="AH473">
        <v>8538</v>
      </c>
    </row>
    <row r="474" spans="30:34">
      <c r="AD474" t="s">
        <v>1110</v>
      </c>
      <c r="AE474" s="19">
        <v>2648</v>
      </c>
      <c r="AF474">
        <v>5829</v>
      </c>
      <c r="AG474">
        <v>2540</v>
      </c>
      <c r="AH474">
        <v>5875</v>
      </c>
    </row>
    <row r="475" spans="30:34">
      <c r="AD475" t="s">
        <v>970</v>
      </c>
      <c r="AE475" s="19">
        <v>1099</v>
      </c>
      <c r="AF475">
        <v>3946</v>
      </c>
      <c r="AG475">
        <v>805</v>
      </c>
      <c r="AH475">
        <v>3422</v>
      </c>
    </row>
    <row r="476" spans="30:34">
      <c r="AD476" t="s">
        <v>1122</v>
      </c>
      <c r="AE476" s="19">
        <v>3298</v>
      </c>
      <c r="AF476">
        <v>9439</v>
      </c>
      <c r="AG476">
        <v>3094</v>
      </c>
      <c r="AH476">
        <v>8484</v>
      </c>
    </row>
    <row r="477" spans="30:34">
      <c r="AD477" t="s">
        <v>987</v>
      </c>
      <c r="AE477" s="19">
        <v>355</v>
      </c>
      <c r="AF477">
        <v>1594</v>
      </c>
      <c r="AG477">
        <v>332</v>
      </c>
      <c r="AH477">
        <v>1652</v>
      </c>
    </row>
    <row r="478" spans="30:34">
      <c r="AD478" t="s">
        <v>1069</v>
      </c>
      <c r="AE478" s="19">
        <v>4192</v>
      </c>
      <c r="AF478">
        <v>14541</v>
      </c>
      <c r="AG478">
        <v>4135</v>
      </c>
      <c r="AH478">
        <v>13649</v>
      </c>
    </row>
    <row r="479" spans="30:34">
      <c r="AD479" t="s">
        <v>901</v>
      </c>
      <c r="AE479" s="19">
        <v>5893</v>
      </c>
      <c r="AF479">
        <v>16635</v>
      </c>
      <c r="AG479">
        <v>6172</v>
      </c>
      <c r="AH479">
        <v>17200</v>
      </c>
    </row>
    <row r="480" spans="30:34">
      <c r="AD480" t="s">
        <v>1090</v>
      </c>
      <c r="AE480" s="19">
        <v>1168</v>
      </c>
      <c r="AF480">
        <v>6111</v>
      </c>
      <c r="AG480">
        <v>1334</v>
      </c>
      <c r="AH480">
        <v>6479</v>
      </c>
    </row>
    <row r="481" spans="30:36">
      <c r="AD481" t="s">
        <v>983</v>
      </c>
      <c r="AE481" s="19">
        <v>660</v>
      </c>
      <c r="AF481">
        <v>2399</v>
      </c>
      <c r="AG481">
        <v>577</v>
      </c>
      <c r="AH481">
        <v>2079</v>
      </c>
    </row>
    <row r="482" spans="30:36">
      <c r="AD482" t="s">
        <v>1112</v>
      </c>
      <c r="AE482" s="19">
        <v>1341</v>
      </c>
      <c r="AF482">
        <v>4218</v>
      </c>
      <c r="AG482">
        <v>1501</v>
      </c>
      <c r="AH482">
        <v>4158</v>
      </c>
    </row>
    <row r="483" spans="30:36">
      <c r="AD483" t="s">
        <v>995</v>
      </c>
      <c r="AE483" s="19">
        <v>3129</v>
      </c>
      <c r="AF483">
        <v>9988</v>
      </c>
      <c r="AG483">
        <v>3119</v>
      </c>
      <c r="AH483">
        <v>10232</v>
      </c>
    </row>
    <row r="484" spans="30:36">
      <c r="AD484" t="s">
        <v>1126</v>
      </c>
      <c r="AE484" s="19">
        <v>3780</v>
      </c>
      <c r="AF484">
        <v>9966</v>
      </c>
      <c r="AG484">
        <v>4347</v>
      </c>
      <c r="AH484">
        <v>11844</v>
      </c>
    </row>
    <row r="485" spans="30:36">
      <c r="AD485" t="s">
        <v>1138</v>
      </c>
      <c r="AE485" s="19">
        <v>4424</v>
      </c>
      <c r="AF485">
        <v>19236</v>
      </c>
      <c r="AG485">
        <v>3796</v>
      </c>
      <c r="AH485">
        <v>15646</v>
      </c>
    </row>
    <row r="486" spans="30:36">
      <c r="AD486" t="s">
        <v>1074</v>
      </c>
      <c r="AE486" s="19">
        <v>910</v>
      </c>
      <c r="AF486">
        <v>2546</v>
      </c>
      <c r="AG486">
        <v>640</v>
      </c>
      <c r="AH486">
        <v>1546</v>
      </c>
    </row>
    <row r="488" spans="30:36">
      <c r="AE488" s="26">
        <f>SUM(AE2:AE486)</f>
        <v>998117</v>
      </c>
      <c r="AF488" s="26">
        <f>SUM(AF2:AF486)</f>
        <v>3754233</v>
      </c>
      <c r="AG488" s="26">
        <f t="shared" ref="AG488:AH488" si="2">SUM(AG2:AG486)</f>
        <v>896741</v>
      </c>
      <c r="AH488" s="26">
        <f t="shared" si="2"/>
        <v>3331648</v>
      </c>
      <c r="AI488">
        <v>997052</v>
      </c>
      <c r="AJ488">
        <v>3696930</v>
      </c>
    </row>
  </sheetData>
  <autoFilter ref="AG1:AG488" xr:uid="{D1C2AC53-AB10-45FA-8884-38249F8AB2BF}"/>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1202</v>
      </c>
      <c r="B1" t="s">
        <v>1288</v>
      </c>
    </row>
    <row r="2" spans="1:2">
      <c r="A2" t="s">
        <v>28</v>
      </c>
      <c r="B2" t="s">
        <v>1168</v>
      </c>
    </row>
    <row r="3" spans="1:2">
      <c r="A3" t="s">
        <v>527</v>
      </c>
      <c r="B3" t="s">
        <v>1168</v>
      </c>
    </row>
    <row r="4" spans="1:2">
      <c r="A4" t="s">
        <v>1289</v>
      </c>
      <c r="B4" t="s">
        <v>1168</v>
      </c>
    </row>
    <row r="5" spans="1:2">
      <c r="A5" t="s">
        <v>531</v>
      </c>
      <c r="B5" t="s">
        <v>1168</v>
      </c>
    </row>
    <row r="6" spans="1:2">
      <c r="A6" t="s">
        <v>1290</v>
      </c>
      <c r="B6" t="s">
        <v>1168</v>
      </c>
    </row>
    <row r="7" spans="1:2">
      <c r="A7" t="s">
        <v>73</v>
      </c>
      <c r="B7" t="s">
        <v>1168</v>
      </c>
    </row>
    <row r="8" spans="1:2">
      <c r="A8" t="s">
        <v>533</v>
      </c>
      <c r="B8" t="s">
        <v>1168</v>
      </c>
    </row>
    <row r="9" spans="1:2">
      <c r="A9" t="s">
        <v>445</v>
      </c>
      <c r="B9" t="s">
        <v>1168</v>
      </c>
    </row>
    <row r="10" spans="1:2">
      <c r="A10" t="s">
        <v>245</v>
      </c>
      <c r="B10" t="s">
        <v>1168</v>
      </c>
    </row>
    <row r="11" spans="1:2">
      <c r="A11" t="s">
        <v>127</v>
      </c>
      <c r="B11" t="s">
        <v>1168</v>
      </c>
    </row>
    <row r="12" spans="1:2">
      <c r="A12" t="s">
        <v>16</v>
      </c>
      <c r="B12" t="s">
        <v>1168</v>
      </c>
    </row>
    <row r="13" spans="1:2">
      <c r="A13" t="s">
        <v>203</v>
      </c>
      <c r="B13" t="s">
        <v>1168</v>
      </c>
    </row>
    <row r="14" spans="1:2">
      <c r="A14" t="s">
        <v>173</v>
      </c>
      <c r="B14" t="s">
        <v>1168</v>
      </c>
    </row>
    <row r="15" spans="1:2">
      <c r="A15" t="s">
        <v>373</v>
      </c>
      <c r="B15" t="s">
        <v>1168</v>
      </c>
    </row>
    <row r="16" spans="1:2">
      <c r="A16" t="s">
        <v>1291</v>
      </c>
      <c r="B16" t="s">
        <v>1168</v>
      </c>
    </row>
    <row r="17" spans="1:2">
      <c r="A17" t="s">
        <v>143</v>
      </c>
      <c r="B17" t="s">
        <v>1168</v>
      </c>
    </row>
    <row r="18" spans="1:2">
      <c r="A18" t="s">
        <v>39</v>
      </c>
      <c r="B18" t="s">
        <v>1168</v>
      </c>
    </row>
    <row r="19" spans="1:2">
      <c r="A19" t="s">
        <v>141</v>
      </c>
      <c r="B19" t="s">
        <v>1168</v>
      </c>
    </row>
    <row r="20" spans="1:2">
      <c r="A20" t="s">
        <v>1292</v>
      </c>
      <c r="B20" t="s">
        <v>1168</v>
      </c>
    </row>
    <row r="21" spans="1:2">
      <c r="A21" t="s">
        <v>413</v>
      </c>
      <c r="B21" t="s">
        <v>1168</v>
      </c>
    </row>
    <row r="22" spans="1:2">
      <c r="A22" t="s">
        <v>297</v>
      </c>
      <c r="B22" t="s">
        <v>1168</v>
      </c>
    </row>
    <row r="23" spans="1:2">
      <c r="A23" t="s">
        <v>1293</v>
      </c>
      <c r="B23" t="s">
        <v>1168</v>
      </c>
    </row>
    <row r="24" spans="1:2">
      <c r="A24" t="s">
        <v>447</v>
      </c>
      <c r="B24" t="s">
        <v>1168</v>
      </c>
    </row>
    <row r="25" spans="1:2">
      <c r="A25" t="s">
        <v>481</v>
      </c>
      <c r="B25" t="s">
        <v>1168</v>
      </c>
    </row>
    <row r="26" spans="1:2">
      <c r="A26" t="s">
        <v>105</v>
      </c>
      <c r="B26" t="s">
        <v>1168</v>
      </c>
    </row>
    <row r="27" spans="1:2">
      <c r="A27" t="s">
        <v>403</v>
      </c>
      <c r="B27" t="s">
        <v>1168</v>
      </c>
    </row>
    <row r="28" spans="1:2">
      <c r="A28" t="s">
        <v>363</v>
      </c>
      <c r="B28" t="s">
        <v>1168</v>
      </c>
    </row>
    <row r="29" spans="1:2">
      <c r="A29" t="s">
        <v>381</v>
      </c>
      <c r="B29" t="s">
        <v>1168</v>
      </c>
    </row>
    <row r="30" spans="1:2">
      <c r="A30" t="s">
        <v>93</v>
      </c>
      <c r="B30" t="s">
        <v>1168</v>
      </c>
    </row>
    <row r="31" spans="1:2">
      <c r="A31" t="s">
        <v>1294</v>
      </c>
      <c r="B31" t="s">
        <v>1168</v>
      </c>
    </row>
    <row r="32" spans="1:2">
      <c r="A32" t="s">
        <v>513</v>
      </c>
      <c r="B32" t="s">
        <v>1168</v>
      </c>
    </row>
    <row r="33" spans="1:2">
      <c r="A33" t="s">
        <v>213</v>
      </c>
      <c r="B33" t="s">
        <v>1168</v>
      </c>
    </row>
    <row r="34" spans="1:2">
      <c r="A34" t="s">
        <v>525</v>
      </c>
      <c r="B34" t="s">
        <v>1168</v>
      </c>
    </row>
    <row r="35" spans="1:2">
      <c r="A35" t="s">
        <v>189</v>
      </c>
      <c r="B35" t="s">
        <v>1168</v>
      </c>
    </row>
    <row r="36" spans="1:2">
      <c r="A36" t="s">
        <v>371</v>
      </c>
      <c r="B36" t="s">
        <v>1168</v>
      </c>
    </row>
    <row r="37" spans="1:2">
      <c r="A37" t="s">
        <v>273</v>
      </c>
      <c r="B37" t="s">
        <v>1168</v>
      </c>
    </row>
    <row r="38" spans="1:2">
      <c r="A38" t="s">
        <v>129</v>
      </c>
      <c r="B38" t="s">
        <v>1168</v>
      </c>
    </row>
    <row r="39" spans="1:2">
      <c r="A39" t="s">
        <v>369</v>
      </c>
      <c r="B39" t="s">
        <v>1168</v>
      </c>
    </row>
    <row r="40" spans="1:2">
      <c r="A40" t="s">
        <v>111</v>
      </c>
      <c r="B40" t="s">
        <v>1168</v>
      </c>
    </row>
    <row r="41" spans="1:2">
      <c r="A41" t="s">
        <v>337</v>
      </c>
      <c r="B41" t="s">
        <v>1168</v>
      </c>
    </row>
    <row r="42" spans="1:2">
      <c r="A42" t="s">
        <v>377</v>
      </c>
      <c r="B42" t="s">
        <v>1168</v>
      </c>
    </row>
    <row r="43" spans="1:2">
      <c r="A43" t="s">
        <v>375</v>
      </c>
      <c r="B43" t="s">
        <v>1168</v>
      </c>
    </row>
    <row r="44" spans="1:2">
      <c r="A44" t="s">
        <v>497</v>
      </c>
      <c r="B44" t="s">
        <v>1168</v>
      </c>
    </row>
    <row r="45" spans="1:2">
      <c r="A45" t="s">
        <v>207</v>
      </c>
      <c r="B45" t="s">
        <v>1168</v>
      </c>
    </row>
    <row r="46" spans="1:2">
      <c r="A46" t="s">
        <v>405</v>
      </c>
      <c r="B46" t="s">
        <v>1168</v>
      </c>
    </row>
    <row r="47" spans="1:2">
      <c r="A47" t="s">
        <v>1295</v>
      </c>
      <c r="B47" t="s">
        <v>1168</v>
      </c>
    </row>
    <row r="48" spans="1:2">
      <c r="A48" t="s">
        <v>475</v>
      </c>
      <c r="B48" t="s">
        <v>1168</v>
      </c>
    </row>
    <row r="49" spans="1:2">
      <c r="A49" t="s">
        <v>1210</v>
      </c>
      <c r="B49" t="s">
        <v>1168</v>
      </c>
    </row>
    <row r="50" spans="1:2">
      <c r="A50" t="s">
        <v>155</v>
      </c>
      <c r="B50" t="s">
        <v>1168</v>
      </c>
    </row>
    <row r="51" spans="1:2">
      <c r="A51" t="s">
        <v>327</v>
      </c>
      <c r="B51" t="s">
        <v>1168</v>
      </c>
    </row>
    <row r="52" spans="1:2">
      <c r="A52" t="s">
        <v>307</v>
      </c>
      <c r="B52" t="s">
        <v>1168</v>
      </c>
    </row>
    <row r="53" spans="1:2">
      <c r="A53" t="s">
        <v>275</v>
      </c>
      <c r="B53" t="s">
        <v>1168</v>
      </c>
    </row>
    <row r="54" spans="1:2">
      <c r="A54" t="s">
        <v>101</v>
      </c>
      <c r="B54" t="s">
        <v>1168</v>
      </c>
    </row>
    <row r="55" spans="1:2">
      <c r="A55" t="s">
        <v>295</v>
      </c>
      <c r="B55" t="s">
        <v>1168</v>
      </c>
    </row>
    <row r="56" spans="1:2">
      <c r="A56" t="s">
        <v>265</v>
      </c>
      <c r="B56" t="s">
        <v>1168</v>
      </c>
    </row>
    <row r="57" spans="1:2">
      <c r="A57" t="s">
        <v>229</v>
      </c>
      <c r="B57" t="s">
        <v>1168</v>
      </c>
    </row>
    <row r="58" spans="1:2">
      <c r="A58" t="s">
        <v>267</v>
      </c>
      <c r="B58" t="s">
        <v>1168</v>
      </c>
    </row>
    <row r="59" spans="1:2">
      <c r="A59" t="s">
        <v>383</v>
      </c>
      <c r="B59" t="s">
        <v>1168</v>
      </c>
    </row>
    <row r="60" spans="1:2">
      <c r="A60" t="s">
        <v>167</v>
      </c>
      <c r="B60" t="s">
        <v>1168</v>
      </c>
    </row>
    <row r="61" spans="1:2">
      <c r="A61" t="s">
        <v>1296</v>
      </c>
      <c r="B61" t="s">
        <v>1168</v>
      </c>
    </row>
    <row r="62" spans="1:2">
      <c r="A62" t="s">
        <v>535</v>
      </c>
      <c r="B62" t="s">
        <v>1168</v>
      </c>
    </row>
    <row r="63" spans="1:2">
      <c r="A63" t="s">
        <v>1297</v>
      </c>
      <c r="B63" t="s">
        <v>1168</v>
      </c>
    </row>
    <row r="64" spans="1:2">
      <c r="A64" t="s">
        <v>1298</v>
      </c>
      <c r="B64" t="s">
        <v>1168</v>
      </c>
    </row>
    <row r="65" spans="1:2">
      <c r="A65" t="s">
        <v>411</v>
      </c>
      <c r="B65" t="s">
        <v>1168</v>
      </c>
    </row>
    <row r="66" spans="1:2">
      <c r="A66" t="s">
        <v>507</v>
      </c>
      <c r="B66" t="s">
        <v>1168</v>
      </c>
    </row>
    <row r="67" spans="1:2">
      <c r="A67" t="s">
        <v>329</v>
      </c>
      <c r="B67" t="s">
        <v>1168</v>
      </c>
    </row>
    <row r="68" spans="1:2">
      <c r="A68" t="s">
        <v>1299</v>
      </c>
      <c r="B68" t="s">
        <v>1168</v>
      </c>
    </row>
    <row r="69" spans="1:2">
      <c r="A69" t="s">
        <v>177</v>
      </c>
      <c r="B69" t="s">
        <v>1168</v>
      </c>
    </row>
    <row r="70" spans="1:2">
      <c r="A70" t="s">
        <v>345</v>
      </c>
      <c r="B70" t="s">
        <v>1168</v>
      </c>
    </row>
    <row r="71" spans="1:2">
      <c r="A71" t="s">
        <v>515</v>
      </c>
      <c r="B71" t="s">
        <v>1168</v>
      </c>
    </row>
    <row r="72" spans="1:2">
      <c r="A72" t="s">
        <v>283</v>
      </c>
      <c r="B72" t="s">
        <v>1168</v>
      </c>
    </row>
    <row r="73" spans="1:2">
      <c r="A73" t="s">
        <v>401</v>
      </c>
      <c r="B73" t="s">
        <v>1168</v>
      </c>
    </row>
    <row r="74" spans="1:2">
      <c r="A74" t="s">
        <v>389</v>
      </c>
      <c r="B74" t="s">
        <v>1168</v>
      </c>
    </row>
    <row r="75" spans="1:2">
      <c r="A75" t="s">
        <v>253</v>
      </c>
      <c r="B75" t="s">
        <v>1168</v>
      </c>
    </row>
    <row r="76" spans="1:2">
      <c r="A76" t="s">
        <v>1300</v>
      </c>
      <c r="B76" t="s">
        <v>1168</v>
      </c>
    </row>
    <row r="77" spans="1:2">
      <c r="A77" t="s">
        <v>257</v>
      </c>
      <c r="B77" t="s">
        <v>1168</v>
      </c>
    </row>
    <row r="78" spans="1:2">
      <c r="A78" t="s">
        <v>215</v>
      </c>
      <c r="B78" t="s">
        <v>1168</v>
      </c>
    </row>
    <row r="79" spans="1:2">
      <c r="A79" t="s">
        <v>249</v>
      </c>
      <c r="B79" t="s">
        <v>1168</v>
      </c>
    </row>
    <row r="80" spans="1:2">
      <c r="A80" t="s">
        <v>237</v>
      </c>
      <c r="B80" t="s">
        <v>1168</v>
      </c>
    </row>
    <row r="81" spans="1:2">
      <c r="A81" t="s">
        <v>491</v>
      </c>
      <c r="B81" t="s">
        <v>1168</v>
      </c>
    </row>
    <row r="82" spans="1:2">
      <c r="A82" t="s">
        <v>1301</v>
      </c>
      <c r="B82" t="s">
        <v>1168</v>
      </c>
    </row>
    <row r="83" spans="1:2">
      <c r="A83" t="s">
        <v>419</v>
      </c>
      <c r="B83" t="s">
        <v>1168</v>
      </c>
    </row>
    <row r="84" spans="1:2">
      <c r="A84" t="s">
        <v>191</v>
      </c>
      <c r="B84" t="s">
        <v>1168</v>
      </c>
    </row>
    <row r="85" spans="1:2">
      <c r="A85" t="s">
        <v>1302</v>
      </c>
      <c r="B85" t="s">
        <v>1168</v>
      </c>
    </row>
    <row r="86" spans="1:2">
      <c r="A86" t="s">
        <v>317</v>
      </c>
      <c r="B86" t="s">
        <v>1168</v>
      </c>
    </row>
    <row r="87" spans="1:2">
      <c r="A87" t="s">
        <v>22</v>
      </c>
      <c r="B87" t="s">
        <v>1168</v>
      </c>
    </row>
    <row r="88" spans="1:2">
      <c r="A88" t="s">
        <v>243</v>
      </c>
      <c r="B88" t="s">
        <v>1168</v>
      </c>
    </row>
    <row r="89" spans="1:2">
      <c r="A89" t="s">
        <v>199</v>
      </c>
      <c r="B89" t="s">
        <v>1168</v>
      </c>
    </row>
    <row r="90" spans="1:2">
      <c r="A90" t="s">
        <v>227</v>
      </c>
      <c r="B90" t="s">
        <v>1168</v>
      </c>
    </row>
    <row r="91" spans="1:2">
      <c r="A91" t="s">
        <v>361</v>
      </c>
      <c r="B91" t="s">
        <v>1168</v>
      </c>
    </row>
    <row r="92" spans="1:2">
      <c r="A92" t="s">
        <v>269</v>
      </c>
      <c r="B92" t="s">
        <v>1168</v>
      </c>
    </row>
    <row r="93" spans="1:2">
      <c r="A93" t="s">
        <v>417</v>
      </c>
      <c r="B93" t="s">
        <v>1168</v>
      </c>
    </row>
    <row r="94" spans="1:2">
      <c r="A94" t="s">
        <v>1216</v>
      </c>
      <c r="B94" t="s">
        <v>1168</v>
      </c>
    </row>
    <row r="95" spans="1:2">
      <c r="A95" t="s">
        <v>385</v>
      </c>
      <c r="B95" t="s">
        <v>1168</v>
      </c>
    </row>
    <row r="96" spans="1:2">
      <c r="A96" t="s">
        <v>59</v>
      </c>
      <c r="B96" t="s">
        <v>1168</v>
      </c>
    </row>
    <row r="97" spans="1:2">
      <c r="A97" t="s">
        <v>261</v>
      </c>
      <c r="B97" t="s">
        <v>1168</v>
      </c>
    </row>
    <row r="98" spans="1:2">
      <c r="A98" t="s">
        <v>251</v>
      </c>
      <c r="B98" t="s">
        <v>1168</v>
      </c>
    </row>
    <row r="99" spans="1:2">
      <c r="A99" t="s">
        <v>299</v>
      </c>
      <c r="B99" t="s">
        <v>1168</v>
      </c>
    </row>
    <row r="100" spans="1:2">
      <c r="A100" t="s">
        <v>91</v>
      </c>
      <c r="B100" t="s">
        <v>1168</v>
      </c>
    </row>
    <row r="101" spans="1:2">
      <c r="A101" t="s">
        <v>349</v>
      </c>
      <c r="B101" t="s">
        <v>1168</v>
      </c>
    </row>
    <row r="102" spans="1:2">
      <c r="A102" t="s">
        <v>477</v>
      </c>
      <c r="B102" t="s">
        <v>1168</v>
      </c>
    </row>
    <row r="103" spans="1:2">
      <c r="A103" t="s">
        <v>287</v>
      </c>
      <c r="B103" t="s">
        <v>1168</v>
      </c>
    </row>
    <row r="104" spans="1:2">
      <c r="A104" t="s">
        <v>343</v>
      </c>
      <c r="B104" t="s">
        <v>1168</v>
      </c>
    </row>
    <row r="105" spans="1:2">
      <c r="A105" t="s">
        <v>331</v>
      </c>
      <c r="B105" t="s">
        <v>1168</v>
      </c>
    </row>
    <row r="106" spans="1:2">
      <c r="A106" t="s">
        <v>469</v>
      </c>
      <c r="B106" t="s">
        <v>1168</v>
      </c>
    </row>
    <row r="107" spans="1:2">
      <c r="A107" t="s">
        <v>291</v>
      </c>
      <c r="B107" t="s">
        <v>1168</v>
      </c>
    </row>
    <row r="108" spans="1:2">
      <c r="A108" t="s">
        <v>421</v>
      </c>
      <c r="B108" t="s">
        <v>1168</v>
      </c>
    </row>
    <row r="109" spans="1:2">
      <c r="A109" t="s">
        <v>281</v>
      </c>
      <c r="B109" t="s">
        <v>1168</v>
      </c>
    </row>
    <row r="110" spans="1:2">
      <c r="A110" t="s">
        <v>1303</v>
      </c>
      <c r="B110" t="s">
        <v>1168</v>
      </c>
    </row>
    <row r="111" spans="1:2">
      <c r="A111" t="s">
        <v>351</v>
      </c>
      <c r="B111" t="s">
        <v>1168</v>
      </c>
    </row>
    <row r="112" spans="1:2">
      <c r="A112" t="s">
        <v>459</v>
      </c>
      <c r="B112" t="s">
        <v>1168</v>
      </c>
    </row>
    <row r="113" spans="1:2">
      <c r="A113" t="s">
        <v>467</v>
      </c>
      <c r="B113" t="s">
        <v>1168</v>
      </c>
    </row>
    <row r="114" spans="1:2">
      <c r="A114" t="s">
        <v>487</v>
      </c>
      <c r="B114" t="s">
        <v>1168</v>
      </c>
    </row>
    <row r="115" spans="1:2">
      <c r="A115" t="s">
        <v>315</v>
      </c>
      <c r="B115" t="s">
        <v>1168</v>
      </c>
    </row>
    <row r="116" spans="1:2">
      <c r="A116" t="s">
        <v>423</v>
      </c>
      <c r="B116" t="s">
        <v>1168</v>
      </c>
    </row>
    <row r="117" spans="1:2">
      <c r="A117" t="s">
        <v>169</v>
      </c>
      <c r="B117" t="s">
        <v>1168</v>
      </c>
    </row>
    <row r="118" spans="1:2">
      <c r="A118" t="s">
        <v>341</v>
      </c>
      <c r="B118" t="s">
        <v>1168</v>
      </c>
    </row>
    <row r="119" spans="1:2">
      <c r="A119" t="s">
        <v>1304</v>
      </c>
      <c r="B119" t="s">
        <v>1168</v>
      </c>
    </row>
    <row r="120" spans="1:2">
      <c r="A120" t="s">
        <v>125</v>
      </c>
      <c r="B120" t="s">
        <v>1168</v>
      </c>
    </row>
    <row r="121" spans="1:2">
      <c r="A121" t="s">
        <v>163</v>
      </c>
      <c r="B121" t="s">
        <v>1168</v>
      </c>
    </row>
    <row r="122" spans="1:2">
      <c r="A122" t="s">
        <v>309</v>
      </c>
      <c r="B122" t="s">
        <v>1168</v>
      </c>
    </row>
    <row r="123" spans="1:2">
      <c r="A123" t="s">
        <v>1305</v>
      </c>
      <c r="B123" t="s">
        <v>1168</v>
      </c>
    </row>
    <row r="124" spans="1:2">
      <c r="A124" t="s">
        <v>393</v>
      </c>
      <c r="B124" t="s">
        <v>1168</v>
      </c>
    </row>
    <row r="125" spans="1:2">
      <c r="A125" t="s">
        <v>357</v>
      </c>
      <c r="B125" t="s">
        <v>1168</v>
      </c>
    </row>
    <row r="126" spans="1:2">
      <c r="A126" t="s">
        <v>303</v>
      </c>
      <c r="B126" t="s">
        <v>1168</v>
      </c>
    </row>
    <row r="127" spans="1:2">
      <c r="A127" t="s">
        <v>233</v>
      </c>
      <c r="B127" t="s">
        <v>1168</v>
      </c>
    </row>
    <row r="128" spans="1:2">
      <c r="A128" t="s">
        <v>365</v>
      </c>
      <c r="B128" t="s">
        <v>1168</v>
      </c>
    </row>
    <row r="129" spans="1:2">
      <c r="A129" t="s">
        <v>429</v>
      </c>
      <c r="B129" t="s">
        <v>1168</v>
      </c>
    </row>
    <row r="130" spans="1:2">
      <c r="A130" t="s">
        <v>1306</v>
      </c>
      <c r="B130" t="s">
        <v>1168</v>
      </c>
    </row>
    <row r="131" spans="1:2">
      <c r="A131" t="s">
        <v>1217</v>
      </c>
      <c r="B131" t="s">
        <v>1168</v>
      </c>
    </row>
    <row r="132" spans="1:2">
      <c r="A132" t="s">
        <v>311</v>
      </c>
      <c r="B132" t="s">
        <v>1168</v>
      </c>
    </row>
    <row r="133" spans="1:2">
      <c r="A133" t="s">
        <v>321</v>
      </c>
      <c r="B133" t="s">
        <v>1168</v>
      </c>
    </row>
    <row r="134" spans="1:2">
      <c r="A134" t="s">
        <v>387</v>
      </c>
      <c r="B134" t="s">
        <v>1168</v>
      </c>
    </row>
    <row r="135" spans="1:2">
      <c r="A135" t="s">
        <v>201</v>
      </c>
      <c r="B135" t="s">
        <v>1168</v>
      </c>
    </row>
    <row r="136" spans="1:2">
      <c r="A136" t="s">
        <v>455</v>
      </c>
      <c r="B136" t="s">
        <v>1168</v>
      </c>
    </row>
    <row r="137" spans="1:2">
      <c r="A137" t="s">
        <v>301</v>
      </c>
      <c r="B137" t="s">
        <v>1168</v>
      </c>
    </row>
    <row r="138" spans="1:2">
      <c r="A138" t="s">
        <v>489</v>
      </c>
      <c r="B138" t="s">
        <v>1168</v>
      </c>
    </row>
    <row r="139" spans="1:2">
      <c r="A139" t="s">
        <v>347</v>
      </c>
      <c r="B139" t="s">
        <v>1168</v>
      </c>
    </row>
    <row r="140" spans="1:2">
      <c r="A140" t="s">
        <v>485</v>
      </c>
      <c r="B140" t="s">
        <v>1168</v>
      </c>
    </row>
    <row r="141" spans="1:2">
      <c r="A141" t="s">
        <v>313</v>
      </c>
      <c r="B141" t="s">
        <v>1168</v>
      </c>
    </row>
    <row r="142" spans="1:2">
      <c r="A142" t="s">
        <v>263</v>
      </c>
      <c r="B142" t="s">
        <v>1168</v>
      </c>
    </row>
    <row r="143" spans="1:2">
      <c r="A143" t="s">
        <v>1307</v>
      </c>
      <c r="B143" t="s">
        <v>1168</v>
      </c>
    </row>
    <row r="144" spans="1:2">
      <c r="A144" t="s">
        <v>433</v>
      </c>
      <c r="B144" t="s">
        <v>1168</v>
      </c>
    </row>
    <row r="145" spans="1:2">
      <c r="A145" t="s">
        <v>367</v>
      </c>
      <c r="B145" t="s">
        <v>1168</v>
      </c>
    </row>
    <row r="146" spans="1:2">
      <c r="A146" t="s">
        <v>255</v>
      </c>
      <c r="B146" t="s">
        <v>1168</v>
      </c>
    </row>
    <row r="147" spans="1:2">
      <c r="A147" t="s">
        <v>437</v>
      </c>
      <c r="B147" t="s">
        <v>1168</v>
      </c>
    </row>
    <row r="148" spans="1:2">
      <c r="A148" t="s">
        <v>473</v>
      </c>
      <c r="B148" t="s">
        <v>1168</v>
      </c>
    </row>
    <row r="149" spans="1:2">
      <c r="A149" t="s">
        <v>153</v>
      </c>
      <c r="B149" t="s">
        <v>1168</v>
      </c>
    </row>
    <row r="150" spans="1:2">
      <c r="A150" t="s">
        <v>503</v>
      </c>
      <c r="B150" t="s">
        <v>1168</v>
      </c>
    </row>
    <row r="151" spans="1:2">
      <c r="A151" t="s">
        <v>185</v>
      </c>
      <c r="B151" t="s">
        <v>1168</v>
      </c>
    </row>
    <row r="152" spans="1:2">
      <c r="A152" t="s">
        <v>457</v>
      </c>
      <c r="B152" t="s">
        <v>1168</v>
      </c>
    </row>
    <row r="153" spans="1:2">
      <c r="A153" t="s">
        <v>425</v>
      </c>
      <c r="B153" t="s">
        <v>1168</v>
      </c>
    </row>
    <row r="154" spans="1:2">
      <c r="A154" t="s">
        <v>181</v>
      </c>
      <c r="B154" t="s">
        <v>1168</v>
      </c>
    </row>
    <row r="155" spans="1:2">
      <c r="A155" t="s">
        <v>495</v>
      </c>
      <c r="B155" t="s">
        <v>1168</v>
      </c>
    </row>
    <row r="156" spans="1:2">
      <c r="A156" t="s">
        <v>427</v>
      </c>
      <c r="B156" t="s">
        <v>1168</v>
      </c>
    </row>
    <row r="157" spans="1:2">
      <c r="A157" t="s">
        <v>1308</v>
      </c>
      <c r="B157" t="s">
        <v>1168</v>
      </c>
    </row>
    <row r="158" spans="1:2">
      <c r="A158" t="s">
        <v>225</v>
      </c>
      <c r="B158" t="s">
        <v>1168</v>
      </c>
    </row>
    <row r="159" spans="1:2">
      <c r="A159" t="s">
        <v>537</v>
      </c>
      <c r="B159" t="s">
        <v>1168</v>
      </c>
    </row>
    <row r="160" spans="1:2">
      <c r="A160" t="s">
        <v>161</v>
      </c>
      <c r="B160" t="s">
        <v>1168</v>
      </c>
    </row>
    <row r="161" spans="1:2">
      <c r="A161" t="s">
        <v>99</v>
      </c>
      <c r="B161" t="s">
        <v>1168</v>
      </c>
    </row>
    <row r="162" spans="1:2">
      <c r="A162" t="s">
        <v>483</v>
      </c>
      <c r="B162" t="s">
        <v>1168</v>
      </c>
    </row>
    <row r="163" spans="1:2">
      <c r="A163" t="s">
        <v>519</v>
      </c>
      <c r="B163" t="s">
        <v>1168</v>
      </c>
    </row>
    <row r="164" spans="1:2">
      <c r="A164" t="s">
        <v>279</v>
      </c>
      <c r="B164" t="s">
        <v>1168</v>
      </c>
    </row>
    <row r="165" spans="1:2">
      <c r="A165" t="s">
        <v>165</v>
      </c>
      <c r="B165" t="s">
        <v>1168</v>
      </c>
    </row>
    <row r="166" spans="1:2">
      <c r="A166" t="s">
        <v>441</v>
      </c>
      <c r="B166" t="s">
        <v>1168</v>
      </c>
    </row>
    <row r="167" spans="1:2">
      <c r="A167" t="s">
        <v>511</v>
      </c>
      <c r="B167" t="s">
        <v>1168</v>
      </c>
    </row>
    <row r="168" spans="1:2">
      <c r="A168" t="s">
        <v>183</v>
      </c>
      <c r="B168" t="s">
        <v>1168</v>
      </c>
    </row>
    <row r="169" spans="1:2">
      <c r="A169" t="s">
        <v>439</v>
      </c>
      <c r="B169" t="s">
        <v>1168</v>
      </c>
    </row>
    <row r="170" spans="1:2">
      <c r="A170" t="s">
        <v>399</v>
      </c>
      <c r="B170" t="s">
        <v>1168</v>
      </c>
    </row>
    <row r="171" spans="1:2">
      <c r="A171" t="s">
        <v>123</v>
      </c>
      <c r="B171" t="s">
        <v>1168</v>
      </c>
    </row>
    <row r="172" spans="1:2">
      <c r="A172" t="s">
        <v>149</v>
      </c>
      <c r="B172" t="s">
        <v>1168</v>
      </c>
    </row>
    <row r="173" spans="1:2">
      <c r="A173" t="s">
        <v>471</v>
      </c>
      <c r="B173" t="s">
        <v>1168</v>
      </c>
    </row>
    <row r="174" spans="1:2">
      <c r="A174" t="s">
        <v>461</v>
      </c>
      <c r="B174" t="s">
        <v>1168</v>
      </c>
    </row>
    <row r="175" spans="1:2">
      <c r="A175" t="s">
        <v>435</v>
      </c>
      <c r="B175" t="s">
        <v>1168</v>
      </c>
    </row>
    <row r="176" spans="1:2">
      <c r="A176" t="s">
        <v>103</v>
      </c>
      <c r="B176" t="s">
        <v>1168</v>
      </c>
    </row>
    <row r="177" spans="1:2">
      <c r="A177" t="s">
        <v>34</v>
      </c>
      <c r="B177" t="s">
        <v>1168</v>
      </c>
    </row>
    <row r="178" spans="1:2">
      <c r="A178" t="s">
        <v>197</v>
      </c>
      <c r="B178" t="s">
        <v>1168</v>
      </c>
    </row>
    <row r="179" spans="1:2">
      <c r="A179" t="s">
        <v>293</v>
      </c>
      <c r="B179" t="s">
        <v>1168</v>
      </c>
    </row>
    <row r="180" spans="1:2">
      <c r="A180" t="s">
        <v>323</v>
      </c>
      <c r="B180" t="s">
        <v>1168</v>
      </c>
    </row>
    <row r="181" spans="1:2">
      <c r="A181" t="s">
        <v>56</v>
      </c>
      <c r="B181" t="s">
        <v>1168</v>
      </c>
    </row>
    <row r="182" spans="1:2">
      <c r="A182" t="s">
        <v>443</v>
      </c>
      <c r="B182" t="s">
        <v>1168</v>
      </c>
    </row>
    <row r="183" spans="1:2">
      <c r="A183" t="s">
        <v>151</v>
      </c>
      <c r="B183" t="s">
        <v>1168</v>
      </c>
    </row>
    <row r="184" spans="1:2">
      <c r="A184" t="s">
        <v>359</v>
      </c>
      <c r="B184" t="s">
        <v>1168</v>
      </c>
    </row>
    <row r="185" spans="1:2">
      <c r="A185" t="s">
        <v>187</v>
      </c>
      <c r="B185" t="s">
        <v>1168</v>
      </c>
    </row>
    <row r="186" spans="1:2">
      <c r="A186" t="s">
        <v>395</v>
      </c>
      <c r="B186" t="s">
        <v>1168</v>
      </c>
    </row>
    <row r="187" spans="1:2">
      <c r="A187" t="s">
        <v>499</v>
      </c>
      <c r="B187" t="s">
        <v>1168</v>
      </c>
    </row>
    <row r="188" spans="1:2">
      <c r="A188" t="s">
        <v>449</v>
      </c>
      <c r="B188" t="s">
        <v>1168</v>
      </c>
    </row>
    <row r="189" spans="1:2">
      <c r="A189" t="s">
        <v>221</v>
      </c>
      <c r="B189" t="s">
        <v>1168</v>
      </c>
    </row>
    <row r="190" spans="1:2">
      <c r="A190" t="s">
        <v>517</v>
      </c>
      <c r="B190" t="s">
        <v>1168</v>
      </c>
    </row>
    <row r="191" spans="1:2">
      <c r="A191" t="s">
        <v>219</v>
      </c>
      <c r="B191" t="s">
        <v>1168</v>
      </c>
    </row>
    <row r="192" spans="1:2">
      <c r="A192" t="s">
        <v>137</v>
      </c>
      <c r="B192" t="s">
        <v>1168</v>
      </c>
    </row>
    <row r="193" spans="1:2">
      <c r="A193" t="s">
        <v>97</v>
      </c>
      <c r="B193" t="s">
        <v>1168</v>
      </c>
    </row>
    <row r="194" spans="1:2">
      <c r="A194" t="s">
        <v>493</v>
      </c>
      <c r="B194" t="s">
        <v>1168</v>
      </c>
    </row>
    <row r="195" spans="1:2">
      <c r="A195" t="s">
        <v>135</v>
      </c>
      <c r="B195" t="s">
        <v>1168</v>
      </c>
    </row>
    <row r="196" spans="1:2">
      <c r="A196" t="s">
        <v>77</v>
      </c>
      <c r="B196" t="s">
        <v>1168</v>
      </c>
    </row>
    <row r="197" spans="1:2">
      <c r="A197" t="s">
        <v>75</v>
      </c>
      <c r="B197" t="s">
        <v>1168</v>
      </c>
    </row>
    <row r="198" spans="1:2">
      <c r="A198" t="s">
        <v>523</v>
      </c>
      <c r="B198" t="s">
        <v>1168</v>
      </c>
    </row>
    <row r="199" spans="1:2">
      <c r="A199" t="s">
        <v>509</v>
      </c>
      <c r="B199" t="s">
        <v>1168</v>
      </c>
    </row>
    <row r="200" spans="1:2">
      <c r="A200" t="s">
        <v>209</v>
      </c>
      <c r="B200" t="s">
        <v>1168</v>
      </c>
    </row>
    <row r="201" spans="1:2">
      <c r="A201" t="s">
        <v>19</v>
      </c>
      <c r="B201" t="s">
        <v>1168</v>
      </c>
    </row>
    <row r="202" spans="1:2">
      <c r="A202" t="s">
        <v>45</v>
      </c>
      <c r="B202" t="s">
        <v>1168</v>
      </c>
    </row>
    <row r="203" spans="1:2">
      <c r="A203" t="s">
        <v>391</v>
      </c>
      <c r="B203" t="s">
        <v>1168</v>
      </c>
    </row>
    <row r="204" spans="1:2">
      <c r="A204" t="s">
        <v>1309</v>
      </c>
      <c r="B204" t="s">
        <v>1168</v>
      </c>
    </row>
    <row r="205" spans="1:2">
      <c r="A205" t="s">
        <v>223</v>
      </c>
      <c r="B205" t="s">
        <v>1168</v>
      </c>
    </row>
    <row r="206" spans="1:2">
      <c r="A206" t="s">
        <v>247</v>
      </c>
      <c r="B206" t="s">
        <v>1168</v>
      </c>
    </row>
    <row r="207" spans="1:2">
      <c r="A207" t="s">
        <v>897</v>
      </c>
      <c r="B207" t="s">
        <v>1169</v>
      </c>
    </row>
    <row r="208" spans="1:2">
      <c r="A208" t="s">
        <v>759</v>
      </c>
      <c r="B208" t="s">
        <v>1169</v>
      </c>
    </row>
    <row r="209" spans="1:2">
      <c r="A209" t="s">
        <v>664</v>
      </c>
      <c r="B209" t="s">
        <v>1169</v>
      </c>
    </row>
    <row r="210" spans="1:2">
      <c r="A210" t="s">
        <v>656</v>
      </c>
      <c r="B210" t="s">
        <v>1169</v>
      </c>
    </row>
    <row r="211" spans="1:2">
      <c r="A211" s="5" t="s">
        <v>812</v>
      </c>
      <c r="B211" t="s">
        <v>1169</v>
      </c>
    </row>
    <row r="212" spans="1:2">
      <c r="A212" t="s">
        <v>872</v>
      </c>
      <c r="B212" t="s">
        <v>1169</v>
      </c>
    </row>
    <row r="213" spans="1:2">
      <c r="A213" t="s">
        <v>600</v>
      </c>
      <c r="B213" t="s">
        <v>1169</v>
      </c>
    </row>
    <row r="214" spans="1:2">
      <c r="A214" t="s">
        <v>634</v>
      </c>
      <c r="B214" t="s">
        <v>1169</v>
      </c>
    </row>
    <row r="215" spans="1:2">
      <c r="A215" t="s">
        <v>767</v>
      </c>
      <c r="B215" t="s">
        <v>1169</v>
      </c>
    </row>
    <row r="216" spans="1:2">
      <c r="A216" t="s">
        <v>827</v>
      </c>
      <c r="B216" t="s">
        <v>1169</v>
      </c>
    </row>
    <row r="217" spans="1:2">
      <c r="A217" t="s">
        <v>804</v>
      </c>
      <c r="B217" t="s">
        <v>1169</v>
      </c>
    </row>
    <row r="218" spans="1:2">
      <c r="A218" t="s">
        <v>594</v>
      </c>
      <c r="B218" t="s">
        <v>1169</v>
      </c>
    </row>
    <row r="219" spans="1:2">
      <c r="A219" t="s">
        <v>875</v>
      </c>
      <c r="B219" t="s">
        <v>1169</v>
      </c>
    </row>
    <row r="220" spans="1:2">
      <c r="A220" t="s">
        <v>881</v>
      </c>
      <c r="B220" t="s">
        <v>1169</v>
      </c>
    </row>
    <row r="221" spans="1:2">
      <c r="A221" t="s">
        <v>841</v>
      </c>
      <c r="B221" t="s">
        <v>1169</v>
      </c>
    </row>
    <row r="222" spans="1:2">
      <c r="A222" t="s">
        <v>816</v>
      </c>
      <c r="B222" t="s">
        <v>1169</v>
      </c>
    </row>
    <row r="223" spans="1:2">
      <c r="A223" t="s">
        <v>650</v>
      </c>
      <c r="B223" t="s">
        <v>1169</v>
      </c>
    </row>
    <row r="224" spans="1:2">
      <c r="A224" t="s">
        <v>1310</v>
      </c>
      <c r="B224" t="s">
        <v>1169</v>
      </c>
    </row>
    <row r="225" spans="1:2">
      <c r="A225" t="s">
        <v>1311</v>
      </c>
      <c r="B225" t="s">
        <v>1169</v>
      </c>
    </row>
    <row r="226" spans="1:2">
      <c r="A226" t="s">
        <v>877</v>
      </c>
      <c r="B226" t="s">
        <v>1169</v>
      </c>
    </row>
    <row r="227" spans="1:2">
      <c r="A227" t="s">
        <v>683</v>
      </c>
      <c r="B227" t="s">
        <v>1169</v>
      </c>
    </row>
    <row r="228" spans="1:2">
      <c r="A228" t="s">
        <v>590</v>
      </c>
      <c r="B228" t="s">
        <v>1169</v>
      </c>
    </row>
    <row r="229" spans="1:2">
      <c r="A229" t="s">
        <v>675</v>
      </c>
      <c r="B229" t="s">
        <v>1169</v>
      </c>
    </row>
    <row r="230" spans="1:2">
      <c r="A230" t="s">
        <v>596</v>
      </c>
      <c r="B230" t="s">
        <v>1169</v>
      </c>
    </row>
    <row r="231" spans="1:2">
      <c r="A231" t="s">
        <v>658</v>
      </c>
      <c r="B231" t="s">
        <v>1169</v>
      </c>
    </row>
    <row r="232" spans="1:2">
      <c r="A232" t="s">
        <v>729</v>
      </c>
      <c r="B232" t="s">
        <v>1169</v>
      </c>
    </row>
    <row r="233" spans="1:2">
      <c r="A233" t="s">
        <v>835</v>
      </c>
      <c r="B233" t="s">
        <v>1169</v>
      </c>
    </row>
    <row r="234" spans="1:2">
      <c r="A234" t="s">
        <v>739</v>
      </c>
      <c r="B234" t="s">
        <v>1169</v>
      </c>
    </row>
    <row r="235" spans="1:2">
      <c r="A235" t="s">
        <v>800</v>
      </c>
      <c r="B235" t="s">
        <v>1169</v>
      </c>
    </row>
    <row r="236" spans="1:2">
      <c r="A236" t="s">
        <v>622</v>
      </c>
      <c r="B236" t="s">
        <v>1169</v>
      </c>
    </row>
    <row r="237" spans="1:2">
      <c r="A237" t="s">
        <v>691</v>
      </c>
      <c r="B237" t="s">
        <v>1169</v>
      </c>
    </row>
    <row r="238" spans="1:2">
      <c r="A238" t="s">
        <v>885</v>
      </c>
      <c r="B238" t="s">
        <v>1169</v>
      </c>
    </row>
    <row r="239" spans="1:2">
      <c r="A239" t="s">
        <v>1312</v>
      </c>
      <c r="B239" t="s">
        <v>1169</v>
      </c>
    </row>
    <row r="240" spans="1:2">
      <c r="A240" t="s">
        <v>761</v>
      </c>
      <c r="B240" t="s">
        <v>1169</v>
      </c>
    </row>
    <row r="241" spans="1:2">
      <c r="A241" t="s">
        <v>769</v>
      </c>
      <c r="B241" t="s">
        <v>1169</v>
      </c>
    </row>
    <row r="242" spans="1:2">
      <c r="A242" t="s">
        <v>637</v>
      </c>
      <c r="B242" t="s">
        <v>1169</v>
      </c>
    </row>
    <row r="243" spans="1:2">
      <c r="A243" t="s">
        <v>786</v>
      </c>
      <c r="B243" t="s">
        <v>1169</v>
      </c>
    </row>
    <row r="244" spans="1:2">
      <c r="A244" t="s">
        <v>763</v>
      </c>
      <c r="B244" t="s">
        <v>1169</v>
      </c>
    </row>
    <row r="245" spans="1:2">
      <c r="A245" t="s">
        <v>1313</v>
      </c>
      <c r="B245" t="s">
        <v>1169</v>
      </c>
    </row>
    <row r="246" spans="1:2">
      <c r="A246" t="s">
        <v>765</v>
      </c>
      <c r="B246" t="s">
        <v>1169</v>
      </c>
    </row>
    <row r="247" spans="1:2">
      <c r="A247" t="s">
        <v>718</v>
      </c>
      <c r="B247" t="s">
        <v>1169</v>
      </c>
    </row>
    <row r="248" spans="1:2">
      <c r="A248" t="s">
        <v>1227</v>
      </c>
      <c r="B248" t="s">
        <v>1169</v>
      </c>
    </row>
    <row r="249" spans="1:2">
      <c r="A249" t="s">
        <v>794</v>
      </c>
      <c r="B249" t="s">
        <v>1169</v>
      </c>
    </row>
    <row r="250" spans="1:2">
      <c r="A250" t="s">
        <v>749</v>
      </c>
      <c r="B250" t="s">
        <v>1169</v>
      </c>
    </row>
    <row r="251" spans="1:2">
      <c r="A251" t="s">
        <v>618</v>
      </c>
      <c r="B251" t="s">
        <v>1169</v>
      </c>
    </row>
    <row r="252" spans="1:2">
      <c r="A252" t="s">
        <v>660</v>
      </c>
      <c r="B252" t="s">
        <v>1169</v>
      </c>
    </row>
    <row r="253" spans="1:2">
      <c r="A253" t="s">
        <v>1314</v>
      </c>
      <c r="B253" t="s">
        <v>1169</v>
      </c>
    </row>
    <row r="254" spans="1:2">
      <c r="A254" t="s">
        <v>1315</v>
      </c>
      <c r="B254" t="s">
        <v>1169</v>
      </c>
    </row>
    <row r="255" spans="1:2">
      <c r="A255" t="s">
        <v>863</v>
      </c>
      <c r="B255" t="s">
        <v>1169</v>
      </c>
    </row>
    <row r="256" spans="1:2">
      <c r="A256" t="s">
        <v>662</v>
      </c>
      <c r="B256" t="s">
        <v>1169</v>
      </c>
    </row>
    <row r="257" spans="1:2">
      <c r="A257" t="s">
        <v>671</v>
      </c>
      <c r="B257" t="s">
        <v>1169</v>
      </c>
    </row>
    <row r="258" spans="1:2">
      <c r="A258" t="s">
        <v>1316</v>
      </c>
      <c r="B258" t="s">
        <v>1169</v>
      </c>
    </row>
    <row r="259" spans="1:2">
      <c r="A259" t="s">
        <v>757</v>
      </c>
      <c r="B259" t="s">
        <v>1169</v>
      </c>
    </row>
    <row r="260" spans="1:2">
      <c r="A260" t="s">
        <v>685</v>
      </c>
      <c r="B260" t="s">
        <v>1169</v>
      </c>
    </row>
    <row r="261" spans="1:2">
      <c r="A261" t="s">
        <v>1317</v>
      </c>
      <c r="B261" t="s">
        <v>1169</v>
      </c>
    </row>
    <row r="262" spans="1:2">
      <c r="A262" t="s">
        <v>1318</v>
      </c>
      <c r="B262" t="s">
        <v>1169</v>
      </c>
    </row>
    <row r="263" spans="1:2">
      <c r="A263" t="s">
        <v>822</v>
      </c>
      <c r="B263" t="s">
        <v>1169</v>
      </c>
    </row>
    <row r="264" spans="1:2">
      <c r="A264" t="s">
        <v>720</v>
      </c>
      <c r="B264" t="s">
        <v>1169</v>
      </c>
    </row>
    <row r="265" spans="1:2">
      <c r="A265" t="s">
        <v>867</v>
      </c>
      <c r="B265" t="s">
        <v>1169</v>
      </c>
    </row>
    <row r="266" spans="1:2">
      <c r="A266" t="s">
        <v>1319</v>
      </c>
      <c r="B266" t="s">
        <v>1169</v>
      </c>
    </row>
    <row r="267" spans="1:2">
      <c r="A267" t="s">
        <v>681</v>
      </c>
      <c r="B267" t="s">
        <v>1169</v>
      </c>
    </row>
    <row r="268" spans="1:2">
      <c r="A268" t="s">
        <v>708</v>
      </c>
      <c r="B268" t="s">
        <v>1169</v>
      </c>
    </row>
    <row r="269" spans="1:2">
      <c r="A269" t="s">
        <v>735</v>
      </c>
      <c r="B269" t="s">
        <v>1169</v>
      </c>
    </row>
    <row r="270" spans="1:2">
      <c r="A270" t="s">
        <v>777</v>
      </c>
      <c r="B270" t="s">
        <v>1169</v>
      </c>
    </row>
    <row r="271" spans="1:2">
      <c r="A271" t="s">
        <v>714</v>
      </c>
      <c r="B271" t="s">
        <v>1169</v>
      </c>
    </row>
    <row r="272" spans="1:2">
      <c r="A272" t="s">
        <v>775</v>
      </c>
      <c r="B272" t="s">
        <v>1169</v>
      </c>
    </row>
    <row r="273" spans="1:2">
      <c r="A273" t="s">
        <v>701</v>
      </c>
      <c r="B273" t="s">
        <v>1169</v>
      </c>
    </row>
    <row r="274" spans="1:2">
      <c r="A274" t="s">
        <v>648</v>
      </c>
      <c r="B274" t="s">
        <v>1169</v>
      </c>
    </row>
    <row r="275" spans="1:2">
      <c r="A275" t="s">
        <v>677</v>
      </c>
      <c r="B275" t="s">
        <v>1169</v>
      </c>
    </row>
    <row r="276" spans="1:2">
      <c r="A276" s="5" t="s">
        <v>771</v>
      </c>
      <c r="B276" t="s">
        <v>1169</v>
      </c>
    </row>
    <row r="277" spans="1:2">
      <c r="A277" t="s">
        <v>1320</v>
      </c>
      <c r="B277" t="s">
        <v>1169</v>
      </c>
    </row>
    <row r="278" spans="1:2">
      <c r="A278" t="s">
        <v>693</v>
      </c>
      <c r="B278" t="s">
        <v>1169</v>
      </c>
    </row>
    <row r="279" spans="1:2">
      <c r="A279" t="s">
        <v>788</v>
      </c>
      <c r="B279" t="s">
        <v>1169</v>
      </c>
    </row>
    <row r="280" spans="1:2">
      <c r="A280" t="s">
        <v>798</v>
      </c>
      <c r="B280" t="s">
        <v>1169</v>
      </c>
    </row>
    <row r="281" spans="1:2">
      <c r="A281" t="s">
        <v>1321</v>
      </c>
      <c r="B281" t="s">
        <v>1169</v>
      </c>
    </row>
    <row r="282" spans="1:2">
      <c r="A282" t="s">
        <v>1322</v>
      </c>
      <c r="B282" t="s">
        <v>1169</v>
      </c>
    </row>
    <row r="283" spans="1:2">
      <c r="A283" t="s">
        <v>1323</v>
      </c>
      <c r="B283" t="s">
        <v>1169</v>
      </c>
    </row>
    <row r="284" spans="1:2">
      <c r="A284" t="s">
        <v>781</v>
      </c>
      <c r="B284" t="s">
        <v>1169</v>
      </c>
    </row>
    <row r="285" spans="1:2">
      <c r="A285" t="s">
        <v>1324</v>
      </c>
      <c r="B285" t="s">
        <v>1169</v>
      </c>
    </row>
    <row r="286" spans="1:2">
      <c r="A286" t="s">
        <v>737</v>
      </c>
      <c r="B286" t="s">
        <v>1169</v>
      </c>
    </row>
    <row r="287" spans="1:2">
      <c r="A287" t="s">
        <v>652</v>
      </c>
      <c r="B287" t="s">
        <v>1169</v>
      </c>
    </row>
    <row r="288" spans="1:2">
      <c r="A288" t="s">
        <v>889</v>
      </c>
      <c r="B288" t="s">
        <v>1169</v>
      </c>
    </row>
    <row r="289" spans="1:2">
      <c r="A289" t="s">
        <v>783</v>
      </c>
      <c r="B289" t="s">
        <v>1169</v>
      </c>
    </row>
    <row r="290" spans="1:2">
      <c r="A290" t="s">
        <v>779</v>
      </c>
      <c r="B290" t="s">
        <v>1169</v>
      </c>
    </row>
    <row r="291" spans="1:2">
      <c r="A291" t="s">
        <v>689</v>
      </c>
      <c r="B291" t="s">
        <v>1169</v>
      </c>
    </row>
    <row r="292" spans="1:2">
      <c r="A292" t="s">
        <v>745</v>
      </c>
      <c r="B292" t="s">
        <v>1169</v>
      </c>
    </row>
    <row r="293" spans="1:2">
      <c r="A293" t="s">
        <v>1226</v>
      </c>
      <c r="B293" t="s">
        <v>1169</v>
      </c>
    </row>
    <row r="294" spans="1:2">
      <c r="A294" t="s">
        <v>1325</v>
      </c>
      <c r="B294" t="s">
        <v>1169</v>
      </c>
    </row>
    <row r="295" spans="1:2">
      <c r="A295" t="s">
        <v>706</v>
      </c>
      <c r="B295" t="s">
        <v>1169</v>
      </c>
    </row>
    <row r="296" spans="1:2">
      <c r="A296" t="s">
        <v>1326</v>
      </c>
      <c r="B296" t="s">
        <v>1169</v>
      </c>
    </row>
    <row r="297" spans="1:2">
      <c r="A297" t="s">
        <v>724</v>
      </c>
      <c r="B297" t="s">
        <v>1169</v>
      </c>
    </row>
    <row r="298" spans="1:2">
      <c r="A298" t="s">
        <v>712</v>
      </c>
      <c r="B298" t="s">
        <v>1169</v>
      </c>
    </row>
    <row r="299" spans="1:2">
      <c r="A299" t="s">
        <v>792</v>
      </c>
      <c r="B299" t="s">
        <v>1169</v>
      </c>
    </row>
    <row r="300" spans="1:2">
      <c r="A300" t="s">
        <v>667</v>
      </c>
      <c r="B300" t="s">
        <v>1169</v>
      </c>
    </row>
    <row r="301" spans="1:2">
      <c r="A301" t="s">
        <v>751</v>
      </c>
      <c r="B301" t="s">
        <v>1169</v>
      </c>
    </row>
    <row r="302" spans="1:2">
      <c r="A302" t="s">
        <v>722</v>
      </c>
      <c r="B302" t="s">
        <v>1169</v>
      </c>
    </row>
    <row r="303" spans="1:2">
      <c r="A303" t="s">
        <v>829</v>
      </c>
      <c r="B303" t="s">
        <v>1169</v>
      </c>
    </row>
    <row r="304" spans="1:2">
      <c r="A304" t="s">
        <v>731</v>
      </c>
      <c r="B304" t="s">
        <v>1169</v>
      </c>
    </row>
    <row r="305" spans="1:2">
      <c r="A305" t="s">
        <v>1327</v>
      </c>
      <c r="B305" t="s">
        <v>1169</v>
      </c>
    </row>
    <row r="306" spans="1:2">
      <c r="A306" t="s">
        <v>639</v>
      </c>
      <c r="B306" t="s">
        <v>1169</v>
      </c>
    </row>
    <row r="307" spans="1:2">
      <c r="A307" s="5" t="s">
        <v>646</v>
      </c>
      <c r="B307" t="s">
        <v>1169</v>
      </c>
    </row>
    <row r="308" spans="1:2">
      <c r="A308" t="s">
        <v>747</v>
      </c>
      <c r="B308" t="s">
        <v>1169</v>
      </c>
    </row>
    <row r="309" spans="1:2">
      <c r="A309" t="s">
        <v>808</v>
      </c>
      <c r="B309" t="s">
        <v>1169</v>
      </c>
    </row>
    <row r="310" spans="1:2">
      <c r="A310" t="s">
        <v>604</v>
      </c>
      <c r="B310" t="s">
        <v>1169</v>
      </c>
    </row>
    <row r="311" spans="1:2">
      <c r="A311" t="s">
        <v>1328</v>
      </c>
      <c r="B311" t="s">
        <v>1169</v>
      </c>
    </row>
    <row r="312" spans="1:2">
      <c r="A312" t="s">
        <v>614</v>
      </c>
      <c r="B312" t="s">
        <v>1169</v>
      </c>
    </row>
    <row r="313" spans="1:2">
      <c r="A313" t="s">
        <v>895</v>
      </c>
      <c r="B313" t="s">
        <v>1169</v>
      </c>
    </row>
    <row r="314" spans="1:2">
      <c r="A314" t="s">
        <v>847</v>
      </c>
      <c r="B314" t="s">
        <v>1169</v>
      </c>
    </row>
    <row r="315" spans="1:2">
      <c r="A315" t="s">
        <v>865</v>
      </c>
      <c r="B315" t="s">
        <v>1169</v>
      </c>
    </row>
    <row r="316" spans="1:2">
      <c r="A316" t="s">
        <v>753</v>
      </c>
      <c r="B316" t="s">
        <v>1169</v>
      </c>
    </row>
    <row r="317" spans="1:2">
      <c r="A317" t="s">
        <v>695</v>
      </c>
      <c r="B317" t="s">
        <v>1169</v>
      </c>
    </row>
    <row r="318" spans="1:2">
      <c r="A318" t="s">
        <v>608</v>
      </c>
      <c r="B318" t="s">
        <v>1169</v>
      </c>
    </row>
    <row r="319" spans="1:2">
      <c r="A319" t="s">
        <v>837</v>
      </c>
      <c r="B319" t="s">
        <v>1169</v>
      </c>
    </row>
    <row r="320" spans="1:2">
      <c r="A320" t="s">
        <v>703</v>
      </c>
      <c r="B320" t="s">
        <v>1169</v>
      </c>
    </row>
    <row r="321" spans="1:2">
      <c r="A321" t="s">
        <v>879</v>
      </c>
      <c r="B321" t="s">
        <v>1169</v>
      </c>
    </row>
    <row r="322" spans="1:2">
      <c r="A322" t="s">
        <v>679</v>
      </c>
      <c r="B322" t="s">
        <v>1169</v>
      </c>
    </row>
    <row r="323" spans="1:2">
      <c r="A323" t="s">
        <v>796</v>
      </c>
      <c r="B323" t="s">
        <v>1169</v>
      </c>
    </row>
    <row r="324" spans="1:2">
      <c r="A324" t="s">
        <v>831</v>
      </c>
      <c r="B324" t="s">
        <v>1169</v>
      </c>
    </row>
    <row r="325" spans="1:2">
      <c r="A325" t="s">
        <v>741</v>
      </c>
      <c r="B325" t="s">
        <v>1169</v>
      </c>
    </row>
    <row r="326" spans="1:2">
      <c r="A326" t="s">
        <v>853</v>
      </c>
      <c r="B326" t="s">
        <v>1169</v>
      </c>
    </row>
    <row r="327" spans="1:2">
      <c r="A327" t="s">
        <v>839</v>
      </c>
      <c r="B327" t="s">
        <v>1169</v>
      </c>
    </row>
    <row r="328" spans="1:2">
      <c r="A328" t="s">
        <v>883</v>
      </c>
      <c r="B328" t="s">
        <v>1169</v>
      </c>
    </row>
    <row r="329" spans="1:2">
      <c r="A329" t="s">
        <v>1329</v>
      </c>
      <c r="B329" t="s">
        <v>1169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S455"/>
  <sheetViews>
    <sheetView topLeftCell="B1" workbookViewId="0">
      <selection activeCell="O372" sqref="O372"/>
    </sheetView>
  </sheetViews>
  <sheetFormatPr defaultRowHeight="15"/>
  <cols>
    <col min="1" max="1" width="21.140625" customWidth="1"/>
    <col min="2" max="2" width="97.85546875" customWidth="1"/>
    <col min="3" max="3" width="14" customWidth="1"/>
    <col min="4" max="4" width="21" customWidth="1"/>
    <col min="5" max="5" width="21" style="19" customWidth="1"/>
    <col min="6" max="6" width="20.7109375" customWidth="1"/>
    <col min="7" max="8" width="1.7109375" customWidth="1"/>
    <col min="9" max="9" width="19" style="141" customWidth="1"/>
    <col min="10" max="10" width="9.7109375" customWidth="1"/>
    <col min="11" max="11" width="8.42578125" customWidth="1"/>
    <col min="12" max="12" width="13.85546875" customWidth="1"/>
    <col min="13" max="13" width="13.85546875" style="143" customWidth="1"/>
    <col min="14" max="14" width="13.85546875" customWidth="1"/>
    <col min="15" max="15" width="13.85546875" style="144" customWidth="1"/>
    <col min="17" max="19" width="0" hidden="1" customWidth="1"/>
  </cols>
  <sheetData>
    <row r="1" spans="1:19" s="2" customFormat="1" ht="10.5" customHeight="1">
      <c r="A1" s="22" t="s">
        <v>1288</v>
      </c>
      <c r="B1" s="22" t="s">
        <v>1330</v>
      </c>
      <c r="C1" s="22" t="s">
        <v>1330</v>
      </c>
      <c r="D1" s="22" t="s">
        <v>1331</v>
      </c>
      <c r="E1" s="23" t="s">
        <v>1332</v>
      </c>
      <c r="F1" s="22" t="s">
        <v>1333</v>
      </c>
      <c r="G1" s="22"/>
      <c r="H1" s="22"/>
      <c r="I1" s="139" t="s">
        <v>1334</v>
      </c>
      <c r="J1" s="22" t="s">
        <v>1335</v>
      </c>
      <c r="K1" s="22"/>
      <c r="L1" s="22" t="s">
        <v>1336</v>
      </c>
      <c r="M1" s="142"/>
      <c r="N1" s="22" t="s">
        <v>1337</v>
      </c>
      <c r="O1" s="145" t="s">
        <v>1338</v>
      </c>
      <c r="Q1" s="2" t="s">
        <v>16</v>
      </c>
      <c r="R1" s="2">
        <v>67399</v>
      </c>
      <c r="S1" s="2">
        <v>74374.570000000007</v>
      </c>
    </row>
    <row r="2" spans="1:19" hidden="1">
      <c r="A2" t="s">
        <v>1339</v>
      </c>
      <c r="B2" t="s">
        <v>27</v>
      </c>
      <c r="C2" t="s">
        <v>28</v>
      </c>
      <c r="D2">
        <v>21800</v>
      </c>
      <c r="E2" s="19">
        <f>D2/28</f>
        <v>778.57142857142856</v>
      </c>
      <c r="F2">
        <v>14815.63</v>
      </c>
      <c r="I2" s="19">
        <f>IF((D2/28)&gt;100,D2*2,D2*2)</f>
        <v>43600</v>
      </c>
      <c r="J2" t="b">
        <f>IF(F2&gt;1.2*I2,FALSE,TRUE)</f>
        <v>1</v>
      </c>
      <c r="K2" s="4">
        <f t="shared" ref="K2:K64" si="0">F2/I2-1</f>
        <v>-0.66019197247706418</v>
      </c>
      <c r="M2"/>
      <c r="O2"/>
      <c r="Q2" t="s">
        <v>129</v>
      </c>
      <c r="R2">
        <v>4822</v>
      </c>
      <c r="S2">
        <v>9600.5</v>
      </c>
    </row>
    <row r="3" spans="1:19" hidden="1">
      <c r="A3" t="s">
        <v>1339</v>
      </c>
      <c r="B3" t="s">
        <v>44</v>
      </c>
      <c r="C3" t="s">
        <v>45</v>
      </c>
      <c r="D3">
        <v>25294</v>
      </c>
      <c r="E3" s="19">
        <f>D3/28</f>
        <v>903.35714285714289</v>
      </c>
      <c r="F3">
        <v>13364.16</v>
      </c>
      <c r="I3" s="19">
        <f>IF((D3/28)&gt;100,D3*2,D3*2)</f>
        <v>50588</v>
      </c>
      <c r="J3" t="b">
        <f>IF(F3&gt;1.2*I3,FALSE,TRUE)</f>
        <v>1</v>
      </c>
      <c r="K3" s="4">
        <f t="shared" si="0"/>
        <v>-0.73582351545821145</v>
      </c>
      <c r="M3"/>
      <c r="O3"/>
      <c r="Q3" t="s">
        <v>73</v>
      </c>
      <c r="R3">
        <v>10249</v>
      </c>
      <c r="S3">
        <v>16634</v>
      </c>
    </row>
    <row r="4" spans="1:19" hidden="1">
      <c r="A4" t="s">
        <v>1339</v>
      </c>
      <c r="B4" t="s">
        <v>18</v>
      </c>
      <c r="C4" t="s">
        <v>19</v>
      </c>
      <c r="D4">
        <v>45317</v>
      </c>
      <c r="E4" s="19">
        <f t="shared" ref="E4:E64" si="1">D4/28</f>
        <v>1618.4642857142858</v>
      </c>
      <c r="F4">
        <v>47487.31</v>
      </c>
      <c r="I4" s="19">
        <f t="shared" ref="I4:I64" si="2">IF((D4/28)&gt;100,D4*2,D4*2)</f>
        <v>90634</v>
      </c>
      <c r="J4" t="b">
        <f t="shared" ref="J4:J64" si="3">IF(F4&gt;1.2*I4,FALSE,TRUE)</f>
        <v>1</v>
      </c>
      <c r="K4" s="4">
        <f t="shared" si="0"/>
        <v>-0.47605412979676509</v>
      </c>
      <c r="M4"/>
      <c r="O4"/>
      <c r="Q4" t="s">
        <v>31</v>
      </c>
      <c r="R4">
        <v>26241</v>
      </c>
      <c r="S4">
        <v>30072.34</v>
      </c>
    </row>
    <row r="5" spans="1:19" hidden="1">
      <c r="A5" t="s">
        <v>1340</v>
      </c>
      <c r="B5" t="s">
        <v>896</v>
      </c>
      <c r="C5" t="s">
        <v>897</v>
      </c>
      <c r="D5">
        <v>31151</v>
      </c>
      <c r="E5" s="19">
        <f t="shared" si="1"/>
        <v>1112.5357142857142</v>
      </c>
      <c r="F5">
        <v>20438.240000000002</v>
      </c>
      <c r="I5" s="19">
        <f t="shared" si="2"/>
        <v>62302</v>
      </c>
      <c r="J5" t="b">
        <f t="shared" si="3"/>
        <v>1</v>
      </c>
      <c r="K5" s="4">
        <f t="shared" si="0"/>
        <v>-0.67194889409649772</v>
      </c>
      <c r="M5"/>
      <c r="O5"/>
      <c r="Q5" t="s">
        <v>28</v>
      </c>
      <c r="R5">
        <v>20605</v>
      </c>
      <c r="S5">
        <v>19405.060000000001</v>
      </c>
    </row>
    <row r="6" spans="1:19" hidden="1">
      <c r="A6" t="s">
        <v>1339</v>
      </c>
      <c r="B6" t="s">
        <v>134</v>
      </c>
      <c r="C6" t="s">
        <v>135</v>
      </c>
      <c r="D6">
        <v>15532</v>
      </c>
      <c r="E6" s="19">
        <f t="shared" si="1"/>
        <v>554.71428571428567</v>
      </c>
      <c r="F6">
        <v>10756.77</v>
      </c>
      <c r="I6" s="19">
        <f t="shared" si="2"/>
        <v>31064</v>
      </c>
      <c r="J6" t="b">
        <f t="shared" si="3"/>
        <v>1</v>
      </c>
      <c r="K6" s="4">
        <f t="shared" si="0"/>
        <v>-0.65372231522019053</v>
      </c>
      <c r="M6"/>
      <c r="O6"/>
      <c r="Q6" t="s">
        <v>519</v>
      </c>
      <c r="R6">
        <v>6929</v>
      </c>
      <c r="S6">
        <v>10453.85</v>
      </c>
    </row>
    <row r="7" spans="1:19" hidden="1">
      <c r="A7" t="s">
        <v>1341</v>
      </c>
      <c r="B7" t="s">
        <v>1132</v>
      </c>
      <c r="C7" t="s">
        <v>1133</v>
      </c>
      <c r="D7">
        <v>5576</v>
      </c>
      <c r="E7" s="19">
        <f t="shared" si="1"/>
        <v>199.14285714285714</v>
      </c>
      <c r="F7">
        <v>3980.86</v>
      </c>
      <c r="I7" s="19">
        <f t="shared" si="2"/>
        <v>11152</v>
      </c>
      <c r="J7" t="b">
        <f t="shared" si="3"/>
        <v>1</v>
      </c>
      <c r="K7" s="4">
        <f t="shared" si="0"/>
        <v>-0.6430362266857963</v>
      </c>
      <c r="M7"/>
      <c r="O7"/>
      <c r="Q7" t="s">
        <v>37</v>
      </c>
      <c r="R7">
        <v>2129</v>
      </c>
      <c r="S7">
        <v>3078.97</v>
      </c>
    </row>
    <row r="8" spans="1:19" hidden="1">
      <c r="A8" t="s">
        <v>1340</v>
      </c>
      <c r="B8" t="s">
        <v>589</v>
      </c>
      <c r="C8" t="s">
        <v>590</v>
      </c>
      <c r="D8">
        <v>10207</v>
      </c>
      <c r="E8" s="19">
        <f t="shared" si="1"/>
        <v>364.53571428571428</v>
      </c>
      <c r="F8">
        <v>6533.26</v>
      </c>
      <c r="I8" s="19">
        <f t="shared" si="2"/>
        <v>20414</v>
      </c>
      <c r="J8" t="b">
        <f t="shared" si="3"/>
        <v>1</v>
      </c>
      <c r="K8" s="4">
        <f t="shared" si="0"/>
        <v>-0.67996179092779463</v>
      </c>
      <c r="M8"/>
      <c r="O8"/>
      <c r="Q8" t="s">
        <v>283</v>
      </c>
      <c r="R8">
        <v>11862</v>
      </c>
      <c r="S8">
        <v>7272.85</v>
      </c>
    </row>
    <row r="9" spans="1:19" hidden="1">
      <c r="A9" t="s">
        <v>1341</v>
      </c>
      <c r="B9" t="s">
        <v>912</v>
      </c>
      <c r="C9" t="s">
        <v>913</v>
      </c>
      <c r="D9">
        <v>11107</v>
      </c>
      <c r="E9" s="19">
        <f t="shared" si="1"/>
        <v>396.67857142857144</v>
      </c>
      <c r="F9">
        <v>8064.05</v>
      </c>
      <c r="I9" s="19">
        <f t="shared" si="2"/>
        <v>22214</v>
      </c>
      <c r="J9" t="b">
        <f t="shared" si="3"/>
        <v>1</v>
      </c>
      <c r="K9" s="4">
        <f t="shared" si="0"/>
        <v>-0.63698343387053202</v>
      </c>
      <c r="M9"/>
      <c r="O9"/>
      <c r="Q9" t="s">
        <v>527</v>
      </c>
      <c r="R9">
        <v>4129</v>
      </c>
      <c r="S9">
        <v>7431.5</v>
      </c>
    </row>
    <row r="10" spans="1:19" hidden="1">
      <c r="A10" t="s">
        <v>1339</v>
      </c>
      <c r="B10" t="s">
        <v>72</v>
      </c>
      <c r="C10" t="s">
        <v>73</v>
      </c>
      <c r="D10">
        <v>12191</v>
      </c>
      <c r="E10" s="19">
        <f t="shared" si="1"/>
        <v>435.39285714285717</v>
      </c>
      <c r="F10">
        <v>16982.849999999999</v>
      </c>
      <c r="I10" s="19">
        <f t="shared" si="2"/>
        <v>24382</v>
      </c>
      <c r="J10" t="b">
        <f t="shared" si="3"/>
        <v>1</v>
      </c>
      <c r="K10" s="4">
        <f t="shared" si="0"/>
        <v>-0.30346772209006645</v>
      </c>
      <c r="M10"/>
      <c r="O10"/>
      <c r="Q10" t="s">
        <v>45</v>
      </c>
      <c r="R10">
        <v>25786</v>
      </c>
      <c r="S10">
        <v>18542.5</v>
      </c>
    </row>
    <row r="11" spans="1:19" hidden="1">
      <c r="A11" t="s">
        <v>1339</v>
      </c>
      <c r="B11" t="s">
        <v>208</v>
      </c>
      <c r="C11" t="s">
        <v>209</v>
      </c>
      <c r="D11">
        <v>2002</v>
      </c>
      <c r="E11" s="19">
        <f t="shared" si="1"/>
        <v>71.5</v>
      </c>
      <c r="F11">
        <v>1471.47</v>
      </c>
      <c r="I11" s="19">
        <f t="shared" si="2"/>
        <v>4004</v>
      </c>
      <c r="J11" t="b">
        <f t="shared" si="3"/>
        <v>1</v>
      </c>
      <c r="K11" s="4">
        <f t="shared" si="0"/>
        <v>-0.63250000000000006</v>
      </c>
      <c r="M11"/>
      <c r="O11"/>
      <c r="Q11" t="s">
        <v>111</v>
      </c>
      <c r="R11">
        <v>4818</v>
      </c>
      <c r="S11">
        <v>8527.9500000000007</v>
      </c>
    </row>
    <row r="12" spans="1:19" hidden="1">
      <c r="A12" t="s">
        <v>1341</v>
      </c>
      <c r="B12" t="s">
        <v>1127</v>
      </c>
      <c r="C12" t="s">
        <v>1128</v>
      </c>
      <c r="D12">
        <v>4639</v>
      </c>
      <c r="E12" s="19">
        <f t="shared" si="1"/>
        <v>165.67857142857142</v>
      </c>
      <c r="F12">
        <v>4844.63</v>
      </c>
      <c r="I12" s="19">
        <f t="shared" si="2"/>
        <v>9278</v>
      </c>
      <c r="J12" t="b">
        <f t="shared" si="3"/>
        <v>1</v>
      </c>
      <c r="K12" s="4">
        <f t="shared" si="0"/>
        <v>-0.47783681827980162</v>
      </c>
      <c r="M12"/>
      <c r="O12"/>
      <c r="Q12" t="s">
        <v>471</v>
      </c>
      <c r="R12">
        <v>3732</v>
      </c>
      <c r="S12">
        <v>7397.98</v>
      </c>
    </row>
    <row r="13" spans="1:19" hidden="1">
      <c r="A13" t="s">
        <v>1339</v>
      </c>
      <c r="B13" t="s">
        <v>282</v>
      </c>
      <c r="C13" t="s">
        <v>283</v>
      </c>
      <c r="D13">
        <v>11454</v>
      </c>
      <c r="E13" s="19">
        <f t="shared" si="1"/>
        <v>409.07142857142856</v>
      </c>
      <c r="F13">
        <v>5995.45</v>
      </c>
      <c r="I13" s="19">
        <f t="shared" si="2"/>
        <v>22908</v>
      </c>
      <c r="J13" t="b">
        <f t="shared" si="3"/>
        <v>1</v>
      </c>
      <c r="K13" s="4">
        <f t="shared" si="0"/>
        <v>-0.73828138641522612</v>
      </c>
      <c r="M13"/>
      <c r="O13"/>
      <c r="Q13" t="s">
        <v>535</v>
      </c>
      <c r="R13">
        <v>11641</v>
      </c>
      <c r="S13">
        <v>10505.25</v>
      </c>
    </row>
    <row r="14" spans="1:19" hidden="1">
      <c r="A14" t="s">
        <v>1339</v>
      </c>
      <c r="B14" t="s">
        <v>76</v>
      </c>
      <c r="C14" t="s">
        <v>77</v>
      </c>
      <c r="D14">
        <v>5772</v>
      </c>
      <c r="E14" s="19">
        <f t="shared" si="1"/>
        <v>206.14285714285714</v>
      </c>
      <c r="F14">
        <v>3110.36</v>
      </c>
      <c r="I14" s="19">
        <f t="shared" si="2"/>
        <v>11544</v>
      </c>
      <c r="J14" t="b">
        <f t="shared" si="3"/>
        <v>1</v>
      </c>
      <c r="K14" s="4">
        <f t="shared" si="0"/>
        <v>-0.73056479556479559</v>
      </c>
      <c r="M14"/>
      <c r="O14"/>
      <c r="Q14" t="s">
        <v>537</v>
      </c>
      <c r="R14">
        <v>7271</v>
      </c>
      <c r="S14">
        <v>8084.91</v>
      </c>
    </row>
    <row r="15" spans="1:19" hidden="1">
      <c r="A15" t="s">
        <v>1341</v>
      </c>
      <c r="B15" t="s">
        <v>1046</v>
      </c>
      <c r="C15" t="s">
        <v>1047</v>
      </c>
      <c r="D15">
        <v>1736</v>
      </c>
      <c r="E15" s="19">
        <f t="shared" si="1"/>
        <v>62</v>
      </c>
      <c r="F15">
        <v>1407.47</v>
      </c>
      <c r="I15" s="19">
        <f t="shared" si="2"/>
        <v>3472</v>
      </c>
      <c r="J15" t="b">
        <f t="shared" si="3"/>
        <v>1</v>
      </c>
      <c r="K15" s="4">
        <f t="shared" si="0"/>
        <v>-0.59462269585253458</v>
      </c>
      <c r="M15"/>
      <c r="O15"/>
      <c r="Q15" t="s">
        <v>56</v>
      </c>
      <c r="R15">
        <v>4069</v>
      </c>
      <c r="S15">
        <v>7312.03</v>
      </c>
    </row>
    <row r="16" spans="1:19" hidden="1">
      <c r="A16" t="s">
        <v>1339</v>
      </c>
      <c r="B16" t="s">
        <v>492</v>
      </c>
      <c r="C16" t="s">
        <v>493</v>
      </c>
      <c r="D16">
        <v>5459</v>
      </c>
      <c r="E16" s="19">
        <f t="shared" si="1"/>
        <v>194.96428571428572</v>
      </c>
      <c r="F16">
        <v>8385.2099999999991</v>
      </c>
      <c r="I16" s="19">
        <f t="shared" si="2"/>
        <v>10918</v>
      </c>
      <c r="J16" t="b">
        <f t="shared" si="3"/>
        <v>1</v>
      </c>
      <c r="K16" s="4">
        <f t="shared" si="0"/>
        <v>-0.2319829639128046</v>
      </c>
      <c r="M16"/>
      <c r="O16"/>
      <c r="Q16" t="s">
        <v>395</v>
      </c>
      <c r="R16">
        <v>3689</v>
      </c>
      <c r="S16">
        <v>5998.01</v>
      </c>
    </row>
    <row r="17" spans="1:19" hidden="1">
      <c r="A17" t="s">
        <v>1340</v>
      </c>
      <c r="B17" t="s">
        <v>880</v>
      </c>
      <c r="C17" t="s">
        <v>881</v>
      </c>
      <c r="D17">
        <v>3818</v>
      </c>
      <c r="E17" s="19">
        <f t="shared" si="1"/>
        <v>136.35714285714286</v>
      </c>
      <c r="F17">
        <v>3467.62</v>
      </c>
      <c r="I17" s="19">
        <f t="shared" si="2"/>
        <v>7636</v>
      </c>
      <c r="J17" t="b">
        <f t="shared" si="3"/>
        <v>1</v>
      </c>
      <c r="K17" s="4">
        <f t="shared" si="0"/>
        <v>-0.54588528025144056</v>
      </c>
      <c r="M17"/>
      <c r="O17"/>
      <c r="Q17" t="s">
        <v>263</v>
      </c>
      <c r="R17">
        <v>1500</v>
      </c>
      <c r="S17">
        <v>3242.85</v>
      </c>
    </row>
    <row r="18" spans="1:19" hidden="1">
      <c r="A18" t="s">
        <v>1340</v>
      </c>
      <c r="B18" t="s">
        <v>752</v>
      </c>
      <c r="C18" t="s">
        <v>753</v>
      </c>
      <c r="D18">
        <v>1755</v>
      </c>
      <c r="E18" s="19">
        <f t="shared" si="1"/>
        <v>62.678571428571431</v>
      </c>
      <c r="F18">
        <v>561.04</v>
      </c>
      <c r="I18" s="19">
        <f t="shared" si="2"/>
        <v>3510</v>
      </c>
      <c r="J18" t="b">
        <f t="shared" si="3"/>
        <v>1</v>
      </c>
      <c r="K18" s="4">
        <f t="shared" si="0"/>
        <v>-0.84015954415954419</v>
      </c>
      <c r="M18"/>
      <c r="O18"/>
      <c r="Q18" t="s">
        <v>447</v>
      </c>
      <c r="R18">
        <v>2196</v>
      </c>
      <c r="S18">
        <v>4307.3100000000004</v>
      </c>
    </row>
    <row r="19" spans="1:19" hidden="1">
      <c r="A19" t="s">
        <v>1339</v>
      </c>
      <c r="B19" t="s">
        <v>444</v>
      </c>
      <c r="C19" t="s">
        <v>445</v>
      </c>
      <c r="D19">
        <v>4583</v>
      </c>
      <c r="E19" s="19">
        <f t="shared" si="1"/>
        <v>163.67857142857142</v>
      </c>
      <c r="F19">
        <v>7027.61</v>
      </c>
      <c r="I19" s="19">
        <f t="shared" si="2"/>
        <v>9166</v>
      </c>
      <c r="J19" t="b">
        <f t="shared" si="3"/>
        <v>1</v>
      </c>
      <c r="K19" s="4">
        <f t="shared" si="0"/>
        <v>-0.23329587606371371</v>
      </c>
      <c r="M19"/>
      <c r="O19"/>
      <c r="Q19" t="s">
        <v>393</v>
      </c>
      <c r="R19">
        <v>1326</v>
      </c>
      <c r="S19">
        <v>2816.7</v>
      </c>
    </row>
    <row r="20" spans="1:19" hidden="1">
      <c r="A20" t="s">
        <v>1341</v>
      </c>
      <c r="B20" t="s">
        <v>1134</v>
      </c>
      <c r="C20" t="s">
        <v>1135</v>
      </c>
      <c r="D20">
        <v>6229</v>
      </c>
      <c r="E20" s="19">
        <f t="shared" si="1"/>
        <v>222.46428571428572</v>
      </c>
      <c r="F20">
        <v>6570.57</v>
      </c>
      <c r="I20" s="19">
        <f t="shared" si="2"/>
        <v>12458</v>
      </c>
      <c r="J20" t="b">
        <f t="shared" si="3"/>
        <v>1</v>
      </c>
      <c r="K20" s="4">
        <f t="shared" si="0"/>
        <v>-0.47258227644886819</v>
      </c>
      <c r="M20"/>
      <c r="O20"/>
      <c r="Q20" t="s">
        <v>223</v>
      </c>
      <c r="R20">
        <v>1109</v>
      </c>
      <c r="S20">
        <v>2476.85</v>
      </c>
    </row>
    <row r="21" spans="1:19" hidden="1">
      <c r="A21" t="s">
        <v>1339</v>
      </c>
      <c r="B21" t="s">
        <v>506</v>
      </c>
      <c r="C21" t="s">
        <v>507</v>
      </c>
      <c r="D21">
        <v>3682</v>
      </c>
      <c r="E21" s="19">
        <f t="shared" si="1"/>
        <v>131.5</v>
      </c>
      <c r="F21">
        <v>3281.33</v>
      </c>
      <c r="I21" s="19">
        <f t="shared" si="2"/>
        <v>7364</v>
      </c>
      <c r="J21" t="b">
        <f t="shared" si="3"/>
        <v>1</v>
      </c>
      <c r="K21" s="4">
        <f t="shared" si="0"/>
        <v>-0.55440928843020099</v>
      </c>
      <c r="M21"/>
      <c r="O21"/>
      <c r="Q21" t="s">
        <v>50</v>
      </c>
      <c r="R21">
        <v>4052</v>
      </c>
      <c r="S21">
        <v>6748.08</v>
      </c>
    </row>
    <row r="22" spans="1:19" hidden="1">
      <c r="A22" t="s">
        <v>1339</v>
      </c>
      <c r="B22" t="s">
        <v>484</v>
      </c>
      <c r="C22" t="s">
        <v>485</v>
      </c>
      <c r="D22">
        <v>6430</v>
      </c>
      <c r="E22" s="19">
        <f t="shared" si="1"/>
        <v>229.64285714285714</v>
      </c>
      <c r="F22">
        <v>6401.95</v>
      </c>
      <c r="I22" s="19">
        <f t="shared" si="2"/>
        <v>12860</v>
      </c>
      <c r="J22" t="b">
        <f t="shared" si="3"/>
        <v>1</v>
      </c>
      <c r="K22" s="4">
        <f t="shared" si="0"/>
        <v>-0.50218118195956452</v>
      </c>
      <c r="M22"/>
      <c r="O22"/>
      <c r="Q22" t="s">
        <v>443</v>
      </c>
      <c r="R22">
        <v>1476</v>
      </c>
      <c r="S22">
        <v>2358.27</v>
      </c>
    </row>
    <row r="23" spans="1:19" hidden="1">
      <c r="A23" t="s">
        <v>1341</v>
      </c>
      <c r="B23" t="s">
        <v>1103</v>
      </c>
      <c r="C23" t="s">
        <v>1104</v>
      </c>
      <c r="D23">
        <v>2586</v>
      </c>
      <c r="E23" s="19">
        <f t="shared" si="1"/>
        <v>92.357142857142861</v>
      </c>
      <c r="F23">
        <v>3909.96</v>
      </c>
      <c r="I23" s="140">
        <f t="shared" si="2"/>
        <v>5172</v>
      </c>
      <c r="J23" t="b">
        <f t="shared" si="3"/>
        <v>1</v>
      </c>
      <c r="K23" s="4">
        <f t="shared" si="0"/>
        <v>-0.24401392111368914</v>
      </c>
      <c r="Q23" t="s">
        <v>22</v>
      </c>
      <c r="R23">
        <v>14987</v>
      </c>
      <c r="S23">
        <v>5594.85</v>
      </c>
    </row>
    <row r="24" spans="1:19" hidden="1">
      <c r="A24" t="s">
        <v>1340</v>
      </c>
      <c r="B24" t="s">
        <v>593</v>
      </c>
      <c r="C24" t="s">
        <v>594</v>
      </c>
      <c r="D24">
        <v>6068</v>
      </c>
      <c r="E24" s="19">
        <f t="shared" si="1"/>
        <v>216.71428571428572</v>
      </c>
      <c r="F24">
        <v>7051.44</v>
      </c>
      <c r="I24" s="19">
        <f t="shared" si="2"/>
        <v>12136</v>
      </c>
      <c r="J24" t="b">
        <f t="shared" si="3"/>
        <v>1</v>
      </c>
      <c r="K24" s="4">
        <f t="shared" si="0"/>
        <v>-0.41896506262359923</v>
      </c>
      <c r="M24"/>
      <c r="O24"/>
      <c r="Q24" t="s">
        <v>411</v>
      </c>
      <c r="R24">
        <v>652</v>
      </c>
      <c r="S24">
        <v>1070.94</v>
      </c>
    </row>
    <row r="25" spans="1:19" hidden="1">
      <c r="A25" t="s">
        <v>1339</v>
      </c>
      <c r="B25" t="s">
        <v>362</v>
      </c>
      <c r="C25" t="s">
        <v>363</v>
      </c>
      <c r="D25">
        <v>2895</v>
      </c>
      <c r="E25" s="19">
        <f t="shared" si="1"/>
        <v>103.39285714285714</v>
      </c>
      <c r="F25">
        <v>1598.87</v>
      </c>
      <c r="I25" s="19">
        <f t="shared" si="2"/>
        <v>5790</v>
      </c>
      <c r="J25" t="b">
        <f t="shared" si="3"/>
        <v>1</v>
      </c>
      <c r="K25" s="4">
        <f t="shared" si="0"/>
        <v>-0.72385664939550953</v>
      </c>
      <c r="M25"/>
      <c r="O25"/>
      <c r="Q25" t="s">
        <v>355</v>
      </c>
      <c r="R25">
        <v>1671</v>
      </c>
      <c r="S25">
        <v>2325.75</v>
      </c>
    </row>
    <row r="26" spans="1:19" hidden="1">
      <c r="A26" t="s">
        <v>1339</v>
      </c>
      <c r="B26" t="s">
        <v>426</v>
      </c>
      <c r="C26" t="s">
        <v>427</v>
      </c>
      <c r="D26">
        <v>2641</v>
      </c>
      <c r="E26" s="19">
        <f t="shared" si="1"/>
        <v>94.321428571428569</v>
      </c>
      <c r="F26">
        <v>3897.92</v>
      </c>
      <c r="I26" s="19">
        <f t="shared" si="2"/>
        <v>5282</v>
      </c>
      <c r="J26" t="b">
        <f t="shared" si="3"/>
        <v>1</v>
      </c>
      <c r="K26" s="4">
        <f t="shared" si="0"/>
        <v>-0.26203710715638018</v>
      </c>
      <c r="M26"/>
      <c r="O26"/>
      <c r="Q26" t="s">
        <v>465</v>
      </c>
      <c r="R26">
        <v>2656</v>
      </c>
      <c r="S26">
        <v>5003.68</v>
      </c>
    </row>
    <row r="27" spans="1:19" hidden="1">
      <c r="A27" t="s">
        <v>1339</v>
      </c>
      <c r="B27" t="s">
        <v>532</v>
      </c>
      <c r="C27" t="s">
        <v>533</v>
      </c>
      <c r="D27">
        <v>7213</v>
      </c>
      <c r="E27" s="19">
        <f t="shared" si="1"/>
        <v>257.60714285714283</v>
      </c>
      <c r="F27">
        <v>10952.95</v>
      </c>
      <c r="I27" s="19">
        <f t="shared" si="2"/>
        <v>14426</v>
      </c>
      <c r="J27" t="b">
        <f t="shared" si="3"/>
        <v>1</v>
      </c>
      <c r="K27" s="4">
        <f t="shared" si="0"/>
        <v>-0.24074934146679605</v>
      </c>
      <c r="M27"/>
      <c r="O27"/>
      <c r="Q27" t="s">
        <v>199</v>
      </c>
      <c r="R27">
        <v>596</v>
      </c>
      <c r="S27">
        <v>1267.94</v>
      </c>
    </row>
    <row r="28" spans="1:19" hidden="1">
      <c r="A28" t="s">
        <v>1340</v>
      </c>
      <c r="B28" t="s">
        <v>599</v>
      </c>
      <c r="C28" t="s">
        <v>600</v>
      </c>
      <c r="D28">
        <v>4051</v>
      </c>
      <c r="E28" s="19">
        <f t="shared" si="1"/>
        <v>144.67857142857142</v>
      </c>
      <c r="F28">
        <v>4645.0200000000004</v>
      </c>
      <c r="I28" s="19">
        <f t="shared" si="2"/>
        <v>8102</v>
      </c>
      <c r="J28" t="b">
        <f t="shared" si="3"/>
        <v>1</v>
      </c>
      <c r="K28" s="4">
        <f t="shared" si="0"/>
        <v>-0.42668230066650203</v>
      </c>
      <c r="M28"/>
      <c r="O28"/>
      <c r="Q28" t="s">
        <v>221</v>
      </c>
      <c r="R28">
        <v>1681</v>
      </c>
      <c r="S28">
        <v>3245.25</v>
      </c>
    </row>
    <row r="29" spans="1:19" hidden="1">
      <c r="A29" t="s">
        <v>1340</v>
      </c>
      <c r="B29" t="s">
        <v>738</v>
      </c>
      <c r="C29" t="s">
        <v>739</v>
      </c>
      <c r="D29">
        <v>3629</v>
      </c>
      <c r="E29" s="19">
        <f t="shared" si="1"/>
        <v>129.60714285714286</v>
      </c>
      <c r="F29">
        <v>3467.41</v>
      </c>
      <c r="I29" s="19">
        <f t="shared" si="2"/>
        <v>7258</v>
      </c>
      <c r="J29" t="b">
        <f t="shared" si="3"/>
        <v>1</v>
      </c>
      <c r="K29" s="4">
        <f t="shared" si="0"/>
        <v>-0.5222637090107467</v>
      </c>
      <c r="M29"/>
      <c r="O29"/>
      <c r="Q29" t="s">
        <v>131</v>
      </c>
      <c r="R29">
        <v>1969</v>
      </c>
      <c r="S29">
        <v>2178.64</v>
      </c>
    </row>
    <row r="30" spans="1:19" hidden="1">
      <c r="A30" t="s">
        <v>1340</v>
      </c>
      <c r="B30" t="s">
        <v>702</v>
      </c>
      <c r="C30" t="s">
        <v>703</v>
      </c>
      <c r="D30">
        <v>5644</v>
      </c>
      <c r="E30" s="19">
        <f t="shared" si="1"/>
        <v>201.57142857142858</v>
      </c>
      <c r="F30">
        <v>7771.19</v>
      </c>
      <c r="I30" s="19">
        <f t="shared" si="2"/>
        <v>11288</v>
      </c>
      <c r="J30" t="b">
        <f t="shared" si="3"/>
        <v>1</v>
      </c>
      <c r="K30" s="4">
        <f t="shared" si="0"/>
        <v>-0.31155297661233172</v>
      </c>
      <c r="M30"/>
      <c r="O30"/>
      <c r="Q30" t="s">
        <v>259</v>
      </c>
      <c r="R30">
        <v>1923</v>
      </c>
      <c r="S30">
        <v>3253.75</v>
      </c>
    </row>
    <row r="31" spans="1:19" hidden="1">
      <c r="A31" t="s">
        <v>1339</v>
      </c>
      <c r="B31" t="s">
        <v>148</v>
      </c>
      <c r="C31" t="s">
        <v>149</v>
      </c>
      <c r="D31">
        <v>3213</v>
      </c>
      <c r="E31" s="19">
        <f t="shared" si="1"/>
        <v>114.75</v>
      </c>
      <c r="F31">
        <v>5854.54</v>
      </c>
      <c r="I31" s="19">
        <f t="shared" si="2"/>
        <v>6426</v>
      </c>
      <c r="J31" t="b">
        <f t="shared" si="3"/>
        <v>1</v>
      </c>
      <c r="K31" s="4">
        <f t="shared" si="0"/>
        <v>-8.8929349517584799E-2</v>
      </c>
      <c r="M31"/>
      <c r="O31"/>
      <c r="Q31" t="s">
        <v>473</v>
      </c>
      <c r="R31">
        <v>1541</v>
      </c>
      <c r="S31">
        <v>3749.62</v>
      </c>
    </row>
    <row r="32" spans="1:19" hidden="1">
      <c r="A32" t="s">
        <v>1339</v>
      </c>
      <c r="B32" t="s">
        <v>498</v>
      </c>
      <c r="C32" t="s">
        <v>499</v>
      </c>
      <c r="D32">
        <v>3928</v>
      </c>
      <c r="E32" s="19">
        <f t="shared" si="1"/>
        <v>140.28571428571428</v>
      </c>
      <c r="F32">
        <v>5901.67</v>
      </c>
      <c r="I32" s="19">
        <f t="shared" si="2"/>
        <v>7856</v>
      </c>
      <c r="J32" t="b">
        <f t="shared" si="3"/>
        <v>1</v>
      </c>
      <c r="K32" s="4">
        <f t="shared" si="0"/>
        <v>-0.24876909368635436</v>
      </c>
      <c r="M32"/>
      <c r="O32"/>
      <c r="Q32" t="s">
        <v>201</v>
      </c>
      <c r="R32">
        <v>2159</v>
      </c>
      <c r="S32">
        <v>4083.97</v>
      </c>
    </row>
    <row r="33" spans="1:19" hidden="1">
      <c r="A33" t="s">
        <v>1339</v>
      </c>
      <c r="B33" t="s">
        <v>508</v>
      </c>
      <c r="C33" t="s">
        <v>509</v>
      </c>
      <c r="D33">
        <v>1392</v>
      </c>
      <c r="E33" s="19">
        <f t="shared" si="1"/>
        <v>49.714285714285715</v>
      </c>
      <c r="F33">
        <v>1887.7</v>
      </c>
      <c r="I33" s="140">
        <f t="shared" si="2"/>
        <v>2784</v>
      </c>
      <c r="J33" t="b">
        <f t="shared" si="3"/>
        <v>1</v>
      </c>
      <c r="K33" s="4">
        <f t="shared" si="0"/>
        <v>-0.32194683908045973</v>
      </c>
      <c r="O33" s="146"/>
      <c r="Q33" t="s">
        <v>367</v>
      </c>
      <c r="R33">
        <v>1658</v>
      </c>
      <c r="S33">
        <v>4124.5</v>
      </c>
    </row>
    <row r="34" spans="1:19" hidden="1">
      <c r="A34" t="s">
        <v>1340</v>
      </c>
      <c r="B34" t="s">
        <v>633</v>
      </c>
      <c r="C34" t="s">
        <v>634</v>
      </c>
      <c r="D34">
        <v>3286</v>
      </c>
      <c r="E34" s="19">
        <f t="shared" si="1"/>
        <v>117.35714285714286</v>
      </c>
      <c r="F34">
        <v>3487.59</v>
      </c>
      <c r="I34" s="19">
        <f t="shared" si="2"/>
        <v>6572</v>
      </c>
      <c r="J34" t="b">
        <f t="shared" si="3"/>
        <v>1</v>
      </c>
      <c r="K34" s="4">
        <f t="shared" si="0"/>
        <v>-0.46932592818015817</v>
      </c>
      <c r="M34"/>
      <c r="O34"/>
      <c r="Q34" t="s">
        <v>467</v>
      </c>
      <c r="R34">
        <v>1546</v>
      </c>
      <c r="S34">
        <v>1959.09</v>
      </c>
    </row>
    <row r="35" spans="1:19" hidden="1">
      <c r="A35" t="s">
        <v>1340</v>
      </c>
      <c r="B35" t="s">
        <v>876</v>
      </c>
      <c r="C35" t="s">
        <v>877</v>
      </c>
      <c r="D35">
        <v>1903</v>
      </c>
      <c r="E35" s="19">
        <f t="shared" si="1"/>
        <v>67.964285714285708</v>
      </c>
      <c r="F35">
        <v>1840.74</v>
      </c>
      <c r="I35" s="19">
        <f t="shared" si="2"/>
        <v>3806</v>
      </c>
      <c r="J35" t="b">
        <f t="shared" si="3"/>
        <v>1</v>
      </c>
      <c r="K35" s="4">
        <f t="shared" si="0"/>
        <v>-0.51635838150289015</v>
      </c>
      <c r="M35"/>
      <c r="O35"/>
      <c r="Q35" t="s">
        <v>503</v>
      </c>
      <c r="R35">
        <v>2684</v>
      </c>
      <c r="S35">
        <v>4208.54</v>
      </c>
    </row>
    <row r="36" spans="1:19" hidden="1">
      <c r="A36" t="s">
        <v>1339</v>
      </c>
      <c r="B36" t="s">
        <v>55</v>
      </c>
      <c r="C36" t="s">
        <v>56</v>
      </c>
      <c r="D36">
        <v>4869</v>
      </c>
      <c r="E36" s="19">
        <f t="shared" si="1"/>
        <v>173.89285714285714</v>
      </c>
      <c r="F36">
        <v>7256.12</v>
      </c>
      <c r="I36" s="19">
        <f t="shared" si="2"/>
        <v>9738</v>
      </c>
      <c r="J36" t="b">
        <f t="shared" si="3"/>
        <v>1</v>
      </c>
      <c r="K36" s="4">
        <f t="shared" si="0"/>
        <v>-0.25486547545697269</v>
      </c>
      <c r="M36"/>
      <c r="O36"/>
      <c r="Q36" t="s">
        <v>483</v>
      </c>
      <c r="R36">
        <v>4901</v>
      </c>
      <c r="S36">
        <v>9133.83</v>
      </c>
    </row>
    <row r="37" spans="1:19" hidden="1">
      <c r="A37" t="s">
        <v>1339</v>
      </c>
      <c r="B37" t="s">
        <v>526</v>
      </c>
      <c r="C37" t="s">
        <v>527</v>
      </c>
      <c r="D37">
        <v>4184</v>
      </c>
      <c r="E37" s="19">
        <f t="shared" si="1"/>
        <v>149.42857142857142</v>
      </c>
      <c r="F37">
        <v>5952.22</v>
      </c>
      <c r="I37" s="19">
        <f t="shared" si="2"/>
        <v>8368</v>
      </c>
      <c r="J37" t="b">
        <f t="shared" si="3"/>
        <v>1</v>
      </c>
      <c r="K37" s="4">
        <f t="shared" si="0"/>
        <v>-0.28869263862332695</v>
      </c>
      <c r="M37"/>
      <c r="O37"/>
      <c r="Q37" t="s">
        <v>233</v>
      </c>
      <c r="R37">
        <v>1150</v>
      </c>
      <c r="S37">
        <v>1379.51</v>
      </c>
    </row>
    <row r="38" spans="1:19" hidden="1">
      <c r="A38" t="s">
        <v>1339</v>
      </c>
      <c r="B38" t="s">
        <v>534</v>
      </c>
      <c r="C38" t="s">
        <v>535</v>
      </c>
      <c r="D38">
        <v>8070</v>
      </c>
      <c r="E38" s="19">
        <f t="shared" si="1"/>
        <v>288.21428571428572</v>
      </c>
      <c r="F38">
        <v>7128.01</v>
      </c>
      <c r="I38" s="19">
        <f t="shared" si="2"/>
        <v>16140</v>
      </c>
      <c r="J38" t="b">
        <f t="shared" si="3"/>
        <v>1</v>
      </c>
      <c r="K38" s="4">
        <f t="shared" si="0"/>
        <v>-0.55836369268897146</v>
      </c>
      <c r="M38"/>
      <c r="O38"/>
      <c r="Q38" t="s">
        <v>525</v>
      </c>
      <c r="R38">
        <v>3490</v>
      </c>
      <c r="S38">
        <v>6233.8</v>
      </c>
    </row>
    <row r="39" spans="1:19" hidden="1">
      <c r="A39" t="s">
        <v>1341</v>
      </c>
      <c r="B39" t="s">
        <v>1068</v>
      </c>
      <c r="C39" t="s">
        <v>1069</v>
      </c>
      <c r="D39">
        <v>4042</v>
      </c>
      <c r="E39" s="19">
        <f t="shared" si="1"/>
        <v>144.35714285714286</v>
      </c>
      <c r="F39">
        <v>1937.6</v>
      </c>
      <c r="I39" s="19">
        <f t="shared" si="2"/>
        <v>8084</v>
      </c>
      <c r="J39" t="b">
        <f t="shared" si="3"/>
        <v>1</v>
      </c>
      <c r="K39" s="4">
        <f t="shared" si="0"/>
        <v>-0.76031667491340915</v>
      </c>
      <c r="M39"/>
      <c r="O39"/>
      <c r="Q39" t="s">
        <v>155</v>
      </c>
      <c r="R39">
        <v>973</v>
      </c>
      <c r="S39">
        <v>1765</v>
      </c>
    </row>
    <row r="40" spans="1:19" hidden="1">
      <c r="A40" t="s">
        <v>1339</v>
      </c>
      <c r="B40" t="s">
        <v>436</v>
      </c>
      <c r="C40" t="s">
        <v>437</v>
      </c>
      <c r="D40">
        <v>1027</v>
      </c>
      <c r="E40" s="19">
        <f t="shared" si="1"/>
        <v>36.678571428571431</v>
      </c>
      <c r="F40">
        <v>1464.19</v>
      </c>
      <c r="I40" s="19">
        <f t="shared" si="2"/>
        <v>2054</v>
      </c>
      <c r="J40" t="b">
        <f t="shared" si="3"/>
        <v>1</v>
      </c>
      <c r="K40" s="4">
        <f t="shared" si="0"/>
        <v>-0.28715189873417724</v>
      </c>
      <c r="M40"/>
      <c r="O40"/>
      <c r="Q40" t="s">
        <v>197</v>
      </c>
      <c r="R40">
        <v>1611</v>
      </c>
      <c r="S40">
        <v>2692.2</v>
      </c>
    </row>
    <row r="41" spans="1:19" hidden="1">
      <c r="A41" t="s">
        <v>1341</v>
      </c>
      <c r="B41" t="s">
        <v>930</v>
      </c>
      <c r="C41" t="s">
        <v>931</v>
      </c>
      <c r="D41">
        <v>3951</v>
      </c>
      <c r="E41" s="19">
        <f t="shared" si="1"/>
        <v>141.10714285714286</v>
      </c>
      <c r="F41">
        <v>2383.41</v>
      </c>
      <c r="I41" s="19">
        <f t="shared" si="2"/>
        <v>7902</v>
      </c>
      <c r="J41" t="b">
        <f t="shared" si="3"/>
        <v>1</v>
      </c>
      <c r="K41" s="4">
        <f t="shared" si="0"/>
        <v>-0.69837889141989373</v>
      </c>
      <c r="M41"/>
      <c r="O41"/>
      <c r="Q41" t="s">
        <v>147</v>
      </c>
      <c r="R41">
        <v>2321</v>
      </c>
      <c r="S41">
        <v>4250.3999999999996</v>
      </c>
    </row>
    <row r="42" spans="1:19" hidden="1">
      <c r="A42" t="s">
        <v>1341</v>
      </c>
      <c r="B42" t="s">
        <v>1083</v>
      </c>
      <c r="C42" t="s">
        <v>1084</v>
      </c>
      <c r="D42">
        <v>2807</v>
      </c>
      <c r="E42" s="19">
        <f t="shared" si="1"/>
        <v>100.25</v>
      </c>
      <c r="F42">
        <v>3238.06</v>
      </c>
      <c r="I42" s="19">
        <f t="shared" si="2"/>
        <v>5614</v>
      </c>
      <c r="J42" t="b">
        <f t="shared" si="3"/>
        <v>1</v>
      </c>
      <c r="K42" s="4">
        <f t="shared" si="0"/>
        <v>-0.4232169576059851</v>
      </c>
      <c r="M42"/>
      <c r="O42"/>
      <c r="Q42" t="s">
        <v>79</v>
      </c>
      <c r="R42">
        <v>2223</v>
      </c>
      <c r="S42">
        <v>4480.07</v>
      </c>
    </row>
    <row r="43" spans="1:19" hidden="1">
      <c r="A43" t="s">
        <v>1341</v>
      </c>
      <c r="B43" t="s">
        <v>1093</v>
      </c>
      <c r="C43" t="s">
        <v>1094</v>
      </c>
      <c r="D43">
        <v>3574</v>
      </c>
      <c r="E43" s="19">
        <f t="shared" si="1"/>
        <v>127.64285714285714</v>
      </c>
      <c r="F43">
        <v>2356.17</v>
      </c>
      <c r="I43" s="19">
        <f t="shared" si="2"/>
        <v>7148</v>
      </c>
      <c r="J43" t="b">
        <f t="shared" si="3"/>
        <v>1</v>
      </c>
      <c r="K43" s="4">
        <f t="shared" si="0"/>
        <v>-0.67037353105763842</v>
      </c>
      <c r="M43"/>
      <c r="O43"/>
      <c r="Q43" t="s">
        <v>391</v>
      </c>
      <c r="R43">
        <v>741</v>
      </c>
      <c r="S43">
        <v>1596.79</v>
      </c>
    </row>
    <row r="44" spans="1:19" hidden="1">
      <c r="A44" t="s">
        <v>1339</v>
      </c>
      <c r="B44" t="s">
        <v>482</v>
      </c>
      <c r="C44" t="s">
        <v>483</v>
      </c>
      <c r="D44">
        <v>4850</v>
      </c>
      <c r="E44" s="19">
        <f t="shared" si="1"/>
        <v>173.21428571428572</v>
      </c>
      <c r="F44">
        <v>6642.95</v>
      </c>
      <c r="I44" s="19">
        <f t="shared" si="2"/>
        <v>9700</v>
      </c>
      <c r="J44" t="b">
        <f t="shared" si="3"/>
        <v>1</v>
      </c>
      <c r="K44" s="4">
        <f t="shared" si="0"/>
        <v>-0.31515979381443304</v>
      </c>
      <c r="M44"/>
      <c r="O44"/>
      <c r="Q44" t="s">
        <v>39</v>
      </c>
      <c r="R44">
        <v>1931</v>
      </c>
      <c r="S44">
        <v>4461.28</v>
      </c>
    </row>
    <row r="45" spans="1:19" hidden="1">
      <c r="A45" t="s">
        <v>1340</v>
      </c>
      <c r="B45" t="s">
        <v>740</v>
      </c>
      <c r="C45" t="s">
        <v>741</v>
      </c>
      <c r="D45">
        <v>1387</v>
      </c>
      <c r="E45" s="19">
        <f t="shared" si="1"/>
        <v>49.535714285714285</v>
      </c>
      <c r="F45">
        <v>1621.88</v>
      </c>
      <c r="I45" s="19">
        <f t="shared" si="2"/>
        <v>2774</v>
      </c>
      <c r="J45" t="b">
        <f t="shared" si="3"/>
        <v>1</v>
      </c>
      <c r="K45" s="4">
        <f t="shared" si="0"/>
        <v>-0.41532804614275409</v>
      </c>
      <c r="M45"/>
      <c r="O45"/>
      <c r="Q45" t="s">
        <v>531</v>
      </c>
      <c r="R45">
        <v>1390</v>
      </c>
      <c r="S45">
        <v>1789.01</v>
      </c>
    </row>
    <row r="46" spans="1:19" hidden="1">
      <c r="A46" t="s">
        <v>1340</v>
      </c>
      <c r="B46" t="s">
        <v>811</v>
      </c>
      <c r="C46" t="s">
        <v>812</v>
      </c>
      <c r="D46">
        <v>1466</v>
      </c>
      <c r="E46" s="19">
        <f t="shared" si="1"/>
        <v>52.357142857142854</v>
      </c>
      <c r="F46">
        <v>2388.4899999999998</v>
      </c>
      <c r="I46" s="19">
        <f t="shared" si="2"/>
        <v>2932</v>
      </c>
      <c r="J46" t="b">
        <f t="shared" si="3"/>
        <v>1</v>
      </c>
      <c r="K46" s="4">
        <f t="shared" si="0"/>
        <v>-0.18537175989085952</v>
      </c>
      <c r="M46"/>
      <c r="O46"/>
      <c r="Q46" t="s">
        <v>65</v>
      </c>
      <c r="R46">
        <v>940</v>
      </c>
      <c r="S46">
        <v>1618.45</v>
      </c>
    </row>
    <row r="47" spans="1:19" hidden="1">
      <c r="A47" t="s">
        <v>1339</v>
      </c>
      <c r="B47" t="s">
        <v>96</v>
      </c>
      <c r="C47" t="s">
        <v>97</v>
      </c>
      <c r="D47">
        <v>4509</v>
      </c>
      <c r="E47" s="19">
        <f t="shared" si="1"/>
        <v>161.03571428571428</v>
      </c>
      <c r="F47">
        <v>5576.16</v>
      </c>
      <c r="I47" s="19">
        <f t="shared" si="2"/>
        <v>9018</v>
      </c>
      <c r="J47" t="b">
        <f t="shared" si="3"/>
        <v>1</v>
      </c>
      <c r="K47" s="4">
        <f t="shared" si="0"/>
        <v>-0.38166333998669333</v>
      </c>
      <c r="M47"/>
      <c r="O47"/>
      <c r="Q47" t="s">
        <v>149</v>
      </c>
      <c r="R47">
        <v>3488</v>
      </c>
      <c r="S47">
        <v>6528.03</v>
      </c>
    </row>
    <row r="48" spans="1:19" hidden="1">
      <c r="A48" t="s">
        <v>1339</v>
      </c>
      <c r="B48" t="s">
        <v>470</v>
      </c>
      <c r="C48" t="s">
        <v>471</v>
      </c>
      <c r="D48">
        <v>3285</v>
      </c>
      <c r="E48" s="19">
        <f t="shared" si="1"/>
        <v>117.32142857142857</v>
      </c>
      <c r="F48">
        <v>3365.2</v>
      </c>
      <c r="I48" s="19">
        <f t="shared" si="2"/>
        <v>6570</v>
      </c>
      <c r="J48" t="b">
        <f t="shared" si="3"/>
        <v>1</v>
      </c>
      <c r="K48" s="4">
        <f t="shared" si="0"/>
        <v>-0.48779299847793001</v>
      </c>
      <c r="M48"/>
      <c r="O48"/>
      <c r="Q48" t="s">
        <v>493</v>
      </c>
      <c r="R48">
        <v>5377</v>
      </c>
      <c r="S48">
        <v>8788.83</v>
      </c>
    </row>
    <row r="49" spans="1:19" hidden="1">
      <c r="A49" t="s">
        <v>1339</v>
      </c>
      <c r="B49" t="s">
        <v>518</v>
      </c>
      <c r="C49" t="s">
        <v>519</v>
      </c>
      <c r="D49">
        <v>6179</v>
      </c>
      <c r="E49" s="19">
        <f t="shared" si="1"/>
        <v>220.67857142857142</v>
      </c>
      <c r="F49">
        <v>8425.43</v>
      </c>
      <c r="I49" s="19">
        <f t="shared" si="2"/>
        <v>12358</v>
      </c>
      <c r="J49" t="b">
        <f t="shared" si="3"/>
        <v>1</v>
      </c>
      <c r="K49" s="4">
        <f t="shared" si="0"/>
        <v>-0.31822058585531632</v>
      </c>
      <c r="M49"/>
      <c r="O49"/>
      <c r="Q49" t="s">
        <v>169</v>
      </c>
      <c r="R49">
        <v>633</v>
      </c>
      <c r="S49">
        <v>1173.22</v>
      </c>
    </row>
    <row r="50" spans="1:19" hidden="1">
      <c r="A50" t="s">
        <v>1339</v>
      </c>
      <c r="B50" t="s">
        <v>92</v>
      </c>
      <c r="C50" t="s">
        <v>93</v>
      </c>
      <c r="D50">
        <v>1719</v>
      </c>
      <c r="E50" s="19">
        <f t="shared" si="1"/>
        <v>61.392857142857146</v>
      </c>
      <c r="F50">
        <v>207.56</v>
      </c>
      <c r="I50" s="19">
        <f t="shared" si="2"/>
        <v>3438</v>
      </c>
      <c r="J50" t="b">
        <f t="shared" si="3"/>
        <v>1</v>
      </c>
      <c r="K50" s="4">
        <f t="shared" si="0"/>
        <v>-0.93962769051774286</v>
      </c>
      <c r="M50"/>
      <c r="O50"/>
      <c r="Q50" t="s">
        <v>185</v>
      </c>
      <c r="R50">
        <v>1412</v>
      </c>
      <c r="S50">
        <v>2519.35</v>
      </c>
    </row>
    <row r="51" spans="1:19" hidden="1">
      <c r="A51" t="s">
        <v>1340</v>
      </c>
      <c r="B51" t="s">
        <v>894</v>
      </c>
      <c r="C51" t="s">
        <v>895</v>
      </c>
      <c r="D51">
        <v>4540</v>
      </c>
      <c r="E51" s="19">
        <f t="shared" si="1"/>
        <v>162.14285714285714</v>
      </c>
      <c r="F51">
        <v>4400.8</v>
      </c>
      <c r="I51" s="19">
        <f t="shared" si="2"/>
        <v>9080</v>
      </c>
      <c r="J51" t="b">
        <f t="shared" si="3"/>
        <v>1</v>
      </c>
      <c r="K51" s="4">
        <f t="shared" si="0"/>
        <v>-0.51533039647577095</v>
      </c>
      <c r="M51"/>
      <c r="O51"/>
      <c r="Q51" t="s">
        <v>459</v>
      </c>
      <c r="R51">
        <v>829</v>
      </c>
      <c r="S51">
        <v>1139.6600000000001</v>
      </c>
    </row>
    <row r="52" spans="1:19" hidden="1">
      <c r="A52" t="s">
        <v>1340</v>
      </c>
      <c r="B52" t="s">
        <v>766</v>
      </c>
      <c r="C52" t="s">
        <v>767</v>
      </c>
      <c r="D52">
        <v>1649</v>
      </c>
      <c r="E52" s="19">
        <f t="shared" si="1"/>
        <v>58.892857142857146</v>
      </c>
      <c r="F52">
        <v>2158.0500000000002</v>
      </c>
      <c r="I52" s="19">
        <f t="shared" si="2"/>
        <v>3298</v>
      </c>
      <c r="J52" t="b">
        <f t="shared" si="3"/>
        <v>1</v>
      </c>
      <c r="K52" s="4">
        <f t="shared" si="0"/>
        <v>-0.3456488781079442</v>
      </c>
      <c r="M52"/>
      <c r="O52"/>
      <c r="Q52" t="s">
        <v>333</v>
      </c>
      <c r="R52">
        <v>3176</v>
      </c>
      <c r="S52">
        <v>4296.8900000000003</v>
      </c>
    </row>
    <row r="53" spans="1:19" hidden="1">
      <c r="A53" t="s">
        <v>1340</v>
      </c>
      <c r="B53" t="s">
        <v>838</v>
      </c>
      <c r="C53" t="s">
        <v>839</v>
      </c>
      <c r="D53">
        <v>1713</v>
      </c>
      <c r="E53" s="19">
        <f t="shared" si="1"/>
        <v>61.178571428571431</v>
      </c>
      <c r="F53">
        <v>3047.23</v>
      </c>
      <c r="I53" s="140">
        <f t="shared" si="2"/>
        <v>3426</v>
      </c>
      <c r="J53" t="b">
        <f t="shared" si="3"/>
        <v>1</v>
      </c>
      <c r="K53" s="4">
        <f t="shared" si="0"/>
        <v>-0.11055750145942789</v>
      </c>
      <c r="Q53" t="s">
        <v>419</v>
      </c>
      <c r="R53">
        <v>775</v>
      </c>
      <c r="S53">
        <v>1364.36</v>
      </c>
    </row>
    <row r="54" spans="1:19" hidden="1">
      <c r="A54" t="s">
        <v>1339</v>
      </c>
      <c r="B54" t="s">
        <v>15</v>
      </c>
      <c r="C54" t="s">
        <v>16</v>
      </c>
      <c r="D54">
        <v>84616</v>
      </c>
      <c r="E54" s="19">
        <f t="shared" si="1"/>
        <v>3022</v>
      </c>
      <c r="F54">
        <v>43720.2</v>
      </c>
      <c r="I54" s="19">
        <f t="shared" si="2"/>
        <v>169232</v>
      </c>
      <c r="J54" t="b">
        <f t="shared" si="3"/>
        <v>1</v>
      </c>
      <c r="K54" s="4">
        <f t="shared" si="0"/>
        <v>-0.74165524250732728</v>
      </c>
      <c r="M54"/>
      <c r="O54"/>
      <c r="Q54" t="s">
        <v>479</v>
      </c>
      <c r="R54">
        <v>652</v>
      </c>
      <c r="S54">
        <v>1543.21</v>
      </c>
    </row>
    <row r="55" spans="1:19" hidden="1">
      <c r="A55" t="s">
        <v>1340</v>
      </c>
      <c r="B55" t="s">
        <v>826</v>
      </c>
      <c r="C55" t="s">
        <v>827</v>
      </c>
      <c r="D55">
        <v>3132</v>
      </c>
      <c r="E55" s="19">
        <f t="shared" si="1"/>
        <v>111.85714285714286</v>
      </c>
      <c r="F55">
        <v>1974.23</v>
      </c>
      <c r="I55" s="19">
        <f t="shared" si="2"/>
        <v>6264</v>
      </c>
      <c r="J55" t="b">
        <f t="shared" si="3"/>
        <v>1</v>
      </c>
      <c r="K55" s="4">
        <f t="shared" si="0"/>
        <v>-0.68482918263090675</v>
      </c>
      <c r="M55"/>
      <c r="O55"/>
      <c r="Q55" t="s">
        <v>533</v>
      </c>
      <c r="R55">
        <v>7423</v>
      </c>
      <c r="S55">
        <v>11232.22</v>
      </c>
    </row>
    <row r="56" spans="1:19" hidden="1">
      <c r="A56" t="s">
        <v>1339</v>
      </c>
      <c r="B56" t="s">
        <v>502</v>
      </c>
      <c r="C56" t="s">
        <v>503</v>
      </c>
      <c r="D56">
        <v>1942</v>
      </c>
      <c r="E56" s="19">
        <f t="shared" si="1"/>
        <v>69.357142857142861</v>
      </c>
      <c r="F56">
        <v>1966.2</v>
      </c>
      <c r="I56" s="19">
        <f t="shared" si="2"/>
        <v>3884</v>
      </c>
      <c r="J56" t="b">
        <f t="shared" si="3"/>
        <v>1</v>
      </c>
      <c r="K56" s="4">
        <f t="shared" si="0"/>
        <v>-0.49376930998970137</v>
      </c>
      <c r="M56"/>
      <c r="O56"/>
      <c r="Q56" t="s">
        <v>107</v>
      </c>
      <c r="R56">
        <v>1327</v>
      </c>
      <c r="S56">
        <v>3076.45</v>
      </c>
    </row>
    <row r="57" spans="1:19" hidden="1">
      <c r="A57" t="s">
        <v>1340</v>
      </c>
      <c r="B57" t="s">
        <v>603</v>
      </c>
      <c r="C57" t="s">
        <v>604</v>
      </c>
      <c r="D57">
        <v>4460</v>
      </c>
      <c r="E57" s="19">
        <f t="shared" si="1"/>
        <v>159.28571428571428</v>
      </c>
      <c r="F57">
        <v>915.44</v>
      </c>
      <c r="I57" s="19">
        <f t="shared" si="2"/>
        <v>8920</v>
      </c>
      <c r="J57" t="b">
        <f t="shared" si="3"/>
        <v>1</v>
      </c>
      <c r="K57" s="4">
        <f t="shared" si="0"/>
        <v>-0.89737219730941709</v>
      </c>
      <c r="M57"/>
      <c r="O57"/>
      <c r="Q57" t="s">
        <v>429</v>
      </c>
      <c r="R57">
        <v>932</v>
      </c>
      <c r="S57">
        <v>1032.94</v>
      </c>
    </row>
    <row r="58" spans="1:19" hidden="1">
      <c r="A58" t="s">
        <v>1339</v>
      </c>
      <c r="B58" t="s">
        <v>456</v>
      </c>
      <c r="C58" t="s">
        <v>457</v>
      </c>
      <c r="D58">
        <v>1455</v>
      </c>
      <c r="E58" s="19">
        <f t="shared" si="1"/>
        <v>51.964285714285715</v>
      </c>
      <c r="F58">
        <v>1771.94</v>
      </c>
      <c r="I58" s="19">
        <f t="shared" si="2"/>
        <v>2910</v>
      </c>
      <c r="J58" t="b">
        <f t="shared" si="3"/>
        <v>1</v>
      </c>
      <c r="K58" s="4">
        <f t="shared" si="0"/>
        <v>-0.39108591065292098</v>
      </c>
      <c r="M58"/>
      <c r="O58"/>
      <c r="Q58" t="s">
        <v>291</v>
      </c>
      <c r="R58">
        <v>1214</v>
      </c>
      <c r="S58">
        <v>1000.47</v>
      </c>
    </row>
    <row r="59" spans="1:19" hidden="1">
      <c r="A59" t="s">
        <v>1339</v>
      </c>
      <c r="B59" t="s">
        <v>102</v>
      </c>
      <c r="C59" t="s">
        <v>103</v>
      </c>
      <c r="D59">
        <v>3638</v>
      </c>
      <c r="E59" s="19">
        <f t="shared" si="1"/>
        <v>129.92857142857142</v>
      </c>
      <c r="F59">
        <v>3418.86</v>
      </c>
      <c r="I59" s="19">
        <f t="shared" si="2"/>
        <v>7276</v>
      </c>
      <c r="J59" t="b">
        <f t="shared" si="3"/>
        <v>1</v>
      </c>
      <c r="K59" s="4">
        <f t="shared" si="0"/>
        <v>-0.53011819681143479</v>
      </c>
      <c r="M59"/>
      <c r="O59"/>
      <c r="Q59" t="s">
        <v>381</v>
      </c>
      <c r="R59">
        <v>1982</v>
      </c>
      <c r="S59">
        <v>1597.03</v>
      </c>
    </row>
    <row r="60" spans="1:19" hidden="1">
      <c r="A60" t="s">
        <v>1339</v>
      </c>
      <c r="B60" t="s">
        <v>524</v>
      </c>
      <c r="C60" t="s">
        <v>525</v>
      </c>
      <c r="D60">
        <v>3171</v>
      </c>
      <c r="E60" s="19">
        <f t="shared" si="1"/>
        <v>113.25</v>
      </c>
      <c r="F60">
        <v>3464.24</v>
      </c>
      <c r="I60" s="19">
        <f t="shared" si="2"/>
        <v>6342</v>
      </c>
      <c r="J60" t="b">
        <f t="shared" si="3"/>
        <v>1</v>
      </c>
      <c r="K60" s="4">
        <f t="shared" si="0"/>
        <v>-0.45376222011983602</v>
      </c>
      <c r="M60"/>
      <c r="O60"/>
      <c r="Q60" t="s">
        <v>521</v>
      </c>
      <c r="R60">
        <v>1254</v>
      </c>
      <c r="S60">
        <v>3319.52</v>
      </c>
    </row>
    <row r="61" spans="1:19" hidden="1">
      <c r="A61" t="s">
        <v>1339</v>
      </c>
      <c r="B61" t="s">
        <v>90</v>
      </c>
      <c r="C61" t="s">
        <v>91</v>
      </c>
      <c r="D61">
        <v>2403</v>
      </c>
      <c r="E61" s="19">
        <f t="shared" si="1"/>
        <v>85.821428571428569</v>
      </c>
      <c r="F61">
        <v>3713.61</v>
      </c>
      <c r="I61" s="19">
        <f t="shared" si="2"/>
        <v>4806</v>
      </c>
      <c r="J61" t="b">
        <f t="shared" si="3"/>
        <v>1</v>
      </c>
      <c r="K61" s="4">
        <f t="shared" si="0"/>
        <v>-0.22729712858926343</v>
      </c>
      <c r="M61"/>
      <c r="O61"/>
      <c r="Q61" t="s">
        <v>401</v>
      </c>
      <c r="R61">
        <v>971</v>
      </c>
      <c r="S61">
        <v>1914.05</v>
      </c>
    </row>
    <row r="62" spans="1:19" hidden="1">
      <c r="A62" t="s">
        <v>1339</v>
      </c>
      <c r="B62" t="s">
        <v>394</v>
      </c>
      <c r="C62" t="s">
        <v>395</v>
      </c>
      <c r="D62">
        <v>3437</v>
      </c>
      <c r="E62" s="19">
        <f t="shared" si="1"/>
        <v>122.75</v>
      </c>
      <c r="F62">
        <v>3870.96</v>
      </c>
      <c r="I62" s="19">
        <f t="shared" si="2"/>
        <v>6874</v>
      </c>
      <c r="J62" t="b">
        <f t="shared" si="3"/>
        <v>1</v>
      </c>
      <c r="K62" s="4">
        <f t="shared" si="0"/>
        <v>-0.43686936281640965</v>
      </c>
      <c r="M62"/>
      <c r="O62"/>
      <c r="Q62" t="s">
        <v>97</v>
      </c>
      <c r="R62">
        <v>3925</v>
      </c>
      <c r="S62">
        <v>5623.45</v>
      </c>
    </row>
    <row r="63" spans="1:19" hidden="1">
      <c r="A63" t="s">
        <v>1339</v>
      </c>
      <c r="B63" t="s">
        <v>536</v>
      </c>
      <c r="C63" t="s">
        <v>537</v>
      </c>
      <c r="D63">
        <v>7481</v>
      </c>
      <c r="E63" s="19">
        <f t="shared" si="1"/>
        <v>267.17857142857144</v>
      </c>
      <c r="F63">
        <v>9471.1</v>
      </c>
      <c r="I63" s="19">
        <f t="shared" si="2"/>
        <v>14962</v>
      </c>
      <c r="J63" t="b">
        <f t="shared" si="3"/>
        <v>1</v>
      </c>
      <c r="K63" s="4">
        <f t="shared" si="0"/>
        <v>-0.36698970725838786</v>
      </c>
      <c r="M63"/>
      <c r="O63"/>
      <c r="Q63" t="s">
        <v>229</v>
      </c>
      <c r="R63">
        <v>470</v>
      </c>
      <c r="S63">
        <v>1363.19</v>
      </c>
    </row>
    <row r="64" spans="1:19" hidden="1">
      <c r="A64" t="s">
        <v>1339</v>
      </c>
      <c r="B64" t="s">
        <v>122</v>
      </c>
      <c r="C64" t="s">
        <v>123</v>
      </c>
      <c r="D64">
        <v>4844</v>
      </c>
      <c r="E64" s="19">
        <f t="shared" si="1"/>
        <v>173</v>
      </c>
      <c r="F64">
        <v>8450.59</v>
      </c>
      <c r="I64" s="19">
        <f t="shared" si="2"/>
        <v>9688</v>
      </c>
      <c r="J64" t="b">
        <f t="shared" si="3"/>
        <v>1</v>
      </c>
      <c r="K64" s="4">
        <f t="shared" si="0"/>
        <v>-0.12772605284888516</v>
      </c>
      <c r="M64"/>
      <c r="O64"/>
      <c r="Q64" t="s">
        <v>495</v>
      </c>
      <c r="R64">
        <v>2026</v>
      </c>
      <c r="S64">
        <v>2164.4299999999998</v>
      </c>
    </row>
    <row r="65" spans="1:19" hidden="1">
      <c r="A65" t="s">
        <v>1340</v>
      </c>
      <c r="B65" t="s">
        <v>758</v>
      </c>
      <c r="C65" t="s">
        <v>759</v>
      </c>
      <c r="D65">
        <v>2148</v>
      </c>
      <c r="E65" s="19">
        <f t="shared" ref="E65:E128" si="4">D65/28</f>
        <v>76.714285714285708</v>
      </c>
      <c r="F65">
        <v>2383.8200000000002</v>
      </c>
      <c r="I65" s="19">
        <f t="shared" ref="I65:I128" si="5">IF((D65/28)&gt;100,D65*2,D65*2)</f>
        <v>4296</v>
      </c>
      <c r="J65" t="b">
        <f t="shared" ref="J65:J128" si="6">IF(F65&gt;1.2*I65,FALSE,TRUE)</f>
        <v>1</v>
      </c>
      <c r="K65" s="4">
        <f t="shared" ref="K65:K128" si="7">F65/I65-1</f>
        <v>-0.44510707635009306</v>
      </c>
      <c r="M65"/>
      <c r="O65"/>
      <c r="Q65" t="s">
        <v>487</v>
      </c>
      <c r="R65">
        <v>2247</v>
      </c>
      <c r="S65">
        <v>4321.58</v>
      </c>
    </row>
    <row r="66" spans="1:19" hidden="1">
      <c r="A66" t="s">
        <v>1341</v>
      </c>
      <c r="B66" t="s">
        <v>1119</v>
      </c>
      <c r="C66" t="s">
        <v>1120</v>
      </c>
      <c r="D66">
        <v>2650</v>
      </c>
      <c r="E66" s="19">
        <f t="shared" si="4"/>
        <v>94.642857142857139</v>
      </c>
      <c r="F66">
        <v>1381.1</v>
      </c>
      <c r="I66" s="19">
        <f t="shared" si="5"/>
        <v>5300</v>
      </c>
      <c r="J66" t="b">
        <f t="shared" si="6"/>
        <v>1</v>
      </c>
      <c r="K66" s="4">
        <f t="shared" si="7"/>
        <v>-0.73941509433962271</v>
      </c>
      <c r="M66"/>
      <c r="O66"/>
      <c r="Q66" t="s">
        <v>353</v>
      </c>
      <c r="R66">
        <v>2514</v>
      </c>
      <c r="S66">
        <v>2598.67</v>
      </c>
    </row>
    <row r="67" spans="1:19" hidden="1">
      <c r="A67" t="s">
        <v>1340</v>
      </c>
      <c r="B67" t="s">
        <v>694</v>
      </c>
      <c r="C67" t="s">
        <v>695</v>
      </c>
      <c r="D67">
        <v>1589</v>
      </c>
      <c r="E67" s="19">
        <f t="shared" si="4"/>
        <v>56.75</v>
      </c>
      <c r="F67">
        <v>3112.52</v>
      </c>
      <c r="I67" s="19">
        <f t="shared" si="5"/>
        <v>3178</v>
      </c>
      <c r="J67" t="b">
        <f t="shared" si="6"/>
        <v>1</v>
      </c>
      <c r="K67" s="4">
        <f t="shared" si="7"/>
        <v>-2.0604153555695448E-2</v>
      </c>
      <c r="M67"/>
      <c r="O67"/>
      <c r="Q67" t="s">
        <v>251</v>
      </c>
      <c r="R67">
        <v>666</v>
      </c>
      <c r="S67">
        <v>974.04</v>
      </c>
    </row>
    <row r="68" spans="1:19" hidden="1">
      <c r="A68" t="s">
        <v>1340</v>
      </c>
      <c r="B68" t="s">
        <v>621</v>
      </c>
      <c r="C68" t="s">
        <v>622</v>
      </c>
      <c r="D68">
        <v>3077</v>
      </c>
      <c r="E68" s="19">
        <f t="shared" si="4"/>
        <v>109.89285714285714</v>
      </c>
      <c r="F68">
        <v>4876.7700000000004</v>
      </c>
      <c r="I68" s="19">
        <f t="shared" si="5"/>
        <v>6154</v>
      </c>
      <c r="J68" t="b">
        <f t="shared" si="6"/>
        <v>1</v>
      </c>
      <c r="K68" s="4">
        <f t="shared" si="7"/>
        <v>-0.2075446863828404</v>
      </c>
      <c r="M68"/>
      <c r="O68"/>
      <c r="Q68" t="s">
        <v>461</v>
      </c>
      <c r="R68">
        <v>2677</v>
      </c>
      <c r="S68">
        <v>4678.3900000000003</v>
      </c>
    </row>
    <row r="69" spans="1:19" hidden="1">
      <c r="A69" t="s">
        <v>1339</v>
      </c>
      <c r="B69" t="s">
        <v>140</v>
      </c>
      <c r="C69" t="s">
        <v>141</v>
      </c>
      <c r="D69">
        <v>2088</v>
      </c>
      <c r="E69" s="19">
        <f t="shared" si="4"/>
        <v>74.571428571428569</v>
      </c>
      <c r="F69">
        <v>3153.33</v>
      </c>
      <c r="I69" s="19">
        <f t="shared" si="5"/>
        <v>4176</v>
      </c>
      <c r="J69" t="b">
        <f t="shared" si="6"/>
        <v>1</v>
      </c>
      <c r="K69" s="4">
        <f t="shared" si="7"/>
        <v>-0.24489224137931032</v>
      </c>
      <c r="M69"/>
      <c r="O69"/>
      <c r="Q69" t="s">
        <v>337</v>
      </c>
      <c r="R69">
        <v>1267</v>
      </c>
      <c r="S69">
        <v>2666.4</v>
      </c>
    </row>
    <row r="70" spans="1:19" hidden="1">
      <c r="A70" t="s">
        <v>1339</v>
      </c>
      <c r="B70" t="s">
        <v>110</v>
      </c>
      <c r="C70" t="s">
        <v>111</v>
      </c>
      <c r="D70">
        <v>3802</v>
      </c>
      <c r="E70" s="19">
        <f t="shared" si="4"/>
        <v>135.78571428571428</v>
      </c>
      <c r="F70">
        <v>3584</v>
      </c>
      <c r="I70" s="19">
        <f t="shared" si="5"/>
        <v>7604</v>
      </c>
      <c r="J70" t="b">
        <f t="shared" si="6"/>
        <v>1</v>
      </c>
      <c r="K70" s="4">
        <f t="shared" si="7"/>
        <v>-0.52866912151499212</v>
      </c>
      <c r="M70"/>
      <c r="O70"/>
      <c r="Q70" t="s">
        <v>315</v>
      </c>
      <c r="R70">
        <v>1937</v>
      </c>
      <c r="S70">
        <v>3822.55</v>
      </c>
    </row>
    <row r="71" spans="1:19" hidden="1">
      <c r="A71" t="s">
        <v>1341</v>
      </c>
      <c r="B71" t="s">
        <v>945</v>
      </c>
      <c r="C71" t="s">
        <v>946</v>
      </c>
      <c r="D71">
        <v>1296</v>
      </c>
      <c r="E71" s="19">
        <f t="shared" si="4"/>
        <v>46.285714285714285</v>
      </c>
      <c r="F71">
        <v>1392.96</v>
      </c>
      <c r="I71" s="19">
        <f t="shared" si="5"/>
        <v>2592</v>
      </c>
      <c r="J71" t="b">
        <f t="shared" si="6"/>
        <v>1</v>
      </c>
      <c r="K71" s="4">
        <f t="shared" si="7"/>
        <v>-0.46259259259259256</v>
      </c>
      <c r="M71"/>
      <c r="O71"/>
      <c r="Q71" t="s">
        <v>377</v>
      </c>
      <c r="R71">
        <v>898</v>
      </c>
      <c r="S71">
        <v>1192.75</v>
      </c>
    </row>
    <row r="72" spans="1:19" hidden="1">
      <c r="A72" t="s">
        <v>1339</v>
      </c>
      <c r="B72" t="s">
        <v>212</v>
      </c>
      <c r="C72" t="s">
        <v>213</v>
      </c>
      <c r="D72">
        <v>1581</v>
      </c>
      <c r="E72" s="19">
        <f t="shared" si="4"/>
        <v>56.464285714285715</v>
      </c>
      <c r="F72">
        <v>2927.75</v>
      </c>
      <c r="I72" s="19">
        <f t="shared" si="5"/>
        <v>3162</v>
      </c>
      <c r="J72" t="b">
        <f t="shared" si="6"/>
        <v>1</v>
      </c>
      <c r="K72" s="4">
        <f t="shared" si="7"/>
        <v>-7.4082858950031638E-2</v>
      </c>
      <c r="M72"/>
      <c r="O72"/>
      <c r="Q72" t="s">
        <v>313</v>
      </c>
      <c r="R72">
        <v>866</v>
      </c>
      <c r="S72">
        <v>951.69</v>
      </c>
    </row>
    <row r="73" spans="1:19" hidden="1">
      <c r="A73" t="s">
        <v>1340</v>
      </c>
      <c r="B73" t="s">
        <v>882</v>
      </c>
      <c r="C73" t="s">
        <v>883</v>
      </c>
      <c r="D73">
        <v>3185</v>
      </c>
      <c r="E73" s="19">
        <f t="shared" si="4"/>
        <v>113.75</v>
      </c>
      <c r="F73">
        <v>2306.1999999999998</v>
      </c>
      <c r="I73" s="19">
        <f t="shared" si="5"/>
        <v>6370</v>
      </c>
      <c r="J73" t="b">
        <f t="shared" si="6"/>
        <v>1</v>
      </c>
      <c r="K73" s="4">
        <f t="shared" si="7"/>
        <v>-0.63795918367346949</v>
      </c>
      <c r="M73"/>
      <c r="O73"/>
      <c r="Q73" t="s">
        <v>139</v>
      </c>
      <c r="R73">
        <v>1675</v>
      </c>
      <c r="S73">
        <v>3354.17</v>
      </c>
    </row>
    <row r="74" spans="1:19" hidden="1">
      <c r="A74" t="s">
        <v>1341</v>
      </c>
      <c r="B74" t="s">
        <v>1109</v>
      </c>
      <c r="C74" t="s">
        <v>1110</v>
      </c>
      <c r="D74">
        <v>2252</v>
      </c>
      <c r="E74" s="19">
        <f t="shared" si="4"/>
        <v>80.428571428571431</v>
      </c>
      <c r="F74">
        <v>1200.2</v>
      </c>
      <c r="I74" s="19">
        <f t="shared" si="5"/>
        <v>4504</v>
      </c>
      <c r="J74" t="b">
        <f t="shared" si="6"/>
        <v>1</v>
      </c>
      <c r="K74" s="4">
        <f t="shared" si="7"/>
        <v>-0.73352575488454708</v>
      </c>
      <c r="M74"/>
      <c r="O74"/>
      <c r="Q74" t="s">
        <v>327</v>
      </c>
      <c r="R74">
        <v>821</v>
      </c>
      <c r="S74">
        <v>1269.99</v>
      </c>
    </row>
    <row r="75" spans="1:19" hidden="1">
      <c r="A75" t="s">
        <v>1339</v>
      </c>
      <c r="B75" t="s">
        <v>126</v>
      </c>
      <c r="C75" t="s">
        <v>127</v>
      </c>
      <c r="D75">
        <v>4314</v>
      </c>
      <c r="E75" s="19">
        <f t="shared" si="4"/>
        <v>154.07142857142858</v>
      </c>
      <c r="F75">
        <v>7728.42</v>
      </c>
      <c r="I75" s="19">
        <f t="shared" si="5"/>
        <v>8628</v>
      </c>
      <c r="J75" t="b">
        <f t="shared" si="6"/>
        <v>1</v>
      </c>
      <c r="K75" s="4">
        <f t="shared" si="7"/>
        <v>-0.10426286509040328</v>
      </c>
      <c r="M75"/>
      <c r="O75"/>
      <c r="Q75" t="s">
        <v>369</v>
      </c>
      <c r="R75">
        <v>472</v>
      </c>
      <c r="S75">
        <v>962.02</v>
      </c>
    </row>
    <row r="76" spans="1:19" hidden="1">
      <c r="A76" t="s">
        <v>1340</v>
      </c>
      <c r="B76" t="s">
        <v>661</v>
      </c>
      <c r="C76" t="s">
        <v>662</v>
      </c>
      <c r="D76">
        <v>2445</v>
      </c>
      <c r="E76" s="19">
        <f t="shared" si="4"/>
        <v>87.321428571428569</v>
      </c>
      <c r="F76">
        <v>1895.88</v>
      </c>
      <c r="I76" s="19">
        <f t="shared" si="5"/>
        <v>4890</v>
      </c>
      <c r="J76" t="b">
        <f t="shared" si="6"/>
        <v>1</v>
      </c>
      <c r="K76" s="4">
        <f t="shared" si="7"/>
        <v>-0.61229447852760732</v>
      </c>
      <c r="M76"/>
      <c r="O76"/>
      <c r="Q76" t="s">
        <v>421</v>
      </c>
      <c r="R76">
        <v>525</v>
      </c>
      <c r="S76">
        <v>774.67</v>
      </c>
    </row>
    <row r="77" spans="1:19" hidden="1">
      <c r="A77" t="s">
        <v>1340</v>
      </c>
      <c r="B77" t="s">
        <v>821</v>
      </c>
      <c r="C77" t="s">
        <v>822</v>
      </c>
      <c r="D77">
        <v>2596</v>
      </c>
      <c r="E77" s="19">
        <f t="shared" si="4"/>
        <v>92.714285714285708</v>
      </c>
      <c r="F77">
        <v>3771.4</v>
      </c>
      <c r="I77" s="19">
        <f t="shared" si="5"/>
        <v>5192</v>
      </c>
      <c r="J77" t="b">
        <f t="shared" si="6"/>
        <v>1</v>
      </c>
      <c r="K77" s="4">
        <f t="shared" si="7"/>
        <v>-0.27361325115562407</v>
      </c>
      <c r="M77"/>
      <c r="O77"/>
      <c r="Q77" t="s">
        <v>441</v>
      </c>
      <c r="R77">
        <v>901</v>
      </c>
      <c r="S77">
        <v>1451.22</v>
      </c>
    </row>
    <row r="78" spans="1:19" hidden="1">
      <c r="A78" t="s">
        <v>1341</v>
      </c>
      <c r="B78" t="s">
        <v>1031</v>
      </c>
      <c r="C78" t="s">
        <v>1032</v>
      </c>
      <c r="D78">
        <v>1470</v>
      </c>
      <c r="E78" s="19">
        <f t="shared" si="4"/>
        <v>52.5</v>
      </c>
      <c r="F78">
        <v>1151.5</v>
      </c>
      <c r="I78" s="19">
        <f t="shared" si="5"/>
        <v>2940</v>
      </c>
      <c r="J78" t="b">
        <f t="shared" si="6"/>
        <v>1</v>
      </c>
      <c r="K78" s="4">
        <f t="shared" si="7"/>
        <v>-0.60833333333333339</v>
      </c>
      <c r="M78"/>
      <c r="O78"/>
      <c r="Q78" t="s">
        <v>427</v>
      </c>
      <c r="R78">
        <v>2428</v>
      </c>
      <c r="S78">
        <v>2821.81</v>
      </c>
    </row>
    <row r="79" spans="1:19" hidden="1">
      <c r="A79" t="s">
        <v>1340</v>
      </c>
      <c r="B79" t="s">
        <v>862</v>
      </c>
      <c r="C79" t="s">
        <v>863</v>
      </c>
      <c r="D79">
        <v>1126</v>
      </c>
      <c r="E79" s="19">
        <f t="shared" si="4"/>
        <v>40.214285714285715</v>
      </c>
      <c r="F79">
        <v>2156.13</v>
      </c>
      <c r="I79" s="19">
        <f t="shared" si="5"/>
        <v>2252</v>
      </c>
      <c r="J79" t="b">
        <f t="shared" si="6"/>
        <v>1</v>
      </c>
      <c r="K79" s="4">
        <f t="shared" si="7"/>
        <v>-4.2571047957371211E-2</v>
      </c>
      <c r="M79"/>
      <c r="O79"/>
      <c r="Q79" t="s">
        <v>433</v>
      </c>
      <c r="R79">
        <v>1476</v>
      </c>
      <c r="S79">
        <v>1165.81</v>
      </c>
    </row>
    <row r="80" spans="1:19" hidden="1">
      <c r="A80" t="s">
        <v>1339</v>
      </c>
      <c r="B80" t="s">
        <v>434</v>
      </c>
      <c r="C80" t="s">
        <v>435</v>
      </c>
      <c r="D80">
        <v>892</v>
      </c>
      <c r="E80" s="19">
        <f>D80/28</f>
        <v>31.857142857142858</v>
      </c>
      <c r="F80">
        <v>1535.73</v>
      </c>
      <c r="I80" s="140">
        <f>IF((D80/28)&gt;100,D80*2,D80*2)</f>
        <v>1784</v>
      </c>
      <c r="J80" t="b">
        <f t="shared" si="6"/>
        <v>1</v>
      </c>
      <c r="K80" s="4">
        <f>F80/I80-1</f>
        <v>-0.13916479820627803</v>
      </c>
      <c r="O80" s="147"/>
      <c r="Q80" t="s">
        <v>167</v>
      </c>
      <c r="R80">
        <v>978</v>
      </c>
      <c r="S80">
        <v>871.95</v>
      </c>
    </row>
    <row r="81" spans="1:19" hidden="1">
      <c r="A81" t="s">
        <v>1339</v>
      </c>
      <c r="B81" t="s">
        <v>128</v>
      </c>
      <c r="C81" t="s">
        <v>129</v>
      </c>
      <c r="D81">
        <v>4422</v>
      </c>
      <c r="E81" s="19">
        <f t="shared" si="4"/>
        <v>157.92857142857142</v>
      </c>
      <c r="F81">
        <v>8177.99</v>
      </c>
      <c r="I81" s="19">
        <f t="shared" si="5"/>
        <v>8844</v>
      </c>
      <c r="J81" t="b">
        <f t="shared" si="6"/>
        <v>1</v>
      </c>
      <c r="K81" s="4">
        <f t="shared" si="7"/>
        <v>-7.5306422433288112E-2</v>
      </c>
      <c r="M81"/>
      <c r="O81"/>
      <c r="Q81" t="s">
        <v>343</v>
      </c>
      <c r="R81">
        <v>952</v>
      </c>
      <c r="S81">
        <v>1464.03</v>
      </c>
    </row>
    <row r="82" spans="1:19" hidden="1">
      <c r="A82" t="s">
        <v>1339</v>
      </c>
      <c r="B82" t="s">
        <v>460</v>
      </c>
      <c r="C82" t="s">
        <v>461</v>
      </c>
      <c r="D82">
        <v>2984</v>
      </c>
      <c r="E82" s="19">
        <f t="shared" si="4"/>
        <v>106.57142857142857</v>
      </c>
      <c r="F82">
        <v>4032.07</v>
      </c>
      <c r="I82" s="19">
        <f t="shared" si="5"/>
        <v>5968</v>
      </c>
      <c r="J82" t="b">
        <f t="shared" si="6"/>
        <v>1</v>
      </c>
      <c r="K82" s="4">
        <f t="shared" si="7"/>
        <v>-0.32438505361930292</v>
      </c>
      <c r="M82"/>
      <c r="O82"/>
      <c r="Q82" t="s">
        <v>439</v>
      </c>
      <c r="R82">
        <v>1631</v>
      </c>
      <c r="S82">
        <v>994.98</v>
      </c>
    </row>
    <row r="83" spans="1:19" hidden="1">
      <c r="A83" t="s">
        <v>1340</v>
      </c>
      <c r="B83" t="s">
        <v>770</v>
      </c>
      <c r="C83" t="s">
        <v>771</v>
      </c>
      <c r="D83">
        <v>1845</v>
      </c>
      <c r="E83" s="19">
        <f t="shared" si="4"/>
        <v>65.892857142857139</v>
      </c>
      <c r="F83">
        <v>1868.27</v>
      </c>
      <c r="I83" s="19">
        <f t="shared" si="5"/>
        <v>3690</v>
      </c>
      <c r="J83" t="b">
        <f t="shared" si="6"/>
        <v>1</v>
      </c>
      <c r="K83" s="4">
        <f t="shared" si="7"/>
        <v>-0.49369376693766942</v>
      </c>
      <c r="M83"/>
      <c r="O83"/>
      <c r="Q83" t="s">
        <v>279</v>
      </c>
      <c r="R83">
        <v>602</v>
      </c>
      <c r="S83">
        <v>654.19000000000005</v>
      </c>
    </row>
    <row r="84" spans="1:19" hidden="1">
      <c r="A84" t="s">
        <v>1340</v>
      </c>
      <c r="B84" t="s">
        <v>871</v>
      </c>
      <c r="C84" t="s">
        <v>872</v>
      </c>
      <c r="D84">
        <v>3076</v>
      </c>
      <c r="E84" s="19">
        <f t="shared" si="4"/>
        <v>109.85714285714286</v>
      </c>
      <c r="F84">
        <v>4109.6400000000003</v>
      </c>
      <c r="I84" s="19">
        <f t="shared" si="5"/>
        <v>6152</v>
      </c>
      <c r="J84" t="b">
        <f t="shared" si="6"/>
        <v>1</v>
      </c>
      <c r="K84" s="4">
        <f t="shared" si="7"/>
        <v>-0.33198309492847844</v>
      </c>
      <c r="M84"/>
      <c r="O84"/>
      <c r="Q84" t="s">
        <v>403</v>
      </c>
      <c r="R84">
        <v>1231</v>
      </c>
      <c r="S84">
        <v>2064.81</v>
      </c>
    </row>
    <row r="85" spans="1:19" hidden="1">
      <c r="A85" t="s">
        <v>1339</v>
      </c>
      <c r="B85" t="s">
        <v>358</v>
      </c>
      <c r="C85" t="s">
        <v>359</v>
      </c>
      <c r="D85">
        <v>1114</v>
      </c>
      <c r="E85" s="19">
        <f t="shared" si="4"/>
        <v>39.785714285714285</v>
      </c>
      <c r="F85">
        <v>952.91</v>
      </c>
      <c r="I85" s="19">
        <f t="shared" si="5"/>
        <v>2228</v>
      </c>
      <c r="J85" t="b">
        <f t="shared" si="6"/>
        <v>1</v>
      </c>
      <c r="K85" s="4">
        <f t="shared" si="7"/>
        <v>-0.57230251346499106</v>
      </c>
      <c r="M85"/>
      <c r="O85"/>
      <c r="Q85" t="s">
        <v>179</v>
      </c>
      <c r="R85">
        <v>1672</v>
      </c>
      <c r="S85">
        <v>3182.12</v>
      </c>
    </row>
    <row r="86" spans="1:19" hidden="1">
      <c r="A86" t="s">
        <v>1339</v>
      </c>
      <c r="B86" t="s">
        <v>314</v>
      </c>
      <c r="C86" t="s">
        <v>315</v>
      </c>
      <c r="D86">
        <v>1919</v>
      </c>
      <c r="E86" s="19">
        <f t="shared" si="4"/>
        <v>68.535714285714292</v>
      </c>
      <c r="F86">
        <v>3759.35</v>
      </c>
      <c r="I86" s="19">
        <f t="shared" si="5"/>
        <v>3838</v>
      </c>
      <c r="J86" t="b">
        <f t="shared" si="6"/>
        <v>1</v>
      </c>
      <c r="K86" s="4">
        <f t="shared" si="7"/>
        <v>-2.0492443981240283E-2</v>
      </c>
      <c r="M86"/>
      <c r="O86"/>
      <c r="Q86" t="s">
        <v>253</v>
      </c>
      <c r="R86">
        <v>662</v>
      </c>
      <c r="S86">
        <v>310.57</v>
      </c>
    </row>
    <row r="87" spans="1:19" hidden="1">
      <c r="A87" t="s">
        <v>1340</v>
      </c>
      <c r="B87" t="s">
        <v>595</v>
      </c>
      <c r="C87" t="s">
        <v>596</v>
      </c>
      <c r="D87">
        <v>2249</v>
      </c>
      <c r="E87" s="19">
        <f t="shared" si="4"/>
        <v>80.321428571428569</v>
      </c>
      <c r="F87">
        <v>3911.92</v>
      </c>
      <c r="I87" s="19">
        <f t="shared" si="5"/>
        <v>4498</v>
      </c>
      <c r="J87" t="b">
        <f t="shared" si="6"/>
        <v>1</v>
      </c>
      <c r="K87" s="4">
        <f t="shared" si="7"/>
        <v>-0.13029791018230319</v>
      </c>
      <c r="M87"/>
      <c r="O87"/>
      <c r="Q87" t="s">
        <v>235</v>
      </c>
      <c r="R87">
        <v>423</v>
      </c>
      <c r="S87">
        <v>765.94</v>
      </c>
    </row>
    <row r="88" spans="1:19" hidden="1">
      <c r="A88" t="s">
        <v>1341</v>
      </c>
      <c r="B88" t="s">
        <v>1009</v>
      </c>
      <c r="C88" t="s">
        <v>1010</v>
      </c>
      <c r="D88">
        <v>1334</v>
      </c>
      <c r="E88" s="19">
        <f t="shared" si="4"/>
        <v>47.642857142857146</v>
      </c>
      <c r="F88">
        <v>1291.8599999999999</v>
      </c>
      <c r="I88" s="19">
        <f t="shared" si="5"/>
        <v>2668</v>
      </c>
      <c r="J88" t="b">
        <f t="shared" si="6"/>
        <v>1</v>
      </c>
      <c r="K88" s="4">
        <f t="shared" si="7"/>
        <v>-0.51579460269865074</v>
      </c>
      <c r="M88"/>
      <c r="O88"/>
      <c r="Q88" t="s">
        <v>207</v>
      </c>
      <c r="R88">
        <v>431</v>
      </c>
      <c r="S88">
        <v>742.51</v>
      </c>
    </row>
    <row r="89" spans="1:19" hidden="1">
      <c r="A89" t="s">
        <v>1339</v>
      </c>
      <c r="B89" t="s">
        <v>184</v>
      </c>
      <c r="C89" t="s">
        <v>185</v>
      </c>
      <c r="D89">
        <v>1737</v>
      </c>
      <c r="E89" s="19">
        <f t="shared" si="4"/>
        <v>62.035714285714285</v>
      </c>
      <c r="F89">
        <v>2449.62</v>
      </c>
      <c r="I89" s="19">
        <f t="shared" si="5"/>
        <v>3474</v>
      </c>
      <c r="J89" t="b">
        <f t="shared" si="6"/>
        <v>1</v>
      </c>
      <c r="K89" s="4">
        <f t="shared" si="7"/>
        <v>-0.29487046632124359</v>
      </c>
      <c r="M89"/>
      <c r="O89"/>
      <c r="Q89" t="s">
        <v>299</v>
      </c>
      <c r="R89">
        <v>208</v>
      </c>
      <c r="S89">
        <v>461.06</v>
      </c>
    </row>
    <row r="90" spans="1:19" hidden="1">
      <c r="A90" t="s">
        <v>1339</v>
      </c>
      <c r="B90" t="s">
        <v>150</v>
      </c>
      <c r="C90" t="s">
        <v>151</v>
      </c>
      <c r="D90">
        <v>3105</v>
      </c>
      <c r="E90" s="19">
        <f t="shared" si="4"/>
        <v>110.89285714285714</v>
      </c>
      <c r="F90">
        <v>4139.16</v>
      </c>
      <c r="I90" s="19">
        <f t="shared" si="5"/>
        <v>6210</v>
      </c>
      <c r="J90" t="b">
        <f t="shared" si="6"/>
        <v>1</v>
      </c>
      <c r="K90" s="4">
        <f t="shared" si="7"/>
        <v>-0.33346859903381643</v>
      </c>
      <c r="M90"/>
      <c r="O90"/>
      <c r="Q90" t="s">
        <v>295</v>
      </c>
      <c r="R90">
        <v>427</v>
      </c>
      <c r="S90">
        <v>594.62</v>
      </c>
    </row>
    <row r="91" spans="1:19" hidden="1">
      <c r="A91" t="s">
        <v>1339</v>
      </c>
      <c r="B91" t="s">
        <v>186</v>
      </c>
      <c r="C91" t="s">
        <v>187</v>
      </c>
      <c r="D91">
        <v>1335</v>
      </c>
      <c r="E91" s="19">
        <f t="shared" si="4"/>
        <v>47.678571428571431</v>
      </c>
      <c r="F91">
        <v>1388.36</v>
      </c>
      <c r="I91" s="19">
        <f t="shared" si="5"/>
        <v>2670</v>
      </c>
      <c r="J91" t="b">
        <f t="shared" si="6"/>
        <v>1</v>
      </c>
      <c r="K91" s="4">
        <f t="shared" si="7"/>
        <v>-0.48001498127340825</v>
      </c>
      <c r="M91"/>
      <c r="O91"/>
      <c r="Q91" t="s">
        <v>485</v>
      </c>
      <c r="R91">
        <v>6857</v>
      </c>
      <c r="S91">
        <v>7319.16</v>
      </c>
    </row>
    <row r="92" spans="1:19" hidden="1">
      <c r="A92" t="s">
        <v>1340</v>
      </c>
      <c r="B92" t="s">
        <v>840</v>
      </c>
      <c r="C92" t="s">
        <v>841</v>
      </c>
      <c r="D92">
        <v>1456</v>
      </c>
      <c r="E92" s="19">
        <f t="shared" si="4"/>
        <v>52</v>
      </c>
      <c r="F92">
        <v>2912.17</v>
      </c>
      <c r="I92" s="19">
        <f t="shared" si="5"/>
        <v>2912</v>
      </c>
      <c r="J92" t="b">
        <f t="shared" si="6"/>
        <v>1</v>
      </c>
      <c r="K92" s="4">
        <f t="shared" si="7"/>
        <v>5.8379120879248347E-5</v>
      </c>
      <c r="M92"/>
      <c r="O92"/>
      <c r="Q92" t="s">
        <v>497</v>
      </c>
      <c r="R92">
        <v>1277</v>
      </c>
      <c r="S92">
        <v>2567.0300000000002</v>
      </c>
    </row>
    <row r="93" spans="1:19" hidden="1">
      <c r="A93" t="s">
        <v>1339</v>
      </c>
      <c r="B93" t="s">
        <v>512</v>
      </c>
      <c r="C93" t="s">
        <v>513</v>
      </c>
      <c r="D93">
        <v>2690</v>
      </c>
      <c r="E93" s="19">
        <f t="shared" si="4"/>
        <v>96.071428571428569</v>
      </c>
      <c r="F93">
        <v>5016.91</v>
      </c>
      <c r="I93" s="19">
        <f t="shared" si="5"/>
        <v>5380</v>
      </c>
      <c r="J93" t="b">
        <f t="shared" si="6"/>
        <v>1</v>
      </c>
      <c r="K93" s="4">
        <f t="shared" si="7"/>
        <v>-6.7488847583643152E-2</v>
      </c>
      <c r="M93"/>
      <c r="O93"/>
      <c r="Q93" t="s">
        <v>281</v>
      </c>
      <c r="R93">
        <v>1046</v>
      </c>
      <c r="S93">
        <v>905.93</v>
      </c>
    </row>
    <row r="94" spans="1:19" hidden="1">
      <c r="A94" t="s">
        <v>1341</v>
      </c>
      <c r="B94" t="s">
        <v>1062</v>
      </c>
      <c r="C94" t="s">
        <v>1063</v>
      </c>
      <c r="D94">
        <v>880</v>
      </c>
      <c r="E94" s="19">
        <f t="shared" si="4"/>
        <v>31.428571428571427</v>
      </c>
      <c r="F94">
        <v>475.28</v>
      </c>
      <c r="I94" s="19">
        <f t="shared" si="5"/>
        <v>1760</v>
      </c>
      <c r="J94" t="b">
        <f t="shared" si="6"/>
        <v>1</v>
      </c>
      <c r="K94" s="4">
        <f t="shared" si="7"/>
        <v>-0.72995454545454552</v>
      </c>
      <c r="M94"/>
      <c r="O94"/>
      <c r="Q94" t="s">
        <v>357</v>
      </c>
      <c r="R94">
        <v>577</v>
      </c>
      <c r="S94">
        <v>720.77</v>
      </c>
    </row>
    <row r="95" spans="1:19" hidden="1">
      <c r="A95" t="s">
        <v>1339</v>
      </c>
      <c r="B95" t="s">
        <v>124</v>
      </c>
      <c r="C95" t="s">
        <v>125</v>
      </c>
      <c r="D95">
        <v>2075</v>
      </c>
      <c r="E95" s="19">
        <f t="shared" si="4"/>
        <v>74.107142857142861</v>
      </c>
      <c r="F95">
        <v>2486.4</v>
      </c>
      <c r="I95" s="19">
        <f t="shared" si="5"/>
        <v>4150</v>
      </c>
      <c r="J95" t="b">
        <f t="shared" si="6"/>
        <v>1</v>
      </c>
      <c r="K95" s="4">
        <f t="shared" si="7"/>
        <v>-0.40086746987951805</v>
      </c>
      <c r="M95"/>
      <c r="O95"/>
      <c r="Q95" t="s">
        <v>365</v>
      </c>
      <c r="R95">
        <v>576</v>
      </c>
      <c r="S95">
        <v>686.87</v>
      </c>
    </row>
    <row r="96" spans="1:19" hidden="1">
      <c r="A96" t="s">
        <v>1341</v>
      </c>
      <c r="B96" t="s">
        <v>1064</v>
      </c>
      <c r="C96" t="s">
        <v>1065</v>
      </c>
      <c r="D96">
        <v>1320</v>
      </c>
      <c r="E96" s="19">
        <f t="shared" si="4"/>
        <v>47.142857142857146</v>
      </c>
      <c r="F96">
        <v>1272.57</v>
      </c>
      <c r="I96" s="19">
        <f t="shared" si="5"/>
        <v>2640</v>
      </c>
      <c r="J96" t="b">
        <f t="shared" si="6"/>
        <v>1</v>
      </c>
      <c r="K96" s="4">
        <f t="shared" si="7"/>
        <v>-0.51796590909090912</v>
      </c>
      <c r="M96"/>
      <c r="O96"/>
      <c r="Q96" t="s">
        <v>269</v>
      </c>
      <c r="R96">
        <v>752</v>
      </c>
      <c r="S96">
        <v>616.62</v>
      </c>
    </row>
    <row r="97" spans="1:19" hidden="1">
      <c r="A97" t="s">
        <v>1339</v>
      </c>
      <c r="B97" t="s">
        <v>142</v>
      </c>
      <c r="C97" t="s">
        <v>143</v>
      </c>
      <c r="D97">
        <v>2520</v>
      </c>
      <c r="E97" s="19">
        <f t="shared" si="4"/>
        <v>90</v>
      </c>
      <c r="F97">
        <v>3798.85</v>
      </c>
      <c r="I97" s="19">
        <f t="shared" si="5"/>
        <v>5040</v>
      </c>
      <c r="J97" t="b">
        <f t="shared" si="6"/>
        <v>1</v>
      </c>
      <c r="K97" s="4">
        <f t="shared" si="7"/>
        <v>-0.24625992063492064</v>
      </c>
      <c r="M97"/>
      <c r="O97"/>
      <c r="Q97" t="s">
        <v>277</v>
      </c>
      <c r="R97">
        <v>613</v>
      </c>
      <c r="S97">
        <v>1513.71</v>
      </c>
    </row>
    <row r="98" spans="1:19" hidden="1">
      <c r="A98" t="s">
        <v>1339</v>
      </c>
      <c r="B98" t="s">
        <v>448</v>
      </c>
      <c r="C98" t="s">
        <v>449</v>
      </c>
      <c r="D98">
        <v>1791</v>
      </c>
      <c r="E98" s="19">
        <f t="shared" si="4"/>
        <v>63.964285714285715</v>
      </c>
      <c r="F98">
        <v>3040.46</v>
      </c>
      <c r="I98" s="19">
        <f t="shared" si="5"/>
        <v>3582</v>
      </c>
      <c r="J98" t="b">
        <f t="shared" si="6"/>
        <v>1</v>
      </c>
      <c r="K98" s="4">
        <f t="shared" si="7"/>
        <v>-0.15118369625907313</v>
      </c>
      <c r="M98"/>
      <c r="O98"/>
      <c r="Q98" t="s">
        <v>231</v>
      </c>
      <c r="R98">
        <v>1880</v>
      </c>
      <c r="S98">
        <v>3516.22</v>
      </c>
    </row>
    <row r="99" spans="1:19" hidden="1">
      <c r="A99" t="s">
        <v>1339</v>
      </c>
      <c r="B99" t="s">
        <v>488</v>
      </c>
      <c r="C99" t="s">
        <v>489</v>
      </c>
      <c r="D99">
        <v>1843</v>
      </c>
      <c r="E99" s="19">
        <f t="shared" si="4"/>
        <v>65.821428571428569</v>
      </c>
      <c r="F99">
        <v>3310.95</v>
      </c>
      <c r="I99" s="19">
        <f t="shared" si="5"/>
        <v>3686</v>
      </c>
      <c r="J99" t="b">
        <f t="shared" si="6"/>
        <v>1</v>
      </c>
      <c r="K99" s="4">
        <f t="shared" si="7"/>
        <v>-0.10174986435160072</v>
      </c>
      <c r="M99"/>
      <c r="O99"/>
      <c r="Q99" t="s">
        <v>225</v>
      </c>
      <c r="R99">
        <v>513</v>
      </c>
      <c r="S99">
        <v>883.21</v>
      </c>
    </row>
    <row r="100" spans="1:19" hidden="1">
      <c r="A100" t="s">
        <v>1340</v>
      </c>
      <c r="B100" t="s">
        <v>655</v>
      </c>
      <c r="C100" t="s">
        <v>656</v>
      </c>
      <c r="D100">
        <v>1340</v>
      </c>
      <c r="E100" s="19">
        <f t="shared" si="4"/>
        <v>47.857142857142854</v>
      </c>
      <c r="F100">
        <v>139.34</v>
      </c>
      <c r="I100" s="19">
        <f t="shared" si="5"/>
        <v>2680</v>
      </c>
      <c r="J100" t="b">
        <f t="shared" si="6"/>
        <v>1</v>
      </c>
      <c r="K100" s="4">
        <f t="shared" si="7"/>
        <v>-0.94800746268656721</v>
      </c>
      <c r="M100"/>
      <c r="O100"/>
      <c r="Q100" t="s">
        <v>361</v>
      </c>
      <c r="R100">
        <v>196</v>
      </c>
      <c r="S100">
        <v>537.36</v>
      </c>
    </row>
    <row r="101" spans="1:19" hidden="1">
      <c r="A101" t="s">
        <v>1339</v>
      </c>
      <c r="B101" t="s">
        <v>33</v>
      </c>
      <c r="C101" t="s">
        <v>34</v>
      </c>
      <c r="D101">
        <v>4745</v>
      </c>
      <c r="E101" s="19">
        <f t="shared" si="4"/>
        <v>169.46428571428572</v>
      </c>
      <c r="F101">
        <v>3522.7</v>
      </c>
      <c r="I101" s="19">
        <f t="shared" si="5"/>
        <v>9490</v>
      </c>
      <c r="J101" t="b">
        <f t="shared" si="6"/>
        <v>1</v>
      </c>
      <c r="K101" s="4">
        <f t="shared" si="7"/>
        <v>-0.62879873551106424</v>
      </c>
      <c r="M101"/>
      <c r="O101"/>
      <c r="Q101" t="s">
        <v>423</v>
      </c>
      <c r="R101">
        <v>707</v>
      </c>
      <c r="S101">
        <v>1007.87</v>
      </c>
    </row>
    <row r="102" spans="1:19" hidden="1">
      <c r="A102" t="s">
        <v>1341</v>
      </c>
      <c r="B102" t="s">
        <v>1055</v>
      </c>
      <c r="C102" t="s">
        <v>1056</v>
      </c>
      <c r="D102">
        <v>1572</v>
      </c>
      <c r="E102" s="19">
        <f t="shared" si="4"/>
        <v>56.142857142857146</v>
      </c>
      <c r="F102">
        <v>2199.1999999999998</v>
      </c>
      <c r="I102" s="19">
        <f t="shared" si="5"/>
        <v>3144</v>
      </c>
      <c r="J102" t="b">
        <f t="shared" si="6"/>
        <v>1</v>
      </c>
      <c r="K102" s="4">
        <f t="shared" si="7"/>
        <v>-0.30050890585241741</v>
      </c>
      <c r="M102"/>
      <c r="O102"/>
      <c r="Q102" t="s">
        <v>93</v>
      </c>
      <c r="R102">
        <v>1594</v>
      </c>
      <c r="S102">
        <v>209.91</v>
      </c>
    </row>
    <row r="103" spans="1:19" hidden="1">
      <c r="A103" t="s">
        <v>1341</v>
      </c>
      <c r="B103" t="s">
        <v>1137</v>
      </c>
      <c r="C103" t="s">
        <v>1138</v>
      </c>
      <c r="D103">
        <v>2712</v>
      </c>
      <c r="E103" s="19">
        <f t="shared" si="4"/>
        <v>96.857142857142861</v>
      </c>
      <c r="F103">
        <v>1262.6099999999999</v>
      </c>
      <c r="I103" s="19">
        <f t="shared" si="5"/>
        <v>5424</v>
      </c>
      <c r="J103" t="b">
        <f t="shared" si="6"/>
        <v>1</v>
      </c>
      <c r="K103" s="4">
        <f t="shared" si="7"/>
        <v>-0.76721792035398229</v>
      </c>
      <c r="M103"/>
      <c r="O103"/>
      <c r="Q103" t="s">
        <v>517</v>
      </c>
      <c r="R103">
        <v>2511</v>
      </c>
      <c r="S103">
        <v>2473.92</v>
      </c>
    </row>
    <row r="104" spans="1:19" hidden="1">
      <c r="A104" t="s">
        <v>1340</v>
      </c>
      <c r="B104" s="21" t="s">
        <v>789</v>
      </c>
      <c r="C104" t="s">
        <v>790</v>
      </c>
      <c r="D104">
        <v>1544</v>
      </c>
      <c r="E104" s="19">
        <f t="shared" si="4"/>
        <v>55.142857142857146</v>
      </c>
      <c r="F104">
        <v>2079.64</v>
      </c>
      <c r="I104" s="19">
        <f t="shared" si="5"/>
        <v>3088</v>
      </c>
      <c r="J104" t="b">
        <f t="shared" si="6"/>
        <v>1</v>
      </c>
      <c r="K104" s="4">
        <f t="shared" si="7"/>
        <v>-0.32654145077720209</v>
      </c>
      <c r="M104"/>
      <c r="O104"/>
      <c r="Q104" t="s">
        <v>387</v>
      </c>
      <c r="R104">
        <v>1114</v>
      </c>
      <c r="S104">
        <v>1550.98</v>
      </c>
    </row>
    <row r="105" spans="1:19" hidden="1">
      <c r="A105" t="s">
        <v>1339</v>
      </c>
      <c r="B105" t="s">
        <v>290</v>
      </c>
      <c r="C105" t="s">
        <v>291</v>
      </c>
      <c r="D105">
        <v>1261</v>
      </c>
      <c r="E105" s="19">
        <f t="shared" si="4"/>
        <v>45.035714285714285</v>
      </c>
      <c r="F105">
        <v>753.21</v>
      </c>
      <c r="I105" s="19">
        <f t="shared" si="5"/>
        <v>2522</v>
      </c>
      <c r="J105" t="b">
        <f t="shared" si="6"/>
        <v>1</v>
      </c>
      <c r="K105" s="4">
        <f t="shared" si="7"/>
        <v>-0.70134417129262494</v>
      </c>
      <c r="M105"/>
      <c r="O105"/>
      <c r="Q105" t="s">
        <v>203</v>
      </c>
      <c r="R105">
        <v>950</v>
      </c>
      <c r="S105">
        <v>648.47</v>
      </c>
    </row>
    <row r="106" spans="1:19" hidden="1">
      <c r="A106" t="s">
        <v>1339</v>
      </c>
      <c r="B106" t="s">
        <v>446</v>
      </c>
      <c r="C106" t="s">
        <v>447</v>
      </c>
      <c r="D106">
        <v>2124</v>
      </c>
      <c r="E106" s="19">
        <f t="shared" si="4"/>
        <v>75.857142857142861</v>
      </c>
      <c r="F106">
        <v>3054.04</v>
      </c>
      <c r="I106" s="19">
        <f t="shared" si="5"/>
        <v>4248</v>
      </c>
      <c r="J106" t="b">
        <f t="shared" si="6"/>
        <v>1</v>
      </c>
      <c r="K106" s="4">
        <f t="shared" si="7"/>
        <v>-0.28106403013182679</v>
      </c>
      <c r="M106"/>
      <c r="O106"/>
      <c r="Q106" t="s">
        <v>165</v>
      </c>
      <c r="R106">
        <v>756</v>
      </c>
      <c r="S106">
        <v>555.17999999999995</v>
      </c>
    </row>
    <row r="107" spans="1:19" hidden="1">
      <c r="A107" t="s">
        <v>1339</v>
      </c>
      <c r="B107" t="s">
        <v>200</v>
      </c>
      <c r="C107" t="s">
        <v>201</v>
      </c>
      <c r="D107">
        <v>2368</v>
      </c>
      <c r="E107" s="19">
        <f t="shared" si="4"/>
        <v>84.571428571428569</v>
      </c>
      <c r="F107">
        <v>3819.67</v>
      </c>
      <c r="I107" s="19">
        <f t="shared" si="5"/>
        <v>4736</v>
      </c>
      <c r="J107" t="b">
        <f t="shared" si="6"/>
        <v>1</v>
      </c>
      <c r="K107" s="4">
        <f t="shared" si="7"/>
        <v>-0.19348184121621625</v>
      </c>
      <c r="M107"/>
      <c r="O107"/>
      <c r="Q107" t="s">
        <v>311</v>
      </c>
      <c r="R107">
        <v>535</v>
      </c>
      <c r="S107">
        <v>654.45000000000005</v>
      </c>
    </row>
    <row r="108" spans="1:19" hidden="1">
      <c r="A108" t="s">
        <v>1339</v>
      </c>
      <c r="B108" t="s">
        <v>38</v>
      </c>
      <c r="C108" t="s">
        <v>39</v>
      </c>
      <c r="D108">
        <v>2422</v>
      </c>
      <c r="E108" s="19">
        <f t="shared" si="4"/>
        <v>86.5</v>
      </c>
      <c r="F108">
        <v>4762.29</v>
      </c>
      <c r="I108" s="19">
        <f t="shared" si="5"/>
        <v>4844</v>
      </c>
      <c r="J108" t="b">
        <f t="shared" si="6"/>
        <v>1</v>
      </c>
      <c r="K108" s="4">
        <f t="shared" si="7"/>
        <v>-1.6868290668868746E-2</v>
      </c>
      <c r="M108"/>
      <c r="O108"/>
      <c r="Q108" t="s">
        <v>141</v>
      </c>
      <c r="R108">
        <v>1992</v>
      </c>
      <c r="S108">
        <v>2894.27</v>
      </c>
    </row>
    <row r="109" spans="1:19" hidden="1">
      <c r="A109" t="s">
        <v>1339</v>
      </c>
      <c r="B109" t="s">
        <v>136</v>
      </c>
      <c r="C109" t="s">
        <v>137</v>
      </c>
      <c r="D109">
        <v>1092</v>
      </c>
      <c r="E109" s="19">
        <f t="shared" si="4"/>
        <v>39</v>
      </c>
      <c r="F109">
        <v>1513.34</v>
      </c>
      <c r="I109" s="140">
        <f t="shared" si="5"/>
        <v>2184</v>
      </c>
      <c r="J109" t="b">
        <f t="shared" si="6"/>
        <v>1</v>
      </c>
      <c r="K109" s="4">
        <f t="shared" si="7"/>
        <v>-0.30707875457875466</v>
      </c>
      <c r="O109" s="147"/>
      <c r="Q109" t="s">
        <v>62</v>
      </c>
      <c r="R109">
        <v>910</v>
      </c>
      <c r="S109">
        <v>725.37</v>
      </c>
    </row>
    <row r="110" spans="1:19" hidden="1">
      <c r="A110" t="s">
        <v>1339</v>
      </c>
      <c r="B110" t="s">
        <v>274</v>
      </c>
      <c r="C110" t="s">
        <v>275</v>
      </c>
      <c r="D110">
        <v>2214</v>
      </c>
      <c r="E110" s="19">
        <f t="shared" si="4"/>
        <v>79.071428571428569</v>
      </c>
      <c r="F110">
        <v>3405.2</v>
      </c>
      <c r="I110" s="19">
        <f t="shared" si="5"/>
        <v>4428</v>
      </c>
      <c r="J110" t="b">
        <f t="shared" si="6"/>
        <v>1</v>
      </c>
      <c r="K110" s="4">
        <f t="shared" si="7"/>
        <v>-0.23098464317976519</v>
      </c>
      <c r="M110"/>
      <c r="O110"/>
      <c r="Q110" t="s">
        <v>267</v>
      </c>
      <c r="R110">
        <v>991</v>
      </c>
      <c r="S110">
        <v>1487.32</v>
      </c>
    </row>
    <row r="111" spans="1:19" hidden="1">
      <c r="A111" t="s">
        <v>1339</v>
      </c>
      <c r="B111" t="s">
        <v>306</v>
      </c>
      <c r="C111" t="s">
        <v>307</v>
      </c>
      <c r="D111">
        <v>1722</v>
      </c>
      <c r="E111" s="19">
        <f t="shared" si="4"/>
        <v>61.5</v>
      </c>
      <c r="F111">
        <v>2588.13</v>
      </c>
      <c r="I111" s="19">
        <f t="shared" si="5"/>
        <v>3444</v>
      </c>
      <c r="J111" t="b">
        <f t="shared" si="6"/>
        <v>1</v>
      </c>
      <c r="K111" s="4">
        <f t="shared" si="7"/>
        <v>-0.2485104529616724</v>
      </c>
      <c r="M111"/>
      <c r="O111"/>
      <c r="Q111" t="s">
        <v>265</v>
      </c>
      <c r="R111">
        <v>1070</v>
      </c>
      <c r="S111">
        <v>1533.49</v>
      </c>
    </row>
    <row r="112" spans="1:19" hidden="1">
      <c r="A112" t="s">
        <v>1341</v>
      </c>
      <c r="B112" t="s">
        <v>935</v>
      </c>
      <c r="C112" t="s">
        <v>936</v>
      </c>
      <c r="D112">
        <v>1258</v>
      </c>
      <c r="E112" s="19">
        <f t="shared" si="4"/>
        <v>44.928571428571431</v>
      </c>
      <c r="F112">
        <v>2318.62</v>
      </c>
      <c r="I112" s="19">
        <f t="shared" si="5"/>
        <v>2516</v>
      </c>
      <c r="J112" t="b">
        <f t="shared" si="6"/>
        <v>1</v>
      </c>
      <c r="K112" s="4">
        <f t="shared" si="7"/>
        <v>-7.8449920508744109E-2</v>
      </c>
      <c r="M112"/>
      <c r="O112"/>
      <c r="Q112" t="s">
        <v>287</v>
      </c>
      <c r="R112">
        <v>269</v>
      </c>
      <c r="S112">
        <v>387.38</v>
      </c>
    </row>
    <row r="113" spans="1:19" hidden="1">
      <c r="A113" t="s">
        <v>1340</v>
      </c>
      <c r="B113" t="s">
        <v>649</v>
      </c>
      <c r="C113" t="s">
        <v>650</v>
      </c>
      <c r="D113">
        <v>2211</v>
      </c>
      <c r="E113" s="19">
        <f t="shared" si="4"/>
        <v>78.964285714285708</v>
      </c>
      <c r="F113">
        <v>1688.69</v>
      </c>
      <c r="I113" s="19">
        <f t="shared" si="5"/>
        <v>4422</v>
      </c>
      <c r="J113" t="b">
        <f t="shared" si="6"/>
        <v>1</v>
      </c>
      <c r="K113" s="4">
        <f t="shared" si="7"/>
        <v>-0.61811623699683405</v>
      </c>
      <c r="M113"/>
      <c r="O113"/>
      <c r="Q113" t="s">
        <v>227</v>
      </c>
      <c r="R113">
        <v>366</v>
      </c>
      <c r="S113">
        <v>652.61</v>
      </c>
    </row>
    <row r="114" spans="1:19" hidden="1">
      <c r="A114" t="s">
        <v>1339</v>
      </c>
      <c r="B114" t="s">
        <v>472</v>
      </c>
      <c r="C114" t="s">
        <v>473</v>
      </c>
      <c r="D114">
        <v>1641</v>
      </c>
      <c r="E114" s="19">
        <f t="shared" si="4"/>
        <v>58.607142857142854</v>
      </c>
      <c r="F114">
        <v>3608.84</v>
      </c>
      <c r="I114" s="19">
        <f t="shared" si="5"/>
        <v>3282</v>
      </c>
      <c r="J114" t="b">
        <f t="shared" si="6"/>
        <v>1</v>
      </c>
      <c r="K114" s="4">
        <f t="shared" si="7"/>
        <v>9.9585618525289465E-2</v>
      </c>
      <c r="M114"/>
      <c r="O114"/>
      <c r="Q114" t="s">
        <v>455</v>
      </c>
      <c r="R114">
        <v>2113</v>
      </c>
      <c r="S114">
        <v>2307.63</v>
      </c>
    </row>
    <row r="115" spans="1:19" hidden="1">
      <c r="A115" t="s">
        <v>1339</v>
      </c>
      <c r="B115" t="s">
        <v>398</v>
      </c>
      <c r="C115" t="s">
        <v>399</v>
      </c>
      <c r="D115">
        <v>3411</v>
      </c>
      <c r="E115" s="19">
        <f t="shared" si="4"/>
        <v>121.82142857142857</v>
      </c>
      <c r="F115">
        <v>4909.76</v>
      </c>
      <c r="I115" s="19">
        <f t="shared" si="5"/>
        <v>6822</v>
      </c>
      <c r="J115" t="b">
        <f t="shared" si="6"/>
        <v>1</v>
      </c>
      <c r="K115" s="4">
        <f t="shared" si="7"/>
        <v>-0.28030489592494867</v>
      </c>
      <c r="M115"/>
      <c r="O115"/>
      <c r="Q115" t="s">
        <v>477</v>
      </c>
      <c r="R115">
        <v>1161</v>
      </c>
      <c r="S115">
        <v>883.15</v>
      </c>
    </row>
    <row r="116" spans="1:19" hidden="1">
      <c r="A116" t="s">
        <v>1340</v>
      </c>
      <c r="B116" t="s">
        <v>672</v>
      </c>
      <c r="C116" t="s">
        <v>673</v>
      </c>
      <c r="D116">
        <v>1515</v>
      </c>
      <c r="E116" s="19">
        <f t="shared" si="4"/>
        <v>54.107142857142854</v>
      </c>
      <c r="F116">
        <v>3340.26</v>
      </c>
      <c r="I116" s="19">
        <f t="shared" si="5"/>
        <v>3030</v>
      </c>
      <c r="J116" t="b">
        <f t="shared" si="6"/>
        <v>1</v>
      </c>
      <c r="K116" s="4">
        <f t="shared" si="7"/>
        <v>0.10239603960396049</v>
      </c>
      <c r="M116"/>
      <c r="O116"/>
      <c r="Q116" t="s">
        <v>345</v>
      </c>
      <c r="R116">
        <v>690</v>
      </c>
      <c r="S116">
        <v>545.20000000000005</v>
      </c>
    </row>
    <row r="117" spans="1:19" hidden="1">
      <c r="A117" t="s">
        <v>1341</v>
      </c>
      <c r="B117" t="s">
        <v>979</v>
      </c>
      <c r="C117" t="s">
        <v>980</v>
      </c>
      <c r="D117">
        <v>1023</v>
      </c>
      <c r="E117" s="19">
        <f t="shared" si="4"/>
        <v>36.535714285714285</v>
      </c>
      <c r="F117">
        <v>813.95</v>
      </c>
      <c r="I117" s="19">
        <f t="shared" si="5"/>
        <v>2046</v>
      </c>
      <c r="J117" t="b">
        <f t="shared" si="6"/>
        <v>1</v>
      </c>
      <c r="K117" s="4">
        <f t="shared" si="7"/>
        <v>-0.60217497556207233</v>
      </c>
      <c r="M117"/>
      <c r="O117"/>
      <c r="Q117" t="s">
        <v>189</v>
      </c>
      <c r="R117">
        <v>1115</v>
      </c>
      <c r="S117">
        <v>2200.4899999999998</v>
      </c>
    </row>
    <row r="118" spans="1:19" hidden="1">
      <c r="A118" t="s">
        <v>1339</v>
      </c>
      <c r="B118" t="s">
        <v>98</v>
      </c>
      <c r="C118" t="s">
        <v>99</v>
      </c>
      <c r="D118">
        <v>2401</v>
      </c>
      <c r="E118" s="19">
        <f t="shared" si="4"/>
        <v>85.75</v>
      </c>
      <c r="F118">
        <v>2532.81</v>
      </c>
      <c r="I118" s="19">
        <f t="shared" si="5"/>
        <v>4802</v>
      </c>
      <c r="J118" t="b">
        <f t="shared" si="6"/>
        <v>1</v>
      </c>
      <c r="K118" s="4">
        <f t="shared" si="7"/>
        <v>-0.47255102040816332</v>
      </c>
      <c r="M118"/>
      <c r="O118"/>
      <c r="Q118" t="s">
        <v>341</v>
      </c>
      <c r="R118">
        <v>1273</v>
      </c>
      <c r="S118">
        <v>1409.27</v>
      </c>
    </row>
    <row r="119" spans="1:19" hidden="1">
      <c r="A119" t="s">
        <v>1340</v>
      </c>
      <c r="B119" t="s">
        <v>663</v>
      </c>
      <c r="C119" t="s">
        <v>664</v>
      </c>
      <c r="D119">
        <v>1120</v>
      </c>
      <c r="E119" s="19">
        <f t="shared" si="4"/>
        <v>40</v>
      </c>
      <c r="F119">
        <v>400.97</v>
      </c>
      <c r="I119" s="19">
        <f t="shared" si="5"/>
        <v>2240</v>
      </c>
      <c r="J119" t="b">
        <f t="shared" si="6"/>
        <v>1</v>
      </c>
      <c r="K119" s="4">
        <f t="shared" si="7"/>
        <v>-0.82099553571428574</v>
      </c>
      <c r="M119"/>
      <c r="O119"/>
      <c r="Q119" t="s">
        <v>273</v>
      </c>
      <c r="R119">
        <v>1003</v>
      </c>
      <c r="S119">
        <v>2186.44</v>
      </c>
    </row>
    <row r="120" spans="1:19" hidden="1">
      <c r="A120" t="s">
        <v>1339</v>
      </c>
      <c r="B120" t="s">
        <v>374</v>
      </c>
      <c r="C120" t="s">
        <v>375</v>
      </c>
      <c r="D120">
        <v>1340</v>
      </c>
      <c r="E120" s="19">
        <f t="shared" si="4"/>
        <v>47.857142857142854</v>
      </c>
      <c r="F120">
        <v>1693.96</v>
      </c>
      <c r="I120" s="19">
        <f t="shared" si="5"/>
        <v>2680</v>
      </c>
      <c r="J120" t="b">
        <f t="shared" si="6"/>
        <v>1</v>
      </c>
      <c r="K120" s="4">
        <f t="shared" si="7"/>
        <v>-0.36792537313432838</v>
      </c>
      <c r="M120"/>
      <c r="O120"/>
      <c r="Q120" t="s">
        <v>317</v>
      </c>
      <c r="R120">
        <v>425</v>
      </c>
      <c r="S120">
        <v>530.95000000000005</v>
      </c>
    </row>
    <row r="121" spans="1:19" hidden="1">
      <c r="A121" t="s">
        <v>1341</v>
      </c>
      <c r="B121" t="s">
        <v>963</v>
      </c>
      <c r="C121" t="s">
        <v>964</v>
      </c>
      <c r="D121">
        <v>1692</v>
      </c>
      <c r="E121" s="19">
        <f t="shared" si="4"/>
        <v>60.428571428571431</v>
      </c>
      <c r="F121">
        <v>1940.7</v>
      </c>
      <c r="I121" s="19">
        <f t="shared" si="5"/>
        <v>3384</v>
      </c>
      <c r="J121" t="b">
        <f t="shared" si="6"/>
        <v>1</v>
      </c>
      <c r="K121" s="4">
        <f t="shared" si="7"/>
        <v>-0.42650709219858152</v>
      </c>
      <c r="M121"/>
      <c r="O121"/>
      <c r="Q121" t="s">
        <v>255</v>
      </c>
      <c r="R121">
        <v>457</v>
      </c>
      <c r="S121">
        <v>280.43</v>
      </c>
    </row>
    <row r="122" spans="1:19" hidden="1">
      <c r="A122" t="s">
        <v>1341</v>
      </c>
      <c r="B122" t="s">
        <v>947</v>
      </c>
      <c r="C122" t="s">
        <v>948</v>
      </c>
      <c r="D122">
        <v>1679</v>
      </c>
      <c r="E122" s="19">
        <f t="shared" si="4"/>
        <v>59.964285714285715</v>
      </c>
      <c r="F122">
        <v>1471.09</v>
      </c>
      <c r="I122" s="19">
        <f t="shared" si="5"/>
        <v>3358</v>
      </c>
      <c r="J122" t="b">
        <f t="shared" si="6"/>
        <v>1</v>
      </c>
      <c r="K122" s="4">
        <f t="shared" si="7"/>
        <v>-0.56191483025610478</v>
      </c>
      <c r="M122"/>
      <c r="O122"/>
      <c r="Q122" t="s">
        <v>349</v>
      </c>
      <c r="R122">
        <v>396</v>
      </c>
      <c r="S122">
        <v>403.81</v>
      </c>
    </row>
    <row r="123" spans="1:19" hidden="1">
      <c r="A123" t="s">
        <v>1339</v>
      </c>
      <c r="B123" t="s">
        <v>490</v>
      </c>
      <c r="C123" t="s">
        <v>491</v>
      </c>
      <c r="D123">
        <v>1163</v>
      </c>
      <c r="E123" s="19">
        <f t="shared" si="4"/>
        <v>41.535714285714285</v>
      </c>
      <c r="F123">
        <v>2391.4299999999998</v>
      </c>
      <c r="I123" s="19">
        <f t="shared" si="5"/>
        <v>2326</v>
      </c>
      <c r="J123" t="b">
        <f t="shared" si="6"/>
        <v>1</v>
      </c>
      <c r="K123" s="4">
        <f t="shared" si="7"/>
        <v>2.8129836629406713E-2</v>
      </c>
      <c r="M123"/>
      <c r="O123"/>
      <c r="Q123" t="s">
        <v>261</v>
      </c>
      <c r="R123">
        <v>374</v>
      </c>
      <c r="S123">
        <v>329.94</v>
      </c>
    </row>
    <row r="124" spans="1:19" hidden="1">
      <c r="A124" t="s">
        <v>1339</v>
      </c>
      <c r="B124" t="s">
        <v>474</v>
      </c>
      <c r="C124" t="s">
        <v>475</v>
      </c>
      <c r="D124">
        <v>2002</v>
      </c>
      <c r="E124" s="19">
        <f t="shared" si="4"/>
        <v>71.5</v>
      </c>
      <c r="F124">
        <v>3763.08</v>
      </c>
      <c r="I124" s="19">
        <f t="shared" si="5"/>
        <v>4004</v>
      </c>
      <c r="J124" t="b">
        <f t="shared" si="6"/>
        <v>1</v>
      </c>
      <c r="K124" s="4">
        <f t="shared" si="7"/>
        <v>-6.0169830169830241E-2</v>
      </c>
      <c r="M124"/>
      <c r="O124"/>
      <c r="Q124" t="s">
        <v>489</v>
      </c>
      <c r="R124">
        <v>2024</v>
      </c>
      <c r="S124">
        <v>4886.3999999999996</v>
      </c>
    </row>
    <row r="125" spans="1:19" hidden="1">
      <c r="A125" t="s">
        <v>1339</v>
      </c>
      <c r="B125" t="s">
        <v>424</v>
      </c>
      <c r="C125" t="s">
        <v>425</v>
      </c>
      <c r="D125">
        <v>1573</v>
      </c>
      <c r="E125" s="19">
        <f t="shared" si="4"/>
        <v>56.178571428571431</v>
      </c>
      <c r="F125">
        <v>1133.6099999999999</v>
      </c>
      <c r="I125" s="19">
        <f t="shared" si="5"/>
        <v>3146</v>
      </c>
      <c r="J125" t="b">
        <f t="shared" si="6"/>
        <v>1</v>
      </c>
      <c r="K125" s="4">
        <f t="shared" si="7"/>
        <v>-0.63966624284806106</v>
      </c>
      <c r="M125"/>
      <c r="O125"/>
      <c r="Q125" t="s">
        <v>303</v>
      </c>
      <c r="R125">
        <v>444</v>
      </c>
      <c r="S125">
        <v>278.83</v>
      </c>
    </row>
    <row r="126" spans="1:19" hidden="1">
      <c r="A126" t="s">
        <v>1339</v>
      </c>
      <c r="B126" t="s">
        <v>21</v>
      </c>
      <c r="C126" t="s">
        <v>22</v>
      </c>
      <c r="D126">
        <v>23869</v>
      </c>
      <c r="E126" s="19">
        <f t="shared" si="4"/>
        <v>852.46428571428567</v>
      </c>
      <c r="F126">
        <v>7822.36</v>
      </c>
      <c r="I126" s="19">
        <f t="shared" si="5"/>
        <v>47738</v>
      </c>
      <c r="J126" t="b">
        <f t="shared" si="6"/>
        <v>1</v>
      </c>
      <c r="K126" s="4">
        <f t="shared" si="7"/>
        <v>-0.83613976287234493</v>
      </c>
      <c r="M126"/>
      <c r="O126"/>
      <c r="Q126" t="s">
        <v>385</v>
      </c>
      <c r="R126">
        <v>384</v>
      </c>
      <c r="S126">
        <v>284.83</v>
      </c>
    </row>
    <row r="127" spans="1:19" hidden="1">
      <c r="A127" t="s">
        <v>1341</v>
      </c>
      <c r="B127" t="s">
        <v>967</v>
      </c>
      <c r="C127" t="s">
        <v>968</v>
      </c>
      <c r="D127">
        <v>430</v>
      </c>
      <c r="E127" s="19">
        <f t="shared" si="4"/>
        <v>15.357142857142858</v>
      </c>
      <c r="F127">
        <v>409.28</v>
      </c>
      <c r="I127" s="19">
        <f t="shared" si="5"/>
        <v>860</v>
      </c>
      <c r="J127" t="b">
        <f t="shared" si="6"/>
        <v>1</v>
      </c>
      <c r="K127" s="4">
        <f>F127/I127-1</f>
        <v>-0.52409302325581397</v>
      </c>
      <c r="M127"/>
      <c r="O127"/>
      <c r="Q127" t="s">
        <v>123</v>
      </c>
      <c r="R127">
        <v>4667</v>
      </c>
      <c r="S127">
        <v>10317.379999999999</v>
      </c>
    </row>
    <row r="128" spans="1:19" hidden="1">
      <c r="A128" t="s">
        <v>1339</v>
      </c>
      <c r="B128" t="s">
        <v>496</v>
      </c>
      <c r="C128" t="s">
        <v>497</v>
      </c>
      <c r="D128">
        <v>1008</v>
      </c>
      <c r="E128" s="19">
        <f t="shared" si="4"/>
        <v>36</v>
      </c>
      <c r="F128">
        <v>1403.14</v>
      </c>
      <c r="I128" s="19">
        <f t="shared" si="5"/>
        <v>2016</v>
      </c>
      <c r="J128" t="b">
        <f t="shared" si="6"/>
        <v>1</v>
      </c>
      <c r="K128" s="4">
        <f t="shared" si="7"/>
        <v>-0.30399801587301578</v>
      </c>
      <c r="M128"/>
      <c r="O128"/>
      <c r="Q128" t="s">
        <v>173</v>
      </c>
      <c r="R128">
        <v>2577</v>
      </c>
      <c r="S128">
        <v>5023.1499999999996</v>
      </c>
    </row>
    <row r="129" spans="1:19" hidden="1">
      <c r="A129" t="s">
        <v>1339</v>
      </c>
      <c r="B129" t="s">
        <v>510</v>
      </c>
      <c r="C129" t="s">
        <v>511</v>
      </c>
      <c r="D129">
        <v>1142</v>
      </c>
      <c r="E129" s="19">
        <f t="shared" ref="E129:E188" si="8">D129/28</f>
        <v>40.785714285714285</v>
      </c>
      <c r="F129">
        <v>2738.54</v>
      </c>
      <c r="I129" s="19">
        <f t="shared" ref="I129:I188" si="9">IF((D129/28)&gt;100,D129*2,D129*2)</f>
        <v>2284</v>
      </c>
      <c r="J129" t="b">
        <f t="shared" ref="J129:J188" si="10">IF(F129&gt;1.2*I129,FALSE,TRUE)</f>
        <v>1</v>
      </c>
      <c r="K129" s="4">
        <f t="shared" ref="K129:K188" si="11">F129/I129-1</f>
        <v>0.19901050788091057</v>
      </c>
      <c r="M129"/>
      <c r="O129"/>
      <c r="Q129" t="s">
        <v>143</v>
      </c>
      <c r="R129">
        <v>2165</v>
      </c>
      <c r="S129">
        <v>3961.47</v>
      </c>
    </row>
    <row r="130" spans="1:19" hidden="1">
      <c r="A130" t="s">
        <v>1340</v>
      </c>
      <c r="B130" t="s">
        <v>803</v>
      </c>
      <c r="C130" t="s">
        <v>804</v>
      </c>
      <c r="D130">
        <v>1219</v>
      </c>
      <c r="E130" s="19">
        <f t="shared" si="8"/>
        <v>43.535714285714285</v>
      </c>
      <c r="F130">
        <v>258.14999999999998</v>
      </c>
      <c r="I130" s="19">
        <f t="shared" si="9"/>
        <v>2438</v>
      </c>
      <c r="J130" t="b">
        <f t="shared" si="10"/>
        <v>1</v>
      </c>
      <c r="K130" s="4">
        <f t="shared" si="11"/>
        <v>-0.89411402789171457</v>
      </c>
      <c r="M130"/>
      <c r="O130"/>
      <c r="Q130" t="s">
        <v>163</v>
      </c>
      <c r="R130">
        <v>1108</v>
      </c>
      <c r="S130">
        <v>2267.13</v>
      </c>
    </row>
    <row r="131" spans="1:19" hidden="1">
      <c r="A131" t="s">
        <v>1340</v>
      </c>
      <c r="B131" t="s">
        <v>795</v>
      </c>
      <c r="C131" t="s">
        <v>796</v>
      </c>
      <c r="D131">
        <v>1582</v>
      </c>
      <c r="E131" s="19">
        <f t="shared" si="8"/>
        <v>56.5</v>
      </c>
      <c r="F131">
        <v>2306.34</v>
      </c>
      <c r="I131" s="19">
        <f t="shared" si="9"/>
        <v>3164</v>
      </c>
      <c r="J131" t="b">
        <f t="shared" si="10"/>
        <v>1</v>
      </c>
      <c r="K131" s="4">
        <f t="shared" si="11"/>
        <v>-0.27106826801517059</v>
      </c>
      <c r="M131"/>
      <c r="O131"/>
      <c r="Q131" t="s">
        <v>475</v>
      </c>
      <c r="R131">
        <v>2302</v>
      </c>
      <c r="S131">
        <v>4803.66</v>
      </c>
    </row>
    <row r="132" spans="1:19" hidden="1">
      <c r="A132" t="s">
        <v>1341</v>
      </c>
      <c r="B132" t="s">
        <v>994</v>
      </c>
      <c r="C132" t="s">
        <v>995</v>
      </c>
      <c r="D132">
        <v>3132</v>
      </c>
      <c r="E132" s="19">
        <f t="shared" si="8"/>
        <v>111.85714285714286</v>
      </c>
      <c r="F132">
        <v>2624.33</v>
      </c>
      <c r="I132" s="19">
        <f t="shared" si="9"/>
        <v>6264</v>
      </c>
      <c r="J132" t="b">
        <f t="shared" si="10"/>
        <v>1</v>
      </c>
      <c r="K132" s="4">
        <f t="shared" si="11"/>
        <v>-0.58104565772669226</v>
      </c>
      <c r="M132"/>
      <c r="O132"/>
      <c r="Q132" t="s">
        <v>217</v>
      </c>
      <c r="R132">
        <v>760</v>
      </c>
      <c r="S132">
        <v>1679.4</v>
      </c>
    </row>
    <row r="133" spans="1:19" hidden="1">
      <c r="A133" t="s">
        <v>1339</v>
      </c>
      <c r="B133" t="s">
        <v>196</v>
      </c>
      <c r="C133" t="s">
        <v>197</v>
      </c>
      <c r="D133">
        <v>1476</v>
      </c>
      <c r="E133" s="19">
        <f t="shared" si="8"/>
        <v>52.714285714285715</v>
      </c>
      <c r="F133">
        <v>2182.5700000000002</v>
      </c>
      <c r="I133" s="19">
        <f t="shared" si="9"/>
        <v>2952</v>
      </c>
      <c r="J133" t="b">
        <f t="shared" si="10"/>
        <v>1</v>
      </c>
      <c r="K133" s="4">
        <f t="shared" si="11"/>
        <v>-0.2606470189701896</v>
      </c>
      <c r="M133"/>
      <c r="O133"/>
      <c r="Q133" t="s">
        <v>359</v>
      </c>
      <c r="R133">
        <v>1249</v>
      </c>
      <c r="S133">
        <v>1523.67</v>
      </c>
    </row>
    <row r="134" spans="1:19" hidden="1">
      <c r="A134" t="s">
        <v>1341</v>
      </c>
      <c r="B134" t="s">
        <v>1097</v>
      </c>
      <c r="C134" t="s">
        <v>1098</v>
      </c>
      <c r="D134">
        <v>981</v>
      </c>
      <c r="E134" s="19">
        <f t="shared" si="8"/>
        <v>35.035714285714285</v>
      </c>
      <c r="F134">
        <v>1149.3399999999999</v>
      </c>
      <c r="I134" s="19">
        <f t="shared" si="9"/>
        <v>1962</v>
      </c>
      <c r="J134" t="b">
        <f t="shared" si="10"/>
        <v>1</v>
      </c>
      <c r="K134" s="4">
        <f t="shared" si="11"/>
        <v>-0.41419979612640168</v>
      </c>
      <c r="M134"/>
      <c r="O134"/>
      <c r="R134">
        <v>0</v>
      </c>
      <c r="S134">
        <v>0</v>
      </c>
    </row>
    <row r="135" spans="1:19" hidden="1">
      <c r="A135" t="s">
        <v>1341</v>
      </c>
      <c r="B135" t="s">
        <v>1052</v>
      </c>
      <c r="C135" t="s">
        <v>1053</v>
      </c>
      <c r="D135">
        <v>1331</v>
      </c>
      <c r="E135" s="19">
        <f t="shared" si="8"/>
        <v>47.535714285714285</v>
      </c>
      <c r="F135">
        <v>1289.8599999999999</v>
      </c>
      <c r="I135" s="19">
        <f t="shared" si="9"/>
        <v>2662</v>
      </c>
      <c r="J135" t="b">
        <f t="shared" si="10"/>
        <v>1</v>
      </c>
      <c r="K135" s="4">
        <f t="shared" si="11"/>
        <v>-0.5154545454545455</v>
      </c>
      <c r="M135"/>
      <c r="O135"/>
      <c r="R135">
        <v>0</v>
      </c>
      <c r="S135">
        <v>0</v>
      </c>
    </row>
    <row r="136" spans="1:19" hidden="1">
      <c r="A136" t="s">
        <v>1339</v>
      </c>
      <c r="B136" t="s">
        <v>220</v>
      </c>
      <c r="C136" t="s">
        <v>221</v>
      </c>
      <c r="D136">
        <v>1718</v>
      </c>
      <c r="E136" s="19">
        <f t="shared" si="8"/>
        <v>61.357142857142854</v>
      </c>
      <c r="F136">
        <v>3007.04</v>
      </c>
      <c r="I136" s="19">
        <f t="shared" si="9"/>
        <v>3436</v>
      </c>
      <c r="J136" t="b">
        <f t="shared" si="10"/>
        <v>1</v>
      </c>
      <c r="K136" s="4">
        <f t="shared" si="11"/>
        <v>-0.1248428405122235</v>
      </c>
      <c r="M136"/>
      <c r="O136"/>
      <c r="R136">
        <v>0</v>
      </c>
      <c r="S136">
        <v>0</v>
      </c>
    </row>
    <row r="137" spans="1:19" hidden="1">
      <c r="A137" t="s">
        <v>1339</v>
      </c>
      <c r="B137" t="s">
        <v>486</v>
      </c>
      <c r="C137" t="s">
        <v>487</v>
      </c>
      <c r="D137">
        <v>2063</v>
      </c>
      <c r="E137" s="19">
        <f t="shared" si="8"/>
        <v>73.678571428571431</v>
      </c>
      <c r="F137">
        <v>2977.68</v>
      </c>
      <c r="I137" s="19">
        <f t="shared" si="9"/>
        <v>4126</v>
      </c>
      <c r="J137" t="b">
        <f t="shared" si="10"/>
        <v>1</v>
      </c>
      <c r="K137" s="4">
        <f t="shared" si="11"/>
        <v>-0.27831313620940379</v>
      </c>
      <c r="M137"/>
      <c r="O137"/>
      <c r="R137">
        <v>0</v>
      </c>
      <c r="S137">
        <v>0</v>
      </c>
    </row>
    <row r="138" spans="1:19" hidden="1">
      <c r="A138" t="s">
        <v>1341</v>
      </c>
      <c r="B138" t="s">
        <v>1071</v>
      </c>
      <c r="C138" t="s">
        <v>1072</v>
      </c>
      <c r="D138">
        <v>1159</v>
      </c>
      <c r="E138" s="19">
        <f t="shared" si="8"/>
        <v>41.392857142857146</v>
      </c>
      <c r="F138">
        <v>743.61</v>
      </c>
      <c r="I138" s="19">
        <f t="shared" si="9"/>
        <v>2318</v>
      </c>
      <c r="J138" t="b">
        <f t="shared" si="10"/>
        <v>1</v>
      </c>
      <c r="K138" s="4">
        <f t="shared" si="11"/>
        <v>-0.67920189818809318</v>
      </c>
      <c r="M138"/>
      <c r="O138"/>
      <c r="R138">
        <v>0</v>
      </c>
      <c r="S138">
        <v>0</v>
      </c>
    </row>
    <row r="139" spans="1:19" hidden="1">
      <c r="A139" t="s">
        <v>1339</v>
      </c>
      <c r="B139" t="s">
        <v>402</v>
      </c>
      <c r="C139" t="s">
        <v>403</v>
      </c>
      <c r="D139">
        <v>1322</v>
      </c>
      <c r="E139" s="19">
        <f t="shared" si="8"/>
        <v>47.214285714285715</v>
      </c>
      <c r="F139">
        <v>2254.4499999999998</v>
      </c>
      <c r="I139" s="19">
        <f t="shared" si="9"/>
        <v>2644</v>
      </c>
      <c r="J139" t="b">
        <f t="shared" si="10"/>
        <v>1</v>
      </c>
      <c r="K139" s="4">
        <f t="shared" si="11"/>
        <v>-0.14733358547655073</v>
      </c>
      <c r="M139"/>
      <c r="O139"/>
      <c r="R139">
        <v>0</v>
      </c>
      <c r="S139">
        <v>0</v>
      </c>
    </row>
    <row r="140" spans="1:19" hidden="1">
      <c r="A140" t="s">
        <v>1339</v>
      </c>
      <c r="B140" t="s">
        <v>494</v>
      </c>
      <c r="C140" t="s">
        <v>495</v>
      </c>
      <c r="D140">
        <v>1497</v>
      </c>
      <c r="E140" s="19">
        <f t="shared" si="8"/>
        <v>53.464285714285715</v>
      </c>
      <c r="F140">
        <v>734.77</v>
      </c>
      <c r="I140" s="19">
        <f t="shared" si="9"/>
        <v>2994</v>
      </c>
      <c r="J140" t="b">
        <f t="shared" si="10"/>
        <v>1</v>
      </c>
      <c r="K140" s="4">
        <f t="shared" si="11"/>
        <v>-0.75458583834335335</v>
      </c>
      <c r="M140"/>
      <c r="O140"/>
      <c r="Q140" t="s">
        <v>191</v>
      </c>
      <c r="R140">
        <v>477</v>
      </c>
      <c r="S140">
        <v>944.89</v>
      </c>
    </row>
    <row r="141" spans="1:19" hidden="1">
      <c r="A141" t="s">
        <v>1341</v>
      </c>
      <c r="B141" t="s">
        <v>1011</v>
      </c>
      <c r="C141" t="s">
        <v>1012</v>
      </c>
      <c r="D141">
        <v>1374</v>
      </c>
      <c r="E141" s="19">
        <f t="shared" si="8"/>
        <v>49.071428571428569</v>
      </c>
      <c r="F141">
        <v>933.76</v>
      </c>
      <c r="I141" s="19">
        <f t="shared" si="9"/>
        <v>2748</v>
      </c>
      <c r="J141" t="b">
        <f t="shared" si="10"/>
        <v>1</v>
      </c>
      <c r="K141" s="4">
        <f t="shared" si="11"/>
        <v>-0.66020378457059681</v>
      </c>
      <c r="M141"/>
      <c r="O141"/>
      <c r="Q141" t="s">
        <v>159</v>
      </c>
      <c r="R141">
        <v>732</v>
      </c>
      <c r="S141">
        <v>2164.04</v>
      </c>
    </row>
    <row r="142" spans="1:19" hidden="1">
      <c r="A142" t="s">
        <v>1340</v>
      </c>
      <c r="B142" t="s">
        <v>884</v>
      </c>
      <c r="C142" t="s">
        <v>885</v>
      </c>
      <c r="D142">
        <v>2132</v>
      </c>
      <c r="E142" s="19">
        <f t="shared" si="8"/>
        <v>76.142857142857139</v>
      </c>
      <c r="F142">
        <v>2995.71</v>
      </c>
      <c r="I142" s="19">
        <f t="shared" si="9"/>
        <v>4264</v>
      </c>
      <c r="J142" t="b">
        <f t="shared" si="10"/>
        <v>1</v>
      </c>
      <c r="K142" s="4">
        <f t="shared" si="11"/>
        <v>-0.29744136960600376</v>
      </c>
      <c r="M142"/>
      <c r="O142"/>
      <c r="Q142" t="s">
        <v>321</v>
      </c>
      <c r="R142">
        <v>807</v>
      </c>
      <c r="S142">
        <v>1003.12</v>
      </c>
    </row>
    <row r="143" spans="1:19" hidden="1">
      <c r="A143" t="s">
        <v>1340</v>
      </c>
      <c r="B143" t="s">
        <v>678</v>
      </c>
      <c r="C143" t="s">
        <v>679</v>
      </c>
      <c r="D143">
        <v>2188</v>
      </c>
      <c r="E143" s="19">
        <f t="shared" si="8"/>
        <v>78.142857142857139</v>
      </c>
      <c r="F143">
        <v>2188.62</v>
      </c>
      <c r="I143" s="19">
        <f t="shared" si="9"/>
        <v>4376</v>
      </c>
      <c r="J143" t="b">
        <f t="shared" si="10"/>
        <v>1</v>
      </c>
      <c r="K143" s="4">
        <f t="shared" si="11"/>
        <v>-0.49985831809872028</v>
      </c>
      <c r="M143"/>
      <c r="O143"/>
      <c r="Q143" t="s">
        <v>183</v>
      </c>
      <c r="R143">
        <v>1176</v>
      </c>
      <c r="S143">
        <v>1389.04</v>
      </c>
    </row>
    <row r="144" spans="1:19" hidden="1">
      <c r="A144" t="s">
        <v>1339</v>
      </c>
      <c r="B144" t="s">
        <v>100</v>
      </c>
      <c r="C144" t="s">
        <v>101</v>
      </c>
      <c r="D144">
        <v>1457</v>
      </c>
      <c r="E144" s="19">
        <f t="shared" si="8"/>
        <v>52.035714285714285</v>
      </c>
      <c r="F144">
        <v>2988.71</v>
      </c>
      <c r="I144" s="19">
        <f t="shared" si="9"/>
        <v>2914</v>
      </c>
      <c r="J144" t="b">
        <f t="shared" si="10"/>
        <v>1</v>
      </c>
      <c r="K144" s="4">
        <f t="shared" si="11"/>
        <v>2.5638297872340399E-2</v>
      </c>
      <c r="M144"/>
      <c r="O144"/>
      <c r="Q144" t="s">
        <v>347</v>
      </c>
      <c r="R144">
        <v>485</v>
      </c>
      <c r="S144">
        <v>1024.1400000000001</v>
      </c>
    </row>
    <row r="145" spans="1:19" hidden="1">
      <c r="A145" t="s">
        <v>1339</v>
      </c>
      <c r="B145" t="s">
        <v>522</v>
      </c>
      <c r="C145" t="s">
        <v>523</v>
      </c>
      <c r="D145">
        <v>3221</v>
      </c>
      <c r="E145" s="19">
        <f t="shared" si="8"/>
        <v>115.03571428571429</v>
      </c>
      <c r="F145">
        <v>3820.98</v>
      </c>
      <c r="I145" s="19">
        <f t="shared" si="9"/>
        <v>6442</v>
      </c>
      <c r="J145" t="b">
        <f t="shared" si="10"/>
        <v>1</v>
      </c>
      <c r="K145" s="4">
        <f t="shared" si="11"/>
        <v>-0.40686432784849424</v>
      </c>
      <c r="M145"/>
      <c r="O145"/>
      <c r="Q145" t="s">
        <v>213</v>
      </c>
      <c r="R145">
        <v>1603</v>
      </c>
      <c r="S145">
        <v>2952.38</v>
      </c>
    </row>
    <row r="146" spans="1:19" hidden="1">
      <c r="A146" t="s">
        <v>1340</v>
      </c>
      <c r="B146" t="s">
        <v>815</v>
      </c>
      <c r="C146" t="s">
        <v>816</v>
      </c>
      <c r="D146">
        <v>1515</v>
      </c>
      <c r="E146" s="19">
        <f t="shared" si="8"/>
        <v>54.107142857142854</v>
      </c>
      <c r="F146">
        <v>2574.21</v>
      </c>
      <c r="I146" s="19">
        <f t="shared" si="9"/>
        <v>3030</v>
      </c>
      <c r="J146" t="b">
        <f t="shared" si="10"/>
        <v>1</v>
      </c>
      <c r="K146" s="4">
        <f t="shared" si="11"/>
        <v>-0.15042574257425745</v>
      </c>
      <c r="M146"/>
      <c r="O146"/>
      <c r="Q146" t="s">
        <v>77</v>
      </c>
      <c r="R146">
        <v>5633</v>
      </c>
      <c r="S146">
        <v>3251.64</v>
      </c>
    </row>
    <row r="147" spans="1:19" hidden="1">
      <c r="A147" t="s">
        <v>1341</v>
      </c>
      <c r="B147" t="s">
        <v>1115</v>
      </c>
      <c r="C147" t="s">
        <v>1116</v>
      </c>
      <c r="D147">
        <v>1052</v>
      </c>
      <c r="E147" s="19">
        <f t="shared" si="8"/>
        <v>37.571428571428569</v>
      </c>
      <c r="F147">
        <v>1156.6099999999999</v>
      </c>
      <c r="I147" s="19">
        <f t="shared" si="9"/>
        <v>2104</v>
      </c>
      <c r="J147" t="b">
        <f t="shared" si="10"/>
        <v>1</v>
      </c>
      <c r="K147" s="4">
        <f t="shared" si="11"/>
        <v>-0.45028041825095066</v>
      </c>
      <c r="M147"/>
      <c r="O147"/>
      <c r="Q147" t="s">
        <v>103</v>
      </c>
      <c r="R147">
        <v>3162</v>
      </c>
      <c r="S147">
        <v>3743.79</v>
      </c>
    </row>
    <row r="148" spans="1:19" hidden="1">
      <c r="A148" t="s">
        <v>1339</v>
      </c>
      <c r="B148" t="s">
        <v>160</v>
      </c>
      <c r="C148" t="s">
        <v>161</v>
      </c>
      <c r="D148">
        <v>1422</v>
      </c>
      <c r="E148" s="19">
        <f t="shared" si="8"/>
        <v>50.785714285714285</v>
      </c>
      <c r="F148">
        <v>2549.86</v>
      </c>
      <c r="I148" s="19">
        <f t="shared" si="9"/>
        <v>2844</v>
      </c>
      <c r="J148" t="b">
        <f t="shared" si="10"/>
        <v>1</v>
      </c>
      <c r="K148" s="4">
        <f t="shared" si="11"/>
        <v>-0.10342475386779182</v>
      </c>
      <c r="M148"/>
      <c r="O148"/>
      <c r="Q148" t="s">
        <v>469</v>
      </c>
      <c r="R148">
        <v>401</v>
      </c>
      <c r="S148">
        <v>371.16</v>
      </c>
    </row>
    <row r="149" spans="1:19" hidden="1">
      <c r="A149" t="s">
        <v>1339</v>
      </c>
      <c r="B149" t="s">
        <v>180</v>
      </c>
      <c r="C149" t="s">
        <v>181</v>
      </c>
      <c r="D149">
        <v>996</v>
      </c>
      <c r="E149" s="19">
        <f t="shared" si="8"/>
        <v>35.571428571428569</v>
      </c>
      <c r="F149">
        <v>1037.5899999999999</v>
      </c>
      <c r="I149" s="19">
        <f t="shared" si="9"/>
        <v>1992</v>
      </c>
      <c r="J149" t="b">
        <f t="shared" si="10"/>
        <v>1</v>
      </c>
      <c r="K149" s="4">
        <f t="shared" si="11"/>
        <v>-0.47912148594377513</v>
      </c>
      <c r="M149"/>
      <c r="O149"/>
      <c r="Q149" t="s">
        <v>105</v>
      </c>
      <c r="R149">
        <v>1430</v>
      </c>
      <c r="S149">
        <v>2394.31</v>
      </c>
    </row>
    <row r="150" spans="1:19" hidden="1">
      <c r="A150" t="s">
        <v>1339</v>
      </c>
      <c r="B150" t="s">
        <v>322</v>
      </c>
      <c r="C150" t="s">
        <v>323</v>
      </c>
      <c r="D150">
        <v>1099</v>
      </c>
      <c r="E150" s="19">
        <f t="shared" si="8"/>
        <v>39.25</v>
      </c>
      <c r="F150">
        <v>1547.22</v>
      </c>
      <c r="I150" s="19">
        <f t="shared" si="9"/>
        <v>2198</v>
      </c>
      <c r="J150" t="b">
        <f t="shared" si="10"/>
        <v>1</v>
      </c>
      <c r="K150" s="4">
        <f t="shared" si="11"/>
        <v>-0.29607825295723389</v>
      </c>
      <c r="M150"/>
      <c r="O150"/>
      <c r="Q150" t="s">
        <v>351</v>
      </c>
      <c r="R150">
        <v>751</v>
      </c>
      <c r="S150">
        <v>53.21</v>
      </c>
    </row>
    <row r="151" spans="1:19" hidden="1">
      <c r="A151" t="s">
        <v>1339</v>
      </c>
      <c r="B151" t="s">
        <v>442</v>
      </c>
      <c r="C151" t="s">
        <v>443</v>
      </c>
      <c r="D151">
        <v>1214</v>
      </c>
      <c r="E151" s="19">
        <f t="shared" si="8"/>
        <v>43.357142857142854</v>
      </c>
      <c r="F151">
        <v>1896.84</v>
      </c>
      <c r="I151" s="19">
        <f t="shared" si="9"/>
        <v>2428</v>
      </c>
      <c r="J151" t="b">
        <f t="shared" si="10"/>
        <v>1</v>
      </c>
      <c r="K151" s="4">
        <f t="shared" si="11"/>
        <v>-0.21876441515650746</v>
      </c>
      <c r="M151"/>
      <c r="O151"/>
      <c r="Q151" t="s">
        <v>257</v>
      </c>
      <c r="R151">
        <v>696</v>
      </c>
      <c r="S151">
        <v>966.85</v>
      </c>
    </row>
    <row r="152" spans="1:19" hidden="1">
      <c r="A152" t="s">
        <v>1340</v>
      </c>
      <c r="B152" t="s">
        <v>711</v>
      </c>
      <c r="C152" t="s">
        <v>712</v>
      </c>
      <c r="D152">
        <v>1051</v>
      </c>
      <c r="E152" s="19">
        <f t="shared" si="8"/>
        <v>37.535714285714285</v>
      </c>
      <c r="F152">
        <v>1059.74</v>
      </c>
      <c r="I152" s="19">
        <f t="shared" si="9"/>
        <v>2102</v>
      </c>
      <c r="J152" t="b">
        <f t="shared" si="10"/>
        <v>1</v>
      </c>
      <c r="K152" s="4">
        <f t="shared" si="11"/>
        <v>-0.49584205518553759</v>
      </c>
      <c r="M152"/>
      <c r="O152"/>
      <c r="Q152" t="s">
        <v>249</v>
      </c>
      <c r="R152">
        <v>1272</v>
      </c>
      <c r="S152">
        <v>2336.77</v>
      </c>
    </row>
    <row r="153" spans="1:19" hidden="1">
      <c r="A153" t="s">
        <v>1341</v>
      </c>
      <c r="B153" t="s">
        <v>984</v>
      </c>
      <c r="C153" t="s">
        <v>985</v>
      </c>
      <c r="D153">
        <v>1606</v>
      </c>
      <c r="E153" s="19">
        <f t="shared" si="8"/>
        <v>57.357142857142854</v>
      </c>
      <c r="F153">
        <v>3641.57</v>
      </c>
      <c r="I153" s="19">
        <f t="shared" si="9"/>
        <v>3212</v>
      </c>
      <c r="J153" t="b">
        <f t="shared" si="10"/>
        <v>1</v>
      </c>
      <c r="K153" s="4">
        <f t="shared" si="11"/>
        <v>0.13373910336239114</v>
      </c>
      <c r="M153"/>
      <c r="O153"/>
      <c r="Q153" t="s">
        <v>239</v>
      </c>
      <c r="R153">
        <v>924</v>
      </c>
      <c r="S153">
        <v>1371.73</v>
      </c>
    </row>
    <row r="154" spans="1:19" hidden="1">
      <c r="A154" t="s">
        <v>1339</v>
      </c>
      <c r="B154" t="s">
        <v>262</v>
      </c>
      <c r="C154" t="s">
        <v>263</v>
      </c>
      <c r="D154">
        <v>1376</v>
      </c>
      <c r="E154" s="19">
        <f t="shared" si="8"/>
        <v>49.142857142857146</v>
      </c>
      <c r="F154">
        <v>3083.59</v>
      </c>
      <c r="I154" s="19">
        <f t="shared" si="9"/>
        <v>2752</v>
      </c>
      <c r="J154" t="b">
        <f t="shared" si="10"/>
        <v>1</v>
      </c>
      <c r="K154" s="4">
        <f t="shared" si="11"/>
        <v>0.12049055232558148</v>
      </c>
      <c r="M154"/>
      <c r="O154"/>
      <c r="Q154" t="s">
        <v>219</v>
      </c>
      <c r="R154">
        <v>3</v>
      </c>
      <c r="S154">
        <v>4.76</v>
      </c>
    </row>
    <row r="155" spans="1:19" hidden="1">
      <c r="A155" t="s">
        <v>1341</v>
      </c>
      <c r="B155" t="s">
        <v>1125</v>
      </c>
      <c r="C155" t="s">
        <v>1126</v>
      </c>
      <c r="D155">
        <v>3906</v>
      </c>
      <c r="E155" s="19">
        <f t="shared" si="8"/>
        <v>139.5</v>
      </c>
      <c r="F155">
        <v>4363.76</v>
      </c>
      <c r="I155" s="19">
        <f t="shared" si="9"/>
        <v>7812</v>
      </c>
      <c r="J155" t="b">
        <f t="shared" si="10"/>
        <v>1</v>
      </c>
      <c r="K155" s="4">
        <f t="shared" si="11"/>
        <v>-0.44140296979006655</v>
      </c>
      <c r="M155"/>
      <c r="O155"/>
      <c r="Q155" t="s">
        <v>285</v>
      </c>
      <c r="R155">
        <v>654</v>
      </c>
      <c r="S155">
        <v>1923.98</v>
      </c>
    </row>
    <row r="156" spans="1:19" hidden="1">
      <c r="A156" t="s">
        <v>1339</v>
      </c>
      <c r="B156" t="s">
        <v>404</v>
      </c>
      <c r="C156" t="s">
        <v>405</v>
      </c>
      <c r="D156">
        <v>1820</v>
      </c>
      <c r="E156" s="19">
        <f t="shared" si="8"/>
        <v>65</v>
      </c>
      <c r="F156">
        <v>1950.64</v>
      </c>
      <c r="I156" s="19">
        <f t="shared" si="9"/>
        <v>3640</v>
      </c>
      <c r="J156" t="b">
        <f t="shared" si="10"/>
        <v>1</v>
      </c>
      <c r="K156" s="4">
        <f t="shared" si="11"/>
        <v>-0.46410989010989012</v>
      </c>
      <c r="M156"/>
      <c r="O156"/>
      <c r="Q156" t="s">
        <v>383</v>
      </c>
      <c r="R156">
        <v>272</v>
      </c>
      <c r="S156">
        <v>150.43</v>
      </c>
    </row>
    <row r="157" spans="1:19" hidden="1">
      <c r="A157" t="s">
        <v>1340</v>
      </c>
      <c r="B157" t="s">
        <v>730</v>
      </c>
      <c r="C157" t="s">
        <v>731</v>
      </c>
      <c r="D157">
        <v>778</v>
      </c>
      <c r="E157" s="19">
        <f t="shared" si="8"/>
        <v>27.785714285714285</v>
      </c>
      <c r="F157">
        <v>372.77</v>
      </c>
      <c r="I157" s="19">
        <f t="shared" si="9"/>
        <v>1556</v>
      </c>
      <c r="J157" t="b">
        <f t="shared" si="10"/>
        <v>1</v>
      </c>
      <c r="K157" s="4">
        <f t="shared" si="11"/>
        <v>-0.76043059125964008</v>
      </c>
      <c r="M157"/>
      <c r="O157"/>
      <c r="Q157" t="s">
        <v>245</v>
      </c>
      <c r="R157">
        <v>8</v>
      </c>
      <c r="S157">
        <v>0</v>
      </c>
    </row>
    <row r="158" spans="1:19" hidden="1">
      <c r="A158" t="s">
        <v>1340</v>
      </c>
      <c r="B158" t="s">
        <v>852</v>
      </c>
      <c r="C158" t="s">
        <v>853</v>
      </c>
      <c r="D158">
        <v>1043</v>
      </c>
      <c r="E158" s="19">
        <f t="shared" si="8"/>
        <v>37.25</v>
      </c>
      <c r="F158">
        <v>1745.29</v>
      </c>
      <c r="I158" s="140">
        <f t="shared" si="9"/>
        <v>2086</v>
      </c>
      <c r="J158" t="b">
        <f t="shared" si="10"/>
        <v>1</v>
      </c>
      <c r="K158" s="4">
        <f t="shared" si="11"/>
        <v>-0.16333173537871526</v>
      </c>
      <c r="Q158" t="s">
        <v>331</v>
      </c>
      <c r="R158">
        <v>460</v>
      </c>
      <c r="S158">
        <v>0</v>
      </c>
    </row>
    <row r="159" spans="1:19" hidden="1">
      <c r="A159" t="s">
        <v>1341</v>
      </c>
      <c r="B159" t="s">
        <v>1050</v>
      </c>
      <c r="C159" t="s">
        <v>1051</v>
      </c>
      <c r="D159">
        <v>1434</v>
      </c>
      <c r="E159" s="19">
        <f t="shared" si="8"/>
        <v>51.214285714285715</v>
      </c>
      <c r="F159">
        <v>2361.5700000000002</v>
      </c>
      <c r="I159" s="19">
        <f t="shared" si="9"/>
        <v>2868</v>
      </c>
      <c r="J159" t="b">
        <f t="shared" si="10"/>
        <v>1</v>
      </c>
      <c r="K159" s="4">
        <f t="shared" si="11"/>
        <v>-0.17657949790794969</v>
      </c>
      <c r="M159"/>
      <c r="O159"/>
      <c r="Q159" t="s">
        <v>491</v>
      </c>
      <c r="R159">
        <v>1605</v>
      </c>
      <c r="S159">
        <v>3252.58</v>
      </c>
    </row>
    <row r="160" spans="1:19" hidden="1">
      <c r="A160" t="s">
        <v>1341</v>
      </c>
      <c r="B160" t="s">
        <v>961</v>
      </c>
      <c r="C160" t="s">
        <v>962</v>
      </c>
      <c r="D160">
        <v>961</v>
      </c>
      <c r="E160" s="19">
        <f t="shared" si="8"/>
        <v>34.321428571428569</v>
      </c>
      <c r="F160">
        <v>593.12</v>
      </c>
      <c r="I160" s="19">
        <f t="shared" si="9"/>
        <v>1922</v>
      </c>
      <c r="J160" t="b">
        <f t="shared" si="10"/>
        <v>1</v>
      </c>
      <c r="K160" s="4">
        <f t="shared" si="11"/>
        <v>-0.69140478668054106</v>
      </c>
      <c r="M160"/>
      <c r="O160"/>
      <c r="Q160" t="s">
        <v>153</v>
      </c>
      <c r="R160">
        <v>906</v>
      </c>
      <c r="S160">
        <v>870.89</v>
      </c>
    </row>
    <row r="161" spans="1:19" hidden="1">
      <c r="A161" t="s">
        <v>1339</v>
      </c>
      <c r="B161" t="s">
        <v>296</v>
      </c>
      <c r="C161" t="s">
        <v>297</v>
      </c>
      <c r="D161">
        <v>1378</v>
      </c>
      <c r="E161" s="19">
        <f t="shared" si="8"/>
        <v>49.214285714285715</v>
      </c>
      <c r="F161">
        <v>2411.69</v>
      </c>
      <c r="I161" s="19">
        <f t="shared" si="9"/>
        <v>2756</v>
      </c>
      <c r="J161" t="b">
        <f t="shared" si="10"/>
        <v>1</v>
      </c>
      <c r="K161" s="4">
        <f t="shared" si="11"/>
        <v>-0.12493105950653116</v>
      </c>
      <c r="M161"/>
      <c r="O161"/>
      <c r="Q161" t="s">
        <v>237</v>
      </c>
      <c r="R161">
        <v>2</v>
      </c>
      <c r="S161">
        <v>5.22</v>
      </c>
    </row>
    <row r="162" spans="1:19" hidden="1">
      <c r="A162" t="s">
        <v>1340</v>
      </c>
      <c r="B162" s="21" t="s">
        <v>686</v>
      </c>
      <c r="C162" t="s">
        <v>687</v>
      </c>
      <c r="D162">
        <v>1140</v>
      </c>
      <c r="E162" s="19">
        <f t="shared" si="8"/>
        <v>40.714285714285715</v>
      </c>
      <c r="F162">
        <v>1795.8</v>
      </c>
      <c r="I162" s="140">
        <f t="shared" si="9"/>
        <v>2280</v>
      </c>
      <c r="J162" t="b">
        <f t="shared" si="10"/>
        <v>1</v>
      </c>
      <c r="K162" s="4">
        <f t="shared" si="11"/>
        <v>-0.21236842105263165</v>
      </c>
      <c r="Q162" t="s">
        <v>177</v>
      </c>
      <c r="R162">
        <v>910</v>
      </c>
      <c r="S162">
        <v>1227.83</v>
      </c>
    </row>
    <row r="163" spans="1:19" hidden="1">
      <c r="A163" t="s">
        <v>1340</v>
      </c>
      <c r="B163" t="s">
        <v>717</v>
      </c>
      <c r="C163" t="s">
        <v>718</v>
      </c>
      <c r="D163">
        <v>1486</v>
      </c>
      <c r="E163" s="19">
        <f t="shared" si="8"/>
        <v>53.071428571428569</v>
      </c>
      <c r="F163">
        <v>1398.83</v>
      </c>
      <c r="I163" s="19">
        <f t="shared" si="9"/>
        <v>2972</v>
      </c>
      <c r="J163" t="b">
        <f t="shared" si="10"/>
        <v>1</v>
      </c>
      <c r="K163" s="4">
        <f t="shared" si="11"/>
        <v>-0.52933041722745622</v>
      </c>
      <c r="M163"/>
      <c r="O163"/>
      <c r="Q163" t="s">
        <v>275</v>
      </c>
      <c r="R163">
        <v>2224</v>
      </c>
      <c r="S163">
        <v>3393.97</v>
      </c>
    </row>
    <row r="164" spans="1:19" hidden="1">
      <c r="A164" t="s">
        <v>1341</v>
      </c>
      <c r="B164" t="s">
        <v>1007</v>
      </c>
      <c r="C164" t="s">
        <v>1008</v>
      </c>
      <c r="D164">
        <v>860</v>
      </c>
      <c r="E164" s="19">
        <f t="shared" si="8"/>
        <v>30.714285714285715</v>
      </c>
      <c r="F164">
        <v>1161.53</v>
      </c>
      <c r="I164" s="140">
        <f t="shared" si="9"/>
        <v>1720</v>
      </c>
      <c r="J164" t="b">
        <f t="shared" si="10"/>
        <v>1</v>
      </c>
      <c r="K164" s="4">
        <f t="shared" si="11"/>
        <v>-0.32469186046511633</v>
      </c>
      <c r="Q164" t="s">
        <v>309</v>
      </c>
      <c r="R164">
        <v>739</v>
      </c>
      <c r="S164">
        <v>1714.51</v>
      </c>
    </row>
    <row r="165" spans="1:19" hidden="1">
      <c r="A165" t="s">
        <v>1339</v>
      </c>
      <c r="B165" t="s">
        <v>454</v>
      </c>
      <c r="C165" t="s">
        <v>455</v>
      </c>
      <c r="D165">
        <v>1626</v>
      </c>
      <c r="E165" s="19">
        <f>D165/28</f>
        <v>58.071428571428569</v>
      </c>
      <c r="F165">
        <v>1501.19</v>
      </c>
      <c r="I165" s="19">
        <f t="shared" si="9"/>
        <v>3252</v>
      </c>
      <c r="J165" t="b">
        <f t="shared" si="10"/>
        <v>1</v>
      </c>
      <c r="K165" s="4">
        <f t="shared" si="11"/>
        <v>-0.53837945879458793</v>
      </c>
      <c r="M165"/>
      <c r="O165"/>
      <c r="Q165" t="s">
        <v>243</v>
      </c>
      <c r="R165">
        <v>131</v>
      </c>
      <c r="S165">
        <v>91.13</v>
      </c>
    </row>
    <row r="166" spans="1:19" hidden="1">
      <c r="A166" t="s">
        <v>1341</v>
      </c>
      <c r="B166" t="s">
        <v>1077</v>
      </c>
      <c r="C166" t="s">
        <v>1078</v>
      </c>
      <c r="D166">
        <v>1164</v>
      </c>
      <c r="E166" s="19">
        <f t="shared" si="8"/>
        <v>41.571428571428569</v>
      </c>
      <c r="F166">
        <v>1306.3</v>
      </c>
      <c r="I166" s="19">
        <f t="shared" si="9"/>
        <v>2328</v>
      </c>
      <c r="J166" t="b">
        <f t="shared" si="10"/>
        <v>1</v>
      </c>
      <c r="K166" s="4">
        <f t="shared" si="11"/>
        <v>-0.43887457044673539</v>
      </c>
      <c r="M166"/>
      <c r="O166"/>
      <c r="Q166" t="s">
        <v>339</v>
      </c>
      <c r="R166">
        <v>241</v>
      </c>
      <c r="S166">
        <v>1011.31</v>
      </c>
    </row>
    <row r="167" spans="1:19" hidden="1">
      <c r="A167" t="s">
        <v>1341</v>
      </c>
      <c r="B167" t="s">
        <v>992</v>
      </c>
      <c r="C167" t="s">
        <v>993</v>
      </c>
      <c r="D167">
        <v>1851</v>
      </c>
      <c r="E167" s="19">
        <f t="shared" si="8"/>
        <v>66.107142857142861</v>
      </c>
      <c r="F167">
        <v>964.76</v>
      </c>
      <c r="I167" s="19">
        <f t="shared" si="9"/>
        <v>3702</v>
      </c>
      <c r="J167" t="b">
        <f t="shared" si="10"/>
        <v>1</v>
      </c>
      <c r="K167" s="4">
        <f t="shared" si="11"/>
        <v>-0.73939492166396548</v>
      </c>
      <c r="M167"/>
      <c r="O167"/>
      <c r="Q167" t="s">
        <v>34</v>
      </c>
      <c r="R167">
        <v>2823</v>
      </c>
      <c r="S167">
        <v>3165.3</v>
      </c>
    </row>
    <row r="168" spans="1:19" hidden="1">
      <c r="A168" t="s">
        <v>1341</v>
      </c>
      <c r="B168" t="s">
        <v>1002</v>
      </c>
      <c r="C168" t="s">
        <v>1003</v>
      </c>
      <c r="D168">
        <v>952</v>
      </c>
      <c r="E168" s="19">
        <f t="shared" si="8"/>
        <v>34</v>
      </c>
      <c r="F168">
        <v>1960.92</v>
      </c>
      <c r="I168" s="140">
        <f t="shared" si="9"/>
        <v>1904</v>
      </c>
      <c r="J168" t="b">
        <f t="shared" si="10"/>
        <v>1</v>
      </c>
      <c r="K168" s="4">
        <f t="shared" si="11"/>
        <v>2.9894957983193304E-2</v>
      </c>
      <c r="O168" s="146"/>
      <c r="Q168" t="s">
        <v>297</v>
      </c>
      <c r="R168">
        <v>1428</v>
      </c>
      <c r="S168">
        <v>2934.62</v>
      </c>
    </row>
    <row r="169" spans="1:19" hidden="1">
      <c r="A169" t="s">
        <v>1339</v>
      </c>
      <c r="B169" t="s">
        <v>372</v>
      </c>
      <c r="C169" t="s">
        <v>373</v>
      </c>
      <c r="D169">
        <v>541</v>
      </c>
      <c r="E169" s="19">
        <f t="shared" si="8"/>
        <v>19.321428571428573</v>
      </c>
      <c r="F169">
        <v>521.62</v>
      </c>
      <c r="I169" s="19">
        <f t="shared" si="9"/>
        <v>1082</v>
      </c>
      <c r="J169" t="b">
        <f t="shared" si="10"/>
        <v>1</v>
      </c>
      <c r="K169" s="4">
        <f t="shared" si="11"/>
        <v>-0.51791127541589654</v>
      </c>
      <c r="M169"/>
      <c r="O169"/>
      <c r="Q169" t="s">
        <v>397</v>
      </c>
      <c r="R169">
        <v>623</v>
      </c>
      <c r="S169">
        <v>1035.93</v>
      </c>
    </row>
    <row r="170" spans="1:19" hidden="1">
      <c r="A170" t="s">
        <v>1341</v>
      </c>
      <c r="B170" t="s">
        <v>1079</v>
      </c>
      <c r="C170" t="s">
        <v>1080</v>
      </c>
      <c r="D170">
        <v>1124</v>
      </c>
      <c r="E170" s="19">
        <f t="shared" si="8"/>
        <v>40.142857142857146</v>
      </c>
      <c r="F170">
        <v>1102.1300000000001</v>
      </c>
      <c r="I170" s="19">
        <f t="shared" si="9"/>
        <v>2248</v>
      </c>
      <c r="J170" t="b">
        <f t="shared" si="10"/>
        <v>1</v>
      </c>
      <c r="K170" s="4">
        <f t="shared" si="11"/>
        <v>-0.50972864768683268</v>
      </c>
      <c r="M170"/>
      <c r="O170"/>
      <c r="Q170" t="s">
        <v>481</v>
      </c>
      <c r="R170">
        <v>787</v>
      </c>
      <c r="S170">
        <v>1703.07</v>
      </c>
    </row>
    <row r="171" spans="1:19" hidden="1">
      <c r="A171" t="s">
        <v>1341</v>
      </c>
      <c r="B171" t="s">
        <v>1066</v>
      </c>
      <c r="C171" t="s">
        <v>1067</v>
      </c>
      <c r="D171">
        <v>1064</v>
      </c>
      <c r="E171" s="19">
        <f t="shared" si="8"/>
        <v>38</v>
      </c>
      <c r="F171">
        <v>1543.2</v>
      </c>
      <c r="I171" s="19">
        <f t="shared" si="9"/>
        <v>2128</v>
      </c>
      <c r="J171" t="b">
        <f t="shared" si="10"/>
        <v>1</v>
      </c>
      <c r="K171" s="4">
        <f t="shared" si="11"/>
        <v>-0.27481203007518795</v>
      </c>
      <c r="M171"/>
      <c r="O171"/>
      <c r="Q171" t="s">
        <v>335</v>
      </c>
      <c r="R171">
        <v>626</v>
      </c>
      <c r="S171">
        <v>1564.77</v>
      </c>
    </row>
    <row r="172" spans="1:19" hidden="1">
      <c r="A172" t="s">
        <v>1341</v>
      </c>
      <c r="B172" t="s">
        <v>1099</v>
      </c>
      <c r="C172" t="s">
        <v>1100</v>
      </c>
      <c r="D172">
        <v>1135</v>
      </c>
      <c r="E172" s="19">
        <f t="shared" si="8"/>
        <v>40.535714285714285</v>
      </c>
      <c r="F172">
        <v>693.93</v>
      </c>
      <c r="I172" s="19">
        <f t="shared" si="9"/>
        <v>2270</v>
      </c>
      <c r="J172" t="b">
        <f t="shared" si="10"/>
        <v>1</v>
      </c>
      <c r="K172" s="4">
        <f t="shared" si="11"/>
        <v>-0.69430396475770928</v>
      </c>
      <c r="M172"/>
      <c r="O172"/>
      <c r="Q172" t="s">
        <v>373</v>
      </c>
      <c r="R172">
        <v>685</v>
      </c>
      <c r="S172">
        <v>641.12</v>
      </c>
    </row>
    <row r="173" spans="1:19" hidden="1">
      <c r="A173" t="s">
        <v>1339</v>
      </c>
      <c r="B173" t="s">
        <v>182</v>
      </c>
      <c r="C173" t="s">
        <v>183</v>
      </c>
      <c r="D173">
        <v>1203</v>
      </c>
      <c r="E173" s="19">
        <f t="shared" si="8"/>
        <v>42.964285714285715</v>
      </c>
      <c r="F173">
        <v>938.73</v>
      </c>
      <c r="I173" s="19">
        <f t="shared" si="9"/>
        <v>2406</v>
      </c>
      <c r="J173" t="b">
        <f t="shared" si="10"/>
        <v>1</v>
      </c>
      <c r="K173" s="4">
        <f t="shared" si="11"/>
        <v>-0.60983790523690773</v>
      </c>
      <c r="M173"/>
      <c r="O173"/>
      <c r="Q173" t="s">
        <v>187</v>
      </c>
      <c r="R173">
        <v>1328</v>
      </c>
      <c r="S173">
        <v>1448.98</v>
      </c>
    </row>
    <row r="174" spans="1:19" hidden="1">
      <c r="A174" t="s">
        <v>1339</v>
      </c>
      <c r="B174" t="s">
        <v>104</v>
      </c>
      <c r="C174" t="s">
        <v>105</v>
      </c>
      <c r="D174">
        <v>1932</v>
      </c>
      <c r="E174" s="19">
        <f t="shared" si="8"/>
        <v>69</v>
      </c>
      <c r="F174">
        <v>3405.58</v>
      </c>
      <c r="I174" s="19">
        <f t="shared" si="9"/>
        <v>3864</v>
      </c>
      <c r="J174" t="b">
        <f t="shared" si="10"/>
        <v>1</v>
      </c>
      <c r="K174" s="4">
        <f t="shared" si="11"/>
        <v>-0.11863871635610768</v>
      </c>
      <c r="M174"/>
      <c r="O174"/>
      <c r="Q174" t="s">
        <v>451</v>
      </c>
      <c r="R174">
        <v>668</v>
      </c>
      <c r="S174">
        <v>1066.51</v>
      </c>
    </row>
    <row r="175" spans="1:19" hidden="1">
      <c r="A175" t="s">
        <v>1339</v>
      </c>
      <c r="B175" t="s">
        <v>162</v>
      </c>
      <c r="C175" t="s">
        <v>163</v>
      </c>
      <c r="D175">
        <v>1130</v>
      </c>
      <c r="E175" s="19">
        <f t="shared" si="8"/>
        <v>40.357142857142854</v>
      </c>
      <c r="F175">
        <v>1640.38</v>
      </c>
      <c r="I175" s="19">
        <f t="shared" si="9"/>
        <v>2260</v>
      </c>
      <c r="J175" t="b">
        <f t="shared" si="10"/>
        <v>1</v>
      </c>
      <c r="K175" s="4">
        <f t="shared" si="11"/>
        <v>-0.27416814159292036</v>
      </c>
      <c r="M175"/>
      <c r="O175"/>
      <c r="Q175" t="s">
        <v>205</v>
      </c>
      <c r="R175">
        <v>1509</v>
      </c>
      <c r="S175">
        <v>1951.13</v>
      </c>
    </row>
    <row r="176" spans="1:19" hidden="1">
      <c r="A176" t="s">
        <v>1340</v>
      </c>
      <c r="B176" t="s">
        <v>690</v>
      </c>
      <c r="C176" t="s">
        <v>691</v>
      </c>
      <c r="D176">
        <v>1414</v>
      </c>
      <c r="E176" s="19">
        <f t="shared" si="8"/>
        <v>50.5</v>
      </c>
      <c r="F176">
        <v>489.3</v>
      </c>
      <c r="I176" s="19">
        <f t="shared" si="9"/>
        <v>2828</v>
      </c>
      <c r="J176" t="b">
        <f t="shared" si="10"/>
        <v>1</v>
      </c>
      <c r="K176" s="4">
        <f t="shared" si="11"/>
        <v>-0.82698019801980194</v>
      </c>
      <c r="M176"/>
      <c r="O176"/>
      <c r="Q176" t="s">
        <v>399</v>
      </c>
      <c r="R176">
        <v>3022</v>
      </c>
      <c r="S176">
        <v>5124.5200000000004</v>
      </c>
    </row>
    <row r="177" spans="1:19" hidden="1">
      <c r="A177" t="s">
        <v>1340</v>
      </c>
      <c r="B177" t="s">
        <v>674</v>
      </c>
      <c r="C177" t="s">
        <v>675</v>
      </c>
      <c r="D177">
        <v>2178</v>
      </c>
      <c r="E177" s="19">
        <f t="shared" si="8"/>
        <v>77.785714285714292</v>
      </c>
      <c r="F177">
        <v>2342.52</v>
      </c>
      <c r="I177" s="19">
        <f t="shared" si="9"/>
        <v>4356</v>
      </c>
      <c r="J177" t="b">
        <f t="shared" si="10"/>
        <v>1</v>
      </c>
      <c r="K177" s="4">
        <f t="shared" si="11"/>
        <v>-0.46223140495867765</v>
      </c>
      <c r="M177"/>
      <c r="O177"/>
      <c r="Q177" t="s">
        <v>319</v>
      </c>
      <c r="R177">
        <v>1145</v>
      </c>
      <c r="S177">
        <v>1818.18</v>
      </c>
    </row>
    <row r="178" spans="1:19" hidden="1">
      <c r="A178" t="s">
        <v>1340</v>
      </c>
      <c r="B178" t="s">
        <v>866</v>
      </c>
      <c r="C178" t="s">
        <v>867</v>
      </c>
      <c r="D178">
        <v>1341</v>
      </c>
      <c r="E178" s="19">
        <f t="shared" si="8"/>
        <v>47.892857142857146</v>
      </c>
      <c r="F178">
        <v>1680.29</v>
      </c>
      <c r="I178" s="19">
        <f t="shared" si="9"/>
        <v>2682</v>
      </c>
      <c r="J178" t="b">
        <f t="shared" si="10"/>
        <v>1</v>
      </c>
      <c r="K178" s="4">
        <f t="shared" si="11"/>
        <v>-0.37349366144668161</v>
      </c>
      <c r="M178"/>
      <c r="O178"/>
      <c r="Q178" t="s">
        <v>293</v>
      </c>
      <c r="R178">
        <v>1394</v>
      </c>
      <c r="S178">
        <v>1861.92</v>
      </c>
    </row>
    <row r="179" spans="1:19" hidden="1">
      <c r="A179" t="s">
        <v>1341</v>
      </c>
      <c r="B179" t="s">
        <v>1107</v>
      </c>
      <c r="C179" t="s">
        <v>1108</v>
      </c>
      <c r="D179">
        <v>4295</v>
      </c>
      <c r="E179" s="19">
        <f t="shared" si="8"/>
        <v>153.39285714285714</v>
      </c>
      <c r="F179">
        <v>5739.52</v>
      </c>
      <c r="I179" s="19">
        <f t="shared" si="9"/>
        <v>8590</v>
      </c>
      <c r="J179" t="b">
        <f t="shared" si="10"/>
        <v>1</v>
      </c>
      <c r="K179" s="4">
        <f t="shared" si="11"/>
        <v>-0.33183701979045399</v>
      </c>
      <c r="M179"/>
      <c r="O179"/>
      <c r="Q179" t="s">
        <v>19</v>
      </c>
      <c r="R179">
        <v>33472</v>
      </c>
      <c r="S179">
        <v>35816.089999999997</v>
      </c>
    </row>
    <row r="180" spans="1:19" hidden="1">
      <c r="A180" t="s">
        <v>1339</v>
      </c>
      <c r="B180" t="s">
        <v>370</v>
      </c>
      <c r="C180" t="s">
        <v>371</v>
      </c>
      <c r="D180">
        <v>714</v>
      </c>
      <c r="E180" s="19">
        <f t="shared" si="8"/>
        <v>25.5</v>
      </c>
      <c r="F180">
        <v>364.64</v>
      </c>
      <c r="I180" s="19">
        <f t="shared" si="9"/>
        <v>1428</v>
      </c>
      <c r="J180" t="b">
        <f t="shared" si="10"/>
        <v>1</v>
      </c>
      <c r="K180" s="4">
        <f t="shared" si="11"/>
        <v>-0.74464985994397759</v>
      </c>
      <c r="M180"/>
      <c r="O180"/>
      <c r="Q180" t="s">
        <v>437</v>
      </c>
      <c r="R180">
        <v>1079</v>
      </c>
      <c r="S180">
        <v>1820.14</v>
      </c>
    </row>
    <row r="181" spans="1:19" hidden="1">
      <c r="A181" t="s">
        <v>1341</v>
      </c>
      <c r="B181" t="s">
        <v>919</v>
      </c>
      <c r="C181" t="s">
        <v>920</v>
      </c>
      <c r="D181">
        <v>268</v>
      </c>
      <c r="E181" s="19">
        <f t="shared" si="8"/>
        <v>9.5714285714285712</v>
      </c>
      <c r="F181">
        <v>0</v>
      </c>
      <c r="I181" s="19">
        <f t="shared" si="9"/>
        <v>536</v>
      </c>
      <c r="J181" t="b">
        <f t="shared" si="10"/>
        <v>1</v>
      </c>
      <c r="K181" s="4">
        <f>F181/I181-1</f>
        <v>-1</v>
      </c>
      <c r="M181"/>
      <c r="O181"/>
      <c r="Q181" t="s">
        <v>289</v>
      </c>
      <c r="R181">
        <v>1417</v>
      </c>
      <c r="S181">
        <v>2743.68</v>
      </c>
    </row>
    <row r="182" spans="1:19" hidden="1">
      <c r="A182" t="s">
        <v>1340</v>
      </c>
      <c r="B182" t="s">
        <v>782</v>
      </c>
      <c r="C182" t="s">
        <v>783</v>
      </c>
      <c r="D182">
        <v>620</v>
      </c>
      <c r="E182" s="19">
        <f t="shared" si="8"/>
        <v>22.142857142857142</v>
      </c>
      <c r="F182">
        <v>339.01</v>
      </c>
      <c r="I182" s="19">
        <f t="shared" si="9"/>
        <v>1240</v>
      </c>
      <c r="J182" t="b">
        <f t="shared" si="10"/>
        <v>1</v>
      </c>
      <c r="K182" s="4">
        <f t="shared" si="11"/>
        <v>-0.7266048387096774</v>
      </c>
      <c r="M182"/>
      <c r="O182"/>
      <c r="Q182" t="s">
        <v>371</v>
      </c>
      <c r="R182">
        <v>834</v>
      </c>
      <c r="S182">
        <v>558.63</v>
      </c>
    </row>
    <row r="183" spans="1:19" hidden="1">
      <c r="A183" t="s">
        <v>1340</v>
      </c>
      <c r="B183" t="s">
        <v>807</v>
      </c>
      <c r="C183" t="s">
        <v>808</v>
      </c>
      <c r="D183">
        <v>647</v>
      </c>
      <c r="E183" s="19">
        <f t="shared" si="8"/>
        <v>23.107142857142858</v>
      </c>
      <c r="F183">
        <v>989.81</v>
      </c>
      <c r="I183" s="140">
        <f t="shared" si="9"/>
        <v>1294</v>
      </c>
      <c r="J183" t="b">
        <f t="shared" si="10"/>
        <v>1</v>
      </c>
      <c r="K183" s="4">
        <f t="shared" si="11"/>
        <v>-0.23507727975270487</v>
      </c>
      <c r="Q183" t="s">
        <v>307</v>
      </c>
      <c r="R183">
        <v>1625</v>
      </c>
      <c r="S183">
        <v>2545.71</v>
      </c>
    </row>
    <row r="184" spans="1:19" hidden="1">
      <c r="A184" t="s">
        <v>1340</v>
      </c>
      <c r="B184" t="s">
        <v>830</v>
      </c>
      <c r="C184" t="s">
        <v>831</v>
      </c>
      <c r="D184">
        <v>739</v>
      </c>
      <c r="E184" s="19">
        <f t="shared" si="8"/>
        <v>26.392857142857142</v>
      </c>
      <c r="F184">
        <v>490.71</v>
      </c>
      <c r="I184" s="19">
        <f t="shared" si="9"/>
        <v>1478</v>
      </c>
      <c r="J184" t="b">
        <f t="shared" si="10"/>
        <v>1</v>
      </c>
      <c r="K184" s="4">
        <f t="shared" si="11"/>
        <v>-0.66799052774018941</v>
      </c>
      <c r="M184"/>
      <c r="O184"/>
      <c r="Q184" t="s">
        <v>195</v>
      </c>
      <c r="R184">
        <v>1102</v>
      </c>
      <c r="S184">
        <v>2842.03</v>
      </c>
    </row>
    <row r="185" spans="1:19" hidden="1">
      <c r="A185" t="s">
        <v>1340</v>
      </c>
      <c r="B185" t="s">
        <v>874</v>
      </c>
      <c r="C185" t="s">
        <v>875</v>
      </c>
      <c r="D185">
        <v>859</v>
      </c>
      <c r="E185" s="19">
        <f t="shared" si="8"/>
        <v>30.678571428571427</v>
      </c>
      <c r="F185">
        <v>1156.83</v>
      </c>
      <c r="I185" s="19">
        <f t="shared" si="9"/>
        <v>1718</v>
      </c>
      <c r="J185" t="b">
        <f t="shared" si="10"/>
        <v>1</v>
      </c>
      <c r="K185" s="4">
        <f t="shared" si="11"/>
        <v>-0.32664144353899893</v>
      </c>
      <c r="M185"/>
      <c r="O185"/>
      <c r="Q185" t="s">
        <v>449</v>
      </c>
      <c r="R185">
        <v>2369</v>
      </c>
      <c r="S185">
        <v>4283</v>
      </c>
    </row>
    <row r="186" spans="1:19" hidden="1">
      <c r="A186" t="s">
        <v>1339</v>
      </c>
      <c r="B186" t="s">
        <v>328</v>
      </c>
      <c r="C186" t="s">
        <v>329</v>
      </c>
      <c r="D186">
        <v>1070</v>
      </c>
      <c r="E186" s="19">
        <f t="shared" si="8"/>
        <v>38.214285714285715</v>
      </c>
      <c r="F186">
        <v>1105.26</v>
      </c>
      <c r="I186" s="19">
        <f t="shared" si="9"/>
        <v>2140</v>
      </c>
      <c r="J186" t="b">
        <f t="shared" si="10"/>
        <v>1</v>
      </c>
      <c r="K186" s="4">
        <f t="shared" si="11"/>
        <v>-0.48352336448598132</v>
      </c>
      <c r="M186"/>
      <c r="O186"/>
      <c r="Q186" t="s">
        <v>409</v>
      </c>
      <c r="R186">
        <v>399</v>
      </c>
      <c r="S186">
        <v>1084.67</v>
      </c>
    </row>
    <row r="187" spans="1:19" hidden="1">
      <c r="A187" t="s">
        <v>1339</v>
      </c>
      <c r="B187" t="s">
        <v>380</v>
      </c>
      <c r="C187" t="s">
        <v>381</v>
      </c>
      <c r="D187">
        <v>1640</v>
      </c>
      <c r="E187" s="19">
        <f t="shared" si="8"/>
        <v>58.571428571428569</v>
      </c>
      <c r="F187">
        <v>1546.16</v>
      </c>
      <c r="I187" s="19">
        <f t="shared" si="9"/>
        <v>3280</v>
      </c>
      <c r="J187" t="b">
        <f t="shared" si="10"/>
        <v>1</v>
      </c>
      <c r="K187" s="4">
        <f t="shared" si="11"/>
        <v>-0.52860975609756089</v>
      </c>
      <c r="M187"/>
      <c r="O187"/>
      <c r="Q187" t="s">
        <v>145</v>
      </c>
      <c r="R187">
        <v>2274</v>
      </c>
      <c r="S187">
        <v>2660.71</v>
      </c>
    </row>
    <row r="188" spans="1:19" hidden="1">
      <c r="A188" t="s">
        <v>1341</v>
      </c>
      <c r="B188" t="s">
        <v>1121</v>
      </c>
      <c r="C188" t="s">
        <v>1122</v>
      </c>
      <c r="D188">
        <v>2686</v>
      </c>
      <c r="E188" s="19">
        <f t="shared" si="8"/>
        <v>95.928571428571431</v>
      </c>
      <c r="F188">
        <v>4673.9399999999996</v>
      </c>
      <c r="I188" s="19">
        <f t="shared" si="9"/>
        <v>5372</v>
      </c>
      <c r="J188" t="b">
        <f t="shared" si="10"/>
        <v>1</v>
      </c>
      <c r="K188" s="4">
        <f t="shared" si="11"/>
        <v>-0.12994415487714084</v>
      </c>
      <c r="M188"/>
      <c r="O188"/>
      <c r="Q188" t="s">
        <v>71</v>
      </c>
      <c r="R188">
        <v>15</v>
      </c>
      <c r="S188">
        <v>6.29</v>
      </c>
    </row>
    <row r="189" spans="1:19" hidden="1">
      <c r="A189" t="s">
        <v>1340</v>
      </c>
      <c r="B189" t="s">
        <v>657</v>
      </c>
      <c r="C189" t="s">
        <v>658</v>
      </c>
      <c r="D189">
        <v>1231</v>
      </c>
      <c r="E189" s="19">
        <f t="shared" ref="E189:E246" si="12">D189/28</f>
        <v>43.964285714285715</v>
      </c>
      <c r="F189">
        <v>845.85</v>
      </c>
      <c r="I189" s="19">
        <f t="shared" ref="I189:I246" si="13">IF((D189/28)&gt;100,D189*2,D189*2)</f>
        <v>2462</v>
      </c>
      <c r="J189" t="b">
        <f t="shared" ref="J189:J246" si="14">IF(F189&gt;1.2*I189,FALSE,TRUE)</f>
        <v>1</v>
      </c>
      <c r="K189" s="4">
        <f t="shared" ref="K189:K246" si="15">F189/I189-1</f>
        <v>-0.65643785540211208</v>
      </c>
      <c r="M189"/>
      <c r="O189"/>
      <c r="Q189" t="s">
        <v>161</v>
      </c>
      <c r="R189">
        <v>1363</v>
      </c>
      <c r="S189">
        <v>2351.85</v>
      </c>
    </row>
    <row r="190" spans="1:19" hidden="1">
      <c r="A190" t="s">
        <v>1339</v>
      </c>
      <c r="B190" t="s">
        <v>432</v>
      </c>
      <c r="C190" t="s">
        <v>433</v>
      </c>
      <c r="D190">
        <v>1330</v>
      </c>
      <c r="E190" s="19">
        <f t="shared" si="12"/>
        <v>47.5</v>
      </c>
      <c r="F190">
        <v>823.17</v>
      </c>
      <c r="I190" s="19">
        <f t="shared" si="13"/>
        <v>2660</v>
      </c>
      <c r="J190" t="b">
        <f t="shared" si="14"/>
        <v>1</v>
      </c>
      <c r="K190" s="4">
        <f t="shared" si="15"/>
        <v>-0.69053759398496239</v>
      </c>
      <c r="M190"/>
      <c r="O190"/>
      <c r="Q190" t="s">
        <v>513</v>
      </c>
      <c r="R190">
        <v>3262</v>
      </c>
      <c r="S190">
        <v>5310.92</v>
      </c>
    </row>
    <row r="191" spans="1:19" hidden="1">
      <c r="A191" t="s">
        <v>1339</v>
      </c>
      <c r="B191" t="s">
        <v>172</v>
      </c>
      <c r="C191" t="s">
        <v>173</v>
      </c>
      <c r="D191">
        <v>2373</v>
      </c>
      <c r="E191" s="19">
        <f t="shared" si="12"/>
        <v>84.75</v>
      </c>
      <c r="F191">
        <v>4800.79</v>
      </c>
      <c r="I191" s="19">
        <f t="shared" si="13"/>
        <v>4746</v>
      </c>
      <c r="J191" t="b">
        <f t="shared" si="14"/>
        <v>1</v>
      </c>
      <c r="K191" s="4">
        <f t="shared" si="15"/>
        <v>1.1544458491361098E-2</v>
      </c>
      <c r="M191"/>
      <c r="O191"/>
      <c r="Q191" t="s">
        <v>329</v>
      </c>
      <c r="R191">
        <v>1048</v>
      </c>
      <c r="S191">
        <v>1891.9</v>
      </c>
    </row>
    <row r="192" spans="1:19" hidden="1">
      <c r="A192" t="s">
        <v>1339</v>
      </c>
      <c r="B192" t="s">
        <v>376</v>
      </c>
      <c r="C192" t="s">
        <v>377</v>
      </c>
      <c r="D192">
        <v>1019</v>
      </c>
      <c r="E192" s="19">
        <f t="shared" si="12"/>
        <v>36.392857142857146</v>
      </c>
      <c r="F192">
        <v>1392.4</v>
      </c>
      <c r="I192" s="19">
        <f t="shared" si="13"/>
        <v>2038</v>
      </c>
      <c r="J192" t="b">
        <f t="shared" si="14"/>
        <v>1</v>
      </c>
      <c r="K192" s="4">
        <f t="shared" si="15"/>
        <v>-0.3167811579980373</v>
      </c>
      <c r="M192"/>
      <c r="O192"/>
      <c r="Q192" t="s">
        <v>501</v>
      </c>
      <c r="R192">
        <v>1647</v>
      </c>
      <c r="S192">
        <v>2183.27</v>
      </c>
    </row>
    <row r="193" spans="1:19" hidden="1">
      <c r="A193" t="s">
        <v>1341</v>
      </c>
      <c r="B193" t="s">
        <v>1113</v>
      </c>
      <c r="C193" t="s">
        <v>1114</v>
      </c>
      <c r="D193">
        <v>1333</v>
      </c>
      <c r="E193" s="19">
        <f t="shared" si="12"/>
        <v>47.607142857142854</v>
      </c>
      <c r="F193">
        <v>2341.9499999999998</v>
      </c>
      <c r="I193" s="19">
        <f t="shared" si="13"/>
        <v>2666</v>
      </c>
      <c r="J193" t="b">
        <f t="shared" si="14"/>
        <v>1</v>
      </c>
      <c r="K193" s="4">
        <f t="shared" si="15"/>
        <v>-0.12154913728432115</v>
      </c>
      <c r="M193"/>
      <c r="O193"/>
      <c r="Q193" t="s">
        <v>417</v>
      </c>
      <c r="R193">
        <v>704</v>
      </c>
      <c r="S193">
        <v>1247.75</v>
      </c>
    </row>
    <row r="194" spans="1:19">
      <c r="A194" t="s">
        <v>1339</v>
      </c>
      <c r="B194" t="s">
        <v>222</v>
      </c>
      <c r="C194" t="s">
        <v>223</v>
      </c>
      <c r="D194">
        <v>1003</v>
      </c>
      <c r="E194" s="19">
        <f>D194/28</f>
        <v>35.821428571428569</v>
      </c>
      <c r="F194">
        <v>2454.16</v>
      </c>
      <c r="I194" s="19">
        <f t="shared" si="13"/>
        <v>2006</v>
      </c>
      <c r="J194" t="b">
        <f t="shared" si="14"/>
        <v>0</v>
      </c>
      <c r="K194" s="4">
        <f t="shared" si="15"/>
        <v>0.2234097706879361</v>
      </c>
      <c r="L194" t="s">
        <v>586</v>
      </c>
      <c r="M194"/>
      <c r="N194" t="s">
        <v>1342</v>
      </c>
      <c r="O194"/>
      <c r="Q194" t="s">
        <v>211</v>
      </c>
      <c r="R194">
        <v>1322</v>
      </c>
      <c r="S194">
        <v>3434.74</v>
      </c>
    </row>
    <row r="195" spans="1:19" hidden="1">
      <c r="A195" t="s">
        <v>1339</v>
      </c>
      <c r="B195" t="s">
        <v>292</v>
      </c>
      <c r="C195" t="s">
        <v>293</v>
      </c>
      <c r="D195">
        <v>1332</v>
      </c>
      <c r="E195" s="19">
        <f t="shared" si="12"/>
        <v>47.571428571428569</v>
      </c>
      <c r="F195">
        <v>1767.56</v>
      </c>
      <c r="I195" s="19">
        <f t="shared" si="13"/>
        <v>2664</v>
      </c>
      <c r="J195" t="b">
        <f t="shared" si="14"/>
        <v>1</v>
      </c>
      <c r="K195" s="4">
        <f t="shared" si="15"/>
        <v>-0.33650150150150149</v>
      </c>
      <c r="M195"/>
      <c r="O195"/>
      <c r="Q195" t="s">
        <v>125</v>
      </c>
      <c r="R195">
        <v>1858</v>
      </c>
      <c r="S195">
        <v>2426.17</v>
      </c>
    </row>
    <row r="196" spans="1:19" hidden="1">
      <c r="A196" t="s">
        <v>1339</v>
      </c>
      <c r="B196" t="s">
        <v>366</v>
      </c>
      <c r="C196" t="s">
        <v>367</v>
      </c>
      <c r="D196">
        <v>1974</v>
      </c>
      <c r="E196" s="19">
        <f t="shared" si="12"/>
        <v>70.5</v>
      </c>
      <c r="F196">
        <v>3112.52</v>
      </c>
      <c r="I196" s="19">
        <f t="shared" si="13"/>
        <v>3948</v>
      </c>
      <c r="J196" t="b">
        <f t="shared" si="14"/>
        <v>1</v>
      </c>
      <c r="K196" s="4">
        <f t="shared" si="15"/>
        <v>-0.21162107396149954</v>
      </c>
      <c r="M196"/>
      <c r="O196"/>
      <c r="Q196" t="s">
        <v>99</v>
      </c>
      <c r="R196">
        <v>1829</v>
      </c>
      <c r="S196">
        <v>3966.6</v>
      </c>
    </row>
    <row r="197" spans="1:19" hidden="1">
      <c r="A197" t="s">
        <v>1341</v>
      </c>
      <c r="B197" t="s">
        <v>1025</v>
      </c>
      <c r="C197" t="s">
        <v>1026</v>
      </c>
      <c r="D197">
        <v>1047</v>
      </c>
      <c r="E197" s="19">
        <f t="shared" si="12"/>
        <v>37.392857142857146</v>
      </c>
      <c r="F197">
        <v>1605.12</v>
      </c>
      <c r="I197" s="140">
        <f t="shared" si="13"/>
        <v>2094</v>
      </c>
      <c r="J197" t="b">
        <f t="shared" si="14"/>
        <v>1</v>
      </c>
      <c r="K197" s="4">
        <f t="shared" si="15"/>
        <v>-0.23346704871060175</v>
      </c>
      <c r="Q197" t="s">
        <v>75</v>
      </c>
      <c r="R197">
        <v>1488</v>
      </c>
      <c r="S197">
        <v>1258.69</v>
      </c>
    </row>
    <row r="198" spans="1:19" hidden="1">
      <c r="A198" t="s">
        <v>1340</v>
      </c>
      <c r="B198" t="s">
        <v>645</v>
      </c>
      <c r="C198" t="s">
        <v>646</v>
      </c>
      <c r="D198">
        <v>1465</v>
      </c>
      <c r="E198" s="19">
        <f t="shared" si="12"/>
        <v>52.321428571428569</v>
      </c>
      <c r="F198">
        <v>2615.4699999999998</v>
      </c>
      <c r="I198" s="19">
        <f t="shared" si="13"/>
        <v>2930</v>
      </c>
      <c r="J198" t="b">
        <f t="shared" si="14"/>
        <v>1</v>
      </c>
      <c r="K198" s="4">
        <f t="shared" si="15"/>
        <v>-0.10734812286689421</v>
      </c>
      <c r="M198"/>
      <c r="O198"/>
      <c r="Q198" t="s">
        <v>499</v>
      </c>
      <c r="R198">
        <v>4708</v>
      </c>
      <c r="S198">
        <v>8799.1</v>
      </c>
    </row>
    <row r="199" spans="1:19" hidden="1">
      <c r="A199" t="s">
        <v>1340</v>
      </c>
      <c r="B199" t="s">
        <v>746</v>
      </c>
      <c r="C199" t="s">
        <v>747</v>
      </c>
      <c r="D199">
        <v>1138</v>
      </c>
      <c r="E199" s="19">
        <f t="shared" si="12"/>
        <v>40.642857142857146</v>
      </c>
      <c r="F199">
        <v>844.4</v>
      </c>
      <c r="I199" s="19">
        <f t="shared" si="13"/>
        <v>2276</v>
      </c>
      <c r="J199" t="b">
        <f t="shared" si="14"/>
        <v>1</v>
      </c>
      <c r="K199" s="4">
        <f t="shared" si="15"/>
        <v>-0.62899824253075565</v>
      </c>
      <c r="M199"/>
      <c r="O199"/>
      <c r="Q199" t="s">
        <v>405</v>
      </c>
      <c r="R199">
        <v>1863</v>
      </c>
      <c r="S199">
        <v>2162.81</v>
      </c>
    </row>
    <row r="200" spans="1:19" hidden="1">
      <c r="A200" t="s">
        <v>1339</v>
      </c>
      <c r="B200" t="s">
        <v>440</v>
      </c>
      <c r="C200" t="s">
        <v>441</v>
      </c>
      <c r="D200">
        <v>767</v>
      </c>
      <c r="E200" s="19">
        <f t="shared" si="12"/>
        <v>27.392857142857142</v>
      </c>
      <c r="F200">
        <v>1177.42</v>
      </c>
      <c r="I200" s="19">
        <f t="shared" si="13"/>
        <v>1534</v>
      </c>
      <c r="J200" t="b">
        <f t="shared" si="14"/>
        <v>1</v>
      </c>
      <c r="K200" s="4">
        <f t="shared" si="15"/>
        <v>-0.23245110821381998</v>
      </c>
      <c r="M200"/>
      <c r="O200"/>
      <c r="Q200" t="s">
        <v>389</v>
      </c>
      <c r="R200">
        <v>872</v>
      </c>
      <c r="S200">
        <v>1214.8699999999999</v>
      </c>
    </row>
    <row r="201" spans="1:19" hidden="1">
      <c r="A201" t="s">
        <v>1341</v>
      </c>
      <c r="B201" t="s">
        <v>953</v>
      </c>
      <c r="C201" t="s">
        <v>954</v>
      </c>
      <c r="D201">
        <v>776</v>
      </c>
      <c r="E201" s="19">
        <f t="shared" si="12"/>
        <v>27.714285714285715</v>
      </c>
      <c r="F201">
        <v>539.39</v>
      </c>
      <c r="I201" s="19">
        <f t="shared" si="13"/>
        <v>1552</v>
      </c>
      <c r="J201" t="b">
        <f t="shared" si="14"/>
        <v>1</v>
      </c>
      <c r="K201" s="4">
        <f t="shared" si="15"/>
        <v>-0.65245489690721659</v>
      </c>
      <c r="M201"/>
      <c r="O201"/>
      <c r="Q201" t="s">
        <v>137</v>
      </c>
      <c r="R201">
        <v>881</v>
      </c>
      <c r="S201">
        <v>1652.3</v>
      </c>
    </row>
    <row r="202" spans="1:19" ht="14.25" hidden="1" customHeight="1">
      <c r="A202" t="s">
        <v>1339</v>
      </c>
      <c r="B202" t="s">
        <v>74</v>
      </c>
      <c r="C202" t="s">
        <v>75</v>
      </c>
      <c r="D202">
        <v>2203</v>
      </c>
      <c r="E202" s="19">
        <f t="shared" si="12"/>
        <v>78.678571428571431</v>
      </c>
      <c r="F202">
        <v>2169.23</v>
      </c>
      <c r="I202" s="19">
        <f t="shared" si="13"/>
        <v>4406</v>
      </c>
      <c r="J202" t="b">
        <f t="shared" si="14"/>
        <v>1</v>
      </c>
      <c r="K202" s="4">
        <f t="shared" si="15"/>
        <v>-0.50766454834316832</v>
      </c>
      <c r="M202"/>
      <c r="O202"/>
      <c r="Q202" t="s">
        <v>91</v>
      </c>
      <c r="R202">
        <v>1829</v>
      </c>
      <c r="S202">
        <v>4095.28</v>
      </c>
    </row>
    <row r="203" spans="1:19" hidden="1">
      <c r="A203" t="s">
        <v>1339</v>
      </c>
      <c r="B203" t="s">
        <v>94</v>
      </c>
      <c r="C203" t="s">
        <v>95</v>
      </c>
      <c r="D203">
        <v>972</v>
      </c>
      <c r="E203" s="19">
        <f t="shared" si="12"/>
        <v>34.714285714285715</v>
      </c>
      <c r="F203">
        <v>2061.71</v>
      </c>
      <c r="I203" s="19">
        <f t="shared" si="13"/>
        <v>1944</v>
      </c>
      <c r="J203" t="b">
        <f t="shared" si="14"/>
        <v>1</v>
      </c>
      <c r="K203" s="4">
        <f t="shared" si="15"/>
        <v>6.0550411522633851E-2</v>
      </c>
      <c r="M203"/>
      <c r="O203"/>
      <c r="Q203" t="s">
        <v>1217</v>
      </c>
      <c r="R203">
        <v>0</v>
      </c>
      <c r="S203">
        <v>0</v>
      </c>
    </row>
    <row r="204" spans="1:19" hidden="1">
      <c r="A204" t="s">
        <v>1339</v>
      </c>
      <c r="B204" t="s">
        <v>280</v>
      </c>
      <c r="C204" t="s">
        <v>281</v>
      </c>
      <c r="D204">
        <v>1006</v>
      </c>
      <c r="E204" s="19">
        <f t="shared" si="12"/>
        <v>35.928571428571431</v>
      </c>
      <c r="F204">
        <v>844.05</v>
      </c>
      <c r="I204" s="19">
        <f t="shared" si="13"/>
        <v>2012</v>
      </c>
      <c r="J204" t="b">
        <f t="shared" si="14"/>
        <v>1</v>
      </c>
      <c r="K204" s="4">
        <f t="shared" si="15"/>
        <v>-0.58049204771371765</v>
      </c>
      <c r="M204"/>
      <c r="O204"/>
      <c r="Q204" t="s">
        <v>127</v>
      </c>
      <c r="R204">
        <v>3661</v>
      </c>
      <c r="S204">
        <v>7728.05</v>
      </c>
    </row>
    <row r="205" spans="1:19" hidden="1">
      <c r="A205" t="s">
        <v>1341</v>
      </c>
      <c r="B205" t="s">
        <v>977</v>
      </c>
      <c r="C205" t="s">
        <v>978</v>
      </c>
      <c r="D205">
        <v>991</v>
      </c>
      <c r="E205" s="19">
        <f t="shared" si="12"/>
        <v>35.392857142857146</v>
      </c>
      <c r="F205">
        <v>774.09</v>
      </c>
      <c r="I205" s="19">
        <f t="shared" si="13"/>
        <v>1982</v>
      </c>
      <c r="J205" t="b">
        <f t="shared" si="14"/>
        <v>1</v>
      </c>
      <c r="K205" s="4">
        <f t="shared" si="15"/>
        <v>-0.60943995963673059</v>
      </c>
      <c r="M205"/>
      <c r="O205"/>
      <c r="Q205" t="s">
        <v>435</v>
      </c>
      <c r="R205">
        <v>941</v>
      </c>
      <c r="S205">
        <v>2119.17</v>
      </c>
    </row>
    <row r="206" spans="1:19" hidden="1">
      <c r="A206" t="s">
        <v>1340</v>
      </c>
      <c r="B206" t="s">
        <v>723</v>
      </c>
      <c r="C206" t="s">
        <v>724</v>
      </c>
      <c r="D206">
        <v>630</v>
      </c>
      <c r="E206" s="19">
        <f t="shared" si="12"/>
        <v>22.5</v>
      </c>
      <c r="F206">
        <v>0</v>
      </c>
      <c r="I206" s="19">
        <f t="shared" si="13"/>
        <v>1260</v>
      </c>
      <c r="J206" t="b">
        <f t="shared" si="14"/>
        <v>1</v>
      </c>
      <c r="K206" s="4">
        <f t="shared" si="15"/>
        <v>-1</v>
      </c>
      <c r="M206"/>
      <c r="O206"/>
      <c r="Q206" t="s">
        <v>241</v>
      </c>
      <c r="R206">
        <v>1614</v>
      </c>
      <c r="S206">
        <v>3807.06</v>
      </c>
    </row>
    <row r="207" spans="1:19" hidden="1">
      <c r="A207" t="s">
        <v>1339</v>
      </c>
      <c r="B207" t="s">
        <v>458</v>
      </c>
      <c r="C207" t="s">
        <v>459</v>
      </c>
      <c r="D207">
        <v>852</v>
      </c>
      <c r="E207" s="19">
        <f t="shared" si="12"/>
        <v>30.428571428571427</v>
      </c>
      <c r="F207">
        <v>758.73</v>
      </c>
      <c r="I207" s="19">
        <f t="shared" si="13"/>
        <v>1704</v>
      </c>
      <c r="J207" t="b">
        <f t="shared" si="14"/>
        <v>1</v>
      </c>
      <c r="K207" s="4">
        <f t="shared" si="15"/>
        <v>-0.55473591549295775</v>
      </c>
      <c r="M207"/>
      <c r="O207"/>
      <c r="Q207" t="s">
        <v>53</v>
      </c>
      <c r="R207">
        <v>627</v>
      </c>
      <c r="S207">
        <v>626.16</v>
      </c>
    </row>
    <row r="208" spans="1:19" hidden="1">
      <c r="A208" t="s">
        <v>1340</v>
      </c>
      <c r="B208" t="s">
        <v>666</v>
      </c>
      <c r="C208" t="s">
        <v>667</v>
      </c>
      <c r="D208">
        <v>947</v>
      </c>
      <c r="E208" s="19">
        <f t="shared" si="12"/>
        <v>33.821428571428569</v>
      </c>
      <c r="F208">
        <v>1106.72</v>
      </c>
      <c r="I208" s="19">
        <f t="shared" si="13"/>
        <v>1894</v>
      </c>
      <c r="J208" t="b">
        <f t="shared" si="14"/>
        <v>1</v>
      </c>
      <c r="K208" s="4">
        <f t="shared" si="15"/>
        <v>-0.41567053854276659</v>
      </c>
      <c r="M208"/>
      <c r="O208"/>
      <c r="Q208" t="s">
        <v>425</v>
      </c>
      <c r="R208">
        <v>1753</v>
      </c>
      <c r="S208">
        <v>1596.89</v>
      </c>
    </row>
    <row r="209" spans="1:19" hidden="1">
      <c r="A209" t="s">
        <v>1341</v>
      </c>
      <c r="B209" t="s">
        <v>1004</v>
      </c>
      <c r="C209" t="s">
        <v>1005</v>
      </c>
      <c r="D209">
        <v>1071</v>
      </c>
      <c r="E209" s="19">
        <f t="shared" si="12"/>
        <v>38.25</v>
      </c>
      <c r="F209">
        <v>2342.06</v>
      </c>
      <c r="I209" s="19">
        <f t="shared" si="13"/>
        <v>2142</v>
      </c>
      <c r="J209" t="b">
        <f t="shared" si="14"/>
        <v>1</v>
      </c>
      <c r="K209" s="4">
        <f t="shared" si="15"/>
        <v>9.339869281045754E-2</v>
      </c>
      <c r="M209"/>
      <c r="O209"/>
      <c r="Q209" t="s">
        <v>375</v>
      </c>
      <c r="R209">
        <v>1376</v>
      </c>
      <c r="S209">
        <v>2237.9499999999998</v>
      </c>
    </row>
    <row r="210" spans="1:19" hidden="1">
      <c r="A210" t="s">
        <v>1339</v>
      </c>
      <c r="B210" t="s">
        <v>476</v>
      </c>
      <c r="C210" t="s">
        <v>477</v>
      </c>
      <c r="D210">
        <v>1296</v>
      </c>
      <c r="E210" s="19">
        <f t="shared" si="12"/>
        <v>46.285714285714285</v>
      </c>
      <c r="F210">
        <v>1173.3900000000001</v>
      </c>
      <c r="I210" s="19">
        <f t="shared" si="13"/>
        <v>2592</v>
      </c>
      <c r="J210" t="b">
        <f t="shared" si="14"/>
        <v>1</v>
      </c>
      <c r="K210" s="4">
        <f t="shared" si="15"/>
        <v>-0.54730324074074077</v>
      </c>
      <c r="M210"/>
      <c r="O210"/>
      <c r="Q210" t="s">
        <v>181</v>
      </c>
      <c r="R210">
        <v>351</v>
      </c>
      <c r="S210">
        <v>625.14</v>
      </c>
    </row>
    <row r="211" spans="1:19" hidden="1">
      <c r="A211" t="s">
        <v>1339</v>
      </c>
      <c r="B211" t="s">
        <v>342</v>
      </c>
      <c r="C211" t="s">
        <v>343</v>
      </c>
      <c r="D211">
        <v>875</v>
      </c>
      <c r="E211" s="19">
        <f t="shared" si="12"/>
        <v>31.25</v>
      </c>
      <c r="F211">
        <v>1305.6500000000001</v>
      </c>
      <c r="I211" s="19">
        <f t="shared" si="13"/>
        <v>1750</v>
      </c>
      <c r="J211" t="b">
        <f t="shared" si="14"/>
        <v>1</v>
      </c>
      <c r="K211" s="4">
        <f t="shared" si="15"/>
        <v>-0.25391428571428565</v>
      </c>
      <c r="M211"/>
      <c r="O211"/>
      <c r="Q211" t="s">
        <v>83</v>
      </c>
      <c r="R211">
        <v>4617</v>
      </c>
      <c r="S211">
        <v>5247.92</v>
      </c>
    </row>
    <row r="212" spans="1:19" hidden="1">
      <c r="A212" t="s">
        <v>1340</v>
      </c>
      <c r="B212" t="s">
        <v>721</v>
      </c>
      <c r="C212" t="s">
        <v>722</v>
      </c>
      <c r="D212">
        <v>675</v>
      </c>
      <c r="E212" s="19">
        <f t="shared" si="12"/>
        <v>24.107142857142858</v>
      </c>
      <c r="F212">
        <v>250.32</v>
      </c>
      <c r="I212" s="19">
        <f t="shared" si="13"/>
        <v>1350</v>
      </c>
      <c r="J212" t="b">
        <f t="shared" si="14"/>
        <v>1</v>
      </c>
      <c r="K212" s="4">
        <f t="shared" si="15"/>
        <v>-0.81457777777777785</v>
      </c>
      <c r="M212"/>
      <c r="O212"/>
      <c r="Q212" t="s">
        <v>151</v>
      </c>
      <c r="R212">
        <v>3350</v>
      </c>
      <c r="S212">
        <v>6045.53</v>
      </c>
    </row>
    <row r="213" spans="1:19" hidden="1">
      <c r="A213" t="s">
        <v>1340</v>
      </c>
      <c r="B213" t="s">
        <v>780</v>
      </c>
      <c r="C213" t="s">
        <v>781</v>
      </c>
      <c r="D213">
        <v>1082</v>
      </c>
      <c r="E213" s="19">
        <f t="shared" si="12"/>
        <v>38.642857142857146</v>
      </c>
      <c r="F213">
        <v>1830.47</v>
      </c>
      <c r="I213" s="19">
        <f t="shared" si="13"/>
        <v>2164</v>
      </c>
      <c r="J213" t="b">
        <f t="shared" si="14"/>
        <v>1</v>
      </c>
      <c r="K213" s="4">
        <f t="shared" si="15"/>
        <v>-0.15412661737523103</v>
      </c>
      <c r="M213"/>
      <c r="O213"/>
      <c r="Q213" t="s">
        <v>509</v>
      </c>
      <c r="R213">
        <v>1866</v>
      </c>
      <c r="S213">
        <v>3855.15</v>
      </c>
    </row>
    <row r="214" spans="1:19" hidden="1">
      <c r="A214" t="s">
        <v>1339</v>
      </c>
      <c r="B214" t="s">
        <v>266</v>
      </c>
      <c r="C214" t="s">
        <v>267</v>
      </c>
      <c r="D214">
        <v>946</v>
      </c>
      <c r="E214" s="19">
        <f t="shared" si="12"/>
        <v>33.785714285714285</v>
      </c>
      <c r="F214">
        <v>1101.8</v>
      </c>
      <c r="I214" s="19">
        <f t="shared" si="13"/>
        <v>1892</v>
      </c>
      <c r="J214" t="b">
        <f t="shared" si="14"/>
        <v>1</v>
      </c>
      <c r="K214" s="4">
        <f t="shared" si="15"/>
        <v>-0.41765327695560261</v>
      </c>
      <c r="M214"/>
      <c r="O214"/>
      <c r="Q214" t="s">
        <v>87</v>
      </c>
      <c r="R214">
        <v>1077</v>
      </c>
      <c r="S214">
        <v>3291.87</v>
      </c>
    </row>
    <row r="215" spans="1:19" hidden="1">
      <c r="A215" t="s">
        <v>1340</v>
      </c>
      <c r="B215" t="s">
        <v>688</v>
      </c>
      <c r="C215" t="s">
        <v>689</v>
      </c>
      <c r="D215">
        <v>1681</v>
      </c>
      <c r="E215" s="19">
        <f t="shared" si="12"/>
        <v>60.035714285714285</v>
      </c>
      <c r="F215">
        <v>2258.09</v>
      </c>
      <c r="I215" s="19">
        <f t="shared" si="13"/>
        <v>3362</v>
      </c>
      <c r="J215" t="b">
        <f t="shared" si="14"/>
        <v>1</v>
      </c>
      <c r="K215" s="4">
        <f t="shared" si="15"/>
        <v>-0.32834919690660314</v>
      </c>
      <c r="M215"/>
      <c r="O215"/>
      <c r="Q215" t="s">
        <v>515</v>
      </c>
      <c r="R215">
        <v>746</v>
      </c>
      <c r="S215">
        <v>1167.75</v>
      </c>
    </row>
    <row r="216" spans="1:19" hidden="1">
      <c r="A216" t="s">
        <v>1339</v>
      </c>
      <c r="B216" t="s">
        <v>386</v>
      </c>
      <c r="C216" t="s">
        <v>387</v>
      </c>
      <c r="D216">
        <v>985</v>
      </c>
      <c r="E216" s="19">
        <f t="shared" si="12"/>
        <v>35.178571428571431</v>
      </c>
      <c r="F216">
        <v>1406.05</v>
      </c>
      <c r="I216" s="19">
        <f t="shared" si="13"/>
        <v>1970</v>
      </c>
      <c r="J216" t="b">
        <f t="shared" si="14"/>
        <v>1</v>
      </c>
      <c r="K216" s="4">
        <f t="shared" si="15"/>
        <v>-0.28626903553299499</v>
      </c>
      <c r="M216"/>
      <c r="O216"/>
      <c r="Q216" t="s">
        <v>59</v>
      </c>
      <c r="R216">
        <v>1508</v>
      </c>
      <c r="S216">
        <v>26.36</v>
      </c>
    </row>
    <row r="217" spans="1:19" hidden="1">
      <c r="A217" t="s">
        <v>1340</v>
      </c>
      <c r="B217" t="s">
        <v>834</v>
      </c>
      <c r="C217" t="s">
        <v>835</v>
      </c>
      <c r="D217">
        <v>655</v>
      </c>
      <c r="E217" s="19">
        <f t="shared" si="12"/>
        <v>23.392857142857142</v>
      </c>
      <c r="F217">
        <v>252.44</v>
      </c>
      <c r="I217" s="19">
        <f t="shared" si="13"/>
        <v>1310</v>
      </c>
      <c r="J217" t="b">
        <f t="shared" si="14"/>
        <v>1</v>
      </c>
      <c r="K217" s="4">
        <f t="shared" si="15"/>
        <v>-0.80729770992366412</v>
      </c>
      <c r="M217"/>
      <c r="O217"/>
      <c r="Q217" t="s">
        <v>413</v>
      </c>
      <c r="R217">
        <v>1031</v>
      </c>
      <c r="S217">
        <v>2527.0700000000002</v>
      </c>
    </row>
    <row r="218" spans="1:19" hidden="1">
      <c r="A218" t="s">
        <v>1341</v>
      </c>
      <c r="B218" t="s">
        <v>933</v>
      </c>
      <c r="C218" t="s">
        <v>934</v>
      </c>
      <c r="D218">
        <v>1300</v>
      </c>
      <c r="E218" s="19">
        <f t="shared" si="12"/>
        <v>46.428571428571431</v>
      </c>
      <c r="F218">
        <v>1604.66</v>
      </c>
      <c r="I218" s="140">
        <f t="shared" si="13"/>
        <v>2600</v>
      </c>
      <c r="J218" t="b">
        <f t="shared" si="14"/>
        <v>1</v>
      </c>
      <c r="K218" s="4">
        <f t="shared" si="15"/>
        <v>-0.38282307692307693</v>
      </c>
      <c r="Q218" t="s">
        <v>507</v>
      </c>
      <c r="R218">
        <v>4286</v>
      </c>
      <c r="S218">
        <v>4897.3</v>
      </c>
    </row>
    <row r="219" spans="1:19" hidden="1">
      <c r="A219" t="s">
        <v>1339</v>
      </c>
      <c r="B219" t="s">
        <v>530</v>
      </c>
      <c r="C219" t="s">
        <v>531</v>
      </c>
      <c r="D219">
        <v>4750</v>
      </c>
      <c r="E219" s="19">
        <f t="shared" si="12"/>
        <v>169.64285714285714</v>
      </c>
      <c r="F219">
        <v>1900.95</v>
      </c>
      <c r="I219" s="19">
        <f t="shared" si="13"/>
        <v>9500</v>
      </c>
      <c r="J219" t="b">
        <f t="shared" si="14"/>
        <v>1</v>
      </c>
      <c r="K219" s="4">
        <f t="shared" si="15"/>
        <v>-0.79990000000000006</v>
      </c>
      <c r="M219"/>
      <c r="O219"/>
      <c r="Q219" t="s">
        <v>445</v>
      </c>
      <c r="R219">
        <v>5987</v>
      </c>
      <c r="S219">
        <v>6518.57</v>
      </c>
    </row>
    <row r="220" spans="1:19" hidden="1">
      <c r="A220" t="s">
        <v>1341</v>
      </c>
      <c r="B220" t="s">
        <v>923</v>
      </c>
      <c r="C220" t="s">
        <v>924</v>
      </c>
      <c r="D220">
        <v>1448</v>
      </c>
      <c r="E220" s="19">
        <f t="shared" si="12"/>
        <v>51.714285714285715</v>
      </c>
      <c r="F220">
        <v>2762.27</v>
      </c>
      <c r="I220" s="19">
        <f t="shared" si="13"/>
        <v>2896</v>
      </c>
      <c r="J220" t="b">
        <f t="shared" si="14"/>
        <v>1</v>
      </c>
      <c r="K220" s="4">
        <f t="shared" si="15"/>
        <v>-4.617748618784534E-2</v>
      </c>
      <c r="M220"/>
      <c r="O220"/>
      <c r="Q220" t="s">
        <v>209</v>
      </c>
      <c r="R220">
        <v>2067</v>
      </c>
      <c r="S220">
        <v>1152.29</v>
      </c>
    </row>
    <row r="221" spans="1:19" hidden="1">
      <c r="A221" t="s">
        <v>1339</v>
      </c>
      <c r="B221" t="s">
        <v>58</v>
      </c>
      <c r="C221" t="s">
        <v>59</v>
      </c>
      <c r="D221">
        <v>2977</v>
      </c>
      <c r="E221" s="19">
        <f t="shared" si="12"/>
        <v>106.32142857142857</v>
      </c>
      <c r="F221">
        <v>1924.69</v>
      </c>
      <c r="I221" s="19">
        <f t="shared" si="13"/>
        <v>5954</v>
      </c>
      <c r="J221" t="b">
        <f t="shared" si="14"/>
        <v>1</v>
      </c>
      <c r="K221" s="4">
        <f t="shared" si="15"/>
        <v>-0.67674000671817258</v>
      </c>
      <c r="M221"/>
      <c r="O221"/>
      <c r="Q221" t="s">
        <v>363</v>
      </c>
      <c r="R221">
        <v>3090</v>
      </c>
      <c r="S221">
        <v>3298.37</v>
      </c>
    </row>
    <row r="222" spans="1:19" hidden="1">
      <c r="A222" t="s">
        <v>1340</v>
      </c>
      <c r="B222" t="s">
        <v>864</v>
      </c>
      <c r="C222" t="s">
        <v>865</v>
      </c>
      <c r="D222">
        <v>1092</v>
      </c>
      <c r="E222" s="19">
        <f t="shared" si="12"/>
        <v>39</v>
      </c>
      <c r="F222">
        <v>0</v>
      </c>
      <c r="I222" s="19">
        <f t="shared" si="13"/>
        <v>2184</v>
      </c>
      <c r="J222" t="b">
        <f t="shared" si="14"/>
        <v>1</v>
      </c>
      <c r="K222" s="4">
        <f t="shared" si="15"/>
        <v>-1</v>
      </c>
      <c r="M222"/>
      <c r="O222"/>
      <c r="Q222" t="s">
        <v>511</v>
      </c>
      <c r="R222">
        <v>1664</v>
      </c>
      <c r="S222">
        <v>2049.73</v>
      </c>
    </row>
    <row r="223" spans="1:19" hidden="1">
      <c r="A223" t="s">
        <v>1341</v>
      </c>
      <c r="B223" t="s">
        <v>1044</v>
      </c>
      <c r="C223" t="s">
        <v>1045</v>
      </c>
      <c r="D223">
        <v>1507</v>
      </c>
      <c r="E223" s="19">
        <f t="shared" si="12"/>
        <v>53.821428571428569</v>
      </c>
      <c r="F223">
        <v>3110.39</v>
      </c>
      <c r="I223" s="140">
        <f t="shared" si="13"/>
        <v>3014</v>
      </c>
      <c r="J223" t="b">
        <f t="shared" si="14"/>
        <v>1</v>
      </c>
      <c r="K223" s="4">
        <f t="shared" si="15"/>
        <v>3.1980756469807581E-2</v>
      </c>
      <c r="Q223" t="s">
        <v>95</v>
      </c>
      <c r="R223">
        <v>124</v>
      </c>
      <c r="S223">
        <v>275.04000000000002</v>
      </c>
    </row>
    <row r="224" spans="1:19" hidden="1">
      <c r="A224" t="s">
        <v>1339</v>
      </c>
      <c r="B224" t="s">
        <v>164</v>
      </c>
      <c r="C224" t="s">
        <v>165</v>
      </c>
      <c r="D224">
        <v>883</v>
      </c>
      <c r="E224" s="19">
        <f t="shared" si="12"/>
        <v>31.535714285714285</v>
      </c>
      <c r="F224">
        <v>579.48</v>
      </c>
      <c r="I224" s="19">
        <f t="shared" si="13"/>
        <v>1766</v>
      </c>
      <c r="J224" t="b">
        <f t="shared" si="14"/>
        <v>1</v>
      </c>
      <c r="K224" s="4">
        <f t="shared" si="15"/>
        <v>-0.67186862967157412</v>
      </c>
      <c r="M224"/>
      <c r="O224"/>
      <c r="Q224" t="s">
        <v>247</v>
      </c>
      <c r="R224">
        <v>64</v>
      </c>
      <c r="S224">
        <v>178.31</v>
      </c>
    </row>
    <row r="225" spans="1:19" hidden="1">
      <c r="A225" t="s">
        <v>1339</v>
      </c>
      <c r="B225" t="s">
        <v>312</v>
      </c>
      <c r="C225" t="s">
        <v>313</v>
      </c>
      <c r="D225">
        <v>852</v>
      </c>
      <c r="E225" s="19">
        <f t="shared" si="12"/>
        <v>30.428571428571427</v>
      </c>
      <c r="F225">
        <v>691.53</v>
      </c>
      <c r="I225" s="19">
        <f t="shared" si="13"/>
        <v>1704</v>
      </c>
      <c r="J225" t="b">
        <f t="shared" si="14"/>
        <v>1</v>
      </c>
      <c r="K225" s="4">
        <f t="shared" si="15"/>
        <v>-0.59417253521126767</v>
      </c>
      <c r="M225"/>
      <c r="O225"/>
      <c r="Q225" t="s">
        <v>457</v>
      </c>
      <c r="R225">
        <v>1664</v>
      </c>
      <c r="S225">
        <v>1764.37</v>
      </c>
    </row>
    <row r="226" spans="1:19" hidden="1">
      <c r="A226" t="s">
        <v>1341</v>
      </c>
      <c r="B226" t="s">
        <v>917</v>
      </c>
      <c r="C226" t="s">
        <v>918</v>
      </c>
      <c r="D226">
        <v>2332</v>
      </c>
      <c r="E226" s="19">
        <f t="shared" si="12"/>
        <v>83.285714285714292</v>
      </c>
      <c r="F226">
        <v>1592.57</v>
      </c>
      <c r="I226" s="19">
        <f t="shared" si="13"/>
        <v>4664</v>
      </c>
      <c r="J226" t="b">
        <f t="shared" si="14"/>
        <v>1</v>
      </c>
      <c r="K226" s="4">
        <f t="shared" si="15"/>
        <v>-0.6585398799313894</v>
      </c>
      <c r="M226"/>
      <c r="O226"/>
      <c r="Q226" t="s">
        <v>453</v>
      </c>
      <c r="R226">
        <v>1145</v>
      </c>
      <c r="S226">
        <v>1234.98</v>
      </c>
    </row>
    <row r="227" spans="1:19" hidden="1">
      <c r="A227" t="s">
        <v>1339</v>
      </c>
      <c r="B227" t="s">
        <v>346</v>
      </c>
      <c r="C227" t="s">
        <v>347</v>
      </c>
      <c r="D227">
        <v>591</v>
      </c>
      <c r="E227" s="19">
        <f t="shared" si="12"/>
        <v>21.107142857142858</v>
      </c>
      <c r="F227">
        <v>1183.3</v>
      </c>
      <c r="I227" s="19">
        <f t="shared" si="13"/>
        <v>1182</v>
      </c>
      <c r="J227" t="b">
        <f t="shared" si="14"/>
        <v>1</v>
      </c>
      <c r="K227" s="4">
        <f t="shared" si="15"/>
        <v>1.0998307952623243E-3</v>
      </c>
      <c r="M227"/>
      <c r="O227"/>
      <c r="Q227" t="s">
        <v>113</v>
      </c>
      <c r="R227">
        <v>1134</v>
      </c>
      <c r="S227">
        <v>2253.0500000000002</v>
      </c>
    </row>
    <row r="228" spans="1:19" hidden="1">
      <c r="A228" t="s">
        <v>1339</v>
      </c>
      <c r="B228" t="s">
        <v>188</v>
      </c>
      <c r="C228" t="s">
        <v>189</v>
      </c>
      <c r="D228">
        <v>1116</v>
      </c>
      <c r="E228" s="19">
        <f t="shared" si="12"/>
        <v>39.857142857142854</v>
      </c>
      <c r="F228">
        <v>2161.38</v>
      </c>
      <c r="I228" s="19">
        <f t="shared" si="13"/>
        <v>2232</v>
      </c>
      <c r="J228" t="b">
        <f t="shared" si="14"/>
        <v>1</v>
      </c>
      <c r="K228" s="4">
        <f t="shared" si="15"/>
        <v>-3.1639784946236538E-2</v>
      </c>
      <c r="M228"/>
      <c r="O228"/>
      <c r="Q228" t="s">
        <v>101</v>
      </c>
      <c r="R228">
        <v>38</v>
      </c>
      <c r="S228">
        <v>156.91</v>
      </c>
    </row>
    <row r="229" spans="1:19" hidden="1">
      <c r="A229" t="s">
        <v>1340</v>
      </c>
      <c r="B229" t="s">
        <v>791</v>
      </c>
      <c r="C229" t="s">
        <v>792</v>
      </c>
      <c r="D229">
        <v>935</v>
      </c>
      <c r="E229" s="19">
        <f t="shared" si="12"/>
        <v>33.392857142857146</v>
      </c>
      <c r="F229">
        <v>1165.56</v>
      </c>
      <c r="I229" s="19">
        <f t="shared" si="13"/>
        <v>1870</v>
      </c>
      <c r="J229" t="b">
        <f t="shared" si="14"/>
        <v>1</v>
      </c>
      <c r="K229" s="4">
        <f t="shared" si="15"/>
        <v>-0.37670588235294122</v>
      </c>
      <c r="M229"/>
      <c r="O229"/>
      <c r="Q229" t="s">
        <v>523</v>
      </c>
      <c r="R229">
        <v>4242</v>
      </c>
      <c r="S229">
        <v>7415.45</v>
      </c>
    </row>
    <row r="230" spans="1:19" hidden="1">
      <c r="A230" t="s">
        <v>1339</v>
      </c>
      <c r="B230" t="s">
        <v>202</v>
      </c>
      <c r="C230" t="s">
        <v>203</v>
      </c>
      <c r="D230">
        <v>975</v>
      </c>
      <c r="E230" s="19">
        <f t="shared" si="12"/>
        <v>34.821428571428569</v>
      </c>
      <c r="F230">
        <v>579.65</v>
      </c>
      <c r="I230" s="19">
        <f t="shared" si="13"/>
        <v>1950</v>
      </c>
      <c r="J230" t="b">
        <f t="shared" si="14"/>
        <v>1</v>
      </c>
      <c r="K230" s="4">
        <f t="shared" si="15"/>
        <v>-0.70274358974358975</v>
      </c>
      <c r="M230"/>
      <c r="O230"/>
      <c r="Q230" t="s">
        <v>121</v>
      </c>
      <c r="R230">
        <v>6399</v>
      </c>
      <c r="S230">
        <v>1838.47</v>
      </c>
    </row>
    <row r="231" spans="1:19" hidden="1">
      <c r="A231" t="s">
        <v>1341</v>
      </c>
      <c r="B231" t="s">
        <v>1087</v>
      </c>
      <c r="C231" t="s">
        <v>1088</v>
      </c>
      <c r="D231">
        <v>1292</v>
      </c>
      <c r="E231" s="19">
        <f t="shared" si="12"/>
        <v>46.142857142857146</v>
      </c>
      <c r="F231">
        <v>539.38</v>
      </c>
      <c r="I231" s="19">
        <f t="shared" si="13"/>
        <v>2584</v>
      </c>
      <c r="J231" t="b">
        <f t="shared" si="14"/>
        <v>1</v>
      </c>
      <c r="K231" s="4">
        <f t="shared" si="15"/>
        <v>-0.7912616099071208</v>
      </c>
      <c r="M231"/>
      <c r="O231"/>
      <c r="Q231" t="s">
        <v>895</v>
      </c>
      <c r="R231">
        <v>7632</v>
      </c>
      <c r="S231">
        <v>11858.24</v>
      </c>
    </row>
    <row r="232" spans="1:19" hidden="1">
      <c r="A232" t="s">
        <v>1339</v>
      </c>
      <c r="B232" t="s">
        <v>300</v>
      </c>
      <c r="C232" t="s">
        <v>301</v>
      </c>
      <c r="D232">
        <v>1808</v>
      </c>
      <c r="E232" s="19">
        <f t="shared" si="12"/>
        <v>64.571428571428569</v>
      </c>
      <c r="F232">
        <v>2215.56</v>
      </c>
      <c r="I232" s="19">
        <f t="shared" si="13"/>
        <v>3616</v>
      </c>
      <c r="J232" t="b">
        <f t="shared" si="14"/>
        <v>1</v>
      </c>
      <c r="K232" s="4">
        <f t="shared" si="15"/>
        <v>-0.38728982300884962</v>
      </c>
      <c r="M232"/>
      <c r="O232"/>
      <c r="Q232" t="s">
        <v>600</v>
      </c>
      <c r="R232">
        <v>3762</v>
      </c>
      <c r="S232">
        <v>6511.64</v>
      </c>
    </row>
    <row r="233" spans="1:19" hidden="1">
      <c r="A233" t="s">
        <v>1340</v>
      </c>
      <c r="B233" t="s">
        <v>744</v>
      </c>
      <c r="C233" t="s">
        <v>745</v>
      </c>
      <c r="D233">
        <v>1133</v>
      </c>
      <c r="E233" s="19">
        <f t="shared" si="12"/>
        <v>40.464285714285715</v>
      </c>
      <c r="F233">
        <v>1771.42</v>
      </c>
      <c r="I233" s="19">
        <f t="shared" si="13"/>
        <v>2266</v>
      </c>
      <c r="J233" t="b">
        <f t="shared" si="14"/>
        <v>1</v>
      </c>
      <c r="K233" s="4">
        <f t="shared" si="15"/>
        <v>-0.21826125330979695</v>
      </c>
      <c r="M233"/>
      <c r="O233"/>
      <c r="Q233" t="s">
        <v>634</v>
      </c>
      <c r="R233">
        <v>3048</v>
      </c>
      <c r="S233">
        <v>4722.41</v>
      </c>
    </row>
    <row r="234" spans="1:19" hidden="1">
      <c r="A234" t="s">
        <v>1339</v>
      </c>
      <c r="B234" t="s">
        <v>336</v>
      </c>
      <c r="C234" t="s">
        <v>337</v>
      </c>
      <c r="D234">
        <v>1250</v>
      </c>
      <c r="E234" s="19">
        <f t="shared" si="12"/>
        <v>44.642857142857146</v>
      </c>
      <c r="F234">
        <v>1868.45</v>
      </c>
      <c r="I234" s="19">
        <f t="shared" si="13"/>
        <v>2500</v>
      </c>
      <c r="J234" t="b">
        <f t="shared" si="14"/>
        <v>1</v>
      </c>
      <c r="K234" s="4">
        <f t="shared" si="15"/>
        <v>-0.25261999999999996</v>
      </c>
      <c r="M234"/>
      <c r="O234"/>
      <c r="Q234" t="s">
        <v>872</v>
      </c>
      <c r="R234">
        <v>3637</v>
      </c>
      <c r="S234">
        <v>7335.47</v>
      </c>
    </row>
    <row r="235" spans="1:19" hidden="1">
      <c r="A235" t="s">
        <v>1341</v>
      </c>
      <c r="B235" t="s">
        <v>949</v>
      </c>
      <c r="C235" t="s">
        <v>950</v>
      </c>
      <c r="D235">
        <v>1166</v>
      </c>
      <c r="E235" s="19">
        <f t="shared" si="12"/>
        <v>41.642857142857146</v>
      </c>
      <c r="F235">
        <v>1447.82</v>
      </c>
      <c r="I235" s="19">
        <f t="shared" si="13"/>
        <v>2332</v>
      </c>
      <c r="J235" t="b">
        <f t="shared" si="14"/>
        <v>1</v>
      </c>
      <c r="K235" s="4">
        <f t="shared" si="15"/>
        <v>-0.37915094339622646</v>
      </c>
      <c r="M235"/>
      <c r="O235"/>
      <c r="Q235" t="s">
        <v>891</v>
      </c>
      <c r="R235">
        <v>4317</v>
      </c>
      <c r="S235">
        <v>6897.7699999999995</v>
      </c>
    </row>
    <row r="236" spans="1:19" hidden="1">
      <c r="A236" t="s">
        <v>1339</v>
      </c>
      <c r="B236" t="s">
        <v>392</v>
      </c>
      <c r="C236" t="s">
        <v>393</v>
      </c>
      <c r="D236">
        <v>1103</v>
      </c>
      <c r="E236" s="19">
        <f t="shared" si="12"/>
        <v>39.392857142857146</v>
      </c>
      <c r="F236">
        <v>2435.2800000000002</v>
      </c>
      <c r="I236" s="19">
        <f t="shared" si="13"/>
        <v>2206</v>
      </c>
      <c r="J236" t="b">
        <f t="shared" si="14"/>
        <v>1</v>
      </c>
      <c r="K236" s="4">
        <f t="shared" si="15"/>
        <v>0.10393472348141453</v>
      </c>
      <c r="M236"/>
      <c r="O236"/>
      <c r="Q236" t="s">
        <v>703</v>
      </c>
      <c r="R236">
        <v>5550</v>
      </c>
      <c r="S236">
        <v>9885.65</v>
      </c>
    </row>
    <row r="237" spans="1:19" hidden="1">
      <c r="A237" t="s">
        <v>1341</v>
      </c>
      <c r="B237" t="s">
        <v>1015</v>
      </c>
      <c r="C237" t="s">
        <v>1016</v>
      </c>
      <c r="D237">
        <v>786</v>
      </c>
      <c r="E237" s="19">
        <f t="shared" si="12"/>
        <v>28.071428571428573</v>
      </c>
      <c r="F237">
        <v>584.24</v>
      </c>
      <c r="I237" s="19">
        <f t="shared" si="13"/>
        <v>1572</v>
      </c>
      <c r="J237" t="b">
        <f t="shared" si="14"/>
        <v>1</v>
      </c>
      <c r="K237" s="4">
        <f t="shared" si="15"/>
        <v>-0.62834605597964377</v>
      </c>
      <c r="M237"/>
      <c r="O237"/>
      <c r="Q237" t="s">
        <v>816</v>
      </c>
      <c r="R237">
        <v>1894</v>
      </c>
      <c r="S237">
        <v>3441.08</v>
      </c>
    </row>
    <row r="238" spans="1:19" hidden="1">
      <c r="A238" t="s">
        <v>1339</v>
      </c>
      <c r="B238" t="s">
        <v>232</v>
      </c>
      <c r="C238" t="s">
        <v>233</v>
      </c>
      <c r="D238">
        <v>1114</v>
      </c>
      <c r="E238" s="19">
        <f t="shared" si="12"/>
        <v>39.785714285714285</v>
      </c>
      <c r="F238">
        <v>1365.23</v>
      </c>
      <c r="I238" s="19">
        <f t="shared" si="13"/>
        <v>2228</v>
      </c>
      <c r="J238" t="b">
        <f t="shared" si="14"/>
        <v>1</v>
      </c>
      <c r="K238" s="4">
        <f t="shared" si="15"/>
        <v>-0.38723967684021543</v>
      </c>
      <c r="M238"/>
      <c r="O238"/>
      <c r="Q238" t="s">
        <v>708</v>
      </c>
      <c r="R238">
        <v>2</v>
      </c>
      <c r="S238">
        <v>0</v>
      </c>
    </row>
    <row r="239" spans="1:19" hidden="1">
      <c r="A239" t="s">
        <v>1340</v>
      </c>
      <c r="B239" t="s">
        <v>764</v>
      </c>
      <c r="C239" t="s">
        <v>765</v>
      </c>
      <c r="D239">
        <v>1035</v>
      </c>
      <c r="E239" s="19">
        <f t="shared" si="12"/>
        <v>36.964285714285715</v>
      </c>
      <c r="F239">
        <v>1310.2</v>
      </c>
      <c r="I239" s="19">
        <f t="shared" si="13"/>
        <v>2070</v>
      </c>
      <c r="J239" t="b">
        <f t="shared" si="14"/>
        <v>1</v>
      </c>
      <c r="K239" s="4">
        <f t="shared" si="15"/>
        <v>-0.36705314009661838</v>
      </c>
      <c r="M239"/>
      <c r="O239"/>
      <c r="Q239" t="s">
        <v>827</v>
      </c>
      <c r="R239">
        <v>3398</v>
      </c>
      <c r="S239">
        <v>4409.53</v>
      </c>
    </row>
    <row r="240" spans="1:19" hidden="1">
      <c r="A240" t="s">
        <v>1339</v>
      </c>
      <c r="B240" t="s">
        <v>480</v>
      </c>
      <c r="C240" t="s">
        <v>481</v>
      </c>
      <c r="D240">
        <v>641</v>
      </c>
      <c r="E240" s="19">
        <f t="shared" si="12"/>
        <v>22.892857142857142</v>
      </c>
      <c r="F240">
        <v>1327.23</v>
      </c>
      <c r="I240" s="19">
        <f t="shared" si="13"/>
        <v>1282</v>
      </c>
      <c r="J240" t="b">
        <f t="shared" si="14"/>
        <v>1</v>
      </c>
      <c r="K240" s="4">
        <f t="shared" si="15"/>
        <v>3.5280811232449416E-2</v>
      </c>
      <c r="M240"/>
      <c r="O240"/>
      <c r="Q240" t="s">
        <v>594</v>
      </c>
      <c r="R240">
        <v>5137</v>
      </c>
      <c r="S240">
        <v>8701.9699999999993</v>
      </c>
    </row>
    <row r="241" spans="1:19" hidden="1">
      <c r="A241" t="s">
        <v>1340</v>
      </c>
      <c r="B241" t="s">
        <v>836</v>
      </c>
      <c r="C241" t="s">
        <v>837</v>
      </c>
      <c r="D241">
        <v>724</v>
      </c>
      <c r="E241" s="19">
        <f t="shared" si="12"/>
        <v>25.857142857142858</v>
      </c>
      <c r="F241">
        <v>699.33</v>
      </c>
      <c r="I241" s="19">
        <f t="shared" si="13"/>
        <v>1448</v>
      </c>
      <c r="J241" t="b">
        <f t="shared" si="14"/>
        <v>1</v>
      </c>
      <c r="K241" s="4">
        <f t="shared" si="15"/>
        <v>-0.51703729281767952</v>
      </c>
      <c r="M241"/>
      <c r="O241"/>
      <c r="Q241" t="s">
        <v>808</v>
      </c>
      <c r="R241">
        <v>711</v>
      </c>
      <c r="S241">
        <v>1448.65</v>
      </c>
    </row>
    <row r="242" spans="1:19" hidden="1">
      <c r="A242" t="s">
        <v>1341</v>
      </c>
      <c r="B242" t="s">
        <v>1017</v>
      </c>
      <c r="C242" t="s">
        <v>1018</v>
      </c>
      <c r="D242">
        <v>1140</v>
      </c>
      <c r="E242" s="19">
        <f t="shared" si="12"/>
        <v>40.714285714285715</v>
      </c>
      <c r="F242">
        <v>2346.04</v>
      </c>
      <c r="I242" s="19">
        <f t="shared" si="13"/>
        <v>2280</v>
      </c>
      <c r="J242" t="b">
        <f t="shared" si="14"/>
        <v>1</v>
      </c>
      <c r="K242" s="4">
        <f t="shared" si="15"/>
        <v>2.8964912280701638E-2</v>
      </c>
      <c r="M242"/>
      <c r="O242"/>
      <c r="Q242" t="s">
        <v>806</v>
      </c>
      <c r="R242">
        <v>2183</v>
      </c>
      <c r="S242">
        <v>3642.64</v>
      </c>
    </row>
    <row r="243" spans="1:19" hidden="1">
      <c r="A243" t="s">
        <v>1339</v>
      </c>
      <c r="B243" t="s">
        <v>272</v>
      </c>
      <c r="C243" t="s">
        <v>273</v>
      </c>
      <c r="D243">
        <v>1184</v>
      </c>
      <c r="E243" s="19">
        <f t="shared" si="12"/>
        <v>42.285714285714285</v>
      </c>
      <c r="F243">
        <v>2477.7399999999998</v>
      </c>
      <c r="I243" s="19">
        <f t="shared" si="13"/>
        <v>2368</v>
      </c>
      <c r="J243" t="b">
        <f t="shared" si="14"/>
        <v>1</v>
      </c>
      <c r="K243" s="4">
        <f t="shared" si="15"/>
        <v>4.6342905405405421E-2</v>
      </c>
      <c r="M243"/>
      <c r="O243"/>
      <c r="Q243" t="s">
        <v>796</v>
      </c>
      <c r="R243">
        <v>1995</v>
      </c>
      <c r="S243">
        <v>4535.91</v>
      </c>
    </row>
    <row r="244" spans="1:19" hidden="1">
      <c r="A244" t="s">
        <v>1340</v>
      </c>
      <c r="B244" t="s">
        <v>728</v>
      </c>
      <c r="C244" t="s">
        <v>729</v>
      </c>
      <c r="D244">
        <v>521</v>
      </c>
      <c r="E244" s="19">
        <f t="shared" si="12"/>
        <v>18.607142857142858</v>
      </c>
      <c r="F244">
        <v>196.88</v>
      </c>
      <c r="I244" s="19">
        <f t="shared" si="13"/>
        <v>1042</v>
      </c>
      <c r="J244" t="b">
        <f t="shared" si="14"/>
        <v>1</v>
      </c>
      <c r="K244" s="4">
        <f t="shared" si="15"/>
        <v>-0.81105566218809977</v>
      </c>
      <c r="M244"/>
      <c r="O244"/>
      <c r="Q244" t="s">
        <v>861</v>
      </c>
      <c r="R244">
        <v>1870</v>
      </c>
      <c r="S244">
        <v>3839.5</v>
      </c>
    </row>
    <row r="245" spans="1:19" hidden="1">
      <c r="A245" t="s">
        <v>1340</v>
      </c>
      <c r="B245" t="s">
        <v>636</v>
      </c>
      <c r="C245" t="s">
        <v>637</v>
      </c>
      <c r="D245">
        <v>1068</v>
      </c>
      <c r="E245" s="19">
        <f t="shared" si="12"/>
        <v>38.142857142857146</v>
      </c>
      <c r="F245">
        <v>778.96</v>
      </c>
      <c r="I245" s="19">
        <f t="shared" si="13"/>
        <v>2136</v>
      </c>
      <c r="J245" t="b">
        <f t="shared" si="14"/>
        <v>1</v>
      </c>
      <c r="K245" s="4">
        <f t="shared" si="15"/>
        <v>-0.63531835205992504</v>
      </c>
      <c r="M245"/>
      <c r="O245"/>
      <c r="Q245" t="s">
        <v>841</v>
      </c>
      <c r="R245">
        <v>1727</v>
      </c>
      <c r="S245">
        <v>3534.84</v>
      </c>
    </row>
    <row r="246" spans="1:19" hidden="1">
      <c r="A246" t="s">
        <v>1339</v>
      </c>
      <c r="B246" t="s">
        <v>326</v>
      </c>
      <c r="C246" t="s">
        <v>327</v>
      </c>
      <c r="D246">
        <v>634</v>
      </c>
      <c r="E246" s="19">
        <f t="shared" si="12"/>
        <v>22.642857142857142</v>
      </c>
      <c r="F246">
        <v>904.49</v>
      </c>
      <c r="I246" s="19">
        <f t="shared" si="13"/>
        <v>1268</v>
      </c>
      <c r="J246" t="b">
        <f t="shared" si="14"/>
        <v>1</v>
      </c>
      <c r="K246" s="4">
        <f t="shared" si="15"/>
        <v>-0.28667981072555204</v>
      </c>
      <c r="M246"/>
      <c r="O246"/>
      <c r="Q246" t="s">
        <v>897</v>
      </c>
      <c r="R246">
        <v>40373</v>
      </c>
      <c r="S246">
        <v>31043.68</v>
      </c>
    </row>
    <row r="247" spans="1:19" hidden="1">
      <c r="A247" t="s">
        <v>1341</v>
      </c>
      <c r="B247" t="s">
        <v>1101</v>
      </c>
      <c r="C247" t="s">
        <v>1102</v>
      </c>
      <c r="D247">
        <v>393</v>
      </c>
      <c r="E247" s="19">
        <f t="shared" ref="E247:E296" si="16">D247/28</f>
        <v>14.035714285714286</v>
      </c>
      <c r="F247">
        <v>734.85</v>
      </c>
      <c r="I247" s="19">
        <f t="shared" ref="I247:I296" si="17">IF((D247/28)&gt;100,D247*2,D247*2)</f>
        <v>786</v>
      </c>
      <c r="J247" t="b">
        <f t="shared" ref="J247:J296" si="18">IF(F247&gt;1.2*I247,FALSE,TRUE)</f>
        <v>1</v>
      </c>
      <c r="K247" s="4">
        <f t="shared" ref="K247:K296" si="19">F247/I247-1</f>
        <v>-6.5076335877862546E-2</v>
      </c>
      <c r="M247"/>
      <c r="O247"/>
      <c r="Q247" t="s">
        <v>839</v>
      </c>
      <c r="R247">
        <v>1614</v>
      </c>
      <c r="S247">
        <v>3358.06</v>
      </c>
    </row>
    <row r="248" spans="1:19" hidden="1">
      <c r="A248" t="s">
        <v>1339</v>
      </c>
      <c r="B248" t="s">
        <v>438</v>
      </c>
      <c r="C248" t="s">
        <v>439</v>
      </c>
      <c r="D248">
        <v>1799</v>
      </c>
      <c r="E248" s="19">
        <f t="shared" si="16"/>
        <v>64.25</v>
      </c>
      <c r="F248">
        <v>1006.72</v>
      </c>
      <c r="I248" s="19">
        <f t="shared" si="17"/>
        <v>3598</v>
      </c>
      <c r="J248" t="b">
        <f t="shared" si="18"/>
        <v>1</v>
      </c>
      <c r="K248" s="4">
        <f t="shared" si="19"/>
        <v>-0.72020011117287375</v>
      </c>
      <c r="M248"/>
      <c r="O248"/>
      <c r="Q248" t="s">
        <v>622</v>
      </c>
      <c r="R248">
        <v>2721</v>
      </c>
      <c r="S248">
        <v>5511.35</v>
      </c>
    </row>
    <row r="249" spans="1:19">
      <c r="A249" t="s">
        <v>1341</v>
      </c>
      <c r="B249" t="s">
        <v>1089</v>
      </c>
      <c r="C249" t="s">
        <v>1090</v>
      </c>
      <c r="D249">
        <v>1158</v>
      </c>
      <c r="E249" s="19">
        <f t="shared" si="16"/>
        <v>41.357142857142854</v>
      </c>
      <c r="F249">
        <v>3288.55</v>
      </c>
      <c r="I249" s="19">
        <f t="shared" si="17"/>
        <v>2316</v>
      </c>
      <c r="J249" t="b">
        <f t="shared" si="18"/>
        <v>0</v>
      </c>
      <c r="K249" s="4">
        <f t="shared" si="19"/>
        <v>0.4199265975820381</v>
      </c>
      <c r="L249" t="s">
        <v>586</v>
      </c>
      <c r="M249"/>
      <c r="O249"/>
      <c r="Q249" t="s">
        <v>831</v>
      </c>
      <c r="R249">
        <v>1207</v>
      </c>
      <c r="S249">
        <v>2348.6</v>
      </c>
    </row>
    <row r="250" spans="1:19" hidden="1">
      <c r="A250" t="s">
        <v>1340</v>
      </c>
      <c r="B250" t="s">
        <v>651</v>
      </c>
      <c r="C250" t="s">
        <v>652</v>
      </c>
      <c r="D250">
        <v>1222</v>
      </c>
      <c r="E250" s="19">
        <f t="shared" si="16"/>
        <v>43.642857142857146</v>
      </c>
      <c r="F250">
        <v>781.96</v>
      </c>
      <c r="I250" s="19">
        <f t="shared" si="17"/>
        <v>2444</v>
      </c>
      <c r="J250" t="b">
        <f t="shared" si="18"/>
        <v>1</v>
      </c>
      <c r="K250" s="4">
        <f t="shared" si="19"/>
        <v>-0.68004909983633388</v>
      </c>
      <c r="M250"/>
      <c r="O250"/>
      <c r="Q250" t="s">
        <v>820</v>
      </c>
      <c r="R250">
        <v>611</v>
      </c>
      <c r="S250">
        <v>1458.74</v>
      </c>
    </row>
    <row r="251" spans="1:19" hidden="1">
      <c r="A251" t="s">
        <v>1339</v>
      </c>
      <c r="B251" t="s">
        <v>256</v>
      </c>
      <c r="C251" t="s">
        <v>257</v>
      </c>
      <c r="D251">
        <v>855</v>
      </c>
      <c r="E251" s="19">
        <f t="shared" si="16"/>
        <v>30.535714285714285</v>
      </c>
      <c r="F251">
        <v>1141.45</v>
      </c>
      <c r="I251" s="19">
        <f t="shared" si="17"/>
        <v>1710</v>
      </c>
      <c r="J251" t="b">
        <f t="shared" si="18"/>
        <v>1</v>
      </c>
      <c r="K251" s="4">
        <f t="shared" si="19"/>
        <v>-0.33248538011695905</v>
      </c>
      <c r="M251"/>
      <c r="O251"/>
      <c r="Q251" t="s">
        <v>662</v>
      </c>
      <c r="R251">
        <v>2751</v>
      </c>
      <c r="S251">
        <v>3498.09</v>
      </c>
    </row>
    <row r="252" spans="1:19" hidden="1">
      <c r="A252" t="s">
        <v>1340</v>
      </c>
      <c r="B252" t="s">
        <v>670</v>
      </c>
      <c r="C252" t="s">
        <v>671</v>
      </c>
      <c r="D252">
        <v>1112</v>
      </c>
      <c r="E252" s="19">
        <f t="shared" si="16"/>
        <v>39.714285714285715</v>
      </c>
      <c r="F252">
        <v>1222.6099999999999</v>
      </c>
      <c r="I252" s="19">
        <f t="shared" si="17"/>
        <v>2224</v>
      </c>
      <c r="J252" t="b">
        <f t="shared" si="18"/>
        <v>1</v>
      </c>
      <c r="K252" s="4">
        <f t="shared" si="19"/>
        <v>-0.45026528776978425</v>
      </c>
      <c r="M252"/>
      <c r="O252"/>
      <c r="Q252" t="s">
        <v>885</v>
      </c>
      <c r="R252">
        <v>2185</v>
      </c>
      <c r="S252">
        <v>3732.5</v>
      </c>
    </row>
    <row r="253" spans="1:19" hidden="1">
      <c r="A253" t="s">
        <v>1340</v>
      </c>
      <c r="B253" t="s">
        <v>878</v>
      </c>
      <c r="C253" t="s">
        <v>879</v>
      </c>
      <c r="D253">
        <v>562</v>
      </c>
      <c r="E253" s="19">
        <f t="shared" si="16"/>
        <v>20.071428571428573</v>
      </c>
      <c r="F253">
        <v>160.04</v>
      </c>
      <c r="I253" s="19">
        <f t="shared" si="17"/>
        <v>1124</v>
      </c>
      <c r="J253" t="b">
        <f t="shared" si="18"/>
        <v>1</v>
      </c>
      <c r="K253" s="4">
        <f t="shared" si="19"/>
        <v>-0.85761565836298936</v>
      </c>
      <c r="M253"/>
      <c r="O253"/>
      <c r="Q253" t="s">
        <v>712</v>
      </c>
      <c r="R253">
        <v>1039</v>
      </c>
      <c r="S253">
        <v>1446.12</v>
      </c>
    </row>
    <row r="254" spans="1:19" hidden="1">
      <c r="A254" t="s">
        <v>1339</v>
      </c>
      <c r="B254" t="s">
        <v>388</v>
      </c>
      <c r="C254" t="s">
        <v>389</v>
      </c>
      <c r="D254">
        <v>917</v>
      </c>
      <c r="E254" s="19">
        <f t="shared" si="16"/>
        <v>32.75</v>
      </c>
      <c r="F254">
        <v>1216.06</v>
      </c>
      <c r="I254" s="19">
        <f t="shared" si="17"/>
        <v>1834</v>
      </c>
      <c r="J254" t="b">
        <f t="shared" si="18"/>
        <v>1</v>
      </c>
      <c r="K254" s="4">
        <f t="shared" si="19"/>
        <v>-0.33693565976008732</v>
      </c>
      <c r="M254"/>
      <c r="O254"/>
      <c r="Q254" t="s">
        <v>853</v>
      </c>
      <c r="R254">
        <v>1195</v>
      </c>
      <c r="S254">
        <v>2255.9299999999998</v>
      </c>
    </row>
    <row r="255" spans="1:19" hidden="1">
      <c r="A255" t="s">
        <v>1341</v>
      </c>
      <c r="B255" t="s">
        <v>1111</v>
      </c>
      <c r="C255" t="s">
        <v>1112</v>
      </c>
      <c r="D255">
        <v>1198</v>
      </c>
      <c r="E255" s="19">
        <f t="shared" si="16"/>
        <v>42.785714285714285</v>
      </c>
      <c r="F255">
        <v>1938.7199999999998</v>
      </c>
      <c r="I255" s="19">
        <f t="shared" si="17"/>
        <v>2396</v>
      </c>
      <c r="J255" t="b">
        <f t="shared" si="18"/>
        <v>1</v>
      </c>
      <c r="K255" s="4">
        <f t="shared" si="19"/>
        <v>-0.19085141903171965</v>
      </c>
      <c r="M255"/>
      <c r="O255"/>
      <c r="Q255" t="s">
        <v>673</v>
      </c>
      <c r="R255">
        <v>2263</v>
      </c>
      <c r="S255">
        <v>5130.78</v>
      </c>
    </row>
    <row r="256" spans="1:19" hidden="1">
      <c r="A256" t="s">
        <v>1341</v>
      </c>
      <c r="B256" t="s">
        <v>1029</v>
      </c>
      <c r="C256" t="s">
        <v>1030</v>
      </c>
      <c r="D256">
        <v>1256</v>
      </c>
      <c r="E256" s="19">
        <f t="shared" si="16"/>
        <v>44.857142857142854</v>
      </c>
      <c r="F256">
        <v>2761.68</v>
      </c>
      <c r="I256" s="140">
        <f t="shared" si="17"/>
        <v>2512</v>
      </c>
      <c r="J256" t="b">
        <f t="shared" si="18"/>
        <v>1</v>
      </c>
      <c r="K256" s="4">
        <f t="shared" si="19"/>
        <v>9.9394904458598665E-2</v>
      </c>
      <c r="Q256" t="s">
        <v>877</v>
      </c>
      <c r="R256">
        <v>2201</v>
      </c>
      <c r="S256">
        <v>2780.43</v>
      </c>
    </row>
    <row r="257" spans="1:19" hidden="1">
      <c r="A257" t="s">
        <v>1340</v>
      </c>
      <c r="B257" t="s">
        <v>607</v>
      </c>
      <c r="C257" t="s">
        <v>608</v>
      </c>
      <c r="D257">
        <v>1029</v>
      </c>
      <c r="E257" s="19">
        <f t="shared" si="16"/>
        <v>36.75</v>
      </c>
      <c r="F257">
        <v>92.18</v>
      </c>
      <c r="I257" s="19">
        <f t="shared" si="17"/>
        <v>2058</v>
      </c>
      <c r="J257" t="b">
        <f t="shared" si="18"/>
        <v>1</v>
      </c>
      <c r="K257" s="4">
        <f t="shared" si="19"/>
        <v>-0.95520894071914475</v>
      </c>
      <c r="M257"/>
      <c r="O257"/>
      <c r="Q257" t="s">
        <v>812</v>
      </c>
      <c r="R257">
        <v>1667</v>
      </c>
      <c r="S257">
        <v>2965.44</v>
      </c>
    </row>
    <row r="258" spans="1:19" hidden="1">
      <c r="A258" t="s">
        <v>1341</v>
      </c>
      <c r="B258" t="s">
        <v>921</v>
      </c>
      <c r="C258" t="s">
        <v>922</v>
      </c>
      <c r="D258">
        <v>1603</v>
      </c>
      <c r="E258" s="19">
        <f t="shared" si="16"/>
        <v>57.25</v>
      </c>
      <c r="F258">
        <v>2112.17</v>
      </c>
      <c r="I258" s="19">
        <f t="shared" si="17"/>
        <v>3206</v>
      </c>
      <c r="J258" t="b">
        <f t="shared" si="18"/>
        <v>1</v>
      </c>
      <c r="K258" s="4">
        <f t="shared" si="19"/>
        <v>-0.34118215845290079</v>
      </c>
      <c r="M258"/>
      <c r="O258"/>
      <c r="Q258" t="s">
        <v>739</v>
      </c>
      <c r="R258">
        <v>4039</v>
      </c>
      <c r="S258">
        <v>5176.58</v>
      </c>
    </row>
    <row r="259" spans="1:19" hidden="1">
      <c r="A259" t="s">
        <v>1341</v>
      </c>
      <c r="B259" t="s">
        <v>1041</v>
      </c>
      <c r="C259" t="s">
        <v>1042</v>
      </c>
      <c r="D259">
        <v>1153</v>
      </c>
      <c r="E259" s="19">
        <f t="shared" si="16"/>
        <v>41.178571428571431</v>
      </c>
      <c r="F259">
        <v>2185.8200000000002</v>
      </c>
      <c r="I259" s="19">
        <f t="shared" si="17"/>
        <v>2306</v>
      </c>
      <c r="J259" t="b">
        <f t="shared" si="18"/>
        <v>1</v>
      </c>
      <c r="K259" s="4">
        <f t="shared" si="19"/>
        <v>-5.2116218560277483E-2</v>
      </c>
      <c r="M259"/>
      <c r="O259"/>
      <c r="Q259" t="s">
        <v>614</v>
      </c>
      <c r="R259">
        <v>1372</v>
      </c>
      <c r="S259">
        <v>3179.39</v>
      </c>
    </row>
    <row r="260" spans="1:19" hidden="1">
      <c r="A260" t="s">
        <v>1339</v>
      </c>
      <c r="B260" t="s">
        <v>308</v>
      </c>
      <c r="C260" t="s">
        <v>309</v>
      </c>
      <c r="D260">
        <v>781</v>
      </c>
      <c r="E260" s="19">
        <f t="shared" si="16"/>
        <v>27.892857142857142</v>
      </c>
      <c r="F260">
        <v>1819.82</v>
      </c>
      <c r="I260" s="140">
        <f t="shared" si="17"/>
        <v>1562</v>
      </c>
      <c r="J260" t="b">
        <f t="shared" si="18"/>
        <v>1</v>
      </c>
      <c r="K260" s="4">
        <f t="shared" si="19"/>
        <v>0.16505761843790001</v>
      </c>
      <c r="O260" s="147"/>
      <c r="Q260" t="s">
        <v>775</v>
      </c>
      <c r="R260">
        <v>3</v>
      </c>
      <c r="S260">
        <v>0</v>
      </c>
    </row>
    <row r="261" spans="1:19" hidden="1">
      <c r="A261" t="s">
        <v>1340</v>
      </c>
      <c r="B261" t="s">
        <v>617</v>
      </c>
      <c r="C261" t="s">
        <v>618</v>
      </c>
      <c r="D261">
        <v>903</v>
      </c>
      <c r="E261" s="19">
        <f t="shared" si="16"/>
        <v>32.25</v>
      </c>
      <c r="F261">
        <v>1157.74</v>
      </c>
      <c r="I261" s="19">
        <f t="shared" si="17"/>
        <v>1806</v>
      </c>
      <c r="J261" t="b">
        <f t="shared" si="18"/>
        <v>1</v>
      </c>
      <c r="K261" s="4">
        <f t="shared" si="19"/>
        <v>-0.35894795127353263</v>
      </c>
      <c r="M261"/>
      <c r="O261"/>
      <c r="Q261" t="s">
        <v>777</v>
      </c>
      <c r="R261">
        <v>740</v>
      </c>
      <c r="S261">
        <v>1692.16</v>
      </c>
    </row>
    <row r="262" spans="1:19" hidden="1">
      <c r="A262" t="s">
        <v>1339</v>
      </c>
      <c r="B262" t="s">
        <v>248</v>
      </c>
      <c r="C262" t="s">
        <v>249</v>
      </c>
      <c r="D262">
        <v>1154</v>
      </c>
      <c r="E262" s="19">
        <f t="shared" si="16"/>
        <v>41.214285714285715</v>
      </c>
      <c r="F262">
        <v>2254.7399999999998</v>
      </c>
      <c r="I262" s="19">
        <f t="shared" si="17"/>
        <v>2308</v>
      </c>
      <c r="J262" t="b">
        <f t="shared" si="18"/>
        <v>1</v>
      </c>
      <c r="K262" s="4">
        <f t="shared" si="19"/>
        <v>-2.3076256499133585E-2</v>
      </c>
      <c r="M262"/>
      <c r="O262"/>
      <c r="Q262" t="s">
        <v>669</v>
      </c>
      <c r="R262">
        <v>934</v>
      </c>
      <c r="S262">
        <v>1679.4</v>
      </c>
    </row>
    <row r="263" spans="1:19" hidden="1">
      <c r="A263" t="s">
        <v>1340</v>
      </c>
      <c r="B263" t="s">
        <v>778</v>
      </c>
      <c r="C263" t="s">
        <v>779</v>
      </c>
      <c r="D263">
        <v>683</v>
      </c>
      <c r="E263" s="19">
        <f t="shared" si="16"/>
        <v>24.392857142857142</v>
      </c>
      <c r="F263">
        <v>803.67</v>
      </c>
      <c r="I263" s="19">
        <f t="shared" si="17"/>
        <v>1366</v>
      </c>
      <c r="J263" t="b">
        <f t="shared" si="18"/>
        <v>1</v>
      </c>
      <c r="K263" s="4">
        <f t="shared" si="19"/>
        <v>-0.41166178623718885</v>
      </c>
      <c r="M263"/>
      <c r="O263"/>
      <c r="Q263" t="s">
        <v>794</v>
      </c>
      <c r="R263">
        <v>1221</v>
      </c>
      <c r="S263">
        <v>1238.4000000000001</v>
      </c>
    </row>
    <row r="264" spans="1:19" hidden="1">
      <c r="A264" t="s">
        <v>1339</v>
      </c>
      <c r="B264" t="s">
        <v>364</v>
      </c>
      <c r="C264" t="s">
        <v>365</v>
      </c>
      <c r="D264">
        <v>615</v>
      </c>
      <c r="E264" s="19">
        <f t="shared" si="16"/>
        <v>21.964285714285715</v>
      </c>
      <c r="F264">
        <v>815.51</v>
      </c>
      <c r="I264" s="19">
        <f t="shared" si="17"/>
        <v>1230</v>
      </c>
      <c r="J264" t="b">
        <f t="shared" si="18"/>
        <v>1</v>
      </c>
      <c r="K264" s="4">
        <f t="shared" si="19"/>
        <v>-0.33698373983739838</v>
      </c>
      <c r="M264"/>
      <c r="O264"/>
      <c r="Q264" t="s">
        <v>779</v>
      </c>
      <c r="R264">
        <v>706</v>
      </c>
      <c r="S264">
        <v>887.74</v>
      </c>
    </row>
    <row r="265" spans="1:19" hidden="1">
      <c r="A265" t="s">
        <v>1339</v>
      </c>
      <c r="B265" t="s">
        <v>264</v>
      </c>
      <c r="C265" t="s">
        <v>265</v>
      </c>
      <c r="D265">
        <v>1205</v>
      </c>
      <c r="E265" s="19">
        <f t="shared" si="16"/>
        <v>43.035714285714285</v>
      </c>
      <c r="F265">
        <v>1588.59</v>
      </c>
      <c r="I265" s="19">
        <f t="shared" si="17"/>
        <v>2410</v>
      </c>
      <c r="J265" t="b">
        <f t="shared" si="18"/>
        <v>1</v>
      </c>
      <c r="K265" s="4">
        <f t="shared" si="19"/>
        <v>-0.34083402489626557</v>
      </c>
      <c r="M265"/>
      <c r="O265"/>
      <c r="Q265" t="s">
        <v>648</v>
      </c>
      <c r="R265">
        <v>995</v>
      </c>
      <c r="S265">
        <v>1253.03</v>
      </c>
    </row>
    <row r="266" spans="1:19" hidden="1">
      <c r="A266" t="s">
        <v>1339</v>
      </c>
      <c r="B266" t="s">
        <v>356</v>
      </c>
      <c r="C266" t="s">
        <v>357</v>
      </c>
      <c r="D266">
        <v>533</v>
      </c>
      <c r="E266" s="19">
        <f t="shared" si="16"/>
        <v>19.035714285714285</v>
      </c>
      <c r="F266">
        <v>691.81</v>
      </c>
      <c r="I266" s="19">
        <f t="shared" si="17"/>
        <v>1066</v>
      </c>
      <c r="J266" t="b">
        <f t="shared" si="18"/>
        <v>1</v>
      </c>
      <c r="K266" s="4">
        <f t="shared" si="19"/>
        <v>-0.35102251407129459</v>
      </c>
      <c r="M266"/>
      <c r="O266"/>
      <c r="Q266" t="s">
        <v>893</v>
      </c>
      <c r="R266">
        <v>942</v>
      </c>
      <c r="S266">
        <v>1905.07</v>
      </c>
    </row>
    <row r="267" spans="1:19" hidden="1">
      <c r="A267" t="s">
        <v>1339</v>
      </c>
      <c r="B267" t="s">
        <v>400</v>
      </c>
      <c r="C267" t="s">
        <v>401</v>
      </c>
      <c r="D267">
        <v>777</v>
      </c>
      <c r="E267" s="19">
        <f t="shared" si="16"/>
        <v>27.75</v>
      </c>
      <c r="F267">
        <v>1310.49</v>
      </c>
      <c r="I267" s="19">
        <f t="shared" si="17"/>
        <v>1554</v>
      </c>
      <c r="J267" t="b">
        <f t="shared" si="18"/>
        <v>1</v>
      </c>
      <c r="K267" s="4">
        <f t="shared" si="19"/>
        <v>-0.15669884169884174</v>
      </c>
      <c r="M267"/>
      <c r="O267"/>
      <c r="Q267" t="s">
        <v>761</v>
      </c>
      <c r="R267">
        <v>697</v>
      </c>
      <c r="S267">
        <v>933.22</v>
      </c>
    </row>
    <row r="268" spans="1:19" hidden="1">
      <c r="A268" t="s">
        <v>1341</v>
      </c>
      <c r="B268" t="s">
        <v>1000</v>
      </c>
      <c r="C268" t="s">
        <v>1001</v>
      </c>
      <c r="D268">
        <v>502</v>
      </c>
      <c r="E268" s="19">
        <f t="shared" si="16"/>
        <v>17.928571428571427</v>
      </c>
      <c r="F268">
        <v>277.06</v>
      </c>
      <c r="I268" s="19">
        <f t="shared" si="17"/>
        <v>1004</v>
      </c>
      <c r="J268" t="b">
        <f t="shared" si="18"/>
        <v>1</v>
      </c>
      <c r="K268" s="4">
        <f t="shared" si="19"/>
        <v>-0.72404382470119522</v>
      </c>
      <c r="M268"/>
      <c r="O268"/>
      <c r="Q268" t="s">
        <v>741</v>
      </c>
      <c r="R268">
        <v>1585</v>
      </c>
      <c r="S268">
        <v>1853.67</v>
      </c>
    </row>
    <row r="269" spans="1:19" hidden="1">
      <c r="A269" t="s">
        <v>1339</v>
      </c>
      <c r="B269" t="s">
        <v>410</v>
      </c>
      <c r="C269" t="s">
        <v>411</v>
      </c>
      <c r="D269">
        <v>678</v>
      </c>
      <c r="E269" s="19">
        <f t="shared" si="16"/>
        <v>24.214285714285715</v>
      </c>
      <c r="F269">
        <v>782.96</v>
      </c>
      <c r="I269" s="19">
        <f t="shared" si="17"/>
        <v>1356</v>
      </c>
      <c r="J269" t="b">
        <f t="shared" si="18"/>
        <v>1</v>
      </c>
      <c r="K269" s="4">
        <f t="shared" si="19"/>
        <v>-0.4225958702064897</v>
      </c>
      <c r="M269"/>
      <c r="O269"/>
      <c r="Q269" t="s">
        <v>790</v>
      </c>
      <c r="R269">
        <v>1841</v>
      </c>
      <c r="S269">
        <v>2630.37</v>
      </c>
    </row>
    <row r="270" spans="1:19" hidden="1">
      <c r="A270" t="s">
        <v>1340</v>
      </c>
      <c r="B270" t="s">
        <v>888</v>
      </c>
      <c r="C270" t="s">
        <v>889</v>
      </c>
      <c r="D270">
        <v>2362</v>
      </c>
      <c r="E270" s="19">
        <f t="shared" si="16"/>
        <v>84.357142857142861</v>
      </c>
      <c r="F270">
        <v>4587.8</v>
      </c>
      <c r="I270" s="19">
        <f t="shared" si="17"/>
        <v>4724</v>
      </c>
      <c r="J270" t="b">
        <f t="shared" si="18"/>
        <v>1</v>
      </c>
      <c r="K270" s="4">
        <f t="shared" si="19"/>
        <v>-2.8831498729889882E-2</v>
      </c>
      <c r="M270"/>
      <c r="O270"/>
      <c r="Q270" t="s">
        <v>837</v>
      </c>
      <c r="R270">
        <v>1079</v>
      </c>
      <c r="S270">
        <v>2122.04</v>
      </c>
    </row>
    <row r="271" spans="1:19" hidden="1">
      <c r="A271" t="s">
        <v>1341</v>
      </c>
      <c r="B271" t="s">
        <v>1023</v>
      </c>
      <c r="C271" t="s">
        <v>1024</v>
      </c>
      <c r="D271">
        <v>2</v>
      </c>
      <c r="E271" s="19">
        <f t="shared" si="16"/>
        <v>7.1428571428571425E-2</v>
      </c>
      <c r="F271">
        <v>0</v>
      </c>
      <c r="I271" s="19">
        <f t="shared" si="17"/>
        <v>4</v>
      </c>
      <c r="J271" t="b">
        <f t="shared" si="18"/>
        <v>1</v>
      </c>
      <c r="K271" s="4">
        <f t="shared" si="19"/>
        <v>-1</v>
      </c>
      <c r="M271"/>
      <c r="O271"/>
      <c r="Q271" t="s">
        <v>618</v>
      </c>
      <c r="R271">
        <v>337</v>
      </c>
      <c r="S271">
        <v>529.88</v>
      </c>
    </row>
    <row r="272" spans="1:19" hidden="1">
      <c r="A272" t="s">
        <v>1339</v>
      </c>
      <c r="B272" t="s">
        <v>166</v>
      </c>
      <c r="C272" t="s">
        <v>167</v>
      </c>
      <c r="D272">
        <v>954</v>
      </c>
      <c r="E272" s="19">
        <f t="shared" si="16"/>
        <v>34.071428571428569</v>
      </c>
      <c r="F272">
        <v>846</v>
      </c>
      <c r="I272" s="19">
        <f t="shared" si="17"/>
        <v>1908</v>
      </c>
      <c r="J272" t="b">
        <f t="shared" si="18"/>
        <v>1</v>
      </c>
      <c r="K272" s="4">
        <f t="shared" si="19"/>
        <v>-0.55660377358490565</v>
      </c>
      <c r="M272"/>
      <c r="O272"/>
      <c r="Q272" t="s">
        <v>683</v>
      </c>
      <c r="R272">
        <v>456</v>
      </c>
      <c r="S272">
        <v>569.27</v>
      </c>
    </row>
    <row r="273" spans="1:19" hidden="1">
      <c r="A273" t="s">
        <v>1340</v>
      </c>
      <c r="B273" t="s">
        <v>647</v>
      </c>
      <c r="C273" t="s">
        <v>648</v>
      </c>
      <c r="D273">
        <v>1000</v>
      </c>
      <c r="E273" s="19">
        <f t="shared" si="16"/>
        <v>35.714285714285715</v>
      </c>
      <c r="F273">
        <v>1115.1300000000001</v>
      </c>
      <c r="I273" s="19">
        <f t="shared" si="17"/>
        <v>2000</v>
      </c>
      <c r="J273" t="b">
        <f t="shared" si="18"/>
        <v>1</v>
      </c>
      <c r="K273" s="4">
        <f t="shared" si="19"/>
        <v>-0.44243499999999991</v>
      </c>
      <c r="M273"/>
      <c r="O273"/>
      <c r="Q273" t="s">
        <v>718</v>
      </c>
      <c r="R273">
        <v>1330</v>
      </c>
      <c r="S273">
        <v>1531.91</v>
      </c>
    </row>
    <row r="274" spans="1:19" hidden="1">
      <c r="A274" t="s">
        <v>1339</v>
      </c>
      <c r="B274" t="s">
        <v>176</v>
      </c>
      <c r="C274" t="s">
        <v>177</v>
      </c>
      <c r="D274">
        <v>927</v>
      </c>
      <c r="E274" s="19">
        <f t="shared" si="16"/>
        <v>33.107142857142854</v>
      </c>
      <c r="F274">
        <v>1334.38</v>
      </c>
      <c r="I274" s="19">
        <f t="shared" si="17"/>
        <v>1854</v>
      </c>
      <c r="J274" t="b">
        <f t="shared" si="18"/>
        <v>1</v>
      </c>
      <c r="K274" s="4">
        <f t="shared" si="19"/>
        <v>-0.28026968716289102</v>
      </c>
      <c r="M274"/>
      <c r="O274"/>
      <c r="Q274" t="s">
        <v>800</v>
      </c>
      <c r="R274">
        <v>736</v>
      </c>
      <c r="S274">
        <v>930.48</v>
      </c>
    </row>
    <row r="275" spans="1:19" hidden="1">
      <c r="A275" t="s">
        <v>1340</v>
      </c>
      <c r="B275" t="s">
        <v>682</v>
      </c>
      <c r="C275" t="s">
        <v>683</v>
      </c>
      <c r="D275">
        <v>452</v>
      </c>
      <c r="E275" s="19">
        <f t="shared" si="16"/>
        <v>16.142857142857142</v>
      </c>
      <c r="F275">
        <v>453.44</v>
      </c>
      <c r="I275" s="19">
        <f t="shared" si="17"/>
        <v>904</v>
      </c>
      <c r="J275" t="b">
        <f t="shared" si="18"/>
        <v>1</v>
      </c>
      <c r="K275" s="4">
        <f t="shared" si="19"/>
        <v>-0.49840707964601771</v>
      </c>
      <c r="M275"/>
      <c r="O275"/>
      <c r="Q275" t="s">
        <v>660</v>
      </c>
      <c r="R275">
        <v>468</v>
      </c>
      <c r="S275">
        <v>604.41</v>
      </c>
    </row>
    <row r="276" spans="1:19" hidden="1">
      <c r="A276" t="s">
        <v>1340</v>
      </c>
      <c r="B276" t="s">
        <v>676</v>
      </c>
      <c r="C276" t="s">
        <v>677</v>
      </c>
      <c r="D276">
        <v>1115</v>
      </c>
      <c r="E276" s="19">
        <f t="shared" si="16"/>
        <v>39.821428571428569</v>
      </c>
      <c r="F276">
        <v>1112.8399999999999</v>
      </c>
      <c r="I276" s="19">
        <f t="shared" si="17"/>
        <v>2230</v>
      </c>
      <c r="J276" t="b">
        <f t="shared" si="18"/>
        <v>1</v>
      </c>
      <c r="K276" s="4">
        <f t="shared" si="19"/>
        <v>-0.50096860986547087</v>
      </c>
      <c r="M276"/>
      <c r="O276"/>
      <c r="Q276" t="s">
        <v>642</v>
      </c>
      <c r="R276">
        <v>1391</v>
      </c>
      <c r="S276">
        <v>3435.81</v>
      </c>
    </row>
    <row r="277" spans="1:19" hidden="1">
      <c r="A277" t="s">
        <v>1340</v>
      </c>
      <c r="B277" t="s">
        <v>846</v>
      </c>
      <c r="C277" t="s">
        <v>847</v>
      </c>
      <c r="D277">
        <v>720</v>
      </c>
      <c r="E277" s="19">
        <f t="shared" si="16"/>
        <v>25.714285714285715</v>
      </c>
      <c r="F277">
        <v>794.18</v>
      </c>
      <c r="I277" s="19">
        <f t="shared" si="17"/>
        <v>1440</v>
      </c>
      <c r="J277" t="b">
        <f t="shared" si="18"/>
        <v>1</v>
      </c>
      <c r="K277" s="4">
        <f t="shared" si="19"/>
        <v>-0.44848611111111114</v>
      </c>
      <c r="M277"/>
      <c r="O277"/>
      <c r="Q277" t="s">
        <v>863</v>
      </c>
      <c r="R277">
        <v>1388</v>
      </c>
      <c r="S277">
        <v>939.57</v>
      </c>
    </row>
    <row r="278" spans="1:19" hidden="1">
      <c r="A278" t="s">
        <v>1339</v>
      </c>
      <c r="B278" t="s">
        <v>422</v>
      </c>
      <c r="C278" t="s">
        <v>423</v>
      </c>
      <c r="D278">
        <v>549</v>
      </c>
      <c r="E278" s="19">
        <f t="shared" si="16"/>
        <v>19.607142857142858</v>
      </c>
      <c r="F278">
        <v>744.63</v>
      </c>
      <c r="I278" s="19">
        <f t="shared" si="17"/>
        <v>1098</v>
      </c>
      <c r="J278" t="b">
        <f t="shared" si="18"/>
        <v>1</v>
      </c>
      <c r="K278" s="4">
        <f t="shared" si="19"/>
        <v>-0.32183060109289618</v>
      </c>
      <c r="M278"/>
      <c r="O278"/>
      <c r="Q278" t="s">
        <v>716</v>
      </c>
      <c r="R278">
        <v>2475</v>
      </c>
      <c r="S278">
        <v>4662.12</v>
      </c>
    </row>
    <row r="279" spans="1:19" hidden="1">
      <c r="A279" t="s">
        <v>1339</v>
      </c>
      <c r="B279" t="s">
        <v>412</v>
      </c>
      <c r="C279" t="s">
        <v>413</v>
      </c>
      <c r="D279">
        <v>727</v>
      </c>
      <c r="E279" s="19">
        <f t="shared" si="16"/>
        <v>25.964285714285715</v>
      </c>
      <c r="F279">
        <v>1202.69</v>
      </c>
      <c r="I279" s="19">
        <f t="shared" si="17"/>
        <v>1454</v>
      </c>
      <c r="J279" t="b">
        <f t="shared" si="18"/>
        <v>1</v>
      </c>
      <c r="K279" s="4">
        <f t="shared" si="19"/>
        <v>-0.17284044016506184</v>
      </c>
      <c r="M279"/>
      <c r="O279"/>
      <c r="Q279" t="s">
        <v>798</v>
      </c>
      <c r="R279">
        <v>480</v>
      </c>
      <c r="S279">
        <v>1367.15</v>
      </c>
    </row>
    <row r="280" spans="1:19" hidden="1">
      <c r="A280" t="s">
        <v>1341</v>
      </c>
      <c r="B280" t="s">
        <v>982</v>
      </c>
      <c r="C280" t="s">
        <v>983</v>
      </c>
      <c r="D280">
        <v>601</v>
      </c>
      <c r="E280" s="19">
        <f t="shared" si="16"/>
        <v>21.464285714285715</v>
      </c>
      <c r="F280">
        <v>747.11</v>
      </c>
      <c r="I280" s="19">
        <f t="shared" si="17"/>
        <v>1202</v>
      </c>
      <c r="J280" t="b">
        <f t="shared" si="18"/>
        <v>1</v>
      </c>
      <c r="K280" s="4">
        <f t="shared" si="19"/>
        <v>-0.3784442595673877</v>
      </c>
      <c r="M280"/>
      <c r="O280"/>
      <c r="Q280" t="s">
        <v>606</v>
      </c>
      <c r="R280">
        <v>2459</v>
      </c>
      <c r="S280">
        <v>2134.25</v>
      </c>
    </row>
    <row r="281" spans="1:19" hidden="1">
      <c r="A281" t="s">
        <v>1340</v>
      </c>
      <c r="B281" t="s">
        <v>684</v>
      </c>
      <c r="C281" t="s">
        <v>685</v>
      </c>
      <c r="D281">
        <v>500</v>
      </c>
      <c r="E281" s="19">
        <f t="shared" si="16"/>
        <v>17.857142857142858</v>
      </c>
      <c r="F281">
        <v>270.04000000000002</v>
      </c>
      <c r="I281" s="19">
        <f t="shared" si="17"/>
        <v>1000</v>
      </c>
      <c r="J281" t="b">
        <f t="shared" si="18"/>
        <v>1</v>
      </c>
      <c r="K281" s="4">
        <f t="shared" si="19"/>
        <v>-0.72995999999999994</v>
      </c>
      <c r="M281"/>
      <c r="O281"/>
      <c r="Q281" t="s">
        <v>879</v>
      </c>
      <c r="R281">
        <v>957</v>
      </c>
      <c r="S281">
        <v>952.57</v>
      </c>
    </row>
    <row r="282" spans="1:19" hidden="1">
      <c r="A282" t="s">
        <v>1341</v>
      </c>
      <c r="B282" t="s">
        <v>927</v>
      </c>
      <c r="C282" t="s">
        <v>928</v>
      </c>
      <c r="D282">
        <v>424</v>
      </c>
      <c r="E282" s="19">
        <f t="shared" si="16"/>
        <v>15.142857142857142</v>
      </c>
      <c r="F282">
        <v>379.4</v>
      </c>
      <c r="I282" s="19">
        <f t="shared" si="17"/>
        <v>848</v>
      </c>
      <c r="J282" t="b">
        <f t="shared" si="18"/>
        <v>1</v>
      </c>
      <c r="K282" s="4">
        <f t="shared" si="19"/>
        <v>-0.55259433962264159</v>
      </c>
      <c r="M282"/>
      <c r="O282"/>
      <c r="Q282" t="s">
        <v>769</v>
      </c>
      <c r="R282">
        <v>171</v>
      </c>
      <c r="S282">
        <v>98.72</v>
      </c>
    </row>
    <row r="283" spans="1:19" hidden="1">
      <c r="A283" t="s">
        <v>1339</v>
      </c>
      <c r="B283" t="s">
        <v>168</v>
      </c>
      <c r="C283" t="s">
        <v>169</v>
      </c>
      <c r="D283">
        <v>731</v>
      </c>
      <c r="E283" s="19">
        <f t="shared" si="16"/>
        <v>26.107142857142858</v>
      </c>
      <c r="F283">
        <v>1198.92</v>
      </c>
      <c r="I283" s="19">
        <f t="shared" si="17"/>
        <v>1462</v>
      </c>
      <c r="J283" t="b">
        <f t="shared" si="18"/>
        <v>1</v>
      </c>
      <c r="K283" s="4">
        <f t="shared" si="19"/>
        <v>-0.17994528043775648</v>
      </c>
      <c r="M283"/>
      <c r="O283"/>
      <c r="Q283" t="s">
        <v>1237</v>
      </c>
      <c r="R283">
        <v>0</v>
      </c>
      <c r="S283">
        <v>0</v>
      </c>
    </row>
    <row r="284" spans="1:19" hidden="1">
      <c r="A284" t="s">
        <v>1339</v>
      </c>
      <c r="B284" t="s">
        <v>254</v>
      </c>
      <c r="C284" t="s">
        <v>255</v>
      </c>
      <c r="D284">
        <v>521</v>
      </c>
      <c r="E284" s="19">
        <f t="shared" si="16"/>
        <v>18.607142857142858</v>
      </c>
      <c r="F284">
        <v>193.71</v>
      </c>
      <c r="I284" s="19">
        <f t="shared" si="17"/>
        <v>1042</v>
      </c>
      <c r="J284" t="b">
        <f t="shared" si="18"/>
        <v>1</v>
      </c>
      <c r="K284" s="4">
        <f t="shared" si="19"/>
        <v>-0.81409788867562383</v>
      </c>
      <c r="M284"/>
      <c r="O284"/>
      <c r="Q284" t="s">
        <v>724</v>
      </c>
      <c r="R284">
        <v>671</v>
      </c>
      <c r="S284">
        <v>0</v>
      </c>
    </row>
    <row r="285" spans="1:19" hidden="1">
      <c r="A285" t="s">
        <v>1340</v>
      </c>
      <c r="B285" t="s">
        <v>828</v>
      </c>
      <c r="C285" t="s">
        <v>829</v>
      </c>
      <c r="D285">
        <v>947</v>
      </c>
      <c r="E285" s="19">
        <f t="shared" si="16"/>
        <v>33.821428571428569</v>
      </c>
      <c r="F285">
        <v>1614.48</v>
      </c>
      <c r="I285" s="19">
        <f t="shared" si="17"/>
        <v>1894</v>
      </c>
      <c r="J285" t="b">
        <f t="shared" si="18"/>
        <v>1</v>
      </c>
      <c r="K285" s="4">
        <f t="shared" si="19"/>
        <v>-0.14758183738120378</v>
      </c>
      <c r="M285"/>
      <c r="O285"/>
      <c r="Q285" t="s">
        <v>689</v>
      </c>
      <c r="R285">
        <v>1758</v>
      </c>
      <c r="S285">
        <v>3478.4</v>
      </c>
    </row>
    <row r="286" spans="1:19" hidden="1">
      <c r="A286" t="s">
        <v>1339</v>
      </c>
      <c r="B286" t="s">
        <v>344</v>
      </c>
      <c r="C286" t="s">
        <v>345</v>
      </c>
      <c r="D286">
        <v>573</v>
      </c>
      <c r="E286" s="19">
        <f t="shared" si="16"/>
        <v>20.464285714285715</v>
      </c>
      <c r="F286">
        <v>457.13</v>
      </c>
      <c r="I286" s="19">
        <f t="shared" si="17"/>
        <v>1146</v>
      </c>
      <c r="J286" t="b">
        <f t="shared" si="18"/>
        <v>1</v>
      </c>
      <c r="K286" s="4">
        <f t="shared" si="19"/>
        <v>-0.601108202443281</v>
      </c>
      <c r="M286"/>
      <c r="O286"/>
      <c r="Q286" t="s">
        <v>664</v>
      </c>
      <c r="R286">
        <v>1810</v>
      </c>
      <c r="S286">
        <v>2248.7199999999998</v>
      </c>
    </row>
    <row r="287" spans="1:19" hidden="1">
      <c r="A287" t="s">
        <v>1340</v>
      </c>
      <c r="B287" t="s">
        <v>787</v>
      </c>
      <c r="C287" t="s">
        <v>788</v>
      </c>
      <c r="D287">
        <v>0</v>
      </c>
      <c r="E287" s="19">
        <f t="shared" si="16"/>
        <v>0</v>
      </c>
      <c r="F287">
        <v>0</v>
      </c>
      <c r="I287" s="19">
        <f t="shared" si="17"/>
        <v>0</v>
      </c>
      <c r="J287" t="b">
        <f t="shared" si="18"/>
        <v>1</v>
      </c>
      <c r="K287" s="4" t="e">
        <f t="shared" si="19"/>
        <v>#DIV/0!</v>
      </c>
      <c r="M287"/>
      <c r="O287"/>
      <c r="Q287" t="s">
        <v>714</v>
      </c>
      <c r="R287">
        <v>130</v>
      </c>
      <c r="S287">
        <v>0</v>
      </c>
    </row>
    <row r="288" spans="1:19" hidden="1">
      <c r="A288" t="s">
        <v>1341</v>
      </c>
      <c r="B288" t="s">
        <v>956</v>
      </c>
      <c r="C288" t="s">
        <v>957</v>
      </c>
      <c r="D288">
        <v>724</v>
      </c>
      <c r="E288" s="19">
        <f t="shared" si="16"/>
        <v>25.857142857142858</v>
      </c>
      <c r="F288">
        <v>633.70000000000005</v>
      </c>
      <c r="I288" s="19">
        <f t="shared" si="17"/>
        <v>1448</v>
      </c>
      <c r="J288" t="b">
        <f t="shared" si="18"/>
        <v>1</v>
      </c>
      <c r="K288" s="4">
        <f t="shared" si="19"/>
        <v>-0.56236187845303864</v>
      </c>
      <c r="M288"/>
      <c r="O288"/>
      <c r="Q288" t="s">
        <v>695</v>
      </c>
      <c r="R288">
        <v>1461</v>
      </c>
      <c r="S288">
        <v>3193.14</v>
      </c>
    </row>
    <row r="289" spans="1:19" hidden="1">
      <c r="A289" t="s">
        <v>1341</v>
      </c>
      <c r="B289" t="s">
        <v>1037</v>
      </c>
      <c r="C289" t="s">
        <v>1038</v>
      </c>
      <c r="D289">
        <v>490</v>
      </c>
      <c r="E289" s="19">
        <f t="shared" si="16"/>
        <v>17.5</v>
      </c>
      <c r="F289">
        <v>857.25</v>
      </c>
      <c r="I289" s="140">
        <f t="shared" si="17"/>
        <v>980</v>
      </c>
      <c r="J289" t="b">
        <f t="shared" si="18"/>
        <v>1</v>
      </c>
      <c r="K289" s="4">
        <f t="shared" si="19"/>
        <v>-0.12525510204081636</v>
      </c>
      <c r="O289" s="147"/>
      <c r="Q289" t="s">
        <v>786</v>
      </c>
      <c r="R289">
        <v>898</v>
      </c>
      <c r="S289">
        <v>1140.48</v>
      </c>
    </row>
    <row r="290" spans="1:19" hidden="1">
      <c r="A290" t="s">
        <v>1339</v>
      </c>
      <c r="B290" t="s">
        <v>418</v>
      </c>
      <c r="C290" t="s">
        <v>419</v>
      </c>
      <c r="D290">
        <v>668</v>
      </c>
      <c r="E290" s="19">
        <f t="shared" si="16"/>
        <v>23.857142857142858</v>
      </c>
      <c r="F290">
        <v>950.47</v>
      </c>
      <c r="I290" s="19">
        <f t="shared" si="17"/>
        <v>1336</v>
      </c>
      <c r="J290" t="b">
        <f t="shared" si="18"/>
        <v>1</v>
      </c>
      <c r="K290" s="4">
        <f t="shared" si="19"/>
        <v>-0.28857035928143715</v>
      </c>
      <c r="M290"/>
      <c r="O290"/>
      <c r="Q290" t="s">
        <v>749</v>
      </c>
      <c r="R290">
        <v>767</v>
      </c>
      <c r="S290">
        <v>780.51</v>
      </c>
    </row>
    <row r="291" spans="1:19" hidden="1">
      <c r="A291" t="s">
        <v>1339</v>
      </c>
      <c r="B291" t="s">
        <v>466</v>
      </c>
      <c r="C291" t="s">
        <v>467</v>
      </c>
      <c r="D291">
        <v>858</v>
      </c>
      <c r="E291" s="19">
        <f t="shared" si="16"/>
        <v>30.642857142857142</v>
      </c>
      <c r="F291">
        <v>733.03</v>
      </c>
      <c r="I291" s="19">
        <f t="shared" si="17"/>
        <v>1716</v>
      </c>
      <c r="J291" t="b">
        <f t="shared" si="18"/>
        <v>1</v>
      </c>
      <c r="K291" s="4">
        <f t="shared" si="19"/>
        <v>-0.57282634032634028</v>
      </c>
      <c r="M291"/>
      <c r="O291"/>
      <c r="Q291" t="s">
        <v>671</v>
      </c>
      <c r="R291">
        <v>1069</v>
      </c>
      <c r="S291">
        <v>1609.44</v>
      </c>
    </row>
    <row r="292" spans="1:19" hidden="1">
      <c r="A292" t="s">
        <v>1340</v>
      </c>
      <c r="B292" t="s">
        <v>760</v>
      </c>
      <c r="C292" t="s">
        <v>761</v>
      </c>
      <c r="D292">
        <v>632</v>
      </c>
      <c r="E292" s="19">
        <f t="shared" si="16"/>
        <v>22.571428571428573</v>
      </c>
      <c r="F292">
        <v>595.01</v>
      </c>
      <c r="I292" s="19">
        <f t="shared" si="17"/>
        <v>1264</v>
      </c>
      <c r="J292" t="b">
        <f t="shared" si="18"/>
        <v>1</v>
      </c>
      <c r="K292" s="4">
        <f t="shared" si="19"/>
        <v>-0.52926424050632914</v>
      </c>
      <c r="M292"/>
      <c r="O292"/>
      <c r="Q292" t="s">
        <v>639</v>
      </c>
      <c r="R292">
        <v>1050</v>
      </c>
      <c r="S292">
        <v>2642.42</v>
      </c>
    </row>
    <row r="293" spans="1:19" hidden="1">
      <c r="A293" t="s">
        <v>1339</v>
      </c>
      <c r="B293" t="s">
        <v>390</v>
      </c>
      <c r="C293" t="s">
        <v>391</v>
      </c>
      <c r="D293">
        <v>533</v>
      </c>
      <c r="E293" s="19">
        <f t="shared" si="16"/>
        <v>19.035714285714285</v>
      </c>
      <c r="F293">
        <v>967.11</v>
      </c>
      <c r="I293" s="19">
        <f t="shared" si="17"/>
        <v>1066</v>
      </c>
      <c r="J293" t="b">
        <f t="shared" si="18"/>
        <v>1</v>
      </c>
      <c r="K293" s="4">
        <f t="shared" si="19"/>
        <v>-9.2767354596622886E-2</v>
      </c>
      <c r="M293"/>
      <c r="O293"/>
      <c r="Q293" t="s">
        <v>867</v>
      </c>
      <c r="R293">
        <v>1599</v>
      </c>
      <c r="S293">
        <v>2462.29</v>
      </c>
    </row>
    <row r="294" spans="1:19" hidden="1">
      <c r="A294" t="s">
        <v>1340</v>
      </c>
      <c r="B294" t="s">
        <v>748</v>
      </c>
      <c r="C294" t="s">
        <v>749</v>
      </c>
      <c r="D294">
        <v>621</v>
      </c>
      <c r="E294" s="19">
        <f t="shared" si="16"/>
        <v>22.178571428571427</v>
      </c>
      <c r="F294">
        <v>421.76</v>
      </c>
      <c r="I294" s="19">
        <f t="shared" si="17"/>
        <v>1242</v>
      </c>
      <c r="J294" t="b">
        <f t="shared" si="18"/>
        <v>1</v>
      </c>
      <c r="K294" s="4">
        <f t="shared" si="19"/>
        <v>-0.66041867954911426</v>
      </c>
      <c r="M294"/>
      <c r="O294"/>
      <c r="Q294" t="s">
        <v>792</v>
      </c>
      <c r="R294">
        <v>986</v>
      </c>
      <c r="S294">
        <v>1511.76</v>
      </c>
    </row>
    <row r="295" spans="1:19" hidden="1">
      <c r="A295" t="s">
        <v>1339</v>
      </c>
      <c r="B295" t="s">
        <v>152</v>
      </c>
      <c r="C295" t="s">
        <v>153</v>
      </c>
      <c r="D295">
        <v>1116</v>
      </c>
      <c r="E295" s="19">
        <f t="shared" si="16"/>
        <v>39.857142857142854</v>
      </c>
      <c r="F295">
        <v>811.05</v>
      </c>
      <c r="I295" s="19">
        <f t="shared" si="17"/>
        <v>2232</v>
      </c>
      <c r="J295" t="b">
        <f t="shared" si="18"/>
        <v>1</v>
      </c>
      <c r="K295" s="4">
        <f t="shared" si="19"/>
        <v>-0.63662634408602159</v>
      </c>
      <c r="M295"/>
      <c r="O295"/>
      <c r="Q295" t="s">
        <v>687</v>
      </c>
      <c r="R295">
        <v>1097</v>
      </c>
      <c r="S295">
        <v>2322.02</v>
      </c>
    </row>
    <row r="296" spans="1:19" hidden="1">
      <c r="A296" t="s">
        <v>1339</v>
      </c>
      <c r="B296" t="s">
        <v>318</v>
      </c>
      <c r="C296" t="s">
        <v>319</v>
      </c>
      <c r="D296">
        <v>708</v>
      </c>
      <c r="E296" s="19">
        <f t="shared" si="16"/>
        <v>25.285714285714285</v>
      </c>
      <c r="F296">
        <v>1270.48</v>
      </c>
      <c r="I296" s="19">
        <f t="shared" si="17"/>
        <v>1416</v>
      </c>
      <c r="J296" t="b">
        <f t="shared" si="18"/>
        <v>1</v>
      </c>
      <c r="K296" s="4">
        <f t="shared" si="19"/>
        <v>-0.10276836158192093</v>
      </c>
      <c r="M296"/>
      <c r="O296"/>
      <c r="Q296" t="s">
        <v>596</v>
      </c>
      <c r="R296">
        <v>4451</v>
      </c>
      <c r="S296">
        <v>6429.45</v>
      </c>
    </row>
    <row r="297" spans="1:19" hidden="1">
      <c r="A297" t="s">
        <v>1340</v>
      </c>
      <c r="B297" t="s">
        <v>750</v>
      </c>
      <c r="C297" t="s">
        <v>751</v>
      </c>
      <c r="D297">
        <v>683</v>
      </c>
      <c r="E297" s="19">
        <f t="shared" ref="E297:E338" si="20">D297/28</f>
        <v>24.392857142857142</v>
      </c>
      <c r="F297">
        <v>722.8</v>
      </c>
      <c r="I297" s="19">
        <f t="shared" ref="I297:I338" si="21">IF((D297/28)&gt;100,D297*2,D297*2)</f>
        <v>1366</v>
      </c>
      <c r="J297" t="b">
        <f t="shared" ref="J297:J338" si="22">IF(F297&gt;1.2*I297,FALSE,TRUE)</f>
        <v>1</v>
      </c>
      <c r="K297" s="4">
        <f t="shared" ref="K297:K338" si="23">F297/I297-1</f>
        <v>-0.47086383601756954</v>
      </c>
      <c r="M297"/>
      <c r="O297"/>
      <c r="Q297" t="s">
        <v>765</v>
      </c>
      <c r="R297">
        <v>1048</v>
      </c>
      <c r="S297">
        <v>1274.44</v>
      </c>
    </row>
    <row r="298" spans="1:19" hidden="1">
      <c r="A298" t="s">
        <v>1340</v>
      </c>
      <c r="B298" t="s">
        <v>638</v>
      </c>
      <c r="C298" t="s">
        <v>639</v>
      </c>
      <c r="D298">
        <v>1059</v>
      </c>
      <c r="E298" s="19">
        <f t="shared" si="20"/>
        <v>37.821428571428569</v>
      </c>
      <c r="F298">
        <v>2280.08</v>
      </c>
      <c r="I298" s="140">
        <f t="shared" si="21"/>
        <v>2118</v>
      </c>
      <c r="J298" t="b">
        <f t="shared" si="22"/>
        <v>1</v>
      </c>
      <c r="K298" s="4">
        <f t="shared" si="23"/>
        <v>7.6525023607176612E-2</v>
      </c>
      <c r="Q298" t="s">
        <v>701</v>
      </c>
      <c r="R298">
        <v>140</v>
      </c>
      <c r="S298">
        <v>0</v>
      </c>
    </row>
    <row r="299" spans="1:19" hidden="1">
      <c r="A299" t="s">
        <v>1339</v>
      </c>
      <c r="B299" t="s">
        <v>310</v>
      </c>
      <c r="C299" t="s">
        <v>311</v>
      </c>
      <c r="D299">
        <v>503</v>
      </c>
      <c r="E299" s="19">
        <f t="shared" si="20"/>
        <v>17.964285714285715</v>
      </c>
      <c r="F299">
        <v>528.32000000000005</v>
      </c>
      <c r="I299" s="19">
        <f t="shared" si="21"/>
        <v>1006</v>
      </c>
      <c r="J299" t="b">
        <f t="shared" si="22"/>
        <v>1</v>
      </c>
      <c r="K299" s="4">
        <f t="shared" si="23"/>
        <v>-0.47483101391650095</v>
      </c>
      <c r="M299"/>
      <c r="O299"/>
      <c r="Q299" t="s">
        <v>875</v>
      </c>
      <c r="R299">
        <v>931</v>
      </c>
      <c r="S299">
        <v>1583.03</v>
      </c>
    </row>
    <row r="300" spans="1:19" hidden="1">
      <c r="A300" t="s">
        <v>1341</v>
      </c>
      <c r="B300" t="s">
        <v>1048</v>
      </c>
      <c r="C300" t="s">
        <v>1049</v>
      </c>
      <c r="D300">
        <v>891</v>
      </c>
      <c r="E300" s="19">
        <f t="shared" si="20"/>
        <v>31.821428571428573</v>
      </c>
      <c r="F300">
        <v>263.33999999999997</v>
      </c>
      <c r="I300" s="19">
        <f t="shared" si="21"/>
        <v>1782</v>
      </c>
      <c r="J300" t="b">
        <f t="shared" si="22"/>
        <v>1</v>
      </c>
      <c r="K300" s="4">
        <f t="shared" si="23"/>
        <v>-0.85222222222222221</v>
      </c>
      <c r="M300"/>
      <c r="O300"/>
      <c r="Q300" t="s">
        <v>735</v>
      </c>
      <c r="R300">
        <v>348</v>
      </c>
      <c r="S300">
        <v>233.13</v>
      </c>
    </row>
    <row r="301" spans="1:19" hidden="1">
      <c r="A301" t="s">
        <v>1339</v>
      </c>
      <c r="B301" t="s">
        <v>350</v>
      </c>
      <c r="C301" t="s">
        <v>351</v>
      </c>
      <c r="D301">
        <v>690</v>
      </c>
      <c r="E301" s="19">
        <f t="shared" si="20"/>
        <v>24.642857142857142</v>
      </c>
      <c r="F301">
        <v>47.35</v>
      </c>
      <c r="I301" s="19">
        <f t="shared" si="21"/>
        <v>1380</v>
      </c>
      <c r="J301" t="b">
        <f t="shared" si="22"/>
        <v>1</v>
      </c>
      <c r="K301" s="4">
        <f t="shared" si="23"/>
        <v>-0.96568840579710147</v>
      </c>
      <c r="M301"/>
      <c r="O301"/>
      <c r="Q301" t="s">
        <v>857</v>
      </c>
      <c r="R301">
        <v>1493</v>
      </c>
      <c r="S301">
        <v>2515.94</v>
      </c>
    </row>
    <row r="302" spans="1:19" hidden="1">
      <c r="A302" t="s">
        <v>1339</v>
      </c>
      <c r="B302" t="s">
        <v>340</v>
      </c>
      <c r="C302" t="s">
        <v>341</v>
      </c>
      <c r="D302">
        <v>1504</v>
      </c>
      <c r="E302" s="19">
        <f t="shared" si="20"/>
        <v>53.714285714285715</v>
      </c>
      <c r="F302">
        <v>1642.63</v>
      </c>
      <c r="I302" s="19">
        <f t="shared" si="21"/>
        <v>3008</v>
      </c>
      <c r="J302" t="b">
        <f t="shared" si="22"/>
        <v>1</v>
      </c>
      <c r="K302" s="4">
        <f t="shared" si="23"/>
        <v>-0.45391289893617015</v>
      </c>
      <c r="M302"/>
      <c r="O302"/>
      <c r="Q302" t="s">
        <v>675</v>
      </c>
      <c r="R302">
        <v>1954</v>
      </c>
      <c r="S302">
        <v>2412.92</v>
      </c>
    </row>
    <row r="303" spans="1:19" hidden="1">
      <c r="A303" t="s">
        <v>1340</v>
      </c>
      <c r="B303" t="s">
        <v>705</v>
      </c>
      <c r="C303" t="s">
        <v>706</v>
      </c>
      <c r="D303">
        <v>581</v>
      </c>
      <c r="E303" s="19">
        <f t="shared" si="20"/>
        <v>20.75</v>
      </c>
      <c r="F303">
        <v>404.55</v>
      </c>
      <c r="I303" s="19">
        <f t="shared" si="21"/>
        <v>1162</v>
      </c>
      <c r="J303" t="b">
        <f t="shared" si="22"/>
        <v>1</v>
      </c>
      <c r="K303" s="4">
        <f t="shared" si="23"/>
        <v>-0.65185025817555942</v>
      </c>
      <c r="M303"/>
      <c r="O303"/>
      <c r="Q303" t="s">
        <v>729</v>
      </c>
      <c r="R303">
        <v>595</v>
      </c>
      <c r="S303">
        <v>486.99</v>
      </c>
    </row>
    <row r="304" spans="1:19" hidden="1">
      <c r="A304" t="s">
        <v>1341</v>
      </c>
      <c r="B304" t="s">
        <v>1033</v>
      </c>
      <c r="C304" t="s">
        <v>1034</v>
      </c>
      <c r="D304">
        <v>790</v>
      </c>
      <c r="E304" s="19">
        <f t="shared" si="20"/>
        <v>28.214285714285715</v>
      </c>
      <c r="F304">
        <v>660.28</v>
      </c>
      <c r="I304" s="19">
        <f t="shared" si="21"/>
        <v>1580</v>
      </c>
      <c r="J304" t="b">
        <f t="shared" si="22"/>
        <v>1</v>
      </c>
      <c r="K304" s="4">
        <f t="shared" si="23"/>
        <v>-0.58210126582278487</v>
      </c>
      <c r="M304"/>
      <c r="O304"/>
      <c r="Q304" t="s">
        <v>637</v>
      </c>
      <c r="R304">
        <v>1003</v>
      </c>
      <c r="S304">
        <v>879.2</v>
      </c>
    </row>
    <row r="305" spans="1:19" hidden="1">
      <c r="A305" t="s">
        <v>1339</v>
      </c>
      <c r="B305" t="s">
        <v>224</v>
      </c>
      <c r="C305" t="s">
        <v>225</v>
      </c>
      <c r="D305">
        <v>619</v>
      </c>
      <c r="E305" s="19">
        <f t="shared" si="20"/>
        <v>22.107142857142858</v>
      </c>
      <c r="F305">
        <v>953.53</v>
      </c>
      <c r="I305" s="19">
        <f t="shared" si="21"/>
        <v>1238</v>
      </c>
      <c r="J305" t="b">
        <f t="shared" si="22"/>
        <v>1</v>
      </c>
      <c r="K305" s="4">
        <f t="shared" si="23"/>
        <v>-0.22978190630048467</v>
      </c>
      <c r="M305"/>
      <c r="O305"/>
      <c r="Q305" t="s">
        <v>751</v>
      </c>
      <c r="R305">
        <v>721</v>
      </c>
      <c r="S305">
        <v>855.88</v>
      </c>
    </row>
    <row r="306" spans="1:19" hidden="1">
      <c r="A306" t="s">
        <v>1339</v>
      </c>
      <c r="B306" t="s">
        <v>268</v>
      </c>
      <c r="C306" t="s">
        <v>269</v>
      </c>
      <c r="D306">
        <v>706</v>
      </c>
      <c r="E306" s="19">
        <f t="shared" si="20"/>
        <v>25.214285714285715</v>
      </c>
      <c r="F306">
        <v>546.39</v>
      </c>
      <c r="I306" s="19">
        <f t="shared" si="21"/>
        <v>1412</v>
      </c>
      <c r="J306" t="b">
        <f t="shared" si="22"/>
        <v>1</v>
      </c>
      <c r="K306" s="4">
        <f t="shared" si="23"/>
        <v>-0.61303824362606241</v>
      </c>
      <c r="M306"/>
      <c r="O306"/>
      <c r="Q306" t="s">
        <v>865</v>
      </c>
      <c r="R306">
        <v>1221</v>
      </c>
      <c r="S306">
        <v>0</v>
      </c>
    </row>
    <row r="307" spans="1:19" hidden="1">
      <c r="A307" t="s">
        <v>1340</v>
      </c>
      <c r="B307" t="s">
        <v>776</v>
      </c>
      <c r="C307" t="s">
        <v>777</v>
      </c>
      <c r="D307">
        <v>633</v>
      </c>
      <c r="E307" s="19">
        <f t="shared" si="20"/>
        <v>22.607142857142858</v>
      </c>
      <c r="F307">
        <v>1342.07</v>
      </c>
      <c r="I307" s="19">
        <f t="shared" si="21"/>
        <v>1266</v>
      </c>
      <c r="J307" t="b">
        <f t="shared" si="22"/>
        <v>1</v>
      </c>
      <c r="K307" s="4">
        <f t="shared" si="23"/>
        <v>6.008688783570304E-2</v>
      </c>
      <c r="M307"/>
      <c r="O307"/>
      <c r="Q307" t="s">
        <v>783</v>
      </c>
      <c r="R307">
        <v>722</v>
      </c>
      <c r="S307">
        <v>486.87</v>
      </c>
    </row>
    <row r="308" spans="1:19" hidden="1">
      <c r="A308" t="s">
        <v>1341</v>
      </c>
      <c r="B308" t="s">
        <v>1123</v>
      </c>
      <c r="C308" t="s">
        <v>1124</v>
      </c>
      <c r="D308">
        <v>617</v>
      </c>
      <c r="E308" s="19">
        <f t="shared" si="20"/>
        <v>22.035714285714285</v>
      </c>
      <c r="F308">
        <v>419.61</v>
      </c>
      <c r="I308" s="19">
        <f t="shared" si="21"/>
        <v>1234</v>
      </c>
      <c r="J308" t="b">
        <f t="shared" si="22"/>
        <v>1</v>
      </c>
      <c r="K308" s="4">
        <f t="shared" si="23"/>
        <v>-0.65995948136142624</v>
      </c>
      <c r="M308"/>
      <c r="O308"/>
      <c r="Q308" t="s">
        <v>849</v>
      </c>
      <c r="R308">
        <v>1270</v>
      </c>
      <c r="S308">
        <v>2839.08</v>
      </c>
    </row>
    <row r="309" spans="1:19" hidden="1">
      <c r="A309" t="s">
        <v>1339</v>
      </c>
      <c r="B309" t="s">
        <v>514</v>
      </c>
      <c r="C309" t="s">
        <v>515</v>
      </c>
      <c r="D309">
        <v>673</v>
      </c>
      <c r="E309" s="19">
        <f t="shared" si="20"/>
        <v>24.035714285714285</v>
      </c>
      <c r="F309">
        <v>1022.44</v>
      </c>
      <c r="I309" s="140">
        <f t="shared" si="21"/>
        <v>1346</v>
      </c>
      <c r="J309" t="b">
        <f t="shared" si="22"/>
        <v>1</v>
      </c>
      <c r="K309" s="4">
        <f t="shared" si="23"/>
        <v>-0.2403863298662704</v>
      </c>
      <c r="Q309" t="s">
        <v>883</v>
      </c>
      <c r="R309">
        <v>3590</v>
      </c>
      <c r="S309">
        <v>3329.15</v>
      </c>
    </row>
    <row r="310" spans="1:19" hidden="1">
      <c r="A310" t="s">
        <v>1340</v>
      </c>
      <c r="B310" t="s">
        <v>659</v>
      </c>
      <c r="C310" t="s">
        <v>660</v>
      </c>
      <c r="D310">
        <v>547</v>
      </c>
      <c r="E310" s="19">
        <f t="shared" si="20"/>
        <v>19.535714285714285</v>
      </c>
      <c r="F310">
        <v>742.49</v>
      </c>
      <c r="I310" s="19">
        <f t="shared" si="21"/>
        <v>1094</v>
      </c>
      <c r="J310" t="b">
        <f t="shared" si="22"/>
        <v>1</v>
      </c>
      <c r="K310" s="4">
        <f t="shared" si="23"/>
        <v>-0.32130712979890308</v>
      </c>
      <c r="M310"/>
      <c r="O310"/>
      <c r="Q310" t="s">
        <v>677</v>
      </c>
      <c r="R310">
        <v>1071</v>
      </c>
      <c r="S310">
        <v>1111.29</v>
      </c>
    </row>
    <row r="311" spans="1:19" hidden="1">
      <c r="A311" t="s">
        <v>1341</v>
      </c>
      <c r="B311" t="s">
        <v>1085</v>
      </c>
      <c r="C311" t="s">
        <v>1086</v>
      </c>
      <c r="D311">
        <v>857</v>
      </c>
      <c r="E311" s="19">
        <f t="shared" si="20"/>
        <v>30.607142857142858</v>
      </c>
      <c r="F311">
        <v>1207.56</v>
      </c>
      <c r="I311" s="19">
        <f t="shared" si="21"/>
        <v>1714</v>
      </c>
      <c r="J311" t="b">
        <f t="shared" si="22"/>
        <v>1</v>
      </c>
      <c r="K311" s="4">
        <f t="shared" si="23"/>
        <v>-0.29547257876312727</v>
      </c>
      <c r="M311"/>
      <c r="O311"/>
      <c r="Q311" t="s">
        <v>628</v>
      </c>
      <c r="R311">
        <v>1019</v>
      </c>
      <c r="S311">
        <v>2154.46</v>
      </c>
    </row>
    <row r="312" spans="1:19" hidden="1">
      <c r="A312" t="s">
        <v>1340</v>
      </c>
      <c r="B312" t="s">
        <v>707</v>
      </c>
      <c r="C312" t="s">
        <v>708</v>
      </c>
      <c r="D312">
        <v>1</v>
      </c>
      <c r="E312" s="19">
        <f t="shared" si="20"/>
        <v>3.5714285714285712E-2</v>
      </c>
      <c r="F312">
        <v>0</v>
      </c>
      <c r="I312" s="19">
        <f t="shared" si="21"/>
        <v>2</v>
      </c>
      <c r="J312" t="b">
        <f t="shared" si="22"/>
        <v>1</v>
      </c>
      <c r="K312" s="4">
        <f t="shared" si="23"/>
        <v>-1</v>
      </c>
      <c r="M312"/>
      <c r="O312"/>
      <c r="Q312" t="s">
        <v>759</v>
      </c>
      <c r="R312">
        <v>2100</v>
      </c>
      <c r="S312">
        <v>2900.04</v>
      </c>
    </row>
    <row r="313" spans="1:19" hidden="1">
      <c r="A313" t="s">
        <v>1341</v>
      </c>
      <c r="B313" t="s">
        <v>900</v>
      </c>
      <c r="C313" t="s">
        <v>901</v>
      </c>
      <c r="D313">
        <v>9499</v>
      </c>
      <c r="E313" s="19">
        <f t="shared" si="20"/>
        <v>339.25</v>
      </c>
      <c r="F313">
        <v>4480.3</v>
      </c>
      <c r="I313" s="19">
        <f t="shared" si="21"/>
        <v>18998</v>
      </c>
      <c r="J313" t="b">
        <f t="shared" si="22"/>
        <v>1</v>
      </c>
      <c r="K313" s="4">
        <f t="shared" si="23"/>
        <v>-0.76416991262238132</v>
      </c>
      <c r="M313"/>
      <c r="O313"/>
      <c r="Q313" t="s">
        <v>679</v>
      </c>
      <c r="R313">
        <v>2322</v>
      </c>
      <c r="S313">
        <v>2781.16</v>
      </c>
    </row>
    <row r="314" spans="1:19" hidden="1">
      <c r="A314" t="s">
        <v>1339</v>
      </c>
      <c r="B314" t="s">
        <v>278</v>
      </c>
      <c r="C314" t="s">
        <v>279</v>
      </c>
      <c r="D314">
        <v>619</v>
      </c>
      <c r="E314" s="19">
        <f t="shared" si="20"/>
        <v>22.107142857142858</v>
      </c>
      <c r="F314">
        <v>546.16</v>
      </c>
      <c r="I314" s="19">
        <f t="shared" si="21"/>
        <v>1238</v>
      </c>
      <c r="J314" t="b">
        <f t="shared" si="22"/>
        <v>1</v>
      </c>
      <c r="K314" s="4">
        <f t="shared" si="23"/>
        <v>-0.55883683360258485</v>
      </c>
      <c r="M314"/>
      <c r="O314"/>
      <c r="Q314" t="s">
        <v>685</v>
      </c>
      <c r="R314">
        <v>485</v>
      </c>
      <c r="S314">
        <v>329.07</v>
      </c>
    </row>
    <row r="315" spans="1:19" hidden="1">
      <c r="A315" t="s">
        <v>1341</v>
      </c>
      <c r="B315" t="s">
        <v>1019</v>
      </c>
      <c r="C315" t="s">
        <v>1020</v>
      </c>
      <c r="D315">
        <v>752</v>
      </c>
      <c r="E315" s="19">
        <f t="shared" si="20"/>
        <v>26.857142857142858</v>
      </c>
      <c r="F315">
        <v>624.79</v>
      </c>
      <c r="I315" s="19">
        <f t="shared" si="21"/>
        <v>1504</v>
      </c>
      <c r="J315" t="b">
        <f t="shared" si="22"/>
        <v>1</v>
      </c>
      <c r="K315" s="4">
        <f t="shared" si="23"/>
        <v>-0.58458111702127669</v>
      </c>
      <c r="M315"/>
      <c r="O315"/>
      <c r="Q315" t="s">
        <v>656</v>
      </c>
      <c r="R315">
        <v>1498</v>
      </c>
      <c r="S315">
        <v>723.63</v>
      </c>
    </row>
    <row r="316" spans="1:19" hidden="1">
      <c r="A316" t="s">
        <v>1339</v>
      </c>
      <c r="B316" t="s">
        <v>420</v>
      </c>
      <c r="C316" t="s">
        <v>421</v>
      </c>
      <c r="D316">
        <v>443</v>
      </c>
      <c r="E316" s="19">
        <f t="shared" si="20"/>
        <v>15.821428571428571</v>
      </c>
      <c r="F316">
        <v>678.36</v>
      </c>
      <c r="I316" s="19">
        <f t="shared" si="21"/>
        <v>886</v>
      </c>
      <c r="J316" t="b">
        <f t="shared" si="22"/>
        <v>1</v>
      </c>
      <c r="K316" s="4">
        <f t="shared" si="23"/>
        <v>-0.23435665914221215</v>
      </c>
      <c r="M316"/>
      <c r="O316"/>
      <c r="Q316" t="s">
        <v>590</v>
      </c>
      <c r="R316">
        <v>10278</v>
      </c>
      <c r="S316">
        <v>8437.92</v>
      </c>
    </row>
    <row r="317" spans="1:19" hidden="1">
      <c r="A317" t="s">
        <v>1339</v>
      </c>
      <c r="B317" t="s">
        <v>260</v>
      </c>
      <c r="C317" t="s">
        <v>261</v>
      </c>
      <c r="D317">
        <v>434</v>
      </c>
      <c r="E317" s="19">
        <f t="shared" si="20"/>
        <v>15.5</v>
      </c>
      <c r="F317">
        <v>334.53</v>
      </c>
      <c r="I317" s="19">
        <f t="shared" si="21"/>
        <v>868</v>
      </c>
      <c r="J317" t="b">
        <f t="shared" si="22"/>
        <v>1</v>
      </c>
      <c r="K317" s="4">
        <f t="shared" si="23"/>
        <v>-0.61459677419354841</v>
      </c>
      <c r="M317"/>
      <c r="O317"/>
      <c r="Q317" t="s">
        <v>804</v>
      </c>
      <c r="R317">
        <v>1468</v>
      </c>
      <c r="S317">
        <v>459.8</v>
      </c>
    </row>
    <row r="318" spans="1:19" hidden="1">
      <c r="A318" t="s">
        <v>1339</v>
      </c>
      <c r="B318" t="s">
        <v>206</v>
      </c>
      <c r="C318" t="s">
        <v>207</v>
      </c>
      <c r="D318">
        <v>539</v>
      </c>
      <c r="E318" s="19">
        <f t="shared" si="20"/>
        <v>19.25</v>
      </c>
      <c r="F318">
        <v>964.9</v>
      </c>
      <c r="I318" s="19">
        <f t="shared" si="21"/>
        <v>1078</v>
      </c>
      <c r="J318" t="b">
        <f t="shared" si="22"/>
        <v>1</v>
      </c>
      <c r="K318" s="4">
        <f t="shared" si="23"/>
        <v>-0.10491651205936925</v>
      </c>
      <c r="M318"/>
      <c r="O318"/>
      <c r="Q318" t="s">
        <v>745</v>
      </c>
      <c r="R318">
        <v>1079</v>
      </c>
      <c r="S318">
        <v>2197.5700000000002</v>
      </c>
    </row>
    <row r="319" spans="1:19" hidden="1">
      <c r="A319" t="s">
        <v>1339</v>
      </c>
      <c r="B319" t="s">
        <v>154</v>
      </c>
      <c r="C319" t="s">
        <v>155</v>
      </c>
      <c r="D319">
        <v>921</v>
      </c>
      <c r="E319" s="19">
        <f t="shared" si="20"/>
        <v>32.892857142857146</v>
      </c>
      <c r="F319">
        <v>1398.71</v>
      </c>
      <c r="I319" s="19">
        <f t="shared" si="21"/>
        <v>1842</v>
      </c>
      <c r="J319" t="b">
        <f t="shared" si="22"/>
        <v>1</v>
      </c>
      <c r="K319" s="4">
        <f t="shared" si="23"/>
        <v>-0.24065689467969598</v>
      </c>
      <c r="M319"/>
      <c r="O319"/>
      <c r="Q319" t="s">
        <v>747</v>
      </c>
      <c r="R319">
        <v>1017</v>
      </c>
      <c r="S319">
        <v>1281.21</v>
      </c>
    </row>
    <row r="320" spans="1:19" hidden="1">
      <c r="A320" t="s">
        <v>1340</v>
      </c>
      <c r="B320" t="s">
        <v>785</v>
      </c>
      <c r="C320" t="s">
        <v>786</v>
      </c>
      <c r="D320">
        <v>785</v>
      </c>
      <c r="E320" s="19">
        <f t="shared" si="20"/>
        <v>28.035714285714285</v>
      </c>
      <c r="F320">
        <v>1271.47</v>
      </c>
      <c r="I320" s="19">
        <f t="shared" si="21"/>
        <v>1570</v>
      </c>
      <c r="J320" t="b">
        <f t="shared" si="22"/>
        <v>1</v>
      </c>
      <c r="K320" s="4">
        <f t="shared" si="23"/>
        <v>-0.19014649681528661</v>
      </c>
      <c r="M320"/>
      <c r="O320"/>
      <c r="Q320" t="s">
        <v>835</v>
      </c>
      <c r="R320">
        <v>1132</v>
      </c>
      <c r="S320">
        <v>960.15</v>
      </c>
    </row>
    <row r="321" spans="1:19" hidden="1">
      <c r="A321" t="s">
        <v>1341</v>
      </c>
      <c r="B321" t="s">
        <v>1039</v>
      </c>
      <c r="C321" t="s">
        <v>1040</v>
      </c>
      <c r="D321">
        <v>296</v>
      </c>
      <c r="E321" s="19">
        <f t="shared" si="20"/>
        <v>10.571428571428571</v>
      </c>
      <c r="F321">
        <v>466.75</v>
      </c>
      <c r="I321" s="19">
        <f t="shared" si="21"/>
        <v>592</v>
      </c>
      <c r="J321" t="b">
        <f t="shared" si="22"/>
        <v>1</v>
      </c>
      <c r="K321" s="4">
        <f t="shared" si="23"/>
        <v>-0.21157094594594594</v>
      </c>
      <c r="M321"/>
      <c r="O321"/>
      <c r="Q321" t="s">
        <v>855</v>
      </c>
      <c r="R321">
        <v>1142</v>
      </c>
      <c r="S321">
        <v>598.61</v>
      </c>
    </row>
    <row r="322" spans="1:19" hidden="1">
      <c r="A322" t="s">
        <v>1339</v>
      </c>
      <c r="B322" t="s">
        <v>250</v>
      </c>
      <c r="C322" t="s">
        <v>251</v>
      </c>
      <c r="D322">
        <v>628</v>
      </c>
      <c r="E322" s="19">
        <f t="shared" si="20"/>
        <v>22.428571428571427</v>
      </c>
      <c r="F322">
        <v>550.6</v>
      </c>
      <c r="I322" s="19">
        <f t="shared" si="21"/>
        <v>1256</v>
      </c>
      <c r="J322" t="b">
        <f t="shared" si="22"/>
        <v>1</v>
      </c>
      <c r="K322" s="4">
        <f t="shared" si="23"/>
        <v>-0.56162420382165601</v>
      </c>
      <c r="M322"/>
      <c r="O322"/>
      <c r="Q322" t="s">
        <v>667</v>
      </c>
      <c r="R322">
        <v>1001</v>
      </c>
      <c r="S322">
        <v>1293.8800000000001</v>
      </c>
    </row>
    <row r="323" spans="1:19" hidden="1">
      <c r="A323" t="s">
        <v>1340</v>
      </c>
      <c r="B323" t="s">
        <v>793</v>
      </c>
      <c r="C323" t="s">
        <v>794</v>
      </c>
      <c r="D323">
        <v>830</v>
      </c>
      <c r="E323" s="19">
        <f t="shared" si="20"/>
        <v>29.642857142857142</v>
      </c>
      <c r="F323">
        <v>550.20000000000005</v>
      </c>
      <c r="I323" s="19">
        <f t="shared" si="21"/>
        <v>1660</v>
      </c>
      <c r="J323" t="b">
        <f t="shared" si="22"/>
        <v>1</v>
      </c>
      <c r="K323" s="4">
        <f t="shared" si="23"/>
        <v>-0.66855421686746985</v>
      </c>
      <c r="M323"/>
      <c r="O323"/>
      <c r="Q323" t="s">
        <v>681</v>
      </c>
      <c r="R323">
        <v>442</v>
      </c>
      <c r="S323">
        <v>0</v>
      </c>
    </row>
    <row r="324" spans="1:19" hidden="1">
      <c r="A324" t="s">
        <v>1339</v>
      </c>
      <c r="B324" t="s">
        <v>316</v>
      </c>
      <c r="C324" t="s">
        <v>317</v>
      </c>
      <c r="D324">
        <v>419</v>
      </c>
      <c r="E324" s="19">
        <f t="shared" si="20"/>
        <v>14.964285714285714</v>
      </c>
      <c r="F324">
        <v>502.34</v>
      </c>
      <c r="I324" s="19">
        <f t="shared" si="21"/>
        <v>838</v>
      </c>
      <c r="J324" t="b">
        <f t="shared" si="22"/>
        <v>1</v>
      </c>
      <c r="K324" s="4">
        <f t="shared" si="23"/>
        <v>-0.40054892601431979</v>
      </c>
      <c r="M324"/>
      <c r="O324"/>
      <c r="Q324" t="s">
        <v>757</v>
      </c>
      <c r="R324">
        <v>352</v>
      </c>
      <c r="S324">
        <v>304.18</v>
      </c>
    </row>
    <row r="325" spans="1:19" hidden="1">
      <c r="A325" t="s">
        <v>1339</v>
      </c>
      <c r="B325" t="s">
        <v>320</v>
      </c>
      <c r="C325" t="s">
        <v>321</v>
      </c>
      <c r="D325">
        <v>695</v>
      </c>
      <c r="E325" s="19">
        <f t="shared" si="20"/>
        <v>24.821428571428573</v>
      </c>
      <c r="F325">
        <v>852.1</v>
      </c>
      <c r="I325" s="19">
        <f t="shared" si="21"/>
        <v>1390</v>
      </c>
      <c r="J325" t="b">
        <f t="shared" si="22"/>
        <v>1</v>
      </c>
      <c r="K325" s="4">
        <f>F325/I325-1</f>
        <v>-0.38697841726618698</v>
      </c>
      <c r="M325"/>
      <c r="O325"/>
      <c r="Q325" t="s">
        <v>737</v>
      </c>
      <c r="R325">
        <v>433</v>
      </c>
      <c r="S325">
        <v>283.95999999999998</v>
      </c>
    </row>
    <row r="326" spans="1:19" hidden="1">
      <c r="A326" t="s">
        <v>1339</v>
      </c>
      <c r="B326" t="s">
        <v>428</v>
      </c>
      <c r="C326" t="s">
        <v>429</v>
      </c>
      <c r="D326">
        <v>644</v>
      </c>
      <c r="E326" s="19">
        <f t="shared" si="20"/>
        <v>23</v>
      </c>
      <c r="F326">
        <v>722.95</v>
      </c>
      <c r="I326" s="19">
        <f t="shared" si="21"/>
        <v>1288</v>
      </c>
      <c r="J326" t="b">
        <f t="shared" si="22"/>
        <v>1</v>
      </c>
      <c r="K326" s="4">
        <f t="shared" si="23"/>
        <v>-0.43870341614906827</v>
      </c>
      <c r="M326"/>
      <c r="O326"/>
      <c r="Q326" t="s">
        <v>753</v>
      </c>
      <c r="R326">
        <v>1773</v>
      </c>
      <c r="S326">
        <v>658.97</v>
      </c>
    </row>
    <row r="327" spans="1:19" hidden="1">
      <c r="A327" t="s">
        <v>1339</v>
      </c>
      <c r="B327" t="s">
        <v>348</v>
      </c>
      <c r="C327" t="s">
        <v>349</v>
      </c>
      <c r="D327">
        <v>424</v>
      </c>
      <c r="E327" s="19">
        <f t="shared" si="20"/>
        <v>15.142857142857142</v>
      </c>
      <c r="F327">
        <v>600.02</v>
      </c>
      <c r="I327" s="19">
        <f t="shared" si="21"/>
        <v>848</v>
      </c>
      <c r="J327" t="b">
        <f t="shared" si="22"/>
        <v>1</v>
      </c>
      <c r="K327" s="4">
        <f t="shared" si="23"/>
        <v>-0.29242924528301883</v>
      </c>
      <c r="M327"/>
      <c r="O327"/>
      <c r="Q327" t="s">
        <v>604</v>
      </c>
      <c r="R327">
        <v>4088</v>
      </c>
      <c r="S327">
        <v>1357.7</v>
      </c>
    </row>
    <row r="328" spans="1:19" hidden="1">
      <c r="A328" t="s">
        <v>1339</v>
      </c>
      <c r="B328" t="s">
        <v>302</v>
      </c>
      <c r="C328" t="s">
        <v>303</v>
      </c>
      <c r="D328">
        <v>554</v>
      </c>
      <c r="E328" s="19">
        <f t="shared" si="20"/>
        <v>19.785714285714285</v>
      </c>
      <c r="F328">
        <v>122.56</v>
      </c>
      <c r="I328" s="19">
        <f t="shared" si="21"/>
        <v>1108</v>
      </c>
      <c r="J328" t="b">
        <f t="shared" si="22"/>
        <v>1</v>
      </c>
      <c r="K328" s="4">
        <f t="shared" si="23"/>
        <v>-0.88938628158844768</v>
      </c>
      <c r="M328"/>
      <c r="O328"/>
      <c r="Q328" t="s">
        <v>763</v>
      </c>
      <c r="R328">
        <v>307</v>
      </c>
      <c r="S328">
        <v>316.98</v>
      </c>
    </row>
    <row r="329" spans="1:19" hidden="1">
      <c r="A329" t="s">
        <v>1339</v>
      </c>
      <c r="B329" t="s">
        <v>416</v>
      </c>
      <c r="C329" t="s">
        <v>417</v>
      </c>
      <c r="D329">
        <v>754</v>
      </c>
      <c r="E329" s="19">
        <f t="shared" si="20"/>
        <v>26.928571428571427</v>
      </c>
      <c r="F329">
        <v>1360.22</v>
      </c>
      <c r="I329" s="19">
        <f t="shared" si="21"/>
        <v>1508</v>
      </c>
      <c r="J329" t="b">
        <f t="shared" si="22"/>
        <v>1</v>
      </c>
      <c r="K329" s="4">
        <f t="shared" si="23"/>
        <v>-9.7997347480106134E-2</v>
      </c>
      <c r="M329"/>
      <c r="O329"/>
      <c r="Q329" t="s">
        <v>644</v>
      </c>
      <c r="R329">
        <v>1359</v>
      </c>
      <c r="S329">
        <v>2670.18</v>
      </c>
    </row>
    <row r="330" spans="1:19" hidden="1">
      <c r="A330" t="s">
        <v>1339</v>
      </c>
      <c r="B330" t="s">
        <v>384</v>
      </c>
      <c r="C330" t="s">
        <v>385</v>
      </c>
      <c r="D330">
        <v>330</v>
      </c>
      <c r="E330" s="19">
        <f t="shared" si="20"/>
        <v>11.785714285714286</v>
      </c>
      <c r="F330">
        <v>251.12</v>
      </c>
      <c r="I330" s="19">
        <f t="shared" si="21"/>
        <v>660</v>
      </c>
      <c r="J330" t="b">
        <f t="shared" si="22"/>
        <v>1</v>
      </c>
      <c r="K330" s="4">
        <f t="shared" si="23"/>
        <v>-0.61951515151515157</v>
      </c>
      <c r="M330"/>
      <c r="O330"/>
      <c r="Q330" t="s">
        <v>881</v>
      </c>
      <c r="R330">
        <v>4341</v>
      </c>
      <c r="S330">
        <v>5128.26</v>
      </c>
    </row>
    <row r="331" spans="1:19" hidden="1">
      <c r="A331" t="s">
        <v>1339</v>
      </c>
      <c r="B331" t="s">
        <v>294</v>
      </c>
      <c r="C331" t="s">
        <v>295</v>
      </c>
      <c r="D331">
        <v>399</v>
      </c>
      <c r="E331" s="19">
        <f t="shared" si="20"/>
        <v>14.25</v>
      </c>
      <c r="F331">
        <v>578.67999999999995</v>
      </c>
      <c r="I331" s="19">
        <f t="shared" si="21"/>
        <v>798</v>
      </c>
      <c r="J331" t="b">
        <f t="shared" si="22"/>
        <v>1</v>
      </c>
      <c r="K331" s="4">
        <f t="shared" si="23"/>
        <v>-0.27483709273182966</v>
      </c>
      <c r="M331"/>
      <c r="O331"/>
      <c r="Q331" t="s">
        <v>773</v>
      </c>
      <c r="R331">
        <v>2197</v>
      </c>
      <c r="S331">
        <v>3365.88</v>
      </c>
    </row>
    <row r="332" spans="1:19" hidden="1">
      <c r="A332" t="s">
        <v>1341</v>
      </c>
      <c r="B332" t="s">
        <v>1081</v>
      </c>
      <c r="C332" t="s">
        <v>1082</v>
      </c>
      <c r="D332">
        <v>11</v>
      </c>
      <c r="E332" s="19">
        <f t="shared" si="20"/>
        <v>0.39285714285714285</v>
      </c>
      <c r="F332">
        <v>0</v>
      </c>
      <c r="I332" s="19">
        <f t="shared" si="21"/>
        <v>22</v>
      </c>
      <c r="J332" t="b">
        <f t="shared" si="22"/>
        <v>1</v>
      </c>
      <c r="K332" s="4">
        <f t="shared" si="23"/>
        <v>-1</v>
      </c>
      <c r="M332"/>
      <c r="O332"/>
      <c r="Q332" t="s">
        <v>722</v>
      </c>
      <c r="R332">
        <v>680</v>
      </c>
      <c r="S332">
        <v>313.06</v>
      </c>
    </row>
    <row r="333" spans="1:19" hidden="1">
      <c r="A333" t="s">
        <v>1339</v>
      </c>
      <c r="B333" t="s">
        <v>228</v>
      </c>
      <c r="C333" t="s">
        <v>229</v>
      </c>
      <c r="D333">
        <v>555</v>
      </c>
      <c r="E333" s="19">
        <f t="shared" si="20"/>
        <v>19.821428571428573</v>
      </c>
      <c r="F333">
        <v>1321.72</v>
      </c>
      <c r="I333" s="19">
        <f t="shared" si="21"/>
        <v>1110</v>
      </c>
      <c r="J333" t="b">
        <f t="shared" si="22"/>
        <v>1</v>
      </c>
      <c r="K333" s="4">
        <f t="shared" si="23"/>
        <v>0.1907387387387387</v>
      </c>
      <c r="M333"/>
      <c r="O333"/>
      <c r="Q333" t="s">
        <v>654</v>
      </c>
      <c r="R333">
        <v>556</v>
      </c>
      <c r="S333">
        <v>825.59</v>
      </c>
    </row>
    <row r="334" spans="1:19" hidden="1">
      <c r="A334" t="s">
        <v>1339</v>
      </c>
      <c r="B334" t="s">
        <v>382</v>
      </c>
      <c r="C334" t="s">
        <v>383</v>
      </c>
      <c r="D334">
        <v>219</v>
      </c>
      <c r="E334" s="19">
        <f t="shared" si="20"/>
        <v>7.8214285714285712</v>
      </c>
      <c r="F334">
        <v>106.79</v>
      </c>
      <c r="I334" s="19">
        <f t="shared" si="21"/>
        <v>438</v>
      </c>
      <c r="J334" t="b">
        <f t="shared" si="22"/>
        <v>1</v>
      </c>
      <c r="K334" s="4">
        <f t="shared" si="23"/>
        <v>-0.7561872146118721</v>
      </c>
      <c r="M334"/>
      <c r="O334"/>
      <c r="Q334" t="s">
        <v>731</v>
      </c>
      <c r="R334">
        <v>709</v>
      </c>
      <c r="S334">
        <v>343.68</v>
      </c>
    </row>
    <row r="335" spans="1:19" hidden="1">
      <c r="A335" t="s">
        <v>1341</v>
      </c>
      <c r="B335" t="s">
        <v>988</v>
      </c>
      <c r="C335" t="s">
        <v>989</v>
      </c>
      <c r="D335">
        <v>331</v>
      </c>
      <c r="E335" s="19">
        <f t="shared" si="20"/>
        <v>11.821428571428571</v>
      </c>
      <c r="F335">
        <v>121.41</v>
      </c>
      <c r="I335" s="19">
        <f t="shared" si="21"/>
        <v>662</v>
      </c>
      <c r="J335" t="b">
        <f t="shared" si="22"/>
        <v>1</v>
      </c>
      <c r="K335" s="4">
        <f t="shared" si="23"/>
        <v>-0.81660120845921447</v>
      </c>
      <c r="M335"/>
      <c r="O335"/>
      <c r="Q335" t="s">
        <v>691</v>
      </c>
      <c r="R335">
        <v>1391</v>
      </c>
      <c r="S335">
        <v>753.72</v>
      </c>
    </row>
    <row r="336" spans="1:19" hidden="1">
      <c r="A336" t="s">
        <v>1341</v>
      </c>
      <c r="B336" t="s">
        <v>1057</v>
      </c>
      <c r="C336" t="s">
        <v>1058</v>
      </c>
      <c r="D336">
        <v>3</v>
      </c>
      <c r="E336" s="19">
        <f t="shared" si="20"/>
        <v>0.10714285714285714</v>
      </c>
      <c r="F336">
        <v>0</v>
      </c>
      <c r="I336" s="19">
        <f t="shared" si="21"/>
        <v>6</v>
      </c>
      <c r="J336" t="b">
        <f t="shared" si="22"/>
        <v>1</v>
      </c>
      <c r="K336" s="4">
        <f t="shared" si="23"/>
        <v>-1</v>
      </c>
      <c r="M336"/>
      <c r="O336"/>
      <c r="Q336" t="s">
        <v>626</v>
      </c>
      <c r="R336">
        <v>994</v>
      </c>
      <c r="S336">
        <v>2606.08</v>
      </c>
    </row>
    <row r="337" spans="1:19" hidden="1">
      <c r="A337" t="s">
        <v>1340</v>
      </c>
      <c r="B337" t="s">
        <v>762</v>
      </c>
      <c r="C337" t="s">
        <v>763</v>
      </c>
      <c r="D337">
        <v>278</v>
      </c>
      <c r="E337" s="19">
        <f t="shared" si="20"/>
        <v>9.9285714285714288</v>
      </c>
      <c r="F337">
        <v>211.9</v>
      </c>
      <c r="I337" s="19">
        <f t="shared" si="21"/>
        <v>556</v>
      </c>
      <c r="J337" t="b">
        <f t="shared" si="22"/>
        <v>1</v>
      </c>
      <c r="K337" s="4">
        <f t="shared" si="23"/>
        <v>-0.61888489208633091</v>
      </c>
      <c r="M337"/>
      <c r="O337"/>
      <c r="Q337" t="s">
        <v>822</v>
      </c>
      <c r="R337">
        <v>2392</v>
      </c>
      <c r="S337">
        <v>3804.61</v>
      </c>
    </row>
    <row r="338" spans="1:19" hidden="1">
      <c r="A338" t="s">
        <v>1341</v>
      </c>
      <c r="B338" t="s">
        <v>908</v>
      </c>
      <c r="C338" t="s">
        <v>909</v>
      </c>
      <c r="D338">
        <v>983</v>
      </c>
      <c r="E338" s="19">
        <f t="shared" si="20"/>
        <v>35.107142857142854</v>
      </c>
      <c r="F338">
        <v>1362.76</v>
      </c>
      <c r="I338" s="19">
        <f t="shared" si="21"/>
        <v>1966</v>
      </c>
      <c r="J338" t="b">
        <f t="shared" si="22"/>
        <v>1</v>
      </c>
      <c r="K338" s="4">
        <f t="shared" si="23"/>
        <v>-0.30683621566632757</v>
      </c>
      <c r="M338"/>
      <c r="O338"/>
      <c r="Q338" t="s">
        <v>851</v>
      </c>
      <c r="R338">
        <v>968</v>
      </c>
      <c r="S338">
        <v>2030.96</v>
      </c>
    </row>
    <row r="339" spans="1:19" hidden="1">
      <c r="A339" t="s">
        <v>1339</v>
      </c>
      <c r="B339" t="s">
        <v>468</v>
      </c>
      <c r="C339" t="s">
        <v>469</v>
      </c>
      <c r="D339">
        <v>288</v>
      </c>
      <c r="E339" s="19">
        <f t="shared" ref="E339:E361" si="24">D339/28</f>
        <v>10.285714285714286</v>
      </c>
      <c r="F339">
        <v>174.63</v>
      </c>
      <c r="I339" s="19">
        <f t="shared" ref="I339:I361" si="25">IF((D339/28)&gt;100,D339*2,D339*2)</f>
        <v>576</v>
      </c>
      <c r="J339" t="b">
        <f t="shared" ref="J339:J361" si="26">IF(F339&gt;1.2*I339,FALSE,TRUE)</f>
        <v>1</v>
      </c>
      <c r="K339" s="4">
        <f t="shared" ref="K339:K361" si="27">F339/I339-1</f>
        <v>-0.69682291666666663</v>
      </c>
      <c r="M339"/>
      <c r="O339"/>
      <c r="Q339" t="s">
        <v>608</v>
      </c>
      <c r="R339">
        <v>1050</v>
      </c>
      <c r="S339">
        <v>214.39</v>
      </c>
    </row>
    <row r="340" spans="1:19" hidden="1">
      <c r="A340" t="s">
        <v>1340</v>
      </c>
      <c r="B340" t="s">
        <v>736</v>
      </c>
      <c r="C340" t="s">
        <v>737</v>
      </c>
      <c r="D340">
        <v>3</v>
      </c>
      <c r="E340" s="19">
        <f t="shared" si="24"/>
        <v>0.10714285714285714</v>
      </c>
      <c r="F340">
        <v>0</v>
      </c>
      <c r="I340" s="19">
        <f t="shared" si="25"/>
        <v>6</v>
      </c>
      <c r="J340" t="b">
        <f t="shared" si="26"/>
        <v>1</v>
      </c>
      <c r="K340" s="4">
        <f t="shared" si="27"/>
        <v>-1</v>
      </c>
      <c r="M340"/>
      <c r="O340"/>
      <c r="Q340" t="s">
        <v>814</v>
      </c>
      <c r="R340">
        <v>932</v>
      </c>
      <c r="S340">
        <v>1821.75</v>
      </c>
    </row>
    <row r="341" spans="1:19" hidden="1">
      <c r="A341" t="s">
        <v>1339</v>
      </c>
      <c r="B341" t="s">
        <v>226</v>
      </c>
      <c r="C341" t="s">
        <v>227</v>
      </c>
      <c r="D341">
        <v>421</v>
      </c>
      <c r="E341" s="19">
        <f t="shared" si="24"/>
        <v>15.035714285714286</v>
      </c>
      <c r="F341">
        <v>934.21</v>
      </c>
      <c r="I341" s="19">
        <f t="shared" si="25"/>
        <v>842</v>
      </c>
      <c r="J341" t="b">
        <f t="shared" si="26"/>
        <v>1</v>
      </c>
      <c r="K341" s="4">
        <f t="shared" si="27"/>
        <v>0.10951306413301665</v>
      </c>
      <c r="M341"/>
      <c r="O341"/>
      <c r="Q341" t="s">
        <v>887</v>
      </c>
      <c r="R341">
        <v>2202</v>
      </c>
      <c r="S341">
        <v>4728.72</v>
      </c>
    </row>
    <row r="342" spans="1:19" hidden="1">
      <c r="A342" t="s">
        <v>1341</v>
      </c>
      <c r="B342" t="s">
        <v>951</v>
      </c>
      <c r="C342" t="s">
        <v>952</v>
      </c>
      <c r="D342">
        <v>927</v>
      </c>
      <c r="E342" s="19">
        <f t="shared" si="24"/>
        <v>33.107142857142854</v>
      </c>
      <c r="F342">
        <v>1780.18</v>
      </c>
      <c r="I342" s="140">
        <f t="shared" si="25"/>
        <v>1854</v>
      </c>
      <c r="J342" t="b">
        <f t="shared" si="26"/>
        <v>1</v>
      </c>
      <c r="K342" s="4">
        <f t="shared" si="27"/>
        <v>-3.9816612729234091E-2</v>
      </c>
      <c r="Q342" t="s">
        <v>652</v>
      </c>
      <c r="R342">
        <v>1002</v>
      </c>
      <c r="S342">
        <v>1222.03</v>
      </c>
    </row>
    <row r="343" spans="1:19" hidden="1">
      <c r="A343" t="s">
        <v>1340</v>
      </c>
      <c r="B343" t="s">
        <v>756</v>
      </c>
      <c r="C343" t="s">
        <v>757</v>
      </c>
      <c r="D343">
        <v>296</v>
      </c>
      <c r="E343" s="19">
        <f t="shared" si="24"/>
        <v>10.571428571428571</v>
      </c>
      <c r="F343">
        <v>214.78</v>
      </c>
      <c r="I343" s="19">
        <f t="shared" si="25"/>
        <v>592</v>
      </c>
      <c r="J343" t="b">
        <f t="shared" si="26"/>
        <v>1</v>
      </c>
      <c r="K343" s="4">
        <f t="shared" si="27"/>
        <v>-0.63719594594594597</v>
      </c>
      <c r="M343"/>
      <c r="O343"/>
      <c r="Q343" t="s">
        <v>699</v>
      </c>
      <c r="R343">
        <v>871</v>
      </c>
      <c r="S343">
        <v>1788.28</v>
      </c>
    </row>
    <row r="344" spans="1:19">
      <c r="A344" t="s">
        <v>1340</v>
      </c>
      <c r="B344" t="s">
        <v>797</v>
      </c>
      <c r="C344" t="s">
        <v>798</v>
      </c>
      <c r="D344">
        <v>453</v>
      </c>
      <c r="E344" s="19">
        <f t="shared" si="24"/>
        <v>16.178571428571427</v>
      </c>
      <c r="F344">
        <v>1132.3699999999999</v>
      </c>
      <c r="I344" s="19">
        <f t="shared" si="25"/>
        <v>906</v>
      </c>
      <c r="J344" t="b">
        <f t="shared" si="26"/>
        <v>0</v>
      </c>
      <c r="K344" s="4">
        <f t="shared" si="27"/>
        <v>0.24985651214128013</v>
      </c>
      <c r="L344" t="s">
        <v>586</v>
      </c>
      <c r="M344"/>
      <c r="O344"/>
      <c r="R344">
        <v>0</v>
      </c>
      <c r="S344">
        <v>0</v>
      </c>
    </row>
    <row r="345" spans="1:19" hidden="1">
      <c r="A345" t="s">
        <v>1339</v>
      </c>
      <c r="B345" t="s">
        <v>360</v>
      </c>
      <c r="C345" t="s">
        <v>361</v>
      </c>
      <c r="D345">
        <v>170</v>
      </c>
      <c r="E345" s="19">
        <f t="shared" si="24"/>
        <v>6.0714285714285712</v>
      </c>
      <c r="F345">
        <v>322.17</v>
      </c>
      <c r="I345" s="19">
        <f t="shared" si="25"/>
        <v>340</v>
      </c>
      <c r="J345" t="b">
        <f t="shared" si="26"/>
        <v>1</v>
      </c>
      <c r="K345" s="4">
        <f t="shared" si="27"/>
        <v>-5.2441176470588213E-2</v>
      </c>
      <c r="M345"/>
      <c r="O345"/>
      <c r="R345">
        <v>0</v>
      </c>
      <c r="S345">
        <v>0</v>
      </c>
    </row>
    <row r="346" spans="1:19" hidden="1">
      <c r="A346" t="s">
        <v>1341</v>
      </c>
      <c r="B346" t="s">
        <v>1027</v>
      </c>
      <c r="C346" t="s">
        <v>1028</v>
      </c>
      <c r="D346">
        <v>1376</v>
      </c>
      <c r="E346" s="19">
        <f t="shared" si="24"/>
        <v>49.142857142857146</v>
      </c>
      <c r="F346">
        <v>2266.08</v>
      </c>
      <c r="I346" s="19">
        <f t="shared" si="25"/>
        <v>2752</v>
      </c>
      <c r="J346" t="b">
        <f t="shared" si="26"/>
        <v>1</v>
      </c>
      <c r="K346" s="4">
        <f t="shared" si="27"/>
        <v>-0.17656976744186048</v>
      </c>
      <c r="M346"/>
      <c r="O346"/>
      <c r="R346">
        <v>0</v>
      </c>
      <c r="S346">
        <v>0</v>
      </c>
    </row>
    <row r="347" spans="1:19" hidden="1">
      <c r="A347" t="s">
        <v>1340</v>
      </c>
      <c r="B347" t="s">
        <v>613</v>
      </c>
      <c r="C347" t="s">
        <v>614</v>
      </c>
      <c r="D347">
        <v>1609</v>
      </c>
      <c r="E347" s="19">
        <f t="shared" si="24"/>
        <v>57.464285714285715</v>
      </c>
      <c r="F347">
        <v>2344.5100000000002</v>
      </c>
      <c r="I347" s="19">
        <f t="shared" si="25"/>
        <v>3218</v>
      </c>
      <c r="J347" t="b">
        <f t="shared" si="26"/>
        <v>1</v>
      </c>
      <c r="K347" s="4">
        <f t="shared" si="27"/>
        <v>-0.27143878185208192</v>
      </c>
      <c r="M347"/>
      <c r="O347"/>
      <c r="R347">
        <v>0</v>
      </c>
      <c r="S347">
        <v>0</v>
      </c>
    </row>
    <row r="348" spans="1:19" hidden="1">
      <c r="A348" t="s">
        <v>1339</v>
      </c>
      <c r="B348" t="s">
        <v>198</v>
      </c>
      <c r="C348" t="s">
        <v>199</v>
      </c>
      <c r="D348">
        <v>547</v>
      </c>
      <c r="E348" s="19">
        <f t="shared" si="24"/>
        <v>19.535714285714285</v>
      </c>
      <c r="F348">
        <v>1300.02</v>
      </c>
      <c r="I348" s="19">
        <f t="shared" si="25"/>
        <v>1094</v>
      </c>
      <c r="J348" t="b">
        <f t="shared" si="26"/>
        <v>1</v>
      </c>
      <c r="K348" s="4">
        <f t="shared" si="27"/>
        <v>0.18831809872029259</v>
      </c>
      <c r="M348"/>
      <c r="O348"/>
      <c r="R348">
        <v>0</v>
      </c>
      <c r="S348">
        <v>0</v>
      </c>
    </row>
    <row r="349" spans="1:19" hidden="1">
      <c r="A349" t="s">
        <v>1340</v>
      </c>
      <c r="B349" t="s">
        <v>643</v>
      </c>
      <c r="C349" t="s">
        <v>644</v>
      </c>
      <c r="D349">
        <v>1488</v>
      </c>
      <c r="E349" s="19">
        <f t="shared" si="24"/>
        <v>53.142857142857146</v>
      </c>
      <c r="F349">
        <v>1362.93</v>
      </c>
      <c r="I349" s="19">
        <f t="shared" si="25"/>
        <v>2976</v>
      </c>
      <c r="J349" t="b">
        <f t="shared" si="26"/>
        <v>1</v>
      </c>
      <c r="K349" s="4">
        <f t="shared" si="27"/>
        <v>-0.54202620967741932</v>
      </c>
      <c r="M349"/>
      <c r="O349"/>
      <c r="Q349" t="s">
        <v>1104</v>
      </c>
      <c r="R349">
        <v>2357</v>
      </c>
      <c r="S349">
        <v>4551.13</v>
      </c>
    </row>
    <row r="350" spans="1:19" hidden="1">
      <c r="A350" t="s">
        <v>1339</v>
      </c>
      <c r="B350" t="s">
        <v>516</v>
      </c>
      <c r="C350" t="s">
        <v>517</v>
      </c>
      <c r="D350">
        <v>1939</v>
      </c>
      <c r="E350" s="19">
        <f t="shared" si="24"/>
        <v>69.25</v>
      </c>
      <c r="F350">
        <v>1597.65</v>
      </c>
      <c r="I350" s="19">
        <f t="shared" si="25"/>
        <v>3878</v>
      </c>
      <c r="J350" t="b">
        <f t="shared" si="26"/>
        <v>1</v>
      </c>
      <c r="K350" s="4">
        <f t="shared" si="27"/>
        <v>-0.5880221763795771</v>
      </c>
      <c r="M350"/>
      <c r="O350"/>
      <c r="Q350" t="s">
        <v>946</v>
      </c>
      <c r="R350">
        <v>1605</v>
      </c>
      <c r="S350">
        <v>1997.57</v>
      </c>
    </row>
    <row r="351" spans="1:19" hidden="1">
      <c r="A351" t="s">
        <v>1339</v>
      </c>
      <c r="B351" t="s">
        <v>298</v>
      </c>
      <c r="C351" t="s">
        <v>299</v>
      </c>
      <c r="D351">
        <v>233</v>
      </c>
      <c r="E351" s="19">
        <f t="shared" si="24"/>
        <v>8.3214285714285712</v>
      </c>
      <c r="F351">
        <v>472.62</v>
      </c>
      <c r="I351" s="19">
        <f t="shared" si="25"/>
        <v>466</v>
      </c>
      <c r="J351" t="b">
        <f t="shared" si="26"/>
        <v>1</v>
      </c>
      <c r="K351" s="4">
        <f t="shared" si="27"/>
        <v>1.4206008583691032E-2</v>
      </c>
      <c r="M351"/>
      <c r="O351"/>
      <c r="Q351" t="s">
        <v>1120</v>
      </c>
      <c r="R351">
        <v>2820</v>
      </c>
      <c r="S351">
        <v>5352.41</v>
      </c>
    </row>
    <row r="352" spans="1:19" hidden="1">
      <c r="A352" t="s">
        <v>1341</v>
      </c>
      <c r="B352" t="s">
        <v>969</v>
      </c>
      <c r="C352" t="s">
        <v>970</v>
      </c>
      <c r="D352">
        <v>855</v>
      </c>
      <c r="E352" s="19">
        <f t="shared" si="24"/>
        <v>30.535714285714285</v>
      </c>
      <c r="F352">
        <v>1530.96</v>
      </c>
      <c r="I352" s="19">
        <f t="shared" si="25"/>
        <v>1710</v>
      </c>
      <c r="J352" t="b">
        <f t="shared" si="26"/>
        <v>1</v>
      </c>
      <c r="K352" s="4">
        <f t="shared" si="27"/>
        <v>-0.10470175438596485</v>
      </c>
      <c r="M352"/>
      <c r="O352"/>
      <c r="Q352" t="s">
        <v>931</v>
      </c>
      <c r="R352">
        <v>4202</v>
      </c>
      <c r="S352">
        <v>3829.56</v>
      </c>
    </row>
    <row r="353" spans="1:19" hidden="1">
      <c r="A353" t="s">
        <v>1340</v>
      </c>
      <c r="B353" t="s">
        <v>692</v>
      </c>
      <c r="C353" t="s">
        <v>693</v>
      </c>
      <c r="D353">
        <v>574</v>
      </c>
      <c r="E353" s="19">
        <f t="shared" si="24"/>
        <v>20.5</v>
      </c>
      <c r="F353">
        <v>293</v>
      </c>
      <c r="I353" s="19">
        <f t="shared" si="25"/>
        <v>1148</v>
      </c>
      <c r="J353" t="b">
        <f t="shared" si="26"/>
        <v>1</v>
      </c>
      <c r="K353" s="4">
        <f t="shared" si="27"/>
        <v>-0.744773519163763</v>
      </c>
      <c r="M353"/>
      <c r="O353"/>
      <c r="Q353" t="s">
        <v>1028</v>
      </c>
      <c r="R353">
        <v>1460</v>
      </c>
      <c r="S353">
        <v>3168.75</v>
      </c>
    </row>
    <row r="354" spans="1:19" hidden="1">
      <c r="A354" t="s">
        <v>1339</v>
      </c>
      <c r="B354" t="s">
        <v>190</v>
      </c>
      <c r="C354" t="s">
        <v>191</v>
      </c>
      <c r="D354">
        <v>596</v>
      </c>
      <c r="E354" s="19">
        <f t="shared" si="24"/>
        <v>21.285714285714285</v>
      </c>
      <c r="F354">
        <v>812.01</v>
      </c>
      <c r="I354" s="19">
        <f t="shared" si="25"/>
        <v>1192</v>
      </c>
      <c r="J354" t="b">
        <f t="shared" si="26"/>
        <v>1</v>
      </c>
      <c r="K354" s="4">
        <f t="shared" si="27"/>
        <v>-0.31878355704697992</v>
      </c>
      <c r="M354"/>
      <c r="O354"/>
      <c r="Q354" t="s">
        <v>1008</v>
      </c>
      <c r="R354">
        <v>871</v>
      </c>
      <c r="S354">
        <v>1459.05</v>
      </c>
    </row>
    <row r="355" spans="1:19">
      <c r="A355" t="s">
        <v>1339</v>
      </c>
      <c r="B355" t="s">
        <v>408</v>
      </c>
      <c r="C355" t="s">
        <v>409</v>
      </c>
      <c r="D355">
        <v>277</v>
      </c>
      <c r="E355" s="19">
        <f t="shared" si="24"/>
        <v>9.8928571428571423</v>
      </c>
      <c r="F355">
        <v>940.85</v>
      </c>
      <c r="I355" s="140">
        <f t="shared" si="25"/>
        <v>554</v>
      </c>
      <c r="J355" t="b">
        <f t="shared" si="26"/>
        <v>0</v>
      </c>
      <c r="K355" s="4">
        <f t="shared" si="27"/>
        <v>0.69828519855595661</v>
      </c>
      <c r="L355" t="s">
        <v>586</v>
      </c>
      <c r="Q355" t="s">
        <v>1128</v>
      </c>
      <c r="R355">
        <v>4871</v>
      </c>
      <c r="S355">
        <v>8603.15</v>
      </c>
    </row>
    <row r="356" spans="1:19" hidden="1">
      <c r="A356" t="s">
        <v>1340</v>
      </c>
      <c r="B356" t="s">
        <v>680</v>
      </c>
      <c r="C356" t="s">
        <v>681</v>
      </c>
      <c r="D356">
        <v>405</v>
      </c>
      <c r="E356" s="19">
        <f t="shared" si="24"/>
        <v>14.464285714285714</v>
      </c>
      <c r="F356">
        <v>0</v>
      </c>
      <c r="I356" s="19">
        <f t="shared" si="25"/>
        <v>810</v>
      </c>
      <c r="J356" t="b">
        <f t="shared" si="26"/>
        <v>1</v>
      </c>
      <c r="K356" s="4">
        <f t="shared" si="27"/>
        <v>-1</v>
      </c>
      <c r="M356"/>
      <c r="O356"/>
      <c r="Q356" t="s">
        <v>913</v>
      </c>
      <c r="R356">
        <v>10863</v>
      </c>
      <c r="S356">
        <v>10572.08</v>
      </c>
    </row>
    <row r="357" spans="1:19" hidden="1">
      <c r="A357" t="s">
        <v>1340</v>
      </c>
      <c r="B357" t="s">
        <v>799</v>
      </c>
      <c r="C357" t="s">
        <v>800</v>
      </c>
      <c r="D357">
        <v>638</v>
      </c>
      <c r="E357" s="19">
        <f t="shared" si="24"/>
        <v>22.785714285714285</v>
      </c>
      <c r="F357">
        <v>565.99</v>
      </c>
      <c r="I357" s="19">
        <f t="shared" si="25"/>
        <v>1276</v>
      </c>
      <c r="J357" t="b">
        <f t="shared" si="26"/>
        <v>1</v>
      </c>
      <c r="K357" s="4">
        <f t="shared" si="27"/>
        <v>-0.55643416927899692</v>
      </c>
      <c r="M357"/>
      <c r="O357"/>
      <c r="Q357" t="s">
        <v>985</v>
      </c>
      <c r="R357">
        <v>2105</v>
      </c>
      <c r="S357">
        <v>5222.25</v>
      </c>
    </row>
    <row r="358" spans="1:19" hidden="1">
      <c r="A358" t="s">
        <v>1339</v>
      </c>
      <c r="B358" t="s">
        <v>52</v>
      </c>
      <c r="C358" t="s">
        <v>53</v>
      </c>
      <c r="D358">
        <v>1160</v>
      </c>
      <c r="E358" s="19">
        <f t="shared" si="24"/>
        <v>41.428571428571431</v>
      </c>
      <c r="F358">
        <v>1794.79</v>
      </c>
      <c r="I358" s="140">
        <f t="shared" si="25"/>
        <v>2320</v>
      </c>
      <c r="J358" t="b">
        <f t="shared" si="26"/>
        <v>1</v>
      </c>
      <c r="K358" s="4">
        <f t="shared" si="27"/>
        <v>-0.22638362068965523</v>
      </c>
      <c r="Q358" t="s">
        <v>934</v>
      </c>
      <c r="R358">
        <v>1161</v>
      </c>
      <c r="S358">
        <v>1374.2</v>
      </c>
    </row>
    <row r="359" spans="1:19" hidden="1">
      <c r="A359" t="s">
        <v>1341</v>
      </c>
      <c r="B359" t="s">
        <v>1075</v>
      </c>
      <c r="C359" t="s">
        <v>1076</v>
      </c>
      <c r="D359">
        <v>0</v>
      </c>
      <c r="E359" s="19">
        <f t="shared" si="24"/>
        <v>0</v>
      </c>
      <c r="F359">
        <v>0</v>
      </c>
      <c r="I359" s="19">
        <f t="shared" si="25"/>
        <v>0</v>
      </c>
      <c r="J359" t="b">
        <f t="shared" si="26"/>
        <v>1</v>
      </c>
      <c r="K359" s="4" t="e">
        <f t="shared" si="27"/>
        <v>#DIV/0!</v>
      </c>
      <c r="M359"/>
      <c r="O359"/>
      <c r="Q359" t="s">
        <v>1084</v>
      </c>
      <c r="R359">
        <v>2704</v>
      </c>
      <c r="S359">
        <v>3791.04</v>
      </c>
    </row>
    <row r="360" spans="1:19" hidden="1">
      <c r="A360" t="s">
        <v>1341</v>
      </c>
      <c r="B360" t="s">
        <v>1021</v>
      </c>
      <c r="C360" t="s">
        <v>1022</v>
      </c>
      <c r="D360">
        <v>17</v>
      </c>
      <c r="E360" s="19">
        <f t="shared" si="24"/>
        <v>0.6071428571428571</v>
      </c>
      <c r="F360">
        <v>19.79</v>
      </c>
      <c r="I360" s="19">
        <f t="shared" si="25"/>
        <v>34</v>
      </c>
      <c r="J360" t="b">
        <f t="shared" si="26"/>
        <v>1</v>
      </c>
      <c r="K360" s="4">
        <f t="shared" si="27"/>
        <v>-0.41794117647058826</v>
      </c>
      <c r="M360"/>
      <c r="O360"/>
      <c r="Q360" t="s">
        <v>1072</v>
      </c>
      <c r="R360">
        <v>1464</v>
      </c>
      <c r="S360">
        <v>1310.06</v>
      </c>
    </row>
    <row r="361" spans="1:19" ht="16.5" hidden="1" customHeight="1">
      <c r="A361" t="s">
        <v>1341</v>
      </c>
      <c r="B361" t="s">
        <v>998</v>
      </c>
      <c r="C361" t="s">
        <v>999</v>
      </c>
      <c r="D361">
        <v>17</v>
      </c>
      <c r="E361" s="19">
        <f t="shared" si="24"/>
        <v>0.6071428571428571</v>
      </c>
      <c r="F361">
        <v>13.88</v>
      </c>
      <c r="I361" s="19">
        <f t="shared" si="25"/>
        <v>34</v>
      </c>
      <c r="J361" t="b">
        <f t="shared" si="26"/>
        <v>1</v>
      </c>
      <c r="K361" s="4">
        <f t="shared" si="27"/>
        <v>-0.59176470588235297</v>
      </c>
      <c r="M361"/>
      <c r="O361"/>
      <c r="Q361" t="s">
        <v>928</v>
      </c>
      <c r="R361">
        <v>432</v>
      </c>
      <c r="S361">
        <v>657.51</v>
      </c>
    </row>
    <row r="362" spans="1:19">
      <c r="Q362" t="s">
        <v>1045</v>
      </c>
      <c r="R362">
        <v>1424</v>
      </c>
      <c r="S362">
        <v>3264.21</v>
      </c>
    </row>
    <row r="363" spans="1:19">
      <c r="Q363" t="s">
        <v>980</v>
      </c>
      <c r="R363">
        <v>1014</v>
      </c>
      <c r="S363">
        <v>1354.39</v>
      </c>
    </row>
    <row r="364" spans="1:19">
      <c r="Q364" t="s">
        <v>1032</v>
      </c>
      <c r="R364">
        <v>1525</v>
      </c>
      <c r="S364">
        <v>2359.86</v>
      </c>
    </row>
    <row r="365" spans="1:19">
      <c r="Q365" t="s">
        <v>1003</v>
      </c>
      <c r="R365">
        <v>816</v>
      </c>
      <c r="S365">
        <v>2073.8200000000002</v>
      </c>
    </row>
    <row r="366" spans="1:19">
      <c r="Q366" t="s">
        <v>1065</v>
      </c>
      <c r="R366">
        <v>1682</v>
      </c>
      <c r="S366">
        <v>580.09</v>
      </c>
    </row>
    <row r="367" spans="1:19">
      <c r="Q367" t="s">
        <v>991</v>
      </c>
      <c r="R367">
        <v>261</v>
      </c>
      <c r="S367">
        <v>1405.71</v>
      </c>
    </row>
    <row r="368" spans="1:19">
      <c r="Q368" t="s">
        <v>1030</v>
      </c>
      <c r="R368">
        <v>1366</v>
      </c>
      <c r="S368">
        <v>3088.32</v>
      </c>
    </row>
    <row r="369" spans="5:19">
      <c r="E369"/>
      <c r="Q369" t="s">
        <v>911</v>
      </c>
      <c r="R369">
        <v>1601</v>
      </c>
      <c r="S369">
        <v>3000.95</v>
      </c>
    </row>
    <row r="370" spans="5:19">
      <c r="Q370" t="s">
        <v>1135</v>
      </c>
      <c r="R370">
        <v>7185</v>
      </c>
      <c r="S370">
        <v>9078.4500000000007</v>
      </c>
    </row>
    <row r="371" spans="5:19">
      <c r="Q371" t="s">
        <v>1026</v>
      </c>
      <c r="R371">
        <v>1016</v>
      </c>
      <c r="S371">
        <v>2364.4699999999998</v>
      </c>
    </row>
    <row r="372" spans="5:19">
      <c r="Q372" t="s">
        <v>978</v>
      </c>
      <c r="R372">
        <v>1074</v>
      </c>
      <c r="S372">
        <v>1191.3399999999999</v>
      </c>
    </row>
    <row r="373" spans="5:19">
      <c r="R373">
        <v>0</v>
      </c>
      <c r="S373">
        <v>0</v>
      </c>
    </row>
    <row r="374" spans="5:19">
      <c r="Q374" t="s">
        <v>909</v>
      </c>
      <c r="R374">
        <v>539</v>
      </c>
      <c r="S374">
        <v>1057.49</v>
      </c>
    </row>
    <row r="375" spans="5:19">
      <c r="Q375" t="s">
        <v>950</v>
      </c>
      <c r="R375">
        <v>1075</v>
      </c>
      <c r="S375">
        <v>1761.57</v>
      </c>
    </row>
    <row r="376" spans="5:19">
      <c r="Q376" t="s">
        <v>1010</v>
      </c>
      <c r="R376">
        <v>1470</v>
      </c>
      <c r="S376">
        <v>2032.1</v>
      </c>
    </row>
    <row r="377" spans="5:19">
      <c r="Q377" t="s">
        <v>964</v>
      </c>
      <c r="R377">
        <v>1676</v>
      </c>
      <c r="S377">
        <v>2748.23</v>
      </c>
    </row>
    <row r="378" spans="5:19">
      <c r="Q378" t="s">
        <v>1058</v>
      </c>
      <c r="R378">
        <v>556</v>
      </c>
      <c r="S378">
        <v>399.59</v>
      </c>
    </row>
    <row r="379" spans="5:19">
      <c r="Q379" t="s">
        <v>1005</v>
      </c>
      <c r="R379">
        <v>1179</v>
      </c>
      <c r="S379">
        <v>2708.58</v>
      </c>
    </row>
    <row r="380" spans="5:19">
      <c r="Q380" t="s">
        <v>1116</v>
      </c>
      <c r="R380">
        <v>1553</v>
      </c>
      <c r="S380">
        <v>1075</v>
      </c>
    </row>
    <row r="381" spans="5:19">
      <c r="Q381" t="s">
        <v>1012</v>
      </c>
      <c r="R381">
        <v>1400</v>
      </c>
      <c r="S381">
        <v>1440.96</v>
      </c>
    </row>
    <row r="382" spans="5:19">
      <c r="Q382" t="s">
        <v>1053</v>
      </c>
      <c r="R382">
        <v>1462</v>
      </c>
      <c r="S382">
        <v>1070.9000000000001</v>
      </c>
    </row>
    <row r="383" spans="5:19">
      <c r="Q383" t="s">
        <v>1133</v>
      </c>
      <c r="R383">
        <v>7031</v>
      </c>
      <c r="S383">
        <v>6062.04</v>
      </c>
    </row>
    <row r="384" spans="5:19">
      <c r="Q384" t="s">
        <v>1114</v>
      </c>
      <c r="R384">
        <v>1743</v>
      </c>
      <c r="S384">
        <v>2986.39</v>
      </c>
    </row>
    <row r="385" spans="17:19">
      <c r="Q385" t="s">
        <v>1124</v>
      </c>
      <c r="R385">
        <v>1235</v>
      </c>
      <c r="S385">
        <v>2031.46</v>
      </c>
    </row>
    <row r="386" spans="17:19">
      <c r="Q386" t="s">
        <v>1014</v>
      </c>
      <c r="R386">
        <v>1</v>
      </c>
      <c r="S386">
        <v>0</v>
      </c>
    </row>
    <row r="387" spans="17:19">
      <c r="Q387" t="s">
        <v>1086</v>
      </c>
      <c r="R387">
        <v>1060</v>
      </c>
      <c r="S387">
        <v>1987.32</v>
      </c>
    </row>
    <row r="388" spans="17:19">
      <c r="Q388" t="s">
        <v>944</v>
      </c>
      <c r="R388">
        <v>810</v>
      </c>
      <c r="S388">
        <v>987.64</v>
      </c>
    </row>
    <row r="389" spans="17:19">
      <c r="Q389" t="s">
        <v>1042</v>
      </c>
      <c r="R389">
        <v>1161</v>
      </c>
      <c r="S389">
        <v>2264.92</v>
      </c>
    </row>
    <row r="390" spans="17:19">
      <c r="Q390" t="s">
        <v>948</v>
      </c>
      <c r="R390">
        <v>1609</v>
      </c>
      <c r="S390">
        <v>1661.07</v>
      </c>
    </row>
    <row r="391" spans="17:19">
      <c r="Q391" t="s">
        <v>1063</v>
      </c>
      <c r="R391">
        <v>1107</v>
      </c>
      <c r="S391">
        <v>1110.52</v>
      </c>
    </row>
    <row r="392" spans="17:19">
      <c r="Q392" t="s">
        <v>1001</v>
      </c>
      <c r="R392">
        <v>550</v>
      </c>
      <c r="S392">
        <v>515.15</v>
      </c>
    </row>
    <row r="393" spans="17:19">
      <c r="Q393" t="s">
        <v>1092</v>
      </c>
      <c r="R393">
        <v>925</v>
      </c>
      <c r="S393">
        <v>1261.25</v>
      </c>
    </row>
    <row r="394" spans="17:19">
      <c r="Q394" t="s">
        <v>922</v>
      </c>
      <c r="R394">
        <v>1375</v>
      </c>
      <c r="S394">
        <v>2480.4</v>
      </c>
    </row>
    <row r="395" spans="17:19">
      <c r="Q395" t="s">
        <v>954</v>
      </c>
      <c r="R395">
        <v>770</v>
      </c>
      <c r="S395">
        <v>85.89</v>
      </c>
    </row>
    <row r="396" spans="17:19">
      <c r="Q396" t="s">
        <v>1018</v>
      </c>
      <c r="R396">
        <v>1104</v>
      </c>
      <c r="S396">
        <v>2117</v>
      </c>
    </row>
    <row r="397" spans="17:19">
      <c r="Q397" t="s">
        <v>924</v>
      </c>
      <c r="R397">
        <v>1299</v>
      </c>
      <c r="S397">
        <v>2181.89</v>
      </c>
    </row>
    <row r="398" spans="17:19">
      <c r="Q398" t="s">
        <v>952</v>
      </c>
      <c r="R398">
        <v>930</v>
      </c>
      <c r="S398">
        <v>2178.85</v>
      </c>
    </row>
    <row r="399" spans="17:19">
      <c r="Q399" t="s">
        <v>968</v>
      </c>
      <c r="R399">
        <v>531</v>
      </c>
      <c r="S399">
        <v>251.56</v>
      </c>
    </row>
    <row r="400" spans="17:19">
      <c r="Q400" t="s">
        <v>1061</v>
      </c>
      <c r="R400">
        <v>1122</v>
      </c>
      <c r="S400">
        <v>2440.81</v>
      </c>
    </row>
    <row r="401" spans="17:19">
      <c r="Q401" t="s">
        <v>997</v>
      </c>
      <c r="R401">
        <v>325</v>
      </c>
      <c r="S401">
        <v>978.93</v>
      </c>
    </row>
    <row r="402" spans="17:19">
      <c r="Q402" t="s">
        <v>1106</v>
      </c>
      <c r="R402">
        <v>1173</v>
      </c>
      <c r="S402">
        <v>2045.63</v>
      </c>
    </row>
    <row r="403" spans="17:19">
      <c r="Q403" t="s">
        <v>1287</v>
      </c>
      <c r="R403">
        <v>0</v>
      </c>
      <c r="S403">
        <v>0</v>
      </c>
    </row>
    <row r="404" spans="17:19">
      <c r="R404">
        <v>0</v>
      </c>
      <c r="S404">
        <v>0</v>
      </c>
    </row>
    <row r="405" spans="17:19">
      <c r="R405">
        <v>0</v>
      </c>
      <c r="S405">
        <v>0</v>
      </c>
    </row>
    <row r="406" spans="17:19">
      <c r="Q406" t="s">
        <v>1080</v>
      </c>
      <c r="R406">
        <v>1253</v>
      </c>
      <c r="S406">
        <v>1938.81</v>
      </c>
    </row>
    <row r="407" spans="17:19">
      <c r="R407">
        <v>0</v>
      </c>
      <c r="S407">
        <v>0</v>
      </c>
    </row>
    <row r="408" spans="17:19">
      <c r="Q408" t="s">
        <v>1038</v>
      </c>
      <c r="R408">
        <v>566</v>
      </c>
      <c r="S408">
        <v>1224.96</v>
      </c>
    </row>
    <row r="409" spans="17:19">
      <c r="Q409" t="s">
        <v>1036</v>
      </c>
      <c r="R409">
        <v>601</v>
      </c>
      <c r="S409">
        <v>1605.96</v>
      </c>
    </row>
    <row r="410" spans="17:19">
      <c r="Q410" t="s">
        <v>960</v>
      </c>
      <c r="R410">
        <v>375</v>
      </c>
      <c r="S410">
        <v>652.58000000000004</v>
      </c>
    </row>
    <row r="411" spans="17:19">
      <c r="Q411" t="s">
        <v>1022</v>
      </c>
      <c r="R411">
        <v>17</v>
      </c>
      <c r="S411">
        <v>31</v>
      </c>
    </row>
    <row r="412" spans="17:19">
      <c r="Q412" t="s">
        <v>942</v>
      </c>
      <c r="R412">
        <v>0</v>
      </c>
      <c r="S412">
        <v>0</v>
      </c>
    </row>
    <row r="413" spans="17:19">
      <c r="Q413" t="s">
        <v>962</v>
      </c>
      <c r="R413">
        <v>966</v>
      </c>
      <c r="S413">
        <v>591.04999999999995</v>
      </c>
    </row>
    <row r="414" spans="17:19">
      <c r="Q414" t="s">
        <v>999</v>
      </c>
      <c r="R414">
        <v>22</v>
      </c>
      <c r="S414">
        <v>26.05</v>
      </c>
    </row>
    <row r="415" spans="17:19">
      <c r="Q415" t="s">
        <v>1098</v>
      </c>
      <c r="R415">
        <v>1292</v>
      </c>
      <c r="S415">
        <v>1954.98</v>
      </c>
    </row>
    <row r="416" spans="17:19">
      <c r="Q416" t="s">
        <v>1049</v>
      </c>
      <c r="R416">
        <v>840</v>
      </c>
      <c r="S416">
        <v>462.91</v>
      </c>
    </row>
    <row r="417" spans="17:19">
      <c r="Q417" t="s">
        <v>1082</v>
      </c>
      <c r="R417">
        <v>142</v>
      </c>
      <c r="S417">
        <v>0</v>
      </c>
    </row>
    <row r="418" spans="17:19">
      <c r="Q418" t="s">
        <v>938</v>
      </c>
      <c r="R418">
        <v>131</v>
      </c>
      <c r="S418">
        <v>513.11</v>
      </c>
    </row>
    <row r="419" spans="17:19">
      <c r="Q419" t="s">
        <v>920</v>
      </c>
      <c r="R419">
        <v>0</v>
      </c>
      <c r="S419">
        <v>0</v>
      </c>
    </row>
    <row r="420" spans="17:19">
      <c r="Q420" t="s">
        <v>1016</v>
      </c>
      <c r="R420">
        <v>683</v>
      </c>
      <c r="S420">
        <v>642.48</v>
      </c>
    </row>
    <row r="421" spans="17:19">
      <c r="Q421" t="s">
        <v>972</v>
      </c>
      <c r="R421">
        <v>276</v>
      </c>
      <c r="S421">
        <v>0</v>
      </c>
    </row>
    <row r="422" spans="17:19">
      <c r="Q422" t="s">
        <v>1040</v>
      </c>
      <c r="R422">
        <v>295</v>
      </c>
      <c r="S422">
        <v>114.7</v>
      </c>
    </row>
    <row r="423" spans="17:19">
      <c r="Q423" t="s">
        <v>1096</v>
      </c>
      <c r="R423">
        <v>279</v>
      </c>
      <c r="S423">
        <v>0</v>
      </c>
    </row>
    <row r="424" spans="17:19">
      <c r="Q424" t="s">
        <v>1047</v>
      </c>
      <c r="R424">
        <v>1946</v>
      </c>
      <c r="S424">
        <v>2591</v>
      </c>
    </row>
    <row r="425" spans="17:19">
      <c r="Q425" t="s">
        <v>936</v>
      </c>
      <c r="R425">
        <v>1462</v>
      </c>
      <c r="S425">
        <v>2207.94</v>
      </c>
    </row>
    <row r="426" spans="17:19">
      <c r="Q426" t="s">
        <v>918</v>
      </c>
      <c r="R426">
        <v>2083</v>
      </c>
      <c r="S426">
        <v>2456.46</v>
      </c>
    </row>
    <row r="427" spans="17:19">
      <c r="Q427" t="s">
        <v>926</v>
      </c>
      <c r="R427">
        <v>336</v>
      </c>
      <c r="S427">
        <v>1014.8</v>
      </c>
    </row>
    <row r="428" spans="17:19">
      <c r="Q428" t="s">
        <v>1067</v>
      </c>
      <c r="R428">
        <v>1332</v>
      </c>
      <c r="S428">
        <v>1485.85</v>
      </c>
    </row>
    <row r="429" spans="17:19">
      <c r="Q429" t="s">
        <v>1102</v>
      </c>
      <c r="R429">
        <v>796</v>
      </c>
      <c r="S429">
        <v>1368.16</v>
      </c>
    </row>
    <row r="430" spans="17:19">
      <c r="Q430" t="s">
        <v>1094</v>
      </c>
      <c r="R430">
        <v>3891</v>
      </c>
      <c r="S430">
        <v>3675.14</v>
      </c>
    </row>
    <row r="431" spans="17:19">
      <c r="Q431" t="s">
        <v>1078</v>
      </c>
      <c r="R431">
        <v>1452</v>
      </c>
      <c r="S431">
        <v>3178.29</v>
      </c>
    </row>
    <row r="432" spans="17:19">
      <c r="Q432" t="s">
        <v>1100</v>
      </c>
      <c r="R432">
        <v>1547</v>
      </c>
      <c r="S432">
        <v>2379.5700000000002</v>
      </c>
    </row>
    <row r="433" spans="17:19">
      <c r="Q433" t="s">
        <v>940</v>
      </c>
      <c r="R433">
        <v>303</v>
      </c>
      <c r="S433">
        <v>0</v>
      </c>
    </row>
    <row r="434" spans="17:19">
      <c r="Q434" t="s">
        <v>993</v>
      </c>
      <c r="R434">
        <v>1797</v>
      </c>
      <c r="S434">
        <v>1445.79</v>
      </c>
    </row>
    <row r="435" spans="17:19">
      <c r="Q435" t="s">
        <v>1076</v>
      </c>
      <c r="R435">
        <v>313</v>
      </c>
      <c r="S435">
        <v>201.38</v>
      </c>
    </row>
    <row r="436" spans="17:19">
      <c r="Q436" t="s">
        <v>1020</v>
      </c>
      <c r="R436">
        <v>742</v>
      </c>
      <c r="S436">
        <v>704.89</v>
      </c>
    </row>
    <row r="437" spans="17:19">
      <c r="Q437" t="s">
        <v>989</v>
      </c>
      <c r="R437">
        <v>356</v>
      </c>
      <c r="S437">
        <v>199.27</v>
      </c>
    </row>
    <row r="438" spans="17:19">
      <c r="Q438" t="s">
        <v>1056</v>
      </c>
      <c r="R438">
        <v>1874</v>
      </c>
      <c r="S438">
        <v>3772.22</v>
      </c>
    </row>
    <row r="439" spans="17:19">
      <c r="Q439" t="s">
        <v>1024</v>
      </c>
      <c r="R439">
        <v>434</v>
      </c>
      <c r="S439">
        <v>676.99</v>
      </c>
    </row>
    <row r="440" spans="17:19">
      <c r="Q440" t="s">
        <v>1034</v>
      </c>
      <c r="R440">
        <v>922</v>
      </c>
      <c r="S440">
        <v>615.99</v>
      </c>
    </row>
    <row r="441" spans="17:19">
      <c r="Q441" t="s">
        <v>1088</v>
      </c>
      <c r="R441">
        <v>1303</v>
      </c>
      <c r="S441">
        <v>976.48</v>
      </c>
    </row>
    <row r="442" spans="17:19">
      <c r="Q442" t="s">
        <v>1131</v>
      </c>
      <c r="R442">
        <v>1967</v>
      </c>
      <c r="S442">
        <v>2669.32</v>
      </c>
    </row>
    <row r="443" spans="17:19">
      <c r="Q443" t="s">
        <v>1110</v>
      </c>
      <c r="R443">
        <v>2648</v>
      </c>
      <c r="S443">
        <v>1533.95</v>
      </c>
    </row>
    <row r="444" spans="17:19">
      <c r="Q444" t="s">
        <v>970</v>
      </c>
      <c r="R444">
        <v>1099</v>
      </c>
      <c r="S444">
        <v>1681.39</v>
      </c>
    </row>
    <row r="445" spans="17:19">
      <c r="Q445" t="s">
        <v>1122</v>
      </c>
      <c r="R445">
        <v>3298</v>
      </c>
      <c r="S445">
        <v>6920.57</v>
      </c>
    </row>
    <row r="446" spans="17:19">
      <c r="Q446" t="s">
        <v>987</v>
      </c>
      <c r="R446">
        <v>355</v>
      </c>
      <c r="S446">
        <v>1017.38</v>
      </c>
    </row>
    <row r="447" spans="17:19">
      <c r="Q447" t="s">
        <v>1069</v>
      </c>
      <c r="R447">
        <v>4192</v>
      </c>
      <c r="S447">
        <v>3703.72</v>
      </c>
    </row>
    <row r="448" spans="17:19">
      <c r="Q448" t="s">
        <v>901</v>
      </c>
      <c r="R448">
        <v>5893</v>
      </c>
      <c r="S448">
        <v>4482.1899999999996</v>
      </c>
    </row>
    <row r="449" spans="17:19">
      <c r="Q449" t="s">
        <v>1090</v>
      </c>
      <c r="R449">
        <v>1168</v>
      </c>
      <c r="S449">
        <v>1022.36</v>
      </c>
    </row>
    <row r="450" spans="17:19">
      <c r="Q450" t="s">
        <v>983</v>
      </c>
      <c r="R450">
        <v>660</v>
      </c>
      <c r="S450">
        <v>1099.67</v>
      </c>
    </row>
    <row r="451" spans="17:19">
      <c r="Q451" t="s">
        <v>1112</v>
      </c>
      <c r="R451">
        <v>1341</v>
      </c>
      <c r="S451">
        <v>2691.33</v>
      </c>
    </row>
    <row r="452" spans="17:19">
      <c r="Q452" t="s">
        <v>995</v>
      </c>
      <c r="R452">
        <v>3129</v>
      </c>
      <c r="S452">
        <v>2951.94</v>
      </c>
    </row>
    <row r="453" spans="17:19">
      <c r="Q453" t="s">
        <v>1126</v>
      </c>
      <c r="R453">
        <v>3780</v>
      </c>
      <c r="S453">
        <v>6358.12</v>
      </c>
    </row>
    <row r="454" spans="17:19">
      <c r="Q454" t="s">
        <v>1138</v>
      </c>
      <c r="R454">
        <v>4424</v>
      </c>
      <c r="S454">
        <v>4518.8</v>
      </c>
    </row>
    <row r="455" spans="17:19">
      <c r="Q455" t="s">
        <v>1074</v>
      </c>
      <c r="R455">
        <v>910</v>
      </c>
      <c r="S455">
        <v>2003.82</v>
      </c>
    </row>
  </sheetData>
  <autoFilter ref="A1:O361" xr:uid="{EAD0D377-3820-4DB4-B8D5-8AE187021F68}">
    <filterColumn colId="9">
      <filters>
        <filter val="FALSE"/>
        <filter val="#N/A"/>
      </filters>
    </filterColumn>
  </autoFilter>
  <sortState xmlns:xlrd2="http://schemas.microsoft.com/office/spreadsheetml/2017/richdata2" ref="A2:F361">
    <sortCondition descending="1" ref="E1:E3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Kris -BH</cp:lastModifiedBy>
  <cp:revision/>
  <dcterms:created xsi:type="dcterms:W3CDTF">2015-06-05T18:17:20Z</dcterms:created>
  <dcterms:modified xsi:type="dcterms:W3CDTF">2026-01-15T21:26:05Z</dcterms:modified>
  <cp:category/>
  <cp:contentStatus/>
</cp:coreProperties>
</file>